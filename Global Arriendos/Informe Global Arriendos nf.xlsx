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STADISTA_2\Documents\Portada Inmobiliaria\Inmuebles_Arrendados\Global Arriendos\"/>
    </mc:Choice>
  </mc:AlternateContent>
  <xr:revisionPtr revIDLastSave="0" documentId="13_ncr:1_{9B5E5E42-67BE-479E-A354-36FC7332D330}" xr6:coauthVersionLast="47" xr6:coauthVersionMax="47" xr10:uidLastSave="{00000000-0000-0000-0000-000000000000}"/>
  <bookViews>
    <workbookView xWindow="3312" yWindow="3312" windowWidth="17280" windowHeight="8964" xr2:uid="{9C32D3F5-A59C-4E26-B588-6641FA1560BF}"/>
  </bookViews>
  <sheets>
    <sheet name="COLORES" sheetId="1" r:id="rId1"/>
    <sheet name="CALASANZ" sheetId="2" r:id="rId2"/>
    <sheet name="LAURELES" sheetId="3" r:id="rId3"/>
    <sheet name="POBLADO" sheetId="4" r:id="rId4"/>
    <sheet name="SABANETA" sheetId="5" r:id="rId5"/>
    <sheet name="ESTRELLA-ITAGUI" sheetId="6" r:id="rId6"/>
    <sheet name="ENVIGADO" sheetId="7" r:id="rId7"/>
    <sheet name="BELLO" sheetId="8" r:id="rId8"/>
    <sheet name="GLOBAL SEDES" sheetId="9" r:id="rId9"/>
  </sheets>
  <definedNames>
    <definedName name="_xlnm._FilterDatabase" localSheetId="1" hidden="1">CALASANZ!$A$2:$F$42</definedName>
    <definedName name="_xlnm._FilterDatabase" localSheetId="0" hidden="1">COLORES!$A$2:$G$570</definedName>
    <definedName name="_xlnm._FilterDatabase" localSheetId="6" hidden="1">ENVIGADO!$A$2:$F$248</definedName>
    <definedName name="_xlnm._FilterDatabase" localSheetId="5" hidden="1">'ESTRELLA-ITAGUI'!$A$2:$F$124</definedName>
    <definedName name="_xlnm._FilterDatabase" localSheetId="8" hidden="1">'GLOBAL SEDES'!$A$2:$E$370</definedName>
    <definedName name="_xlnm._FilterDatabase" localSheetId="2" hidden="1">LAURELES!$A$2:$F$388</definedName>
    <definedName name="_xlnm._FilterDatabase" localSheetId="3" hidden="1">POBLADO!$A$2:$F$312</definedName>
    <definedName name="_xlnm._FilterDatabase" localSheetId="4" hidden="1">SABANETA!$A$2:$F$475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19" i="9" l="1"/>
  <c r="C223" i="9"/>
  <c r="C225" i="9"/>
  <c r="C229" i="9"/>
  <c r="C231" i="9"/>
  <c r="C235" i="9"/>
  <c r="C237" i="9"/>
  <c r="C241" i="9"/>
  <c r="C243" i="9"/>
  <c r="C247" i="9"/>
  <c r="C249" i="9"/>
  <c r="C253" i="9"/>
  <c r="C255" i="9"/>
  <c r="C259" i="9"/>
  <c r="C261" i="9"/>
  <c r="C265" i="9"/>
  <c r="C267" i="9"/>
  <c r="C271" i="9"/>
  <c r="C273" i="9"/>
  <c r="C277" i="9"/>
  <c r="C279" i="9"/>
  <c r="C283" i="9"/>
  <c r="C285" i="9"/>
  <c r="C289" i="9"/>
  <c r="E370" i="9"/>
  <c r="E362" i="9"/>
  <c r="E354" i="9"/>
  <c r="E346" i="9"/>
  <c r="E338" i="9"/>
  <c r="E330" i="9"/>
  <c r="E322" i="9"/>
  <c r="E314" i="9"/>
  <c r="E306" i="9"/>
  <c r="E298" i="9"/>
  <c r="E368" i="9"/>
  <c r="E360" i="9"/>
  <c r="E352" i="9"/>
  <c r="E344" i="9"/>
  <c r="E336" i="9"/>
  <c r="E328" i="9"/>
  <c r="E320" i="9"/>
  <c r="E312" i="9"/>
  <c r="E304" i="9"/>
  <c r="E296" i="9"/>
  <c r="E369" i="9"/>
  <c r="E361" i="9"/>
  <c r="E353" i="9"/>
  <c r="E345" i="9"/>
  <c r="E337" i="9"/>
  <c r="E329" i="9"/>
  <c r="E321" i="9"/>
  <c r="E313" i="9"/>
  <c r="E305" i="9"/>
  <c r="E297" i="9"/>
  <c r="E367" i="9"/>
  <c r="E359" i="9"/>
  <c r="E351" i="9"/>
  <c r="E343" i="9"/>
  <c r="E335" i="9"/>
  <c r="E327" i="9"/>
  <c r="E319" i="9"/>
  <c r="E311" i="9"/>
  <c r="E303" i="9"/>
  <c r="E295" i="9"/>
  <c r="E365" i="9"/>
  <c r="E357" i="9"/>
  <c r="E349" i="9"/>
  <c r="E341" i="9"/>
  <c r="E333" i="9"/>
  <c r="E325" i="9"/>
  <c r="E317" i="9"/>
  <c r="E309" i="9"/>
  <c r="E301" i="9"/>
  <c r="E293" i="9"/>
  <c r="E364" i="9"/>
  <c r="E356" i="9"/>
  <c r="E348" i="9"/>
  <c r="E340" i="9"/>
  <c r="E332" i="9"/>
  <c r="E324" i="9"/>
  <c r="E316" i="9"/>
  <c r="E308" i="9"/>
  <c r="E300" i="9"/>
  <c r="E292" i="9"/>
  <c r="E363" i="9"/>
  <c r="E355" i="9"/>
  <c r="E347" i="9"/>
  <c r="E339" i="9"/>
  <c r="E331" i="9"/>
  <c r="E323" i="9"/>
  <c r="E315" i="9"/>
  <c r="E307" i="9"/>
  <c r="E299" i="9"/>
  <c r="E291" i="9"/>
  <c r="E176" i="9"/>
  <c r="E290" i="9"/>
  <c r="E284" i="9"/>
  <c r="E278" i="9"/>
  <c r="E272" i="9"/>
  <c r="E266" i="9"/>
  <c r="E260" i="9"/>
  <c r="E254" i="9"/>
  <c r="E248" i="9"/>
  <c r="E242" i="9"/>
  <c r="E236" i="9"/>
  <c r="E230" i="9"/>
  <c r="E224" i="9"/>
  <c r="E218" i="9"/>
  <c r="E212" i="9"/>
  <c r="E288" i="9"/>
  <c r="E282" i="9"/>
  <c r="E276" i="9"/>
  <c r="E270" i="9"/>
  <c r="E264" i="9"/>
  <c r="E258" i="9"/>
  <c r="E252" i="9"/>
  <c r="E246" i="9"/>
  <c r="E240" i="9"/>
  <c r="E234" i="9"/>
  <c r="E228" i="9"/>
  <c r="E222" i="9"/>
  <c r="E287" i="9"/>
  <c r="E281" i="9"/>
  <c r="E275" i="9"/>
  <c r="E269" i="9"/>
  <c r="E263" i="9"/>
  <c r="E257" i="9"/>
  <c r="E251" i="9"/>
  <c r="E245" i="9"/>
  <c r="E239" i="9"/>
  <c r="E233" i="9"/>
  <c r="E227" i="9"/>
  <c r="E221" i="9"/>
  <c r="E215" i="9"/>
  <c r="E274" i="9"/>
  <c r="E268" i="9"/>
  <c r="E262" i="9"/>
  <c r="E256" i="9"/>
  <c r="E250" i="9"/>
  <c r="E244" i="9"/>
  <c r="E232" i="9"/>
  <c r="E238" i="9"/>
  <c r="E226" i="9"/>
  <c r="E220" i="9"/>
  <c r="E285" i="9"/>
  <c r="E279" i="9"/>
  <c r="E273" i="9"/>
  <c r="E267" i="9"/>
  <c r="E261" i="9"/>
  <c r="E255" i="9"/>
  <c r="E249" i="9"/>
  <c r="E243" i="9"/>
  <c r="E237" i="9"/>
  <c r="E231" i="9"/>
  <c r="E225" i="9"/>
  <c r="E219" i="9"/>
  <c r="E147" i="9"/>
  <c r="E148" i="9"/>
  <c r="E149" i="9"/>
  <c r="E150" i="9"/>
  <c r="E151" i="9"/>
  <c r="E152" i="9"/>
  <c r="E153" i="9"/>
  <c r="E154" i="9"/>
  <c r="E155" i="9"/>
  <c r="E156" i="9"/>
  <c r="E157" i="9"/>
  <c r="E158" i="9"/>
  <c r="E159" i="9"/>
  <c r="E160" i="9"/>
  <c r="E161" i="9"/>
  <c r="E162" i="9"/>
  <c r="E163" i="9"/>
  <c r="E164" i="9"/>
  <c r="E165" i="9"/>
  <c r="E166" i="9"/>
  <c r="E167" i="9"/>
  <c r="E168" i="9"/>
  <c r="E169" i="9"/>
  <c r="E170" i="9"/>
  <c r="E171" i="9"/>
  <c r="E172" i="9"/>
  <c r="E173" i="9"/>
  <c r="E174" i="9"/>
  <c r="E175" i="9"/>
  <c r="E177" i="9"/>
  <c r="E178" i="9"/>
  <c r="E179" i="9"/>
  <c r="E180" i="9"/>
  <c r="E181" i="9"/>
  <c r="E182" i="9"/>
  <c r="E183" i="9"/>
  <c r="E184" i="9"/>
  <c r="E185" i="9"/>
  <c r="E186" i="9"/>
  <c r="E187" i="9"/>
  <c r="E188" i="9"/>
  <c r="E189" i="9"/>
  <c r="E190" i="9"/>
  <c r="E191" i="9"/>
  <c r="E192" i="9"/>
  <c r="E193" i="9"/>
  <c r="E194" i="9"/>
  <c r="E195" i="9"/>
  <c r="E196" i="9"/>
  <c r="E197" i="9"/>
  <c r="E198" i="9"/>
  <c r="E199" i="9"/>
  <c r="E200" i="9"/>
  <c r="E201" i="9"/>
  <c r="E202" i="9"/>
  <c r="E203" i="9"/>
  <c r="E204" i="9"/>
  <c r="E205" i="9"/>
  <c r="E206" i="9"/>
  <c r="E207" i="9"/>
  <c r="E208" i="9"/>
  <c r="E209" i="9"/>
  <c r="E210" i="9"/>
  <c r="E211" i="9"/>
  <c r="E213" i="9"/>
  <c r="E214" i="9"/>
  <c r="E216" i="9"/>
  <c r="E217" i="9"/>
  <c r="E146" i="9"/>
  <c r="E145" i="9"/>
  <c r="E144" i="9"/>
  <c r="E143" i="9"/>
  <c r="E142" i="9"/>
  <c r="E141" i="9"/>
  <c r="E140" i="9"/>
  <c r="E139" i="9"/>
  <c r="E138" i="9"/>
  <c r="E137" i="9"/>
  <c r="E136" i="9"/>
  <c r="E135" i="9"/>
  <c r="E134" i="9"/>
  <c r="E133" i="9"/>
  <c r="E132" i="9"/>
  <c r="E131" i="9"/>
  <c r="E130" i="9"/>
  <c r="E129" i="9"/>
  <c r="E128" i="9"/>
  <c r="E127" i="9"/>
  <c r="E126" i="9"/>
  <c r="E125" i="9"/>
  <c r="E124" i="9"/>
  <c r="E123" i="9"/>
  <c r="E122" i="9"/>
  <c r="E121" i="9"/>
  <c r="E120" i="9"/>
  <c r="E119" i="9"/>
  <c r="E118" i="9"/>
  <c r="E117" i="9"/>
  <c r="E116" i="9"/>
  <c r="E115" i="9"/>
  <c r="E114" i="9"/>
  <c r="E113" i="9"/>
  <c r="E112" i="9"/>
  <c r="E111" i="9"/>
  <c r="E110" i="9"/>
  <c r="E109" i="9"/>
  <c r="E108" i="9"/>
  <c r="E107" i="9"/>
  <c r="E106" i="9"/>
  <c r="E105" i="9"/>
  <c r="E104" i="9"/>
  <c r="E103" i="9"/>
  <c r="E102" i="9"/>
  <c r="E101" i="9"/>
  <c r="E100" i="9"/>
  <c r="E99" i="9"/>
  <c r="E98" i="9"/>
  <c r="E97" i="9"/>
  <c r="E96" i="9"/>
  <c r="E95" i="9"/>
  <c r="E94" i="9"/>
  <c r="E93" i="9"/>
  <c r="E92" i="9"/>
  <c r="E91" i="9"/>
  <c r="E90" i="9"/>
  <c r="E89" i="9"/>
  <c r="E88" i="9"/>
  <c r="E87" i="9"/>
  <c r="E86" i="9"/>
  <c r="E85" i="9"/>
  <c r="E84" i="9"/>
  <c r="E83" i="9"/>
  <c r="E82" i="9"/>
  <c r="E81" i="9"/>
  <c r="E80" i="9"/>
  <c r="E79" i="9"/>
  <c r="E78" i="9"/>
  <c r="E77" i="9"/>
  <c r="E76" i="9"/>
  <c r="E75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70" i="9"/>
  <c r="E71" i="9"/>
  <c r="E72" i="9"/>
  <c r="E73" i="9"/>
  <c r="E74" i="9"/>
  <c r="E3" i="9"/>
  <c r="F84" i="1" l="1"/>
  <c r="F76" i="1"/>
  <c r="F68" i="1"/>
  <c r="F60" i="1"/>
  <c r="F83" i="1"/>
  <c r="F75" i="1"/>
  <c r="F67" i="1"/>
  <c r="F59" i="1"/>
  <c r="F52" i="1"/>
  <c r="F45" i="1"/>
  <c r="F39" i="1"/>
  <c r="F33" i="1"/>
  <c r="F27" i="1"/>
  <c r="F21" i="1"/>
  <c r="F15" i="1"/>
  <c r="F9" i="1"/>
  <c r="F82" i="1"/>
  <c r="F74" i="1"/>
  <c r="F66" i="1"/>
  <c r="F58" i="1"/>
  <c r="F51" i="1"/>
  <c r="F44" i="1"/>
  <c r="F38" i="1"/>
  <c r="F32" i="1"/>
  <c r="F26" i="1"/>
  <c r="F20" i="1"/>
  <c r="F14" i="1"/>
  <c r="F8" i="1"/>
  <c r="F7" i="1"/>
  <c r="F81" i="1"/>
  <c r="F73" i="1"/>
  <c r="F65" i="1"/>
  <c r="F57" i="1"/>
  <c r="F50" i="1"/>
  <c r="F79" i="1"/>
  <c r="F71" i="1"/>
  <c r="F63" i="1"/>
  <c r="F55" i="1"/>
  <c r="F48" i="1"/>
  <c r="F42" i="1"/>
  <c r="F36" i="1"/>
  <c r="F30" i="1"/>
  <c r="F24" i="1"/>
  <c r="F18" i="1"/>
  <c r="F12" i="1"/>
  <c r="F5" i="1"/>
  <c r="F78" i="1"/>
  <c r="F70" i="1"/>
  <c r="F62" i="1"/>
  <c r="F54" i="1"/>
  <c r="F47" i="1"/>
  <c r="F41" i="1"/>
  <c r="F35" i="1"/>
  <c r="F29" i="1"/>
  <c r="F23" i="1"/>
  <c r="F17" i="1"/>
  <c r="F11" i="1"/>
  <c r="F4" i="1"/>
  <c r="F80" i="1"/>
  <c r="F72" i="1"/>
  <c r="F64" i="1"/>
  <c r="F56" i="1"/>
  <c r="F49" i="1"/>
  <c r="F43" i="1"/>
  <c r="F37" i="1"/>
  <c r="F31" i="1"/>
  <c r="F25" i="1"/>
  <c r="F19" i="1"/>
  <c r="F6" i="1"/>
  <c r="F13" i="1"/>
  <c r="F77" i="1" l="1"/>
  <c r="F69" i="1"/>
  <c r="F61" i="1"/>
  <c r="F53" i="1"/>
  <c r="F46" i="1"/>
  <c r="F40" i="1"/>
  <c r="F34" i="1"/>
  <c r="F28" i="1"/>
  <c r="F22" i="1"/>
  <c r="F16" i="1"/>
  <c r="F10" i="1"/>
  <c r="F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tc={083271A4-89F4-414C-84D4-2C4EF91A5C5F}</author>
    <author>tc={2DDDBFCB-1E68-4ABC-81B5-5B036ACB3324}</author>
    <author>tc={6E7C08E6-5D76-4969-A171-DEE6F01F49C1}</author>
    <author>tc={C58B08D1-11D2-49F0-A3C5-F46A31D582D3}</author>
    <author>tc={A6CD4213-8DCC-4FF4-B2FE-F0CD8DAD52B3}</author>
    <author>tc={5184ACDB-C3EA-43DF-A9B0-54F301F5D328}</author>
    <author>tc={5C79A50A-6CA6-4FAD-B7AD-35A7960ADA78}</author>
    <author>tc={096ED3A6-0197-4417-AD4E-4B979E449188}</author>
    <author>tc={9E37A8A7-F5FB-4BDA-9A29-102AE20B2F6E}</author>
    <author>tc={36583D45-0845-4E51-AEEE-31C6ACE47E0A}</author>
    <author>tc={F4788B82-0E8F-4A63-9DEE-3B0C49851892}</author>
    <author>tc={A890F83A-3B06-4FCD-8F0F-EEB7EA8E3CFD}</author>
    <author>tc={7C648299-01A3-4BF1-9B08-BD170ACB731D}</author>
    <author>tc={E235E2BB-8B78-486C-A2C8-427969CBF4F0}</author>
    <author>tc={0064521A-A218-4E7A-821C-623F48127ED9}</author>
    <author>tc={9CA21393-6CF2-40BE-95D2-5FD506BEFDFB}</author>
    <author>tc={45AC556E-07CD-456F-880B-A6DE2861C0CB}</author>
    <author>tc={6B2ACA3D-2442-4A0B-B765-5FD2A6C3952B}</author>
    <author>tc={E4C18A2C-00E5-485E-8104-7257783212E8}</author>
    <author>tc={843C27DB-3206-4021-B75B-D7BA8790E76E}</author>
    <author>tc={1BDB8DFB-3646-47F4-B843-716B846C93F6}</author>
    <author>tc={1FFE3C12-E36E-4EC0-BCC2-B90A6BA3F4EF}</author>
    <author>tc={F51B60B8-4841-4D9D-B773-414A41BEF327}</author>
    <author>tc={EF113D9F-E799-4D16-B7A1-4E5CC9F9667E}</author>
    <author>tc={0D043C24-F922-4282-9D7B-63C2ABAB1437}</author>
    <author>tc={D4D1A036-CFC0-4AF9-8765-0FECBA5A89ED}</author>
    <author>tc={F37BDD5E-3628-449E-B55F-ADABCA8A1260}</author>
    <author>tc={D8F778D5-1BE5-4E7B-BE40-C57561AF928B}</author>
    <author>tc={8970EFBA-FA9F-42AC-9246-D4DF4EBC9082}</author>
    <author>tc={FB6DFC06-F2F0-451E-909C-B057DBE0D5D3}</author>
    <author>tc={CD82F0C7-F379-4163-8D0F-71BDE2E9B121}</author>
    <author>tc={EC058EBE-ACB1-4F84-9CE5-B2E734F122D9}</author>
    <author>tc={86B58454-9F4E-4D12-8B2A-EE9C99691F10}</author>
    <author>tc={2A871019-160B-4817-8335-58FE867EDC62}</author>
    <author>tc={7D374344-6C6F-4A59-8D3C-C641808E88F9}</author>
    <author>tc={C813E1F4-3FC6-4B21-8780-F86C2756E620}</author>
    <author>tc={3D991576-238C-4AE4-91AA-3814BEE1E353}</author>
    <author>tc={C6090B44-3CA3-47C9-A7CC-DAE599F4613E}</author>
    <author>tc={D73E5D7E-0476-4969-B3A9-D6FD1CB5E9C2}</author>
    <author>tc={EA3178D9-40E1-4084-8A0D-1AA90F0C98A0}</author>
  </authors>
  <commentList>
    <comment ref="E50" authorId="0" shapeId="0" xr:uid="{083271A4-89F4-414C-84D4-2C4EF91A5C5F}">
      <text>
        <r>
          <rPr>
            <sz val="11"/>
            <color theme="1"/>
            <rFont val="Calibri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INGRESO A LABORAR </t>
        </r>
      </text>
    </comment>
    <comment ref="E60" authorId="1" shapeId="0" xr:uid="{2DDDBFCB-1E68-4ABC-81B5-5B036ACB3324}">
      <text>
        <r>
          <rPr>
            <sz val="11"/>
            <color theme="1"/>
            <rFont val="Calibri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Apenas ingresa a laboral </t>
        </r>
      </text>
    </comment>
    <comment ref="E87" authorId="2" shapeId="0" xr:uid="{6E7C08E6-5D76-4969-A171-DEE6F01F49C1}">
      <text>
        <r>
          <rPr>
            <sz val="11"/>
            <color theme="1"/>
            <rFont val="Calibri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ingreso de vacaciones a mitad de mes! </t>
        </r>
      </text>
    </comment>
    <comment ref="E110" authorId="3" shapeId="0" xr:uid="{C58B08D1-11D2-49F0-A3C5-F46A31D582D3}">
      <text>
        <r>
          <rPr>
            <sz val="11"/>
            <color theme="1"/>
            <rFont val="Calibri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INICIA EN ESTE MES , EN COLORES
</t>
        </r>
      </text>
    </comment>
    <comment ref="E114" authorId="4" shapeId="0" xr:uid="{A6CD4213-8DCC-4FF4-B2FE-F0CD8DAD52B3}">
      <text>
        <r>
          <rPr>
            <sz val="11"/>
            <color theme="1"/>
            <rFont val="Calibri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ASESORA NUEVA. 
</t>
        </r>
      </text>
    </comment>
    <comment ref="E116" authorId="5" shapeId="0" xr:uid="{5184ACDB-C3EA-43DF-A9B0-54F301F5D328}">
      <text>
        <r>
          <rPr>
            <sz val="11"/>
            <color theme="1"/>
            <rFont val="Calibri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ESTUVO ADRIANA COMO ADMON 
</t>
        </r>
      </text>
    </comment>
    <comment ref="E121" authorId="6" shapeId="0" xr:uid="{5C79A50A-6CA6-4FAD-B7AD-35A7960ADA78}">
      <text>
        <r>
          <rPr>
            <sz val="11"/>
            <color theme="1"/>
            <rFont val="Calibri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INGRESA DE VACACIONES 
</t>
        </r>
      </text>
    </comment>
    <comment ref="E122" authorId="7" shapeId="0" xr:uid="{096ED3A6-0197-4417-AD4E-4B979E449188}">
      <text>
        <r>
          <rPr>
            <sz val="11"/>
            <color theme="1"/>
            <rFont val="Calibri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HIZO APOYO TODO EL MES COMO ADMON
</t>
        </r>
      </text>
    </comment>
    <comment ref="E132" authorId="8" shapeId="0" xr:uid="{9E37A8A7-F5FB-4BDA-9A29-102AE20B2F6E}">
      <text>
        <r>
          <rPr>
            <sz val="11"/>
            <color theme="1"/>
            <rFont val="Calibri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 Mitad de mes, inicia labores en el departamento de ventas.
</t>
        </r>
      </text>
    </comment>
    <comment ref="E133" authorId="9" shapeId="0" xr:uid="{36583D45-0845-4E51-AEEE-31C6ACE47E0A}">
      <text>
        <r>
          <rPr>
            <sz val="11"/>
            <color theme="1"/>
            <rFont val="Calibri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PASA DE INENTARIOS, ASESORA EXTERNA
</t>
        </r>
      </text>
    </comment>
    <comment ref="E134" authorId="10" shapeId="0" xr:uid="{F4788B82-0E8F-4A63-9DEE-3B0C49851892}">
      <text>
        <r>
          <rPr>
            <sz val="11"/>
            <color theme="1"/>
            <rFont val="Calibri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INGRESA DE NUEVO A LA EMPRESA COMO ASESOR EXTERNOS DE COLORES ANTES ERA INVENTARISTA
</t>
        </r>
      </text>
    </comment>
    <comment ref="E170" authorId="11" shapeId="0" xr:uid="{A890F83A-3B06-4FCD-8F0F-EEB7EA8E3CFD}">
      <text>
        <r>
          <rPr>
            <sz val="11"/>
            <color theme="1"/>
            <rFont val="Calibri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ESTUVO EN VACACIONES 
</t>
        </r>
      </text>
    </comment>
    <comment ref="E218" authorId="12" shapeId="0" xr:uid="{7C648299-01A3-4BF1-9B08-BD170ACB731D}">
      <text>
        <r>
          <rPr>
            <sz val="11"/>
            <color theme="1"/>
            <rFont val="Calibri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cumple meta se le envia primer Comunicado.
Respuesta:
    Se traslada para la sede de Laureles
</t>
        </r>
      </text>
    </comment>
    <comment ref="E219" authorId="13" shapeId="0" xr:uid="{E235E2BB-8B78-486C-A2C8-427969CBF4F0}">
      <text>
        <r>
          <rPr>
            <sz val="11"/>
            <color theme="1"/>
            <rFont val="Calibri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cumple meta, se le envia primer comunicado.
</t>
        </r>
      </text>
    </comment>
    <comment ref="E223" authorId="14" shapeId="0" xr:uid="{0064521A-A218-4E7A-821C-623F48127ED9}">
      <text>
        <r>
          <rPr>
            <sz val="11"/>
            <color theme="1"/>
            <rFont val="Calibri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hasta este mes estuvo adriana como admon 
</t>
        </r>
      </text>
    </comment>
    <comment ref="E237" authorId="15" shapeId="0" xr:uid="{9CA21393-6CF2-40BE-95D2-5FD506BEFDFB}">
      <text>
        <r>
          <rPr>
            <sz val="11"/>
            <color theme="1"/>
            <rFont val="Calibri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LICENCIA DE MATERNIDAD
</t>
        </r>
      </text>
    </comment>
    <comment ref="E244" authorId="16" shapeId="0" xr:uid="{45AC556E-07CD-456F-880B-A6DE2861C0CB}">
      <text>
        <r>
          <rPr>
            <sz val="11"/>
            <color theme="1"/>
            <rFont val="Calibri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COVID 19 
</t>
        </r>
      </text>
    </comment>
    <comment ref="E254" authorId="17" shapeId="0" xr:uid="{6B2ACA3D-2442-4A0B-B765-5FD2A6C3952B}">
      <text>
        <r>
          <rPr>
            <sz val="11"/>
            <color theme="1"/>
            <rFont val="Calibri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PAGA 105,000 A CADA UNA DE LAS INTERNAR. 
</t>
        </r>
      </text>
    </comment>
    <comment ref="E269" authorId="18" shapeId="0" xr:uid="{E4C18A2C-00E5-485E-8104-7257783212E8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realiza cambio para la sede de ENVIGADO</t>
        </r>
      </text>
    </comment>
    <comment ref="E341" authorId="19" shapeId="0" xr:uid="{843C27DB-3206-4021-B75B-D7BA8790E76E}">
      <text>
        <r>
          <rPr>
            <sz val="11"/>
            <color theme="1"/>
            <rFont val="Calibri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le suma colores y calasanz </t>
        </r>
      </text>
    </comment>
    <comment ref="E350" authorId="20" shapeId="0" xr:uid="{1BDB8DFB-3646-47F4-B843-716B846C93F6}">
      <text>
        <r>
          <rPr>
            <sz val="11"/>
            <color theme="1"/>
            <rFont val="Calibri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suma de calasanz y colores. </t>
        </r>
      </text>
    </comment>
    <comment ref="E356" authorId="21" shapeId="0" xr:uid="{1FFE3C12-E36E-4EC0-BCC2-B90A6BA3F4EF}">
      <text>
        <r>
          <rPr>
            <sz val="11"/>
            <color theme="1"/>
            <rFont val="Calibri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INGRESO A LA SEDE
</t>
        </r>
      </text>
    </comment>
    <comment ref="E360" authorId="22" shapeId="0" xr:uid="{F51B60B8-4841-4D9D-B773-414A41BEF327}">
      <text>
        <r>
          <rPr>
            <sz val="11"/>
            <color theme="1"/>
            <rFont val="Calibri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NUEVA </t>
        </r>
      </text>
    </comment>
    <comment ref="E380" authorId="23" shapeId="0" xr:uid="{EF113D9F-E799-4D16-B7A1-4E5CC9F9667E}">
      <text>
        <r>
          <rPr>
            <sz val="11"/>
            <color theme="1"/>
            <rFont val="Calibri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INICIA COMO EXTERNA ERA INVENTARISTA </t>
        </r>
      </text>
    </comment>
    <comment ref="E381" authorId="24" shapeId="0" xr:uid="{0D043C24-F922-4282-9D7B-63C2ABAB1437}">
      <text>
        <r>
          <rPr>
            <sz val="11"/>
            <color theme="1"/>
            <rFont val="Calibri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INICIA APOYO EN COLORES
</t>
        </r>
      </text>
    </comment>
    <comment ref="E426" authorId="25" shapeId="0" xr:uid="{D4D1A036-CFC0-4AF9-8765-0FECBA5A89ED}">
      <text>
        <r>
          <rPr>
            <sz val="11"/>
            <color theme="1"/>
            <rFont val="Calibri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INICIA LABORES
COMO INTERNA
</t>
        </r>
      </text>
    </comment>
    <comment ref="E437" authorId="26" shapeId="0" xr:uid="{F37BDD5E-3628-449E-B55F-ADABCA8A1260}">
      <text>
        <r>
          <rPr>
            <sz val="11"/>
            <color theme="1"/>
            <rFont val="Calibri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INGRESO A LABORAR 
</t>
        </r>
      </text>
    </comment>
    <comment ref="E438" authorId="27" shapeId="0" xr:uid="{D8F778D5-1BE5-4E7B-BE40-C57561AF928B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pasa como segunda de colores</t>
        </r>
      </text>
    </comment>
    <comment ref="E454" authorId="28" shapeId="0" xr:uid="{8970EFBA-FA9F-42AC-9246-D4DF4EBC9082}">
      <text>
        <r>
          <rPr>
            <sz val="11"/>
            <color theme="1"/>
            <rFont val="Calibri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con negocios del poblado NO incluidos 16.750.000
</t>
        </r>
      </text>
    </comment>
    <comment ref="E458" authorId="29" shapeId="0" xr:uid="{FB6DFC06-F2F0-451E-909C-B057DBE0D5D3}">
      <text>
        <r>
          <rPr>
            <sz val="11"/>
            <color theme="1"/>
            <rFont val="Calibri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RENUNCIA 
</t>
        </r>
      </text>
    </comment>
    <comment ref="E460" authorId="30" shapeId="0" xr:uid="{CD82F0C7-F379-4163-8D0F-71BDE2E9B121}">
      <text>
        <r>
          <rPr>
            <sz val="11"/>
            <color theme="1"/>
            <rFont val="Calibri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ADRIANA COMO ADMON </t>
        </r>
      </text>
    </comment>
    <comment ref="E489" authorId="31" shapeId="0" xr:uid="{EC058EBE-ACB1-4F84-9CE5-B2E734F122D9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INCAPACITADO PERO ESTUVO EN POBLADO</t>
        </r>
      </text>
    </comment>
    <comment ref="E497" authorId="32" shapeId="0" xr:uid="{86B58454-9F4E-4D12-8B2A-EE9C99691F10}">
      <text>
        <r>
          <rPr>
            <sz val="11"/>
            <color theme="1"/>
            <rFont val="Calibri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INCAPACITADO </t>
        </r>
      </text>
    </comment>
    <comment ref="E509" authorId="33" shapeId="0" xr:uid="{2A871019-160B-4817-8335-58FE867EDC62}">
      <text>
        <r>
          <rPr>
            <sz val="11"/>
            <color theme="1"/>
            <rFont val="Calibri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INCAPACITADO </t>
        </r>
      </text>
    </comment>
    <comment ref="E528" authorId="34" shapeId="0" xr:uid="{7D374344-6C6F-4A59-8D3C-C641808E88F9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INCIA COMO INTERNA</t>
        </r>
      </text>
    </comment>
    <comment ref="E533" authorId="35" shapeId="0" xr:uid="{C813E1F4-3FC6-4B21-8780-F86C2756E620}">
      <text>
        <r>
          <rPr>
            <sz val="11"/>
            <color theme="1"/>
            <rFont val="Calibri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cumple periodo de prueba </t>
        </r>
      </text>
    </comment>
    <comment ref="E545" authorId="36" shapeId="0" xr:uid="{3D991576-238C-4AE4-91AA-3814BEE1E353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PASA PARA SERVICIOS P</t>
        </r>
      </text>
    </comment>
    <comment ref="E551" authorId="37" shapeId="0" xr:uid="{C6090B44-3CA3-47C9-A7CC-DAE599F4613E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INGRESA Y SALE EN PERIODO DE PRUEBA</t>
        </r>
      </text>
    </comment>
    <comment ref="E555" authorId="38" shapeId="0" xr:uid="{D73E5D7E-0476-4969-B3A9-D6FD1CB5E9C2}">
      <text>
        <r>
          <rPr>
            <sz val="11"/>
            <color theme="1"/>
            <rFont val="Calibri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INGRESA NUEVA </t>
        </r>
      </text>
    </comment>
    <comment ref="E556" authorId="39" shapeId="0" xr:uid="{EA3178D9-40E1-4084-8A0D-1AA90F0C98A0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NUEVA EN LA SEDE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tc={75F4BE75-0A2D-4508-B043-EE041467207E}</author>
    <author>tc={B8B87F05-E092-4275-AB8B-FDA0FF0C31E8}</author>
    <author>tc={C9597454-37EB-4A28-ACB7-8E62242393FD}</author>
  </authors>
  <commentList>
    <comment ref="D30" authorId="0" shapeId="0" xr:uid="{75F4BE75-0A2D-4508-B043-EE041467207E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INICIA EN ESTA SEDE Y TERMINA PROCESO YA QUE SE VA A REALIZAR PRACTICAS</t>
        </r>
      </text>
    </comment>
    <comment ref="D31" authorId="1" shapeId="0" xr:uid="{B8B87F05-E092-4275-AB8B-FDA0FF0C31E8}">
      <text>
        <r>
          <rPr>
            <sz val="11"/>
            <color theme="1"/>
            <rFont val="Calibri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INICIA PROCESO DE APRENDIZAJE </t>
        </r>
      </text>
    </comment>
    <comment ref="D37" authorId="2" shapeId="0" xr:uid="{C9597454-37EB-4A28-ACB7-8E62242393FD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9,800,000 se cambia de sede y en total realiza 20,610,000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tc={7F4AF1E3-297F-4CCF-8623-E4C607D9676D}</author>
    <author>tc={60B234C2-F102-4A1F-94C2-8E8010811EEE}</author>
    <author>tc={ED1D3FC6-B984-4A2C-8BC4-CDD454A9ECE0}</author>
    <author>tc={5F136D5F-6061-461E-BA7C-58587E434CC0}</author>
    <author>tc={A789707E-0529-4579-99E2-0CE585ACD615}</author>
    <author>tc={C27F174A-F243-46B3-B560-CD9F46A3AA26}</author>
    <author>tc={DF1933CD-645A-4F23-B871-D5E82207BC94}</author>
    <author>tc={B0E48BFA-4867-4684-8026-858D6DE343B5}</author>
    <author>tc={2088A3F9-C329-4EB4-8EBB-0E280B09865D}</author>
    <author>tc={8D12C700-E3E6-4B29-A62E-AF671C729433}</author>
    <author>tc={719EF819-6222-48D2-A919-22D9341765E9}</author>
    <author>tc={DFA842FA-D27B-4EA4-BC46-93D519783C1D}</author>
    <author>tc={269DF0DF-97BB-420B-8CE6-EF491EFD4A9B}</author>
    <author>tc={3FD539A3-09E6-49A4-816D-D307DF82B18E}</author>
    <author>tc={33609ABA-34E2-4B08-93CA-48ECECFD2A62}</author>
    <author>tc={A9C9E38B-CD43-4677-9956-5AFDA39BE50D}</author>
    <author>tc={007CE478-5183-4CA3-B1D4-E3AA51111A28}</author>
    <author>tc={9E6E48C7-C1B3-43DB-9A84-E91DAA404F3D}</author>
    <author>tc={78FF2652-0CAC-4881-8017-F149227CD7EE}</author>
    <author>tc={DFC12FE2-C6E3-4D40-91B8-C0E8F50C0ADD}</author>
    <author>tc={3463C3E5-1ACC-4ED0-9BBC-C63B132730C1}</author>
    <author>tc={807C7277-4E59-4C93-BD18-188FF68E83DC}</author>
    <author>tc={74F27BE7-BB74-4441-8EED-8EE7BA941EF8}</author>
    <author>Diana Gisela Rojas</author>
    <author>tc={FAF3A71D-8745-4D29-AB9A-9C4E8495F204}</author>
    <author>tc={36CD63D8-7D39-4239-B8DD-AC2370459E2D}</author>
    <author>tc={7586DE42-414C-4895-B308-8A8E70CE348C}</author>
    <author>tc={87AE409F-9ED1-4469-BADD-BA0F4D4A86A1}</author>
    <author>tc={B54FF600-51E1-412B-85C1-2C196B585C2D}</author>
    <author>tc={1FDA6842-5BCC-40B8-948C-E27D2343B04F}</author>
    <author>tc={8B2254BC-A983-4943-B619-9E9E3B6D30CF}</author>
    <author>tc={F1711ADC-55F8-49F9-9854-01F2879BCBFF}</author>
    <author>tc={B5961B5D-0378-4B34-9042-D0E8D35B183F}</author>
    <author>tc={E23FA5FD-064C-4A87-ACDB-E26D01E4EAAC}</author>
    <author>tc={ACE9DFE6-1085-4B60-9312-201C08F49B95}</author>
    <author>tc={7C691906-38A9-426A-A64B-7BA84B2FEDE9}</author>
    <author>tc={80756D9F-B352-4331-812C-869BCF3A3D90}</author>
    <author>tc={C13FB682-F81F-47A4-84C7-3180B32B6E30}</author>
    <author>tc={F95997AB-E614-4BCB-A77F-DD796FD61112}</author>
    <author>tc={5D998C41-2655-419E-A4FE-C9BE95692860}</author>
    <author>tc={03ECCF92-4D00-4D28-9D14-37A157B3B13B}</author>
    <author>tc={F35D865F-721F-4404-8042-41284B1CDEA0}</author>
    <author>tc={0FB81139-1C35-46B9-B101-A9ED7160FF8E}</author>
    <author>tc={45BA9D7E-4FB7-4FC7-A010-2CF61FE0B79B}</author>
    <author>tc={BE7552C8-5098-4973-A56A-7B7C2CBAA787}</author>
    <author>tc={6F1167EE-111D-4833-B284-4863E2DC14E5}</author>
  </authors>
  <commentList>
    <comment ref="D51" authorId="0" shapeId="0" xr:uid="{7F4AF1E3-297F-4CCF-8623-E4C607D9676D}">
      <text>
        <r>
          <rPr>
            <sz val="11"/>
            <color theme="1"/>
            <rFont val="Calibri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la admon estaba en vacaciones, ademas hace falta el apoyo de otra asesora interna! </t>
        </r>
      </text>
    </comment>
    <comment ref="D52" authorId="1" shapeId="0" xr:uid="{60B234C2-F102-4A1F-94C2-8E8010811EEE}">
      <text>
        <r>
          <rPr>
            <sz val="11"/>
            <color theme="1"/>
            <rFont val="Calibri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Ingreso de vacaciones </t>
        </r>
      </text>
    </comment>
    <comment ref="D74" authorId="2" shapeId="0" xr:uid="{ED1D3FC6-B984-4A2C-8BC4-CDD454A9ECE0}">
      <text>
        <r>
          <rPr>
            <sz val="11"/>
            <color theme="1"/>
            <rFont val="Calibri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inicia mes en LAURELES, estaba en ENVIGADO
</t>
        </r>
      </text>
    </comment>
    <comment ref="D80" authorId="3" shapeId="0" xr:uid="{5F136D5F-6061-461E-BA7C-58587E434CC0}">
      <text>
        <r>
          <rPr>
            <sz val="11"/>
            <color theme="1"/>
            <rFont val="Calibri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REALIZA APOYO EN LA SEDE DE COLORES EN LABORES DE INTERNA Y EVACUANDO TRABAJO CON ADRIANA
</t>
        </r>
      </text>
    </comment>
    <comment ref="D91" authorId="4" shapeId="0" xr:uid="{A789707E-0529-4579-99E2-0CE585ACD615}">
      <text>
        <r>
          <rPr>
            <sz val="11"/>
            <color theme="1"/>
            <rFont val="Calibri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Renuncia 
</t>
        </r>
      </text>
    </comment>
    <comment ref="D102" authorId="5" shapeId="0" xr:uid="{C27F174A-F243-46B3-B560-CD9F46A3AA26}">
      <text>
        <r>
          <rPr>
            <sz val="11"/>
            <color theme="1"/>
            <rFont val="Calibri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TRABAJA 8 DIAS POR QUE INGRESA DE VACACIONES
</t>
        </r>
      </text>
    </comment>
    <comment ref="D105" authorId="6" shapeId="0" xr:uid="{DF1933CD-645A-4F23-B871-D5E82207BC94}">
      <text>
        <r>
          <rPr>
            <sz val="11"/>
            <color theme="1"/>
            <rFont val="Calibri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CERRO 4,700,00 EN LAURELES Y HACIENDO APOYO EN POBLADO CERRO 9,100,000
</t>
        </r>
      </text>
    </comment>
    <comment ref="D107" authorId="7" shapeId="0" xr:uid="{B0E48BFA-4867-4684-8026-858D6DE343B5}">
      <text>
        <r>
          <rPr>
            <sz val="11"/>
            <color theme="1"/>
            <rFont val="Calibri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INICIA MES COMO ASESORA INTERNA, ESTABA EN CONTRATOS
</t>
        </r>
      </text>
    </comment>
    <comment ref="D152" authorId="8" shapeId="0" xr:uid="{2088A3F9-C329-4EB4-8EBB-0E280B09865D}">
      <text>
        <r>
          <rPr>
            <sz val="11"/>
            <color theme="1"/>
            <rFont val="Calibri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CUMPLE SE LE ENVIA COMUNICADO POR INCUMPLIMIENTO META.
</t>
        </r>
      </text>
    </comment>
    <comment ref="D154" authorId="9" shapeId="0" xr:uid="{8D12C700-E3E6-4B29-A62E-AF671C729433}">
      <text>
        <r>
          <rPr>
            <sz val="11"/>
            <color theme="1"/>
            <rFont val="Calibri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LE ENVIA COMUNICADO POR CAMBIO INCUMPLIMIENTO DE SEDE
</t>
        </r>
      </text>
    </comment>
    <comment ref="D159" authorId="10" shapeId="0" xr:uid="{719EF819-6222-48D2-A919-22D9341765E9}">
      <text>
        <r>
          <rPr>
            <sz val="11"/>
            <color theme="1"/>
            <rFont val="Calibri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CUMPLE SE LE ENVIA COMUNICADO POR INCUMPLIMIENTO META.
</t>
        </r>
      </text>
    </comment>
    <comment ref="D161" authorId="11" shapeId="0" xr:uid="{DFA842FA-D27B-4EA4-BC46-93D519783C1D}">
      <text>
        <r>
          <rPr>
            <sz val="11"/>
            <color theme="1"/>
            <rFont val="Calibri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LE ENVIA COMUNICADO POR CAMBIO INCUMPLIMIENTO DE SEDE
</t>
        </r>
      </text>
    </comment>
    <comment ref="D162" authorId="12" shapeId="0" xr:uid="{269DF0DF-97BB-420B-8CE6-EF491EFD4A9B}">
      <text>
        <r>
          <rPr>
            <sz val="11"/>
            <color theme="1"/>
            <rFont val="Calibri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COVID 19  EL 20 MARZO
</t>
        </r>
      </text>
    </comment>
    <comment ref="D176" authorId="13" shapeId="0" xr:uid="{3FD539A3-09E6-49A4-816D-D307DF82B18E}">
      <text>
        <r>
          <rPr>
            <sz val="11"/>
            <color theme="1"/>
            <rFont val="Calibri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LA SEDE NO REALIZO NINGUN NEGOCIO
</t>
        </r>
      </text>
    </comment>
    <comment ref="D188" authorId="14" shapeId="0" xr:uid="{33609ABA-34E2-4B08-93CA-48ECECFD2A62}">
      <text>
        <r>
          <rPr>
            <sz val="11"/>
            <color theme="1"/>
            <rFont val="Calibri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licencia de maternidad
</t>
        </r>
      </text>
    </comment>
    <comment ref="D208" authorId="15" shapeId="0" xr:uid="{A9C9E38B-CD43-4677-9956-5AFDA39BE50D}">
      <text>
        <r>
          <rPr>
            <sz val="11"/>
            <color theme="1"/>
            <rFont val="Calibri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PASO PARA HACER APOYO EN COLORES, SE LE SUMAN AMBAS METAS </t>
        </r>
      </text>
    </comment>
    <comment ref="D235" authorId="16" shapeId="0" xr:uid="{007CE478-5183-4CA3-B1D4-E3AA51111A28}">
      <text>
        <r>
          <rPr>
            <sz val="11"/>
            <color theme="1"/>
            <rFont val="Calibri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NUEVO
</t>
        </r>
      </text>
    </comment>
    <comment ref="D236" authorId="17" shapeId="0" xr:uid="{9E6E48C7-C1B3-43DB-9A84-E91DAA404F3D}">
      <text>
        <r>
          <rPr>
            <sz val="11"/>
            <color theme="1"/>
            <rFont val="Calibri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INICIA LABORES EN LAURELES TRASLADO DE SEDE 
</t>
        </r>
      </text>
    </comment>
    <comment ref="D273" authorId="18" shapeId="0" xr:uid="{78FF2652-0CAC-4881-8017-F149227CD7EE}">
      <text>
        <r>
          <rPr>
            <sz val="11"/>
            <color theme="1"/>
            <rFont val="Calibri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INICIA COMO INTERNO 
</t>
        </r>
      </text>
    </comment>
    <comment ref="D282" authorId="19" shapeId="0" xr:uid="{DFC12FE2-C6E3-4D40-91B8-C0E8F50C0ADD}">
      <text>
        <r>
          <rPr>
            <sz val="11"/>
            <color theme="1"/>
            <rFont val="Calibri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ADMINISTRADOR KAREN CASTRO </t>
        </r>
      </text>
    </comment>
    <comment ref="D290" authorId="20" shapeId="0" xr:uid="{3463C3E5-1ACC-4ED0-9BBC-C63B132730C1}">
      <text>
        <r>
          <rPr>
            <sz val="11"/>
            <color theme="1"/>
            <rFont val="Calibri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NUEVA INTERNA </t>
        </r>
      </text>
    </comment>
    <comment ref="D291" authorId="21" shapeId="0" xr:uid="{807C7277-4E59-4C93-BD18-188FF68E83DC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ADMINISTRADOR CATHERINE</t>
        </r>
      </text>
    </comment>
    <comment ref="D295" authorId="22" shapeId="0" xr:uid="{74F27BE7-BB74-4441-8EED-8EE7BA941EF8}">
      <text>
        <r>
          <rPr>
            <sz val="11"/>
            <color theme="1"/>
            <rFont val="Calibri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INGRESA COMO NUEVA EXTERNA </t>
        </r>
      </text>
    </comment>
    <comment ref="D320" authorId="23" shapeId="0" xr:uid="{5C5B6F3F-EB53-4C61-A272-80F9AF365229}">
      <text>
        <r>
          <rPr>
            <sz val="10"/>
            <color rgb="FF000000"/>
            <rFont val="Arial"/>
            <family val="2"/>
          </rPr>
          <t>Diana Gisela Rojas:
SEGUNDO MES COMO EXTENRO</t>
        </r>
      </text>
    </comment>
    <comment ref="D325" authorId="24" shapeId="0" xr:uid="{FAF3A71D-8745-4D29-AB9A-9C4E8495F204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INGRESA DE VACACIONES E INGRESA A VENTAS</t>
        </r>
      </text>
    </comment>
    <comment ref="D328" authorId="25" shapeId="0" xr:uid="{36CD63D8-7D39-4239-B8DD-AC2370459E2D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INGRESA COMO EXTERNO,ANTES DE CUMPLIR DOS MESES SALE</t>
        </r>
      </text>
    </comment>
    <comment ref="B339" authorId="26" shapeId="0" xr:uid="{7586DE42-414C-4895-B308-8A8E70CE348C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DESDE EL MES DE FEBRERO
Respuesta:
    LUEGO CATHERIENE Y EN JUNIO TOMA ESTEFANY EL LIDERAZGO</t>
        </r>
      </text>
    </comment>
    <comment ref="D343" authorId="27" shapeId="0" xr:uid="{87AE409F-9ED1-4469-BADD-BA0F4D4A86A1}">
      <text>
        <r>
          <rPr>
            <sz val="11"/>
            <color theme="1"/>
            <rFont val="Calibri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INGRESO A LABORAR
</t>
        </r>
      </text>
    </comment>
    <comment ref="D344" authorId="28" shapeId="0" xr:uid="{B54FF600-51E1-412B-85C1-2C196B585C2D}">
      <text>
        <r>
          <rPr>
            <sz val="11"/>
            <color theme="1"/>
            <rFont val="Calibri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PASA PARA LA SEDE D BELLO A MITAD DE MES
Respuesta:
    Y EN BELLO 12.820.000 TOTAL 26.370,000
</t>
        </r>
      </text>
    </comment>
    <comment ref="D346" authorId="29" shapeId="0" xr:uid="{1FDA6842-5BCC-40B8-948C-E27D2343B04F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PERIODO DE PRUBA (NUEVA)</t>
        </r>
      </text>
    </comment>
    <comment ref="D347" authorId="30" shapeId="0" xr:uid="{8B2254BC-A983-4943-B619-9E9E3B6D30CF}">
      <text>
        <r>
          <rPr>
            <sz val="11"/>
            <color theme="1"/>
            <rFont val="Calibri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ESTABA EN BELLO INICIA LABORES EN ESTA SEDE
</t>
        </r>
      </text>
    </comment>
    <comment ref="B348" authorId="31" shapeId="0" xr:uid="{F1711ADC-55F8-49F9-9854-01F2879BCBFF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DESDE EL MES DE FEBRERO
Respuesta:
    LUEGO CATHERIENE Y EN JUNIO TOMA ESTEFANY EL LIDERAZGO</t>
        </r>
      </text>
    </comment>
    <comment ref="D356" authorId="32" shapeId="0" xr:uid="{B5961B5D-0378-4B34-9042-D0E8D35B183F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RENUNCIA VOLUNTARIA</t>
        </r>
      </text>
    </comment>
    <comment ref="B357" authorId="33" shapeId="0" xr:uid="{E23FA5FD-064C-4A87-ACDB-E26D01E4EAAC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DESDE EL MES DE FEBRERO
Respuesta:
    LUEGO CATHERIENE Y EN JUNIO TOMA ESTEFANY EL LIDERAZGO</t>
        </r>
      </text>
    </comment>
    <comment ref="B364" authorId="34" shapeId="0" xr:uid="{ACE9DFE6-1085-4B60-9312-201C08F49B95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DESDE EL MES DE FEBRERO
Respuesta:
    LUEGO CATHERIENE Y EN JUNIO TOMA ESTEFANY EL LIDERAZGO</t>
        </r>
      </text>
    </comment>
    <comment ref="D368" authorId="35" shapeId="0" xr:uid="{7C691906-38A9-426A-A64B-7BA84B2FEDE9}">
      <text>
        <r>
          <rPr>
            <sz val="11"/>
            <color theme="1"/>
            <rFont val="Calibri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PASO A SER INVENTARISTA </t>
        </r>
      </text>
    </comment>
    <comment ref="D369" authorId="36" shapeId="0" xr:uid="{80756D9F-B352-4331-812C-869BCF3A3D90}">
      <text>
        <r>
          <rPr>
            <sz val="11"/>
            <color theme="1"/>
            <rFont val="Calibri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NUEVA EN LA EMPRESA </t>
        </r>
      </text>
    </comment>
    <comment ref="B373" authorId="37" shapeId="0" xr:uid="{C13FB682-F81F-47A4-84C7-3180B32B6E30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DESDE EL MES DE FEBRERO
Respuesta:
    LUEGO CATHERIENE Y EN JUNIO TOMA ESTEFANY EL LIDERAZGO</t>
        </r>
      </text>
    </comment>
    <comment ref="D379" authorId="38" shapeId="0" xr:uid="{F95997AB-E614-4BCB-A77F-DD796FD61112}">
      <text>
        <r>
          <rPr>
            <sz val="11"/>
            <color theme="1"/>
            <rFont val="Calibri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RENUNCIA VOLUNTARIA </t>
        </r>
      </text>
    </comment>
    <comment ref="D380" authorId="39" shapeId="0" xr:uid="{5D998C41-2655-419E-A4FE-C9BE95692860}">
      <text>
        <r>
          <rPr>
            <sz val="11"/>
            <color theme="1"/>
            <rFont val="Calibri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TERMINA PROCESO </t>
        </r>
      </text>
    </comment>
    <comment ref="B381" authorId="40" shapeId="0" xr:uid="{03ECCF92-4D00-4D28-9D14-37A157B3B13B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DESDE EL MES DE FEBRERO
Respuesta:
    LUEGO CATHERIENE Y EN JUNIO TOMA ESTEFANY EL LIDERAZGO</t>
        </r>
      </text>
    </comment>
    <comment ref="D387" authorId="41" shapeId="0" xr:uid="{F35D865F-721F-4404-8042-41284B1CDEA0}">
      <text>
        <r>
          <rPr>
            <sz val="11"/>
            <color theme="1"/>
            <rFont val="Calibri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INGRESA NUEVO </t>
        </r>
      </text>
    </comment>
    <comment ref="D388" authorId="42" shapeId="0" xr:uid="{0FB81139-1C35-46B9-B101-A9ED7160FF8E}">
      <text>
        <r>
          <rPr>
            <sz val="11"/>
            <color theme="1"/>
            <rFont val="Calibri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RENUNCIA </t>
        </r>
      </text>
    </comment>
    <comment ref="B389" authorId="43" shapeId="0" xr:uid="{F681F434-E2A9-4826-A9A0-F31D240E4CD0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DESDE EL MES DE FEBRERO
Reply:
    LUEGO CATHERIENE Y EN JUNIO TOMA ESTEFANY EL LIDERAZGO</t>
        </r>
      </text>
    </comment>
    <comment ref="B397" authorId="43" shapeId="0" xr:uid="{7D778EBE-88AE-4B2D-8AE9-D21756D1C126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DESDE EL MES DE FEBRERO
Reply:
    LUEGO CATHERIENE Y EN JUNIO TOMA ESTEFANY EL LIDERAZGO</t>
        </r>
      </text>
    </comment>
    <comment ref="D402" authorId="44" shapeId="0" xr:uid="{425067BE-C8AF-4877-B22A-A4823A3A5316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INICIA EN ARRIENDOS PERO SE PASA DE NUEVO PARA VENTAS</t>
        </r>
      </text>
    </comment>
    <comment ref="D406" authorId="45" shapeId="0" xr:uid="{FF1D56D0-95B9-44AC-B764-B4A1EFE80C71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 PASA DE VENTAS PARA ARRIENDOS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tc={29A9EDFF-4DCB-442B-A072-364CAB9B7B96}</author>
    <author>tc={F292CF45-B6B8-4A23-8245-84ABF9DA0943}</author>
    <author>tc={ACAB3908-E227-4059-88AB-0A215A2A6D9D}</author>
    <author>tc={ED407000-C376-4A91-A962-5F03D5498BA8}</author>
    <author>tc={B894030C-89D4-4267-8274-50245BF13912}</author>
    <author>tc={CBC26B69-73A0-4BDA-A572-30CA7DF51635}</author>
    <author>tc={820C6678-23A3-40AD-B95B-EEF91CEDFD7F}</author>
    <author>tc={D8DD130B-3602-4C57-8C22-30AEE2A25E8E}</author>
    <author>tc={1665B8BE-38A5-4639-AB88-584F92C50DD4}</author>
    <author>tc={0D796323-899C-4970-90B6-51FFB34EB58D}</author>
    <author>tc={D65BC3E3-99CF-4B4B-BD99-5B08B839CB89}</author>
    <author>tc={90A9F4D9-138D-4998-B09D-FA011DD44C06}</author>
    <author>tc={B1DDB672-9C78-4D9A-95AB-674858E2FFE3}</author>
    <author>tc={E36D074A-D3D7-439C-979B-B61A628DF36A}</author>
    <author>tc={3088ECFA-7D56-476B-9069-72525EF841C9}</author>
    <author>tc={39D8FAD1-0D35-41EE-B010-C3F73861D591}</author>
    <author>tc={A4858E62-C2AA-4B84-A471-5CF3ED06377B}</author>
    <author>tc={A6E978B4-24C0-41D8-AE87-0520213ABC01}</author>
    <author>tc={1702DCBB-D67C-41A0-95FA-33D277BBC8C4}</author>
    <author>tc={84F242EC-4500-4E6E-85DC-B2E46DC7FC4D}</author>
    <author>tc={0A520751-757A-4712-AC5D-CC2773DECE48}</author>
    <author>tc={32E4FECB-0710-44B3-A2E5-8E64937F6DBE}</author>
    <author>tc={F6E4D85C-48AC-47DD-97F2-76EB1F1B71DF}</author>
    <author>tc={33AB7994-E4EB-4596-9F65-7F636867D280}</author>
    <author>tc={3F6C6FD3-A50B-4CD0-8AEC-DBA745ABCC76}</author>
    <author>tc={7CF8BEB9-1FA7-46F2-B6E8-7AD9C74C464C}</author>
  </authors>
  <commentList>
    <comment ref="D20" authorId="0" shapeId="0" xr:uid="{29A9EDFF-4DCB-442B-A072-364CAB9B7B96}">
      <text>
        <r>
          <rPr>
            <sz val="11"/>
            <color theme="1"/>
            <rFont val="Calibri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EN ESTE MES INICIO EN POBLADO, EL ASESOR ERA DE OTRA SEDE
</t>
        </r>
      </text>
    </comment>
    <comment ref="D42" authorId="1" shapeId="0" xr:uid="{F292CF45-B6B8-4A23-8245-84ABF9DA0943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ESTUVO INCAPACITADA</t>
        </r>
      </text>
    </comment>
    <comment ref="D55" authorId="2" shapeId="0" xr:uid="{ACAB3908-E227-4059-88AB-0A215A2A6D9D}">
      <text>
        <r>
          <rPr>
            <sz val="11"/>
            <color theme="1"/>
            <rFont val="Calibri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asesor en vacaciones </t>
        </r>
      </text>
    </comment>
    <comment ref="D58" authorId="3" shapeId="0" xr:uid="{ED407000-C376-4A91-A962-5F03D5498BA8}">
      <text>
        <r>
          <rPr>
            <sz val="11"/>
            <color theme="1"/>
            <rFont val="Calibri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asesora  ingresa a laborar el 06 de enero </t>
        </r>
      </text>
    </comment>
    <comment ref="D65" authorId="4" shapeId="0" xr:uid="{B894030C-89D4-4267-8274-50245BF13912}">
      <text>
        <r>
          <rPr>
            <sz val="11"/>
            <color theme="1"/>
            <rFont val="Calibri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RECIEN CUMPLE PERIODO DE PRUEBA </t>
        </r>
      </text>
    </comment>
    <comment ref="D71" authorId="5" shapeId="0" xr:uid="{CBC26B69-73A0-4BDA-A572-30CA7DF51635}">
      <text>
        <r>
          <rPr>
            <sz val="11"/>
            <color theme="1"/>
            <rFont val="Calibri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pasa para sabaneta al inicio de marzo, deja este negocio en poblado.
</t>
        </r>
      </text>
    </comment>
    <comment ref="D74" authorId="6" shapeId="0" xr:uid="{820C6678-23A3-40AD-B95B-EEF91CEDFD7F}">
      <text>
        <r>
          <rPr>
            <sz val="11"/>
            <color theme="1"/>
            <rFont val="Calibri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ASESORA NUEVA. 
</t>
        </r>
      </text>
    </comment>
    <comment ref="D79" authorId="7" shapeId="0" xr:uid="{D8DD130B-3602-4C57-8C22-30AEE2A25E8E}">
      <text>
        <r>
          <rPr>
            <sz val="11"/>
            <color theme="1"/>
            <rFont val="Calibri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Renuncia
</t>
        </r>
      </text>
    </comment>
    <comment ref="D84" authorId="8" shapeId="0" xr:uid="{1665B8BE-38A5-4639-AB88-584F92C50DD4}">
      <text>
        <r>
          <rPr>
            <sz val="11"/>
            <color theme="1"/>
            <rFont val="Calibri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Cambian sus funciones de asesor de arrendamientos para asesor de Ventas 
</t>
        </r>
      </text>
    </comment>
    <comment ref="D113" authorId="9" shapeId="0" xr:uid="{0D796323-899C-4970-90B6-51FFB34EB58D}">
      <text>
        <r>
          <rPr>
            <sz val="11"/>
            <color theme="1"/>
            <rFont val="Calibri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realiza cambio para la sede de Envigado.
</t>
        </r>
      </text>
    </comment>
    <comment ref="D169" authorId="10" shapeId="0" xr:uid="{D65BC3E3-99CF-4B4B-BD99-5B08B839CB89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ESTA META LA REALIZO EN COLORES</t>
        </r>
      </text>
    </comment>
    <comment ref="D214" authorId="11" shapeId="0" xr:uid="{90A9F4D9-138D-4998-B09D-FA011DD44C06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INGRESA A LABORAR</t>
        </r>
      </text>
    </comment>
    <comment ref="D248" authorId="12" shapeId="0" xr:uid="{B1DDB672-9C78-4D9A-95AB-674858E2FFE3}">
      <text>
        <r>
          <rPr>
            <sz val="11"/>
            <color theme="1"/>
            <rFont val="Calibri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PASA PERIODO DE PRUEBA 
</t>
        </r>
      </text>
    </comment>
    <comment ref="D251" authorId="13" shapeId="0" xr:uid="{E36D074A-D3D7-439C-979B-B61A628DF36A}">
      <text>
        <r>
          <rPr>
            <sz val="11"/>
            <color theme="1"/>
            <rFont val="Calibri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PASA DE SEDE ESTABA EN COLORES 
</t>
        </r>
      </text>
    </comment>
    <comment ref="D258" authorId="14" shapeId="0" xr:uid="{3088ECFA-7D56-476B-9069-72525EF841C9}">
      <text>
        <r>
          <rPr>
            <sz val="11"/>
            <color theme="1"/>
            <rFont val="Calibri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TRASLADA DE SABANETA 
</t>
        </r>
      </text>
    </comment>
    <comment ref="B264" authorId="15" shapeId="0" xr:uid="{39D8FAD1-0D35-41EE-B010-C3F73861D591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DESDE EL MES DE FEBRERO</t>
        </r>
      </text>
    </comment>
    <comment ref="B271" authorId="16" shapeId="0" xr:uid="{A4858E62-C2AA-4B84-A471-5CF3ED06377B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DESDE EL MES DE FEBRERO</t>
        </r>
      </text>
    </comment>
    <comment ref="B279" authorId="17" shapeId="0" xr:uid="{A6E978B4-24C0-41D8-AE87-0520213ABC01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DESDE EL MES DE FEBRERO</t>
        </r>
      </text>
    </comment>
    <comment ref="B285" authorId="18" shapeId="0" xr:uid="{1702DCBB-D67C-41A0-95FA-33D277BBC8C4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DESDE EL MES DE FEBRERO</t>
        </r>
      </text>
    </comment>
    <comment ref="B291" authorId="19" shapeId="0" xr:uid="{84F242EC-4500-4E6E-85DC-B2E46DC7FC4D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DESDE EL MES DE FEBRERO</t>
        </r>
      </text>
    </comment>
    <comment ref="D291" authorId="20" shapeId="0" xr:uid="{0A520751-757A-4712-AC5D-CC2773DECE48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catherine como lider</t>
        </r>
      </text>
    </comment>
    <comment ref="B297" authorId="21" shapeId="0" xr:uid="{32E4FECB-0710-44B3-A2E5-8E64937F6DBE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DESDE EL MES DE FEBRERO</t>
        </r>
      </text>
    </comment>
    <comment ref="D303" authorId="22" shapeId="0" xr:uid="{F6E4D85C-48AC-47DD-97F2-76EB1F1B71DF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NUEVA EN LA EMPRESA</t>
        </r>
      </text>
    </comment>
    <comment ref="B304" authorId="23" shapeId="0" xr:uid="{33AB7994-E4EB-4596-9F65-7F636867D280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DESDE EL MES DE FEBRERO</t>
        </r>
      </text>
    </comment>
    <comment ref="B313" authorId="24" shapeId="0" xr:uid="{3E77640C-97FC-45EF-AC11-6E7A6DF821A8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DESDE EL MES DE FEBRERO</t>
        </r>
      </text>
    </comment>
    <comment ref="B322" authorId="24" shapeId="0" xr:uid="{D78386C6-21C6-44FE-8F5D-E42A7B9D27A4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DESDE EL MES DE FEBRERO</t>
        </r>
      </text>
    </comment>
    <comment ref="B329" authorId="24" shapeId="0" xr:uid="{EF64A3FF-CDC7-4F42-8F0C-93911AC437FD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DESDE EL MES DE FEBRERO</t>
        </r>
      </text>
    </comment>
    <comment ref="D332" authorId="25" shapeId="0" xr:uid="{3B00A321-E5F0-4FBB-B72D-4578A6B5D849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parte de la META se suma con la meta de bello por el cambio que se hizo(ya trabaja en Bello)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tc={5D35281E-D732-4849-B64D-FED80419136F}</author>
    <author>tc={35231E35-A891-4B56-A5D3-108BCF37600F}</author>
    <author>tc={D22743AE-1E61-4FF3-885D-74E0CC92E9F4}</author>
    <author>tc={C57AD510-7AA7-4E9A-B155-82F6944275B2}</author>
    <author>tc={63411BE3-AB1F-4CE8-BF58-636DF384624E}</author>
    <author>tc={6912641F-C4FE-442E-94B5-B672AD7419F9}</author>
    <author>tc={F7C2FFC0-C5E1-4226-A940-05AE063A821D}</author>
    <author>tc={2F0F0F16-3B97-403C-BD36-35248024566D}</author>
    <author>tc={E0CA6B77-56DF-407A-A38C-71FF65945006}</author>
    <author>tc={CB4F237B-8A61-429E-BEE2-AA38DD5C484B}</author>
    <author>tc={C624A2E7-CCFE-4E28-801E-165FBC8D2D65}</author>
    <author>tc={F6564C2A-092B-4ABE-A517-0C28A746F09C}</author>
    <author>tc={FB199AB7-BAF5-45B5-8987-06305C8A7A8B}</author>
    <author>tc={44583B51-C133-4299-985E-91C6B6AC4D37}</author>
    <author>tc={C8E2A7F0-A789-4E56-A452-57774F316B7F}</author>
    <author>tc={2F2AACEE-C392-4107-B50C-6932CBA9B3E0}</author>
    <author>tc={F8D03260-2945-4CBF-889D-F90887653B97}</author>
  </authors>
  <commentList>
    <comment ref="D17" authorId="0" shapeId="0" xr:uid="{EAD06019-E008-4BD8-809C-44FF50303BED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ESTUVO EN VACACIONES
</t>
        </r>
      </text>
    </comment>
    <comment ref="D36" authorId="1" shapeId="0" xr:uid="{6945FD87-B485-49EE-B4B3-AE8A19B9E152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INGRESA DE NUEVO A LA EMPRESA</t>
        </r>
      </text>
    </comment>
    <comment ref="D38" authorId="2" shapeId="0" xr:uid="{B3D528F8-0376-4436-A470-4A316D3D7655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INICIA COMO EXTERNA </t>
        </r>
      </text>
    </comment>
    <comment ref="B74" authorId="3" shapeId="0" xr:uid="{EECCB597-9265-4958-8451-3AE2B7F00A9B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por varias situaciones en la sede, asesor no da el mejor rendimiento, se realiza traslado  a la sede de sabaneta.
</t>
        </r>
      </text>
    </comment>
    <comment ref="B82" authorId="3" shapeId="0" xr:uid="{B7634011-3FBA-4631-8782-68FB8E73A340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por varias situaciones en la sede, asesor no da el mejor rendimiento, se realiza traslado  a la sede de sabaneta.
</t>
        </r>
      </text>
    </comment>
    <comment ref="B90" authorId="3" shapeId="0" xr:uid="{1166D020-51C6-4A78-83C6-BA9876213295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por varias situaciones en la sede, asesor no da el mejor rendimiento, se realiza traslado  a la sede de sabaneta.
</t>
        </r>
      </text>
    </comment>
    <comment ref="B98" authorId="3" shapeId="0" xr:uid="{AC46CAEC-96E2-4BDC-8D6C-0D31F2C18EE8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por varias situaciones en la sede, asesor no da el mejor rendimiento, se realiza traslado  a la sede de sabaneta.
</t>
        </r>
      </text>
    </comment>
    <comment ref="B106" authorId="3" shapeId="0" xr:uid="{69C4398F-03D9-4956-8A81-5C089790BD24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por varias situaciones en la sede, asesor no da el mejor rendimiento, se realiza traslado  a la sede de sabaneta.
</t>
        </r>
      </text>
    </comment>
    <comment ref="B115" authorId="3" shapeId="0" xr:uid="{5FBA680B-49B8-49D8-ABD3-BE2CC9006B1C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por varias situaciones en la sede, asesor no da el mejor rendimiento, se realiza traslado  a la sede de sabaneta.
</t>
        </r>
      </text>
    </comment>
    <comment ref="B122" authorId="3" shapeId="0" xr:uid="{54E787B0-22BE-4ECF-B8F1-D8A2DA2A710C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por varias situaciones en la sede, asesor no da el mejor rendimiento, se realiza traslado  a la sede de sabaneta.
</t>
        </r>
      </text>
    </comment>
    <comment ref="D123" authorId="4" shapeId="0" xr:uid="{1435FDC1-6B6A-4C0A-A84F-89138C7AEC21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ESTUVO EN VACACIONES
</t>
        </r>
      </text>
    </comment>
    <comment ref="B129" authorId="3" shapeId="0" xr:uid="{287B5E87-F8C5-4903-9659-8ACB9E211D3B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por varias situaciones en la sede, asesor no da el mejor rendimiento, se realiza traslado  a la sede de sabaneta.
</t>
        </r>
      </text>
    </comment>
    <comment ref="B135" authorId="3" shapeId="0" xr:uid="{7DD8A49F-CAB1-4CA2-A4A1-53E5056CAE92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por varias situaciones en la sede, asesor no da el mejor rendimiento, se realiza traslado  a la sede de sabaneta.
</t>
        </r>
      </text>
    </comment>
    <comment ref="D170" authorId="5" shapeId="0" xr:uid="{59473FE1-983F-4EBB-BE3F-D7913CE29EB5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Inicia el COVID 19 El 20 de marzo
</t>
        </r>
      </text>
    </comment>
    <comment ref="D224" authorId="6" shapeId="0" xr:uid="{C878D269-1715-49AE-8B20-BD7AAC475BA6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CAMBIO DE SEDE ULTIMA OPCION</t>
        </r>
      </text>
    </comment>
    <comment ref="D234" authorId="7" shapeId="0" xr:uid="{F0EF4A21-6411-4E11-AC71-27FB80FD2654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SE POSTULA COMO INTERNO</t>
        </r>
      </text>
    </comment>
    <comment ref="D235" authorId="8" shapeId="0" xr:uid="{F68C3C36-F411-498E-8056-A0030E63B6CF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LO DEMAS LO CIERRA VERONICA 
</t>
        </r>
      </text>
    </comment>
    <comment ref="D240" authorId="9" shapeId="0" xr:uid="{CFACCAB3-F9A0-4651-9E8F-446077CFCCB0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RENUNCIA
</t>
        </r>
      </text>
    </comment>
    <comment ref="D259" authorId="10" shapeId="0" xr:uid="{FE096C88-D816-43BB-9A29-457F0D45E1B3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INCIA LABORES EXTERNO</t>
        </r>
      </text>
    </comment>
    <comment ref="D271" authorId="11" shapeId="0" xr:uid="{1A10207A-68F8-4280-B90C-3245AFCFF6FB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SOLICITA SER INTERNA 
</t>
        </r>
      </text>
    </comment>
    <comment ref="D286" authorId="12" shapeId="0" xr:uid="{C68B18B3-8B69-4A20-93A2-35FBD1ED2817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MAS 1700,000 DE BRAYAN </t>
        </r>
      </text>
    </comment>
    <comment ref="B290" authorId="13" shapeId="0" xr:uid="{23338B67-0F7F-4508-A6AD-DB89B5B2BCA8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DESDE EL MES DE FEBRERO</t>
        </r>
      </text>
    </comment>
    <comment ref="B296" authorId="13" shapeId="0" xr:uid="{240CC5F3-F938-400B-94B9-DDBCC098B191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DESDE EL MES DE FEBRERO</t>
        </r>
      </text>
    </comment>
    <comment ref="D302" authorId="14" shapeId="0" xr:uid="{8D41AE4B-C4FD-49B2-9FE3-C9ED1EBA2D68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ingresa de Nuevo a la Empresa</t>
        </r>
      </text>
    </comment>
    <comment ref="B303" authorId="13" shapeId="0" xr:uid="{E81C4E8F-4A47-49E8-9D9B-D7DF23A343B2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DESDE EL MES DE FEBRERO</t>
        </r>
      </text>
    </comment>
    <comment ref="D307" authorId="15" shapeId="0" xr:uid="{1426A337-3A5A-4CF4-A2C6-ACA9E6FCE0DC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INICIA COMO EXTERNA ERA INVENTARISTA </t>
        </r>
      </text>
    </comment>
    <comment ref="B311" authorId="13" shapeId="0" xr:uid="{B606F2C5-9D27-4899-8FE5-93D9375910B8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DESDE EL MES DE FEBRERO</t>
        </r>
      </text>
    </comment>
    <comment ref="B319" authorId="13" shapeId="0" xr:uid="{1144029F-201A-445F-9472-1A76839E009E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DESDE EL MES DE FEBRERO</t>
        </r>
      </text>
    </comment>
    <comment ref="D321" authorId="16" shapeId="0" xr:uid="{6CACF092-4C54-4EA6-B3B6-76E86BD008D7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RENUNCIA VOLUNTARIA </t>
        </r>
      </text>
    </comment>
    <comment ref="B327" authorId="13" shapeId="0" xr:uid="{B9556A08-1D96-4768-872A-89685D238067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DESDE EL MES DE FEBRERO</t>
        </r>
      </text>
    </comment>
    <comment ref="B334" authorId="13" shapeId="0" xr:uid="{E5BFD811-B2E7-4E2B-B204-2CBFFEFF9427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DESDE EL MES DE FEBRERO</t>
        </r>
      </text>
    </comment>
    <comment ref="B341" authorId="13" shapeId="0" xr:uid="{FC585A7C-33C1-4F46-AE5E-EFD36AC3BC8D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DESDE EL MES DE FEBRERO</t>
        </r>
      </text>
    </comment>
    <comment ref="B349" authorId="13" shapeId="0" xr:uid="{439F448C-BDA6-4BE1-9F7F-03C7B1DDC153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DESDE EL MES DE FEBRERO</t>
        </r>
      </text>
    </comment>
    <comment ref="B356" authorId="13" shapeId="0" xr:uid="{285BC69C-0684-4205-B8FA-D0B5337C345A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DESDE EL MES DE FEBRERO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tc={ABC5EBDE-39F2-4C34-95A3-06166DC9B48B}</author>
    <author>tc={120D1E55-7290-474D-90E3-B471BD6FE4C6}</author>
    <author>tc={76E0B752-72F6-4CCE-83AD-4F0E19B8F3D1}</author>
    <author>tc={1533BD32-088C-447B-AD13-9FD542035E5D}</author>
    <author>tc={B17AB7BF-03A9-4D2E-8546-3FEEF8CBB77B}</author>
    <author>tc={10FFE1A6-B242-4178-B791-B2A9F563F560}</author>
    <author>tc={6FE915E8-979D-49D7-A023-DD30BB6F5098}</author>
    <author>tc={F5FBB20B-B6C8-4216-880C-D21619D5ABCE}</author>
    <author>tc={E1E4256C-C0E9-40E9-9B07-76CD5F952DD0}</author>
    <author>tc={E04027B0-8D4E-4875-ADCE-41FE664DC2D1}</author>
    <author>tc={1B3E7F4A-1954-4DCE-926B-B7854B689710}</author>
  </authors>
  <commentList>
    <comment ref="D16" authorId="0" shapeId="0" xr:uid="{7CF652D8-715D-4CEB-83B4-BF5A4BF9DE92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asesora nueva, en el departamento de arriendos, era captadora de Ventas.
</t>
        </r>
      </text>
    </comment>
    <comment ref="D30" authorId="1" shapeId="0" xr:uid="{2A228230-9D79-483B-A420-F5083A4A1EDB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 pasa para sabaneta al inicio de marzo, deja este negocio en poblado.
</t>
        </r>
      </text>
    </comment>
    <comment ref="D39" authorId="2" shapeId="0" xr:uid="{41F8498A-0BBC-470F-BC70-0EA7261A179D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comienza a laborar 
</t>
        </r>
      </text>
    </comment>
    <comment ref="D42" authorId="3" shapeId="0" xr:uid="{94435F00-0E1E-49AA-8F7F-E8D58D027C41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 realiza cambio de Sede para hacer apoyo en Sabaneta 
</t>
        </r>
      </text>
    </comment>
    <comment ref="D49" authorId="4" shapeId="0" xr:uid="{85DEAD39-B56A-43A1-82F2-9695B7BBD421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RENUNCIA 
</t>
        </r>
      </text>
    </comment>
    <comment ref="D60" authorId="5" shapeId="0" xr:uid="{9CF24F01-64BB-457A-AC70-EA11C45F9E40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Renuncio por que cumplio su ciclo
</t>
        </r>
      </text>
    </comment>
    <comment ref="D95" authorId="6" shapeId="0" xr:uid="{635F72F3-445B-48CC-81E7-D0A3799401E3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 le envia comunicado por incumplimiento meta 
</t>
        </r>
      </text>
    </comment>
    <comment ref="D96" authorId="7" shapeId="0" xr:uid="{47756B95-1257-4A0F-AA85-A24ED9461CC3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 le envia comunicado por incumplimiento de meta 
</t>
        </r>
      </text>
    </comment>
    <comment ref="D136" authorId="8" shapeId="0" xr:uid="{E99088D1-4D87-4747-AB22-E3AF15D6CE19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RENUCIA</t>
        </r>
      </text>
    </comment>
    <comment ref="D144" authorId="9" shapeId="0" xr:uid="{89DB0203-5A2F-422C-91F7-40518328BDEF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NUEVO</t>
        </r>
      </text>
    </comment>
    <comment ref="D164" authorId="10" shapeId="0" xr:uid="{11376076-14DF-455E-83D8-3810918C9241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NUEVO EN LA EMPRESA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tc={9C165A4E-2CBC-4F13-99E9-1FEC51473052}</author>
    <author>tc={BEF86583-8700-46D5-9628-D35F492DCCAF}</author>
    <author>tc={1779DFD7-6F4A-4801-887D-FB657A39B336}</author>
    <author>tc={EA1DB8D3-9FEA-417B-9DA1-CDF9CB2CC153}</author>
    <author>tc={65831863-4A22-47E6-A347-0B17DBBCF50B}</author>
    <author>tc={C5E2F0C6-92FC-480E-8992-3E621323A770}</author>
    <author>tc={6606EDB5-E7DD-4E9A-B7D7-FD78F790CAAF}</author>
    <author>tc={CF830CCC-2A2D-4126-AD3E-4EF283B6684F}</author>
    <author>tc={5B1C3588-5E3E-40CE-8F09-D2BB90B5220D}</author>
    <author>tc={D68D5957-7FCE-42A8-83B2-9FF289E6B5D1}</author>
  </authors>
  <commentList>
    <comment ref="D17" authorId="0" shapeId="0" xr:uid="{71A47EF5-DC60-4F30-AB1B-E454A5FD3B27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LOS DEMAS NEGOCIOS LOS CERRO BIVIANA </t>
        </r>
      </text>
    </comment>
    <comment ref="D118" authorId="1" shapeId="0" xr:uid="{01827017-F108-4255-A543-23CBD7F20833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INCIO DEL COVID
</t>
        </r>
      </text>
    </comment>
    <comment ref="D177" authorId="2" shapeId="0" xr:uid="{1AA52282-162D-4CC7-8837-C56254168221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LO QUE NO SUMA EN LOS INTERNOS LO CIERRA BIVIANA </t>
        </r>
      </text>
    </comment>
    <comment ref="D199" authorId="3" shapeId="0" xr:uid="{2FC75BEB-0C6B-4B2A-A4E4-C911950A4E1D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RETOMA LABORLES DE NUEVO
</t>
        </r>
      </text>
    </comment>
    <comment ref="D216" authorId="4" shapeId="0" xr:uid="{5C6C04ED-7A55-4474-9E3E-3B47CD5F7384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INICIA COMO INTERNA
</t>
        </r>
      </text>
    </comment>
    <comment ref="D232" authorId="5" shapeId="0" xr:uid="{EF087737-ACA8-4D59-8261-538BDDDFC273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INICIA COM O INTERNA ESTABA EN MANTENIMIENTOS.</t>
        </r>
      </text>
    </comment>
    <comment ref="B241" authorId="6" shapeId="0" xr:uid="{E2E7D1E8-0C27-47E0-B0F4-5ACF2D046691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DESDE EL MES DE FEBRERO</t>
        </r>
      </text>
    </comment>
    <comment ref="B249" authorId="6" shapeId="0" xr:uid="{C74E74CA-A11C-4FA0-B7D3-AA026F8A7846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DESDE EL MES DE FEBRERO</t>
        </r>
      </text>
    </comment>
    <comment ref="B257" authorId="6" shapeId="0" xr:uid="{5F57BC25-F3AE-4C73-94D1-06B3D084C8FB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DESDE EL MES DE FEBRERO</t>
        </r>
      </text>
    </comment>
    <comment ref="B265" authorId="6" shapeId="0" xr:uid="{86D3A05A-1747-40EC-8F24-63865B635B26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DESDE EL MES DE FEBRERO</t>
        </r>
      </text>
    </comment>
    <comment ref="B273" authorId="6" shapeId="0" xr:uid="{A07F4FCF-BE4F-4751-BDA9-9216F7220FFE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DESDE EL MES DE FEBRERO</t>
        </r>
      </text>
    </comment>
    <comment ref="B279" authorId="6" shapeId="0" xr:uid="{AD910AA9-BAEA-4007-A564-EBA83F9587B8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DESDE EL MES DE FEBRERO</t>
        </r>
      </text>
    </comment>
    <comment ref="B286" authorId="6" shapeId="0" xr:uid="{D99CA06D-9A12-42C6-817A-AECC9C65CED8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DESDE EL MES DE FEBRERO</t>
        </r>
      </text>
    </comment>
    <comment ref="D290" authorId="7" shapeId="0" xr:uid="{5CA6D8C3-2B05-41B1-9D1F-268DAD98EA6B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pasa hacer coordinador </t>
        </r>
      </text>
    </comment>
    <comment ref="B294" authorId="6" shapeId="0" xr:uid="{800172A3-FE3B-42F7-8EC7-6A2E81352413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DESDE EL MES DE FEBRERO</t>
        </r>
      </text>
    </comment>
    <comment ref="D298" authorId="8" shapeId="0" xr:uid="{FC242225-4A2A-4678-8944-1B552DE65090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INICIA EN ENVIGAGO</t>
        </r>
      </text>
    </comment>
    <comment ref="B302" authorId="6" shapeId="0" xr:uid="{945A625A-E572-477C-8955-707F014DAAEB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DESDE EL MES DE FEBRERO</t>
        </r>
      </text>
    </comment>
    <comment ref="B310" authorId="6" shapeId="0" xr:uid="{91D45B5C-CE4E-46C1-B098-97A76495A73C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DESDE EL MES DE FEBRERO</t>
        </r>
      </text>
    </comment>
    <comment ref="B316" authorId="6" shapeId="0" xr:uid="{83D1620D-B8E6-4111-9778-32B7F2EA8290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DESDE EL MES DE FEBRERO</t>
        </r>
      </text>
    </comment>
    <comment ref="D322" authorId="9" shapeId="0" xr:uid="{C02126A4-84EC-419C-A2A6-C49B262343F9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Inicia nueva 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tc={B20B1051-6191-499B-A282-FEB4D0C2D4EF}</author>
  </authors>
  <commentList>
    <comment ref="D28" authorId="0" shapeId="0" xr:uid="{55E9407F-538B-479C-9CF5-96A499AD7A31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RENUNCIA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tc={5952B6EF-4DFB-4021-8873-983944488A03}</author>
    <author>tc={5130B8BE-48CD-45F1-8FA1-E20464CC992C}</author>
    <author>tc={E0CA6B77-56DF-407A-A38C-71FF65945006}</author>
    <author>tc={1779DFD7-6F4A-4801-887D-FB657A39B336}</author>
    <author>tc={FDF3804B-D83A-4731-80EF-A16D3F32AD31}</author>
    <author>tc={05368F4C-590C-422E-896C-4153124F66C8}</author>
    <author>tc={FB199AB7-BAF5-45B5-8987-06305C8A7A8B}</author>
  </authors>
  <commentList>
    <comment ref="C159" authorId="0" shapeId="0" xr:uid="{E6635F41-93F3-4170-A485-6641D13B5EFE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inicio del COVID
</t>
        </r>
      </text>
    </comment>
    <comment ref="D219" authorId="1" shapeId="0" xr:uid="{7400D9C8-D7B8-48A1-A813-4511F6A7F4DE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LA META DE LA SEDE CAMBIA A 90,000,000 SUMANDO CALASANZ Y COLORES
</t>
        </r>
      </text>
    </comment>
    <comment ref="C231" authorId="0" shapeId="0" xr:uid="{6B150CAB-480D-45F5-AC7B-E1526585F21E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inicio del COVID
</t>
        </r>
      </text>
    </comment>
    <comment ref="C240" authorId="2" shapeId="0" xr:uid="{78BE089D-F9F3-401D-8EB3-093B84272668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LO DEMAS LO CIERRA VERONICA 
</t>
        </r>
      </text>
    </comment>
    <comment ref="C242" authorId="3" shapeId="0" xr:uid="{81D4378D-A6CC-4F0B-95D2-36ACE38B3901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LO QUE NO SUMA EN LOS INTERNOS LO CIERRA BIVIANA </t>
        </r>
      </text>
    </comment>
    <comment ref="C256" authorId="4" shapeId="0" xr:uid="{F314AEA5-E6F0-4172-A821-E1645172C91A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ADMINISTRADOR KAREN CASTRO </t>
        </r>
      </text>
    </comment>
    <comment ref="C262" authorId="5" shapeId="0" xr:uid="{07AC3F66-3D2D-4481-AD86-F8AC88017378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ADMINISTRADOR CATHERINE</t>
        </r>
      </text>
    </comment>
    <comment ref="C288" authorId="6" shapeId="0" xr:uid="{984C3C32-99B4-463E-A415-84DB8AFF4BD3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MAS 1700,000 DE BRAYAN </t>
        </r>
      </text>
    </comment>
  </commentList>
</comments>
</file>

<file path=xl/sharedStrings.xml><?xml version="1.0" encoding="utf-8"?>
<sst xmlns="http://schemas.openxmlformats.org/spreadsheetml/2006/main" count="7890" uniqueCount="248">
  <si>
    <t>Fecha</t>
  </si>
  <si>
    <t>Meta Mensual</t>
  </si>
  <si>
    <t>Tipo de Asesor</t>
  </si>
  <si>
    <t>Arriendos</t>
  </si>
  <si>
    <t>Administrador</t>
  </si>
  <si>
    <t>SEDE COLORES</t>
  </si>
  <si>
    <t xml:space="preserve">LUIS CORREA </t>
  </si>
  <si>
    <t>FABER</t>
  </si>
  <si>
    <t>ADRIANA</t>
  </si>
  <si>
    <t>LEON ALEJANDRO OCAMPO</t>
  </si>
  <si>
    <t>BRAYAN AGUDELO</t>
  </si>
  <si>
    <t xml:space="preserve">VANESSA TUBERQUIA </t>
  </si>
  <si>
    <t xml:space="preserve">ESAU VELASQUEZ </t>
  </si>
  <si>
    <t>ADRIANA ZAPATA</t>
  </si>
  <si>
    <t>CAROLINA PARRA</t>
  </si>
  <si>
    <t xml:space="preserve">JENIFER ARANGO </t>
  </si>
  <si>
    <t>Externo</t>
  </si>
  <si>
    <t>Interno</t>
  </si>
  <si>
    <t xml:space="preserve">Sede </t>
  </si>
  <si>
    <t>ESAU VELASQUEZ</t>
  </si>
  <si>
    <t xml:space="preserve">ERIKA </t>
  </si>
  <si>
    <t xml:space="preserve">DANIEL ARROYAVE </t>
  </si>
  <si>
    <t xml:space="preserve">YESICA OCAMPO </t>
  </si>
  <si>
    <t xml:space="preserve">RAQUEL GONZALEZ </t>
  </si>
  <si>
    <t xml:space="preserve">YEISON SANTAMARIA </t>
  </si>
  <si>
    <t>YULIETH OSSA</t>
  </si>
  <si>
    <t xml:space="preserve">CATERINE DIAZ </t>
  </si>
  <si>
    <t>JULIETH OSSA</t>
  </si>
  <si>
    <t xml:space="preserve">CARLOS MONSALVE </t>
  </si>
  <si>
    <t>XIOMARA</t>
  </si>
  <si>
    <t xml:space="preserve">ALEJANDRO OCAMPO </t>
  </si>
  <si>
    <t xml:space="preserve">JUAN MANRIQUE </t>
  </si>
  <si>
    <t xml:space="preserve">CAMILA OCHOA </t>
  </si>
  <si>
    <t xml:space="preserve">DANIELA BOTERO </t>
  </si>
  <si>
    <t xml:space="preserve">ERIKA GONZALEZ </t>
  </si>
  <si>
    <t xml:space="preserve">CARLOS VALLEJO </t>
  </si>
  <si>
    <t xml:space="preserve">CAROLINA RAMIREZ </t>
  </si>
  <si>
    <t xml:space="preserve">CAMILA VELAZQUEZ </t>
  </si>
  <si>
    <t>CINDY CALLE</t>
  </si>
  <si>
    <t xml:space="preserve">YESCA BUITRAGO </t>
  </si>
  <si>
    <t xml:space="preserve">IVON LOBO </t>
  </si>
  <si>
    <t xml:space="preserve">SEBASTIAN BUITRAGO </t>
  </si>
  <si>
    <t xml:space="preserve">VERONICA OCHOA </t>
  </si>
  <si>
    <t xml:space="preserve">SANTIAGO SANTA </t>
  </si>
  <si>
    <t xml:space="preserve">DANIELA CESPEDES </t>
  </si>
  <si>
    <t xml:space="preserve">TABATHA ROJAS </t>
  </si>
  <si>
    <t xml:space="preserve">YESENIA </t>
  </si>
  <si>
    <t xml:space="preserve">MANUELA MONSALVE </t>
  </si>
  <si>
    <t xml:space="preserve">NATALIA CARMONA </t>
  </si>
  <si>
    <t xml:space="preserve">MARIANA ZAPATA </t>
  </si>
  <si>
    <t xml:space="preserve">ALEJANDRO CARDONA </t>
  </si>
  <si>
    <t xml:space="preserve">CAMILA VELASQUEZ </t>
  </si>
  <si>
    <t xml:space="preserve">KEVIN ARENAS </t>
  </si>
  <si>
    <t xml:space="preserve">PAULA OCHOA </t>
  </si>
  <si>
    <t xml:space="preserve">SANTIAGO ARIAS </t>
  </si>
  <si>
    <t xml:space="preserve">JULIAN </t>
  </si>
  <si>
    <t>GELIX</t>
  </si>
  <si>
    <t xml:space="preserve">CAMILA FONNEGRA </t>
  </si>
  <si>
    <t xml:space="preserve">JESSICA IBARRA </t>
  </si>
  <si>
    <t>SEDE CALASANZ</t>
  </si>
  <si>
    <t>Nombre</t>
  </si>
  <si>
    <t>CALASANZ</t>
  </si>
  <si>
    <t xml:space="preserve">Interno </t>
  </si>
  <si>
    <t>CARLOS VALLEJO</t>
  </si>
  <si>
    <t xml:space="preserve">MARIA PAULA </t>
  </si>
  <si>
    <t>DANIELA BOTERO</t>
  </si>
  <si>
    <t>MANUELA MONSALVE</t>
  </si>
  <si>
    <t>ARANGO</t>
  </si>
  <si>
    <t xml:space="preserve">ELIZABET </t>
  </si>
  <si>
    <t>SEDE LAURELES</t>
  </si>
  <si>
    <t>KAREN</t>
  </si>
  <si>
    <t>VICTOR VALENCIA</t>
  </si>
  <si>
    <t>MARLON RODRIGUEZ</t>
  </si>
  <si>
    <t>ALONSO LOPEZ</t>
  </si>
  <si>
    <t>LAURELES</t>
  </si>
  <si>
    <t xml:space="preserve">ALEXANDER ARANGO </t>
  </si>
  <si>
    <t>LUISA MARIN</t>
  </si>
  <si>
    <t>MELVI CASTRILLON</t>
  </si>
  <si>
    <t xml:space="preserve">MELISSA GARCIA </t>
  </si>
  <si>
    <t xml:space="preserve">KAREN </t>
  </si>
  <si>
    <t xml:space="preserve">ALONSO LOPEZ </t>
  </si>
  <si>
    <t xml:space="preserve">MARIA ANDREA BOLIVAR </t>
  </si>
  <si>
    <t xml:space="preserve">ESTEFANY AGUDELO </t>
  </si>
  <si>
    <t>ESTEFANY AGUDELO</t>
  </si>
  <si>
    <t>MARIA ANDREA BOLIVAR</t>
  </si>
  <si>
    <t xml:space="preserve">JUAN DIEGO RESTREPO </t>
  </si>
  <si>
    <t xml:space="preserve">BLEYCK BEDOYA </t>
  </si>
  <si>
    <t xml:space="preserve">ALEJANDRA RESTREPO </t>
  </si>
  <si>
    <t xml:space="preserve">CAMILO ALVAREZ </t>
  </si>
  <si>
    <t xml:space="preserve">DANIEL RESTREPO </t>
  </si>
  <si>
    <t xml:space="preserve">ANDREA ARISTIZABAL  </t>
  </si>
  <si>
    <t xml:space="preserve">DANIELA </t>
  </si>
  <si>
    <t>DANIELA</t>
  </si>
  <si>
    <t>CRISTIAN GALLEGO</t>
  </si>
  <si>
    <t xml:space="preserve">JOSE DAVID FLOREZ </t>
  </si>
  <si>
    <t xml:space="preserve">JULIAN SOLIS </t>
  </si>
  <si>
    <t xml:space="preserve">KELLY GARCIA </t>
  </si>
  <si>
    <t xml:space="preserve">JESICA ORTIZ </t>
  </si>
  <si>
    <t xml:space="preserve">DIANA ESCUDERO </t>
  </si>
  <si>
    <t xml:space="preserve">VERONICA ORTIZ </t>
  </si>
  <si>
    <t>VERONICA ORTIZ</t>
  </si>
  <si>
    <t xml:space="preserve">MAURICIO </t>
  </si>
  <si>
    <t xml:space="preserve">DANIELA MONTOYA </t>
  </si>
  <si>
    <t xml:space="preserve">JOHANA PEÑA </t>
  </si>
  <si>
    <t xml:space="preserve">LUISA GUTIERREZ </t>
  </si>
  <si>
    <t xml:space="preserve">SANTIAGO HOYOS </t>
  </si>
  <si>
    <t xml:space="preserve">JAKSON </t>
  </si>
  <si>
    <t>SEDE POBLADO</t>
  </si>
  <si>
    <t>POBLADO</t>
  </si>
  <si>
    <t>JUAN MANRIQUE</t>
  </si>
  <si>
    <t>VERONICA</t>
  </si>
  <si>
    <t xml:space="preserve">CAMILO GALLEGO </t>
  </si>
  <si>
    <t>JULIAN VALENCIA</t>
  </si>
  <si>
    <t xml:space="preserve">ISABEL </t>
  </si>
  <si>
    <t>SAMIR PADILLA</t>
  </si>
  <si>
    <t>STYVEN GOMEZ</t>
  </si>
  <si>
    <t>FABER MENDEZ</t>
  </si>
  <si>
    <t>ADMINISTRADOR</t>
  </si>
  <si>
    <t xml:space="preserve">JUAN DIEGO HERRERA </t>
  </si>
  <si>
    <t xml:space="preserve">VALENTINA </t>
  </si>
  <si>
    <t xml:space="preserve">ANDREA RODAS </t>
  </si>
  <si>
    <t xml:space="preserve">EVELYN RESTREPO </t>
  </si>
  <si>
    <t xml:space="preserve">ERICA GONZALEZ </t>
  </si>
  <si>
    <t xml:space="preserve">MARIBEL LOAIZA </t>
  </si>
  <si>
    <t xml:space="preserve">CATALINA ATEHORTUA </t>
  </si>
  <si>
    <t xml:space="preserve">JHONATHAN GUTIERREZ </t>
  </si>
  <si>
    <t xml:space="preserve">SANTIAGO COLORADO </t>
  </si>
  <si>
    <t xml:space="preserve">SANTIAGO LOPEZ </t>
  </si>
  <si>
    <t xml:space="preserve">MARIA PAULA LOPEZ </t>
  </si>
  <si>
    <t xml:space="preserve">ANDREA ARISTIZABAL </t>
  </si>
  <si>
    <t xml:space="preserve">DARIEN </t>
  </si>
  <si>
    <t>RONAL MENDEZ</t>
  </si>
  <si>
    <t xml:space="preserve">GABRIEL </t>
  </si>
  <si>
    <t xml:space="preserve">DAVID VASQUEZ </t>
  </si>
  <si>
    <t xml:space="preserve">ESTEFANIA </t>
  </si>
  <si>
    <t xml:space="preserve">JUAN CAMILO </t>
  </si>
  <si>
    <t xml:space="preserve">RONAL MENDEZ </t>
  </si>
  <si>
    <t>SEDE SABANETA</t>
  </si>
  <si>
    <t>RAUL MARIN</t>
  </si>
  <si>
    <t>JUAN CAMILO URREA</t>
  </si>
  <si>
    <t>SHIRLEY MUÑOZ</t>
  </si>
  <si>
    <t>KAREN CASTRO</t>
  </si>
  <si>
    <t>MONICA MEDRANO</t>
  </si>
  <si>
    <t xml:space="preserve">JUAN CAMILO URREA </t>
  </si>
  <si>
    <t xml:space="preserve">KAREN CASTRO </t>
  </si>
  <si>
    <t>SABANETA</t>
  </si>
  <si>
    <t>COLORES</t>
  </si>
  <si>
    <t xml:space="preserve">LESLY TORO </t>
  </si>
  <si>
    <t>MANUELA DUQUE</t>
  </si>
  <si>
    <t xml:space="preserve">ANDREA </t>
  </si>
  <si>
    <t xml:space="preserve">SHIRLEY MUÑOZ </t>
  </si>
  <si>
    <t xml:space="preserve">MONICA MEDRANO </t>
  </si>
  <si>
    <t xml:space="preserve">VERONICA </t>
  </si>
  <si>
    <t xml:space="preserve">ARTURO RUIZ </t>
  </si>
  <si>
    <t>CAMILO URREA</t>
  </si>
  <si>
    <t xml:space="preserve">ALEJANDRO VILLEGAS </t>
  </si>
  <si>
    <t xml:space="preserve">CAMILO CORREA </t>
  </si>
  <si>
    <t xml:space="preserve">MANRIQUE </t>
  </si>
  <si>
    <t xml:space="preserve">ARBINSON ZAPATA </t>
  </si>
  <si>
    <t>EIDER LONDOÑO</t>
  </si>
  <si>
    <t xml:space="preserve">SERGIO </t>
  </si>
  <si>
    <t xml:space="preserve">KEVIN </t>
  </si>
  <si>
    <t xml:space="preserve">CATHERINE DIAZ </t>
  </si>
  <si>
    <t xml:space="preserve">SANTIAGO </t>
  </si>
  <si>
    <t>SANTIAGO LOPERA</t>
  </si>
  <si>
    <t>CATHERINE DIAZ</t>
  </si>
  <si>
    <t xml:space="preserve">MATEO </t>
  </si>
  <si>
    <t xml:space="preserve">ALEJANDRO RUDA </t>
  </si>
  <si>
    <t>ESTRELLA - ITAGUI</t>
  </si>
  <si>
    <t>SEDE LA ESTRELLA - ITAGUI</t>
  </si>
  <si>
    <t xml:space="preserve">JEFERSON ARANGO </t>
  </si>
  <si>
    <t>BLEYCK</t>
  </si>
  <si>
    <t xml:space="preserve">FABIAN </t>
  </si>
  <si>
    <t>DIANA RUIZ</t>
  </si>
  <si>
    <t>GEIVER OSORIO</t>
  </si>
  <si>
    <t>SHIRLEY FLORES</t>
  </si>
  <si>
    <t xml:space="preserve">YERMANY CORREA </t>
  </si>
  <si>
    <t xml:space="preserve">MARIA CAMILA OCHOA </t>
  </si>
  <si>
    <t xml:space="preserve">LAURA LONDOÑO </t>
  </si>
  <si>
    <t xml:space="preserve">JULIANA MONA </t>
  </si>
  <si>
    <t xml:space="preserve">MARCELA ALVAREZ </t>
  </si>
  <si>
    <t xml:space="preserve">SHIRLEY FLORES </t>
  </si>
  <si>
    <t xml:space="preserve">DAVID </t>
  </si>
  <si>
    <t xml:space="preserve">EDISSON MONTOYA </t>
  </si>
  <si>
    <t>ANDRES MIRANDA</t>
  </si>
  <si>
    <t xml:space="preserve">SEBASTIAN LOPEZ </t>
  </si>
  <si>
    <t xml:space="preserve">SARA AGUDELO </t>
  </si>
  <si>
    <t xml:space="preserve">LUISA QUINTERO </t>
  </si>
  <si>
    <t>DERLY AREIZA</t>
  </si>
  <si>
    <t>THOMAS CARDONA</t>
  </si>
  <si>
    <t xml:space="preserve">VERONICA MORALES </t>
  </si>
  <si>
    <t xml:space="preserve">MAXIMILIANO </t>
  </si>
  <si>
    <t xml:space="preserve">STIVEN CANO </t>
  </si>
  <si>
    <t>ANDRES RESTREPO</t>
  </si>
  <si>
    <t xml:space="preserve">JUAN DAVID BUSTAMENTE </t>
  </si>
  <si>
    <t>SEDE BELLO</t>
  </si>
  <si>
    <t xml:space="preserve">ALEJANDRO BEDOYA </t>
  </si>
  <si>
    <t>JUAN PABLO VILLA</t>
  </si>
  <si>
    <t>Administracion</t>
  </si>
  <si>
    <t>ENVIGADO</t>
  </si>
  <si>
    <t xml:space="preserve">DANIEL GUERRA </t>
  </si>
  <si>
    <t xml:space="preserve">CAMILA </t>
  </si>
  <si>
    <t>DAHIANA HOYOS</t>
  </si>
  <si>
    <t xml:space="preserve">CAMILO ARAQUE </t>
  </si>
  <si>
    <t xml:space="preserve">JUAN ESTEBAN MANRIQUE </t>
  </si>
  <si>
    <t xml:space="preserve">ALEJANDRA VARELA </t>
  </si>
  <si>
    <t>JUAN PABLO BEDOYA</t>
  </si>
  <si>
    <t xml:space="preserve">JUAN PABLO VILLA </t>
  </si>
  <si>
    <t xml:space="preserve">SEBASTIAN MONTOYA </t>
  </si>
  <si>
    <t xml:space="preserve">CAROLINA PARRA </t>
  </si>
  <si>
    <t>ALEJANDRO BEDOYA</t>
  </si>
  <si>
    <t xml:space="preserve">MARLON RODRIGUEZ </t>
  </si>
  <si>
    <t xml:space="preserve">DERLY AREIZA </t>
  </si>
  <si>
    <t xml:space="preserve">ESTEFANIA ROMERO </t>
  </si>
  <si>
    <t>BIVIANA SALAZAR</t>
  </si>
  <si>
    <t xml:space="preserve">SERGIO CARDONA </t>
  </si>
  <si>
    <t xml:space="preserve">SEBASTIAN ECHAVARRIA </t>
  </si>
  <si>
    <t>MATEO ROMERO</t>
  </si>
  <si>
    <t xml:space="preserve">ALEXIS ECHAVARRIA </t>
  </si>
  <si>
    <t xml:space="preserve">JOHAN </t>
  </si>
  <si>
    <t>BELLO</t>
  </si>
  <si>
    <t xml:space="preserve">DIANA LOPEZ </t>
  </si>
  <si>
    <t xml:space="preserve">SANTIAGO PINEDA </t>
  </si>
  <si>
    <t xml:space="preserve">YHORMAN </t>
  </si>
  <si>
    <t xml:space="preserve">ANDRES SALDARRIAGA </t>
  </si>
  <si>
    <t xml:space="preserve">SEBASTIAN RUIZ </t>
  </si>
  <si>
    <t xml:space="preserve">ESTEFANIA VANEGAS </t>
  </si>
  <si>
    <t>INFORME DE LAS SEDES MENSUAL</t>
  </si>
  <si>
    <t>SEDE</t>
  </si>
  <si>
    <t>META MENSUAL</t>
  </si>
  <si>
    <t>MES/AÑO</t>
  </si>
  <si>
    <t>ARRIENDO</t>
  </si>
  <si>
    <t>DIFERENCIA META MENSUAL</t>
  </si>
  <si>
    <t>ESTRELLA-ITAGUI</t>
  </si>
  <si>
    <t>Año</t>
  </si>
  <si>
    <t>Mes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</si>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</sst>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$&quot;* #,##0.00_-;\-&quot;$&quot;* #,##0.00_-;_-&quot;$&quot;* &quot;-&quot;??_-;_-@_-"/>
    <numFmt numFmtId="165" formatCode="&quot;$&quot;\ #,##0"/>
    <numFmt numFmtId="166" formatCode="_-&quot;$&quot;* #,##0_-;\-&quot;$&quot;* #,##0_-;_-&quot;$&quot;* &quot;-&quot;??_-;_-@_-"/>
    <numFmt numFmtId="167" formatCode="&quot;$&quot;\ #,##0.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rgb="FFFF0000"/>
      <name val="Arial"/>
      <family val="2"/>
    </font>
    <font>
      <sz val="10"/>
      <color rgb="FF000000"/>
      <name val="Arial"/>
      <family val="2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10"/>
      <color rgb="FF0D0D0D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theme="0"/>
        <bgColor rgb="FFFFFF00"/>
      </patternFill>
    </fill>
    <fill>
      <patternFill patternType="solid">
        <fgColor theme="0"/>
        <bgColor rgb="FFCCCC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rgb="FFF3F3F3"/>
      </patternFill>
    </fill>
    <fill>
      <patternFill patternType="solid">
        <fgColor theme="0"/>
        <bgColor rgb="FF00FFFF"/>
      </patternFill>
    </fill>
    <fill>
      <patternFill patternType="solid">
        <fgColor theme="0"/>
        <bgColor rgb="FFFF0000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00FF00"/>
      </patternFill>
    </fill>
    <fill>
      <patternFill patternType="solid">
        <fgColor theme="0"/>
        <bgColor rgb="FFB4A7D6"/>
      </patternFill>
    </fill>
    <fill>
      <patternFill patternType="solid">
        <fgColor theme="0"/>
        <bgColor rgb="FFF6B26B"/>
      </patternFill>
    </fill>
    <fill>
      <patternFill patternType="solid">
        <fgColor theme="0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000000"/>
      </patternFill>
    </fill>
  </fills>
  <borders count="26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69">
    <xf numFmtId="0" fontId="0" fillId="0" borderId="0" xfId="0"/>
    <xf numFmtId="0" fontId="2" fillId="0" borderId="2" xfId="0" applyFont="1" applyBorder="1"/>
    <xf numFmtId="0" fontId="2" fillId="0" borderId="1" xfId="0" applyFont="1" applyBorder="1"/>
    <xf numFmtId="0" fontId="2" fillId="0" borderId="4" xfId="0" applyFont="1" applyBorder="1"/>
    <xf numFmtId="0" fontId="6" fillId="0" borderId="4" xfId="0" applyFont="1" applyBorder="1"/>
    <xf numFmtId="0" fontId="6" fillId="0" borderId="0" xfId="0" applyFont="1"/>
    <xf numFmtId="17" fontId="6" fillId="0" borderId="4" xfId="0" applyNumberFormat="1" applyFont="1" applyBorder="1"/>
    <xf numFmtId="0" fontId="6" fillId="0" borderId="2" xfId="0" applyFont="1" applyBorder="1" applyAlignment="1">
      <alignment horizontal="left"/>
    </xf>
    <xf numFmtId="0" fontId="6" fillId="0" borderId="6" xfId="0" applyFont="1" applyBorder="1" applyAlignment="1">
      <alignment horizontal="left"/>
    </xf>
    <xf numFmtId="0" fontId="4" fillId="4" borderId="2" xfId="0" applyFont="1" applyFill="1" applyBorder="1"/>
    <xf numFmtId="0" fontId="4" fillId="4" borderId="6" xfId="0" applyFont="1" applyFill="1" applyBorder="1"/>
    <xf numFmtId="0" fontId="4" fillId="4" borderId="5" xfId="0" applyFont="1" applyFill="1" applyBorder="1"/>
    <xf numFmtId="0" fontId="4" fillId="4" borderId="4" xfId="0" applyFont="1" applyFill="1" applyBorder="1"/>
    <xf numFmtId="166" fontId="6" fillId="4" borderId="4" xfId="1" applyNumberFormat="1" applyFont="1" applyFill="1" applyBorder="1"/>
    <xf numFmtId="0" fontId="2" fillId="2" borderId="15" xfId="0" applyFont="1" applyFill="1" applyBorder="1"/>
    <xf numFmtId="0" fontId="2" fillId="2" borderId="4" xfId="0" applyFont="1" applyFill="1" applyBorder="1"/>
    <xf numFmtId="0" fontId="2" fillId="8" borderId="4" xfId="0" applyFont="1" applyFill="1" applyBorder="1"/>
    <xf numFmtId="0" fontId="2" fillId="8" borderId="2" xfId="0" applyFont="1" applyFill="1" applyBorder="1"/>
    <xf numFmtId="0" fontId="2" fillId="4" borderId="2" xfId="0" applyFont="1" applyFill="1" applyBorder="1"/>
    <xf numFmtId="0" fontId="2" fillId="4" borderId="4" xfId="0" applyFont="1" applyFill="1" applyBorder="1"/>
    <xf numFmtId="0" fontId="2" fillId="2" borderId="2" xfId="0" applyFont="1" applyFill="1" applyBorder="1"/>
    <xf numFmtId="0" fontId="2" fillId="4" borderId="5" xfId="0" applyFont="1" applyFill="1" applyBorder="1" applyAlignment="1">
      <alignment horizontal="left"/>
    </xf>
    <xf numFmtId="0" fontId="6" fillId="4" borderId="0" xfId="0" applyFont="1" applyFill="1"/>
    <xf numFmtId="0" fontId="6" fillId="4" borderId="4" xfId="0" applyFont="1" applyFill="1" applyBorder="1"/>
    <xf numFmtId="0" fontId="6" fillId="4" borderId="0" xfId="0" applyFont="1" applyFill="1" applyBorder="1"/>
    <xf numFmtId="0" fontId="6" fillId="4" borderId="6" xfId="0" applyFont="1" applyFill="1" applyBorder="1"/>
    <xf numFmtId="0" fontId="6" fillId="4" borderId="2" xfId="0" applyFont="1" applyFill="1" applyBorder="1"/>
    <xf numFmtId="0" fontId="6" fillId="4" borderId="5" xfId="0" applyFont="1" applyFill="1" applyBorder="1"/>
    <xf numFmtId="0" fontId="2" fillId="10" borderId="2" xfId="0" applyFont="1" applyFill="1" applyBorder="1"/>
    <xf numFmtId="0" fontId="2" fillId="4" borderId="1" xfId="0" applyFont="1" applyFill="1" applyBorder="1"/>
    <xf numFmtId="0" fontId="2" fillId="2" borderId="5" xfId="0" applyFont="1" applyFill="1" applyBorder="1"/>
    <xf numFmtId="0" fontId="2" fillId="4" borderId="5" xfId="0" applyFont="1" applyFill="1" applyBorder="1"/>
    <xf numFmtId="0" fontId="2" fillId="4" borderId="15" xfId="0" applyFont="1" applyFill="1" applyBorder="1"/>
    <xf numFmtId="0" fontId="4" fillId="4" borderId="12" xfId="0" applyFont="1" applyFill="1" applyBorder="1"/>
    <xf numFmtId="0" fontId="4" fillId="4" borderId="5" xfId="0" applyFont="1" applyFill="1" applyBorder="1" applyAlignment="1">
      <alignment horizontal="left"/>
    </xf>
    <xf numFmtId="0" fontId="6" fillId="4" borderId="4" xfId="0" applyFont="1" applyFill="1" applyBorder="1" applyAlignment="1">
      <alignment horizontal="center" vertical="center"/>
    </xf>
    <xf numFmtId="0" fontId="6" fillId="4" borderId="9" xfId="0" applyFont="1" applyFill="1" applyBorder="1"/>
    <xf numFmtId="17" fontId="6" fillId="4" borderId="4" xfId="0" applyNumberFormat="1" applyFont="1" applyFill="1" applyBorder="1"/>
    <xf numFmtId="0" fontId="2" fillId="9" borderId="2" xfId="0" applyFont="1" applyFill="1" applyBorder="1"/>
    <xf numFmtId="0" fontId="2" fillId="4" borderId="2" xfId="0" applyFont="1" applyFill="1" applyBorder="1" applyAlignment="1">
      <alignment horizontal="left"/>
    </xf>
    <xf numFmtId="0" fontId="2" fillId="4" borderId="6" xfId="0" applyFont="1" applyFill="1" applyBorder="1"/>
    <xf numFmtId="17" fontId="6" fillId="4" borderId="7" xfId="0" applyNumberFormat="1" applyFont="1" applyFill="1" applyBorder="1"/>
    <xf numFmtId="0" fontId="6" fillId="4" borderId="7" xfId="0" applyFont="1" applyFill="1" applyBorder="1"/>
    <xf numFmtId="0" fontId="4" fillId="4" borderId="22" xfId="0" applyFont="1" applyFill="1" applyBorder="1"/>
    <xf numFmtId="0" fontId="4" fillId="4" borderId="21" xfId="0" applyFont="1" applyFill="1" applyBorder="1"/>
    <xf numFmtId="0" fontId="4" fillId="4" borderId="23" xfId="0" applyFont="1" applyFill="1" applyBorder="1"/>
    <xf numFmtId="0" fontId="2" fillId="4" borderId="1" xfId="0" applyFont="1" applyFill="1" applyBorder="1" applyAlignment="1">
      <alignment horizontal="left"/>
    </xf>
    <xf numFmtId="0" fontId="2" fillId="4" borderId="19" xfId="0" applyFont="1" applyFill="1" applyBorder="1"/>
    <xf numFmtId="0" fontId="4" fillId="4" borderId="24" xfId="0" applyFont="1" applyFill="1" applyBorder="1"/>
    <xf numFmtId="0" fontId="2" fillId="4" borderId="17" xfId="0" applyFont="1" applyFill="1" applyBorder="1" applyAlignment="1">
      <alignment horizontal="left"/>
    </xf>
    <xf numFmtId="0" fontId="6" fillId="4" borderId="2" xfId="0" applyFont="1" applyFill="1" applyBorder="1" applyAlignment="1">
      <alignment horizontal="left"/>
    </xf>
    <xf numFmtId="0" fontId="6" fillId="4" borderId="6" xfId="0" applyFont="1" applyFill="1" applyBorder="1" applyAlignment="1">
      <alignment horizontal="left"/>
    </xf>
    <xf numFmtId="0" fontId="6" fillId="4" borderId="4" xfId="0" applyFont="1" applyFill="1" applyBorder="1" applyAlignment="1">
      <alignment horizontal="center"/>
    </xf>
    <xf numFmtId="165" fontId="2" fillId="4" borderId="2" xfId="0" applyNumberFormat="1" applyFont="1" applyFill="1" applyBorder="1" applyAlignment="1">
      <alignment horizontal="right"/>
    </xf>
    <xf numFmtId="0" fontId="2" fillId="12" borderId="2" xfId="0" applyFont="1" applyFill="1" applyBorder="1"/>
    <xf numFmtId="165" fontId="3" fillId="4" borderId="2" xfId="0" applyNumberFormat="1" applyFont="1" applyFill="1" applyBorder="1" applyAlignment="1">
      <alignment horizontal="right"/>
    </xf>
    <xf numFmtId="165" fontId="3" fillId="4" borderId="2" xfId="0" applyNumberFormat="1" applyFont="1" applyFill="1" applyBorder="1"/>
    <xf numFmtId="165" fontId="6" fillId="4" borderId="2" xfId="0" applyNumberFormat="1" applyFont="1" applyFill="1" applyBorder="1"/>
    <xf numFmtId="165" fontId="3" fillId="4" borderId="4" xfId="0" applyNumberFormat="1" applyFont="1" applyFill="1" applyBorder="1"/>
    <xf numFmtId="165" fontId="6" fillId="4" borderId="4" xfId="0" applyNumberFormat="1" applyFont="1" applyFill="1" applyBorder="1"/>
    <xf numFmtId="165" fontId="2" fillId="4" borderId="4" xfId="0" applyNumberFormat="1" applyFont="1" applyFill="1" applyBorder="1"/>
    <xf numFmtId="165" fontId="2" fillId="2" borderId="4" xfId="1" applyNumberFormat="1" applyFont="1" applyFill="1" applyBorder="1" applyAlignment="1"/>
    <xf numFmtId="165" fontId="2" fillId="3" borderId="5" xfId="1" applyNumberFormat="1" applyFont="1" applyFill="1" applyBorder="1" applyAlignment="1"/>
    <xf numFmtId="165" fontId="2" fillId="4" borderId="2" xfId="1" applyNumberFormat="1" applyFont="1" applyFill="1" applyBorder="1" applyAlignment="1"/>
    <xf numFmtId="165" fontId="4" fillId="4" borderId="1" xfId="1" applyNumberFormat="1" applyFont="1" applyFill="1" applyBorder="1" applyAlignment="1"/>
    <xf numFmtId="165" fontId="2" fillId="4" borderId="1" xfId="1" applyNumberFormat="1" applyFont="1" applyFill="1" applyBorder="1" applyAlignment="1"/>
    <xf numFmtId="165" fontId="3" fillId="4" borderId="2" xfId="1" applyNumberFormat="1" applyFont="1" applyFill="1" applyBorder="1" applyAlignment="1"/>
    <xf numFmtId="165" fontId="2" fillId="4" borderId="8" xfId="1" applyNumberFormat="1" applyFont="1" applyFill="1" applyBorder="1" applyAlignment="1"/>
    <xf numFmtId="165" fontId="4" fillId="4" borderId="3" xfId="1" applyNumberFormat="1" applyFont="1" applyFill="1" applyBorder="1" applyAlignment="1"/>
    <xf numFmtId="165" fontId="2" fillId="4" borderId="3" xfId="1" applyNumberFormat="1" applyFont="1" applyFill="1" applyBorder="1" applyAlignment="1"/>
    <xf numFmtId="165" fontId="2" fillId="6" borderId="8" xfId="1" applyNumberFormat="1" applyFont="1" applyFill="1" applyBorder="1" applyAlignment="1"/>
    <xf numFmtId="165" fontId="2" fillId="3" borderId="2" xfId="1" applyNumberFormat="1" applyFont="1" applyFill="1" applyBorder="1" applyAlignment="1"/>
    <xf numFmtId="165" fontId="2" fillId="3" borderId="3" xfId="1" applyNumberFormat="1" applyFont="1" applyFill="1" applyBorder="1" applyAlignment="1"/>
    <xf numFmtId="165" fontId="2" fillId="4" borderId="11" xfId="1" applyNumberFormat="1" applyFont="1" applyFill="1" applyBorder="1" applyAlignment="1"/>
    <xf numFmtId="165" fontId="2" fillId="3" borderId="11" xfId="1" applyNumberFormat="1" applyFont="1" applyFill="1" applyBorder="1" applyAlignment="1"/>
    <xf numFmtId="165" fontId="2" fillId="4" borderId="4" xfId="1" applyNumberFormat="1" applyFont="1" applyFill="1" applyBorder="1" applyAlignment="1"/>
    <xf numFmtId="165" fontId="2" fillId="3" borderId="10" xfId="1" applyNumberFormat="1" applyFont="1" applyFill="1" applyBorder="1" applyAlignment="1"/>
    <xf numFmtId="165" fontId="3" fillId="4" borderId="4" xfId="1" applyNumberFormat="1" applyFont="1" applyFill="1" applyBorder="1" applyAlignment="1"/>
    <xf numFmtId="165" fontId="3" fillId="4" borderId="1" xfId="1" applyNumberFormat="1" applyFont="1" applyFill="1" applyBorder="1" applyAlignment="1"/>
    <xf numFmtId="165" fontId="3" fillId="4" borderId="3" xfId="1" applyNumberFormat="1" applyFont="1" applyFill="1" applyBorder="1" applyAlignment="1"/>
    <xf numFmtId="165" fontId="3" fillId="4" borderId="11" xfId="1" applyNumberFormat="1" applyFont="1" applyFill="1" applyBorder="1" applyAlignment="1"/>
    <xf numFmtId="165" fontId="2" fillId="4" borderId="6" xfId="1" applyNumberFormat="1" applyFont="1" applyFill="1" applyBorder="1" applyAlignment="1"/>
    <xf numFmtId="165" fontId="3" fillId="4" borderId="8" xfId="1" applyNumberFormat="1" applyFont="1" applyFill="1" applyBorder="1" applyAlignment="1"/>
    <xf numFmtId="165" fontId="3" fillId="4" borderId="6" xfId="1" applyNumberFormat="1" applyFont="1" applyFill="1" applyBorder="1" applyAlignment="1"/>
    <xf numFmtId="165" fontId="3" fillId="4" borderId="0" xfId="1" applyNumberFormat="1" applyFont="1" applyFill="1" applyAlignment="1"/>
    <xf numFmtId="165" fontId="2" fillId="4" borderId="12" xfId="1" applyNumberFormat="1" applyFont="1" applyFill="1" applyBorder="1" applyAlignment="1"/>
    <xf numFmtId="165" fontId="2" fillId="4" borderId="13" xfId="1" applyNumberFormat="1" applyFont="1" applyFill="1" applyBorder="1" applyAlignment="1"/>
    <xf numFmtId="165" fontId="6" fillId="4" borderId="4" xfId="1" applyNumberFormat="1" applyFont="1" applyFill="1" applyBorder="1" applyAlignment="1"/>
    <xf numFmtId="165" fontId="2" fillId="3" borderId="4" xfId="1" applyNumberFormat="1" applyFont="1" applyFill="1" applyBorder="1" applyAlignment="1"/>
    <xf numFmtId="165" fontId="2" fillId="3" borderId="6" xfId="1" applyNumberFormat="1" applyFont="1" applyFill="1" applyBorder="1" applyAlignment="1"/>
    <xf numFmtId="165" fontId="2" fillId="4" borderId="5" xfId="1" applyNumberFormat="1" applyFont="1" applyFill="1" applyBorder="1" applyAlignment="1"/>
    <xf numFmtId="165" fontId="2" fillId="4" borderId="10" xfId="1" applyNumberFormat="1" applyFont="1" applyFill="1" applyBorder="1" applyAlignment="1"/>
    <xf numFmtId="165" fontId="2" fillId="4" borderId="16" xfId="1" applyNumberFormat="1" applyFont="1" applyFill="1" applyBorder="1" applyAlignment="1"/>
    <xf numFmtId="165" fontId="2" fillId="4" borderId="9" xfId="1" applyNumberFormat="1" applyFont="1" applyFill="1" applyBorder="1" applyAlignment="1"/>
    <xf numFmtId="165" fontId="4" fillId="4" borderId="0" xfId="1" applyNumberFormat="1" applyFont="1" applyFill="1" applyAlignment="1"/>
    <xf numFmtId="165" fontId="2" fillId="3" borderId="17" xfId="1" applyNumberFormat="1" applyFont="1" applyFill="1" applyBorder="1" applyAlignment="1"/>
    <xf numFmtId="165" fontId="6" fillId="4" borderId="9" xfId="1" applyNumberFormat="1" applyFont="1" applyFill="1" applyBorder="1" applyAlignment="1"/>
    <xf numFmtId="165" fontId="2" fillId="4" borderId="17" xfId="1" applyNumberFormat="1" applyFont="1" applyFill="1" applyBorder="1" applyAlignment="1"/>
    <xf numFmtId="165" fontId="4" fillId="4" borderId="9" xfId="1" applyNumberFormat="1" applyFont="1" applyFill="1" applyBorder="1" applyAlignment="1"/>
    <xf numFmtId="165" fontId="3" fillId="4" borderId="9" xfId="1" applyNumberFormat="1" applyFont="1" applyFill="1" applyBorder="1" applyAlignment="1"/>
    <xf numFmtId="165" fontId="2" fillId="4" borderId="15" xfId="1" applyNumberFormat="1" applyFont="1" applyFill="1" applyBorder="1" applyAlignment="1"/>
    <xf numFmtId="165" fontId="4" fillId="4" borderId="5" xfId="1" applyNumberFormat="1" applyFont="1" applyFill="1" applyBorder="1" applyAlignment="1"/>
    <xf numFmtId="165" fontId="3" fillId="4" borderId="5" xfId="1" applyNumberFormat="1" applyFont="1" applyFill="1" applyBorder="1" applyAlignment="1"/>
    <xf numFmtId="165" fontId="3" fillId="4" borderId="13" xfId="1" applyNumberFormat="1" applyFont="1" applyFill="1" applyBorder="1" applyAlignment="1"/>
    <xf numFmtId="165" fontId="3" fillId="4" borderId="16" xfId="1" applyNumberFormat="1" applyFont="1" applyFill="1" applyBorder="1" applyAlignment="1"/>
    <xf numFmtId="165" fontId="4" fillId="4" borderId="0" xfId="1" applyNumberFormat="1" applyFont="1" applyFill="1" applyBorder="1" applyAlignment="1"/>
    <xf numFmtId="165" fontId="3" fillId="4" borderId="0" xfId="1" applyNumberFormat="1" applyFont="1" applyFill="1" applyBorder="1" applyAlignment="1"/>
    <xf numFmtId="165" fontId="3" fillId="4" borderId="10" xfId="1" applyNumberFormat="1" applyFont="1" applyFill="1" applyBorder="1" applyAlignment="1"/>
    <xf numFmtId="165" fontId="2" fillId="4" borderId="0" xfId="1" applyNumberFormat="1" applyFont="1" applyFill="1" applyBorder="1" applyAlignment="1"/>
    <xf numFmtId="165" fontId="4" fillId="4" borderId="10" xfId="1" applyNumberFormat="1" applyFont="1" applyFill="1" applyBorder="1" applyAlignment="1"/>
    <xf numFmtId="165" fontId="4" fillId="4" borderId="2" xfId="1" applyNumberFormat="1" applyFont="1" applyFill="1" applyBorder="1" applyAlignment="1"/>
    <xf numFmtId="165" fontId="4" fillId="4" borderId="8" xfId="1" applyNumberFormat="1" applyFont="1" applyFill="1" applyBorder="1" applyAlignment="1"/>
    <xf numFmtId="165" fontId="2" fillId="5" borderId="4" xfId="1" applyNumberFormat="1" applyFont="1" applyFill="1" applyBorder="1" applyAlignment="1"/>
    <xf numFmtId="165" fontId="3" fillId="4" borderId="12" xfId="1" applyNumberFormat="1" applyFont="1" applyFill="1" applyBorder="1" applyAlignment="1"/>
    <xf numFmtId="165" fontId="4" fillId="4" borderId="16" xfId="1" applyNumberFormat="1" applyFont="1" applyFill="1" applyBorder="1" applyAlignment="1"/>
    <xf numFmtId="165" fontId="2" fillId="4" borderId="14" xfId="1" applyNumberFormat="1" applyFont="1" applyFill="1" applyBorder="1" applyAlignment="1"/>
    <xf numFmtId="165" fontId="4" fillId="4" borderId="11" xfId="1" applyNumberFormat="1" applyFont="1" applyFill="1" applyBorder="1" applyAlignment="1"/>
    <xf numFmtId="165" fontId="4" fillId="4" borderId="6" xfId="1" applyNumberFormat="1" applyFont="1" applyFill="1" applyBorder="1" applyAlignment="1"/>
    <xf numFmtId="165" fontId="4" fillId="4" borderId="4" xfId="1" applyNumberFormat="1" applyFont="1" applyFill="1" applyBorder="1" applyAlignment="1"/>
    <xf numFmtId="165" fontId="3" fillId="4" borderId="14" xfId="1" applyNumberFormat="1" applyFont="1" applyFill="1" applyBorder="1" applyAlignment="1"/>
    <xf numFmtId="165" fontId="4" fillId="4" borderId="14" xfId="1" applyNumberFormat="1" applyFont="1" applyFill="1" applyBorder="1" applyAlignment="1"/>
    <xf numFmtId="165" fontId="4" fillId="4" borderId="12" xfId="1" applyNumberFormat="1" applyFont="1" applyFill="1" applyBorder="1" applyAlignment="1"/>
    <xf numFmtId="165" fontId="6" fillId="4" borderId="2" xfId="1" applyNumberFormat="1" applyFont="1" applyFill="1" applyBorder="1" applyAlignment="1"/>
    <xf numFmtId="165" fontId="6" fillId="4" borderId="6" xfId="1" applyNumberFormat="1" applyFont="1" applyFill="1" applyBorder="1" applyAlignment="1"/>
    <xf numFmtId="165" fontId="6" fillId="4" borderId="8" xfId="1" applyNumberFormat="1" applyFont="1" applyFill="1" applyBorder="1" applyAlignment="1"/>
    <xf numFmtId="165" fontId="6" fillId="4" borderId="14" xfId="1" applyNumberFormat="1" applyFont="1" applyFill="1" applyBorder="1" applyAlignment="1"/>
    <xf numFmtId="165" fontId="3" fillId="4" borderId="4" xfId="0" applyNumberFormat="1" applyFont="1" applyFill="1" applyBorder="1" applyAlignment="1"/>
    <xf numFmtId="165" fontId="4" fillId="4" borderId="4" xfId="0" applyNumberFormat="1" applyFont="1" applyFill="1" applyBorder="1" applyAlignment="1"/>
    <xf numFmtId="165" fontId="4" fillId="7" borderId="4" xfId="1" applyNumberFormat="1" applyFont="1" applyFill="1" applyBorder="1" applyAlignment="1"/>
    <xf numFmtId="165" fontId="2" fillId="9" borderId="8" xfId="1" applyNumberFormat="1" applyFont="1" applyFill="1" applyBorder="1" applyAlignment="1"/>
    <xf numFmtId="165" fontId="2" fillId="9" borderId="3" xfId="1" applyNumberFormat="1" applyFont="1" applyFill="1" applyBorder="1" applyAlignment="1"/>
    <xf numFmtId="165" fontId="2" fillId="9" borderId="11" xfId="1" applyNumberFormat="1" applyFont="1" applyFill="1" applyBorder="1" applyAlignment="1"/>
    <xf numFmtId="165" fontId="2" fillId="9" borderId="4" xfId="1" applyNumberFormat="1" applyFont="1" applyFill="1" applyBorder="1" applyAlignment="1"/>
    <xf numFmtId="165" fontId="2" fillId="3" borderId="0" xfId="1" applyNumberFormat="1" applyFont="1" applyFill="1" applyBorder="1" applyAlignment="1"/>
    <xf numFmtId="165" fontId="6" fillId="4" borderId="0" xfId="1" applyNumberFormat="1" applyFont="1" applyFill="1" applyBorder="1" applyAlignment="1"/>
    <xf numFmtId="165" fontId="6" fillId="4" borderId="0" xfId="1" applyNumberFormat="1" applyFont="1" applyFill="1" applyAlignment="1"/>
    <xf numFmtId="165" fontId="6" fillId="4" borderId="1" xfId="1" applyNumberFormat="1" applyFont="1" applyFill="1" applyBorder="1" applyAlignment="1"/>
    <xf numFmtId="165" fontId="6" fillId="4" borderId="5" xfId="1" applyNumberFormat="1" applyFont="1" applyFill="1" applyBorder="1" applyAlignment="1"/>
    <xf numFmtId="165" fontId="2" fillId="4" borderId="0" xfId="1" applyNumberFormat="1" applyFont="1" applyFill="1" applyAlignment="1"/>
    <xf numFmtId="165" fontId="3" fillId="9" borderId="2" xfId="1" applyNumberFormat="1" applyFont="1" applyFill="1" applyBorder="1" applyAlignment="1"/>
    <xf numFmtId="165" fontId="2" fillId="3" borderId="16" xfId="1" applyNumberFormat="1" applyFont="1" applyFill="1" applyBorder="1" applyAlignment="1"/>
    <xf numFmtId="165" fontId="6" fillId="4" borderId="2" xfId="1" applyNumberFormat="1" applyFont="1" applyFill="1" applyBorder="1" applyAlignment="1">
      <alignment wrapText="1"/>
    </xf>
    <xf numFmtId="165" fontId="2" fillId="3" borderId="12" xfId="1" applyNumberFormat="1" applyFont="1" applyFill="1" applyBorder="1" applyAlignment="1"/>
    <xf numFmtId="165" fontId="7" fillId="4" borderId="2" xfId="1" applyNumberFormat="1" applyFont="1" applyFill="1" applyBorder="1" applyAlignment="1"/>
    <xf numFmtId="165" fontId="4" fillId="4" borderId="15" xfId="1" applyNumberFormat="1" applyFont="1" applyFill="1" applyBorder="1" applyAlignment="1"/>
    <xf numFmtId="165" fontId="7" fillId="4" borderId="8" xfId="1" applyNumberFormat="1" applyFont="1" applyFill="1" applyBorder="1" applyAlignment="1"/>
    <xf numFmtId="165" fontId="6" fillId="4" borderId="12" xfId="1" applyNumberFormat="1" applyFont="1" applyFill="1" applyBorder="1" applyAlignment="1"/>
    <xf numFmtId="165" fontId="4" fillId="10" borderId="2" xfId="1" applyNumberFormat="1" applyFont="1" applyFill="1" applyBorder="1" applyAlignment="1"/>
    <xf numFmtId="165" fontId="2" fillId="6" borderId="2" xfId="1" applyNumberFormat="1" applyFont="1" applyFill="1" applyBorder="1" applyAlignment="1"/>
    <xf numFmtId="165" fontId="2" fillId="10" borderId="3" xfId="1" applyNumberFormat="1" applyFont="1" applyFill="1" applyBorder="1" applyAlignment="1"/>
    <xf numFmtId="165" fontId="3" fillId="9" borderId="8" xfId="1" applyNumberFormat="1" applyFont="1" applyFill="1" applyBorder="1" applyAlignment="1"/>
    <xf numFmtId="165" fontId="2" fillId="9" borderId="14" xfId="1" applyNumberFormat="1" applyFont="1" applyFill="1" applyBorder="1" applyAlignment="1"/>
    <xf numFmtId="165" fontId="2" fillId="3" borderId="4" xfId="1" applyNumberFormat="1" applyFont="1" applyFill="1" applyBorder="1" applyAlignment="1">
      <alignment vertical="top"/>
    </xf>
    <xf numFmtId="165" fontId="2" fillId="3" borderId="1" xfId="1" applyNumberFormat="1" applyFont="1" applyFill="1" applyBorder="1" applyAlignment="1"/>
    <xf numFmtId="165" fontId="6" fillId="4" borderId="11" xfId="1" applyNumberFormat="1" applyFont="1" applyFill="1" applyBorder="1" applyAlignment="1"/>
    <xf numFmtId="165" fontId="2" fillId="3" borderId="19" xfId="1" applyNumberFormat="1" applyFont="1" applyFill="1" applyBorder="1" applyAlignment="1"/>
    <xf numFmtId="165" fontId="3" fillId="4" borderId="7" xfId="1" applyNumberFormat="1" applyFont="1" applyFill="1" applyBorder="1" applyAlignment="1"/>
    <xf numFmtId="165" fontId="6" fillId="4" borderId="7" xfId="1" applyNumberFormat="1" applyFont="1" applyFill="1" applyBorder="1" applyAlignment="1"/>
    <xf numFmtId="165" fontId="2" fillId="3" borderId="7" xfId="1" applyNumberFormat="1" applyFont="1" applyFill="1" applyBorder="1" applyAlignment="1"/>
    <xf numFmtId="165" fontId="4" fillId="11" borderId="2" xfId="0" applyNumberFormat="1" applyFont="1" applyFill="1" applyBorder="1" applyAlignment="1"/>
    <xf numFmtId="165" fontId="2" fillId="4" borderId="2" xfId="0" applyNumberFormat="1" applyFont="1" applyFill="1" applyBorder="1" applyAlignment="1"/>
    <xf numFmtId="165" fontId="2" fillId="4" borderId="5" xfId="0" applyNumberFormat="1" applyFont="1" applyFill="1" applyBorder="1" applyAlignment="1"/>
    <xf numFmtId="165" fontId="4" fillId="4" borderId="5" xfId="0" applyNumberFormat="1" applyFont="1" applyFill="1" applyBorder="1" applyAlignment="1"/>
    <xf numFmtId="165" fontId="4" fillId="11" borderId="16" xfId="0" applyNumberFormat="1" applyFont="1" applyFill="1" applyBorder="1" applyAlignment="1"/>
    <xf numFmtId="165" fontId="2" fillId="9" borderId="4" xfId="0" applyNumberFormat="1" applyFont="1" applyFill="1" applyBorder="1" applyAlignment="1"/>
    <xf numFmtId="165" fontId="2" fillId="4" borderId="8" xfId="0" applyNumberFormat="1" applyFont="1" applyFill="1" applyBorder="1" applyAlignment="1"/>
    <xf numFmtId="165" fontId="4" fillId="4" borderId="8" xfId="0" applyNumberFormat="1" applyFont="1" applyFill="1" applyBorder="1" applyAlignment="1"/>
    <xf numFmtId="165" fontId="4" fillId="11" borderId="3" xfId="0" applyNumberFormat="1" applyFont="1" applyFill="1" applyBorder="1" applyAlignment="1"/>
    <xf numFmtId="165" fontId="2" fillId="9" borderId="2" xfId="0" applyNumberFormat="1" applyFont="1" applyFill="1" applyBorder="1" applyAlignment="1"/>
    <xf numFmtId="165" fontId="2" fillId="3" borderId="2" xfId="0" applyNumberFormat="1" applyFont="1" applyFill="1" applyBorder="1" applyAlignment="1"/>
    <xf numFmtId="165" fontId="2" fillId="13" borderId="2" xfId="0" applyNumberFormat="1" applyFont="1" applyFill="1" applyBorder="1" applyAlignment="1"/>
    <xf numFmtId="165" fontId="2" fillId="3" borderId="3" xfId="0" applyNumberFormat="1" applyFont="1" applyFill="1" applyBorder="1" applyAlignment="1"/>
    <xf numFmtId="165" fontId="2" fillId="3" borderId="11" xfId="0" applyNumberFormat="1" applyFont="1" applyFill="1" applyBorder="1" applyAlignment="1"/>
    <xf numFmtId="165" fontId="3" fillId="4" borderId="2" xfId="0" applyNumberFormat="1" applyFont="1" applyFill="1" applyBorder="1" applyAlignment="1"/>
    <xf numFmtId="165" fontId="2" fillId="4" borderId="3" xfId="0" applyNumberFormat="1" applyFont="1" applyFill="1" applyBorder="1" applyAlignment="1"/>
    <xf numFmtId="165" fontId="2" fillId="4" borderId="11" xfId="0" applyNumberFormat="1" applyFont="1" applyFill="1" applyBorder="1" applyAlignment="1"/>
    <xf numFmtId="165" fontId="2" fillId="3" borderId="8" xfId="0" applyNumberFormat="1" applyFont="1" applyFill="1" applyBorder="1" applyAlignment="1"/>
    <xf numFmtId="165" fontId="6" fillId="4" borderId="4" xfId="0" applyNumberFormat="1" applyFont="1" applyFill="1" applyBorder="1" applyAlignment="1"/>
    <xf numFmtId="165" fontId="2" fillId="13" borderId="8" xfId="0" applyNumberFormat="1" applyFont="1" applyFill="1" applyBorder="1" applyAlignment="1"/>
    <xf numFmtId="165" fontId="2" fillId="4" borderId="4" xfId="0" applyNumberFormat="1" applyFont="1" applyFill="1" applyBorder="1" applyAlignment="1"/>
    <xf numFmtId="165" fontId="3" fillId="4" borderId="11" xfId="0" applyNumberFormat="1" applyFont="1" applyFill="1" applyBorder="1" applyAlignment="1"/>
    <xf numFmtId="0" fontId="2" fillId="4" borderId="2" xfId="0" applyFont="1" applyFill="1" applyBorder="1" applyAlignment="1"/>
    <xf numFmtId="0" fontId="6" fillId="4" borderId="4" xfId="0" applyFont="1" applyFill="1" applyBorder="1" applyAlignment="1"/>
    <xf numFmtId="0" fontId="2" fillId="4" borderId="6" xfId="0" applyFont="1" applyFill="1" applyBorder="1" applyAlignment="1"/>
    <xf numFmtId="0" fontId="2" fillId="4" borderId="4" xfId="0" applyFont="1" applyFill="1" applyBorder="1" applyAlignment="1"/>
    <xf numFmtId="165" fontId="2" fillId="3" borderId="14" xfId="0" applyNumberFormat="1" applyFont="1" applyFill="1" applyBorder="1" applyAlignment="1"/>
    <xf numFmtId="165" fontId="3" fillId="4" borderId="5" xfId="0" applyNumberFormat="1" applyFont="1" applyFill="1" applyBorder="1" applyAlignment="1"/>
    <xf numFmtId="165" fontId="3" fillId="9" borderId="10" xfId="0" applyNumberFormat="1" applyFont="1" applyFill="1" applyBorder="1" applyAlignment="1"/>
    <xf numFmtId="165" fontId="6" fillId="4" borderId="12" xfId="0" applyNumberFormat="1" applyFont="1" applyFill="1" applyBorder="1" applyAlignment="1"/>
    <xf numFmtId="165" fontId="2" fillId="3" borderId="6" xfId="0" applyNumberFormat="1" applyFont="1" applyFill="1" applyBorder="1" applyAlignment="1"/>
    <xf numFmtId="165" fontId="2" fillId="3" borderId="4" xfId="0" applyNumberFormat="1" applyFont="1" applyFill="1" applyBorder="1" applyAlignment="1"/>
    <xf numFmtId="165" fontId="2" fillId="13" borderId="4" xfId="0" applyNumberFormat="1" applyFont="1" applyFill="1" applyBorder="1" applyAlignment="1"/>
    <xf numFmtId="0" fontId="2" fillId="4" borderId="5" xfId="0" applyFont="1" applyFill="1" applyBorder="1" applyAlignment="1"/>
    <xf numFmtId="0" fontId="2" fillId="4" borderId="17" xfId="0" applyFont="1" applyFill="1" applyBorder="1" applyAlignment="1"/>
    <xf numFmtId="0" fontId="2" fillId="4" borderId="12" xfId="0" applyFont="1" applyFill="1" applyBorder="1" applyAlignment="1"/>
    <xf numFmtId="0" fontId="2" fillId="12" borderId="5" xfId="0" applyFont="1" applyFill="1" applyBorder="1" applyAlignment="1"/>
    <xf numFmtId="0" fontId="6" fillId="4" borderId="7" xfId="0" applyFont="1" applyFill="1" applyBorder="1" applyAlignment="1"/>
    <xf numFmtId="165" fontId="3" fillId="9" borderId="14" xfId="0" applyNumberFormat="1" applyFont="1" applyFill="1" applyBorder="1" applyAlignment="1"/>
    <xf numFmtId="165" fontId="2" fillId="13" borderId="14" xfId="0" applyNumberFormat="1" applyFont="1" applyFill="1" applyBorder="1" applyAlignment="1"/>
    <xf numFmtId="0" fontId="6" fillId="4" borderId="18" xfId="0" applyFont="1" applyFill="1" applyBorder="1" applyAlignment="1"/>
    <xf numFmtId="165" fontId="3" fillId="4" borderId="1" xfId="0" applyNumberFormat="1" applyFont="1" applyFill="1" applyBorder="1" applyAlignment="1"/>
    <xf numFmtId="165" fontId="2" fillId="3" borderId="1" xfId="0" applyNumberFormat="1" applyFont="1" applyFill="1" applyBorder="1" applyAlignment="1"/>
    <xf numFmtId="165" fontId="2" fillId="3" borderId="21" xfId="0" applyNumberFormat="1" applyFont="1" applyFill="1" applyBorder="1" applyAlignment="1"/>
    <xf numFmtId="165" fontId="3" fillId="9" borderId="4" xfId="0" applyNumberFormat="1" applyFont="1" applyFill="1" applyBorder="1"/>
    <xf numFmtId="0" fontId="2" fillId="4" borderId="9" xfId="0" applyFont="1" applyFill="1" applyBorder="1" applyAlignment="1"/>
    <xf numFmtId="165" fontId="2" fillId="9" borderId="6" xfId="0" applyNumberFormat="1" applyFont="1" applyFill="1" applyBorder="1" applyAlignment="1"/>
    <xf numFmtId="17" fontId="4" fillId="4" borderId="4" xfId="0" applyNumberFormat="1" applyFont="1" applyFill="1" applyBorder="1"/>
    <xf numFmtId="165" fontId="2" fillId="9" borderId="8" xfId="0" applyNumberFormat="1" applyFont="1" applyFill="1" applyBorder="1" applyAlignment="1"/>
    <xf numFmtId="0" fontId="2" fillId="4" borderId="3" xfId="0" applyFont="1" applyFill="1" applyBorder="1"/>
    <xf numFmtId="165" fontId="2" fillId="9" borderId="3" xfId="0" applyNumberFormat="1" applyFont="1" applyFill="1" applyBorder="1" applyAlignment="1"/>
    <xf numFmtId="165" fontId="4" fillId="4" borderId="23" xfId="0" applyNumberFormat="1" applyFont="1" applyFill="1" applyBorder="1" applyAlignment="1"/>
    <xf numFmtId="165" fontId="3" fillId="4" borderId="3" xfId="0" applyNumberFormat="1" applyFont="1" applyFill="1" applyBorder="1" applyAlignment="1"/>
    <xf numFmtId="0" fontId="2" fillId="12" borderId="5" xfId="0" applyFont="1" applyFill="1" applyBorder="1"/>
    <xf numFmtId="0" fontId="4" fillId="5" borderId="4" xfId="0" applyFont="1" applyFill="1" applyBorder="1"/>
    <xf numFmtId="165" fontId="2" fillId="3" borderId="21" xfId="0" applyNumberFormat="1" applyFont="1" applyFill="1" applyBorder="1"/>
    <xf numFmtId="0" fontId="2" fillId="5" borderId="15" xfId="0" applyFont="1" applyFill="1" applyBorder="1"/>
    <xf numFmtId="0" fontId="2" fillId="5" borderId="1" xfId="0" applyFont="1" applyFill="1" applyBorder="1"/>
    <xf numFmtId="0" fontId="4" fillId="5" borderId="23" xfId="0" applyFont="1" applyFill="1" applyBorder="1"/>
    <xf numFmtId="165" fontId="2" fillId="3" borderId="23" xfId="0" applyNumberFormat="1" applyFont="1" applyFill="1" applyBorder="1"/>
    <xf numFmtId="165" fontId="2" fillId="13" borderId="23" xfId="0" applyNumberFormat="1" applyFont="1" applyFill="1" applyBorder="1"/>
    <xf numFmtId="0" fontId="2" fillId="5" borderId="18" xfId="0" applyFont="1" applyFill="1" applyBorder="1"/>
    <xf numFmtId="0" fontId="6" fillId="4" borderId="4" xfId="0" applyFont="1" applyFill="1" applyBorder="1" applyAlignment="1">
      <alignment horizontal="left"/>
    </xf>
    <xf numFmtId="165" fontId="6" fillId="4" borderId="2" xfId="0" applyNumberFormat="1" applyFont="1" applyFill="1" applyBorder="1" applyAlignment="1"/>
    <xf numFmtId="165" fontId="3" fillId="4" borderId="6" xfId="0" applyNumberFormat="1" applyFont="1" applyFill="1" applyBorder="1" applyAlignment="1">
      <alignment horizontal="right"/>
    </xf>
    <xf numFmtId="165" fontId="6" fillId="4" borderId="2" xfId="0" applyNumberFormat="1" applyFont="1" applyFill="1" applyBorder="1" applyAlignment="1">
      <alignment horizontal="right"/>
    </xf>
    <xf numFmtId="165" fontId="6" fillId="4" borderId="8" xfId="0" applyNumberFormat="1" applyFont="1" applyFill="1" applyBorder="1" applyAlignment="1"/>
    <xf numFmtId="165" fontId="3" fillId="4" borderId="8" xfId="0" applyNumberFormat="1" applyFont="1" applyFill="1" applyBorder="1" applyAlignment="1"/>
    <xf numFmtId="17" fontId="6" fillId="4" borderId="4" xfId="0" applyNumberFormat="1" applyFont="1" applyFill="1" applyBorder="1" applyAlignment="1"/>
    <xf numFmtId="0" fontId="2" fillId="2" borderId="2" xfId="0" applyFont="1" applyFill="1" applyBorder="1" applyAlignment="1"/>
    <xf numFmtId="165" fontId="3" fillId="4" borderId="0" xfId="0" applyNumberFormat="1" applyFont="1" applyFill="1"/>
    <xf numFmtId="165" fontId="3" fillId="4" borderId="8" xfId="0" applyNumberFormat="1" applyFont="1" applyFill="1" applyBorder="1"/>
    <xf numFmtId="165" fontId="2" fillId="4" borderId="2" xfId="0" applyNumberFormat="1" applyFont="1" applyFill="1" applyBorder="1"/>
    <xf numFmtId="165" fontId="6" fillId="4" borderId="0" xfId="0" applyNumberFormat="1" applyFont="1" applyFill="1"/>
    <xf numFmtId="0" fontId="4" fillId="4" borderId="2" xfId="0" applyFont="1" applyFill="1" applyBorder="1" applyAlignment="1">
      <alignment horizontal="left"/>
    </xf>
    <xf numFmtId="0" fontId="4" fillId="4" borderId="2" xfId="0" applyFont="1" applyFill="1" applyBorder="1" applyAlignment="1"/>
    <xf numFmtId="0" fontId="6" fillId="4" borderId="2" xfId="0" applyFont="1" applyFill="1" applyBorder="1" applyAlignment="1"/>
    <xf numFmtId="165" fontId="4" fillId="0" borderId="2" xfId="0" applyNumberFormat="1" applyFont="1" applyBorder="1" applyAlignment="1">
      <alignment horizontal="right"/>
    </xf>
    <xf numFmtId="165" fontId="6" fillId="0" borderId="2" xfId="0" applyNumberFormat="1" applyFont="1" applyBorder="1" applyAlignment="1">
      <alignment horizontal="right"/>
    </xf>
    <xf numFmtId="165" fontId="4" fillId="0" borderId="2" xfId="0" applyNumberFormat="1" applyFont="1" applyBorder="1" applyAlignment="1"/>
    <xf numFmtId="165" fontId="6" fillId="0" borderId="2" xfId="0" applyNumberFormat="1" applyFont="1" applyBorder="1" applyAlignment="1"/>
    <xf numFmtId="165" fontId="4" fillId="4" borderId="2" xfId="0" applyNumberFormat="1" applyFont="1" applyFill="1" applyBorder="1" applyAlignment="1">
      <alignment horizontal="right"/>
    </xf>
    <xf numFmtId="165" fontId="4" fillId="4" borderId="2" xfId="0" applyNumberFormat="1" applyFont="1" applyFill="1" applyBorder="1" applyAlignment="1"/>
    <xf numFmtId="165" fontId="6" fillId="0" borderId="6" xfId="0" applyNumberFormat="1" applyFont="1" applyBorder="1" applyAlignment="1">
      <alignment horizontal="right"/>
    </xf>
    <xf numFmtId="165" fontId="6" fillId="4" borderId="6" xfId="0" applyNumberFormat="1" applyFont="1" applyFill="1" applyBorder="1" applyAlignment="1">
      <alignment horizontal="right"/>
    </xf>
    <xf numFmtId="0" fontId="2" fillId="4" borderId="0" xfId="0" applyFont="1" applyFill="1" applyBorder="1"/>
    <xf numFmtId="0" fontId="2" fillId="4" borderId="0" xfId="0" applyFont="1" applyFill="1"/>
    <xf numFmtId="165" fontId="2" fillId="4" borderId="3" xfId="0" applyNumberFormat="1" applyFont="1" applyFill="1" applyBorder="1"/>
    <xf numFmtId="0" fontId="2" fillId="4" borderId="4" xfId="0" applyFont="1" applyFill="1" applyBorder="1" applyAlignment="1">
      <alignment horizontal="left"/>
    </xf>
    <xf numFmtId="0" fontId="6" fillId="4" borderId="5" xfId="0" applyFont="1" applyFill="1" applyBorder="1" applyAlignment="1">
      <alignment horizontal="left"/>
    </xf>
    <xf numFmtId="0" fontId="2" fillId="4" borderId="6" xfId="0" applyFont="1" applyFill="1" applyBorder="1" applyAlignment="1">
      <alignment horizontal="left"/>
    </xf>
    <xf numFmtId="0" fontId="2" fillId="4" borderId="12" xfId="0" applyFont="1" applyFill="1" applyBorder="1" applyAlignment="1">
      <alignment horizontal="left"/>
    </xf>
    <xf numFmtId="0" fontId="4" fillId="4" borderId="0" xfId="0" applyFont="1" applyFill="1"/>
    <xf numFmtId="0" fontId="4" fillId="4" borderId="17" xfId="0" applyFont="1" applyFill="1" applyBorder="1" applyAlignment="1">
      <alignment horizontal="left"/>
    </xf>
    <xf numFmtId="0" fontId="6" fillId="4" borderId="18" xfId="0" applyFont="1" applyFill="1" applyBorder="1"/>
    <xf numFmtId="0" fontId="6" fillId="4" borderId="20" xfId="0" applyFont="1" applyFill="1" applyBorder="1"/>
    <xf numFmtId="166" fontId="6" fillId="4" borderId="0" xfId="0" applyNumberFormat="1" applyFont="1" applyFill="1" applyBorder="1"/>
    <xf numFmtId="0" fontId="4" fillId="4" borderId="0" xfId="0" applyFont="1" applyFill="1" applyBorder="1"/>
    <xf numFmtId="0" fontId="4" fillId="4" borderId="15" xfId="0" applyFont="1" applyFill="1" applyBorder="1"/>
    <xf numFmtId="0" fontId="2" fillId="4" borderId="17" xfId="0" applyFont="1" applyFill="1" applyBorder="1"/>
    <xf numFmtId="0" fontId="4" fillId="4" borderId="18" xfId="0" applyFont="1" applyFill="1" applyBorder="1"/>
    <xf numFmtId="0" fontId="4" fillId="4" borderId="1" xfId="0" applyFont="1" applyFill="1" applyBorder="1" applyAlignment="1">
      <alignment horizontal="left"/>
    </xf>
    <xf numFmtId="0" fontId="4" fillId="4" borderId="4" xfId="0" applyFont="1" applyFill="1" applyBorder="1" applyAlignment="1">
      <alignment horizontal="left"/>
    </xf>
    <xf numFmtId="165" fontId="6" fillId="0" borderId="6" xfId="0" applyNumberFormat="1" applyFont="1" applyBorder="1" applyAlignment="1"/>
    <xf numFmtId="0" fontId="6" fillId="4" borderId="6" xfId="0" applyFont="1" applyFill="1" applyBorder="1" applyAlignment="1"/>
    <xf numFmtId="165" fontId="6" fillId="4" borderId="5" xfId="0" applyNumberFormat="1" applyFont="1" applyFill="1" applyBorder="1" applyAlignment="1"/>
    <xf numFmtId="165" fontId="4" fillId="0" borderId="8" xfId="0" applyNumberFormat="1" applyFont="1" applyBorder="1" applyAlignment="1"/>
    <xf numFmtId="165" fontId="6" fillId="4" borderId="6" xfId="0" applyNumberFormat="1" applyFont="1" applyFill="1" applyBorder="1" applyAlignment="1"/>
    <xf numFmtId="165" fontId="6" fillId="4" borderId="1" xfId="0" applyNumberFormat="1" applyFont="1" applyFill="1" applyBorder="1" applyAlignment="1"/>
    <xf numFmtId="165" fontId="4" fillId="4" borderId="6" xfId="0" applyNumberFormat="1" applyFont="1" applyFill="1" applyBorder="1" applyAlignment="1"/>
    <xf numFmtId="165" fontId="6" fillId="4" borderId="4" xfId="0" applyNumberFormat="1" applyFont="1" applyFill="1" applyBorder="1" applyAlignment="1">
      <alignment vertical="center"/>
    </xf>
    <xf numFmtId="165" fontId="4" fillId="4" borderId="14" xfId="0" applyNumberFormat="1" applyFont="1" applyFill="1" applyBorder="1" applyAlignment="1"/>
    <xf numFmtId="165" fontId="4" fillId="4" borderId="2" xfId="0" applyNumberFormat="1" applyFont="1" applyFill="1" applyBorder="1"/>
    <xf numFmtId="165" fontId="6" fillId="4" borderId="6" xfId="0" applyNumberFormat="1" applyFont="1" applyFill="1" applyBorder="1"/>
    <xf numFmtId="165" fontId="6" fillId="4" borderId="3" xfId="0" applyNumberFormat="1" applyFont="1" applyFill="1" applyBorder="1"/>
    <xf numFmtId="165" fontId="4" fillId="4" borderId="18" xfId="0" applyNumberFormat="1" applyFont="1" applyFill="1" applyBorder="1" applyAlignment="1"/>
    <xf numFmtId="165" fontId="4" fillId="4" borderId="4" xfId="0" applyNumberFormat="1" applyFont="1" applyFill="1" applyBorder="1"/>
    <xf numFmtId="165" fontId="6" fillId="4" borderId="5" xfId="0" applyNumberFormat="1" applyFont="1" applyFill="1" applyBorder="1"/>
    <xf numFmtId="165" fontId="6" fillId="4" borderId="12" xfId="0" applyNumberFormat="1" applyFont="1" applyFill="1" applyBorder="1"/>
    <xf numFmtId="165" fontId="4" fillId="0" borderId="4" xfId="0" applyNumberFormat="1" applyFont="1" applyBorder="1" applyAlignment="1"/>
    <xf numFmtId="165" fontId="4" fillId="0" borderId="4" xfId="1" applyNumberFormat="1" applyFont="1" applyBorder="1" applyAlignment="1"/>
    <xf numFmtId="165" fontId="6" fillId="4" borderId="15" xfId="1" applyNumberFormat="1" applyFont="1" applyFill="1" applyBorder="1" applyAlignment="1"/>
    <xf numFmtId="0" fontId="4" fillId="4" borderId="7" xfId="0" applyFont="1" applyFill="1" applyBorder="1"/>
    <xf numFmtId="165" fontId="4" fillId="4" borderId="7" xfId="0" applyNumberFormat="1" applyFont="1" applyFill="1" applyBorder="1" applyAlignment="1"/>
    <xf numFmtId="165" fontId="4" fillId="4" borderId="4" xfId="1" applyNumberFormat="1" applyFont="1" applyFill="1" applyBorder="1"/>
    <xf numFmtId="165" fontId="6" fillId="4" borderId="4" xfId="1" applyNumberFormat="1" applyFont="1" applyFill="1" applyBorder="1"/>
    <xf numFmtId="0" fontId="2" fillId="14" borderId="2" xfId="0" applyFont="1" applyFill="1" applyBorder="1"/>
    <xf numFmtId="0" fontId="6" fillId="4" borderId="4" xfId="0" applyFont="1" applyFill="1" applyBorder="1" applyAlignment="1">
      <alignment horizontal="center"/>
    </xf>
    <xf numFmtId="0" fontId="2" fillId="0" borderId="6" xfId="0" applyFont="1" applyBorder="1"/>
    <xf numFmtId="165" fontId="3" fillId="4" borderId="6" xfId="0" applyNumberFormat="1" applyFont="1" applyFill="1" applyBorder="1" applyAlignment="1"/>
    <xf numFmtId="165" fontId="2" fillId="3" borderId="5" xfId="0" applyNumberFormat="1" applyFont="1" applyFill="1" applyBorder="1" applyAlignment="1"/>
    <xf numFmtId="165" fontId="2" fillId="3" borderId="12" xfId="0" applyNumberFormat="1" applyFont="1" applyFill="1" applyBorder="1" applyAlignment="1"/>
    <xf numFmtId="0" fontId="2" fillId="0" borderId="2" xfId="0" applyFont="1" applyBorder="1" applyAlignment="1">
      <alignment horizontal="left"/>
    </xf>
    <xf numFmtId="165" fontId="3" fillId="4" borderId="14" xfId="0" applyNumberFormat="1" applyFont="1" applyFill="1" applyBorder="1" applyAlignment="1"/>
    <xf numFmtId="0" fontId="6" fillId="4" borderId="19" xfId="0" applyFont="1" applyFill="1" applyBorder="1"/>
    <xf numFmtId="17" fontId="6" fillId="0" borderId="7" xfId="0" applyNumberFormat="1" applyFont="1" applyBorder="1"/>
    <xf numFmtId="0" fontId="6" fillId="0" borderId="7" xfId="0" applyFont="1" applyBorder="1"/>
    <xf numFmtId="0" fontId="6" fillId="0" borderId="0" xfId="0" applyFont="1" applyBorder="1"/>
    <xf numFmtId="165" fontId="2" fillId="9" borderId="14" xfId="0" applyNumberFormat="1" applyFont="1" applyFill="1" applyBorder="1" applyAlignment="1"/>
    <xf numFmtId="165" fontId="6" fillId="4" borderId="0" xfId="0" applyNumberFormat="1" applyFont="1" applyFill="1" applyAlignment="1"/>
    <xf numFmtId="165" fontId="2" fillId="9" borderId="10" xfId="0" applyNumberFormat="1" applyFont="1" applyFill="1" applyBorder="1" applyAlignment="1"/>
    <xf numFmtId="165" fontId="2" fillId="13" borderId="3" xfId="0" applyNumberFormat="1" applyFont="1" applyFill="1" applyBorder="1" applyAlignment="1"/>
    <xf numFmtId="0" fontId="2" fillId="9" borderId="5" xfId="0" applyFont="1" applyFill="1" applyBorder="1"/>
    <xf numFmtId="165" fontId="2" fillId="13" borderId="11" xfId="0" applyNumberFormat="1" applyFont="1" applyFill="1" applyBorder="1" applyAlignment="1"/>
    <xf numFmtId="0" fontId="2" fillId="9" borderId="2" xfId="0" applyFont="1" applyFill="1" applyBorder="1" applyAlignment="1"/>
    <xf numFmtId="165" fontId="3" fillId="9" borderId="4" xfId="0" applyNumberFormat="1" applyFont="1" applyFill="1" applyBorder="1" applyAlignment="1"/>
    <xf numFmtId="165" fontId="3" fillId="9" borderId="8" xfId="0" applyNumberFormat="1" applyFont="1" applyFill="1" applyBorder="1" applyAlignment="1"/>
    <xf numFmtId="0" fontId="2" fillId="9" borderId="5" xfId="0" applyFont="1" applyFill="1" applyBorder="1" applyAlignment="1"/>
    <xf numFmtId="0" fontId="6" fillId="0" borderId="18" xfId="0" applyFont="1" applyBorder="1"/>
    <xf numFmtId="0" fontId="6" fillId="0" borderId="2" xfId="0" applyFont="1" applyBorder="1"/>
    <xf numFmtId="0" fontId="4" fillId="4" borderId="4" xfId="0" applyFont="1" applyFill="1" applyBorder="1" applyAlignment="1"/>
    <xf numFmtId="165" fontId="0" fillId="4" borderId="2" xfId="0" applyNumberFormat="1" applyFont="1" applyFill="1" applyBorder="1" applyAlignment="1"/>
    <xf numFmtId="165" fontId="3" fillId="4" borderId="0" xfId="0" applyNumberFormat="1" applyFont="1" applyFill="1" applyAlignment="1"/>
    <xf numFmtId="165" fontId="6" fillId="4" borderId="2" xfId="0" applyNumberFormat="1" applyFont="1" applyFill="1" applyBorder="1" applyAlignment="1">
      <alignment vertical="center"/>
    </xf>
    <xf numFmtId="0" fontId="0" fillId="0" borderId="0" xfId="0" applyBorder="1"/>
    <xf numFmtId="0" fontId="4" fillId="15" borderId="13" xfId="0" applyFont="1" applyFill="1" applyBorder="1"/>
    <xf numFmtId="0" fontId="4" fillId="15" borderId="4" xfId="0" applyFont="1" applyFill="1" applyBorder="1"/>
    <xf numFmtId="0" fontId="4" fillId="15" borderId="10" xfId="0" applyFont="1" applyFill="1" applyBorder="1"/>
    <xf numFmtId="0" fontId="4" fillId="15" borderId="18" xfId="0" applyFont="1" applyFill="1" applyBorder="1"/>
    <xf numFmtId="0" fontId="4" fillId="15" borderId="16" xfId="0" applyFont="1" applyFill="1" applyBorder="1"/>
    <xf numFmtId="0" fontId="4" fillId="15" borderId="3" xfId="0" applyFont="1" applyFill="1" applyBorder="1"/>
    <xf numFmtId="0" fontId="4" fillId="15" borderId="23" xfId="0" applyFont="1" applyFill="1" applyBorder="1"/>
    <xf numFmtId="165" fontId="4" fillId="4" borderId="3" xfId="0" applyNumberFormat="1" applyFont="1" applyFill="1" applyBorder="1" applyAlignment="1"/>
    <xf numFmtId="0" fontId="4" fillId="5" borderId="16" xfId="0" applyFont="1" applyFill="1" applyBorder="1"/>
    <xf numFmtId="0" fontId="4" fillId="5" borderId="3" xfId="0" applyFont="1" applyFill="1" applyBorder="1"/>
    <xf numFmtId="165" fontId="3" fillId="4" borderId="15" xfId="1" applyNumberFormat="1" applyFont="1" applyFill="1" applyBorder="1" applyAlignment="1"/>
    <xf numFmtId="165" fontId="4" fillId="4" borderId="17" xfId="1" applyNumberFormat="1" applyFont="1" applyFill="1" applyBorder="1" applyAlignment="1"/>
    <xf numFmtId="165" fontId="4" fillId="4" borderId="7" xfId="1" applyNumberFormat="1" applyFont="1" applyFill="1" applyBorder="1" applyAlignment="1"/>
    <xf numFmtId="165" fontId="4" fillId="0" borderId="6" xfId="0" applyNumberFormat="1" applyFont="1" applyBorder="1" applyAlignment="1"/>
    <xf numFmtId="0" fontId="4" fillId="4" borderId="10" xfId="0" applyFont="1" applyFill="1" applyBorder="1"/>
    <xf numFmtId="0" fontId="4" fillId="4" borderId="6" xfId="0" applyFont="1" applyFill="1" applyBorder="1" applyAlignment="1"/>
    <xf numFmtId="166" fontId="6" fillId="4" borderId="0" xfId="1" applyNumberFormat="1" applyFont="1" applyFill="1" applyBorder="1"/>
    <xf numFmtId="165" fontId="4" fillId="4" borderId="12" xfId="0" applyNumberFormat="1" applyFont="1" applyFill="1" applyBorder="1" applyAlignment="1"/>
    <xf numFmtId="0" fontId="4" fillId="4" borderId="12" xfId="0" applyFont="1" applyFill="1" applyBorder="1" applyAlignment="1">
      <alignment horizontal="left"/>
    </xf>
    <xf numFmtId="165" fontId="6" fillId="0" borderId="4" xfId="0" applyNumberFormat="1" applyFont="1" applyBorder="1"/>
    <xf numFmtId="167" fontId="4" fillId="4" borderId="2" xfId="0" applyNumberFormat="1" applyFont="1" applyFill="1" applyBorder="1"/>
    <xf numFmtId="167" fontId="4" fillId="4" borderId="12" xfId="0" applyNumberFormat="1" applyFont="1" applyFill="1" applyBorder="1"/>
    <xf numFmtId="167" fontId="4" fillId="4" borderId="5" xfId="0" applyNumberFormat="1" applyFont="1" applyFill="1" applyBorder="1"/>
    <xf numFmtId="167" fontId="4" fillId="4" borderId="15" xfId="0" applyNumberFormat="1" applyFont="1" applyFill="1" applyBorder="1"/>
    <xf numFmtId="165" fontId="4" fillId="4" borderId="0" xfId="0" applyNumberFormat="1" applyFont="1" applyFill="1" applyAlignment="1"/>
    <xf numFmtId="0" fontId="6" fillId="0" borderId="0" xfId="0" applyFont="1" applyBorder="1" applyAlignment="1"/>
    <xf numFmtId="165" fontId="2" fillId="4" borderId="16" xfId="0" applyNumberFormat="1" applyFont="1" applyFill="1" applyBorder="1" applyAlignment="1"/>
    <xf numFmtId="0" fontId="0" fillId="0" borderId="4" xfId="0" applyBorder="1"/>
    <xf numFmtId="165" fontId="2" fillId="4" borderId="6" xfId="0" applyNumberFormat="1" applyFont="1" applyFill="1" applyBorder="1" applyAlignment="1"/>
    <xf numFmtId="165" fontId="2" fillId="4" borderId="7" xfId="0" applyNumberFormat="1" applyFont="1" applyFill="1" applyBorder="1" applyAlignment="1"/>
    <xf numFmtId="165" fontId="2" fillId="4" borderId="18" xfId="0" applyNumberFormat="1" applyFont="1" applyFill="1" applyBorder="1" applyAlignment="1"/>
    <xf numFmtId="165" fontId="3" fillId="4" borderId="18" xfId="0" applyNumberFormat="1" applyFont="1" applyFill="1" applyBorder="1" applyAlignment="1"/>
    <xf numFmtId="165" fontId="3" fillId="4" borderId="7" xfId="0" applyNumberFormat="1" applyFont="1" applyFill="1" applyBorder="1" applyAlignment="1"/>
    <xf numFmtId="165" fontId="6" fillId="4" borderId="7" xfId="0" applyNumberFormat="1" applyFont="1" applyFill="1" applyBorder="1" applyAlignment="1"/>
    <xf numFmtId="165" fontId="7" fillId="4" borderId="6" xfId="0" applyNumberFormat="1" applyFont="1" applyFill="1" applyBorder="1" applyAlignment="1"/>
    <xf numFmtId="165" fontId="2" fillId="4" borderId="19" xfId="0" applyNumberFormat="1" applyFont="1" applyFill="1" applyBorder="1" applyAlignment="1"/>
    <xf numFmtId="0" fontId="6" fillId="0" borderId="25" xfId="0" applyFont="1" applyBorder="1"/>
    <xf numFmtId="17" fontId="6" fillId="0" borderId="18" xfId="0" applyNumberFormat="1" applyFont="1" applyBorder="1"/>
    <xf numFmtId="165" fontId="2" fillId="13" borderId="1" xfId="0" applyNumberFormat="1" applyFont="1" applyFill="1" applyBorder="1" applyAlignment="1"/>
    <xf numFmtId="165" fontId="2" fillId="13" borderId="18" xfId="0" applyNumberFormat="1" applyFont="1" applyFill="1" applyBorder="1" applyAlignment="1"/>
    <xf numFmtId="165" fontId="2" fillId="3" borderId="23" xfId="0" applyNumberFormat="1" applyFont="1" applyFill="1" applyBorder="1" applyAlignment="1"/>
    <xf numFmtId="165" fontId="2" fillId="3" borderId="18" xfId="0" applyNumberFormat="1" applyFont="1" applyFill="1" applyBorder="1" applyAlignment="1"/>
    <xf numFmtId="17" fontId="6" fillId="0" borderId="25" xfId="0" applyNumberFormat="1" applyFont="1" applyBorder="1"/>
    <xf numFmtId="17" fontId="6" fillId="0" borderId="0" xfId="0" applyNumberFormat="1" applyFont="1" applyBorder="1"/>
    <xf numFmtId="165" fontId="2" fillId="6" borderId="6" xfId="0" applyNumberFormat="1" applyFont="1" applyFill="1" applyBorder="1" applyAlignment="1"/>
    <xf numFmtId="165" fontId="6" fillId="4" borderId="18" xfId="0" applyNumberFormat="1" applyFont="1" applyFill="1" applyBorder="1" applyAlignment="1"/>
    <xf numFmtId="165" fontId="3" fillId="4" borderId="12" xfId="0" applyNumberFormat="1" applyFont="1" applyFill="1" applyBorder="1" applyAlignment="1"/>
    <xf numFmtId="0" fontId="6" fillId="4" borderId="21" xfId="0" applyFont="1" applyFill="1" applyBorder="1" applyAlignment="1">
      <alignment horizontal="center" vertical="center"/>
    </xf>
    <xf numFmtId="17" fontId="6" fillId="4" borderId="21" xfId="0" applyNumberFormat="1" applyFont="1" applyFill="1" applyBorder="1"/>
    <xf numFmtId="17" fontId="6" fillId="4" borderId="22" xfId="0" applyNumberFormat="1" applyFont="1" applyFill="1" applyBorder="1"/>
    <xf numFmtId="165" fontId="2" fillId="4" borderId="19" xfId="1" applyNumberFormat="1" applyFont="1" applyFill="1" applyBorder="1" applyAlignment="1"/>
    <xf numFmtId="0" fontId="6" fillId="4" borderId="0" xfId="0" applyFont="1" applyFill="1" applyBorder="1" applyAlignment="1">
      <alignment horizontal="center"/>
    </xf>
    <xf numFmtId="0" fontId="6" fillId="4" borderId="24" xfId="0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6" fillId="0" borderId="4" xfId="0" applyFont="1" applyBorder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3A111-9D2C-418C-8393-D7B4782AC702}">
  <dimension ref="A1:G1048576"/>
  <sheetViews>
    <sheetView tabSelected="1" topLeftCell="A544" zoomScaleNormal="100" workbookViewId="0">
      <selection activeCell="A570" sqref="A570"/>
    </sheetView>
  </sheetViews>
  <sheetFormatPr baseColWidth="10" defaultRowHeight="13.2" x14ac:dyDescent="0.25"/>
  <cols>
    <col min="1" max="1" width="10" style="22" customWidth="1"/>
    <col min="2" max="2" width="10.88671875" style="24"/>
    <col min="3" max="3" width="25.6640625" style="24" bestFit="1" customWidth="1"/>
    <col min="4" max="4" width="13.109375" style="24" bestFit="1" customWidth="1"/>
    <col min="5" max="5" width="15.44140625" style="24" bestFit="1" customWidth="1"/>
    <col min="6" max="6" width="14.77734375" style="24" bestFit="1" customWidth="1"/>
    <col min="7" max="7" width="13.77734375" style="22" bestFit="1" customWidth="1"/>
    <col min="8" max="16384" width="11.5546875" style="22"/>
  </cols>
  <sheetData>
    <row r="1" spans="1:7" ht="14.4" customHeight="1" x14ac:dyDescent="0.25">
      <c r="A1" s="365" t="s">
        <v>5</v>
      </c>
      <c r="B1" s="365"/>
      <c r="C1" s="365"/>
      <c r="D1" s="365"/>
      <c r="E1" s="365"/>
      <c r="F1" s="365"/>
      <c r="G1" s="366"/>
    </row>
    <row r="2" spans="1:7" x14ac:dyDescent="0.25">
      <c r="A2" s="23" t="s">
        <v>234</v>
      </c>
      <c r="B2" s="361" t="s">
        <v>235</v>
      </c>
      <c r="C2" s="23" t="s">
        <v>60</v>
      </c>
      <c r="D2" s="23" t="s">
        <v>2</v>
      </c>
      <c r="E2" s="23" t="s">
        <v>3</v>
      </c>
      <c r="F2" s="36" t="s">
        <v>1</v>
      </c>
      <c r="G2" s="52" t="s">
        <v>18</v>
      </c>
    </row>
    <row r="3" spans="1:7" x14ac:dyDescent="0.25">
      <c r="A3" s="37">
        <v>43101</v>
      </c>
      <c r="B3" s="362" t="s">
        <v>236</v>
      </c>
      <c r="C3" s="23" t="s">
        <v>7</v>
      </c>
      <c r="D3" s="23" t="s">
        <v>4</v>
      </c>
      <c r="E3" s="61">
        <v>47160000</v>
      </c>
      <c r="F3" s="62">
        <f>AVERAGE(E3,E10,E16,E22,E28,E34,E40,E46,E53,E61,E69,E77)</f>
        <v>37993086.666666664</v>
      </c>
      <c r="G3" s="23" t="s">
        <v>146</v>
      </c>
    </row>
    <row r="4" spans="1:7" x14ac:dyDescent="0.25">
      <c r="A4" s="37">
        <v>43101</v>
      </c>
      <c r="B4" s="362" t="s">
        <v>236</v>
      </c>
      <c r="C4" s="18" t="s">
        <v>6</v>
      </c>
      <c r="D4" s="23" t="s">
        <v>16</v>
      </c>
      <c r="E4" s="63">
        <v>14010000</v>
      </c>
      <c r="F4" s="62">
        <f>AVERAGE(E4,E11,E17,E23,E29,E35,E41,E47,E54,E62,E70,E78)</f>
        <v>11950416.666666666</v>
      </c>
      <c r="G4" s="23" t="s">
        <v>146</v>
      </c>
    </row>
    <row r="5" spans="1:7" x14ac:dyDescent="0.25">
      <c r="A5" s="37">
        <v>43101</v>
      </c>
      <c r="B5" s="362" t="s">
        <v>236</v>
      </c>
      <c r="C5" s="18" t="s">
        <v>9</v>
      </c>
      <c r="D5" s="23" t="s">
        <v>16</v>
      </c>
      <c r="E5" s="64">
        <v>9120000</v>
      </c>
      <c r="F5" s="62">
        <f>AVERAGE(E5,E12,E18,E24,E30,E36,E42,E48,E55,E63,E71,E79)</f>
        <v>11120833.333333334</v>
      </c>
      <c r="G5" s="23" t="s">
        <v>146</v>
      </c>
    </row>
    <row r="6" spans="1:7" x14ac:dyDescent="0.25">
      <c r="A6" s="37">
        <v>43101</v>
      </c>
      <c r="B6" s="362" t="s">
        <v>236</v>
      </c>
      <c r="C6" s="18" t="s">
        <v>10</v>
      </c>
      <c r="D6" s="23" t="s">
        <v>16</v>
      </c>
      <c r="E6" s="65">
        <v>14030000</v>
      </c>
      <c r="F6" s="62">
        <f>AVERAGE(E6,E13,E19,E25,E31,E37,E43,E49,E56,E64,E72,E80)</f>
        <v>9294015.25</v>
      </c>
      <c r="G6" s="23" t="s">
        <v>146</v>
      </c>
    </row>
    <row r="7" spans="1:7" x14ac:dyDescent="0.25">
      <c r="A7" s="37">
        <v>43101</v>
      </c>
      <c r="B7" s="362" t="s">
        <v>236</v>
      </c>
      <c r="C7" s="18" t="s">
        <v>12</v>
      </c>
      <c r="D7" s="23" t="s">
        <v>16</v>
      </c>
      <c r="E7" s="66">
        <v>5350000</v>
      </c>
      <c r="F7" s="62">
        <f>AVERAGE(E7)</f>
        <v>5350000</v>
      </c>
      <c r="G7" s="23" t="s">
        <v>146</v>
      </c>
    </row>
    <row r="8" spans="1:7" x14ac:dyDescent="0.25">
      <c r="A8" s="37">
        <v>43101</v>
      </c>
      <c r="B8" s="362" t="s">
        <v>236</v>
      </c>
      <c r="C8" s="29" t="s">
        <v>13</v>
      </c>
      <c r="D8" s="23" t="s">
        <v>17</v>
      </c>
      <c r="E8" s="63">
        <v>33360000</v>
      </c>
      <c r="F8" s="62">
        <f>AVERAGE(E8,E14,E20,E26,E32,E38,E44,E51,E58,E66,E74,E82)</f>
        <v>16250833.333333334</v>
      </c>
      <c r="G8" s="23" t="s">
        <v>146</v>
      </c>
    </row>
    <row r="9" spans="1:7" x14ac:dyDescent="0.25">
      <c r="A9" s="37">
        <v>43101</v>
      </c>
      <c r="B9" s="362" t="s">
        <v>236</v>
      </c>
      <c r="C9" s="29" t="s">
        <v>14</v>
      </c>
      <c r="D9" s="23" t="s">
        <v>17</v>
      </c>
      <c r="E9" s="63">
        <v>13270000</v>
      </c>
      <c r="F9" s="62">
        <f>AVERAGE(E9,E15,E21,E27,E33,E39,E45,E52,E59,E67,E75,E83)</f>
        <v>12453500</v>
      </c>
      <c r="G9" s="23" t="s">
        <v>146</v>
      </c>
    </row>
    <row r="10" spans="1:7" ht="15" customHeight="1" x14ac:dyDescent="0.25">
      <c r="A10" s="37">
        <v>43132</v>
      </c>
      <c r="B10" s="362" t="s">
        <v>237</v>
      </c>
      <c r="C10" s="23" t="s">
        <v>7</v>
      </c>
      <c r="D10" s="23" t="s">
        <v>4</v>
      </c>
      <c r="E10" s="61">
        <v>30270000</v>
      </c>
      <c r="F10" s="62">
        <f>AVERAGE(E3,E10,E16,E22,E28,E34,E40,E46,E53,E61,E69,E77)</f>
        <v>37993086.666666664</v>
      </c>
      <c r="G10" s="23" t="s">
        <v>146</v>
      </c>
    </row>
    <row r="11" spans="1:7" x14ac:dyDescent="0.25">
      <c r="A11" s="37">
        <v>43132</v>
      </c>
      <c r="B11" s="362" t="s">
        <v>237</v>
      </c>
      <c r="C11" s="18" t="s">
        <v>6</v>
      </c>
      <c r="D11" s="23" t="s">
        <v>16</v>
      </c>
      <c r="E11" s="67">
        <v>12090000</v>
      </c>
      <c r="F11" s="62">
        <f>AVERAGE(E4,E11,E17,E23,E29,E35,E41,E47,E54,E62,E70,E78)</f>
        <v>11950416.666666666</v>
      </c>
      <c r="G11" s="23" t="s">
        <v>146</v>
      </c>
    </row>
    <row r="12" spans="1:7" x14ac:dyDescent="0.25">
      <c r="A12" s="37">
        <v>43132</v>
      </c>
      <c r="B12" s="362" t="s">
        <v>237</v>
      </c>
      <c r="C12" s="18" t="s">
        <v>9</v>
      </c>
      <c r="D12" s="23" t="s">
        <v>16</v>
      </c>
      <c r="E12" s="68">
        <v>5400000</v>
      </c>
      <c r="F12" s="62">
        <f>AVERAGE(E5,E12,E18,E24,E30,E36,E42,E48,E55,E63,E71,E79)</f>
        <v>11120833.333333334</v>
      </c>
      <c r="G12" s="23" t="s">
        <v>146</v>
      </c>
    </row>
    <row r="13" spans="1:7" x14ac:dyDescent="0.25">
      <c r="A13" s="37">
        <v>43132</v>
      </c>
      <c r="B13" s="362" t="s">
        <v>237</v>
      </c>
      <c r="C13" s="18" t="s">
        <v>10</v>
      </c>
      <c r="D13" s="23" t="s">
        <v>16</v>
      </c>
      <c r="E13" s="69">
        <v>7210000</v>
      </c>
      <c r="F13" s="62">
        <f>AVERAGE(E6,E13,E19,E25,E31,E37,E43,E49,E56,E64,E72,E80)</f>
        <v>9294015.25</v>
      </c>
      <c r="G13" s="23" t="s">
        <v>146</v>
      </c>
    </row>
    <row r="14" spans="1:7" x14ac:dyDescent="0.25">
      <c r="A14" s="37">
        <v>43132</v>
      </c>
      <c r="B14" s="362" t="s">
        <v>237</v>
      </c>
      <c r="C14" s="29" t="s">
        <v>13</v>
      </c>
      <c r="D14" s="23" t="s">
        <v>17</v>
      </c>
      <c r="E14" s="67">
        <v>23220000</v>
      </c>
      <c r="F14" s="62">
        <f>AVERAGE(E8,E14,E20,E26,E32,E38,E44,E51,E58,E66,E74,E82)</f>
        <v>16250833.333333334</v>
      </c>
      <c r="G14" s="23" t="s">
        <v>146</v>
      </c>
    </row>
    <row r="15" spans="1:7" x14ac:dyDescent="0.25">
      <c r="A15" s="37">
        <v>43132</v>
      </c>
      <c r="B15" s="362" t="s">
        <v>237</v>
      </c>
      <c r="C15" s="29" t="s">
        <v>14</v>
      </c>
      <c r="D15" s="23" t="s">
        <v>17</v>
      </c>
      <c r="E15" s="67">
        <v>19805000</v>
      </c>
      <c r="F15" s="62">
        <f>AVERAGE(E9,E15,E21,E27,E33,E39,E45,E52,E59,E67,E75,E83)</f>
        <v>12453500</v>
      </c>
      <c r="G15" s="23" t="s">
        <v>146</v>
      </c>
    </row>
    <row r="16" spans="1:7" x14ac:dyDescent="0.25">
      <c r="A16" s="37">
        <v>43160</v>
      </c>
      <c r="B16" s="362" t="s">
        <v>238</v>
      </c>
      <c r="C16" s="23" t="s">
        <v>7</v>
      </c>
      <c r="D16" s="23" t="s">
        <v>4</v>
      </c>
      <c r="E16" s="61">
        <v>37350000</v>
      </c>
      <c r="F16" s="62">
        <f>AVERAGE(E3,E10,E16,E22,E28,E34,E40,E46,E53,E61,E69,E77)</f>
        <v>37993086.666666664</v>
      </c>
      <c r="G16" s="23" t="s">
        <v>146</v>
      </c>
    </row>
    <row r="17" spans="1:7" x14ac:dyDescent="0.25">
      <c r="A17" s="37">
        <v>43160</v>
      </c>
      <c r="B17" s="362" t="s">
        <v>238</v>
      </c>
      <c r="C17" s="18" t="s">
        <v>6</v>
      </c>
      <c r="D17" s="23" t="s">
        <v>16</v>
      </c>
      <c r="E17" s="67">
        <v>12600000</v>
      </c>
      <c r="F17" s="62">
        <f>AVERAGE(E4,E11,E17,E23,E29,E35,E41,E47,E54,E62,E70,E78)</f>
        <v>11950416.666666666</v>
      </c>
      <c r="G17" s="23" t="s">
        <v>146</v>
      </c>
    </row>
    <row r="18" spans="1:7" x14ac:dyDescent="0.25">
      <c r="A18" s="37">
        <v>43160</v>
      </c>
      <c r="B18" s="362" t="s">
        <v>238</v>
      </c>
      <c r="C18" s="18" t="s">
        <v>9</v>
      </c>
      <c r="D18" s="23" t="s">
        <v>16</v>
      </c>
      <c r="E18" s="69">
        <v>13650000</v>
      </c>
      <c r="F18" s="62">
        <f>AVERAGE(E5,E12,E18,E24,E30,E36,E42,E48,E55,E63,E71,E79)</f>
        <v>11120833.333333334</v>
      </c>
      <c r="G18" s="23" t="s">
        <v>146</v>
      </c>
    </row>
    <row r="19" spans="1:7" x14ac:dyDescent="0.25">
      <c r="A19" s="37">
        <v>43160</v>
      </c>
      <c r="B19" s="362" t="s">
        <v>238</v>
      </c>
      <c r="C19" s="18" t="s">
        <v>10</v>
      </c>
      <c r="D19" s="23" t="s">
        <v>16</v>
      </c>
      <c r="E19" s="69">
        <v>8600000</v>
      </c>
      <c r="F19" s="62">
        <f>AVERAGE(E6,E13,E19,E25,E31,E37,E43,E49,E56,E64,E72,E80)</f>
        <v>9294015.25</v>
      </c>
      <c r="G19" s="23" t="s">
        <v>146</v>
      </c>
    </row>
    <row r="20" spans="1:7" x14ac:dyDescent="0.25">
      <c r="A20" s="37">
        <v>43160</v>
      </c>
      <c r="B20" s="362" t="s">
        <v>238</v>
      </c>
      <c r="C20" s="29" t="s">
        <v>13</v>
      </c>
      <c r="D20" s="23" t="s">
        <v>17</v>
      </c>
      <c r="E20" s="67">
        <v>15650000</v>
      </c>
      <c r="F20" s="62">
        <f>AVERAGE(E8,E14,E20,E26,E32,E38,E44,E51,E58,E66,E74,E82)</f>
        <v>16250833.333333334</v>
      </c>
      <c r="G20" s="23" t="s">
        <v>146</v>
      </c>
    </row>
    <row r="21" spans="1:7" x14ac:dyDescent="0.25">
      <c r="A21" s="37">
        <v>43160</v>
      </c>
      <c r="B21" s="362" t="s">
        <v>238</v>
      </c>
      <c r="C21" s="29" t="s">
        <v>14</v>
      </c>
      <c r="D21" s="23" t="s">
        <v>17</v>
      </c>
      <c r="E21" s="67">
        <v>4950000</v>
      </c>
      <c r="F21" s="62">
        <f>AVERAGE(E9,E15,E21,E27,E33,E39,E45,E52,E59,E67,E75,E83)</f>
        <v>12453500</v>
      </c>
      <c r="G21" s="23" t="s">
        <v>146</v>
      </c>
    </row>
    <row r="22" spans="1:7" x14ac:dyDescent="0.25">
      <c r="A22" s="37">
        <v>43191</v>
      </c>
      <c r="B22" s="362" t="s">
        <v>239</v>
      </c>
      <c r="C22" s="23" t="s">
        <v>7</v>
      </c>
      <c r="D22" s="23" t="s">
        <v>4</v>
      </c>
      <c r="E22" s="61">
        <v>41115000</v>
      </c>
      <c r="F22" s="62">
        <f>AVERAGE(E3,E10,E16,E22,E28,E34,E40,E46,E53,E61,E69,E77)</f>
        <v>37993086.666666664</v>
      </c>
      <c r="G22" s="23" t="s">
        <v>146</v>
      </c>
    </row>
    <row r="23" spans="1:7" ht="13.95" customHeight="1" x14ac:dyDescent="0.25">
      <c r="A23" s="37">
        <v>43191</v>
      </c>
      <c r="B23" s="362" t="s">
        <v>239</v>
      </c>
      <c r="C23" s="18" t="s">
        <v>6</v>
      </c>
      <c r="D23" s="23" t="s">
        <v>16</v>
      </c>
      <c r="E23" s="67">
        <v>18495000</v>
      </c>
      <c r="F23" s="62">
        <f>AVERAGE(E4,E11,E17,E23,E29,E35,E41,E47,E54,E62,E70,E78)</f>
        <v>11950416.666666666</v>
      </c>
      <c r="G23" s="23" t="s">
        <v>146</v>
      </c>
    </row>
    <row r="24" spans="1:7" x14ac:dyDescent="0.25">
      <c r="A24" s="37">
        <v>43191</v>
      </c>
      <c r="B24" s="362" t="s">
        <v>239</v>
      </c>
      <c r="C24" s="18" t="s">
        <v>9</v>
      </c>
      <c r="D24" s="23" t="s">
        <v>16</v>
      </c>
      <c r="E24" s="69">
        <v>10110000</v>
      </c>
      <c r="F24" s="62">
        <f>AVERAGE(E5,E12,E18,E24,E30,E36,E42,E48,E55,E63,E71,E79)</f>
        <v>11120833.333333334</v>
      </c>
      <c r="G24" s="23" t="s">
        <v>146</v>
      </c>
    </row>
    <row r="25" spans="1:7" x14ac:dyDescent="0.25">
      <c r="A25" s="37">
        <v>43191</v>
      </c>
      <c r="B25" s="362" t="s">
        <v>239</v>
      </c>
      <c r="C25" s="18" t="s">
        <v>10</v>
      </c>
      <c r="D25" s="23" t="s">
        <v>16</v>
      </c>
      <c r="E25" s="69">
        <v>10500000</v>
      </c>
      <c r="F25" s="62">
        <f>AVERAGE(E6,E13,E19,E25,E31,E37,E43,E49,E56,E64,E72,E80)</f>
        <v>9294015.25</v>
      </c>
      <c r="G25" s="23" t="s">
        <v>146</v>
      </c>
    </row>
    <row r="26" spans="1:7" x14ac:dyDescent="0.25">
      <c r="A26" s="37">
        <v>43191</v>
      </c>
      <c r="B26" s="362" t="s">
        <v>239</v>
      </c>
      <c r="C26" s="29" t="s">
        <v>13</v>
      </c>
      <c r="D26" s="23" t="s">
        <v>17</v>
      </c>
      <c r="E26" s="67">
        <v>15660000</v>
      </c>
      <c r="F26" s="62">
        <f>AVERAGE(E8,E14,E20,E26,E32,E38,E44,E51,E58,E66,E74,E82)</f>
        <v>16250833.333333334</v>
      </c>
      <c r="G26" s="23" t="s">
        <v>146</v>
      </c>
    </row>
    <row r="27" spans="1:7" x14ac:dyDescent="0.25">
      <c r="A27" s="37">
        <v>43191</v>
      </c>
      <c r="B27" s="362" t="s">
        <v>239</v>
      </c>
      <c r="C27" s="29" t="s">
        <v>14</v>
      </c>
      <c r="D27" s="23" t="s">
        <v>17</v>
      </c>
      <c r="E27" s="67">
        <v>14115000</v>
      </c>
      <c r="F27" s="62">
        <f>AVERAGE(E9,E15,E21,E27,E33,E39,E45,E52,E59,E67,E75,E83)</f>
        <v>12453500</v>
      </c>
      <c r="G27" s="23" t="s">
        <v>146</v>
      </c>
    </row>
    <row r="28" spans="1:7" x14ac:dyDescent="0.25">
      <c r="A28" s="37">
        <v>43221</v>
      </c>
      <c r="B28" s="362" t="s">
        <v>240</v>
      </c>
      <c r="C28" s="23" t="s">
        <v>7</v>
      </c>
      <c r="D28" s="23" t="s">
        <v>4</v>
      </c>
      <c r="E28" s="61">
        <v>31990000</v>
      </c>
      <c r="F28" s="62">
        <f>AVERAGE(E3,E10,E16,E22,E28,E34,E40,E46,E53,E61,E69,E77)</f>
        <v>37993086.666666664</v>
      </c>
      <c r="G28" s="23" t="s">
        <v>146</v>
      </c>
    </row>
    <row r="29" spans="1:7" x14ac:dyDescent="0.25">
      <c r="A29" s="37">
        <v>43221</v>
      </c>
      <c r="B29" s="362" t="s">
        <v>240</v>
      </c>
      <c r="C29" s="18" t="s">
        <v>6</v>
      </c>
      <c r="D29" s="23" t="s">
        <v>16</v>
      </c>
      <c r="E29" s="67">
        <v>11070000</v>
      </c>
      <c r="F29" s="62">
        <f>AVERAGE(E4,E11,E17,E23,E29,E35,E41,E47,E54,E62,E70,E78)</f>
        <v>11950416.666666666</v>
      </c>
      <c r="G29" s="23" t="s">
        <v>146</v>
      </c>
    </row>
    <row r="30" spans="1:7" x14ac:dyDescent="0.25">
      <c r="A30" s="37">
        <v>43221</v>
      </c>
      <c r="B30" s="362" t="s">
        <v>240</v>
      </c>
      <c r="C30" s="18" t="s">
        <v>9</v>
      </c>
      <c r="D30" s="23" t="s">
        <v>16</v>
      </c>
      <c r="E30" s="69">
        <v>9270000</v>
      </c>
      <c r="F30" s="62">
        <f>AVERAGE(E5,E12,E18,E24,E30,E36,E42,E48,E55,E63,E71,E79)</f>
        <v>11120833.333333334</v>
      </c>
      <c r="G30" s="23" t="s">
        <v>146</v>
      </c>
    </row>
    <row r="31" spans="1:7" x14ac:dyDescent="0.25">
      <c r="A31" s="37">
        <v>43221</v>
      </c>
      <c r="B31" s="362" t="s">
        <v>240</v>
      </c>
      <c r="C31" s="18" t="s">
        <v>10</v>
      </c>
      <c r="D31" s="23" t="s">
        <v>16</v>
      </c>
      <c r="E31" s="69">
        <v>11650000</v>
      </c>
      <c r="F31" s="62">
        <f>AVERAGE(E6,E13,E19,E25,E31,E37,E43,E49,E56,E64,E72,E80)</f>
        <v>9294015.25</v>
      </c>
      <c r="G31" s="23" t="s">
        <v>146</v>
      </c>
    </row>
    <row r="32" spans="1:7" x14ac:dyDescent="0.25">
      <c r="A32" s="37">
        <v>43221</v>
      </c>
      <c r="B32" s="362" t="s">
        <v>240</v>
      </c>
      <c r="C32" s="29" t="s">
        <v>13</v>
      </c>
      <c r="D32" s="23" t="s">
        <v>17</v>
      </c>
      <c r="E32" s="67">
        <v>18620000</v>
      </c>
      <c r="F32" s="62">
        <f>AVERAGE(E8,E14,E20,E26,E32,E38,E44,E51,E58,E66,E74,E82)</f>
        <v>16250833.333333334</v>
      </c>
      <c r="G32" s="23" t="s">
        <v>146</v>
      </c>
    </row>
    <row r="33" spans="1:7" x14ac:dyDescent="0.25">
      <c r="A33" s="37">
        <v>43221</v>
      </c>
      <c r="B33" s="362" t="s">
        <v>240</v>
      </c>
      <c r="C33" s="29" t="s">
        <v>14</v>
      </c>
      <c r="D33" s="23" t="s">
        <v>17</v>
      </c>
      <c r="E33" s="67">
        <v>5820000</v>
      </c>
      <c r="F33" s="62">
        <f>AVERAGE(E9,E15,E21,E27,E33,E39,E45,E52,E59,E67,E75,E83)</f>
        <v>12453500</v>
      </c>
      <c r="G33" s="23" t="s">
        <v>146</v>
      </c>
    </row>
    <row r="34" spans="1:7" x14ac:dyDescent="0.25">
      <c r="A34" s="37">
        <v>43252</v>
      </c>
      <c r="B34" s="362" t="s">
        <v>241</v>
      </c>
      <c r="C34" s="23" t="s">
        <v>7</v>
      </c>
      <c r="D34" s="23" t="s">
        <v>4</v>
      </c>
      <c r="E34" s="61">
        <v>31370000</v>
      </c>
      <c r="F34" s="62">
        <f>AVERAGE(E3,E10,E16,E22,E28,E34,E40,E46,E53,E61,E69,E77)</f>
        <v>37993086.666666664</v>
      </c>
      <c r="G34" s="23" t="s">
        <v>146</v>
      </c>
    </row>
    <row r="35" spans="1:7" x14ac:dyDescent="0.25">
      <c r="A35" s="37">
        <v>43252</v>
      </c>
      <c r="B35" s="362" t="s">
        <v>241</v>
      </c>
      <c r="C35" s="18" t="s">
        <v>6</v>
      </c>
      <c r="D35" s="23" t="s">
        <v>16</v>
      </c>
      <c r="E35" s="67">
        <v>9590000</v>
      </c>
      <c r="F35" s="62">
        <f>AVERAGE(E4,E11,E17,E23,E29,E35,E41,E47,E54,E62,E70,E78)</f>
        <v>11950416.666666666</v>
      </c>
      <c r="G35" s="23" t="s">
        <v>146</v>
      </c>
    </row>
    <row r="36" spans="1:7" x14ac:dyDescent="0.25">
      <c r="A36" s="37">
        <v>43252</v>
      </c>
      <c r="B36" s="362" t="s">
        <v>241</v>
      </c>
      <c r="C36" s="18" t="s">
        <v>9</v>
      </c>
      <c r="D36" s="23" t="s">
        <v>16</v>
      </c>
      <c r="E36" s="69">
        <v>12700000</v>
      </c>
      <c r="F36" s="62">
        <f>AVERAGE(E5,E12,E18,E24,E30,E36,E42,E48,E55,E63,E71,E79)</f>
        <v>11120833.333333334</v>
      </c>
      <c r="G36" s="23" t="s">
        <v>146</v>
      </c>
    </row>
    <row r="37" spans="1:7" x14ac:dyDescent="0.25">
      <c r="A37" s="37">
        <v>43252</v>
      </c>
      <c r="B37" s="362" t="s">
        <v>241</v>
      </c>
      <c r="C37" s="18" t="s">
        <v>10</v>
      </c>
      <c r="D37" s="23" t="s">
        <v>16</v>
      </c>
      <c r="E37" s="69">
        <v>7480000</v>
      </c>
      <c r="F37" s="62">
        <f>AVERAGE(E6,E13,E19,E25,E31,E37,E43,E49,E56,E64,E72,E80)</f>
        <v>9294015.25</v>
      </c>
      <c r="G37" s="23" t="s">
        <v>146</v>
      </c>
    </row>
    <row r="38" spans="1:7" x14ac:dyDescent="0.25">
      <c r="A38" s="37">
        <v>43252</v>
      </c>
      <c r="B38" s="362" t="s">
        <v>241</v>
      </c>
      <c r="C38" s="29" t="s">
        <v>13</v>
      </c>
      <c r="D38" s="23" t="s">
        <v>17</v>
      </c>
      <c r="E38" s="67">
        <v>13590000</v>
      </c>
      <c r="F38" s="62">
        <f>AVERAGE(E8,E14,E20,E26,E32,E38,E44,E51,E58,E66,E74,E82)</f>
        <v>16250833.333333334</v>
      </c>
      <c r="G38" s="23" t="s">
        <v>146</v>
      </c>
    </row>
    <row r="39" spans="1:7" x14ac:dyDescent="0.25">
      <c r="A39" s="37">
        <v>43252</v>
      </c>
      <c r="B39" s="362" t="s">
        <v>241</v>
      </c>
      <c r="C39" s="29" t="s">
        <v>14</v>
      </c>
      <c r="D39" s="23" t="s">
        <v>17</v>
      </c>
      <c r="E39" s="67">
        <v>3350000</v>
      </c>
      <c r="F39" s="62">
        <f>AVERAGE(E9,E15,E21,E27,E33,E39,E45,E52,E59,E67,E75,E83)</f>
        <v>12453500</v>
      </c>
      <c r="G39" s="23" t="s">
        <v>146</v>
      </c>
    </row>
    <row r="40" spans="1:7" x14ac:dyDescent="0.25">
      <c r="A40" s="37">
        <v>43282</v>
      </c>
      <c r="B40" s="362" t="s">
        <v>242</v>
      </c>
      <c r="C40" s="23" t="s">
        <v>7</v>
      </c>
      <c r="D40" s="23" t="s">
        <v>4</v>
      </c>
      <c r="E40" s="61">
        <v>42050000</v>
      </c>
      <c r="F40" s="62">
        <f>AVERAGE(E3,E10,E16,E22,E28,E34,E40,E46,E53,E61,E69,E77)</f>
        <v>37993086.666666664</v>
      </c>
      <c r="G40" s="23" t="s">
        <v>146</v>
      </c>
    </row>
    <row r="41" spans="1:7" x14ac:dyDescent="0.25">
      <c r="A41" s="37">
        <v>43282</v>
      </c>
      <c r="B41" s="362" t="s">
        <v>242</v>
      </c>
      <c r="C41" s="18" t="s">
        <v>6</v>
      </c>
      <c r="D41" s="23" t="s">
        <v>16</v>
      </c>
      <c r="E41" s="67">
        <v>14300000</v>
      </c>
      <c r="F41" s="62">
        <f>AVERAGE(E4,E11,E17,E23,E29,E35,E41,E47,E54,E62,E70,E78)</f>
        <v>11950416.666666666</v>
      </c>
      <c r="G41" s="23" t="s">
        <v>146</v>
      </c>
    </row>
    <row r="42" spans="1:7" x14ac:dyDescent="0.25">
      <c r="A42" s="37">
        <v>43282</v>
      </c>
      <c r="B42" s="362" t="s">
        <v>242</v>
      </c>
      <c r="C42" s="18" t="s">
        <v>9</v>
      </c>
      <c r="D42" s="23" t="s">
        <v>16</v>
      </c>
      <c r="E42" s="69">
        <v>16150000</v>
      </c>
      <c r="F42" s="62">
        <f>AVERAGE(E5,E12,E18,E24,E30,E36,E42,E48,E55,E63,E71,E79)</f>
        <v>11120833.333333334</v>
      </c>
      <c r="G42" s="23" t="s">
        <v>146</v>
      </c>
    </row>
    <row r="43" spans="1:7" x14ac:dyDescent="0.25">
      <c r="A43" s="37">
        <v>43282</v>
      </c>
      <c r="B43" s="362" t="s">
        <v>242</v>
      </c>
      <c r="C43" s="18" t="s">
        <v>10</v>
      </c>
      <c r="D43" s="23" t="s">
        <v>16</v>
      </c>
      <c r="E43" s="69">
        <v>10800000</v>
      </c>
      <c r="F43" s="62">
        <f>AVERAGE(E6,E13,E19,E25,E31,E37,E43,E49,E56,E64,E72,E80)</f>
        <v>9294015.25</v>
      </c>
      <c r="G43" s="23" t="s">
        <v>146</v>
      </c>
    </row>
    <row r="44" spans="1:7" x14ac:dyDescent="0.25">
      <c r="A44" s="37">
        <v>43282</v>
      </c>
      <c r="B44" s="362" t="s">
        <v>242</v>
      </c>
      <c r="C44" s="29" t="s">
        <v>13</v>
      </c>
      <c r="D44" s="23" t="s">
        <v>17</v>
      </c>
      <c r="E44" s="67">
        <v>14700000</v>
      </c>
      <c r="F44" s="62">
        <f>AVERAGE(E8,E14,E20,E26,E32,E38,E44,E51,E58,E66,E74,E82)</f>
        <v>16250833.333333334</v>
      </c>
      <c r="G44" s="23" t="s">
        <v>146</v>
      </c>
    </row>
    <row r="45" spans="1:7" x14ac:dyDescent="0.25">
      <c r="A45" s="37">
        <v>43282</v>
      </c>
      <c r="B45" s="362" t="s">
        <v>242</v>
      </c>
      <c r="C45" s="29" t="s">
        <v>14</v>
      </c>
      <c r="D45" s="23" t="s">
        <v>17</v>
      </c>
      <c r="E45" s="67">
        <v>16550000</v>
      </c>
      <c r="F45" s="62">
        <f>AVERAGE(E9,E15,E21,E27,E33,E39,E45,E52,E59,E67,E75,E83)</f>
        <v>12453500</v>
      </c>
      <c r="G45" s="23" t="s">
        <v>146</v>
      </c>
    </row>
    <row r="46" spans="1:7" x14ac:dyDescent="0.25">
      <c r="A46" s="37">
        <v>43313</v>
      </c>
      <c r="B46" s="362" t="s">
        <v>243</v>
      </c>
      <c r="C46" s="23" t="s">
        <v>7</v>
      </c>
      <c r="D46" s="23" t="s">
        <v>4</v>
      </c>
      <c r="E46" s="61">
        <v>41580000</v>
      </c>
      <c r="F46" s="62">
        <f>AVERAGE(E3,E10,E16,E22,E28,E34,E40,E46,E53,E61,E69,E77)</f>
        <v>37993086.666666664</v>
      </c>
      <c r="G46" s="23" t="s">
        <v>146</v>
      </c>
    </row>
    <row r="47" spans="1:7" x14ac:dyDescent="0.25">
      <c r="A47" s="37">
        <v>43313</v>
      </c>
      <c r="B47" s="362" t="s">
        <v>243</v>
      </c>
      <c r="C47" s="18" t="s">
        <v>6</v>
      </c>
      <c r="D47" s="23" t="s">
        <v>16</v>
      </c>
      <c r="E47" s="67">
        <v>14610000</v>
      </c>
      <c r="F47" s="62">
        <f>AVERAGE(E4,E11,E17,E23,E29,E35,E41,E47,E54,E62,E70,E78)</f>
        <v>11950416.666666666</v>
      </c>
      <c r="G47" s="23" t="s">
        <v>146</v>
      </c>
    </row>
    <row r="48" spans="1:7" x14ac:dyDescent="0.25">
      <c r="A48" s="37">
        <v>43313</v>
      </c>
      <c r="B48" s="362" t="s">
        <v>243</v>
      </c>
      <c r="C48" s="18" t="s">
        <v>9</v>
      </c>
      <c r="D48" s="23" t="s">
        <v>16</v>
      </c>
      <c r="E48" s="69">
        <v>15150000</v>
      </c>
      <c r="F48" s="62">
        <f>AVERAGE(E5,E12,E18,E24,E30,E36,E42,E48,E55,E63,E71,E79)</f>
        <v>11120833.333333334</v>
      </c>
      <c r="G48" s="23" t="s">
        <v>146</v>
      </c>
    </row>
    <row r="49" spans="1:7" x14ac:dyDescent="0.25">
      <c r="A49" s="37">
        <v>43313</v>
      </c>
      <c r="B49" s="362" t="s">
        <v>243</v>
      </c>
      <c r="C49" s="18" t="s">
        <v>10</v>
      </c>
      <c r="D49" s="23" t="s">
        <v>16</v>
      </c>
      <c r="E49" s="69">
        <v>10870000</v>
      </c>
      <c r="F49" s="62">
        <f>AVERAGE(E6,E13,E19,E25,E31,E37,E43,E49,E56,E64,E72,E80)</f>
        <v>9294015.25</v>
      </c>
      <c r="G49" s="23" t="s">
        <v>146</v>
      </c>
    </row>
    <row r="50" spans="1:7" x14ac:dyDescent="0.25">
      <c r="A50" s="37">
        <v>43313</v>
      </c>
      <c r="B50" s="362" t="s">
        <v>243</v>
      </c>
      <c r="C50" s="18" t="s">
        <v>11</v>
      </c>
      <c r="D50" s="23" t="s">
        <v>16</v>
      </c>
      <c r="E50" s="63">
        <v>950000</v>
      </c>
      <c r="F50" s="62">
        <f>AVERAGE(E50,E57,E65,E73,E81)</f>
        <v>7240000</v>
      </c>
      <c r="G50" s="23" t="s">
        <v>146</v>
      </c>
    </row>
    <row r="51" spans="1:7" x14ac:dyDescent="0.25">
      <c r="A51" s="37">
        <v>43313</v>
      </c>
      <c r="B51" s="362" t="s">
        <v>243</v>
      </c>
      <c r="C51" s="29" t="s">
        <v>13</v>
      </c>
      <c r="D51" s="23" t="s">
        <v>17</v>
      </c>
      <c r="E51" s="67">
        <v>8150000</v>
      </c>
      <c r="F51" s="62">
        <f>AVERAGE(E8,E14,E20,E26,E32,E38,E44,E51,E58,E66,E74,E82)</f>
        <v>16250833.333333334</v>
      </c>
      <c r="G51" s="23" t="s">
        <v>146</v>
      </c>
    </row>
    <row r="52" spans="1:7" x14ac:dyDescent="0.25">
      <c r="A52" s="37">
        <v>43313</v>
      </c>
      <c r="B52" s="362" t="s">
        <v>243</v>
      </c>
      <c r="C52" s="29" t="s">
        <v>14</v>
      </c>
      <c r="D52" s="23" t="s">
        <v>17</v>
      </c>
      <c r="E52" s="67">
        <v>13280000</v>
      </c>
      <c r="F52" s="62">
        <f>AVERAGE(E9,E15,E21,E27,E33,E39,E45,E52,E59,E67,E75,E83)</f>
        <v>12453500</v>
      </c>
      <c r="G52" s="23" t="s">
        <v>146</v>
      </c>
    </row>
    <row r="53" spans="1:7" x14ac:dyDescent="0.25">
      <c r="A53" s="37">
        <v>43344</v>
      </c>
      <c r="B53" s="362" t="s">
        <v>244</v>
      </c>
      <c r="C53" s="23" t="s">
        <v>7</v>
      </c>
      <c r="D53" s="23" t="s">
        <v>4</v>
      </c>
      <c r="E53" s="61">
        <v>28950000</v>
      </c>
      <c r="F53" s="62">
        <f>AVERAGE(E3,E10,E16,E22,E28,E34,E40,E46,E53,E61,E69,E77)</f>
        <v>37993086.666666664</v>
      </c>
      <c r="G53" s="23" t="s">
        <v>146</v>
      </c>
    </row>
    <row r="54" spans="1:7" x14ac:dyDescent="0.25">
      <c r="A54" s="37">
        <v>43344</v>
      </c>
      <c r="B54" s="362" t="s">
        <v>244</v>
      </c>
      <c r="C54" s="18" t="s">
        <v>6</v>
      </c>
      <c r="D54" s="23" t="s">
        <v>16</v>
      </c>
      <c r="E54" s="67">
        <v>6400000</v>
      </c>
      <c r="F54" s="62">
        <f>AVERAGE(E4,E11,E17,E23,E29,E35,E41,E47,E54,E62,E70,E78)</f>
        <v>11950416.666666666</v>
      </c>
      <c r="G54" s="23" t="s">
        <v>146</v>
      </c>
    </row>
    <row r="55" spans="1:7" x14ac:dyDescent="0.25">
      <c r="A55" s="37">
        <v>43344</v>
      </c>
      <c r="B55" s="362" t="s">
        <v>244</v>
      </c>
      <c r="C55" s="18" t="s">
        <v>9</v>
      </c>
      <c r="D55" s="23" t="s">
        <v>16</v>
      </c>
      <c r="E55" s="69">
        <v>5590000</v>
      </c>
      <c r="F55" s="62">
        <f>AVERAGE(E5,E12,E18,E24,E30,E36,E42,E48,E55,E63,E71,E79)</f>
        <v>11120833.333333334</v>
      </c>
      <c r="G55" s="23" t="s">
        <v>146</v>
      </c>
    </row>
    <row r="56" spans="1:7" x14ac:dyDescent="0.25">
      <c r="A56" s="37">
        <v>43344</v>
      </c>
      <c r="B56" s="362" t="s">
        <v>244</v>
      </c>
      <c r="C56" s="18" t="s">
        <v>10</v>
      </c>
      <c r="D56" s="23" t="s">
        <v>16</v>
      </c>
      <c r="E56" s="69">
        <v>986143</v>
      </c>
      <c r="F56" s="62">
        <f>AVERAGE(E6,E13,E19,E25,E31,E37,E43,E49,E56,E64,E72,E80)</f>
        <v>9294015.25</v>
      </c>
      <c r="G56" s="23" t="s">
        <v>146</v>
      </c>
    </row>
    <row r="57" spans="1:7" x14ac:dyDescent="0.25">
      <c r="A57" s="37">
        <v>43344</v>
      </c>
      <c r="B57" s="362" t="s">
        <v>244</v>
      </c>
      <c r="C57" s="18" t="s">
        <v>11</v>
      </c>
      <c r="D57" s="23" t="s">
        <v>16</v>
      </c>
      <c r="E57" s="67">
        <v>7100000</v>
      </c>
      <c r="F57" s="62">
        <f>AVERAGE(E50,E57,E65,E73,E81)</f>
        <v>7240000</v>
      </c>
      <c r="G57" s="23" t="s">
        <v>146</v>
      </c>
    </row>
    <row r="58" spans="1:7" x14ac:dyDescent="0.25">
      <c r="A58" s="37">
        <v>43344</v>
      </c>
      <c r="B58" s="362" t="s">
        <v>244</v>
      </c>
      <c r="C58" s="29" t="s">
        <v>13</v>
      </c>
      <c r="D58" s="23" t="s">
        <v>17</v>
      </c>
      <c r="E58" s="67">
        <v>10850000</v>
      </c>
      <c r="F58" s="62">
        <f>AVERAGE(E8,E14,E20,E26,E32,E38,E44,E51,E58,E66,E74,E82)</f>
        <v>16250833.333333334</v>
      </c>
      <c r="G58" s="23" t="s">
        <v>146</v>
      </c>
    </row>
    <row r="59" spans="1:7" x14ac:dyDescent="0.25">
      <c r="A59" s="37">
        <v>43344</v>
      </c>
      <c r="B59" s="362" t="s">
        <v>244</v>
      </c>
      <c r="C59" s="29" t="s">
        <v>14</v>
      </c>
      <c r="D59" s="23" t="s">
        <v>17</v>
      </c>
      <c r="E59" s="67">
        <v>13750000</v>
      </c>
      <c r="F59" s="62">
        <f>AVERAGE(E9,E15,E21,E27,E33,E39,E45,E52,E59,E67,E75,E83)</f>
        <v>12453500</v>
      </c>
      <c r="G59" s="23" t="s">
        <v>146</v>
      </c>
    </row>
    <row r="60" spans="1:7" x14ac:dyDescent="0.25">
      <c r="A60" s="37">
        <v>43344</v>
      </c>
      <c r="B60" s="362" t="s">
        <v>244</v>
      </c>
      <c r="C60" s="29" t="s">
        <v>15</v>
      </c>
      <c r="D60" s="23" t="s">
        <v>17</v>
      </c>
      <c r="E60" s="67">
        <v>4350000</v>
      </c>
      <c r="F60" s="62">
        <f>AVERAGE(E60,E68,E76,E84)</f>
        <v>10667500</v>
      </c>
      <c r="G60" s="23" t="s">
        <v>146</v>
      </c>
    </row>
    <row r="61" spans="1:7" x14ac:dyDescent="0.25">
      <c r="A61" s="37">
        <v>43374</v>
      </c>
      <c r="B61" s="362" t="s">
        <v>245</v>
      </c>
      <c r="C61" s="23" t="s">
        <v>7</v>
      </c>
      <c r="D61" s="23" t="s">
        <v>4</v>
      </c>
      <c r="E61" s="61">
        <v>45972040</v>
      </c>
      <c r="F61" s="62">
        <f>AVERAGE(E3,E10,E16,E22,E28,E34,E40,E46,E53,E61,E69,E77)</f>
        <v>37993086.666666664</v>
      </c>
      <c r="G61" s="23" t="s">
        <v>146</v>
      </c>
    </row>
    <row r="62" spans="1:7" x14ac:dyDescent="0.25">
      <c r="A62" s="37">
        <v>43374</v>
      </c>
      <c r="B62" s="362" t="s">
        <v>245</v>
      </c>
      <c r="C62" s="18" t="s">
        <v>6</v>
      </c>
      <c r="D62" s="23" t="s">
        <v>16</v>
      </c>
      <c r="E62" s="70">
        <v>9270000</v>
      </c>
      <c r="F62" s="62">
        <f>AVERAGE(E4,E11,E17,E23,E29,E35,E41,E47,E54,E62,E70,E78)</f>
        <v>11950416.666666666</v>
      </c>
      <c r="G62" s="23" t="s">
        <v>146</v>
      </c>
    </row>
    <row r="63" spans="1:7" x14ac:dyDescent="0.25">
      <c r="A63" s="37">
        <v>43374</v>
      </c>
      <c r="B63" s="362" t="s">
        <v>245</v>
      </c>
      <c r="C63" s="18" t="s">
        <v>9</v>
      </c>
      <c r="D63" s="23" t="s">
        <v>16</v>
      </c>
      <c r="E63" s="69">
        <v>11730000</v>
      </c>
      <c r="F63" s="62">
        <f>AVERAGE(E5,E12,E18,E24,E30,E36,E42,E48,E55,E63,E71,E79)</f>
        <v>11120833.333333334</v>
      </c>
      <c r="G63" s="23" t="s">
        <v>146</v>
      </c>
    </row>
    <row r="64" spans="1:7" x14ac:dyDescent="0.25">
      <c r="A64" s="37">
        <v>43374</v>
      </c>
      <c r="B64" s="362" t="s">
        <v>245</v>
      </c>
      <c r="C64" s="18" t="s">
        <v>10</v>
      </c>
      <c r="D64" s="23" t="s">
        <v>16</v>
      </c>
      <c r="E64" s="69">
        <v>15322040</v>
      </c>
      <c r="F64" s="62">
        <f>AVERAGE(E6,E13,E19,E25,E31,E37,E43,E49,E56,E64,E72,E80)</f>
        <v>9294015.25</v>
      </c>
      <c r="G64" s="23" t="s">
        <v>146</v>
      </c>
    </row>
    <row r="65" spans="1:7" x14ac:dyDescent="0.25">
      <c r="A65" s="37">
        <v>43374</v>
      </c>
      <c r="B65" s="362" t="s">
        <v>245</v>
      </c>
      <c r="C65" s="18" t="s">
        <v>11</v>
      </c>
      <c r="D65" s="23" t="s">
        <v>16</v>
      </c>
      <c r="E65" s="67">
        <v>9650000</v>
      </c>
      <c r="F65" s="62">
        <f>AVERAGE(E50,E57,E65,E73,E81)</f>
        <v>7240000</v>
      </c>
      <c r="G65" s="23" t="s">
        <v>146</v>
      </c>
    </row>
    <row r="66" spans="1:7" x14ac:dyDescent="0.25">
      <c r="A66" s="37">
        <v>43374</v>
      </c>
      <c r="B66" s="362" t="s">
        <v>245</v>
      </c>
      <c r="C66" s="29" t="s">
        <v>13</v>
      </c>
      <c r="D66" s="23" t="s">
        <v>17</v>
      </c>
      <c r="E66" s="67">
        <v>15780000</v>
      </c>
      <c r="F66" s="62">
        <f>AVERAGE(E8,E14,E20,E26,E32,E38,E44,E51,E58,E66,E74,E82)</f>
        <v>16250833.333333334</v>
      </c>
      <c r="G66" s="23" t="s">
        <v>146</v>
      </c>
    </row>
    <row r="67" spans="1:7" x14ac:dyDescent="0.25">
      <c r="A67" s="37">
        <v>43374</v>
      </c>
      <c r="B67" s="362" t="s">
        <v>245</v>
      </c>
      <c r="C67" s="29" t="s">
        <v>14</v>
      </c>
      <c r="D67" s="23" t="s">
        <v>17</v>
      </c>
      <c r="E67" s="67">
        <v>15292000</v>
      </c>
      <c r="F67" s="62">
        <f>AVERAGE(E9,E15,E21,E27,E33,E39,E45,E52,E59,E67,E75,E83)</f>
        <v>12453500</v>
      </c>
      <c r="G67" s="23" t="s">
        <v>146</v>
      </c>
    </row>
    <row r="68" spans="1:7" x14ac:dyDescent="0.25">
      <c r="A68" s="37">
        <v>43374</v>
      </c>
      <c r="B68" s="362" t="s">
        <v>245</v>
      </c>
      <c r="C68" s="29" t="s">
        <v>15</v>
      </c>
      <c r="D68" s="23" t="s">
        <v>17</v>
      </c>
      <c r="E68" s="67">
        <v>14900000</v>
      </c>
      <c r="F68" s="62">
        <f>AVERAGE(E60,E68,E76,E84)</f>
        <v>10667500</v>
      </c>
      <c r="G68" s="23" t="s">
        <v>146</v>
      </c>
    </row>
    <row r="69" spans="1:7" x14ac:dyDescent="0.25">
      <c r="A69" s="37">
        <v>43405</v>
      </c>
      <c r="B69" s="362" t="s">
        <v>246</v>
      </c>
      <c r="C69" s="23" t="s">
        <v>7</v>
      </c>
      <c r="D69" s="23" t="s">
        <v>4</v>
      </c>
      <c r="E69" s="61">
        <v>53860000</v>
      </c>
      <c r="F69" s="62">
        <f>AVERAGE(E3,E10,E16,E22,E28,E34,E40,E46,E53,E61,E69,E77)</f>
        <v>37993086.666666664</v>
      </c>
      <c r="G69" s="23" t="s">
        <v>146</v>
      </c>
    </row>
    <row r="70" spans="1:7" x14ac:dyDescent="0.25">
      <c r="A70" s="37">
        <v>43405</v>
      </c>
      <c r="B70" s="362" t="s">
        <v>246</v>
      </c>
      <c r="C70" s="18" t="s">
        <v>6</v>
      </c>
      <c r="D70" s="23" t="s">
        <v>16</v>
      </c>
      <c r="E70" s="67">
        <v>11050000</v>
      </c>
      <c r="F70" s="62">
        <f>AVERAGE(E4,E11,E17,E23,E29,E35,E41,E47,E54,E62,E70,E78)</f>
        <v>11950416.666666666</v>
      </c>
      <c r="G70" s="23" t="s">
        <v>146</v>
      </c>
    </row>
    <row r="71" spans="1:7" x14ac:dyDescent="0.25">
      <c r="A71" s="37">
        <v>43405</v>
      </c>
      <c r="B71" s="362" t="s">
        <v>246</v>
      </c>
      <c r="C71" s="18" t="s">
        <v>9</v>
      </c>
      <c r="D71" s="23" t="s">
        <v>16</v>
      </c>
      <c r="E71" s="69">
        <v>18730000</v>
      </c>
      <c r="F71" s="62">
        <f>AVERAGE(E5,E12,E18,E24,E30,E36,E42,E48,E55,E63,E71,E79)</f>
        <v>11120833.333333334</v>
      </c>
      <c r="G71" s="23" t="s">
        <v>146</v>
      </c>
    </row>
    <row r="72" spans="1:7" x14ac:dyDescent="0.25">
      <c r="A72" s="37">
        <v>43405</v>
      </c>
      <c r="B72" s="362" t="s">
        <v>246</v>
      </c>
      <c r="C72" s="18" t="s">
        <v>10</v>
      </c>
      <c r="D72" s="23" t="s">
        <v>16</v>
      </c>
      <c r="E72" s="69">
        <v>9330000</v>
      </c>
      <c r="F72" s="62">
        <f>AVERAGE(E6,E13,E19,E25,E31,E37,E43,E49,E56,E64,E72,E80)</f>
        <v>9294015.25</v>
      </c>
      <c r="G72" s="23" t="s">
        <v>146</v>
      </c>
    </row>
    <row r="73" spans="1:7" x14ac:dyDescent="0.25">
      <c r="A73" s="37">
        <v>43405</v>
      </c>
      <c r="B73" s="362" t="s">
        <v>246</v>
      </c>
      <c r="C73" s="18" t="s">
        <v>11</v>
      </c>
      <c r="D73" s="23" t="s">
        <v>16</v>
      </c>
      <c r="E73" s="67">
        <v>14750000</v>
      </c>
      <c r="F73" s="62">
        <f>AVERAGE(E50,E57,E65,E73,E81)</f>
        <v>7240000</v>
      </c>
      <c r="G73" s="23" t="s">
        <v>146</v>
      </c>
    </row>
    <row r="74" spans="1:7" x14ac:dyDescent="0.25">
      <c r="A74" s="37">
        <v>43405</v>
      </c>
      <c r="B74" s="362" t="s">
        <v>246</v>
      </c>
      <c r="C74" s="29" t="s">
        <v>13</v>
      </c>
      <c r="D74" s="23" t="s">
        <v>17</v>
      </c>
      <c r="E74" s="67">
        <v>16630000</v>
      </c>
      <c r="F74" s="62">
        <f>AVERAGE(E8,E14,E20,E26,E32,E38,E44,E51,E58,E66,E74,E82)</f>
        <v>16250833.333333334</v>
      </c>
      <c r="G74" s="23" t="s">
        <v>146</v>
      </c>
    </row>
    <row r="75" spans="1:7" x14ac:dyDescent="0.25">
      <c r="A75" s="37">
        <v>43405</v>
      </c>
      <c r="B75" s="362" t="s">
        <v>246</v>
      </c>
      <c r="C75" s="29" t="s">
        <v>14</v>
      </c>
      <c r="D75" s="23" t="s">
        <v>17</v>
      </c>
      <c r="E75" s="67">
        <v>22180000</v>
      </c>
      <c r="F75" s="62">
        <f>AVERAGE(E9,E15,E21,E27,E33,E39,E45,E52,E59,E67,E75,E83)</f>
        <v>12453500</v>
      </c>
      <c r="G75" s="23" t="s">
        <v>146</v>
      </c>
    </row>
    <row r="76" spans="1:7" x14ac:dyDescent="0.25">
      <c r="A76" s="37">
        <v>43405</v>
      </c>
      <c r="B76" s="362" t="s">
        <v>246</v>
      </c>
      <c r="C76" s="29" t="s">
        <v>15</v>
      </c>
      <c r="D76" s="23" t="s">
        <v>17</v>
      </c>
      <c r="E76" s="67">
        <v>15050000</v>
      </c>
      <c r="F76" s="62">
        <f>AVERAGE(E60,E68,E76,E84)</f>
        <v>10667500</v>
      </c>
      <c r="G76" s="23" t="s">
        <v>146</v>
      </c>
    </row>
    <row r="77" spans="1:7" x14ac:dyDescent="0.25">
      <c r="A77" s="37">
        <v>43435</v>
      </c>
      <c r="B77" s="362" t="s">
        <v>247</v>
      </c>
      <c r="C77" s="23" t="s">
        <v>7</v>
      </c>
      <c r="D77" s="23" t="s">
        <v>4</v>
      </c>
      <c r="E77" s="61">
        <v>24250000</v>
      </c>
      <c r="F77" s="62">
        <f>AVERAGE(E3,E10,E16,E22,E28,E34,E40,E46,E53,E61,E69,E77)</f>
        <v>37993086.666666664</v>
      </c>
      <c r="G77" s="23" t="s">
        <v>146</v>
      </c>
    </row>
    <row r="78" spans="1:7" x14ac:dyDescent="0.25">
      <c r="A78" s="37">
        <v>43435</v>
      </c>
      <c r="B78" s="362" t="s">
        <v>247</v>
      </c>
      <c r="C78" s="18" t="s">
        <v>6</v>
      </c>
      <c r="D78" s="23" t="s">
        <v>16</v>
      </c>
      <c r="E78" s="67">
        <v>9920000</v>
      </c>
      <c r="F78" s="62">
        <f>AVERAGE(E4,E11,E17,E23,E29,E35,E41,E47,E54,E62,E70,E78)</f>
        <v>11950416.666666666</v>
      </c>
      <c r="G78" s="23" t="s">
        <v>146</v>
      </c>
    </row>
    <row r="79" spans="1:7" x14ac:dyDescent="0.25">
      <c r="A79" s="37">
        <v>43435</v>
      </c>
      <c r="B79" s="362" t="s">
        <v>247</v>
      </c>
      <c r="C79" s="18" t="s">
        <v>9</v>
      </c>
      <c r="D79" s="23" t="s">
        <v>16</v>
      </c>
      <c r="E79" s="69">
        <v>5850000</v>
      </c>
      <c r="F79" s="62">
        <f>AVERAGE(E5,E12,E18,E24,E30,E36,E42,E48,E55,E63,E71,E79)</f>
        <v>11120833.333333334</v>
      </c>
      <c r="G79" s="23" t="s">
        <v>146</v>
      </c>
    </row>
    <row r="80" spans="1:7" x14ac:dyDescent="0.25">
      <c r="A80" s="37">
        <v>43435</v>
      </c>
      <c r="B80" s="362" t="s">
        <v>247</v>
      </c>
      <c r="C80" s="18" t="s">
        <v>10</v>
      </c>
      <c r="D80" s="23" t="s">
        <v>16</v>
      </c>
      <c r="E80" s="69">
        <v>4750000</v>
      </c>
      <c r="F80" s="62">
        <f>AVERAGE(E6,E13,E19,E25,E31,E37,E43,E49,E56,E64,E72,E80)</f>
        <v>9294015.25</v>
      </c>
      <c r="G80" s="23" t="s">
        <v>146</v>
      </c>
    </row>
    <row r="81" spans="1:7" x14ac:dyDescent="0.25">
      <c r="A81" s="37">
        <v>43435</v>
      </c>
      <c r="B81" s="362" t="s">
        <v>247</v>
      </c>
      <c r="C81" s="18" t="s">
        <v>11</v>
      </c>
      <c r="D81" s="23" t="s">
        <v>16</v>
      </c>
      <c r="E81" s="67">
        <v>3750000</v>
      </c>
      <c r="F81" s="62">
        <f>AVERAGE(E50,E57,E65,E73,E81)</f>
        <v>7240000</v>
      </c>
      <c r="G81" s="23" t="s">
        <v>146</v>
      </c>
    </row>
    <row r="82" spans="1:7" x14ac:dyDescent="0.25">
      <c r="A82" s="37">
        <v>43435</v>
      </c>
      <c r="B82" s="362" t="s">
        <v>247</v>
      </c>
      <c r="C82" s="29" t="s">
        <v>13</v>
      </c>
      <c r="D82" s="23" t="s">
        <v>17</v>
      </c>
      <c r="E82" s="67">
        <v>8800000</v>
      </c>
      <c r="F82" s="62">
        <f>AVERAGE(E8,E14,E20,E26,E32,E38,E44,E51,E58,E66,E74,E82)</f>
        <v>16250833.333333334</v>
      </c>
      <c r="G82" s="23" t="s">
        <v>146</v>
      </c>
    </row>
    <row r="83" spans="1:7" x14ac:dyDescent="0.25">
      <c r="A83" s="37">
        <v>43435</v>
      </c>
      <c r="B83" s="362" t="s">
        <v>247</v>
      </c>
      <c r="C83" s="29" t="s">
        <v>14</v>
      </c>
      <c r="D83" s="23" t="s">
        <v>17</v>
      </c>
      <c r="E83" s="67">
        <v>7080000</v>
      </c>
      <c r="F83" s="62">
        <f>AVERAGE(E9,E15,E21,E27,E33,E39,E45,E52,E59,E67,E75,E83)</f>
        <v>12453500</v>
      </c>
      <c r="G83" s="23" t="s">
        <v>146</v>
      </c>
    </row>
    <row r="84" spans="1:7" x14ac:dyDescent="0.25">
      <c r="A84" s="37">
        <v>43435</v>
      </c>
      <c r="B84" s="362" t="s">
        <v>247</v>
      </c>
      <c r="C84" s="29" t="s">
        <v>15</v>
      </c>
      <c r="D84" s="23" t="s">
        <v>17</v>
      </c>
      <c r="E84" s="67">
        <v>8370000</v>
      </c>
      <c r="F84" s="62">
        <f>AVERAGE(E60,E68,E76,E84)</f>
        <v>10667500</v>
      </c>
      <c r="G84" s="23" t="s">
        <v>146</v>
      </c>
    </row>
    <row r="85" spans="1:7" x14ac:dyDescent="0.25">
      <c r="A85" s="37">
        <v>43466</v>
      </c>
      <c r="B85" s="362" t="s">
        <v>236</v>
      </c>
      <c r="C85" s="23" t="s">
        <v>7</v>
      </c>
      <c r="D85" s="23" t="s">
        <v>4</v>
      </c>
      <c r="E85" s="63">
        <v>64310000</v>
      </c>
      <c r="F85" s="62">
        <v>47500000</v>
      </c>
      <c r="G85" s="23" t="s">
        <v>146</v>
      </c>
    </row>
    <row r="86" spans="1:7" x14ac:dyDescent="0.25">
      <c r="A86" s="37">
        <v>43466</v>
      </c>
      <c r="B86" s="362" t="s">
        <v>236</v>
      </c>
      <c r="C86" s="18" t="s">
        <v>6</v>
      </c>
      <c r="D86" s="23" t="s">
        <v>16</v>
      </c>
      <c r="E86" s="63">
        <v>17140000</v>
      </c>
      <c r="F86" s="71">
        <v>13333333</v>
      </c>
      <c r="G86" s="23" t="s">
        <v>146</v>
      </c>
    </row>
    <row r="87" spans="1:7" x14ac:dyDescent="0.25">
      <c r="A87" s="37">
        <v>43466</v>
      </c>
      <c r="B87" s="362" t="s">
        <v>236</v>
      </c>
      <c r="C87" s="18" t="s">
        <v>9</v>
      </c>
      <c r="D87" s="23" t="s">
        <v>16</v>
      </c>
      <c r="E87" s="66">
        <v>6830000</v>
      </c>
      <c r="F87" s="71">
        <v>12500000</v>
      </c>
      <c r="G87" s="23" t="s">
        <v>146</v>
      </c>
    </row>
    <row r="88" spans="1:7" x14ac:dyDescent="0.25">
      <c r="A88" s="37">
        <v>43466</v>
      </c>
      <c r="B88" s="362" t="s">
        <v>236</v>
      </c>
      <c r="C88" s="18" t="s">
        <v>10</v>
      </c>
      <c r="D88" s="23" t="s">
        <v>16</v>
      </c>
      <c r="E88" s="63">
        <v>20500000</v>
      </c>
      <c r="F88" s="71">
        <v>10333333</v>
      </c>
      <c r="G88" s="23" t="s">
        <v>146</v>
      </c>
    </row>
    <row r="89" spans="1:7" x14ac:dyDescent="0.25">
      <c r="A89" s="37">
        <v>43466</v>
      </c>
      <c r="B89" s="362" t="s">
        <v>236</v>
      </c>
      <c r="C89" s="18" t="s">
        <v>11</v>
      </c>
      <c r="D89" s="23" t="s">
        <v>16</v>
      </c>
      <c r="E89" s="63">
        <v>19840000</v>
      </c>
      <c r="F89" s="71">
        <v>10333333</v>
      </c>
      <c r="G89" s="23" t="s">
        <v>146</v>
      </c>
    </row>
    <row r="90" spans="1:7" x14ac:dyDescent="0.25">
      <c r="A90" s="37">
        <v>43466</v>
      </c>
      <c r="B90" s="362" t="s">
        <v>236</v>
      </c>
      <c r="C90" s="40" t="s">
        <v>19</v>
      </c>
      <c r="D90" s="23" t="s">
        <v>16</v>
      </c>
      <c r="E90" s="66">
        <v>5350000</v>
      </c>
      <c r="F90" s="71">
        <v>8333333</v>
      </c>
      <c r="G90" s="23" t="s">
        <v>146</v>
      </c>
    </row>
    <row r="91" spans="1:7" x14ac:dyDescent="0.25">
      <c r="A91" s="37">
        <v>43466</v>
      </c>
      <c r="B91" s="362" t="s">
        <v>236</v>
      </c>
      <c r="C91" s="19" t="s">
        <v>13</v>
      </c>
      <c r="D91" s="23" t="s">
        <v>17</v>
      </c>
      <c r="E91" s="69">
        <v>28410000</v>
      </c>
      <c r="F91" s="72">
        <v>15833000</v>
      </c>
      <c r="G91" s="23" t="s">
        <v>146</v>
      </c>
    </row>
    <row r="92" spans="1:7" x14ac:dyDescent="0.25">
      <c r="A92" s="37">
        <v>43466</v>
      </c>
      <c r="B92" s="362" t="s">
        <v>236</v>
      </c>
      <c r="C92" s="19" t="s">
        <v>14</v>
      </c>
      <c r="D92" s="23" t="s">
        <v>17</v>
      </c>
      <c r="E92" s="69">
        <v>16000000</v>
      </c>
      <c r="F92" s="72">
        <v>15833000</v>
      </c>
      <c r="G92" s="23" t="s">
        <v>146</v>
      </c>
    </row>
    <row r="93" spans="1:7" x14ac:dyDescent="0.25">
      <c r="A93" s="37">
        <v>43466</v>
      </c>
      <c r="B93" s="362" t="s">
        <v>236</v>
      </c>
      <c r="C93" s="29" t="s">
        <v>15</v>
      </c>
      <c r="D93" s="23" t="s">
        <v>17</v>
      </c>
      <c r="E93" s="73">
        <v>19840000</v>
      </c>
      <c r="F93" s="74">
        <v>15833000</v>
      </c>
      <c r="G93" s="23" t="s">
        <v>146</v>
      </c>
    </row>
    <row r="94" spans="1:7" x14ac:dyDescent="0.25">
      <c r="A94" s="37">
        <v>43466</v>
      </c>
      <c r="B94" s="362" t="s">
        <v>236</v>
      </c>
      <c r="C94" s="40" t="s">
        <v>22</v>
      </c>
      <c r="D94" s="23" t="s">
        <v>17</v>
      </c>
      <c r="E94" s="73">
        <v>17975000</v>
      </c>
      <c r="F94" s="74">
        <v>12500000</v>
      </c>
      <c r="G94" s="23" t="s">
        <v>146</v>
      </c>
    </row>
    <row r="95" spans="1:7" x14ac:dyDescent="0.25">
      <c r="A95" s="37">
        <v>43497</v>
      </c>
      <c r="B95" s="362" t="s">
        <v>237</v>
      </c>
      <c r="C95" s="23" t="s">
        <v>7</v>
      </c>
      <c r="D95" s="23" t="s">
        <v>4</v>
      </c>
      <c r="E95" s="75">
        <v>49440000</v>
      </c>
      <c r="F95" s="76">
        <v>47500000</v>
      </c>
      <c r="G95" s="23" t="s">
        <v>146</v>
      </c>
    </row>
    <row r="96" spans="1:7" x14ac:dyDescent="0.25">
      <c r="A96" s="37">
        <v>43497</v>
      </c>
      <c r="B96" s="362" t="s">
        <v>237</v>
      </c>
      <c r="C96" s="18" t="s">
        <v>6</v>
      </c>
      <c r="D96" s="23" t="s">
        <v>16</v>
      </c>
      <c r="E96" s="77">
        <v>12650000</v>
      </c>
      <c r="F96" s="71">
        <v>13333333</v>
      </c>
      <c r="G96" s="23" t="s">
        <v>146</v>
      </c>
    </row>
    <row r="97" spans="1:7" x14ac:dyDescent="0.25">
      <c r="A97" s="37">
        <v>43497</v>
      </c>
      <c r="B97" s="362" t="s">
        <v>237</v>
      </c>
      <c r="C97" s="18" t="s">
        <v>9</v>
      </c>
      <c r="D97" s="23" t="s">
        <v>16</v>
      </c>
      <c r="E97" s="77">
        <v>8500000</v>
      </c>
      <c r="F97" s="71">
        <v>12500000</v>
      </c>
      <c r="G97" s="23" t="s">
        <v>146</v>
      </c>
    </row>
    <row r="98" spans="1:7" x14ac:dyDescent="0.25">
      <c r="A98" s="37">
        <v>43497</v>
      </c>
      <c r="B98" s="362" t="s">
        <v>237</v>
      </c>
      <c r="C98" s="18" t="s">
        <v>10</v>
      </c>
      <c r="D98" s="23" t="s">
        <v>16</v>
      </c>
      <c r="E98" s="77">
        <v>8940000</v>
      </c>
      <c r="F98" s="71">
        <v>10333333</v>
      </c>
      <c r="G98" s="23" t="s">
        <v>146</v>
      </c>
    </row>
    <row r="99" spans="1:7" x14ac:dyDescent="0.25">
      <c r="A99" s="37">
        <v>43497</v>
      </c>
      <c r="B99" s="362" t="s">
        <v>237</v>
      </c>
      <c r="C99" s="18" t="s">
        <v>11</v>
      </c>
      <c r="D99" s="23" t="s">
        <v>16</v>
      </c>
      <c r="E99" s="75">
        <v>19350000</v>
      </c>
      <c r="F99" s="71">
        <v>10333333</v>
      </c>
      <c r="G99" s="23" t="s">
        <v>146</v>
      </c>
    </row>
    <row r="100" spans="1:7" x14ac:dyDescent="0.25">
      <c r="A100" s="37">
        <v>43497</v>
      </c>
      <c r="B100" s="362" t="s">
        <v>237</v>
      </c>
      <c r="C100" s="40" t="s">
        <v>19</v>
      </c>
      <c r="D100" s="23" t="s">
        <v>16</v>
      </c>
      <c r="E100" s="75">
        <v>0</v>
      </c>
      <c r="F100" s="71">
        <v>8333333</v>
      </c>
      <c r="G100" s="23" t="s">
        <v>146</v>
      </c>
    </row>
    <row r="101" spans="1:7" x14ac:dyDescent="0.25">
      <c r="A101" s="37">
        <v>43497</v>
      </c>
      <c r="B101" s="362" t="s">
        <v>237</v>
      </c>
      <c r="C101" s="19" t="s">
        <v>13</v>
      </c>
      <c r="D101" s="23" t="s">
        <v>17</v>
      </c>
      <c r="E101" s="75">
        <v>21050000</v>
      </c>
      <c r="F101" s="72">
        <v>15833000</v>
      </c>
      <c r="G101" s="23" t="s">
        <v>146</v>
      </c>
    </row>
    <row r="102" spans="1:7" x14ac:dyDescent="0.25">
      <c r="A102" s="37">
        <v>43497</v>
      </c>
      <c r="B102" s="362" t="s">
        <v>237</v>
      </c>
      <c r="C102" s="19" t="s">
        <v>14</v>
      </c>
      <c r="D102" s="23" t="s">
        <v>17</v>
      </c>
      <c r="E102" s="77">
        <v>14250000</v>
      </c>
      <c r="F102" s="72">
        <v>15833000</v>
      </c>
      <c r="G102" s="23" t="s">
        <v>146</v>
      </c>
    </row>
    <row r="103" spans="1:7" x14ac:dyDescent="0.25">
      <c r="A103" s="37">
        <v>43497</v>
      </c>
      <c r="B103" s="362" t="s">
        <v>237</v>
      </c>
      <c r="C103" s="29" t="s">
        <v>15</v>
      </c>
      <c r="D103" s="23" t="s">
        <v>17</v>
      </c>
      <c r="E103" s="77">
        <v>14140000</v>
      </c>
      <c r="F103" s="74">
        <v>15833000</v>
      </c>
      <c r="G103" s="23" t="s">
        <v>146</v>
      </c>
    </row>
    <row r="104" spans="1:7" x14ac:dyDescent="0.25">
      <c r="A104" s="37">
        <v>43497</v>
      </c>
      <c r="B104" s="362" t="s">
        <v>237</v>
      </c>
      <c r="C104" s="40" t="s">
        <v>22</v>
      </c>
      <c r="D104" s="23" t="s">
        <v>17</v>
      </c>
      <c r="E104" s="77">
        <v>7970000</v>
      </c>
      <c r="F104" s="74">
        <v>12500000</v>
      </c>
      <c r="G104" s="23" t="s">
        <v>146</v>
      </c>
    </row>
    <row r="105" spans="1:7" x14ac:dyDescent="0.25">
      <c r="A105" s="37">
        <v>43525</v>
      </c>
      <c r="B105" s="362" t="s">
        <v>238</v>
      </c>
      <c r="C105" s="23" t="s">
        <v>7</v>
      </c>
      <c r="D105" s="23" t="s">
        <v>4</v>
      </c>
      <c r="E105" s="78">
        <v>45770000</v>
      </c>
      <c r="F105" s="62">
        <v>47500000</v>
      </c>
      <c r="G105" s="23" t="s">
        <v>146</v>
      </c>
    </row>
    <row r="106" spans="1:7" x14ac:dyDescent="0.25">
      <c r="A106" s="37">
        <v>43525</v>
      </c>
      <c r="B106" s="362" t="s">
        <v>238</v>
      </c>
      <c r="C106" s="18" t="s">
        <v>6</v>
      </c>
      <c r="D106" s="23" t="s">
        <v>16</v>
      </c>
      <c r="E106" s="66">
        <v>8130000</v>
      </c>
      <c r="F106" s="71">
        <v>13333333</v>
      </c>
      <c r="G106" s="23" t="s">
        <v>146</v>
      </c>
    </row>
    <row r="107" spans="1:7" x14ac:dyDescent="0.25">
      <c r="A107" s="37">
        <v>43525</v>
      </c>
      <c r="B107" s="362" t="s">
        <v>238</v>
      </c>
      <c r="C107" s="18" t="s">
        <v>9</v>
      </c>
      <c r="D107" s="23" t="s">
        <v>16</v>
      </c>
      <c r="E107" s="66">
        <v>6370000</v>
      </c>
      <c r="F107" s="71">
        <v>12500000</v>
      </c>
      <c r="G107" s="23" t="s">
        <v>146</v>
      </c>
    </row>
    <row r="108" spans="1:7" x14ac:dyDescent="0.25">
      <c r="A108" s="37">
        <v>43525</v>
      </c>
      <c r="B108" s="362" t="s">
        <v>238</v>
      </c>
      <c r="C108" s="18" t="s">
        <v>10</v>
      </c>
      <c r="D108" s="23" t="s">
        <v>16</v>
      </c>
      <c r="E108" s="63">
        <v>16060000</v>
      </c>
      <c r="F108" s="71">
        <v>10333333</v>
      </c>
      <c r="G108" s="23" t="s">
        <v>146</v>
      </c>
    </row>
    <row r="109" spans="1:7" x14ac:dyDescent="0.25">
      <c r="A109" s="37">
        <v>43525</v>
      </c>
      <c r="B109" s="362" t="s">
        <v>238</v>
      </c>
      <c r="C109" s="18" t="s">
        <v>11</v>
      </c>
      <c r="D109" s="23" t="s">
        <v>16</v>
      </c>
      <c r="E109" s="66">
        <v>8950000</v>
      </c>
      <c r="F109" s="71">
        <v>10333333</v>
      </c>
      <c r="G109" s="23" t="s">
        <v>146</v>
      </c>
    </row>
    <row r="110" spans="1:7" x14ac:dyDescent="0.25">
      <c r="A110" s="37">
        <v>43525</v>
      </c>
      <c r="B110" s="362" t="s">
        <v>238</v>
      </c>
      <c r="C110" s="18" t="s">
        <v>19</v>
      </c>
      <c r="D110" s="23" t="s">
        <v>16</v>
      </c>
      <c r="E110" s="66">
        <v>5460000</v>
      </c>
      <c r="F110" s="71">
        <v>8333333</v>
      </c>
      <c r="G110" s="23" t="s">
        <v>146</v>
      </c>
    </row>
    <row r="111" spans="1:7" x14ac:dyDescent="0.25">
      <c r="A111" s="37">
        <v>43525</v>
      </c>
      <c r="B111" s="362" t="s">
        <v>238</v>
      </c>
      <c r="C111" s="29" t="s">
        <v>13</v>
      </c>
      <c r="D111" s="23" t="s">
        <v>17</v>
      </c>
      <c r="E111" s="79">
        <v>13200000</v>
      </c>
      <c r="F111" s="72">
        <v>15833000</v>
      </c>
      <c r="G111" s="23" t="s">
        <v>146</v>
      </c>
    </row>
    <row r="112" spans="1:7" x14ac:dyDescent="0.25">
      <c r="A112" s="37">
        <v>43525</v>
      </c>
      <c r="B112" s="362" t="s">
        <v>238</v>
      </c>
      <c r="C112" s="29" t="s">
        <v>14</v>
      </c>
      <c r="D112" s="23" t="s">
        <v>17</v>
      </c>
      <c r="E112" s="79">
        <v>11570000</v>
      </c>
      <c r="F112" s="72">
        <v>15833000</v>
      </c>
      <c r="G112" s="23" t="s">
        <v>146</v>
      </c>
    </row>
    <row r="113" spans="1:7" x14ac:dyDescent="0.25">
      <c r="A113" s="37">
        <v>43525</v>
      </c>
      <c r="B113" s="362" t="s">
        <v>238</v>
      </c>
      <c r="C113" s="29" t="s">
        <v>15</v>
      </c>
      <c r="D113" s="23" t="s">
        <v>17</v>
      </c>
      <c r="E113" s="80">
        <v>16430000</v>
      </c>
      <c r="F113" s="74">
        <v>15833000</v>
      </c>
      <c r="G113" s="23" t="s">
        <v>146</v>
      </c>
    </row>
    <row r="114" spans="1:7" x14ac:dyDescent="0.25">
      <c r="A114" s="37">
        <v>43525</v>
      </c>
      <c r="B114" s="362" t="s">
        <v>238</v>
      </c>
      <c r="C114" s="31" t="s">
        <v>20</v>
      </c>
      <c r="D114" s="23" t="s">
        <v>17</v>
      </c>
      <c r="E114" s="66">
        <v>2400000</v>
      </c>
      <c r="F114" s="71">
        <v>15833000</v>
      </c>
      <c r="G114" s="23" t="s">
        <v>146</v>
      </c>
    </row>
    <row r="115" spans="1:7" x14ac:dyDescent="0.25">
      <c r="A115" s="37">
        <v>43525</v>
      </c>
      <c r="B115" s="362" t="s">
        <v>238</v>
      </c>
      <c r="C115" s="40" t="s">
        <v>22</v>
      </c>
      <c r="D115" s="23" t="s">
        <v>17</v>
      </c>
      <c r="E115" s="73">
        <v>20190000</v>
      </c>
      <c r="F115" s="74">
        <v>12500000</v>
      </c>
      <c r="G115" s="23" t="s">
        <v>146</v>
      </c>
    </row>
    <row r="116" spans="1:7" x14ac:dyDescent="0.25">
      <c r="A116" s="37">
        <v>43556</v>
      </c>
      <c r="B116" s="362" t="s">
        <v>239</v>
      </c>
      <c r="C116" s="23" t="s">
        <v>13</v>
      </c>
      <c r="D116" s="23" t="s">
        <v>4</v>
      </c>
      <c r="E116" s="66">
        <v>40950000</v>
      </c>
      <c r="F116" s="62">
        <v>47500000</v>
      </c>
      <c r="G116" s="23" t="s">
        <v>146</v>
      </c>
    </row>
    <row r="117" spans="1:7" x14ac:dyDescent="0.25">
      <c r="A117" s="37">
        <v>43556</v>
      </c>
      <c r="B117" s="362" t="s">
        <v>239</v>
      </c>
      <c r="C117" s="18" t="s">
        <v>6</v>
      </c>
      <c r="D117" s="23" t="s">
        <v>16</v>
      </c>
      <c r="E117" s="66">
        <v>9500000</v>
      </c>
      <c r="F117" s="71">
        <v>13333333</v>
      </c>
      <c r="G117" s="23" t="s">
        <v>146</v>
      </c>
    </row>
    <row r="118" spans="1:7" x14ac:dyDescent="0.25">
      <c r="A118" s="37">
        <v>43556</v>
      </c>
      <c r="B118" s="362" t="s">
        <v>239</v>
      </c>
      <c r="C118" s="18" t="s">
        <v>9</v>
      </c>
      <c r="D118" s="23" t="s">
        <v>16</v>
      </c>
      <c r="E118" s="66">
        <v>12480000</v>
      </c>
      <c r="F118" s="71">
        <v>12500000</v>
      </c>
      <c r="G118" s="23" t="s">
        <v>146</v>
      </c>
    </row>
    <row r="119" spans="1:7" x14ac:dyDescent="0.25">
      <c r="A119" s="37">
        <v>43556</v>
      </c>
      <c r="B119" s="362" t="s">
        <v>239</v>
      </c>
      <c r="C119" s="18" t="s">
        <v>10</v>
      </c>
      <c r="D119" s="23" t="s">
        <v>16</v>
      </c>
      <c r="E119" s="66">
        <v>6350000</v>
      </c>
      <c r="F119" s="71">
        <v>10333333</v>
      </c>
      <c r="G119" s="23" t="s">
        <v>146</v>
      </c>
    </row>
    <row r="120" spans="1:7" x14ac:dyDescent="0.25">
      <c r="A120" s="37">
        <v>43556</v>
      </c>
      <c r="B120" s="362" t="s">
        <v>239</v>
      </c>
      <c r="C120" s="18" t="s">
        <v>11</v>
      </c>
      <c r="D120" s="23" t="s">
        <v>16</v>
      </c>
      <c r="E120" s="66">
        <v>8020000</v>
      </c>
      <c r="F120" s="71">
        <v>10333333</v>
      </c>
      <c r="G120" s="23" t="s">
        <v>146</v>
      </c>
    </row>
    <row r="121" spans="1:7" x14ac:dyDescent="0.25">
      <c r="A121" s="37">
        <v>43556</v>
      </c>
      <c r="B121" s="362" t="s">
        <v>239</v>
      </c>
      <c r="C121" s="18" t="s">
        <v>19</v>
      </c>
      <c r="D121" s="23" t="s">
        <v>16</v>
      </c>
      <c r="E121" s="66">
        <v>1600000</v>
      </c>
      <c r="F121" s="71">
        <v>8333333</v>
      </c>
      <c r="G121" s="23" t="s">
        <v>146</v>
      </c>
    </row>
    <row r="122" spans="1:7" x14ac:dyDescent="0.25">
      <c r="A122" s="37">
        <v>43556</v>
      </c>
      <c r="B122" s="362" t="s">
        <v>239</v>
      </c>
      <c r="C122" s="29" t="s">
        <v>13</v>
      </c>
      <c r="D122" s="23" t="s">
        <v>17</v>
      </c>
      <c r="E122" s="79">
        <v>0</v>
      </c>
      <c r="F122" s="72">
        <v>15833000</v>
      </c>
      <c r="G122" s="23" t="s">
        <v>146</v>
      </c>
    </row>
    <row r="123" spans="1:7" x14ac:dyDescent="0.25">
      <c r="A123" s="37">
        <v>43556</v>
      </c>
      <c r="B123" s="362" t="s">
        <v>239</v>
      </c>
      <c r="C123" s="29" t="s">
        <v>14</v>
      </c>
      <c r="D123" s="23" t="s">
        <v>17</v>
      </c>
      <c r="E123" s="79">
        <v>13190000</v>
      </c>
      <c r="F123" s="72">
        <v>15833000</v>
      </c>
      <c r="G123" s="23" t="s">
        <v>146</v>
      </c>
    </row>
    <row r="124" spans="1:7" x14ac:dyDescent="0.25">
      <c r="A124" s="37">
        <v>43556</v>
      </c>
      <c r="B124" s="362" t="s">
        <v>239</v>
      </c>
      <c r="C124" s="29" t="s">
        <v>15</v>
      </c>
      <c r="D124" s="23" t="s">
        <v>17</v>
      </c>
      <c r="E124" s="80">
        <v>13730000</v>
      </c>
      <c r="F124" s="74">
        <v>15833000</v>
      </c>
      <c r="G124" s="23" t="s">
        <v>146</v>
      </c>
    </row>
    <row r="125" spans="1:7" x14ac:dyDescent="0.25">
      <c r="A125" s="37">
        <v>43556</v>
      </c>
      <c r="B125" s="362" t="s">
        <v>239</v>
      </c>
      <c r="C125" s="31" t="s">
        <v>20</v>
      </c>
      <c r="D125" s="23" t="s">
        <v>17</v>
      </c>
      <c r="E125" s="66">
        <v>7050000</v>
      </c>
      <c r="F125" s="71">
        <v>15833000</v>
      </c>
      <c r="G125" s="23" t="s">
        <v>146</v>
      </c>
    </row>
    <row r="126" spans="1:7" x14ac:dyDescent="0.25">
      <c r="A126" s="37">
        <v>43556</v>
      </c>
      <c r="B126" s="362" t="s">
        <v>239</v>
      </c>
      <c r="C126" s="40" t="s">
        <v>22</v>
      </c>
      <c r="D126" s="23" t="s">
        <v>17</v>
      </c>
      <c r="E126" s="81">
        <v>19850000</v>
      </c>
      <c r="F126" s="74">
        <v>12500000</v>
      </c>
      <c r="G126" s="23" t="s">
        <v>146</v>
      </c>
    </row>
    <row r="127" spans="1:7" x14ac:dyDescent="0.25">
      <c r="A127" s="37">
        <v>43586</v>
      </c>
      <c r="B127" s="362" t="s">
        <v>240</v>
      </c>
      <c r="C127" s="23" t="s">
        <v>13</v>
      </c>
      <c r="D127" s="23" t="s">
        <v>4</v>
      </c>
      <c r="E127" s="63">
        <v>50875000</v>
      </c>
      <c r="F127" s="62">
        <v>47500000</v>
      </c>
      <c r="G127" s="23" t="s">
        <v>146</v>
      </c>
    </row>
    <row r="128" spans="1:7" s="244" customFormat="1" x14ac:dyDescent="0.25">
      <c r="A128" s="37">
        <v>43586</v>
      </c>
      <c r="B128" s="362" t="s">
        <v>240</v>
      </c>
      <c r="C128" s="18" t="s">
        <v>6</v>
      </c>
      <c r="D128" s="18" t="s">
        <v>16</v>
      </c>
      <c r="E128" s="63">
        <v>15775000</v>
      </c>
      <c r="F128" s="71">
        <v>13333333</v>
      </c>
      <c r="G128" s="23" t="s">
        <v>146</v>
      </c>
    </row>
    <row r="129" spans="1:7" s="244" customFormat="1" x14ac:dyDescent="0.25">
      <c r="A129" s="37">
        <v>43586</v>
      </c>
      <c r="B129" s="362" t="s">
        <v>240</v>
      </c>
      <c r="C129" s="18" t="s">
        <v>9</v>
      </c>
      <c r="D129" s="18" t="s">
        <v>16</v>
      </c>
      <c r="E129" s="66">
        <v>10550000</v>
      </c>
      <c r="F129" s="71">
        <v>12500000</v>
      </c>
      <c r="G129" s="23" t="s">
        <v>146</v>
      </c>
    </row>
    <row r="130" spans="1:7" s="244" customFormat="1" x14ac:dyDescent="0.25">
      <c r="A130" s="37">
        <v>43586</v>
      </c>
      <c r="B130" s="362" t="s">
        <v>240</v>
      </c>
      <c r="C130" s="18" t="s">
        <v>10</v>
      </c>
      <c r="D130" s="18" t="s">
        <v>16</v>
      </c>
      <c r="E130" s="63">
        <v>8180000</v>
      </c>
      <c r="F130" s="71">
        <v>10333333</v>
      </c>
      <c r="G130" s="23" t="s">
        <v>146</v>
      </c>
    </row>
    <row r="131" spans="1:7" s="244" customFormat="1" x14ac:dyDescent="0.25">
      <c r="A131" s="37">
        <v>43586</v>
      </c>
      <c r="B131" s="362" t="s">
        <v>240</v>
      </c>
      <c r="C131" s="18" t="s">
        <v>11</v>
      </c>
      <c r="D131" s="18" t="s">
        <v>16</v>
      </c>
      <c r="E131" s="66">
        <v>7780000</v>
      </c>
      <c r="F131" s="71">
        <v>10333333</v>
      </c>
      <c r="G131" s="23" t="s">
        <v>146</v>
      </c>
    </row>
    <row r="132" spans="1:7" s="244" customFormat="1" x14ac:dyDescent="0.25">
      <c r="A132" s="37">
        <v>43586</v>
      </c>
      <c r="B132" s="362" t="s">
        <v>240</v>
      </c>
      <c r="C132" s="18" t="s">
        <v>19</v>
      </c>
      <c r="D132" s="18" t="s">
        <v>16</v>
      </c>
      <c r="E132" s="66">
        <v>5900000</v>
      </c>
      <c r="F132" s="71">
        <v>8333333</v>
      </c>
      <c r="G132" s="23" t="s">
        <v>146</v>
      </c>
    </row>
    <row r="133" spans="1:7" s="244" customFormat="1" x14ac:dyDescent="0.25">
      <c r="A133" s="37">
        <v>43586</v>
      </c>
      <c r="B133" s="362" t="s">
        <v>240</v>
      </c>
      <c r="C133" s="18" t="s">
        <v>23</v>
      </c>
      <c r="D133" s="18" t="s">
        <v>16</v>
      </c>
      <c r="E133" s="82">
        <v>1110000</v>
      </c>
      <c r="F133" s="71">
        <v>10333333</v>
      </c>
      <c r="G133" s="23" t="s">
        <v>146</v>
      </c>
    </row>
    <row r="134" spans="1:7" s="244" customFormat="1" x14ac:dyDescent="0.25">
      <c r="A134" s="37">
        <v>43586</v>
      </c>
      <c r="B134" s="362" t="s">
        <v>240</v>
      </c>
      <c r="C134" s="18" t="s">
        <v>24</v>
      </c>
      <c r="D134" s="18" t="s">
        <v>16</v>
      </c>
      <c r="E134" s="67">
        <v>1620000</v>
      </c>
      <c r="F134" s="71">
        <v>13333000</v>
      </c>
      <c r="G134" s="23" t="s">
        <v>146</v>
      </c>
    </row>
    <row r="135" spans="1:7" x14ac:dyDescent="0.25">
      <c r="A135" s="37">
        <v>43586</v>
      </c>
      <c r="B135" s="362" t="s">
        <v>240</v>
      </c>
      <c r="C135" s="29" t="s">
        <v>13</v>
      </c>
      <c r="D135" s="23" t="s">
        <v>17</v>
      </c>
      <c r="E135" s="69">
        <v>1575000</v>
      </c>
      <c r="F135" s="72">
        <v>15833000</v>
      </c>
      <c r="G135" s="23" t="s">
        <v>146</v>
      </c>
    </row>
    <row r="136" spans="1:7" x14ac:dyDescent="0.25">
      <c r="A136" s="37">
        <v>43586</v>
      </c>
      <c r="B136" s="362" t="s">
        <v>240</v>
      </c>
      <c r="C136" s="29" t="s">
        <v>14</v>
      </c>
      <c r="D136" s="23" t="s">
        <v>17</v>
      </c>
      <c r="E136" s="69">
        <v>17170000</v>
      </c>
      <c r="F136" s="72">
        <v>15833000</v>
      </c>
      <c r="G136" s="23" t="s">
        <v>146</v>
      </c>
    </row>
    <row r="137" spans="1:7" x14ac:dyDescent="0.25">
      <c r="A137" s="37">
        <v>43586</v>
      </c>
      <c r="B137" s="362" t="s">
        <v>240</v>
      </c>
      <c r="C137" s="29" t="s">
        <v>15</v>
      </c>
      <c r="D137" s="23" t="s">
        <v>17</v>
      </c>
      <c r="E137" s="73">
        <v>19680000</v>
      </c>
      <c r="F137" s="74">
        <v>15833000</v>
      </c>
      <c r="G137" s="23" t="s">
        <v>146</v>
      </c>
    </row>
    <row r="138" spans="1:7" x14ac:dyDescent="0.25">
      <c r="A138" s="37">
        <v>43586</v>
      </c>
      <c r="B138" s="362" t="s">
        <v>240</v>
      </c>
      <c r="C138" s="31" t="s">
        <v>20</v>
      </c>
      <c r="D138" s="23" t="s">
        <v>17</v>
      </c>
      <c r="E138" s="63">
        <v>9800000</v>
      </c>
      <c r="F138" s="71">
        <v>15833000</v>
      </c>
      <c r="G138" s="23" t="s">
        <v>146</v>
      </c>
    </row>
    <row r="139" spans="1:7" x14ac:dyDescent="0.25">
      <c r="A139" s="37">
        <v>43586</v>
      </c>
      <c r="B139" s="362" t="s">
        <v>240</v>
      </c>
      <c r="C139" s="40" t="s">
        <v>22</v>
      </c>
      <c r="D139" s="23" t="s">
        <v>17</v>
      </c>
      <c r="E139" s="83">
        <v>7550000</v>
      </c>
      <c r="F139" s="74">
        <v>12500000</v>
      </c>
      <c r="G139" s="23" t="s">
        <v>146</v>
      </c>
    </row>
    <row r="140" spans="1:7" x14ac:dyDescent="0.25">
      <c r="A140" s="37">
        <v>43617</v>
      </c>
      <c r="B140" s="362" t="s">
        <v>241</v>
      </c>
      <c r="C140" s="23" t="s">
        <v>13</v>
      </c>
      <c r="D140" s="23" t="s">
        <v>4</v>
      </c>
      <c r="E140" s="66">
        <v>35610000</v>
      </c>
      <c r="F140" s="62">
        <v>47500000</v>
      </c>
      <c r="G140" s="23" t="s">
        <v>146</v>
      </c>
    </row>
    <row r="141" spans="1:7" x14ac:dyDescent="0.25">
      <c r="A141" s="37">
        <v>43617</v>
      </c>
      <c r="B141" s="362" t="s">
        <v>241</v>
      </c>
      <c r="C141" s="18" t="s">
        <v>6</v>
      </c>
      <c r="D141" s="23" t="s">
        <v>16</v>
      </c>
      <c r="E141" s="84">
        <v>7120000</v>
      </c>
      <c r="F141" s="71">
        <v>13333333</v>
      </c>
      <c r="G141" s="23" t="s">
        <v>146</v>
      </c>
    </row>
    <row r="142" spans="1:7" x14ac:dyDescent="0.25">
      <c r="A142" s="37">
        <v>43617</v>
      </c>
      <c r="B142" s="362" t="s">
        <v>241</v>
      </c>
      <c r="C142" s="18" t="s">
        <v>9</v>
      </c>
      <c r="D142" s="23" t="s">
        <v>16</v>
      </c>
      <c r="E142" s="66">
        <v>9470000</v>
      </c>
      <c r="F142" s="71">
        <v>12500000</v>
      </c>
      <c r="G142" s="23" t="s">
        <v>146</v>
      </c>
    </row>
    <row r="143" spans="1:7" x14ac:dyDescent="0.25">
      <c r="A143" s="37">
        <v>43617</v>
      </c>
      <c r="B143" s="362" t="s">
        <v>241</v>
      </c>
      <c r="C143" s="18" t="s">
        <v>10</v>
      </c>
      <c r="D143" s="23" t="s">
        <v>16</v>
      </c>
      <c r="E143" s="66">
        <v>10000000</v>
      </c>
      <c r="F143" s="71">
        <v>10333333</v>
      </c>
      <c r="G143" s="23" t="s">
        <v>146</v>
      </c>
    </row>
    <row r="144" spans="1:7" x14ac:dyDescent="0.25">
      <c r="A144" s="37">
        <v>43617</v>
      </c>
      <c r="B144" s="362" t="s">
        <v>241</v>
      </c>
      <c r="C144" s="18" t="s">
        <v>11</v>
      </c>
      <c r="D144" s="23" t="s">
        <v>16</v>
      </c>
      <c r="E144" s="66">
        <v>4045000</v>
      </c>
      <c r="F144" s="71">
        <v>10333333</v>
      </c>
      <c r="G144" s="23" t="s">
        <v>146</v>
      </c>
    </row>
    <row r="145" spans="1:7" x14ac:dyDescent="0.25">
      <c r="A145" s="37">
        <v>43617</v>
      </c>
      <c r="B145" s="362" t="s">
        <v>241</v>
      </c>
      <c r="C145" s="18" t="s">
        <v>24</v>
      </c>
      <c r="D145" s="23" t="s">
        <v>16</v>
      </c>
      <c r="E145" s="82">
        <v>2970000</v>
      </c>
      <c r="F145" s="71">
        <v>13333000</v>
      </c>
      <c r="G145" s="23" t="s">
        <v>146</v>
      </c>
    </row>
    <row r="146" spans="1:7" x14ac:dyDescent="0.25">
      <c r="A146" s="37">
        <v>43617</v>
      </c>
      <c r="B146" s="362" t="s">
        <v>241</v>
      </c>
      <c r="C146" s="29" t="s">
        <v>14</v>
      </c>
      <c r="D146" s="23" t="s">
        <v>17</v>
      </c>
      <c r="E146" s="69">
        <v>3620000</v>
      </c>
      <c r="F146" s="72">
        <v>15833000</v>
      </c>
      <c r="G146" s="23" t="s">
        <v>146</v>
      </c>
    </row>
    <row r="147" spans="1:7" x14ac:dyDescent="0.25">
      <c r="A147" s="37">
        <v>43617</v>
      </c>
      <c r="B147" s="362" t="s">
        <v>241</v>
      </c>
      <c r="C147" s="29" t="s">
        <v>15</v>
      </c>
      <c r="D147" s="23" t="s">
        <v>17</v>
      </c>
      <c r="E147" s="73">
        <v>22040000</v>
      </c>
      <c r="F147" s="74">
        <v>15833000</v>
      </c>
      <c r="G147" s="23" t="s">
        <v>146</v>
      </c>
    </row>
    <row r="148" spans="1:7" x14ac:dyDescent="0.25">
      <c r="A148" s="37">
        <v>43617</v>
      </c>
      <c r="B148" s="362" t="s">
        <v>241</v>
      </c>
      <c r="C148" s="31" t="s">
        <v>20</v>
      </c>
      <c r="D148" s="23" t="s">
        <v>17</v>
      </c>
      <c r="E148" s="63">
        <v>6400000</v>
      </c>
      <c r="F148" s="71">
        <v>15833000</v>
      </c>
      <c r="G148" s="23" t="s">
        <v>146</v>
      </c>
    </row>
    <row r="149" spans="1:7" x14ac:dyDescent="0.25">
      <c r="A149" s="37">
        <v>43617</v>
      </c>
      <c r="B149" s="362" t="s">
        <v>241</v>
      </c>
      <c r="C149" s="245" t="s">
        <v>21</v>
      </c>
      <c r="D149" s="23" t="s">
        <v>17</v>
      </c>
      <c r="E149" s="63">
        <v>5000000</v>
      </c>
      <c r="F149" s="71">
        <v>15833000</v>
      </c>
      <c r="G149" s="23" t="s">
        <v>146</v>
      </c>
    </row>
    <row r="150" spans="1:7" x14ac:dyDescent="0.25">
      <c r="A150" s="37">
        <v>43617</v>
      </c>
      <c r="B150" s="362" t="s">
        <v>241</v>
      </c>
      <c r="C150" s="40" t="s">
        <v>22</v>
      </c>
      <c r="D150" s="23" t="s">
        <v>17</v>
      </c>
      <c r="E150" s="85">
        <v>19850000</v>
      </c>
      <c r="F150" s="74">
        <v>12500000</v>
      </c>
      <c r="G150" s="23" t="s">
        <v>146</v>
      </c>
    </row>
    <row r="151" spans="1:7" x14ac:dyDescent="0.25">
      <c r="A151" s="37">
        <v>43647</v>
      </c>
      <c r="B151" s="362" t="s">
        <v>242</v>
      </c>
      <c r="C151" s="23" t="s">
        <v>13</v>
      </c>
      <c r="D151" s="23" t="s">
        <v>4</v>
      </c>
      <c r="E151" s="63">
        <v>69320000</v>
      </c>
      <c r="F151" s="62">
        <v>47500000</v>
      </c>
      <c r="G151" s="23" t="s">
        <v>146</v>
      </c>
    </row>
    <row r="152" spans="1:7" x14ac:dyDescent="0.25">
      <c r="A152" s="37">
        <v>43647</v>
      </c>
      <c r="B152" s="362" t="s">
        <v>242</v>
      </c>
      <c r="C152" s="18" t="s">
        <v>6</v>
      </c>
      <c r="D152" s="23" t="s">
        <v>16</v>
      </c>
      <c r="E152" s="63">
        <v>21130000</v>
      </c>
      <c r="F152" s="71">
        <v>13333333</v>
      </c>
      <c r="G152" s="23" t="s">
        <v>146</v>
      </c>
    </row>
    <row r="153" spans="1:7" x14ac:dyDescent="0.25">
      <c r="A153" s="37">
        <v>43647</v>
      </c>
      <c r="B153" s="362" t="s">
        <v>242</v>
      </c>
      <c r="C153" s="18" t="s">
        <v>9</v>
      </c>
      <c r="D153" s="23" t="s">
        <v>16</v>
      </c>
      <c r="E153" s="63">
        <v>16290000</v>
      </c>
      <c r="F153" s="71">
        <v>12500000</v>
      </c>
      <c r="G153" s="23" t="s">
        <v>146</v>
      </c>
    </row>
    <row r="154" spans="1:7" x14ac:dyDescent="0.25">
      <c r="A154" s="37">
        <v>43647</v>
      </c>
      <c r="B154" s="362" t="s">
        <v>242</v>
      </c>
      <c r="C154" s="18" t="s">
        <v>10</v>
      </c>
      <c r="D154" s="23" t="s">
        <v>16</v>
      </c>
      <c r="E154" s="63">
        <v>11050000</v>
      </c>
      <c r="F154" s="71">
        <v>10333333</v>
      </c>
      <c r="G154" s="23" t="s">
        <v>146</v>
      </c>
    </row>
    <row r="155" spans="1:7" x14ac:dyDescent="0.25">
      <c r="A155" s="37">
        <v>43647</v>
      </c>
      <c r="B155" s="362" t="s">
        <v>242</v>
      </c>
      <c r="C155" s="18" t="s">
        <v>11</v>
      </c>
      <c r="D155" s="23" t="s">
        <v>16</v>
      </c>
      <c r="E155" s="63">
        <v>15550000</v>
      </c>
      <c r="F155" s="71">
        <v>10333333</v>
      </c>
      <c r="G155" s="23" t="s">
        <v>146</v>
      </c>
    </row>
    <row r="156" spans="1:7" x14ac:dyDescent="0.25">
      <c r="A156" s="37">
        <v>43647</v>
      </c>
      <c r="B156" s="362" t="s">
        <v>242</v>
      </c>
      <c r="C156" s="18" t="s">
        <v>24</v>
      </c>
      <c r="D156" s="23" t="s">
        <v>16</v>
      </c>
      <c r="E156" s="82">
        <v>5300000</v>
      </c>
      <c r="F156" s="71">
        <v>13333000</v>
      </c>
      <c r="G156" s="23" t="s">
        <v>146</v>
      </c>
    </row>
    <row r="157" spans="1:7" x14ac:dyDescent="0.25">
      <c r="A157" s="37">
        <v>43647</v>
      </c>
      <c r="B157" s="362" t="s">
        <v>242</v>
      </c>
      <c r="C157" s="29" t="s">
        <v>14</v>
      </c>
      <c r="D157" s="23" t="s">
        <v>17</v>
      </c>
      <c r="E157" s="69">
        <v>21620000</v>
      </c>
      <c r="F157" s="72">
        <v>15833000</v>
      </c>
      <c r="G157" s="23" t="s">
        <v>146</v>
      </c>
    </row>
    <row r="158" spans="1:7" x14ac:dyDescent="0.25">
      <c r="A158" s="37">
        <v>43647</v>
      </c>
      <c r="B158" s="362" t="s">
        <v>242</v>
      </c>
      <c r="C158" s="29" t="s">
        <v>15</v>
      </c>
      <c r="D158" s="23" t="s">
        <v>17</v>
      </c>
      <c r="E158" s="69">
        <v>18900000</v>
      </c>
      <c r="F158" s="74">
        <v>15833000</v>
      </c>
      <c r="G158" s="23" t="s">
        <v>146</v>
      </c>
    </row>
    <row r="159" spans="1:7" x14ac:dyDescent="0.25">
      <c r="A159" s="37">
        <v>43647</v>
      </c>
      <c r="B159" s="362" t="s">
        <v>242</v>
      </c>
      <c r="C159" s="245" t="s">
        <v>21</v>
      </c>
      <c r="D159" s="23" t="s">
        <v>17</v>
      </c>
      <c r="E159" s="86">
        <v>17180000</v>
      </c>
      <c r="F159" s="71">
        <v>15833000</v>
      </c>
      <c r="G159" s="23" t="s">
        <v>146</v>
      </c>
    </row>
    <row r="160" spans="1:7" x14ac:dyDescent="0.25">
      <c r="A160" s="37">
        <v>43647</v>
      </c>
      <c r="B160" s="362" t="s">
        <v>242</v>
      </c>
      <c r="C160" s="40" t="s">
        <v>22</v>
      </c>
      <c r="D160" s="23" t="s">
        <v>17</v>
      </c>
      <c r="E160" s="85">
        <v>11620000</v>
      </c>
      <c r="F160" s="74">
        <v>12500000</v>
      </c>
      <c r="G160" s="23" t="s">
        <v>146</v>
      </c>
    </row>
    <row r="161" spans="1:7" x14ac:dyDescent="0.25">
      <c r="A161" s="37">
        <v>43678</v>
      </c>
      <c r="B161" s="362" t="s">
        <v>243</v>
      </c>
      <c r="C161" s="23" t="s">
        <v>13</v>
      </c>
      <c r="D161" s="23" t="s">
        <v>4</v>
      </c>
      <c r="E161" s="66">
        <v>36694680</v>
      </c>
      <c r="F161" s="62">
        <v>47500000</v>
      </c>
      <c r="G161" s="23" t="s">
        <v>146</v>
      </c>
    </row>
    <row r="162" spans="1:7" x14ac:dyDescent="0.25">
      <c r="A162" s="37">
        <v>43678</v>
      </c>
      <c r="B162" s="362" t="s">
        <v>243</v>
      </c>
      <c r="C162" s="18" t="s">
        <v>6</v>
      </c>
      <c r="D162" s="23" t="s">
        <v>16</v>
      </c>
      <c r="E162" s="66">
        <v>5200000</v>
      </c>
      <c r="F162" s="71">
        <v>13333333</v>
      </c>
      <c r="G162" s="23" t="s">
        <v>146</v>
      </c>
    </row>
    <row r="163" spans="1:7" x14ac:dyDescent="0.25">
      <c r="A163" s="37">
        <v>43678</v>
      </c>
      <c r="B163" s="362" t="s">
        <v>243</v>
      </c>
      <c r="C163" s="18" t="s">
        <v>9</v>
      </c>
      <c r="D163" s="23" t="s">
        <v>16</v>
      </c>
      <c r="E163" s="63">
        <v>15999680</v>
      </c>
      <c r="F163" s="71">
        <v>12500000</v>
      </c>
      <c r="G163" s="23" t="s">
        <v>146</v>
      </c>
    </row>
    <row r="164" spans="1:7" x14ac:dyDescent="0.25">
      <c r="A164" s="37">
        <v>43678</v>
      </c>
      <c r="B164" s="362" t="s">
        <v>243</v>
      </c>
      <c r="C164" s="18" t="s">
        <v>10</v>
      </c>
      <c r="D164" s="23" t="s">
        <v>16</v>
      </c>
      <c r="E164" s="66">
        <v>8645000</v>
      </c>
      <c r="F164" s="71">
        <v>10333333</v>
      </c>
      <c r="G164" s="23" t="s">
        <v>146</v>
      </c>
    </row>
    <row r="165" spans="1:7" x14ac:dyDescent="0.25">
      <c r="A165" s="37">
        <v>43678</v>
      </c>
      <c r="B165" s="362" t="s">
        <v>243</v>
      </c>
      <c r="C165" s="18" t="s">
        <v>11</v>
      </c>
      <c r="D165" s="23" t="s">
        <v>16</v>
      </c>
      <c r="E165" s="66">
        <v>900000</v>
      </c>
      <c r="F165" s="71">
        <v>10333333</v>
      </c>
      <c r="G165" s="23" t="s">
        <v>146</v>
      </c>
    </row>
    <row r="166" spans="1:7" x14ac:dyDescent="0.25">
      <c r="A166" s="37">
        <v>43678</v>
      </c>
      <c r="B166" s="362" t="s">
        <v>243</v>
      </c>
      <c r="C166" s="18" t="s">
        <v>24</v>
      </c>
      <c r="D166" s="23" t="s">
        <v>16</v>
      </c>
      <c r="E166" s="82">
        <v>5950000</v>
      </c>
      <c r="F166" s="71">
        <v>13333000</v>
      </c>
      <c r="G166" s="23" t="s">
        <v>146</v>
      </c>
    </row>
    <row r="167" spans="1:7" x14ac:dyDescent="0.25">
      <c r="A167" s="37">
        <v>43678</v>
      </c>
      <c r="B167" s="362" t="s">
        <v>243</v>
      </c>
      <c r="C167" s="29" t="s">
        <v>14</v>
      </c>
      <c r="D167" s="23" t="s">
        <v>17</v>
      </c>
      <c r="E167" s="79">
        <v>9525000</v>
      </c>
      <c r="F167" s="72">
        <v>15833000</v>
      </c>
      <c r="G167" s="23" t="s">
        <v>146</v>
      </c>
    </row>
    <row r="168" spans="1:7" x14ac:dyDescent="0.25">
      <c r="A168" s="37">
        <v>43678</v>
      </c>
      <c r="B168" s="362" t="s">
        <v>243</v>
      </c>
      <c r="C168" s="29" t="s">
        <v>15</v>
      </c>
      <c r="D168" s="23" t="s">
        <v>17</v>
      </c>
      <c r="E168" s="69">
        <v>20269680</v>
      </c>
      <c r="F168" s="74">
        <v>15833000</v>
      </c>
      <c r="G168" s="23" t="s">
        <v>146</v>
      </c>
    </row>
    <row r="169" spans="1:7" x14ac:dyDescent="0.25">
      <c r="A169" s="37">
        <v>43678</v>
      </c>
      <c r="B169" s="362" t="s">
        <v>243</v>
      </c>
      <c r="C169" s="245" t="s">
        <v>25</v>
      </c>
      <c r="D169" s="23" t="s">
        <v>17</v>
      </c>
      <c r="E169" s="87">
        <v>1150000</v>
      </c>
      <c r="F169" s="88"/>
      <c r="G169" s="23" t="s">
        <v>146</v>
      </c>
    </row>
    <row r="170" spans="1:7" x14ac:dyDescent="0.25">
      <c r="A170" s="37">
        <v>43678</v>
      </c>
      <c r="B170" s="362" t="s">
        <v>243</v>
      </c>
      <c r="C170" s="40" t="s">
        <v>22</v>
      </c>
      <c r="D170" s="23" t="s">
        <v>17</v>
      </c>
      <c r="E170" s="75">
        <v>700000</v>
      </c>
      <c r="F170" s="74">
        <v>12500000</v>
      </c>
      <c r="G170" s="23" t="s">
        <v>146</v>
      </c>
    </row>
    <row r="171" spans="1:7" x14ac:dyDescent="0.25">
      <c r="A171" s="37">
        <v>43709</v>
      </c>
      <c r="B171" s="362" t="s">
        <v>244</v>
      </c>
      <c r="C171" s="23" t="s">
        <v>13</v>
      </c>
      <c r="D171" s="23" t="s">
        <v>4</v>
      </c>
      <c r="E171" s="81">
        <v>49830000</v>
      </c>
      <c r="F171" s="62">
        <v>47500000</v>
      </c>
      <c r="G171" s="23" t="s">
        <v>146</v>
      </c>
    </row>
    <row r="172" spans="1:7" x14ac:dyDescent="0.25">
      <c r="A172" s="37">
        <v>43709</v>
      </c>
      <c r="B172" s="362" t="s">
        <v>244</v>
      </c>
      <c r="C172" s="18" t="s">
        <v>6</v>
      </c>
      <c r="D172" s="23" t="s">
        <v>16</v>
      </c>
      <c r="E172" s="63">
        <v>11600000</v>
      </c>
      <c r="F172" s="89">
        <v>13333333</v>
      </c>
      <c r="G172" s="23" t="s">
        <v>146</v>
      </c>
    </row>
    <row r="173" spans="1:7" x14ac:dyDescent="0.25">
      <c r="A173" s="37">
        <v>43709</v>
      </c>
      <c r="B173" s="362" t="s">
        <v>244</v>
      </c>
      <c r="C173" s="18" t="s">
        <v>9</v>
      </c>
      <c r="D173" s="23" t="s">
        <v>16</v>
      </c>
      <c r="E173" s="90">
        <v>9850000</v>
      </c>
      <c r="F173" s="88">
        <v>12500000</v>
      </c>
      <c r="G173" s="23" t="s">
        <v>146</v>
      </c>
    </row>
    <row r="174" spans="1:7" x14ac:dyDescent="0.25">
      <c r="A174" s="37">
        <v>43709</v>
      </c>
      <c r="B174" s="362" t="s">
        <v>244</v>
      </c>
      <c r="C174" s="18" t="s">
        <v>10</v>
      </c>
      <c r="D174" s="23" t="s">
        <v>16</v>
      </c>
      <c r="E174" s="90">
        <v>11200000</v>
      </c>
      <c r="F174" s="88">
        <v>10333333</v>
      </c>
      <c r="G174" s="23" t="s">
        <v>146</v>
      </c>
    </row>
    <row r="175" spans="1:7" x14ac:dyDescent="0.25">
      <c r="A175" s="37">
        <v>43709</v>
      </c>
      <c r="B175" s="362" t="s">
        <v>244</v>
      </c>
      <c r="C175" s="18" t="s">
        <v>11</v>
      </c>
      <c r="D175" s="23" t="s">
        <v>16</v>
      </c>
      <c r="E175" s="90">
        <v>7900000</v>
      </c>
      <c r="F175" s="88">
        <v>10333333</v>
      </c>
      <c r="G175" s="23" t="s">
        <v>146</v>
      </c>
    </row>
    <row r="176" spans="1:7" x14ac:dyDescent="0.25">
      <c r="A176" s="37">
        <v>43709</v>
      </c>
      <c r="B176" s="362" t="s">
        <v>244</v>
      </c>
      <c r="C176" s="18" t="s">
        <v>24</v>
      </c>
      <c r="D176" s="23" t="s">
        <v>16</v>
      </c>
      <c r="E176" s="91">
        <v>9330000</v>
      </c>
      <c r="F176" s="88">
        <v>13333000</v>
      </c>
      <c r="G176" s="23" t="s">
        <v>146</v>
      </c>
    </row>
    <row r="177" spans="1:7" x14ac:dyDescent="0.25">
      <c r="A177" s="37">
        <v>43709</v>
      </c>
      <c r="B177" s="362" t="s">
        <v>244</v>
      </c>
      <c r="C177" s="29" t="s">
        <v>14</v>
      </c>
      <c r="D177" s="23" t="s">
        <v>17</v>
      </c>
      <c r="E177" s="92">
        <v>20230000</v>
      </c>
      <c r="F177" s="88">
        <v>15833000</v>
      </c>
      <c r="G177" s="23" t="s">
        <v>146</v>
      </c>
    </row>
    <row r="178" spans="1:7" x14ac:dyDescent="0.25">
      <c r="A178" s="37">
        <v>43709</v>
      </c>
      <c r="B178" s="362" t="s">
        <v>244</v>
      </c>
      <c r="C178" s="29" t="s">
        <v>15</v>
      </c>
      <c r="D178" s="23" t="s">
        <v>17</v>
      </c>
      <c r="E178" s="92">
        <v>4150000</v>
      </c>
      <c r="F178" s="88">
        <v>15833000</v>
      </c>
      <c r="G178" s="23" t="s">
        <v>146</v>
      </c>
    </row>
    <row r="179" spans="1:7" x14ac:dyDescent="0.25">
      <c r="A179" s="37">
        <v>43709</v>
      </c>
      <c r="B179" s="362" t="s">
        <v>244</v>
      </c>
      <c r="C179" s="245" t="s">
        <v>25</v>
      </c>
      <c r="D179" s="23" t="s">
        <v>17</v>
      </c>
      <c r="E179" s="86">
        <v>0</v>
      </c>
      <c r="F179" s="88"/>
      <c r="G179" s="23" t="s">
        <v>146</v>
      </c>
    </row>
    <row r="180" spans="1:7" x14ac:dyDescent="0.25">
      <c r="A180" s="37">
        <v>43709</v>
      </c>
      <c r="B180" s="362" t="s">
        <v>244</v>
      </c>
      <c r="C180" s="40" t="s">
        <v>22</v>
      </c>
      <c r="D180" s="23" t="s">
        <v>17</v>
      </c>
      <c r="E180" s="93">
        <v>9950000</v>
      </c>
      <c r="F180" s="88">
        <v>12500000</v>
      </c>
      <c r="G180" s="23" t="s">
        <v>146</v>
      </c>
    </row>
    <row r="181" spans="1:7" x14ac:dyDescent="0.25">
      <c r="A181" s="37">
        <v>43739</v>
      </c>
      <c r="B181" s="362" t="s">
        <v>245</v>
      </c>
      <c r="C181" s="23" t="s">
        <v>13</v>
      </c>
      <c r="D181" s="23" t="s">
        <v>4</v>
      </c>
      <c r="E181" s="94">
        <v>51500000</v>
      </c>
      <c r="F181" s="95">
        <v>47500000</v>
      </c>
      <c r="G181" s="23" t="s">
        <v>146</v>
      </c>
    </row>
    <row r="182" spans="1:7" x14ac:dyDescent="0.25">
      <c r="A182" s="37">
        <v>43739</v>
      </c>
      <c r="B182" s="362" t="s">
        <v>245</v>
      </c>
      <c r="C182" s="18" t="s">
        <v>6</v>
      </c>
      <c r="D182" s="231" t="s">
        <v>16</v>
      </c>
      <c r="E182" s="90">
        <v>11350000</v>
      </c>
      <c r="F182" s="88">
        <v>13333333</v>
      </c>
      <c r="G182" s="23" t="s">
        <v>146</v>
      </c>
    </row>
    <row r="183" spans="1:7" x14ac:dyDescent="0.25">
      <c r="A183" s="37">
        <v>43739</v>
      </c>
      <c r="B183" s="362" t="s">
        <v>245</v>
      </c>
      <c r="C183" s="18" t="s">
        <v>9</v>
      </c>
      <c r="D183" s="231" t="s">
        <v>16</v>
      </c>
      <c r="E183" s="90">
        <v>11000000</v>
      </c>
      <c r="F183" s="88">
        <v>12500000</v>
      </c>
      <c r="G183" s="23" t="s">
        <v>146</v>
      </c>
    </row>
    <row r="184" spans="1:7" x14ac:dyDescent="0.25">
      <c r="A184" s="37">
        <v>43739</v>
      </c>
      <c r="B184" s="362" t="s">
        <v>245</v>
      </c>
      <c r="C184" s="18" t="s">
        <v>10</v>
      </c>
      <c r="D184" s="231" t="s">
        <v>16</v>
      </c>
      <c r="E184" s="90">
        <v>11080000</v>
      </c>
      <c r="F184" s="88">
        <v>10333333</v>
      </c>
      <c r="G184" s="23" t="s">
        <v>146</v>
      </c>
    </row>
    <row r="185" spans="1:7" x14ac:dyDescent="0.25">
      <c r="A185" s="37">
        <v>43739</v>
      </c>
      <c r="B185" s="362" t="s">
        <v>245</v>
      </c>
      <c r="C185" s="18" t="s">
        <v>11</v>
      </c>
      <c r="D185" s="231" t="s">
        <v>16</v>
      </c>
      <c r="E185" s="90">
        <v>12390000</v>
      </c>
      <c r="F185" s="88">
        <v>10333333</v>
      </c>
      <c r="G185" s="23" t="s">
        <v>146</v>
      </c>
    </row>
    <row r="186" spans="1:7" x14ac:dyDescent="0.25">
      <c r="A186" s="37">
        <v>43739</v>
      </c>
      <c r="B186" s="362" t="s">
        <v>245</v>
      </c>
      <c r="C186" s="18" t="s">
        <v>24</v>
      </c>
      <c r="D186" s="231" t="s">
        <v>16</v>
      </c>
      <c r="E186" s="91">
        <v>7030000</v>
      </c>
      <c r="F186" s="88">
        <v>13333000</v>
      </c>
      <c r="G186" s="23" t="s">
        <v>146</v>
      </c>
    </row>
    <row r="187" spans="1:7" x14ac:dyDescent="0.25">
      <c r="A187" s="37">
        <v>43739</v>
      </c>
      <c r="B187" s="362" t="s">
        <v>245</v>
      </c>
      <c r="C187" s="29" t="s">
        <v>14</v>
      </c>
      <c r="D187" s="246" t="s">
        <v>17</v>
      </c>
      <c r="E187" s="92">
        <v>18910000</v>
      </c>
      <c r="F187" s="88">
        <v>15833000</v>
      </c>
      <c r="G187" s="23" t="s">
        <v>146</v>
      </c>
    </row>
    <row r="188" spans="1:7" x14ac:dyDescent="0.25">
      <c r="A188" s="37">
        <v>43739</v>
      </c>
      <c r="B188" s="362" t="s">
        <v>245</v>
      </c>
      <c r="C188" s="29" t="s">
        <v>15</v>
      </c>
      <c r="D188" s="246" t="s">
        <v>17</v>
      </c>
      <c r="E188" s="92">
        <v>12890000</v>
      </c>
      <c r="F188" s="88">
        <v>15833000</v>
      </c>
      <c r="G188" s="23" t="s">
        <v>146</v>
      </c>
    </row>
    <row r="189" spans="1:7" x14ac:dyDescent="0.25">
      <c r="A189" s="37">
        <v>43739</v>
      </c>
      <c r="B189" s="362" t="s">
        <v>245</v>
      </c>
      <c r="C189" s="245" t="s">
        <v>25</v>
      </c>
      <c r="D189" s="246" t="s">
        <v>17</v>
      </c>
      <c r="E189" s="85">
        <v>11700000</v>
      </c>
      <c r="F189" s="88"/>
      <c r="G189" s="23" t="s">
        <v>146</v>
      </c>
    </row>
    <row r="190" spans="1:7" x14ac:dyDescent="0.25">
      <c r="A190" s="37">
        <v>43739</v>
      </c>
      <c r="B190" s="362" t="s">
        <v>245</v>
      </c>
      <c r="C190" s="40" t="s">
        <v>22</v>
      </c>
      <c r="D190" s="246" t="s">
        <v>17</v>
      </c>
      <c r="E190" s="85">
        <v>8000000</v>
      </c>
      <c r="F190" s="88">
        <v>12500000</v>
      </c>
      <c r="G190" s="23" t="s">
        <v>146</v>
      </c>
    </row>
    <row r="191" spans="1:7" x14ac:dyDescent="0.25">
      <c r="A191" s="37">
        <v>43770</v>
      </c>
      <c r="B191" s="362" t="s">
        <v>246</v>
      </c>
      <c r="C191" s="23" t="s">
        <v>13</v>
      </c>
      <c r="D191" s="23" t="s">
        <v>4</v>
      </c>
      <c r="E191" s="90">
        <v>33750000</v>
      </c>
      <c r="F191" s="88">
        <v>47500000</v>
      </c>
      <c r="G191" s="23" t="s">
        <v>146</v>
      </c>
    </row>
    <row r="192" spans="1:7" x14ac:dyDescent="0.25">
      <c r="A192" s="37">
        <v>43770</v>
      </c>
      <c r="B192" s="362" t="s">
        <v>245</v>
      </c>
      <c r="C192" s="18" t="s">
        <v>6</v>
      </c>
      <c r="D192" s="23" t="s">
        <v>16</v>
      </c>
      <c r="E192" s="90">
        <v>10300000</v>
      </c>
      <c r="F192" s="88">
        <v>13333333</v>
      </c>
      <c r="G192" s="23" t="s">
        <v>146</v>
      </c>
    </row>
    <row r="193" spans="1:7" x14ac:dyDescent="0.25">
      <c r="A193" s="37">
        <v>43770</v>
      </c>
      <c r="B193" s="362" t="s">
        <v>245</v>
      </c>
      <c r="C193" s="18" t="s">
        <v>9</v>
      </c>
      <c r="D193" s="23" t="s">
        <v>16</v>
      </c>
      <c r="E193" s="90">
        <v>5950000</v>
      </c>
      <c r="F193" s="88">
        <v>12500000</v>
      </c>
      <c r="G193" s="23" t="s">
        <v>146</v>
      </c>
    </row>
    <row r="194" spans="1:7" x14ac:dyDescent="0.25">
      <c r="A194" s="37">
        <v>43770</v>
      </c>
      <c r="B194" s="362" t="s">
        <v>245</v>
      </c>
      <c r="C194" s="18" t="s">
        <v>10</v>
      </c>
      <c r="D194" s="23" t="s">
        <v>16</v>
      </c>
      <c r="E194" s="85">
        <v>3350000</v>
      </c>
      <c r="F194" s="88">
        <v>10333333</v>
      </c>
      <c r="G194" s="23" t="s">
        <v>146</v>
      </c>
    </row>
    <row r="195" spans="1:7" x14ac:dyDescent="0.25">
      <c r="A195" s="37">
        <v>43770</v>
      </c>
      <c r="B195" s="362" t="s">
        <v>245</v>
      </c>
      <c r="C195" s="18" t="s">
        <v>11</v>
      </c>
      <c r="D195" s="23" t="s">
        <v>16</v>
      </c>
      <c r="E195" s="93">
        <v>4370000</v>
      </c>
      <c r="F195" s="88">
        <v>10333333</v>
      </c>
      <c r="G195" s="23" t="s">
        <v>146</v>
      </c>
    </row>
    <row r="196" spans="1:7" x14ac:dyDescent="0.25">
      <c r="A196" s="37">
        <v>43770</v>
      </c>
      <c r="B196" s="362" t="s">
        <v>245</v>
      </c>
      <c r="C196" s="18" t="s">
        <v>24</v>
      </c>
      <c r="D196" s="23" t="s">
        <v>16</v>
      </c>
      <c r="E196" s="93">
        <v>9600000</v>
      </c>
      <c r="F196" s="88">
        <v>13333000</v>
      </c>
      <c r="G196" s="23" t="s">
        <v>146</v>
      </c>
    </row>
    <row r="197" spans="1:7" x14ac:dyDescent="0.25">
      <c r="A197" s="37">
        <v>43770</v>
      </c>
      <c r="B197" s="362" t="s">
        <v>245</v>
      </c>
      <c r="C197" s="29" t="s">
        <v>14</v>
      </c>
      <c r="D197" s="23" t="s">
        <v>17</v>
      </c>
      <c r="E197" s="93">
        <v>4750000</v>
      </c>
      <c r="F197" s="88">
        <v>15833000</v>
      </c>
      <c r="G197" s="23" t="s">
        <v>146</v>
      </c>
    </row>
    <row r="198" spans="1:7" x14ac:dyDescent="0.25">
      <c r="A198" s="37">
        <v>43770</v>
      </c>
      <c r="B198" s="362" t="s">
        <v>245</v>
      </c>
      <c r="C198" s="29" t="s">
        <v>15</v>
      </c>
      <c r="D198" s="23" t="s">
        <v>17</v>
      </c>
      <c r="E198" s="93">
        <v>18750000</v>
      </c>
      <c r="F198" s="88">
        <v>15833000</v>
      </c>
      <c r="G198" s="23" t="s">
        <v>146</v>
      </c>
    </row>
    <row r="199" spans="1:7" x14ac:dyDescent="0.25">
      <c r="A199" s="37">
        <v>43770</v>
      </c>
      <c r="B199" s="362" t="s">
        <v>245</v>
      </c>
      <c r="C199" s="245" t="s">
        <v>25</v>
      </c>
      <c r="D199" s="23" t="s">
        <v>17</v>
      </c>
      <c r="E199" s="93">
        <v>5650000</v>
      </c>
      <c r="F199" s="88"/>
      <c r="G199" s="23" t="s">
        <v>146</v>
      </c>
    </row>
    <row r="200" spans="1:7" x14ac:dyDescent="0.25">
      <c r="A200" s="37">
        <v>43770</v>
      </c>
      <c r="B200" s="362" t="s">
        <v>245</v>
      </c>
      <c r="C200" s="40" t="s">
        <v>22</v>
      </c>
      <c r="D200" s="23" t="s">
        <v>17</v>
      </c>
      <c r="E200" s="93">
        <v>6900000</v>
      </c>
      <c r="F200" s="88">
        <v>12500000</v>
      </c>
      <c r="G200" s="23" t="s">
        <v>146</v>
      </c>
    </row>
    <row r="201" spans="1:7" x14ac:dyDescent="0.25">
      <c r="A201" s="37">
        <v>43800</v>
      </c>
      <c r="B201" s="362" t="s">
        <v>247</v>
      </c>
      <c r="C201" s="23" t="s">
        <v>13</v>
      </c>
      <c r="D201" s="23" t="s">
        <v>4</v>
      </c>
      <c r="E201" s="93">
        <v>35310000</v>
      </c>
      <c r="F201" s="88">
        <v>47500000</v>
      </c>
      <c r="G201" s="23" t="s">
        <v>146</v>
      </c>
    </row>
    <row r="202" spans="1:7" x14ac:dyDescent="0.25">
      <c r="A202" s="37">
        <v>43800</v>
      </c>
      <c r="B202" s="362" t="s">
        <v>247</v>
      </c>
      <c r="C202" s="18" t="s">
        <v>6</v>
      </c>
      <c r="D202" s="23" t="s">
        <v>16</v>
      </c>
      <c r="E202" s="93">
        <v>5200000</v>
      </c>
      <c r="F202" s="88">
        <v>13333333</v>
      </c>
      <c r="G202" s="23" t="s">
        <v>146</v>
      </c>
    </row>
    <row r="203" spans="1:7" x14ac:dyDescent="0.25">
      <c r="A203" s="37">
        <v>43800</v>
      </c>
      <c r="B203" s="362" t="s">
        <v>247</v>
      </c>
      <c r="C203" s="18" t="s">
        <v>9</v>
      </c>
      <c r="D203" s="23" t="s">
        <v>16</v>
      </c>
      <c r="E203" s="93">
        <v>4930000</v>
      </c>
      <c r="F203" s="88">
        <v>12500000</v>
      </c>
      <c r="G203" s="23" t="s">
        <v>146</v>
      </c>
    </row>
    <row r="204" spans="1:7" x14ac:dyDescent="0.25">
      <c r="A204" s="37">
        <v>43800</v>
      </c>
      <c r="B204" s="362" t="s">
        <v>247</v>
      </c>
      <c r="C204" s="18" t="s">
        <v>10</v>
      </c>
      <c r="D204" s="23" t="s">
        <v>16</v>
      </c>
      <c r="E204" s="93">
        <v>4680000</v>
      </c>
      <c r="F204" s="88">
        <v>10333333</v>
      </c>
      <c r="G204" s="23" t="s">
        <v>146</v>
      </c>
    </row>
    <row r="205" spans="1:7" x14ac:dyDescent="0.25">
      <c r="A205" s="37">
        <v>43800</v>
      </c>
      <c r="B205" s="362" t="s">
        <v>247</v>
      </c>
      <c r="C205" s="18" t="s">
        <v>11</v>
      </c>
      <c r="D205" s="23" t="s">
        <v>16</v>
      </c>
      <c r="E205" s="93">
        <v>12300000</v>
      </c>
      <c r="F205" s="88">
        <v>10333333</v>
      </c>
      <c r="G205" s="23" t="s">
        <v>146</v>
      </c>
    </row>
    <row r="206" spans="1:7" x14ac:dyDescent="0.25">
      <c r="A206" s="37">
        <v>43800</v>
      </c>
      <c r="B206" s="362" t="s">
        <v>247</v>
      </c>
      <c r="C206" s="18" t="s">
        <v>24</v>
      </c>
      <c r="D206" s="23" t="s">
        <v>16</v>
      </c>
      <c r="E206" s="96">
        <v>7100000</v>
      </c>
      <c r="F206" s="88">
        <v>13333000</v>
      </c>
      <c r="G206" s="23" t="s">
        <v>146</v>
      </c>
    </row>
    <row r="207" spans="1:7" x14ac:dyDescent="0.25">
      <c r="A207" s="37">
        <v>43800</v>
      </c>
      <c r="B207" s="362" t="s">
        <v>247</v>
      </c>
      <c r="C207" s="29" t="s">
        <v>14</v>
      </c>
      <c r="D207" s="23" t="s">
        <v>17</v>
      </c>
      <c r="E207" s="93">
        <v>4870000</v>
      </c>
      <c r="F207" s="88">
        <v>15833000</v>
      </c>
      <c r="G207" s="23" t="s">
        <v>146</v>
      </c>
    </row>
    <row r="208" spans="1:7" x14ac:dyDescent="0.25">
      <c r="A208" s="37">
        <v>43800</v>
      </c>
      <c r="B208" s="362" t="s">
        <v>247</v>
      </c>
      <c r="C208" s="29" t="s">
        <v>15</v>
      </c>
      <c r="D208" s="23" t="s">
        <v>17</v>
      </c>
      <c r="E208" s="93">
        <v>8200000</v>
      </c>
      <c r="F208" s="88">
        <v>15833000</v>
      </c>
      <c r="G208" s="23" t="s">
        <v>146</v>
      </c>
    </row>
    <row r="209" spans="1:7" x14ac:dyDescent="0.25">
      <c r="A209" s="37">
        <v>43800</v>
      </c>
      <c r="B209" s="362" t="s">
        <v>247</v>
      </c>
      <c r="C209" s="245" t="s">
        <v>25</v>
      </c>
      <c r="D209" s="23" t="s">
        <v>17</v>
      </c>
      <c r="E209" s="93">
        <v>18500000</v>
      </c>
      <c r="F209" s="88"/>
      <c r="G209" s="23" t="s">
        <v>146</v>
      </c>
    </row>
    <row r="210" spans="1:7" x14ac:dyDescent="0.25">
      <c r="A210" s="37">
        <v>43800</v>
      </c>
      <c r="B210" s="362" t="s">
        <v>247</v>
      </c>
      <c r="C210" s="40" t="s">
        <v>22</v>
      </c>
      <c r="D210" s="23" t="s">
        <v>17</v>
      </c>
      <c r="E210" s="96">
        <v>9810000</v>
      </c>
      <c r="F210" s="88">
        <v>12500000</v>
      </c>
      <c r="G210" s="23" t="s">
        <v>146</v>
      </c>
    </row>
    <row r="211" spans="1:7" x14ac:dyDescent="0.25">
      <c r="A211" s="37">
        <v>43800</v>
      </c>
      <c r="B211" s="362" t="s">
        <v>247</v>
      </c>
      <c r="C211" s="50" t="s">
        <v>26</v>
      </c>
      <c r="D211" s="23" t="s">
        <v>17</v>
      </c>
      <c r="E211" s="96">
        <v>2750000</v>
      </c>
      <c r="F211" s="88">
        <v>15833000</v>
      </c>
      <c r="G211" s="23" t="s">
        <v>146</v>
      </c>
    </row>
    <row r="212" spans="1:7" x14ac:dyDescent="0.25">
      <c r="A212" s="37">
        <v>43800</v>
      </c>
      <c r="B212" s="362" t="s">
        <v>247</v>
      </c>
      <c r="C212" s="50" t="s">
        <v>27</v>
      </c>
      <c r="D212" s="23" t="s">
        <v>17</v>
      </c>
      <c r="E212" s="96">
        <v>8200000</v>
      </c>
      <c r="F212" s="88">
        <v>15833000</v>
      </c>
      <c r="G212" s="23" t="s">
        <v>146</v>
      </c>
    </row>
    <row r="213" spans="1:7" x14ac:dyDescent="0.25">
      <c r="A213" s="37">
        <v>43831</v>
      </c>
      <c r="B213" s="362" t="s">
        <v>236</v>
      </c>
      <c r="C213" s="23" t="s">
        <v>13</v>
      </c>
      <c r="D213" s="23" t="s">
        <v>4</v>
      </c>
      <c r="E213" s="97">
        <v>61209750</v>
      </c>
      <c r="F213" s="88">
        <v>60000000</v>
      </c>
      <c r="G213" s="23" t="s">
        <v>146</v>
      </c>
    </row>
    <row r="214" spans="1:7" x14ac:dyDescent="0.25">
      <c r="A214" s="37">
        <v>43831</v>
      </c>
      <c r="B214" s="362" t="s">
        <v>236</v>
      </c>
      <c r="C214" s="19" t="s">
        <v>6</v>
      </c>
      <c r="D214" s="23" t="s">
        <v>16</v>
      </c>
      <c r="E214" s="93">
        <v>17950000</v>
      </c>
      <c r="F214" s="88">
        <v>13000000</v>
      </c>
      <c r="G214" s="23" t="s">
        <v>146</v>
      </c>
    </row>
    <row r="215" spans="1:7" x14ac:dyDescent="0.25">
      <c r="A215" s="37">
        <v>43831</v>
      </c>
      <c r="B215" s="362" t="s">
        <v>236</v>
      </c>
      <c r="C215" s="19" t="s">
        <v>9</v>
      </c>
      <c r="D215" s="23" t="s">
        <v>16</v>
      </c>
      <c r="E215" s="98">
        <v>9700000</v>
      </c>
      <c r="F215" s="88">
        <v>13000000</v>
      </c>
      <c r="G215" s="23" t="s">
        <v>146</v>
      </c>
    </row>
    <row r="216" spans="1:7" x14ac:dyDescent="0.25">
      <c r="A216" s="37">
        <v>43831</v>
      </c>
      <c r="B216" s="362" t="s">
        <v>236</v>
      </c>
      <c r="C216" s="19" t="s">
        <v>10</v>
      </c>
      <c r="D216" s="23" t="s">
        <v>16</v>
      </c>
      <c r="E216" s="98">
        <v>15320000</v>
      </c>
      <c r="F216" s="88">
        <v>13000000</v>
      </c>
      <c r="G216" s="23" t="s">
        <v>146</v>
      </c>
    </row>
    <row r="217" spans="1:7" x14ac:dyDescent="0.25">
      <c r="A217" s="37">
        <v>43831</v>
      </c>
      <c r="B217" s="362" t="s">
        <v>236</v>
      </c>
      <c r="C217" s="19" t="s">
        <v>11</v>
      </c>
      <c r="D217" s="23" t="s">
        <v>16</v>
      </c>
      <c r="E217" s="98">
        <v>12100000</v>
      </c>
      <c r="F217" s="88">
        <v>13000000</v>
      </c>
      <c r="G217" s="23" t="s">
        <v>146</v>
      </c>
    </row>
    <row r="218" spans="1:7" x14ac:dyDescent="0.25">
      <c r="A218" s="37">
        <v>43831</v>
      </c>
      <c r="B218" s="362" t="s">
        <v>236</v>
      </c>
      <c r="C218" s="19" t="s">
        <v>24</v>
      </c>
      <c r="D218" s="23" t="s">
        <v>16</v>
      </c>
      <c r="E218" s="99">
        <v>4850000</v>
      </c>
      <c r="F218" s="88">
        <v>13000000</v>
      </c>
      <c r="G218" s="23" t="s">
        <v>146</v>
      </c>
    </row>
    <row r="219" spans="1:7" x14ac:dyDescent="0.25">
      <c r="A219" s="37">
        <v>43831</v>
      </c>
      <c r="B219" s="362" t="s">
        <v>236</v>
      </c>
      <c r="C219" s="19" t="s">
        <v>14</v>
      </c>
      <c r="D219" s="23" t="s">
        <v>17</v>
      </c>
      <c r="E219" s="99">
        <v>8040000</v>
      </c>
      <c r="F219" s="88">
        <v>15000000</v>
      </c>
      <c r="G219" s="23" t="s">
        <v>146</v>
      </c>
    </row>
    <row r="220" spans="1:7" x14ac:dyDescent="0.25">
      <c r="A220" s="37">
        <v>43831</v>
      </c>
      <c r="B220" s="362" t="s">
        <v>236</v>
      </c>
      <c r="C220" s="19" t="s">
        <v>15</v>
      </c>
      <c r="D220" s="23" t="s">
        <v>17</v>
      </c>
      <c r="E220" s="93">
        <v>19500000</v>
      </c>
      <c r="F220" s="88">
        <v>15000000</v>
      </c>
      <c r="G220" s="23" t="s">
        <v>146</v>
      </c>
    </row>
    <row r="221" spans="1:7" x14ac:dyDescent="0.25">
      <c r="A221" s="37">
        <v>43831</v>
      </c>
      <c r="B221" s="362" t="s">
        <v>236</v>
      </c>
      <c r="C221" s="247" t="s">
        <v>26</v>
      </c>
      <c r="D221" s="23" t="s">
        <v>17</v>
      </c>
      <c r="E221" s="98">
        <v>17080000</v>
      </c>
      <c r="F221" s="88">
        <v>15000000</v>
      </c>
      <c r="G221" s="23" t="s">
        <v>146</v>
      </c>
    </row>
    <row r="222" spans="1:7" x14ac:dyDescent="0.25">
      <c r="A222" s="37">
        <v>43831</v>
      </c>
      <c r="B222" s="362" t="s">
        <v>236</v>
      </c>
      <c r="C222" s="247" t="s">
        <v>27</v>
      </c>
      <c r="D222" s="23" t="s">
        <v>17</v>
      </c>
      <c r="E222" s="98">
        <v>15750000</v>
      </c>
      <c r="F222" s="88">
        <v>15000000</v>
      </c>
      <c r="G222" s="23" t="s">
        <v>146</v>
      </c>
    </row>
    <row r="223" spans="1:7" x14ac:dyDescent="0.25">
      <c r="A223" s="37">
        <v>43862</v>
      </c>
      <c r="B223" s="362" t="s">
        <v>237</v>
      </c>
      <c r="C223" s="23" t="s">
        <v>13</v>
      </c>
      <c r="D223" s="23" t="s">
        <v>4</v>
      </c>
      <c r="E223" s="100">
        <v>81890000</v>
      </c>
      <c r="F223" s="88">
        <v>47500000</v>
      </c>
      <c r="G223" s="23" t="s">
        <v>146</v>
      </c>
    </row>
    <row r="224" spans="1:7" x14ac:dyDescent="0.25">
      <c r="A224" s="37">
        <v>43862</v>
      </c>
      <c r="B224" s="362" t="s">
        <v>237</v>
      </c>
      <c r="C224" s="18" t="s">
        <v>6</v>
      </c>
      <c r="D224" s="23" t="s">
        <v>16</v>
      </c>
      <c r="E224" s="101">
        <v>30940000</v>
      </c>
      <c r="F224" s="88">
        <v>13000000</v>
      </c>
      <c r="G224" s="23" t="s">
        <v>146</v>
      </c>
    </row>
    <row r="225" spans="1:7" x14ac:dyDescent="0.25">
      <c r="A225" s="37">
        <v>43862</v>
      </c>
      <c r="B225" s="362" t="s">
        <v>237</v>
      </c>
      <c r="C225" s="18" t="s">
        <v>9</v>
      </c>
      <c r="D225" s="23" t="s">
        <v>16</v>
      </c>
      <c r="E225" s="101">
        <v>27550000</v>
      </c>
      <c r="F225" s="88">
        <v>13000000</v>
      </c>
      <c r="G225" s="23" t="s">
        <v>146</v>
      </c>
    </row>
    <row r="226" spans="1:7" x14ac:dyDescent="0.25">
      <c r="A226" s="37">
        <v>43862</v>
      </c>
      <c r="B226" s="362" t="s">
        <v>237</v>
      </c>
      <c r="C226" s="40" t="s">
        <v>10</v>
      </c>
      <c r="D226" s="23" t="s">
        <v>16</v>
      </c>
      <c r="E226" s="101">
        <v>18200000</v>
      </c>
      <c r="F226" s="88">
        <v>13000000</v>
      </c>
      <c r="G226" s="23" t="s">
        <v>146</v>
      </c>
    </row>
    <row r="227" spans="1:7" x14ac:dyDescent="0.25">
      <c r="A227" s="37">
        <v>43862</v>
      </c>
      <c r="B227" s="362" t="s">
        <v>237</v>
      </c>
      <c r="C227" s="19" t="s">
        <v>11</v>
      </c>
      <c r="D227" s="23" t="s">
        <v>16</v>
      </c>
      <c r="E227" s="102">
        <v>9050000</v>
      </c>
      <c r="F227" s="88">
        <v>13000000</v>
      </c>
      <c r="G227" s="23" t="s">
        <v>146</v>
      </c>
    </row>
    <row r="228" spans="1:7" x14ac:dyDescent="0.25">
      <c r="A228" s="37">
        <v>43862</v>
      </c>
      <c r="B228" s="362" t="s">
        <v>237</v>
      </c>
      <c r="C228" s="19" t="s">
        <v>24</v>
      </c>
      <c r="D228" s="23" t="s">
        <v>16</v>
      </c>
      <c r="E228" s="103">
        <v>4300000</v>
      </c>
      <c r="F228" s="88">
        <v>13000000</v>
      </c>
      <c r="G228" s="23" t="s">
        <v>146</v>
      </c>
    </row>
    <row r="229" spans="1:7" x14ac:dyDescent="0.25">
      <c r="A229" s="37">
        <v>43862</v>
      </c>
      <c r="B229" s="362" t="s">
        <v>237</v>
      </c>
      <c r="C229" s="19" t="s">
        <v>14</v>
      </c>
      <c r="D229" s="23" t="s">
        <v>17</v>
      </c>
      <c r="E229" s="104">
        <v>14670000</v>
      </c>
      <c r="F229" s="88">
        <v>15000000</v>
      </c>
      <c r="G229" s="23" t="s">
        <v>146</v>
      </c>
    </row>
    <row r="230" spans="1:7" x14ac:dyDescent="0.25">
      <c r="A230" s="37">
        <v>43862</v>
      </c>
      <c r="B230" s="362" t="s">
        <v>237</v>
      </c>
      <c r="C230" s="19" t="s">
        <v>15</v>
      </c>
      <c r="D230" s="23" t="s">
        <v>17</v>
      </c>
      <c r="E230" s="105">
        <v>23700000</v>
      </c>
      <c r="F230" s="88">
        <v>15000000</v>
      </c>
      <c r="G230" s="23" t="s">
        <v>146</v>
      </c>
    </row>
    <row r="231" spans="1:7" x14ac:dyDescent="0.25">
      <c r="A231" s="37">
        <v>43862</v>
      </c>
      <c r="B231" s="362" t="s">
        <v>237</v>
      </c>
      <c r="C231" s="247" t="s">
        <v>26</v>
      </c>
      <c r="D231" s="23" t="s">
        <v>17</v>
      </c>
      <c r="E231" s="101">
        <v>19340000</v>
      </c>
      <c r="F231" s="88">
        <v>15000000</v>
      </c>
      <c r="G231" s="23" t="s">
        <v>146</v>
      </c>
    </row>
    <row r="232" spans="1:7" x14ac:dyDescent="0.25">
      <c r="A232" s="37">
        <v>43862</v>
      </c>
      <c r="B232" s="362" t="s">
        <v>237</v>
      </c>
      <c r="C232" s="46" t="s">
        <v>27</v>
      </c>
      <c r="D232" s="23" t="s">
        <v>17</v>
      </c>
      <c r="E232" s="101">
        <v>15130000</v>
      </c>
      <c r="F232" s="88">
        <v>15000000</v>
      </c>
      <c r="G232" s="23" t="s">
        <v>146</v>
      </c>
    </row>
    <row r="233" spans="1:7" x14ac:dyDescent="0.25">
      <c r="A233" s="37">
        <v>43891</v>
      </c>
      <c r="B233" s="362" t="s">
        <v>238</v>
      </c>
      <c r="C233" s="23" t="s">
        <v>7</v>
      </c>
      <c r="D233" s="23" t="s">
        <v>4</v>
      </c>
      <c r="E233" s="102">
        <v>30020000</v>
      </c>
      <c r="F233" s="88">
        <v>47500000</v>
      </c>
      <c r="G233" s="23" t="s">
        <v>146</v>
      </c>
    </row>
    <row r="234" spans="1:7" x14ac:dyDescent="0.25">
      <c r="A234" s="37">
        <v>43891</v>
      </c>
      <c r="B234" s="362" t="s">
        <v>238</v>
      </c>
      <c r="C234" s="18" t="s">
        <v>6</v>
      </c>
      <c r="D234" s="23" t="s">
        <v>16</v>
      </c>
      <c r="E234" s="102">
        <v>6550000</v>
      </c>
      <c r="F234" s="88">
        <v>13000000</v>
      </c>
      <c r="G234" s="23" t="s">
        <v>146</v>
      </c>
    </row>
    <row r="235" spans="1:7" x14ac:dyDescent="0.25">
      <c r="A235" s="37">
        <v>43891</v>
      </c>
      <c r="B235" s="362" t="s">
        <v>238</v>
      </c>
      <c r="C235" s="18" t="s">
        <v>9</v>
      </c>
      <c r="D235" s="23" t="s">
        <v>16</v>
      </c>
      <c r="E235" s="102">
        <v>11310000</v>
      </c>
      <c r="F235" s="88">
        <v>13000000</v>
      </c>
      <c r="G235" s="23" t="s">
        <v>146</v>
      </c>
    </row>
    <row r="236" spans="1:7" x14ac:dyDescent="0.25">
      <c r="A236" s="37">
        <v>43891</v>
      </c>
      <c r="B236" s="362" t="s">
        <v>238</v>
      </c>
      <c r="C236" s="18" t="s">
        <v>10</v>
      </c>
      <c r="D236" s="23" t="s">
        <v>16</v>
      </c>
      <c r="E236" s="102">
        <v>10450000</v>
      </c>
      <c r="F236" s="88">
        <v>13000000</v>
      </c>
      <c r="G236" s="23" t="s">
        <v>146</v>
      </c>
    </row>
    <row r="237" spans="1:7" x14ac:dyDescent="0.25">
      <c r="A237" s="37">
        <v>43891</v>
      </c>
      <c r="B237" s="362" t="s">
        <v>238</v>
      </c>
      <c r="C237" s="18" t="s">
        <v>11</v>
      </c>
      <c r="D237" s="23" t="s">
        <v>16</v>
      </c>
      <c r="E237" s="102">
        <v>0</v>
      </c>
      <c r="F237" s="88">
        <v>13000000</v>
      </c>
      <c r="G237" s="23" t="s">
        <v>146</v>
      </c>
    </row>
    <row r="238" spans="1:7" x14ac:dyDescent="0.25">
      <c r="A238" s="37">
        <v>43891</v>
      </c>
      <c r="B238" s="362" t="s">
        <v>238</v>
      </c>
      <c r="C238" s="39" t="s">
        <v>28</v>
      </c>
      <c r="D238" s="23" t="s">
        <v>16</v>
      </c>
      <c r="E238" s="102">
        <v>800000</v>
      </c>
      <c r="F238" s="88">
        <v>13000000</v>
      </c>
      <c r="G238" s="23" t="s">
        <v>146</v>
      </c>
    </row>
    <row r="239" spans="1:7" x14ac:dyDescent="0.25">
      <c r="A239" s="37">
        <v>43891</v>
      </c>
      <c r="B239" s="362" t="s">
        <v>238</v>
      </c>
      <c r="C239" s="248" t="s">
        <v>29</v>
      </c>
      <c r="D239" s="23" t="s">
        <v>16</v>
      </c>
      <c r="E239" s="102">
        <v>910000</v>
      </c>
      <c r="F239" s="88">
        <v>13000000</v>
      </c>
      <c r="G239" s="23" t="s">
        <v>146</v>
      </c>
    </row>
    <row r="240" spans="1:7" x14ac:dyDescent="0.25">
      <c r="A240" s="37">
        <v>43891</v>
      </c>
      <c r="B240" s="362" t="s">
        <v>238</v>
      </c>
      <c r="C240" s="29" t="s">
        <v>14</v>
      </c>
      <c r="D240" s="23" t="s">
        <v>17</v>
      </c>
      <c r="E240" s="104">
        <v>8560000</v>
      </c>
      <c r="F240" s="88">
        <v>15000000</v>
      </c>
      <c r="G240" s="23" t="s">
        <v>146</v>
      </c>
    </row>
    <row r="241" spans="1:7" x14ac:dyDescent="0.25">
      <c r="A241" s="37">
        <v>43891</v>
      </c>
      <c r="B241" s="362" t="s">
        <v>238</v>
      </c>
      <c r="C241" s="29" t="s">
        <v>15</v>
      </c>
      <c r="D241" s="23" t="s">
        <v>17</v>
      </c>
      <c r="E241" s="106">
        <v>7910000</v>
      </c>
      <c r="F241" s="88">
        <v>15000000</v>
      </c>
      <c r="G241" s="23" t="s">
        <v>146</v>
      </c>
    </row>
    <row r="242" spans="1:7" x14ac:dyDescent="0.25">
      <c r="A242" s="37">
        <v>43891</v>
      </c>
      <c r="B242" s="362" t="s">
        <v>238</v>
      </c>
      <c r="C242" s="50" t="s">
        <v>26</v>
      </c>
      <c r="D242" s="23" t="s">
        <v>17</v>
      </c>
      <c r="E242" s="102">
        <v>6800000</v>
      </c>
      <c r="F242" s="88">
        <v>15000000</v>
      </c>
      <c r="G242" s="23" t="s">
        <v>146</v>
      </c>
    </row>
    <row r="243" spans="1:7" x14ac:dyDescent="0.25">
      <c r="A243" s="37">
        <v>43891</v>
      </c>
      <c r="B243" s="362" t="s">
        <v>238</v>
      </c>
      <c r="C243" s="50" t="s">
        <v>27</v>
      </c>
      <c r="D243" s="23" t="s">
        <v>17</v>
      </c>
      <c r="E243" s="102">
        <v>6750000</v>
      </c>
      <c r="F243" s="88">
        <v>15000000</v>
      </c>
      <c r="G243" s="23" t="s">
        <v>146</v>
      </c>
    </row>
    <row r="244" spans="1:7" ht="13.05" customHeight="1" x14ac:dyDescent="0.25">
      <c r="A244" s="37">
        <v>43922</v>
      </c>
      <c r="B244" s="362" t="s">
        <v>239</v>
      </c>
      <c r="C244" s="23" t="s">
        <v>7</v>
      </c>
      <c r="D244" s="23" t="s">
        <v>4</v>
      </c>
      <c r="E244" s="102">
        <v>0</v>
      </c>
      <c r="F244" s="88">
        <v>47500000</v>
      </c>
      <c r="G244" s="23" t="s">
        <v>146</v>
      </c>
    </row>
    <row r="245" spans="1:7" x14ac:dyDescent="0.25">
      <c r="A245" s="37">
        <v>43922</v>
      </c>
      <c r="B245" s="362" t="s">
        <v>239</v>
      </c>
      <c r="C245" s="18" t="s">
        <v>6</v>
      </c>
      <c r="D245" s="23" t="s">
        <v>16</v>
      </c>
      <c r="E245" s="102">
        <v>0</v>
      </c>
      <c r="F245" s="88">
        <v>13000000</v>
      </c>
      <c r="G245" s="23" t="s">
        <v>146</v>
      </c>
    </row>
    <row r="246" spans="1:7" x14ac:dyDescent="0.25">
      <c r="A246" s="37">
        <v>43922</v>
      </c>
      <c r="B246" s="362" t="s">
        <v>239</v>
      </c>
      <c r="C246" s="18" t="s">
        <v>9</v>
      </c>
      <c r="D246" s="23" t="s">
        <v>16</v>
      </c>
      <c r="E246" s="102">
        <v>0</v>
      </c>
      <c r="F246" s="88">
        <v>13000000</v>
      </c>
      <c r="G246" s="23" t="s">
        <v>146</v>
      </c>
    </row>
    <row r="247" spans="1:7" x14ac:dyDescent="0.25">
      <c r="A247" s="37">
        <v>43922</v>
      </c>
      <c r="B247" s="362" t="s">
        <v>239</v>
      </c>
      <c r="C247" s="18" t="s">
        <v>10</v>
      </c>
      <c r="D247" s="23" t="s">
        <v>16</v>
      </c>
      <c r="E247" s="102">
        <v>0</v>
      </c>
      <c r="F247" s="88">
        <v>13000000</v>
      </c>
      <c r="G247" s="23" t="s">
        <v>146</v>
      </c>
    </row>
    <row r="248" spans="1:7" x14ac:dyDescent="0.25">
      <c r="A248" s="37">
        <v>43922</v>
      </c>
      <c r="B248" s="362" t="s">
        <v>239</v>
      </c>
      <c r="C248" s="18" t="s">
        <v>11</v>
      </c>
      <c r="D248" s="23" t="s">
        <v>16</v>
      </c>
      <c r="E248" s="102">
        <v>0</v>
      </c>
      <c r="F248" s="88">
        <v>13000000</v>
      </c>
      <c r="G248" s="23" t="s">
        <v>146</v>
      </c>
    </row>
    <row r="249" spans="1:7" x14ac:dyDescent="0.25">
      <c r="A249" s="37">
        <v>43922</v>
      </c>
      <c r="B249" s="362" t="s">
        <v>239</v>
      </c>
      <c r="C249" s="39" t="s">
        <v>28</v>
      </c>
      <c r="D249" s="23" t="s">
        <v>16</v>
      </c>
      <c r="E249" s="107">
        <v>0</v>
      </c>
      <c r="F249" s="88">
        <v>13000000</v>
      </c>
      <c r="G249" s="23" t="s">
        <v>146</v>
      </c>
    </row>
    <row r="250" spans="1:7" x14ac:dyDescent="0.25">
      <c r="A250" s="37">
        <v>43922</v>
      </c>
      <c r="B250" s="362" t="s">
        <v>239</v>
      </c>
      <c r="C250" s="21" t="s">
        <v>29</v>
      </c>
      <c r="D250" s="23" t="s">
        <v>16</v>
      </c>
      <c r="E250" s="107">
        <v>0</v>
      </c>
      <c r="F250" s="88">
        <v>13000000</v>
      </c>
      <c r="G250" s="23" t="s">
        <v>146</v>
      </c>
    </row>
    <row r="251" spans="1:7" x14ac:dyDescent="0.25">
      <c r="A251" s="37">
        <v>43922</v>
      </c>
      <c r="B251" s="362" t="s">
        <v>239</v>
      </c>
      <c r="C251" s="29" t="s">
        <v>15</v>
      </c>
      <c r="D251" s="23" t="s">
        <v>17</v>
      </c>
      <c r="E251" s="107">
        <v>0</v>
      </c>
      <c r="F251" s="88">
        <v>15000000</v>
      </c>
      <c r="G251" s="23" t="s">
        <v>146</v>
      </c>
    </row>
    <row r="252" spans="1:7" x14ac:dyDescent="0.25">
      <c r="A252" s="37">
        <v>43922</v>
      </c>
      <c r="B252" s="362" t="s">
        <v>239</v>
      </c>
      <c r="C252" s="39" t="s">
        <v>26</v>
      </c>
      <c r="D252" s="23" t="s">
        <v>17</v>
      </c>
      <c r="E252" s="104">
        <v>0</v>
      </c>
      <c r="F252" s="88">
        <v>15000000</v>
      </c>
      <c r="G252" s="23" t="s">
        <v>146</v>
      </c>
    </row>
    <row r="253" spans="1:7" x14ac:dyDescent="0.25">
      <c r="A253" s="37">
        <v>43922</v>
      </c>
      <c r="B253" s="362" t="s">
        <v>239</v>
      </c>
      <c r="C253" s="249" t="s">
        <v>27</v>
      </c>
      <c r="D253" s="42" t="s">
        <v>17</v>
      </c>
      <c r="E253" s="106">
        <v>0</v>
      </c>
      <c r="F253" s="88">
        <v>15000000</v>
      </c>
      <c r="G253" s="23" t="s">
        <v>146</v>
      </c>
    </row>
    <row r="254" spans="1:7" x14ac:dyDescent="0.25">
      <c r="A254" s="37">
        <v>43952</v>
      </c>
      <c r="B254" s="362" t="s">
        <v>240</v>
      </c>
      <c r="C254" s="23" t="s">
        <v>7</v>
      </c>
      <c r="D254" s="23" t="s">
        <v>4</v>
      </c>
      <c r="E254" s="107">
        <v>6200000</v>
      </c>
      <c r="F254" s="88">
        <v>47500000</v>
      </c>
      <c r="G254" s="23" t="s">
        <v>146</v>
      </c>
    </row>
    <row r="255" spans="1:7" x14ac:dyDescent="0.25">
      <c r="A255" s="37">
        <v>43952</v>
      </c>
      <c r="B255" s="362" t="s">
        <v>240</v>
      </c>
      <c r="C255" s="19" t="s">
        <v>6</v>
      </c>
      <c r="D255" s="23" t="s">
        <v>16</v>
      </c>
      <c r="E255" s="107">
        <v>1400000</v>
      </c>
      <c r="F255" s="88">
        <v>13000000</v>
      </c>
      <c r="G255" s="23" t="s">
        <v>146</v>
      </c>
    </row>
    <row r="256" spans="1:7" x14ac:dyDescent="0.25">
      <c r="A256" s="37">
        <v>43952</v>
      </c>
      <c r="B256" s="362" t="s">
        <v>240</v>
      </c>
      <c r="C256" s="19" t="s">
        <v>9</v>
      </c>
      <c r="D256" s="23" t="s">
        <v>16</v>
      </c>
      <c r="E256" s="107">
        <v>1400000</v>
      </c>
      <c r="F256" s="88">
        <v>13000000</v>
      </c>
      <c r="G256" s="23" t="s">
        <v>146</v>
      </c>
    </row>
    <row r="257" spans="1:7" x14ac:dyDescent="0.25">
      <c r="A257" s="37">
        <v>43952</v>
      </c>
      <c r="B257" s="362" t="s">
        <v>240</v>
      </c>
      <c r="C257" s="19" t="s">
        <v>10</v>
      </c>
      <c r="D257" s="23" t="s">
        <v>16</v>
      </c>
      <c r="E257" s="107">
        <v>2550000</v>
      </c>
      <c r="F257" s="88">
        <v>13000000</v>
      </c>
      <c r="G257" s="23" t="s">
        <v>146</v>
      </c>
    </row>
    <row r="258" spans="1:7" x14ac:dyDescent="0.25">
      <c r="A258" s="37">
        <v>43952</v>
      </c>
      <c r="B258" s="362" t="s">
        <v>240</v>
      </c>
      <c r="C258" s="19" t="s">
        <v>11</v>
      </c>
      <c r="D258" s="23" t="s">
        <v>16</v>
      </c>
      <c r="E258" s="107">
        <v>0</v>
      </c>
      <c r="F258" s="88">
        <v>13000000</v>
      </c>
      <c r="G258" s="23" t="s">
        <v>146</v>
      </c>
    </row>
    <row r="259" spans="1:7" x14ac:dyDescent="0.25">
      <c r="A259" s="37">
        <v>43952</v>
      </c>
      <c r="B259" s="362" t="s">
        <v>240</v>
      </c>
      <c r="C259" s="247" t="s">
        <v>28</v>
      </c>
      <c r="D259" s="23" t="s">
        <v>16</v>
      </c>
      <c r="E259" s="107">
        <v>0</v>
      </c>
      <c r="F259" s="88">
        <v>13000000</v>
      </c>
      <c r="G259" s="23" t="s">
        <v>146</v>
      </c>
    </row>
    <row r="260" spans="1:7" x14ac:dyDescent="0.25">
      <c r="A260" s="37">
        <v>43952</v>
      </c>
      <c r="B260" s="362" t="s">
        <v>240</v>
      </c>
      <c r="C260" s="247" t="s">
        <v>29</v>
      </c>
      <c r="D260" s="23" t="s">
        <v>16</v>
      </c>
      <c r="E260" s="91">
        <v>0</v>
      </c>
      <c r="F260" s="88">
        <v>13000000</v>
      </c>
      <c r="G260" s="23" t="s">
        <v>146</v>
      </c>
    </row>
    <row r="261" spans="1:7" x14ac:dyDescent="0.25">
      <c r="A261" s="37">
        <v>43952</v>
      </c>
      <c r="B261" s="362" t="s">
        <v>240</v>
      </c>
      <c r="C261" s="19" t="s">
        <v>15</v>
      </c>
      <c r="D261" s="23" t="s">
        <v>17</v>
      </c>
      <c r="E261" s="108">
        <v>0</v>
      </c>
      <c r="F261" s="88">
        <v>15000000</v>
      </c>
      <c r="G261" s="23" t="s">
        <v>146</v>
      </c>
    </row>
    <row r="262" spans="1:7" x14ac:dyDescent="0.25">
      <c r="A262" s="37">
        <v>43952</v>
      </c>
      <c r="B262" s="362" t="s">
        <v>240</v>
      </c>
      <c r="C262" s="247" t="s">
        <v>26</v>
      </c>
      <c r="D262" s="23" t="s">
        <v>17</v>
      </c>
      <c r="E262" s="109">
        <v>0</v>
      </c>
      <c r="F262" s="88">
        <v>15000000</v>
      </c>
      <c r="G262" s="23" t="s">
        <v>146</v>
      </c>
    </row>
    <row r="263" spans="1:7" x14ac:dyDescent="0.25">
      <c r="A263" s="37">
        <v>43952</v>
      </c>
      <c r="B263" s="362" t="s">
        <v>240</v>
      </c>
      <c r="C263" s="247" t="s">
        <v>27</v>
      </c>
      <c r="D263" s="23" t="s">
        <v>17</v>
      </c>
      <c r="E263" s="109">
        <v>0</v>
      </c>
      <c r="F263" s="88">
        <v>15000000</v>
      </c>
      <c r="G263" s="23" t="s">
        <v>146</v>
      </c>
    </row>
    <row r="264" spans="1:7" x14ac:dyDescent="0.25">
      <c r="A264" s="37">
        <v>43983</v>
      </c>
      <c r="B264" s="362" t="s">
        <v>241</v>
      </c>
      <c r="C264" s="23" t="s">
        <v>7</v>
      </c>
      <c r="D264" s="23" t="s">
        <v>4</v>
      </c>
      <c r="E264" s="102">
        <v>18270000</v>
      </c>
      <c r="F264" s="88">
        <v>47500000</v>
      </c>
      <c r="G264" s="23" t="s">
        <v>146</v>
      </c>
    </row>
    <row r="265" spans="1:7" x14ac:dyDescent="0.25">
      <c r="A265" s="37">
        <v>43983</v>
      </c>
      <c r="B265" s="362" t="s">
        <v>241</v>
      </c>
      <c r="C265" s="18" t="s">
        <v>6</v>
      </c>
      <c r="D265" s="23" t="s">
        <v>16</v>
      </c>
      <c r="E265" s="84">
        <v>2900000</v>
      </c>
      <c r="F265" s="88">
        <v>13000000</v>
      </c>
      <c r="G265" s="23" t="s">
        <v>146</v>
      </c>
    </row>
    <row r="266" spans="1:7" x14ac:dyDescent="0.25">
      <c r="A266" s="37">
        <v>43983</v>
      </c>
      <c r="B266" s="362" t="s">
        <v>241</v>
      </c>
      <c r="C266" s="18" t="s">
        <v>9</v>
      </c>
      <c r="D266" s="23" t="s">
        <v>16</v>
      </c>
      <c r="E266" s="66">
        <v>2750000</v>
      </c>
      <c r="F266" s="88">
        <v>13000000</v>
      </c>
      <c r="G266" s="23" t="s">
        <v>146</v>
      </c>
    </row>
    <row r="267" spans="1:7" x14ac:dyDescent="0.25">
      <c r="A267" s="37">
        <v>43983</v>
      </c>
      <c r="B267" s="362" t="s">
        <v>241</v>
      </c>
      <c r="C267" s="18" t="s">
        <v>10</v>
      </c>
      <c r="D267" s="23" t="s">
        <v>16</v>
      </c>
      <c r="E267" s="66">
        <v>6350000</v>
      </c>
      <c r="F267" s="88">
        <v>13000000</v>
      </c>
      <c r="G267" s="23" t="s">
        <v>146</v>
      </c>
    </row>
    <row r="268" spans="1:7" x14ac:dyDescent="0.25">
      <c r="A268" s="37">
        <v>43983</v>
      </c>
      <c r="B268" s="362" t="s">
        <v>241</v>
      </c>
      <c r="C268" s="18" t="s">
        <v>11</v>
      </c>
      <c r="D268" s="23" t="s">
        <v>16</v>
      </c>
      <c r="E268" s="66">
        <v>0</v>
      </c>
      <c r="F268" s="88">
        <v>13000000</v>
      </c>
      <c r="G268" s="23" t="s">
        <v>146</v>
      </c>
    </row>
    <row r="269" spans="1:7" x14ac:dyDescent="0.25">
      <c r="A269" s="37">
        <v>43983</v>
      </c>
      <c r="B269" s="362" t="s">
        <v>241</v>
      </c>
      <c r="C269" s="39" t="s">
        <v>28</v>
      </c>
      <c r="D269" s="23" t="s">
        <v>16</v>
      </c>
      <c r="E269" s="82">
        <v>2600000</v>
      </c>
      <c r="F269" s="88">
        <v>13000000</v>
      </c>
      <c r="G269" s="23" t="s">
        <v>146</v>
      </c>
    </row>
    <row r="270" spans="1:7" x14ac:dyDescent="0.25">
      <c r="A270" s="37">
        <v>43983</v>
      </c>
      <c r="B270" s="362" t="s">
        <v>241</v>
      </c>
      <c r="C270" s="248" t="s">
        <v>29</v>
      </c>
      <c r="D270" s="23" t="s">
        <v>16</v>
      </c>
      <c r="E270" s="82">
        <v>3670000</v>
      </c>
      <c r="F270" s="88">
        <v>13000000</v>
      </c>
      <c r="G270" s="23" t="s">
        <v>146</v>
      </c>
    </row>
    <row r="271" spans="1:7" x14ac:dyDescent="0.25">
      <c r="A271" s="37">
        <v>43983</v>
      </c>
      <c r="B271" s="362" t="s">
        <v>241</v>
      </c>
      <c r="C271" s="29" t="s">
        <v>15</v>
      </c>
      <c r="D271" s="23" t="s">
        <v>17</v>
      </c>
      <c r="E271" s="73">
        <v>5970000</v>
      </c>
      <c r="F271" s="88">
        <v>15000000</v>
      </c>
      <c r="G271" s="23" t="s">
        <v>146</v>
      </c>
    </row>
    <row r="272" spans="1:7" x14ac:dyDescent="0.25">
      <c r="A272" s="37">
        <v>43983</v>
      </c>
      <c r="B272" s="362" t="s">
        <v>241</v>
      </c>
      <c r="C272" s="50" t="s">
        <v>26</v>
      </c>
      <c r="D272" s="23" t="s">
        <v>17</v>
      </c>
      <c r="E272" s="110">
        <v>7850000</v>
      </c>
      <c r="F272" s="88">
        <v>15000000</v>
      </c>
      <c r="G272" s="23" t="s">
        <v>146</v>
      </c>
    </row>
    <row r="273" spans="1:7" x14ac:dyDescent="0.25">
      <c r="A273" s="37">
        <v>43983</v>
      </c>
      <c r="B273" s="362" t="s">
        <v>241</v>
      </c>
      <c r="C273" s="50" t="s">
        <v>27</v>
      </c>
      <c r="D273" s="23" t="s">
        <v>17</v>
      </c>
      <c r="E273" s="110">
        <v>4450000</v>
      </c>
      <c r="F273" s="88">
        <v>15000000</v>
      </c>
      <c r="G273" s="23" t="s">
        <v>146</v>
      </c>
    </row>
    <row r="274" spans="1:7" x14ac:dyDescent="0.25">
      <c r="A274" s="37">
        <v>44013</v>
      </c>
      <c r="B274" s="362" t="s">
        <v>242</v>
      </c>
      <c r="C274" s="23" t="s">
        <v>7</v>
      </c>
      <c r="D274" s="23" t="s">
        <v>4</v>
      </c>
      <c r="E274" s="99">
        <v>35933600</v>
      </c>
      <c r="F274" s="88">
        <v>47500000</v>
      </c>
      <c r="G274" s="23" t="s">
        <v>146</v>
      </c>
    </row>
    <row r="275" spans="1:7" x14ac:dyDescent="0.25">
      <c r="A275" s="37">
        <v>44013</v>
      </c>
      <c r="B275" s="362" t="s">
        <v>242</v>
      </c>
      <c r="C275" s="18" t="s">
        <v>6</v>
      </c>
      <c r="D275" s="23" t="s">
        <v>16</v>
      </c>
      <c r="E275" s="66">
        <v>12200000</v>
      </c>
      <c r="F275" s="88">
        <v>13000000</v>
      </c>
      <c r="G275" s="23" t="s">
        <v>146</v>
      </c>
    </row>
    <row r="276" spans="1:7" x14ac:dyDescent="0.25">
      <c r="A276" s="37">
        <v>44013</v>
      </c>
      <c r="B276" s="362" t="s">
        <v>242</v>
      </c>
      <c r="C276" s="18" t="s">
        <v>9</v>
      </c>
      <c r="D276" s="23" t="s">
        <v>16</v>
      </c>
      <c r="E276" s="66">
        <v>10873600</v>
      </c>
      <c r="F276" s="88">
        <v>13000000</v>
      </c>
      <c r="G276" s="23" t="s">
        <v>146</v>
      </c>
    </row>
    <row r="277" spans="1:7" x14ac:dyDescent="0.25">
      <c r="A277" s="37">
        <v>44013</v>
      </c>
      <c r="B277" s="362" t="s">
        <v>242</v>
      </c>
      <c r="C277" s="18" t="s">
        <v>10</v>
      </c>
      <c r="D277" s="23" t="s">
        <v>16</v>
      </c>
      <c r="E277" s="66">
        <v>5400000</v>
      </c>
      <c r="F277" s="88">
        <v>13000000</v>
      </c>
      <c r="G277" s="23" t="s">
        <v>146</v>
      </c>
    </row>
    <row r="278" spans="1:7" x14ac:dyDescent="0.25">
      <c r="A278" s="37">
        <v>44013</v>
      </c>
      <c r="B278" s="362" t="s">
        <v>242</v>
      </c>
      <c r="C278" s="18" t="s">
        <v>11</v>
      </c>
      <c r="D278" s="23" t="s">
        <v>16</v>
      </c>
      <c r="E278" s="66">
        <v>0</v>
      </c>
      <c r="F278" s="88">
        <v>13000000</v>
      </c>
      <c r="G278" s="23" t="s">
        <v>146</v>
      </c>
    </row>
    <row r="279" spans="1:7" x14ac:dyDescent="0.25">
      <c r="A279" s="37">
        <v>44013</v>
      </c>
      <c r="B279" s="362" t="s">
        <v>242</v>
      </c>
      <c r="C279" s="39" t="s">
        <v>28</v>
      </c>
      <c r="D279" s="23" t="s">
        <v>16</v>
      </c>
      <c r="E279" s="67">
        <v>2600000</v>
      </c>
      <c r="F279" s="88">
        <v>13000000</v>
      </c>
      <c r="G279" s="23" t="s">
        <v>146</v>
      </c>
    </row>
    <row r="280" spans="1:7" x14ac:dyDescent="0.25">
      <c r="A280" s="37">
        <v>44013</v>
      </c>
      <c r="B280" s="362" t="s">
        <v>242</v>
      </c>
      <c r="C280" s="29" t="s">
        <v>15</v>
      </c>
      <c r="D280" s="23" t="s">
        <v>17</v>
      </c>
      <c r="E280" s="69">
        <v>15873600</v>
      </c>
      <c r="F280" s="88">
        <v>15000000</v>
      </c>
      <c r="G280" s="23" t="s">
        <v>146</v>
      </c>
    </row>
    <row r="281" spans="1:7" x14ac:dyDescent="0.25">
      <c r="A281" s="37">
        <v>44013</v>
      </c>
      <c r="B281" s="362" t="s">
        <v>242</v>
      </c>
      <c r="C281" s="50" t="s">
        <v>26</v>
      </c>
      <c r="D281" s="23" t="s">
        <v>17</v>
      </c>
      <c r="E281" s="110">
        <v>7850000</v>
      </c>
      <c r="F281" s="88">
        <v>15000000</v>
      </c>
      <c r="G281" s="23" t="s">
        <v>146</v>
      </c>
    </row>
    <row r="282" spans="1:7" x14ac:dyDescent="0.25">
      <c r="A282" s="37">
        <v>44013</v>
      </c>
      <c r="B282" s="362" t="s">
        <v>242</v>
      </c>
      <c r="C282" s="50" t="s">
        <v>27</v>
      </c>
      <c r="D282" s="23" t="s">
        <v>17</v>
      </c>
      <c r="E282" s="110">
        <v>4450000</v>
      </c>
      <c r="F282" s="88">
        <v>15000000</v>
      </c>
      <c r="G282" s="23" t="s">
        <v>146</v>
      </c>
    </row>
    <row r="283" spans="1:7" x14ac:dyDescent="0.25">
      <c r="A283" s="37">
        <v>44044</v>
      </c>
      <c r="B283" s="362" t="s">
        <v>243</v>
      </c>
      <c r="C283" s="23" t="s">
        <v>7</v>
      </c>
      <c r="D283" s="23" t="s">
        <v>4</v>
      </c>
      <c r="E283" s="99">
        <v>44010000</v>
      </c>
      <c r="F283" s="88">
        <v>47500000</v>
      </c>
      <c r="G283" s="23" t="s">
        <v>146</v>
      </c>
    </row>
    <row r="284" spans="1:7" x14ac:dyDescent="0.25">
      <c r="A284" s="37">
        <v>44044</v>
      </c>
      <c r="B284" s="362" t="s">
        <v>243</v>
      </c>
      <c r="C284" s="18" t="s">
        <v>6</v>
      </c>
      <c r="D284" s="23" t="s">
        <v>16</v>
      </c>
      <c r="E284" s="110">
        <v>13890000</v>
      </c>
      <c r="F284" s="88">
        <v>13000000</v>
      </c>
      <c r="G284" s="23" t="s">
        <v>146</v>
      </c>
    </row>
    <row r="285" spans="1:7" x14ac:dyDescent="0.25">
      <c r="A285" s="37">
        <v>44044</v>
      </c>
      <c r="B285" s="362" t="s">
        <v>243</v>
      </c>
      <c r="C285" s="18" t="s">
        <v>9</v>
      </c>
      <c r="D285" s="23" t="s">
        <v>16</v>
      </c>
      <c r="E285" s="66">
        <v>7800000</v>
      </c>
      <c r="F285" s="88">
        <v>13000000</v>
      </c>
      <c r="G285" s="23" t="s">
        <v>146</v>
      </c>
    </row>
    <row r="286" spans="1:7" x14ac:dyDescent="0.25">
      <c r="A286" s="37">
        <v>44044</v>
      </c>
      <c r="B286" s="362" t="s">
        <v>243</v>
      </c>
      <c r="C286" s="18" t="s">
        <v>10</v>
      </c>
      <c r="D286" s="23" t="s">
        <v>16</v>
      </c>
      <c r="E286" s="110">
        <v>14270000</v>
      </c>
      <c r="F286" s="88">
        <v>13000000</v>
      </c>
      <c r="G286" s="23" t="s">
        <v>146</v>
      </c>
    </row>
    <row r="287" spans="1:7" x14ac:dyDescent="0.25">
      <c r="A287" s="37">
        <v>44044</v>
      </c>
      <c r="B287" s="362" t="s">
        <v>243</v>
      </c>
      <c r="C287" s="18" t="s">
        <v>11</v>
      </c>
      <c r="D287" s="23" t="s">
        <v>16</v>
      </c>
      <c r="E287" s="66">
        <v>4800000</v>
      </c>
      <c r="F287" s="88">
        <v>13000000</v>
      </c>
      <c r="G287" s="23" t="s">
        <v>146</v>
      </c>
    </row>
    <row r="288" spans="1:7" x14ac:dyDescent="0.25">
      <c r="A288" s="37">
        <v>44044</v>
      </c>
      <c r="B288" s="362" t="s">
        <v>243</v>
      </c>
      <c r="C288" s="39" t="s">
        <v>28</v>
      </c>
      <c r="D288" s="23" t="s">
        <v>16</v>
      </c>
      <c r="E288" s="82">
        <v>3250000</v>
      </c>
      <c r="F288" s="88">
        <v>13000000</v>
      </c>
      <c r="G288" s="23" t="s">
        <v>146</v>
      </c>
    </row>
    <row r="289" spans="1:7" x14ac:dyDescent="0.25">
      <c r="A289" s="37">
        <v>44044</v>
      </c>
      <c r="B289" s="362" t="s">
        <v>243</v>
      </c>
      <c r="C289" s="29" t="s">
        <v>15</v>
      </c>
      <c r="D289" s="23" t="s">
        <v>17</v>
      </c>
      <c r="E289" s="69">
        <v>25360000</v>
      </c>
      <c r="F289" s="88">
        <v>15000000</v>
      </c>
      <c r="G289" s="23" t="s">
        <v>146</v>
      </c>
    </row>
    <row r="290" spans="1:7" x14ac:dyDescent="0.25">
      <c r="A290" s="37">
        <v>44044</v>
      </c>
      <c r="B290" s="362" t="s">
        <v>243</v>
      </c>
      <c r="C290" s="50" t="s">
        <v>26</v>
      </c>
      <c r="D290" s="23" t="s">
        <v>17</v>
      </c>
      <c r="E290" s="110">
        <v>10500000</v>
      </c>
      <c r="F290" s="88">
        <v>15000000</v>
      </c>
      <c r="G290" s="23" t="s">
        <v>146</v>
      </c>
    </row>
    <row r="291" spans="1:7" x14ac:dyDescent="0.25">
      <c r="A291" s="37">
        <v>44044</v>
      </c>
      <c r="B291" s="362" t="s">
        <v>243</v>
      </c>
      <c r="C291" s="50" t="s">
        <v>27</v>
      </c>
      <c r="D291" s="23" t="s">
        <v>17</v>
      </c>
      <c r="E291" s="110">
        <v>7050000</v>
      </c>
      <c r="F291" s="88">
        <v>15000000</v>
      </c>
      <c r="G291" s="23" t="s">
        <v>146</v>
      </c>
    </row>
    <row r="292" spans="1:7" x14ac:dyDescent="0.25">
      <c r="A292" s="37">
        <v>44075</v>
      </c>
      <c r="B292" s="362" t="s">
        <v>244</v>
      </c>
      <c r="C292" s="23" t="s">
        <v>7</v>
      </c>
      <c r="D292" s="23" t="s">
        <v>4</v>
      </c>
      <c r="E292" s="98">
        <v>60045000</v>
      </c>
      <c r="F292" s="88">
        <v>47500000</v>
      </c>
      <c r="G292" s="23" t="s">
        <v>146</v>
      </c>
    </row>
    <row r="293" spans="1:7" x14ac:dyDescent="0.25">
      <c r="A293" s="37">
        <v>44075</v>
      </c>
      <c r="B293" s="362" t="s">
        <v>244</v>
      </c>
      <c r="C293" s="18" t="s">
        <v>6</v>
      </c>
      <c r="D293" s="23" t="s">
        <v>16</v>
      </c>
      <c r="E293" s="63">
        <v>20090000</v>
      </c>
      <c r="F293" s="88">
        <v>13000000</v>
      </c>
      <c r="G293" s="23" t="s">
        <v>146</v>
      </c>
    </row>
    <row r="294" spans="1:7" x14ac:dyDescent="0.25">
      <c r="A294" s="37">
        <v>44075</v>
      </c>
      <c r="B294" s="362" t="s">
        <v>244</v>
      </c>
      <c r="C294" s="18" t="s">
        <v>9</v>
      </c>
      <c r="D294" s="23" t="s">
        <v>16</v>
      </c>
      <c r="E294" s="66">
        <v>11900000</v>
      </c>
      <c r="F294" s="88">
        <v>13000000</v>
      </c>
      <c r="G294" s="23" t="s">
        <v>146</v>
      </c>
    </row>
    <row r="295" spans="1:7" x14ac:dyDescent="0.25">
      <c r="A295" s="37">
        <v>44075</v>
      </c>
      <c r="B295" s="362" t="s">
        <v>244</v>
      </c>
      <c r="C295" s="18" t="s">
        <v>10</v>
      </c>
      <c r="D295" s="23" t="s">
        <v>16</v>
      </c>
      <c r="E295" s="63">
        <v>14270000</v>
      </c>
      <c r="F295" s="88">
        <v>13000000</v>
      </c>
      <c r="G295" s="23" t="s">
        <v>146</v>
      </c>
    </row>
    <row r="296" spans="1:7" x14ac:dyDescent="0.25">
      <c r="A296" s="37">
        <v>44075</v>
      </c>
      <c r="B296" s="362" t="s">
        <v>244</v>
      </c>
      <c r="C296" s="18" t="s">
        <v>11</v>
      </c>
      <c r="D296" s="23" t="s">
        <v>16</v>
      </c>
      <c r="E296" s="66">
        <v>7220000</v>
      </c>
      <c r="F296" s="88">
        <v>13000000</v>
      </c>
      <c r="G296" s="23" t="s">
        <v>146</v>
      </c>
    </row>
    <row r="297" spans="1:7" x14ac:dyDescent="0.25">
      <c r="A297" s="37">
        <v>44075</v>
      </c>
      <c r="B297" s="362" t="s">
        <v>244</v>
      </c>
      <c r="C297" s="39" t="s">
        <v>28</v>
      </c>
      <c r="D297" s="23" t="s">
        <v>16</v>
      </c>
      <c r="E297" s="91">
        <v>7300000</v>
      </c>
      <c r="F297" s="88">
        <v>13000000</v>
      </c>
      <c r="G297" s="23" t="s">
        <v>146</v>
      </c>
    </row>
    <row r="298" spans="1:7" x14ac:dyDescent="0.25">
      <c r="A298" s="37">
        <v>44075</v>
      </c>
      <c r="B298" s="362" t="s">
        <v>244</v>
      </c>
      <c r="C298" s="29" t="s">
        <v>15</v>
      </c>
      <c r="D298" s="23" t="s">
        <v>17</v>
      </c>
      <c r="E298" s="92">
        <v>24580000</v>
      </c>
      <c r="F298" s="88">
        <v>15000000</v>
      </c>
      <c r="G298" s="23" t="s">
        <v>146</v>
      </c>
    </row>
    <row r="299" spans="1:7" x14ac:dyDescent="0.25">
      <c r="A299" s="37">
        <v>44075</v>
      </c>
      <c r="B299" s="362" t="s">
        <v>244</v>
      </c>
      <c r="C299" s="50" t="s">
        <v>26</v>
      </c>
      <c r="D299" s="23" t="s">
        <v>17</v>
      </c>
      <c r="E299" s="101">
        <v>20965000</v>
      </c>
      <c r="F299" s="88">
        <v>15000000</v>
      </c>
      <c r="G299" s="23" t="s">
        <v>146</v>
      </c>
    </row>
    <row r="300" spans="1:7" x14ac:dyDescent="0.25">
      <c r="A300" s="37">
        <v>44075</v>
      </c>
      <c r="B300" s="362" t="s">
        <v>244</v>
      </c>
      <c r="C300" s="50" t="s">
        <v>27</v>
      </c>
      <c r="D300" s="23" t="s">
        <v>17</v>
      </c>
      <c r="E300" s="101">
        <v>8850000</v>
      </c>
      <c r="F300" s="88">
        <v>15000000</v>
      </c>
      <c r="G300" s="23" t="s">
        <v>146</v>
      </c>
    </row>
    <row r="301" spans="1:7" x14ac:dyDescent="0.25">
      <c r="A301" s="37">
        <v>44105</v>
      </c>
      <c r="B301" s="362" t="s">
        <v>245</v>
      </c>
      <c r="C301" s="23" t="s">
        <v>7</v>
      </c>
      <c r="D301" s="23" t="s">
        <v>4</v>
      </c>
      <c r="E301" s="99">
        <v>29320000</v>
      </c>
      <c r="F301" s="88">
        <v>47500000</v>
      </c>
      <c r="G301" s="23" t="s">
        <v>146</v>
      </c>
    </row>
    <row r="302" spans="1:7" x14ac:dyDescent="0.25">
      <c r="A302" s="37">
        <v>44105</v>
      </c>
      <c r="B302" s="362" t="s">
        <v>245</v>
      </c>
      <c r="C302" s="18" t="s">
        <v>6</v>
      </c>
      <c r="D302" s="23" t="s">
        <v>16</v>
      </c>
      <c r="E302" s="90">
        <v>13890000</v>
      </c>
      <c r="F302" s="88">
        <v>13000000</v>
      </c>
      <c r="G302" s="23" t="s">
        <v>146</v>
      </c>
    </row>
    <row r="303" spans="1:7" x14ac:dyDescent="0.25">
      <c r="A303" s="37">
        <v>44105</v>
      </c>
      <c r="B303" s="362" t="s">
        <v>245</v>
      </c>
      <c r="C303" s="18" t="s">
        <v>9</v>
      </c>
      <c r="D303" s="23" t="s">
        <v>16</v>
      </c>
      <c r="E303" s="90">
        <v>7800000</v>
      </c>
      <c r="F303" s="88">
        <v>13000000</v>
      </c>
      <c r="G303" s="23" t="s">
        <v>146</v>
      </c>
    </row>
    <row r="304" spans="1:7" x14ac:dyDescent="0.25">
      <c r="A304" s="37">
        <v>44105</v>
      </c>
      <c r="B304" s="362" t="s">
        <v>245</v>
      </c>
      <c r="C304" s="18" t="s">
        <v>10</v>
      </c>
      <c r="D304" s="23" t="s">
        <v>16</v>
      </c>
      <c r="E304" s="90">
        <v>14270000</v>
      </c>
      <c r="F304" s="88">
        <v>13000000</v>
      </c>
      <c r="G304" s="23" t="s">
        <v>146</v>
      </c>
    </row>
    <row r="305" spans="1:7" x14ac:dyDescent="0.25">
      <c r="A305" s="37">
        <v>44105</v>
      </c>
      <c r="B305" s="362" t="s">
        <v>245</v>
      </c>
      <c r="C305" s="18" t="s">
        <v>11</v>
      </c>
      <c r="D305" s="23" t="s">
        <v>16</v>
      </c>
      <c r="E305" s="85">
        <v>4800000</v>
      </c>
      <c r="F305" s="88">
        <v>13000000</v>
      </c>
      <c r="G305" s="23" t="s">
        <v>146</v>
      </c>
    </row>
    <row r="306" spans="1:7" x14ac:dyDescent="0.25">
      <c r="A306" s="37">
        <v>44105</v>
      </c>
      <c r="B306" s="362" t="s">
        <v>245</v>
      </c>
      <c r="C306" s="39" t="s">
        <v>28</v>
      </c>
      <c r="D306" s="23" t="s">
        <v>16</v>
      </c>
      <c r="E306" s="63">
        <v>3250000</v>
      </c>
      <c r="F306" s="88">
        <v>13000000</v>
      </c>
      <c r="G306" s="23" t="s">
        <v>146</v>
      </c>
    </row>
    <row r="307" spans="1:7" x14ac:dyDescent="0.25">
      <c r="A307" s="37">
        <v>44105</v>
      </c>
      <c r="B307" s="362" t="s">
        <v>245</v>
      </c>
      <c r="C307" s="29" t="s">
        <v>15</v>
      </c>
      <c r="D307" s="23" t="s">
        <v>17</v>
      </c>
      <c r="E307" s="63">
        <v>16650000</v>
      </c>
      <c r="F307" s="88">
        <v>15000000</v>
      </c>
      <c r="G307" s="23" t="s">
        <v>146</v>
      </c>
    </row>
    <row r="308" spans="1:7" x14ac:dyDescent="0.25">
      <c r="A308" s="37">
        <v>44105</v>
      </c>
      <c r="B308" s="362" t="s">
        <v>245</v>
      </c>
      <c r="C308" s="50" t="s">
        <v>26</v>
      </c>
      <c r="D308" s="23" t="s">
        <v>17</v>
      </c>
      <c r="E308" s="110">
        <v>7740000</v>
      </c>
      <c r="F308" s="88">
        <v>15000000</v>
      </c>
      <c r="G308" s="23" t="s">
        <v>146</v>
      </c>
    </row>
    <row r="309" spans="1:7" x14ac:dyDescent="0.25">
      <c r="A309" s="37">
        <v>44105</v>
      </c>
      <c r="B309" s="362" t="s">
        <v>245</v>
      </c>
      <c r="C309" s="50" t="s">
        <v>27</v>
      </c>
      <c r="D309" s="23" t="s">
        <v>17</v>
      </c>
      <c r="E309" s="110">
        <v>5200000</v>
      </c>
      <c r="F309" s="88">
        <v>15000000</v>
      </c>
      <c r="G309" s="23" t="s">
        <v>146</v>
      </c>
    </row>
    <row r="310" spans="1:7" x14ac:dyDescent="0.25">
      <c r="A310" s="37">
        <v>44136</v>
      </c>
      <c r="B310" s="362" t="s">
        <v>246</v>
      </c>
      <c r="C310" s="23" t="s">
        <v>7</v>
      </c>
      <c r="D310" s="23" t="s">
        <v>4</v>
      </c>
      <c r="E310" s="93">
        <v>60410000</v>
      </c>
      <c r="F310" s="88">
        <v>47500000</v>
      </c>
      <c r="G310" s="23" t="s">
        <v>146</v>
      </c>
    </row>
    <row r="311" spans="1:7" x14ac:dyDescent="0.25">
      <c r="A311" s="37">
        <v>44136</v>
      </c>
      <c r="B311" s="362" t="s">
        <v>246</v>
      </c>
      <c r="C311" s="18" t="s">
        <v>6</v>
      </c>
      <c r="D311" s="23" t="s">
        <v>16</v>
      </c>
      <c r="E311" s="63">
        <v>12610000</v>
      </c>
      <c r="F311" s="88">
        <v>13000000</v>
      </c>
      <c r="G311" s="23" t="s">
        <v>146</v>
      </c>
    </row>
    <row r="312" spans="1:7" x14ac:dyDescent="0.25">
      <c r="A312" s="37">
        <v>44136</v>
      </c>
      <c r="B312" s="362" t="s">
        <v>246</v>
      </c>
      <c r="C312" s="18" t="s">
        <v>9</v>
      </c>
      <c r="D312" s="23" t="s">
        <v>16</v>
      </c>
      <c r="E312" s="63">
        <v>4600000</v>
      </c>
      <c r="F312" s="88">
        <v>13000000</v>
      </c>
      <c r="G312" s="23" t="s">
        <v>146</v>
      </c>
    </row>
    <row r="313" spans="1:7" x14ac:dyDescent="0.25">
      <c r="A313" s="37">
        <v>44136</v>
      </c>
      <c r="B313" s="362" t="s">
        <v>246</v>
      </c>
      <c r="C313" s="18" t="s">
        <v>10</v>
      </c>
      <c r="D313" s="23" t="s">
        <v>16</v>
      </c>
      <c r="E313" s="63">
        <v>18230000</v>
      </c>
      <c r="F313" s="88">
        <v>13000000</v>
      </c>
      <c r="G313" s="23" t="s">
        <v>146</v>
      </c>
    </row>
    <row r="314" spans="1:7" x14ac:dyDescent="0.25">
      <c r="A314" s="37">
        <v>44136</v>
      </c>
      <c r="B314" s="362" t="s">
        <v>246</v>
      </c>
      <c r="C314" s="18" t="s">
        <v>11</v>
      </c>
      <c r="D314" s="23" t="s">
        <v>16</v>
      </c>
      <c r="E314" s="63">
        <v>16650000</v>
      </c>
      <c r="F314" s="88">
        <v>13000000</v>
      </c>
      <c r="G314" s="23" t="s">
        <v>146</v>
      </c>
    </row>
    <row r="315" spans="1:7" x14ac:dyDescent="0.25">
      <c r="A315" s="37">
        <v>44136</v>
      </c>
      <c r="B315" s="362" t="s">
        <v>246</v>
      </c>
      <c r="C315" s="39" t="s">
        <v>28</v>
      </c>
      <c r="D315" s="23" t="s">
        <v>16</v>
      </c>
      <c r="E315" s="67">
        <v>3940000</v>
      </c>
      <c r="F315" s="88">
        <v>13000000</v>
      </c>
      <c r="G315" s="23" t="s">
        <v>146</v>
      </c>
    </row>
    <row r="316" spans="1:7" x14ac:dyDescent="0.25">
      <c r="A316" s="37">
        <v>44136</v>
      </c>
      <c r="B316" s="362" t="s">
        <v>246</v>
      </c>
      <c r="C316" s="29" t="s">
        <v>15</v>
      </c>
      <c r="D316" s="23" t="s">
        <v>17</v>
      </c>
      <c r="E316" s="67">
        <v>14825000</v>
      </c>
      <c r="F316" s="88">
        <v>15000000</v>
      </c>
      <c r="G316" s="23" t="s">
        <v>146</v>
      </c>
    </row>
    <row r="317" spans="1:7" x14ac:dyDescent="0.25">
      <c r="A317" s="37">
        <v>44136</v>
      </c>
      <c r="B317" s="362" t="s">
        <v>246</v>
      </c>
      <c r="C317" s="50" t="s">
        <v>26</v>
      </c>
      <c r="D317" s="23" t="s">
        <v>17</v>
      </c>
      <c r="E317" s="111">
        <v>25860000</v>
      </c>
      <c r="F317" s="88">
        <v>15000000</v>
      </c>
      <c r="G317" s="23" t="s">
        <v>146</v>
      </c>
    </row>
    <row r="318" spans="1:7" x14ac:dyDescent="0.25">
      <c r="A318" s="37">
        <v>44136</v>
      </c>
      <c r="B318" s="362" t="s">
        <v>246</v>
      </c>
      <c r="C318" s="50" t="s">
        <v>27</v>
      </c>
      <c r="D318" s="23" t="s">
        <v>17</v>
      </c>
      <c r="E318" s="111">
        <v>4850000</v>
      </c>
      <c r="F318" s="88">
        <v>15000000</v>
      </c>
      <c r="G318" s="23" t="s">
        <v>146</v>
      </c>
    </row>
    <row r="319" spans="1:7" x14ac:dyDescent="0.25">
      <c r="A319" s="37">
        <v>44166</v>
      </c>
      <c r="B319" s="362" t="s">
        <v>247</v>
      </c>
      <c r="C319" s="23" t="s">
        <v>7</v>
      </c>
      <c r="D319" s="23" t="s">
        <v>4</v>
      </c>
      <c r="E319" s="77">
        <v>39510000</v>
      </c>
      <c r="F319" s="88">
        <v>60000000</v>
      </c>
      <c r="G319" s="23" t="s">
        <v>146</v>
      </c>
    </row>
    <row r="320" spans="1:7" x14ac:dyDescent="0.25">
      <c r="A320" s="37">
        <v>44166</v>
      </c>
      <c r="B320" s="362" t="s">
        <v>247</v>
      </c>
      <c r="C320" s="18" t="s">
        <v>6</v>
      </c>
      <c r="D320" s="23" t="s">
        <v>16</v>
      </c>
      <c r="E320" s="63">
        <v>11440000</v>
      </c>
      <c r="F320" s="88">
        <v>13000000</v>
      </c>
      <c r="G320" s="23" t="s">
        <v>146</v>
      </c>
    </row>
    <row r="321" spans="1:7" x14ac:dyDescent="0.25">
      <c r="A321" s="37">
        <v>44166</v>
      </c>
      <c r="B321" s="362" t="s">
        <v>247</v>
      </c>
      <c r="C321" s="18" t="s">
        <v>9</v>
      </c>
      <c r="D321" s="23" t="s">
        <v>16</v>
      </c>
      <c r="E321" s="63">
        <v>0</v>
      </c>
      <c r="F321" s="88">
        <v>13000000</v>
      </c>
      <c r="G321" s="23" t="s">
        <v>146</v>
      </c>
    </row>
    <row r="322" spans="1:7" x14ac:dyDescent="0.25">
      <c r="A322" s="37">
        <v>44166</v>
      </c>
      <c r="B322" s="362" t="s">
        <v>247</v>
      </c>
      <c r="C322" s="18" t="s">
        <v>10</v>
      </c>
      <c r="D322" s="23" t="s">
        <v>16</v>
      </c>
      <c r="E322" s="63">
        <v>5500000</v>
      </c>
      <c r="F322" s="88">
        <v>13000000</v>
      </c>
      <c r="G322" s="23" t="s">
        <v>146</v>
      </c>
    </row>
    <row r="323" spans="1:7" x14ac:dyDescent="0.25">
      <c r="A323" s="37">
        <v>44166</v>
      </c>
      <c r="B323" s="362" t="s">
        <v>247</v>
      </c>
      <c r="C323" s="18" t="s">
        <v>11</v>
      </c>
      <c r="D323" s="23" t="s">
        <v>16</v>
      </c>
      <c r="E323" s="63">
        <v>13400000</v>
      </c>
      <c r="F323" s="88">
        <v>13000000</v>
      </c>
      <c r="G323" s="23" t="s">
        <v>146</v>
      </c>
    </row>
    <row r="324" spans="1:7" x14ac:dyDescent="0.25">
      <c r="A324" s="37">
        <v>44166</v>
      </c>
      <c r="B324" s="362" t="s">
        <v>247</v>
      </c>
      <c r="C324" s="39" t="s">
        <v>28</v>
      </c>
      <c r="D324" s="23" t="s">
        <v>16</v>
      </c>
      <c r="E324" s="94">
        <v>4320000</v>
      </c>
      <c r="F324" s="88">
        <v>13000000</v>
      </c>
      <c r="G324" s="23" t="s">
        <v>146</v>
      </c>
    </row>
    <row r="325" spans="1:7" x14ac:dyDescent="0.25">
      <c r="A325" s="37">
        <v>44166</v>
      </c>
      <c r="B325" s="362" t="s">
        <v>247</v>
      </c>
      <c r="C325" s="29" t="s">
        <v>15</v>
      </c>
      <c r="D325" s="23" t="s">
        <v>17</v>
      </c>
      <c r="E325" s="63">
        <v>15250000</v>
      </c>
      <c r="F325" s="88">
        <v>15000000</v>
      </c>
      <c r="G325" s="23" t="s">
        <v>146</v>
      </c>
    </row>
    <row r="326" spans="1:7" x14ac:dyDescent="0.25">
      <c r="A326" s="37">
        <v>44166</v>
      </c>
      <c r="B326" s="362" t="s">
        <v>247</v>
      </c>
      <c r="C326" s="50" t="s">
        <v>26</v>
      </c>
      <c r="D326" s="23" t="s">
        <v>17</v>
      </c>
      <c r="E326" s="110">
        <v>5720000</v>
      </c>
      <c r="F326" s="88">
        <v>15000000</v>
      </c>
      <c r="G326" s="23" t="s">
        <v>146</v>
      </c>
    </row>
    <row r="327" spans="1:7" x14ac:dyDescent="0.25">
      <c r="A327" s="37">
        <v>44166</v>
      </c>
      <c r="B327" s="362" t="s">
        <v>247</v>
      </c>
      <c r="C327" s="50" t="s">
        <v>27</v>
      </c>
      <c r="D327" s="23" t="s">
        <v>17</v>
      </c>
      <c r="E327" s="101">
        <v>0</v>
      </c>
      <c r="F327" s="88">
        <v>15000000</v>
      </c>
      <c r="G327" s="23" t="s">
        <v>146</v>
      </c>
    </row>
    <row r="328" spans="1:7" x14ac:dyDescent="0.25">
      <c r="A328" s="37">
        <v>44197</v>
      </c>
      <c r="B328" s="362" t="s">
        <v>236</v>
      </c>
      <c r="C328" s="23" t="s">
        <v>7</v>
      </c>
      <c r="D328" s="23" t="s">
        <v>4</v>
      </c>
      <c r="E328" s="93">
        <v>53265100</v>
      </c>
      <c r="F328" s="112">
        <v>66000000</v>
      </c>
      <c r="G328" s="23" t="s">
        <v>146</v>
      </c>
    </row>
    <row r="329" spans="1:7" x14ac:dyDescent="0.25">
      <c r="A329" s="37">
        <v>44197</v>
      </c>
      <c r="B329" s="362" t="s">
        <v>236</v>
      </c>
      <c r="C329" s="18" t="s">
        <v>6</v>
      </c>
      <c r="D329" s="23" t="s">
        <v>16</v>
      </c>
      <c r="E329" s="102">
        <v>11640000</v>
      </c>
      <c r="F329" s="75">
        <v>16000000</v>
      </c>
      <c r="G329" s="23" t="s">
        <v>146</v>
      </c>
    </row>
    <row r="330" spans="1:7" x14ac:dyDescent="0.25">
      <c r="A330" s="37">
        <v>44197</v>
      </c>
      <c r="B330" s="362" t="s">
        <v>236</v>
      </c>
      <c r="C330" s="18" t="s">
        <v>10</v>
      </c>
      <c r="D330" s="23" t="s">
        <v>16</v>
      </c>
      <c r="E330" s="101">
        <v>18405100</v>
      </c>
      <c r="F330" s="75">
        <v>16000000</v>
      </c>
      <c r="G330" s="23" t="s">
        <v>146</v>
      </c>
    </row>
    <row r="331" spans="1:7" ht="12" customHeight="1" x14ac:dyDescent="0.25">
      <c r="A331" s="37">
        <v>44197</v>
      </c>
      <c r="B331" s="362" t="s">
        <v>236</v>
      </c>
      <c r="C331" s="31" t="s">
        <v>11</v>
      </c>
      <c r="D331" s="23" t="s">
        <v>16</v>
      </c>
      <c r="E331" s="107">
        <v>12400000</v>
      </c>
      <c r="F331" s="75">
        <v>16000000</v>
      </c>
      <c r="G331" s="23" t="s">
        <v>146</v>
      </c>
    </row>
    <row r="332" spans="1:7" ht="12" customHeight="1" x14ac:dyDescent="0.25">
      <c r="A332" s="37">
        <v>44197</v>
      </c>
      <c r="B332" s="362" t="s">
        <v>236</v>
      </c>
      <c r="C332" s="21" t="s">
        <v>28</v>
      </c>
      <c r="D332" s="23" t="s">
        <v>16</v>
      </c>
      <c r="E332" s="103">
        <v>3020000</v>
      </c>
      <c r="F332" s="75">
        <v>14000000</v>
      </c>
      <c r="G332" s="23" t="s">
        <v>146</v>
      </c>
    </row>
    <row r="333" spans="1:7" ht="12" customHeight="1" x14ac:dyDescent="0.25">
      <c r="A333" s="37">
        <v>44197</v>
      </c>
      <c r="B333" s="362" t="s">
        <v>236</v>
      </c>
      <c r="C333" s="250" t="s">
        <v>30</v>
      </c>
      <c r="D333" s="23" t="s">
        <v>16</v>
      </c>
      <c r="E333" s="103">
        <v>2600000</v>
      </c>
      <c r="F333" s="75">
        <v>16000000</v>
      </c>
      <c r="G333" s="23" t="s">
        <v>146</v>
      </c>
    </row>
    <row r="334" spans="1:7" ht="12" customHeight="1" x14ac:dyDescent="0.25">
      <c r="A334" s="37">
        <v>44197</v>
      </c>
      <c r="B334" s="362" t="s">
        <v>236</v>
      </c>
      <c r="C334" s="34" t="s">
        <v>31</v>
      </c>
      <c r="D334" s="23" t="s">
        <v>16</v>
      </c>
      <c r="E334" s="107">
        <v>5200000</v>
      </c>
      <c r="F334" s="75">
        <v>16000000</v>
      </c>
      <c r="G334" s="23" t="s">
        <v>146</v>
      </c>
    </row>
    <row r="335" spans="1:7" x14ac:dyDescent="0.25">
      <c r="A335" s="37">
        <v>44197</v>
      </c>
      <c r="B335" s="362" t="s">
        <v>236</v>
      </c>
      <c r="C335" s="31" t="s">
        <v>15</v>
      </c>
      <c r="D335" s="23" t="s">
        <v>17</v>
      </c>
      <c r="E335" s="104">
        <v>14050000</v>
      </c>
      <c r="F335" s="75">
        <v>17000000</v>
      </c>
      <c r="G335" s="23" t="s">
        <v>146</v>
      </c>
    </row>
    <row r="336" spans="1:7" x14ac:dyDescent="0.25">
      <c r="A336" s="37">
        <v>44197</v>
      </c>
      <c r="B336" s="362" t="s">
        <v>236</v>
      </c>
      <c r="C336" s="251" t="s">
        <v>26</v>
      </c>
      <c r="D336" s="23" t="s">
        <v>17</v>
      </c>
      <c r="E336" s="106">
        <v>15175100</v>
      </c>
      <c r="F336" s="75">
        <v>17000000</v>
      </c>
      <c r="G336" s="23" t="s">
        <v>146</v>
      </c>
    </row>
    <row r="337" spans="1:7" x14ac:dyDescent="0.25">
      <c r="A337" s="37">
        <v>44197</v>
      </c>
      <c r="B337" s="362" t="s">
        <v>236</v>
      </c>
      <c r="C337" s="11" t="s">
        <v>32</v>
      </c>
      <c r="D337" s="23" t="s">
        <v>17</v>
      </c>
      <c r="E337" s="109">
        <v>17240000</v>
      </c>
      <c r="F337" s="75">
        <v>17000000</v>
      </c>
      <c r="G337" s="23" t="s">
        <v>146</v>
      </c>
    </row>
    <row r="338" spans="1:7" x14ac:dyDescent="0.25">
      <c r="A338" s="37">
        <v>44197</v>
      </c>
      <c r="B338" s="362" t="s">
        <v>236</v>
      </c>
      <c r="C338" s="252" t="s">
        <v>33</v>
      </c>
      <c r="D338" s="23" t="s">
        <v>17</v>
      </c>
      <c r="E338" s="103">
        <v>6800000</v>
      </c>
      <c r="F338" s="75">
        <v>17000000</v>
      </c>
      <c r="G338" s="23" t="s">
        <v>146</v>
      </c>
    </row>
    <row r="339" spans="1:7" x14ac:dyDescent="0.25">
      <c r="A339" s="37">
        <v>44228</v>
      </c>
      <c r="B339" s="362" t="s">
        <v>237</v>
      </c>
      <c r="C339" s="23" t="s">
        <v>7</v>
      </c>
      <c r="D339" s="23" t="s">
        <v>4</v>
      </c>
      <c r="E339" s="93">
        <v>80810000</v>
      </c>
      <c r="F339" s="112">
        <v>66000000</v>
      </c>
      <c r="G339" s="23" t="s">
        <v>146</v>
      </c>
    </row>
    <row r="340" spans="1:7" x14ac:dyDescent="0.25">
      <c r="A340" s="37">
        <v>44228</v>
      </c>
      <c r="B340" s="362" t="s">
        <v>237</v>
      </c>
      <c r="C340" s="18" t="s">
        <v>6</v>
      </c>
      <c r="D340" s="23" t="s">
        <v>16</v>
      </c>
      <c r="E340" s="110">
        <v>19110000</v>
      </c>
      <c r="F340" s="63">
        <v>16000000</v>
      </c>
      <c r="G340" s="23" t="s">
        <v>146</v>
      </c>
    </row>
    <row r="341" spans="1:7" x14ac:dyDescent="0.25">
      <c r="A341" s="37">
        <v>44228</v>
      </c>
      <c r="B341" s="362" t="s">
        <v>237</v>
      </c>
      <c r="C341" s="18" t="s">
        <v>10</v>
      </c>
      <c r="D341" s="23" t="s">
        <v>16</v>
      </c>
      <c r="E341" s="66">
        <v>27940000</v>
      </c>
      <c r="F341" s="63">
        <v>16000000</v>
      </c>
      <c r="G341" s="23" t="s">
        <v>146</v>
      </c>
    </row>
    <row r="342" spans="1:7" x14ac:dyDescent="0.25">
      <c r="A342" s="37">
        <v>44228</v>
      </c>
      <c r="B342" s="362" t="s">
        <v>237</v>
      </c>
      <c r="C342" s="18" t="s">
        <v>11</v>
      </c>
      <c r="D342" s="23" t="s">
        <v>16</v>
      </c>
      <c r="E342" s="66">
        <v>14780000</v>
      </c>
      <c r="F342" s="63">
        <v>16000000</v>
      </c>
      <c r="G342" s="23" t="s">
        <v>146</v>
      </c>
    </row>
    <row r="343" spans="1:7" x14ac:dyDescent="0.25">
      <c r="A343" s="37">
        <v>44228</v>
      </c>
      <c r="B343" s="362" t="s">
        <v>237</v>
      </c>
      <c r="C343" s="39" t="s">
        <v>28</v>
      </c>
      <c r="D343" s="23" t="s">
        <v>16</v>
      </c>
      <c r="E343" s="66">
        <v>880000</v>
      </c>
      <c r="F343" s="81">
        <v>14000000</v>
      </c>
      <c r="G343" s="23" t="s">
        <v>146</v>
      </c>
    </row>
    <row r="344" spans="1:7" x14ac:dyDescent="0.25">
      <c r="A344" s="37">
        <v>44228</v>
      </c>
      <c r="B344" s="362" t="s">
        <v>237</v>
      </c>
      <c r="C344" s="250" t="s">
        <v>30</v>
      </c>
      <c r="D344" s="23" t="s">
        <v>16</v>
      </c>
      <c r="E344" s="82">
        <v>4820000</v>
      </c>
      <c r="F344" s="81">
        <v>16000000</v>
      </c>
      <c r="G344" s="23" t="s">
        <v>146</v>
      </c>
    </row>
    <row r="345" spans="1:7" x14ac:dyDescent="0.25">
      <c r="A345" s="37">
        <v>44228</v>
      </c>
      <c r="B345" s="362" t="s">
        <v>237</v>
      </c>
      <c r="C345" s="18" t="s">
        <v>15</v>
      </c>
      <c r="D345" s="23" t="s">
        <v>17</v>
      </c>
      <c r="E345" s="68">
        <v>24030000</v>
      </c>
      <c r="F345" s="63">
        <v>17000000</v>
      </c>
      <c r="G345" s="23" t="s">
        <v>146</v>
      </c>
    </row>
    <row r="346" spans="1:7" x14ac:dyDescent="0.25">
      <c r="A346" s="37">
        <v>44228</v>
      </c>
      <c r="B346" s="362" t="s">
        <v>237</v>
      </c>
      <c r="C346" s="22" t="s">
        <v>26</v>
      </c>
      <c r="D346" s="23" t="s">
        <v>17</v>
      </c>
      <c r="E346" s="80">
        <v>10270000</v>
      </c>
      <c r="F346" s="63">
        <v>17000000</v>
      </c>
      <c r="G346" s="23" t="s">
        <v>146</v>
      </c>
    </row>
    <row r="347" spans="1:7" x14ac:dyDescent="0.25">
      <c r="A347" s="37">
        <v>44228</v>
      </c>
      <c r="B347" s="362" t="s">
        <v>237</v>
      </c>
      <c r="C347" s="26" t="s">
        <v>32</v>
      </c>
      <c r="D347" s="23" t="s">
        <v>17</v>
      </c>
      <c r="E347" s="66">
        <v>3350000</v>
      </c>
      <c r="F347" s="81">
        <v>17000000</v>
      </c>
      <c r="G347" s="23" t="s">
        <v>146</v>
      </c>
    </row>
    <row r="348" spans="1:7" x14ac:dyDescent="0.25">
      <c r="A348" s="37">
        <v>44228</v>
      </c>
      <c r="B348" s="362" t="s">
        <v>237</v>
      </c>
      <c r="C348" s="51" t="s">
        <v>33</v>
      </c>
      <c r="D348" s="23" t="s">
        <v>17</v>
      </c>
      <c r="E348" s="113">
        <v>9770000</v>
      </c>
      <c r="F348" s="75">
        <v>17000000</v>
      </c>
      <c r="G348" s="23" t="s">
        <v>146</v>
      </c>
    </row>
    <row r="349" spans="1:7" x14ac:dyDescent="0.25">
      <c r="A349" s="37">
        <v>44228</v>
      </c>
      <c r="B349" s="362" t="s">
        <v>237</v>
      </c>
      <c r="C349" s="50" t="s">
        <v>34</v>
      </c>
      <c r="D349" s="23" t="s">
        <v>17</v>
      </c>
      <c r="E349" s="102">
        <v>1700000</v>
      </c>
      <c r="F349" s="75">
        <v>17000000</v>
      </c>
      <c r="G349" s="23" t="s">
        <v>146</v>
      </c>
    </row>
    <row r="350" spans="1:7" x14ac:dyDescent="0.25">
      <c r="A350" s="37">
        <v>44256</v>
      </c>
      <c r="B350" s="362" t="s">
        <v>238</v>
      </c>
      <c r="C350" s="23" t="s">
        <v>7</v>
      </c>
      <c r="D350" s="23" t="s">
        <v>4</v>
      </c>
      <c r="E350" s="98">
        <v>81168000</v>
      </c>
      <c r="F350" s="112">
        <v>66000000</v>
      </c>
      <c r="G350" s="23" t="s">
        <v>146</v>
      </c>
    </row>
    <row r="351" spans="1:7" x14ac:dyDescent="0.25">
      <c r="A351" s="37">
        <v>44256</v>
      </c>
      <c r="B351" s="362" t="s">
        <v>238</v>
      </c>
      <c r="C351" s="18" t="s">
        <v>6</v>
      </c>
      <c r="D351" s="23" t="s">
        <v>16</v>
      </c>
      <c r="E351" s="101">
        <v>20360000</v>
      </c>
      <c r="F351" s="75">
        <v>16000000</v>
      </c>
      <c r="G351" s="23" t="s">
        <v>146</v>
      </c>
    </row>
    <row r="352" spans="1:7" x14ac:dyDescent="0.25">
      <c r="A352" s="37">
        <v>44256</v>
      </c>
      <c r="B352" s="362" t="s">
        <v>238</v>
      </c>
      <c r="C352" s="40" t="s">
        <v>10</v>
      </c>
      <c r="D352" s="23" t="s">
        <v>16</v>
      </c>
      <c r="E352" s="102">
        <v>13308000</v>
      </c>
      <c r="F352" s="75">
        <v>16000000</v>
      </c>
      <c r="G352" s="23" t="s">
        <v>146</v>
      </c>
    </row>
    <row r="353" spans="1:7" x14ac:dyDescent="0.25">
      <c r="A353" s="37">
        <v>44256</v>
      </c>
      <c r="B353" s="362" t="s">
        <v>238</v>
      </c>
      <c r="C353" s="19" t="s">
        <v>11</v>
      </c>
      <c r="D353" s="23" t="s">
        <v>16</v>
      </c>
      <c r="E353" s="101">
        <v>17550000</v>
      </c>
      <c r="F353" s="75">
        <v>16000000</v>
      </c>
      <c r="G353" s="23" t="s">
        <v>146</v>
      </c>
    </row>
    <row r="354" spans="1:7" x14ac:dyDescent="0.25">
      <c r="A354" s="37">
        <v>44256</v>
      </c>
      <c r="B354" s="362" t="s">
        <v>238</v>
      </c>
      <c r="C354" s="247" t="s">
        <v>30</v>
      </c>
      <c r="D354" s="23" t="s">
        <v>16</v>
      </c>
      <c r="E354" s="102">
        <v>12550000</v>
      </c>
      <c r="F354" s="75">
        <v>16000000</v>
      </c>
      <c r="G354" s="23" t="s">
        <v>146</v>
      </c>
    </row>
    <row r="355" spans="1:7" x14ac:dyDescent="0.25">
      <c r="A355" s="37">
        <v>44256</v>
      </c>
      <c r="B355" s="362" t="s">
        <v>238</v>
      </c>
      <c r="C355" s="247" t="s">
        <v>35</v>
      </c>
      <c r="D355" s="23" t="s">
        <v>16</v>
      </c>
      <c r="E355" s="102">
        <v>4250000</v>
      </c>
      <c r="F355" s="75">
        <v>14000000</v>
      </c>
      <c r="G355" s="23" t="s">
        <v>146</v>
      </c>
    </row>
    <row r="356" spans="1:7" x14ac:dyDescent="0.25">
      <c r="A356" s="37">
        <v>44256</v>
      </c>
      <c r="B356" s="362" t="s">
        <v>238</v>
      </c>
      <c r="C356" s="247" t="s">
        <v>38</v>
      </c>
      <c r="D356" s="23" t="s">
        <v>16</v>
      </c>
      <c r="E356" s="104">
        <v>1350000</v>
      </c>
      <c r="F356" s="75">
        <v>14000000</v>
      </c>
      <c r="G356" s="23" t="s">
        <v>146</v>
      </c>
    </row>
    <row r="357" spans="1:7" x14ac:dyDescent="0.25">
      <c r="A357" s="37">
        <v>44256</v>
      </c>
      <c r="B357" s="362" t="s">
        <v>238</v>
      </c>
      <c r="C357" s="19" t="s">
        <v>15</v>
      </c>
      <c r="D357" s="23" t="s">
        <v>17</v>
      </c>
      <c r="E357" s="114">
        <v>32420000</v>
      </c>
      <c r="F357" s="75">
        <v>17000000</v>
      </c>
      <c r="G357" s="23" t="s">
        <v>146</v>
      </c>
    </row>
    <row r="358" spans="1:7" x14ac:dyDescent="0.25">
      <c r="A358" s="37">
        <v>44256</v>
      </c>
      <c r="B358" s="362" t="s">
        <v>238</v>
      </c>
      <c r="C358" s="23" t="s">
        <v>26</v>
      </c>
      <c r="D358" s="23" t="s">
        <v>17</v>
      </c>
      <c r="E358" s="106">
        <v>0</v>
      </c>
      <c r="F358" s="75">
        <v>17000000</v>
      </c>
      <c r="G358" s="23" t="s">
        <v>146</v>
      </c>
    </row>
    <row r="359" spans="1:7" x14ac:dyDescent="0.25">
      <c r="A359" s="37">
        <v>44256</v>
      </c>
      <c r="B359" s="362" t="s">
        <v>238</v>
      </c>
      <c r="C359" s="221" t="s">
        <v>33</v>
      </c>
      <c r="D359" s="23" t="s">
        <v>17</v>
      </c>
      <c r="E359" s="113">
        <v>12000000</v>
      </c>
      <c r="F359" s="75">
        <v>17000000</v>
      </c>
      <c r="G359" s="23" t="s">
        <v>146</v>
      </c>
    </row>
    <row r="360" spans="1:7" x14ac:dyDescent="0.25">
      <c r="A360" s="37">
        <v>44256</v>
      </c>
      <c r="B360" s="362" t="s">
        <v>238</v>
      </c>
      <c r="C360" s="50" t="s">
        <v>36</v>
      </c>
      <c r="D360" s="23" t="s">
        <v>17</v>
      </c>
      <c r="E360" s="102">
        <v>8320000</v>
      </c>
      <c r="F360" s="75">
        <v>17000000</v>
      </c>
      <c r="G360" s="23" t="s">
        <v>146</v>
      </c>
    </row>
    <row r="361" spans="1:7" x14ac:dyDescent="0.25">
      <c r="A361" s="37">
        <v>44256</v>
      </c>
      <c r="B361" s="362" t="s">
        <v>238</v>
      </c>
      <c r="C361" s="50" t="s">
        <v>37</v>
      </c>
      <c r="D361" s="23" t="s">
        <v>17</v>
      </c>
      <c r="E361" s="102">
        <v>5110000</v>
      </c>
      <c r="F361" s="75">
        <v>17000000</v>
      </c>
      <c r="G361" s="23" t="s">
        <v>146</v>
      </c>
    </row>
    <row r="362" spans="1:7" x14ac:dyDescent="0.25">
      <c r="A362" s="37">
        <v>44287</v>
      </c>
      <c r="B362" s="362" t="s">
        <v>239</v>
      </c>
      <c r="C362" s="23" t="s">
        <v>7</v>
      </c>
      <c r="D362" s="23" t="s">
        <v>4</v>
      </c>
      <c r="E362" s="77">
        <v>59000000</v>
      </c>
      <c r="F362" s="112">
        <v>66000000</v>
      </c>
      <c r="G362" s="23" t="s">
        <v>146</v>
      </c>
    </row>
    <row r="363" spans="1:7" x14ac:dyDescent="0.25">
      <c r="A363" s="37">
        <v>44287</v>
      </c>
      <c r="B363" s="362" t="s">
        <v>239</v>
      </c>
      <c r="C363" s="18" t="s">
        <v>6</v>
      </c>
      <c r="D363" s="23" t="s">
        <v>16</v>
      </c>
      <c r="E363" s="66">
        <v>14180000</v>
      </c>
      <c r="F363" s="63">
        <v>16000000</v>
      </c>
      <c r="G363" s="23" t="s">
        <v>146</v>
      </c>
    </row>
    <row r="364" spans="1:7" x14ac:dyDescent="0.25">
      <c r="A364" s="37">
        <v>44287</v>
      </c>
      <c r="B364" s="362" t="s">
        <v>239</v>
      </c>
      <c r="C364" s="18" t="s">
        <v>10</v>
      </c>
      <c r="D364" s="23" t="s">
        <v>16</v>
      </c>
      <c r="E364" s="66">
        <v>9720000</v>
      </c>
      <c r="F364" s="63">
        <v>16000000</v>
      </c>
      <c r="G364" s="23" t="s">
        <v>146</v>
      </c>
    </row>
    <row r="365" spans="1:7" x14ac:dyDescent="0.25">
      <c r="A365" s="37">
        <v>44287</v>
      </c>
      <c r="B365" s="362" t="s">
        <v>239</v>
      </c>
      <c r="C365" s="18" t="s">
        <v>11</v>
      </c>
      <c r="D365" s="23" t="s">
        <v>16</v>
      </c>
      <c r="E365" s="66">
        <v>10600000</v>
      </c>
      <c r="F365" s="63">
        <v>16000000</v>
      </c>
      <c r="G365" s="23" t="s">
        <v>146</v>
      </c>
    </row>
    <row r="366" spans="1:7" x14ac:dyDescent="0.25">
      <c r="A366" s="37">
        <v>44287</v>
      </c>
      <c r="B366" s="362" t="s">
        <v>239</v>
      </c>
      <c r="C366" s="250" t="s">
        <v>30</v>
      </c>
      <c r="D366" s="23" t="s">
        <v>16</v>
      </c>
      <c r="E366" s="82">
        <v>14900000</v>
      </c>
      <c r="F366" s="81">
        <v>16000000</v>
      </c>
      <c r="G366" s="23" t="s">
        <v>146</v>
      </c>
    </row>
    <row r="367" spans="1:7" x14ac:dyDescent="0.25">
      <c r="A367" s="37">
        <v>44287</v>
      </c>
      <c r="B367" s="362" t="s">
        <v>239</v>
      </c>
      <c r="C367" s="39" t="s">
        <v>35</v>
      </c>
      <c r="D367" s="23" t="s">
        <v>16</v>
      </c>
      <c r="E367" s="82">
        <v>8300000</v>
      </c>
      <c r="F367" s="115">
        <v>14000000</v>
      </c>
      <c r="G367" s="23" t="s">
        <v>146</v>
      </c>
    </row>
    <row r="368" spans="1:7" x14ac:dyDescent="0.25">
      <c r="A368" s="37">
        <v>44287</v>
      </c>
      <c r="B368" s="362" t="s">
        <v>239</v>
      </c>
      <c r="C368" s="26" t="s">
        <v>38</v>
      </c>
      <c r="D368" s="23" t="s">
        <v>16</v>
      </c>
      <c r="E368" s="82">
        <v>1300000</v>
      </c>
      <c r="F368" s="115">
        <v>14000000</v>
      </c>
      <c r="G368" s="23" t="s">
        <v>146</v>
      </c>
    </row>
    <row r="369" spans="1:7" x14ac:dyDescent="0.25">
      <c r="A369" s="37">
        <v>44287</v>
      </c>
      <c r="B369" s="362" t="s">
        <v>239</v>
      </c>
      <c r="C369" s="18" t="s">
        <v>15</v>
      </c>
      <c r="D369" s="23" t="s">
        <v>17</v>
      </c>
      <c r="E369" s="68">
        <v>19150000</v>
      </c>
      <c r="F369" s="63">
        <v>17000000</v>
      </c>
      <c r="G369" s="23" t="s">
        <v>146</v>
      </c>
    </row>
    <row r="370" spans="1:7" x14ac:dyDescent="0.25">
      <c r="A370" s="37">
        <v>44287</v>
      </c>
      <c r="B370" s="362" t="s">
        <v>239</v>
      </c>
      <c r="C370" s="22" t="s">
        <v>26</v>
      </c>
      <c r="D370" s="23" t="s">
        <v>17</v>
      </c>
      <c r="E370" s="116">
        <v>20420000</v>
      </c>
      <c r="F370" s="63">
        <v>17000000</v>
      </c>
      <c r="G370" s="23" t="s">
        <v>146</v>
      </c>
    </row>
    <row r="371" spans="1:7" x14ac:dyDescent="0.25">
      <c r="A371" s="37">
        <v>44287</v>
      </c>
      <c r="B371" s="362" t="s">
        <v>239</v>
      </c>
      <c r="C371" s="51" t="s">
        <v>33</v>
      </c>
      <c r="D371" s="23" t="s">
        <v>17</v>
      </c>
      <c r="E371" s="83">
        <v>8750000</v>
      </c>
      <c r="F371" s="81">
        <v>17000000</v>
      </c>
      <c r="G371" s="23" t="s">
        <v>146</v>
      </c>
    </row>
    <row r="372" spans="1:7" x14ac:dyDescent="0.25">
      <c r="A372" s="37">
        <v>44287</v>
      </c>
      <c r="B372" s="362" t="s">
        <v>239</v>
      </c>
      <c r="C372" s="50" t="s">
        <v>36</v>
      </c>
      <c r="D372" s="23" t="s">
        <v>17</v>
      </c>
      <c r="E372" s="66">
        <v>6150000</v>
      </c>
      <c r="F372" s="81">
        <v>17000000</v>
      </c>
      <c r="G372" s="23" t="s">
        <v>146</v>
      </c>
    </row>
    <row r="373" spans="1:7" x14ac:dyDescent="0.25">
      <c r="A373" s="37">
        <v>44287</v>
      </c>
      <c r="B373" s="362" t="s">
        <v>239</v>
      </c>
      <c r="C373" s="50" t="s">
        <v>37</v>
      </c>
      <c r="D373" s="23" t="s">
        <v>17</v>
      </c>
      <c r="E373" s="66">
        <v>4530000</v>
      </c>
      <c r="F373" s="81">
        <v>17000000</v>
      </c>
      <c r="G373" s="23" t="s">
        <v>146</v>
      </c>
    </row>
    <row r="374" spans="1:7" x14ac:dyDescent="0.25">
      <c r="A374" s="37">
        <v>44317</v>
      </c>
      <c r="B374" s="362" t="s">
        <v>240</v>
      </c>
      <c r="C374" s="23" t="s">
        <v>7</v>
      </c>
      <c r="D374" s="23" t="s">
        <v>4</v>
      </c>
      <c r="E374" s="77">
        <v>78659793</v>
      </c>
      <c r="F374" s="112">
        <v>66000000</v>
      </c>
      <c r="G374" s="23" t="s">
        <v>146</v>
      </c>
    </row>
    <row r="375" spans="1:7" x14ac:dyDescent="0.25">
      <c r="A375" s="37">
        <v>44317</v>
      </c>
      <c r="B375" s="362" t="s">
        <v>240</v>
      </c>
      <c r="C375" s="18" t="s">
        <v>6</v>
      </c>
      <c r="D375" s="23" t="s">
        <v>16</v>
      </c>
      <c r="E375" s="110">
        <v>15719793</v>
      </c>
      <c r="F375" s="63">
        <v>16000000</v>
      </c>
      <c r="G375" s="23" t="s">
        <v>146</v>
      </c>
    </row>
    <row r="376" spans="1:7" x14ac:dyDescent="0.25">
      <c r="A376" s="37">
        <v>44317</v>
      </c>
      <c r="B376" s="362" t="s">
        <v>240</v>
      </c>
      <c r="C376" s="18" t="s">
        <v>10</v>
      </c>
      <c r="D376" s="23" t="s">
        <v>16</v>
      </c>
      <c r="E376" s="66">
        <v>3000000</v>
      </c>
      <c r="F376" s="63">
        <v>16000000</v>
      </c>
      <c r="G376" s="23" t="s">
        <v>146</v>
      </c>
    </row>
    <row r="377" spans="1:7" x14ac:dyDescent="0.25">
      <c r="A377" s="37">
        <v>44317</v>
      </c>
      <c r="B377" s="362" t="s">
        <v>240</v>
      </c>
      <c r="C377" s="18" t="s">
        <v>11</v>
      </c>
      <c r="D377" s="23" t="s">
        <v>16</v>
      </c>
      <c r="E377" s="66">
        <v>13480000</v>
      </c>
      <c r="F377" s="63">
        <v>16000000</v>
      </c>
      <c r="G377" s="23" t="s">
        <v>146</v>
      </c>
    </row>
    <row r="378" spans="1:7" x14ac:dyDescent="0.25">
      <c r="A378" s="37">
        <v>44317</v>
      </c>
      <c r="B378" s="362" t="s">
        <v>240</v>
      </c>
      <c r="C378" s="250" t="s">
        <v>30</v>
      </c>
      <c r="D378" s="23" t="s">
        <v>16</v>
      </c>
      <c r="E378" s="82">
        <v>12660000</v>
      </c>
      <c r="F378" s="81">
        <v>16000000</v>
      </c>
      <c r="G378" s="23" t="s">
        <v>146</v>
      </c>
    </row>
    <row r="379" spans="1:7" x14ac:dyDescent="0.25">
      <c r="A379" s="37">
        <v>44317</v>
      </c>
      <c r="B379" s="362" t="s">
        <v>240</v>
      </c>
      <c r="C379" s="50" t="s">
        <v>39</v>
      </c>
      <c r="D379" s="23" t="s">
        <v>16</v>
      </c>
      <c r="E379" s="82">
        <v>7650000</v>
      </c>
      <c r="F379" s="67">
        <v>14000000</v>
      </c>
      <c r="G379" s="23" t="s">
        <v>146</v>
      </c>
    </row>
    <row r="380" spans="1:7" x14ac:dyDescent="0.25">
      <c r="A380" s="37">
        <v>44317</v>
      </c>
      <c r="B380" s="362" t="s">
        <v>240</v>
      </c>
      <c r="C380" s="50" t="s">
        <v>40</v>
      </c>
      <c r="D380" s="23" t="s">
        <v>16</v>
      </c>
      <c r="E380" s="82">
        <v>2550000</v>
      </c>
      <c r="F380" s="67">
        <v>16000000</v>
      </c>
      <c r="G380" s="23" t="s">
        <v>146</v>
      </c>
    </row>
    <row r="381" spans="1:7" x14ac:dyDescent="0.25">
      <c r="A381" s="37">
        <v>44317</v>
      </c>
      <c r="B381" s="362" t="s">
        <v>240</v>
      </c>
      <c r="C381" s="51" t="s">
        <v>41</v>
      </c>
      <c r="D381" s="23" t="s">
        <v>16</v>
      </c>
      <c r="E381" s="82">
        <v>7240000</v>
      </c>
      <c r="F381" s="115">
        <v>14000000</v>
      </c>
      <c r="G381" s="23" t="s">
        <v>146</v>
      </c>
    </row>
    <row r="382" spans="1:7" x14ac:dyDescent="0.25">
      <c r="A382" s="37">
        <v>44317</v>
      </c>
      <c r="B382" s="362" t="s">
        <v>240</v>
      </c>
      <c r="C382" s="18" t="s">
        <v>15</v>
      </c>
      <c r="D382" s="23" t="s">
        <v>17</v>
      </c>
      <c r="E382" s="69">
        <v>21210000</v>
      </c>
      <c r="F382" s="63">
        <v>17000000</v>
      </c>
      <c r="G382" s="23" t="s">
        <v>146</v>
      </c>
    </row>
    <row r="383" spans="1:7" x14ac:dyDescent="0.25">
      <c r="A383" s="37">
        <v>44317</v>
      </c>
      <c r="B383" s="362" t="s">
        <v>240</v>
      </c>
      <c r="C383" s="22" t="s">
        <v>26</v>
      </c>
      <c r="D383" s="23" t="s">
        <v>17</v>
      </c>
      <c r="E383" s="73">
        <v>25340000</v>
      </c>
      <c r="F383" s="63">
        <v>17000000</v>
      </c>
      <c r="G383" s="23" t="s">
        <v>146</v>
      </c>
    </row>
    <row r="384" spans="1:7" x14ac:dyDescent="0.25">
      <c r="A384" s="37">
        <v>44317</v>
      </c>
      <c r="B384" s="362" t="s">
        <v>240</v>
      </c>
      <c r="C384" s="51" t="s">
        <v>33</v>
      </c>
      <c r="D384" s="23" t="s">
        <v>17</v>
      </c>
      <c r="E384" s="83">
        <v>9430000</v>
      </c>
      <c r="F384" s="81">
        <v>17000000</v>
      </c>
      <c r="G384" s="23" t="s">
        <v>146</v>
      </c>
    </row>
    <row r="385" spans="1:7" x14ac:dyDescent="0.25">
      <c r="A385" s="37">
        <v>44317</v>
      </c>
      <c r="B385" s="362" t="s">
        <v>240</v>
      </c>
      <c r="C385" s="50" t="s">
        <v>36</v>
      </c>
      <c r="D385" s="23" t="s">
        <v>17</v>
      </c>
      <c r="E385" s="66">
        <v>10150000</v>
      </c>
      <c r="F385" s="81">
        <v>17000000</v>
      </c>
      <c r="G385" s="23" t="s">
        <v>146</v>
      </c>
    </row>
    <row r="386" spans="1:7" x14ac:dyDescent="0.25">
      <c r="A386" s="37">
        <v>44317</v>
      </c>
      <c r="B386" s="362" t="s">
        <v>240</v>
      </c>
      <c r="C386" s="50" t="s">
        <v>37</v>
      </c>
      <c r="D386" s="23" t="s">
        <v>17</v>
      </c>
      <c r="E386" s="66">
        <v>10629793</v>
      </c>
      <c r="F386" s="81">
        <v>17000000</v>
      </c>
      <c r="G386" s="23" t="s">
        <v>146</v>
      </c>
    </row>
    <row r="387" spans="1:7" x14ac:dyDescent="0.25">
      <c r="A387" s="37">
        <v>44317</v>
      </c>
      <c r="B387" s="362" t="s">
        <v>240</v>
      </c>
      <c r="C387" s="51" t="s">
        <v>42</v>
      </c>
      <c r="D387" s="23" t="s">
        <v>17</v>
      </c>
      <c r="E387" s="83">
        <v>2200000</v>
      </c>
      <c r="F387" s="117">
        <v>17000000</v>
      </c>
      <c r="G387" s="23" t="s">
        <v>146</v>
      </c>
    </row>
    <row r="388" spans="1:7" x14ac:dyDescent="0.25">
      <c r="A388" s="37">
        <v>44348</v>
      </c>
      <c r="B388" s="362" t="s">
        <v>241</v>
      </c>
      <c r="C388" s="23" t="s">
        <v>7</v>
      </c>
      <c r="D388" s="23" t="s">
        <v>4</v>
      </c>
      <c r="E388" s="118">
        <v>90967000</v>
      </c>
      <c r="F388" s="112">
        <v>66000000</v>
      </c>
      <c r="G388" s="23" t="s">
        <v>146</v>
      </c>
    </row>
    <row r="389" spans="1:7" x14ac:dyDescent="0.25">
      <c r="A389" s="37">
        <v>44348</v>
      </c>
      <c r="B389" s="362" t="s">
        <v>241</v>
      </c>
      <c r="C389" s="18" t="s">
        <v>6</v>
      </c>
      <c r="D389" s="23" t="s">
        <v>16</v>
      </c>
      <c r="E389" s="84">
        <v>9300000</v>
      </c>
      <c r="F389" s="63">
        <v>16000000</v>
      </c>
      <c r="G389" s="23" t="s">
        <v>146</v>
      </c>
    </row>
    <row r="390" spans="1:7" x14ac:dyDescent="0.25">
      <c r="A390" s="37">
        <v>44348</v>
      </c>
      <c r="B390" s="362" t="s">
        <v>241</v>
      </c>
      <c r="C390" s="18" t="s">
        <v>11</v>
      </c>
      <c r="D390" s="23" t="s">
        <v>16</v>
      </c>
      <c r="E390" s="110">
        <v>21820000</v>
      </c>
      <c r="F390" s="63">
        <v>16000000</v>
      </c>
      <c r="G390" s="23" t="s">
        <v>146</v>
      </c>
    </row>
    <row r="391" spans="1:7" x14ac:dyDescent="0.25">
      <c r="A391" s="37">
        <v>44348</v>
      </c>
      <c r="B391" s="362" t="s">
        <v>241</v>
      </c>
      <c r="C391" s="250" t="s">
        <v>30</v>
      </c>
      <c r="D391" s="23" t="s">
        <v>16</v>
      </c>
      <c r="E391" s="111">
        <v>21067000</v>
      </c>
      <c r="F391" s="81">
        <v>16000000</v>
      </c>
      <c r="G391" s="23" t="s">
        <v>146</v>
      </c>
    </row>
    <row r="392" spans="1:7" x14ac:dyDescent="0.25">
      <c r="A392" s="37">
        <v>44348</v>
      </c>
      <c r="B392" s="362" t="s">
        <v>241</v>
      </c>
      <c r="C392" s="39" t="s">
        <v>35</v>
      </c>
      <c r="D392" s="23" t="s">
        <v>16</v>
      </c>
      <c r="E392" s="82">
        <v>8700000</v>
      </c>
      <c r="F392" s="115">
        <v>14000000</v>
      </c>
      <c r="G392" s="23" t="s">
        <v>146</v>
      </c>
    </row>
    <row r="393" spans="1:7" x14ac:dyDescent="0.25">
      <c r="A393" s="37">
        <v>44348</v>
      </c>
      <c r="B393" s="362" t="s">
        <v>241</v>
      </c>
      <c r="C393" s="50" t="s">
        <v>39</v>
      </c>
      <c r="D393" s="23" t="s">
        <v>16</v>
      </c>
      <c r="E393" s="82">
        <v>4600000</v>
      </c>
      <c r="F393" s="67">
        <v>14000000</v>
      </c>
      <c r="G393" s="23" t="s">
        <v>146</v>
      </c>
    </row>
    <row r="394" spans="1:7" x14ac:dyDescent="0.25">
      <c r="A394" s="37">
        <v>44348</v>
      </c>
      <c r="B394" s="362" t="s">
        <v>241</v>
      </c>
      <c r="C394" s="50" t="s">
        <v>43</v>
      </c>
      <c r="D394" s="23" t="s">
        <v>16</v>
      </c>
      <c r="E394" s="82">
        <v>10400000</v>
      </c>
      <c r="F394" s="115">
        <v>14000000</v>
      </c>
      <c r="G394" s="23" t="s">
        <v>146</v>
      </c>
    </row>
    <row r="395" spans="1:7" x14ac:dyDescent="0.25">
      <c r="A395" s="37">
        <v>44348</v>
      </c>
      <c r="B395" s="362" t="s">
        <v>241</v>
      </c>
      <c r="C395" s="50" t="s">
        <v>40</v>
      </c>
      <c r="D395" s="23" t="s">
        <v>16</v>
      </c>
      <c r="E395" s="107">
        <v>11430000</v>
      </c>
      <c r="F395" s="67">
        <v>16000000</v>
      </c>
      <c r="G395" s="23" t="s">
        <v>146</v>
      </c>
    </row>
    <row r="396" spans="1:7" x14ac:dyDescent="0.25">
      <c r="A396" s="37">
        <v>44348</v>
      </c>
      <c r="B396" s="362" t="s">
        <v>241</v>
      </c>
      <c r="C396" s="18" t="s">
        <v>15</v>
      </c>
      <c r="D396" s="23" t="s">
        <v>17</v>
      </c>
      <c r="E396" s="69">
        <v>15350000</v>
      </c>
      <c r="F396" s="63">
        <v>17000000</v>
      </c>
      <c r="G396" s="23" t="s">
        <v>146</v>
      </c>
    </row>
    <row r="397" spans="1:7" x14ac:dyDescent="0.25">
      <c r="A397" s="37">
        <v>44348</v>
      </c>
      <c r="B397" s="362" t="s">
        <v>241</v>
      </c>
      <c r="C397" s="22" t="s">
        <v>26</v>
      </c>
      <c r="D397" s="23" t="s">
        <v>17</v>
      </c>
      <c r="E397" s="116">
        <v>15850000</v>
      </c>
      <c r="F397" s="63">
        <v>17000000</v>
      </c>
      <c r="G397" s="23" t="s">
        <v>146</v>
      </c>
    </row>
    <row r="398" spans="1:7" x14ac:dyDescent="0.25">
      <c r="A398" s="37">
        <v>44348</v>
      </c>
      <c r="B398" s="362" t="s">
        <v>241</v>
      </c>
      <c r="C398" s="51" t="s">
        <v>33</v>
      </c>
      <c r="D398" s="23" t="s">
        <v>17</v>
      </c>
      <c r="E398" s="117">
        <v>18700000</v>
      </c>
      <c r="F398" s="81">
        <v>17000000</v>
      </c>
      <c r="G398" s="23" t="s">
        <v>146</v>
      </c>
    </row>
    <row r="399" spans="1:7" x14ac:dyDescent="0.25">
      <c r="A399" s="37">
        <v>44348</v>
      </c>
      <c r="B399" s="362" t="s">
        <v>241</v>
      </c>
      <c r="C399" s="50" t="s">
        <v>36</v>
      </c>
      <c r="D399" s="23" t="s">
        <v>17</v>
      </c>
      <c r="E399" s="66">
        <v>9850000</v>
      </c>
      <c r="F399" s="81">
        <v>17000000</v>
      </c>
      <c r="G399" s="23" t="s">
        <v>146</v>
      </c>
    </row>
    <row r="400" spans="1:7" x14ac:dyDescent="0.25">
      <c r="A400" s="37">
        <v>44348</v>
      </c>
      <c r="B400" s="362" t="s">
        <v>241</v>
      </c>
      <c r="C400" s="50" t="s">
        <v>37</v>
      </c>
      <c r="D400" s="23" t="s">
        <v>17</v>
      </c>
      <c r="E400" s="110">
        <v>25687000</v>
      </c>
      <c r="F400" s="81">
        <v>17000000</v>
      </c>
      <c r="G400" s="23" t="s">
        <v>146</v>
      </c>
    </row>
    <row r="401" spans="1:7" x14ac:dyDescent="0.25">
      <c r="A401" s="37">
        <v>44348</v>
      </c>
      <c r="B401" s="362" t="s">
        <v>241</v>
      </c>
      <c r="C401" s="51" t="s">
        <v>42</v>
      </c>
      <c r="D401" s="23" t="s">
        <v>17</v>
      </c>
      <c r="E401" s="83">
        <v>5530000</v>
      </c>
      <c r="F401" s="117">
        <v>17000000</v>
      </c>
      <c r="G401" s="23" t="s">
        <v>146</v>
      </c>
    </row>
    <row r="402" spans="1:7" x14ac:dyDescent="0.25">
      <c r="A402" s="37">
        <v>44378</v>
      </c>
      <c r="B402" s="362" t="s">
        <v>242</v>
      </c>
      <c r="C402" s="23" t="s">
        <v>7</v>
      </c>
      <c r="D402" s="23" t="s">
        <v>4</v>
      </c>
      <c r="E402" s="118">
        <v>93502999</v>
      </c>
      <c r="F402" s="112">
        <v>66000000</v>
      </c>
      <c r="G402" s="23" t="s">
        <v>146</v>
      </c>
    </row>
    <row r="403" spans="1:7" x14ac:dyDescent="0.25">
      <c r="A403" s="37">
        <v>44378</v>
      </c>
      <c r="B403" s="362" t="s">
        <v>242</v>
      </c>
      <c r="C403" s="18" t="s">
        <v>11</v>
      </c>
      <c r="D403" s="23" t="s">
        <v>16</v>
      </c>
      <c r="E403" s="110">
        <v>19380000</v>
      </c>
      <c r="F403" s="63">
        <v>16000000</v>
      </c>
      <c r="G403" s="23" t="s">
        <v>146</v>
      </c>
    </row>
    <row r="404" spans="1:7" x14ac:dyDescent="0.25">
      <c r="A404" s="37">
        <v>44378</v>
      </c>
      <c r="B404" s="362" t="s">
        <v>242</v>
      </c>
      <c r="C404" s="250" t="s">
        <v>30</v>
      </c>
      <c r="D404" s="23" t="s">
        <v>16</v>
      </c>
      <c r="E404" s="67">
        <v>25100000</v>
      </c>
      <c r="F404" s="81">
        <v>16000000</v>
      </c>
      <c r="G404" s="23" t="s">
        <v>146</v>
      </c>
    </row>
    <row r="405" spans="1:7" x14ac:dyDescent="0.25">
      <c r="A405" s="37">
        <v>44378</v>
      </c>
      <c r="B405" s="362" t="s">
        <v>242</v>
      </c>
      <c r="C405" s="39" t="s">
        <v>35</v>
      </c>
      <c r="D405" s="23" t="s">
        <v>16</v>
      </c>
      <c r="E405" s="82">
        <v>8700000</v>
      </c>
      <c r="F405" s="115">
        <v>14000000</v>
      </c>
      <c r="G405" s="23" t="s">
        <v>146</v>
      </c>
    </row>
    <row r="406" spans="1:7" x14ac:dyDescent="0.25">
      <c r="A406" s="37">
        <v>44378</v>
      </c>
      <c r="B406" s="362" t="s">
        <v>242</v>
      </c>
      <c r="C406" s="50" t="s">
        <v>39</v>
      </c>
      <c r="D406" s="23" t="s">
        <v>16</v>
      </c>
      <c r="E406" s="82">
        <v>5580000</v>
      </c>
      <c r="F406" s="67">
        <v>14000000</v>
      </c>
      <c r="G406" s="23" t="s">
        <v>146</v>
      </c>
    </row>
    <row r="407" spans="1:7" x14ac:dyDescent="0.25">
      <c r="A407" s="37">
        <v>44378</v>
      </c>
      <c r="B407" s="362" t="s">
        <v>242</v>
      </c>
      <c r="C407" s="50" t="s">
        <v>43</v>
      </c>
      <c r="D407" s="23" t="s">
        <v>16</v>
      </c>
      <c r="E407" s="119">
        <v>12250000</v>
      </c>
      <c r="F407" s="115">
        <v>14000000</v>
      </c>
      <c r="G407" s="23" t="s">
        <v>146</v>
      </c>
    </row>
    <row r="408" spans="1:7" x14ac:dyDescent="0.25">
      <c r="A408" s="37">
        <v>44378</v>
      </c>
      <c r="B408" s="362" t="s">
        <v>242</v>
      </c>
      <c r="C408" s="50" t="s">
        <v>40</v>
      </c>
      <c r="D408" s="23" t="s">
        <v>16</v>
      </c>
      <c r="E408" s="110">
        <v>16700000</v>
      </c>
      <c r="F408" s="67">
        <v>16000000</v>
      </c>
      <c r="G408" s="23" t="s">
        <v>146</v>
      </c>
    </row>
    <row r="409" spans="1:7" x14ac:dyDescent="0.25">
      <c r="A409" s="37">
        <v>44378</v>
      </c>
      <c r="B409" s="362" t="s">
        <v>242</v>
      </c>
      <c r="C409" s="18" t="s">
        <v>15</v>
      </c>
      <c r="D409" s="23" t="s">
        <v>17</v>
      </c>
      <c r="E409" s="69">
        <v>16400000</v>
      </c>
      <c r="F409" s="63">
        <v>17000000</v>
      </c>
      <c r="G409" s="23" t="s">
        <v>146</v>
      </c>
    </row>
    <row r="410" spans="1:7" x14ac:dyDescent="0.25">
      <c r="A410" s="37">
        <v>44378</v>
      </c>
      <c r="B410" s="362" t="s">
        <v>242</v>
      </c>
      <c r="C410" s="51" t="s">
        <v>33</v>
      </c>
      <c r="D410" s="23" t="s">
        <v>17</v>
      </c>
      <c r="E410" s="117">
        <v>18882999</v>
      </c>
      <c r="F410" s="81">
        <v>17000000</v>
      </c>
      <c r="G410" s="23" t="s">
        <v>146</v>
      </c>
    </row>
    <row r="411" spans="1:7" x14ac:dyDescent="0.25">
      <c r="A411" s="37">
        <v>44378</v>
      </c>
      <c r="B411" s="362" t="s">
        <v>242</v>
      </c>
      <c r="C411" s="50" t="s">
        <v>36</v>
      </c>
      <c r="D411" s="23" t="s">
        <v>17</v>
      </c>
      <c r="E411" s="66">
        <v>9600000</v>
      </c>
      <c r="F411" s="81">
        <v>17000000</v>
      </c>
      <c r="G411" s="23" t="s">
        <v>146</v>
      </c>
    </row>
    <row r="412" spans="1:7" x14ac:dyDescent="0.25">
      <c r="A412" s="37">
        <v>44378</v>
      </c>
      <c r="B412" s="362" t="s">
        <v>242</v>
      </c>
      <c r="C412" s="50" t="s">
        <v>37</v>
      </c>
      <c r="D412" s="23" t="s">
        <v>17</v>
      </c>
      <c r="E412" s="110">
        <v>28830000</v>
      </c>
      <c r="F412" s="81">
        <v>17000000</v>
      </c>
      <c r="G412" s="23" t="s">
        <v>146</v>
      </c>
    </row>
    <row r="413" spans="1:7" x14ac:dyDescent="0.25">
      <c r="A413" s="37">
        <v>44378</v>
      </c>
      <c r="B413" s="362" t="s">
        <v>242</v>
      </c>
      <c r="C413" s="51" t="s">
        <v>42</v>
      </c>
      <c r="D413" s="23" t="s">
        <v>17</v>
      </c>
      <c r="E413" s="83">
        <v>13990000</v>
      </c>
      <c r="F413" s="117">
        <v>17000000</v>
      </c>
      <c r="G413" s="23" t="s">
        <v>146</v>
      </c>
    </row>
    <row r="414" spans="1:7" x14ac:dyDescent="0.25">
      <c r="A414" s="37">
        <v>44378</v>
      </c>
      <c r="B414" s="362" t="s">
        <v>242</v>
      </c>
      <c r="C414" s="50" t="s">
        <v>44</v>
      </c>
      <c r="D414" s="23" t="s">
        <v>17</v>
      </c>
      <c r="E414" s="110">
        <v>7300000</v>
      </c>
      <c r="F414" s="117">
        <v>17000000</v>
      </c>
      <c r="G414" s="23" t="s">
        <v>146</v>
      </c>
    </row>
    <row r="415" spans="1:7" x14ac:dyDescent="0.25">
      <c r="A415" s="37">
        <v>44409</v>
      </c>
      <c r="B415" s="362" t="s">
        <v>243</v>
      </c>
      <c r="C415" s="23" t="s">
        <v>7</v>
      </c>
      <c r="D415" s="23" t="s">
        <v>4</v>
      </c>
      <c r="E415" s="77">
        <v>52570000</v>
      </c>
      <c r="F415" s="112">
        <v>66000000</v>
      </c>
      <c r="G415" s="23" t="s">
        <v>146</v>
      </c>
    </row>
    <row r="416" spans="1:7" x14ac:dyDescent="0.25">
      <c r="A416" s="37">
        <v>44409</v>
      </c>
      <c r="B416" s="362" t="s">
        <v>243</v>
      </c>
      <c r="C416" s="18" t="s">
        <v>11</v>
      </c>
      <c r="D416" s="23" t="s">
        <v>16</v>
      </c>
      <c r="E416" s="66">
        <v>0</v>
      </c>
      <c r="F416" s="63">
        <v>16000000</v>
      </c>
      <c r="G416" s="23" t="s">
        <v>146</v>
      </c>
    </row>
    <row r="417" spans="1:7" x14ac:dyDescent="0.25">
      <c r="A417" s="37">
        <v>44409</v>
      </c>
      <c r="B417" s="362" t="s">
        <v>243</v>
      </c>
      <c r="C417" s="250" t="s">
        <v>30</v>
      </c>
      <c r="D417" s="23" t="s">
        <v>16</v>
      </c>
      <c r="E417" s="111">
        <v>16050000</v>
      </c>
      <c r="F417" s="81">
        <v>16000000</v>
      </c>
      <c r="G417" s="23" t="s">
        <v>146</v>
      </c>
    </row>
    <row r="418" spans="1:7" x14ac:dyDescent="0.25">
      <c r="A418" s="37">
        <v>44409</v>
      </c>
      <c r="B418" s="362" t="s">
        <v>243</v>
      </c>
      <c r="C418" s="39" t="s">
        <v>35</v>
      </c>
      <c r="D418" s="23" t="s">
        <v>16</v>
      </c>
      <c r="E418" s="82">
        <v>980000</v>
      </c>
      <c r="F418" s="115">
        <v>14000000</v>
      </c>
      <c r="G418" s="23" t="s">
        <v>146</v>
      </c>
    </row>
    <row r="419" spans="1:7" x14ac:dyDescent="0.25">
      <c r="A419" s="37">
        <v>44409</v>
      </c>
      <c r="B419" s="362" t="s">
        <v>243</v>
      </c>
      <c r="C419" s="50" t="s">
        <v>39</v>
      </c>
      <c r="D419" s="23" t="s">
        <v>16</v>
      </c>
      <c r="E419" s="82">
        <v>2676900</v>
      </c>
      <c r="F419" s="67">
        <v>14000000</v>
      </c>
      <c r="G419" s="23" t="s">
        <v>146</v>
      </c>
    </row>
    <row r="420" spans="1:7" x14ac:dyDescent="0.25">
      <c r="A420" s="37">
        <v>44409</v>
      </c>
      <c r="B420" s="362" t="s">
        <v>243</v>
      </c>
      <c r="C420" s="50" t="s">
        <v>43</v>
      </c>
      <c r="D420" s="23" t="s">
        <v>16</v>
      </c>
      <c r="E420" s="120">
        <v>18290000</v>
      </c>
      <c r="F420" s="115">
        <v>14000000</v>
      </c>
      <c r="G420" s="23" t="s">
        <v>146</v>
      </c>
    </row>
    <row r="421" spans="1:7" x14ac:dyDescent="0.25">
      <c r="A421" s="37">
        <v>44409</v>
      </c>
      <c r="B421" s="362" t="s">
        <v>243</v>
      </c>
      <c r="C421" s="50" t="s">
        <v>40</v>
      </c>
      <c r="D421" s="23" t="s">
        <v>16</v>
      </c>
      <c r="E421" s="110">
        <v>11190000</v>
      </c>
      <c r="F421" s="67">
        <v>16000000</v>
      </c>
      <c r="G421" s="23" t="s">
        <v>146</v>
      </c>
    </row>
    <row r="422" spans="1:7" x14ac:dyDescent="0.25">
      <c r="A422" s="37">
        <v>44409</v>
      </c>
      <c r="B422" s="362" t="s">
        <v>243</v>
      </c>
      <c r="C422" s="18" t="s">
        <v>15</v>
      </c>
      <c r="D422" s="23" t="s">
        <v>17</v>
      </c>
      <c r="E422" s="79">
        <v>10120000</v>
      </c>
      <c r="F422" s="63">
        <v>17000000</v>
      </c>
      <c r="G422" s="23" t="s">
        <v>146</v>
      </c>
    </row>
    <row r="423" spans="1:7" x14ac:dyDescent="0.25">
      <c r="A423" s="37">
        <v>44409</v>
      </c>
      <c r="B423" s="362" t="s">
        <v>243</v>
      </c>
      <c r="C423" s="51" t="s">
        <v>33</v>
      </c>
      <c r="D423" s="23" t="s">
        <v>17</v>
      </c>
      <c r="E423" s="66">
        <v>8030000</v>
      </c>
      <c r="F423" s="81">
        <v>17000000</v>
      </c>
      <c r="G423" s="23" t="s">
        <v>146</v>
      </c>
    </row>
    <row r="424" spans="1:7" x14ac:dyDescent="0.25">
      <c r="A424" s="37">
        <v>44409</v>
      </c>
      <c r="B424" s="362" t="s">
        <v>243</v>
      </c>
      <c r="C424" s="50" t="s">
        <v>37</v>
      </c>
      <c r="D424" s="23" t="s">
        <v>17</v>
      </c>
      <c r="E424" s="110">
        <v>15190000</v>
      </c>
      <c r="F424" s="81">
        <v>17000000</v>
      </c>
      <c r="G424" s="23" t="s">
        <v>146</v>
      </c>
    </row>
    <row r="425" spans="1:7" x14ac:dyDescent="0.25">
      <c r="A425" s="37">
        <v>44409</v>
      </c>
      <c r="B425" s="362" t="s">
        <v>243</v>
      </c>
      <c r="C425" s="51" t="s">
        <v>42</v>
      </c>
      <c r="D425" s="23" t="s">
        <v>17</v>
      </c>
      <c r="E425" s="83">
        <v>7230000</v>
      </c>
      <c r="F425" s="117">
        <v>17000000</v>
      </c>
      <c r="G425" s="23" t="s">
        <v>146</v>
      </c>
    </row>
    <row r="426" spans="1:7" x14ac:dyDescent="0.25">
      <c r="A426" s="37">
        <v>44409</v>
      </c>
      <c r="B426" s="362" t="s">
        <v>243</v>
      </c>
      <c r="C426" s="50" t="s">
        <v>45</v>
      </c>
      <c r="D426" s="23" t="s">
        <v>17</v>
      </c>
      <c r="E426" s="66">
        <v>7250000</v>
      </c>
      <c r="F426" s="117">
        <v>17000000</v>
      </c>
      <c r="G426" s="23" t="s">
        <v>146</v>
      </c>
    </row>
    <row r="427" spans="1:7" x14ac:dyDescent="0.25">
      <c r="A427" s="37">
        <v>44409</v>
      </c>
      <c r="B427" s="362" t="s">
        <v>243</v>
      </c>
      <c r="C427" s="50" t="s">
        <v>46</v>
      </c>
      <c r="D427" s="23" t="s">
        <v>17</v>
      </c>
      <c r="E427" s="66">
        <v>5400000</v>
      </c>
      <c r="F427" s="117">
        <v>17000000</v>
      </c>
      <c r="G427" s="23" t="s">
        <v>146</v>
      </c>
    </row>
    <row r="428" spans="1:7" x14ac:dyDescent="0.25">
      <c r="A428" s="37">
        <v>44409</v>
      </c>
      <c r="B428" s="362" t="s">
        <v>243</v>
      </c>
      <c r="C428" s="50" t="s">
        <v>47</v>
      </c>
      <c r="D428" s="23" t="s">
        <v>17</v>
      </c>
      <c r="E428" s="66">
        <v>1800000</v>
      </c>
      <c r="F428" s="117">
        <v>17000000</v>
      </c>
      <c r="G428" s="23" t="s">
        <v>146</v>
      </c>
    </row>
    <row r="429" spans="1:7" x14ac:dyDescent="0.25">
      <c r="A429" s="37">
        <v>44440</v>
      </c>
      <c r="B429" s="362" t="s">
        <v>244</v>
      </c>
      <c r="C429" s="23" t="s">
        <v>7</v>
      </c>
      <c r="D429" s="23" t="s">
        <v>4</v>
      </c>
      <c r="E429" s="118">
        <v>91984830</v>
      </c>
      <c r="F429" s="112">
        <v>66000000</v>
      </c>
      <c r="G429" s="23" t="s">
        <v>146</v>
      </c>
    </row>
    <row r="430" spans="1:7" x14ac:dyDescent="0.25">
      <c r="A430" s="37">
        <v>44440</v>
      </c>
      <c r="B430" s="362" t="s">
        <v>244</v>
      </c>
      <c r="C430" s="18" t="s">
        <v>11</v>
      </c>
      <c r="D430" s="23" t="s">
        <v>16</v>
      </c>
      <c r="E430" s="110">
        <v>17400000</v>
      </c>
      <c r="F430" s="63">
        <v>16000000</v>
      </c>
      <c r="G430" s="23" t="s">
        <v>146</v>
      </c>
    </row>
    <row r="431" spans="1:7" x14ac:dyDescent="0.25">
      <c r="A431" s="37">
        <v>44440</v>
      </c>
      <c r="B431" s="362" t="s">
        <v>244</v>
      </c>
      <c r="C431" s="250" t="s">
        <v>30</v>
      </c>
      <c r="D431" s="23" t="s">
        <v>16</v>
      </c>
      <c r="E431" s="109">
        <v>14250000</v>
      </c>
      <c r="F431" s="81">
        <v>16000000</v>
      </c>
      <c r="G431" s="23" t="s">
        <v>146</v>
      </c>
    </row>
    <row r="432" spans="1:7" x14ac:dyDescent="0.25">
      <c r="A432" s="37">
        <v>44440</v>
      </c>
      <c r="B432" s="362" t="s">
        <v>244</v>
      </c>
      <c r="C432" s="50" t="s">
        <v>39</v>
      </c>
      <c r="D432" s="23" t="s">
        <v>16</v>
      </c>
      <c r="E432" s="107">
        <v>4780000</v>
      </c>
      <c r="F432" s="67">
        <v>14000000</v>
      </c>
      <c r="G432" s="23" t="s">
        <v>146</v>
      </c>
    </row>
    <row r="433" spans="1:7" x14ac:dyDescent="0.25">
      <c r="A433" s="37">
        <v>44440</v>
      </c>
      <c r="B433" s="362" t="s">
        <v>244</v>
      </c>
      <c r="C433" s="50" t="s">
        <v>43</v>
      </c>
      <c r="D433" s="23" t="s">
        <v>16</v>
      </c>
      <c r="E433" s="109">
        <v>23370000</v>
      </c>
      <c r="F433" s="115">
        <v>14000000</v>
      </c>
      <c r="G433" s="23" t="s">
        <v>146</v>
      </c>
    </row>
    <row r="434" spans="1:7" x14ac:dyDescent="0.25">
      <c r="A434" s="37">
        <v>44440</v>
      </c>
      <c r="B434" s="362" t="s">
        <v>244</v>
      </c>
      <c r="C434" s="50" t="s">
        <v>40</v>
      </c>
      <c r="D434" s="23" t="s">
        <v>16</v>
      </c>
      <c r="E434" s="107">
        <v>12930000</v>
      </c>
      <c r="F434" s="67">
        <v>16000000</v>
      </c>
      <c r="G434" s="23" t="s">
        <v>146</v>
      </c>
    </row>
    <row r="435" spans="1:7" x14ac:dyDescent="0.25">
      <c r="A435" s="37">
        <v>44440</v>
      </c>
      <c r="B435" s="362" t="s">
        <v>244</v>
      </c>
      <c r="C435" s="26" t="s">
        <v>48</v>
      </c>
      <c r="D435" s="23" t="s">
        <v>16</v>
      </c>
      <c r="E435" s="107">
        <v>780000</v>
      </c>
      <c r="F435" s="115">
        <v>14000000</v>
      </c>
      <c r="G435" s="23" t="s">
        <v>146</v>
      </c>
    </row>
    <row r="436" spans="1:7" x14ac:dyDescent="0.25">
      <c r="A436" s="37">
        <v>44440</v>
      </c>
      <c r="B436" s="362" t="s">
        <v>244</v>
      </c>
      <c r="C436" s="26" t="s">
        <v>49</v>
      </c>
      <c r="D436" s="23" t="s">
        <v>16</v>
      </c>
      <c r="E436" s="107">
        <v>3980000</v>
      </c>
      <c r="F436" s="115">
        <v>14000000</v>
      </c>
      <c r="G436" s="23" t="s">
        <v>146</v>
      </c>
    </row>
    <row r="437" spans="1:7" x14ac:dyDescent="0.25">
      <c r="A437" s="37">
        <v>44440</v>
      </c>
      <c r="B437" s="362" t="s">
        <v>244</v>
      </c>
      <c r="C437" s="26" t="s">
        <v>50</v>
      </c>
      <c r="D437" s="23" t="s">
        <v>16</v>
      </c>
      <c r="E437" s="107">
        <v>1850000</v>
      </c>
      <c r="F437" s="115">
        <v>14000000</v>
      </c>
      <c r="G437" s="23" t="s">
        <v>146</v>
      </c>
    </row>
    <row r="438" spans="1:7" x14ac:dyDescent="0.25">
      <c r="A438" s="37">
        <v>44440</v>
      </c>
      <c r="B438" s="362" t="s">
        <v>244</v>
      </c>
      <c r="C438" s="18" t="s">
        <v>15</v>
      </c>
      <c r="D438" s="23" t="s">
        <v>17</v>
      </c>
      <c r="E438" s="104">
        <v>1880000</v>
      </c>
      <c r="F438" s="63">
        <v>17000000</v>
      </c>
      <c r="G438" s="23" t="s">
        <v>146</v>
      </c>
    </row>
    <row r="439" spans="1:7" x14ac:dyDescent="0.25">
      <c r="A439" s="37">
        <v>44440</v>
      </c>
      <c r="B439" s="362" t="s">
        <v>244</v>
      </c>
      <c r="C439" s="51" t="s">
        <v>33</v>
      </c>
      <c r="D439" s="23" t="s">
        <v>17</v>
      </c>
      <c r="E439" s="121">
        <v>15620000</v>
      </c>
      <c r="F439" s="81">
        <v>17000000</v>
      </c>
      <c r="G439" s="23" t="s">
        <v>146</v>
      </c>
    </row>
    <row r="440" spans="1:7" x14ac:dyDescent="0.25">
      <c r="A440" s="37">
        <v>44440</v>
      </c>
      <c r="B440" s="362" t="s">
        <v>244</v>
      </c>
      <c r="C440" s="50" t="s">
        <v>37</v>
      </c>
      <c r="D440" s="23" t="s">
        <v>17</v>
      </c>
      <c r="E440" s="110">
        <v>22100000</v>
      </c>
      <c r="F440" s="81">
        <v>17000000</v>
      </c>
      <c r="G440" s="23" t="s">
        <v>146</v>
      </c>
    </row>
    <row r="441" spans="1:7" x14ac:dyDescent="0.25">
      <c r="A441" s="37">
        <v>44440</v>
      </c>
      <c r="B441" s="362" t="s">
        <v>244</v>
      </c>
      <c r="C441" s="51" t="s">
        <v>42</v>
      </c>
      <c r="D441" s="23" t="s">
        <v>17</v>
      </c>
      <c r="E441" s="117">
        <v>15730000</v>
      </c>
      <c r="F441" s="117">
        <v>17000000</v>
      </c>
      <c r="G441" s="23" t="s">
        <v>146</v>
      </c>
    </row>
    <row r="442" spans="1:7" x14ac:dyDescent="0.25">
      <c r="A442" s="37">
        <v>44440</v>
      </c>
      <c r="B442" s="362" t="s">
        <v>244</v>
      </c>
      <c r="C442" s="50" t="s">
        <v>45</v>
      </c>
      <c r="D442" s="23" t="s">
        <v>17</v>
      </c>
      <c r="E442" s="66">
        <v>10454000</v>
      </c>
      <c r="F442" s="117">
        <v>17000000</v>
      </c>
      <c r="G442" s="23" t="s">
        <v>146</v>
      </c>
    </row>
    <row r="443" spans="1:7" x14ac:dyDescent="0.25">
      <c r="A443" s="37">
        <v>44440</v>
      </c>
      <c r="B443" s="362" t="s">
        <v>244</v>
      </c>
      <c r="C443" s="50" t="s">
        <v>46</v>
      </c>
      <c r="D443" s="23" t="s">
        <v>17</v>
      </c>
      <c r="E443" s="66">
        <v>11350000</v>
      </c>
      <c r="F443" s="117">
        <v>17000000</v>
      </c>
      <c r="G443" s="23" t="s">
        <v>146</v>
      </c>
    </row>
    <row r="444" spans="1:7" x14ac:dyDescent="0.25">
      <c r="A444" s="37">
        <v>44440</v>
      </c>
      <c r="B444" s="362" t="s">
        <v>244</v>
      </c>
      <c r="C444" s="50" t="s">
        <v>47</v>
      </c>
      <c r="D444" s="23" t="s">
        <v>17</v>
      </c>
      <c r="E444" s="66">
        <v>14850000</v>
      </c>
      <c r="F444" s="117">
        <v>17000000</v>
      </c>
      <c r="G444" s="23" t="s">
        <v>146</v>
      </c>
    </row>
    <row r="445" spans="1:7" x14ac:dyDescent="0.25">
      <c r="A445" s="37">
        <v>44470</v>
      </c>
      <c r="B445" s="362" t="s">
        <v>245</v>
      </c>
      <c r="C445" s="23" t="s">
        <v>7</v>
      </c>
      <c r="D445" s="23" t="s">
        <v>4</v>
      </c>
      <c r="E445" s="118">
        <v>80630000</v>
      </c>
      <c r="F445" s="112">
        <v>66000000</v>
      </c>
      <c r="G445" s="23" t="s">
        <v>146</v>
      </c>
    </row>
    <row r="446" spans="1:7" x14ac:dyDescent="0.25">
      <c r="A446" s="37">
        <v>44470</v>
      </c>
      <c r="B446" s="362" t="s">
        <v>245</v>
      </c>
      <c r="C446" s="18" t="s">
        <v>11</v>
      </c>
      <c r="D446" s="23" t="s">
        <v>16</v>
      </c>
      <c r="E446" s="85">
        <v>10780000</v>
      </c>
      <c r="F446" s="63">
        <v>16000000</v>
      </c>
      <c r="G446" s="23" t="s">
        <v>146</v>
      </c>
    </row>
    <row r="447" spans="1:7" x14ac:dyDescent="0.25">
      <c r="A447" s="37">
        <v>44470</v>
      </c>
      <c r="B447" s="362" t="s">
        <v>245</v>
      </c>
      <c r="C447" s="250" t="s">
        <v>30</v>
      </c>
      <c r="D447" s="23" t="s">
        <v>16</v>
      </c>
      <c r="E447" s="110">
        <v>10300000</v>
      </c>
      <c r="F447" s="81">
        <v>16000000</v>
      </c>
      <c r="G447" s="23" t="s">
        <v>146</v>
      </c>
    </row>
    <row r="448" spans="1:7" x14ac:dyDescent="0.25">
      <c r="A448" s="37">
        <v>44470</v>
      </c>
      <c r="B448" s="362" t="s">
        <v>245</v>
      </c>
      <c r="C448" s="39" t="s">
        <v>35</v>
      </c>
      <c r="D448" s="23" t="s">
        <v>16</v>
      </c>
      <c r="E448" s="110">
        <v>14600000</v>
      </c>
      <c r="F448" s="115">
        <v>14000000</v>
      </c>
      <c r="G448" s="23" t="s">
        <v>146</v>
      </c>
    </row>
    <row r="449" spans="1:7" x14ac:dyDescent="0.25">
      <c r="A449" s="37">
        <v>44470</v>
      </c>
      <c r="B449" s="362" t="s">
        <v>245</v>
      </c>
      <c r="C449" s="50" t="s">
        <v>43</v>
      </c>
      <c r="D449" s="23" t="s">
        <v>16</v>
      </c>
      <c r="E449" s="110">
        <v>11030000</v>
      </c>
      <c r="F449" s="115">
        <v>14000000</v>
      </c>
      <c r="G449" s="23" t="s">
        <v>146</v>
      </c>
    </row>
    <row r="450" spans="1:7" x14ac:dyDescent="0.25">
      <c r="A450" s="37">
        <v>44470</v>
      </c>
      <c r="B450" s="362" t="s">
        <v>245</v>
      </c>
      <c r="C450" s="50" t="s">
        <v>40</v>
      </c>
      <c r="D450" s="23" t="s">
        <v>16</v>
      </c>
      <c r="E450" s="66">
        <v>8200000</v>
      </c>
      <c r="F450" s="67">
        <v>16000000</v>
      </c>
      <c r="G450" s="23" t="s">
        <v>146</v>
      </c>
    </row>
    <row r="451" spans="1:7" x14ac:dyDescent="0.25">
      <c r="A451" s="37">
        <v>44470</v>
      </c>
      <c r="B451" s="362" t="s">
        <v>245</v>
      </c>
      <c r="C451" s="26" t="s">
        <v>49</v>
      </c>
      <c r="D451" s="23" t="s">
        <v>16</v>
      </c>
      <c r="E451" s="66">
        <v>7900000</v>
      </c>
      <c r="F451" s="115">
        <v>14000000</v>
      </c>
      <c r="G451" s="23" t="s">
        <v>146</v>
      </c>
    </row>
    <row r="452" spans="1:7" x14ac:dyDescent="0.25">
      <c r="A452" s="37">
        <v>44470</v>
      </c>
      <c r="B452" s="362" t="s">
        <v>245</v>
      </c>
      <c r="C452" s="26" t="s">
        <v>50</v>
      </c>
      <c r="D452" s="23" t="s">
        <v>16</v>
      </c>
      <c r="E452" s="66">
        <v>13940000</v>
      </c>
      <c r="F452" s="115">
        <v>14000000</v>
      </c>
      <c r="G452" s="23" t="s">
        <v>146</v>
      </c>
    </row>
    <row r="453" spans="1:7" x14ac:dyDescent="0.25">
      <c r="A453" s="37">
        <v>44470</v>
      </c>
      <c r="B453" s="362" t="s">
        <v>245</v>
      </c>
      <c r="C453" s="51" t="s">
        <v>33</v>
      </c>
      <c r="D453" s="23" t="s">
        <v>17</v>
      </c>
      <c r="E453" s="117">
        <v>15380000</v>
      </c>
      <c r="F453" s="81">
        <v>17000000</v>
      </c>
      <c r="G453" s="23" t="s">
        <v>146</v>
      </c>
    </row>
    <row r="454" spans="1:7" x14ac:dyDescent="0.25">
      <c r="A454" s="37">
        <v>44470</v>
      </c>
      <c r="B454" s="362" t="s">
        <v>245</v>
      </c>
      <c r="C454" s="50" t="s">
        <v>34</v>
      </c>
      <c r="D454" s="23" t="s">
        <v>17</v>
      </c>
      <c r="E454" s="66">
        <v>4850000</v>
      </c>
      <c r="F454" s="81">
        <v>17000000</v>
      </c>
      <c r="G454" s="23" t="s">
        <v>146</v>
      </c>
    </row>
    <row r="455" spans="1:7" x14ac:dyDescent="0.25">
      <c r="A455" s="37">
        <v>44470</v>
      </c>
      <c r="B455" s="362" t="s">
        <v>245</v>
      </c>
      <c r="C455" s="50" t="s">
        <v>37</v>
      </c>
      <c r="D455" s="23" t="s">
        <v>17</v>
      </c>
      <c r="E455" s="110">
        <v>16760000</v>
      </c>
      <c r="F455" s="81">
        <v>17000000</v>
      </c>
      <c r="G455" s="23" t="s">
        <v>146</v>
      </c>
    </row>
    <row r="456" spans="1:7" x14ac:dyDescent="0.25">
      <c r="A456" s="37">
        <v>44470</v>
      </c>
      <c r="B456" s="362" t="s">
        <v>245</v>
      </c>
      <c r="C456" s="51" t="s">
        <v>42</v>
      </c>
      <c r="D456" s="23" t="s">
        <v>17</v>
      </c>
      <c r="E456" s="117">
        <v>17873000</v>
      </c>
      <c r="F456" s="117">
        <v>17000000</v>
      </c>
      <c r="G456" s="23" t="s">
        <v>146</v>
      </c>
    </row>
    <row r="457" spans="1:7" x14ac:dyDescent="0.25">
      <c r="A457" s="37">
        <v>44470</v>
      </c>
      <c r="B457" s="362" t="s">
        <v>245</v>
      </c>
      <c r="C457" s="50" t="s">
        <v>45</v>
      </c>
      <c r="D457" s="23" t="s">
        <v>17</v>
      </c>
      <c r="E457" s="83">
        <v>8050000</v>
      </c>
      <c r="F457" s="117">
        <v>17000000</v>
      </c>
      <c r="G457" s="23" t="s">
        <v>146</v>
      </c>
    </row>
    <row r="458" spans="1:7" x14ac:dyDescent="0.25">
      <c r="A458" s="37">
        <v>44470</v>
      </c>
      <c r="B458" s="362" t="s">
        <v>245</v>
      </c>
      <c r="C458" s="50" t="s">
        <v>46</v>
      </c>
      <c r="D458" s="23" t="s">
        <v>17</v>
      </c>
      <c r="E458" s="77">
        <v>2300000</v>
      </c>
      <c r="F458" s="118">
        <v>17000000</v>
      </c>
      <c r="G458" s="23" t="s">
        <v>146</v>
      </c>
    </row>
    <row r="459" spans="1:7" x14ac:dyDescent="0.25">
      <c r="A459" s="37">
        <v>44470</v>
      </c>
      <c r="B459" s="362" t="s">
        <v>245</v>
      </c>
      <c r="C459" s="50" t="s">
        <v>47</v>
      </c>
      <c r="D459" s="23" t="s">
        <v>17</v>
      </c>
      <c r="E459" s="77">
        <v>13200000</v>
      </c>
      <c r="F459" s="118">
        <v>17000000</v>
      </c>
      <c r="G459" s="23" t="s">
        <v>146</v>
      </c>
    </row>
    <row r="460" spans="1:7" x14ac:dyDescent="0.25">
      <c r="A460" s="37">
        <v>44501</v>
      </c>
      <c r="B460" s="362" t="s">
        <v>246</v>
      </c>
      <c r="C460" s="23" t="s">
        <v>13</v>
      </c>
      <c r="D460" s="23" t="s">
        <v>4</v>
      </c>
      <c r="E460" s="118">
        <v>66550000</v>
      </c>
      <c r="F460" s="112">
        <v>66000000</v>
      </c>
      <c r="G460" s="23" t="s">
        <v>146</v>
      </c>
    </row>
    <row r="461" spans="1:7" x14ac:dyDescent="0.25">
      <c r="A461" s="37">
        <v>44501</v>
      </c>
      <c r="B461" s="362" t="s">
        <v>246</v>
      </c>
      <c r="C461" s="18" t="s">
        <v>6</v>
      </c>
      <c r="D461" s="23" t="s">
        <v>16</v>
      </c>
      <c r="E461" s="75">
        <v>800000</v>
      </c>
      <c r="F461" s="75">
        <v>16000000</v>
      </c>
      <c r="G461" s="23" t="s">
        <v>146</v>
      </c>
    </row>
    <row r="462" spans="1:7" x14ac:dyDescent="0.25">
      <c r="A462" s="37">
        <v>44501</v>
      </c>
      <c r="B462" s="362" t="s">
        <v>246</v>
      </c>
      <c r="C462" s="18" t="s">
        <v>11</v>
      </c>
      <c r="D462" s="23" t="s">
        <v>16</v>
      </c>
      <c r="E462" s="75">
        <v>20450000</v>
      </c>
      <c r="F462" s="75">
        <v>16000000</v>
      </c>
      <c r="G462" s="23" t="s">
        <v>146</v>
      </c>
    </row>
    <row r="463" spans="1:7" x14ac:dyDescent="0.25">
      <c r="A463" s="37">
        <v>44501</v>
      </c>
      <c r="B463" s="362" t="s">
        <v>246</v>
      </c>
      <c r="C463" s="250" t="s">
        <v>30</v>
      </c>
      <c r="D463" s="23" t="s">
        <v>16</v>
      </c>
      <c r="E463" s="77">
        <v>15570000</v>
      </c>
      <c r="F463" s="75">
        <v>16000000</v>
      </c>
      <c r="G463" s="23" t="s">
        <v>146</v>
      </c>
    </row>
    <row r="464" spans="1:7" x14ac:dyDescent="0.25">
      <c r="A464" s="37">
        <v>44501</v>
      </c>
      <c r="B464" s="362" t="s">
        <v>246</v>
      </c>
      <c r="C464" s="39" t="s">
        <v>35</v>
      </c>
      <c r="D464" s="23" t="s">
        <v>16</v>
      </c>
      <c r="E464" s="77">
        <v>3300000</v>
      </c>
      <c r="F464" s="75">
        <v>14000000</v>
      </c>
      <c r="G464" s="23" t="s">
        <v>146</v>
      </c>
    </row>
    <row r="465" spans="1:7" x14ac:dyDescent="0.25">
      <c r="A465" s="37">
        <v>44501</v>
      </c>
      <c r="B465" s="362" t="s">
        <v>246</v>
      </c>
      <c r="C465" s="50" t="s">
        <v>43</v>
      </c>
      <c r="D465" s="23" t="s">
        <v>16</v>
      </c>
      <c r="E465" s="77">
        <v>15250000</v>
      </c>
      <c r="F465" s="75">
        <v>14000000</v>
      </c>
      <c r="G465" s="23" t="s">
        <v>146</v>
      </c>
    </row>
    <row r="466" spans="1:7" x14ac:dyDescent="0.25">
      <c r="A466" s="37">
        <v>44501</v>
      </c>
      <c r="B466" s="362" t="s">
        <v>246</v>
      </c>
      <c r="C466" s="50" t="s">
        <v>40</v>
      </c>
      <c r="D466" s="23" t="s">
        <v>16</v>
      </c>
      <c r="E466" s="77">
        <v>4600000</v>
      </c>
      <c r="F466" s="75">
        <v>16000000</v>
      </c>
      <c r="G466" s="23" t="s">
        <v>146</v>
      </c>
    </row>
    <row r="467" spans="1:7" x14ac:dyDescent="0.25">
      <c r="A467" s="37">
        <v>44501</v>
      </c>
      <c r="B467" s="362" t="s">
        <v>246</v>
      </c>
      <c r="C467" s="26" t="s">
        <v>50</v>
      </c>
      <c r="D467" s="23" t="s">
        <v>16</v>
      </c>
      <c r="E467" s="77">
        <v>12580000</v>
      </c>
      <c r="F467" s="75">
        <v>14000000</v>
      </c>
      <c r="G467" s="23" t="s">
        <v>146</v>
      </c>
    </row>
    <row r="468" spans="1:7" x14ac:dyDescent="0.25">
      <c r="A468" s="37">
        <v>44501</v>
      </c>
      <c r="B468" s="362" t="s">
        <v>246</v>
      </c>
      <c r="C468" s="51" t="s">
        <v>33</v>
      </c>
      <c r="D468" s="23" t="s">
        <v>17</v>
      </c>
      <c r="E468" s="116">
        <v>7300000</v>
      </c>
      <c r="F468" s="364">
        <v>17000000</v>
      </c>
      <c r="G468" s="23" t="s">
        <v>146</v>
      </c>
    </row>
    <row r="469" spans="1:7" x14ac:dyDescent="0.25">
      <c r="A469" s="37">
        <v>44501</v>
      </c>
      <c r="B469" s="362" t="s">
        <v>246</v>
      </c>
      <c r="C469" s="50" t="s">
        <v>34</v>
      </c>
      <c r="D469" s="23" t="s">
        <v>17</v>
      </c>
      <c r="E469" s="110">
        <v>13470000</v>
      </c>
      <c r="F469" s="81">
        <v>17000000</v>
      </c>
      <c r="G469" s="23" t="s">
        <v>146</v>
      </c>
    </row>
    <row r="470" spans="1:7" x14ac:dyDescent="0.25">
      <c r="A470" s="37">
        <v>44501</v>
      </c>
      <c r="B470" s="362" t="s">
        <v>246</v>
      </c>
      <c r="C470" s="50" t="s">
        <v>37</v>
      </c>
      <c r="D470" s="23" t="s">
        <v>17</v>
      </c>
      <c r="E470" s="111">
        <v>20590000</v>
      </c>
      <c r="F470" s="81">
        <v>17000000</v>
      </c>
      <c r="G470" s="23" t="s">
        <v>146</v>
      </c>
    </row>
    <row r="471" spans="1:7" x14ac:dyDescent="0.25">
      <c r="A471" s="37">
        <v>44501</v>
      </c>
      <c r="B471" s="362" t="s">
        <v>246</v>
      </c>
      <c r="C471" s="51" t="s">
        <v>42</v>
      </c>
      <c r="D471" s="23" t="s">
        <v>17</v>
      </c>
      <c r="E471" s="117">
        <v>12350000</v>
      </c>
      <c r="F471" s="117">
        <v>17000000</v>
      </c>
      <c r="G471" s="23" t="s">
        <v>146</v>
      </c>
    </row>
    <row r="472" spans="1:7" x14ac:dyDescent="0.25">
      <c r="A472" s="37">
        <v>44501</v>
      </c>
      <c r="B472" s="362" t="s">
        <v>246</v>
      </c>
      <c r="C472" s="50" t="s">
        <v>45</v>
      </c>
      <c r="D472" s="23" t="s">
        <v>17</v>
      </c>
      <c r="E472" s="110">
        <v>19040000</v>
      </c>
      <c r="F472" s="117">
        <v>17000000</v>
      </c>
      <c r="G472" s="23" t="s">
        <v>146</v>
      </c>
    </row>
    <row r="473" spans="1:7" x14ac:dyDescent="0.25">
      <c r="A473" s="37">
        <v>44531</v>
      </c>
      <c r="B473" s="362" t="s">
        <v>247</v>
      </c>
      <c r="C473" s="23" t="s">
        <v>7</v>
      </c>
      <c r="D473" s="23" t="s">
        <v>4</v>
      </c>
      <c r="E473" s="118">
        <v>70405000</v>
      </c>
      <c r="F473" s="112">
        <v>66000000</v>
      </c>
      <c r="G473" s="23" t="s">
        <v>146</v>
      </c>
    </row>
    <row r="474" spans="1:7" x14ac:dyDescent="0.25">
      <c r="A474" s="37">
        <v>44531</v>
      </c>
      <c r="B474" s="362" t="s">
        <v>247</v>
      </c>
      <c r="C474" s="18" t="s">
        <v>11</v>
      </c>
      <c r="D474" s="23" t="s">
        <v>16</v>
      </c>
      <c r="E474" s="63">
        <v>25020000</v>
      </c>
      <c r="F474" s="63">
        <v>16000000</v>
      </c>
      <c r="G474" s="23" t="s">
        <v>146</v>
      </c>
    </row>
    <row r="475" spans="1:7" x14ac:dyDescent="0.25">
      <c r="A475" s="37">
        <v>44531</v>
      </c>
      <c r="B475" s="362" t="s">
        <v>247</v>
      </c>
      <c r="C475" s="250" t="s">
        <v>30</v>
      </c>
      <c r="D475" s="23" t="s">
        <v>16</v>
      </c>
      <c r="E475" s="66">
        <v>13280000</v>
      </c>
      <c r="F475" s="81">
        <v>16000000</v>
      </c>
      <c r="G475" s="23" t="s">
        <v>146</v>
      </c>
    </row>
    <row r="476" spans="1:7" x14ac:dyDescent="0.25">
      <c r="A476" s="37">
        <v>44531</v>
      </c>
      <c r="B476" s="362" t="s">
        <v>247</v>
      </c>
      <c r="C476" s="50" t="s">
        <v>43</v>
      </c>
      <c r="D476" s="23" t="s">
        <v>16</v>
      </c>
      <c r="E476" s="66">
        <v>14100000</v>
      </c>
      <c r="F476" s="115">
        <v>14000000</v>
      </c>
      <c r="G476" s="23" t="s">
        <v>146</v>
      </c>
    </row>
    <row r="477" spans="1:7" x14ac:dyDescent="0.25">
      <c r="A477" s="37">
        <v>44531</v>
      </c>
      <c r="B477" s="362" t="s">
        <v>247</v>
      </c>
      <c r="C477" s="26" t="s">
        <v>50</v>
      </c>
      <c r="D477" s="23" t="s">
        <v>16</v>
      </c>
      <c r="E477" s="78">
        <v>14480000</v>
      </c>
      <c r="F477" s="115">
        <v>14000000</v>
      </c>
      <c r="G477" s="23" t="s">
        <v>146</v>
      </c>
    </row>
    <row r="478" spans="1:7" x14ac:dyDescent="0.25">
      <c r="A478" s="37">
        <v>44531</v>
      </c>
      <c r="B478" s="362" t="s">
        <v>247</v>
      </c>
      <c r="C478" s="50" t="s">
        <v>34</v>
      </c>
      <c r="D478" s="23" t="s">
        <v>17</v>
      </c>
      <c r="E478" s="110">
        <v>10325000</v>
      </c>
      <c r="F478" s="81">
        <v>17000000</v>
      </c>
      <c r="G478" s="23" t="s">
        <v>146</v>
      </c>
    </row>
    <row r="479" spans="1:7" x14ac:dyDescent="0.25">
      <c r="A479" s="37">
        <v>44531</v>
      </c>
      <c r="B479" s="362" t="s">
        <v>247</v>
      </c>
      <c r="C479" s="50" t="s">
        <v>37</v>
      </c>
      <c r="D479" s="23" t="s">
        <v>17</v>
      </c>
      <c r="E479" s="110">
        <v>24210000</v>
      </c>
      <c r="F479" s="81">
        <v>17000000</v>
      </c>
      <c r="G479" s="23" t="s">
        <v>146</v>
      </c>
    </row>
    <row r="480" spans="1:7" x14ac:dyDescent="0.25">
      <c r="A480" s="37">
        <v>44531</v>
      </c>
      <c r="B480" s="362" t="s">
        <v>247</v>
      </c>
      <c r="C480" s="51" t="s">
        <v>42</v>
      </c>
      <c r="D480" s="23" t="s">
        <v>17</v>
      </c>
      <c r="E480" s="117">
        <v>15250000</v>
      </c>
      <c r="F480" s="117">
        <v>17000000</v>
      </c>
      <c r="G480" s="23" t="s">
        <v>146</v>
      </c>
    </row>
    <row r="481" spans="1:7" x14ac:dyDescent="0.25">
      <c r="A481" s="37">
        <v>44531</v>
      </c>
      <c r="B481" s="362" t="s">
        <v>247</v>
      </c>
      <c r="C481" s="50" t="s">
        <v>45</v>
      </c>
      <c r="D481" s="23" t="s">
        <v>17</v>
      </c>
      <c r="E481" s="101">
        <v>20620000</v>
      </c>
      <c r="F481" s="117">
        <v>17000000</v>
      </c>
      <c r="G481" s="23" t="s">
        <v>146</v>
      </c>
    </row>
    <row r="482" spans="1:7" x14ac:dyDescent="0.25">
      <c r="A482" s="37">
        <v>44562</v>
      </c>
      <c r="B482" s="362" t="s">
        <v>236</v>
      </c>
      <c r="C482" s="23" t="s">
        <v>13</v>
      </c>
      <c r="D482" s="23" t="s">
        <v>4</v>
      </c>
      <c r="E482" s="98">
        <v>69380000</v>
      </c>
      <c r="F482" s="118">
        <v>65000000</v>
      </c>
      <c r="G482" s="23" t="s">
        <v>146</v>
      </c>
    </row>
    <row r="483" spans="1:7" x14ac:dyDescent="0.25">
      <c r="A483" s="37">
        <v>44562</v>
      </c>
      <c r="B483" s="362" t="s">
        <v>236</v>
      </c>
      <c r="C483" s="9" t="s">
        <v>11</v>
      </c>
      <c r="D483" s="23" t="s">
        <v>16</v>
      </c>
      <c r="E483" s="122">
        <v>17400000</v>
      </c>
      <c r="F483" s="110">
        <v>16000000</v>
      </c>
      <c r="G483" s="23" t="s">
        <v>146</v>
      </c>
    </row>
    <row r="484" spans="1:7" x14ac:dyDescent="0.25">
      <c r="A484" s="37">
        <v>44562</v>
      </c>
      <c r="B484" s="362" t="s">
        <v>236</v>
      </c>
      <c r="C484" s="9" t="s">
        <v>30</v>
      </c>
      <c r="D484" s="23" t="s">
        <v>16</v>
      </c>
      <c r="E484" s="122">
        <v>20730000</v>
      </c>
      <c r="F484" s="110">
        <v>16000000</v>
      </c>
      <c r="G484" s="23" t="s">
        <v>146</v>
      </c>
    </row>
    <row r="485" spans="1:7" x14ac:dyDescent="0.25">
      <c r="A485" s="37">
        <v>44562</v>
      </c>
      <c r="B485" s="362" t="s">
        <v>236</v>
      </c>
      <c r="C485" s="9" t="s">
        <v>43</v>
      </c>
      <c r="D485" s="23" t="s">
        <v>16</v>
      </c>
      <c r="E485" s="122">
        <v>19450000</v>
      </c>
      <c r="F485" s="110">
        <v>15000000</v>
      </c>
      <c r="G485" s="23" t="s">
        <v>146</v>
      </c>
    </row>
    <row r="486" spans="1:7" x14ac:dyDescent="0.25">
      <c r="A486" s="37">
        <v>44562</v>
      </c>
      <c r="B486" s="362" t="s">
        <v>236</v>
      </c>
      <c r="C486" s="9" t="s">
        <v>50</v>
      </c>
      <c r="D486" s="23" t="s">
        <v>16</v>
      </c>
      <c r="E486" s="122">
        <v>8850000</v>
      </c>
      <c r="F486" s="110">
        <v>15000000</v>
      </c>
      <c r="G486" s="23" t="s">
        <v>146</v>
      </c>
    </row>
    <row r="487" spans="1:7" x14ac:dyDescent="0.25">
      <c r="A487" s="37">
        <v>44562</v>
      </c>
      <c r="B487" s="362" t="s">
        <v>236</v>
      </c>
      <c r="C487" s="9" t="s">
        <v>51</v>
      </c>
      <c r="D487" s="23" t="s">
        <v>17</v>
      </c>
      <c r="E487" s="122">
        <v>17350000</v>
      </c>
      <c r="F487" s="110">
        <v>16500000</v>
      </c>
      <c r="G487" s="23" t="s">
        <v>146</v>
      </c>
    </row>
    <row r="488" spans="1:7" x14ac:dyDescent="0.25">
      <c r="A488" s="37">
        <v>44562</v>
      </c>
      <c r="B488" s="362" t="s">
        <v>236</v>
      </c>
      <c r="C488" s="9" t="s">
        <v>45</v>
      </c>
      <c r="D488" s="42" t="s">
        <v>17</v>
      </c>
      <c r="E488" s="123">
        <v>21680000</v>
      </c>
      <c r="F488" s="117">
        <v>16500000</v>
      </c>
      <c r="G488" s="23" t="s">
        <v>146</v>
      </c>
    </row>
    <row r="489" spans="1:7" s="256" customFormat="1" x14ac:dyDescent="0.25">
      <c r="A489" s="37">
        <v>44562</v>
      </c>
      <c r="B489" s="362" t="s">
        <v>236</v>
      </c>
      <c r="C489" s="33" t="s">
        <v>52</v>
      </c>
      <c r="D489" s="281" t="s">
        <v>17</v>
      </c>
      <c r="E489" s="123">
        <v>0</v>
      </c>
      <c r="F489" s="326"/>
      <c r="G489" s="42" t="s">
        <v>146</v>
      </c>
    </row>
    <row r="490" spans="1:7" x14ac:dyDescent="0.25">
      <c r="A490" s="37">
        <v>44562</v>
      </c>
      <c r="B490" s="362" t="s">
        <v>236</v>
      </c>
      <c r="C490" s="12" t="s">
        <v>34</v>
      </c>
      <c r="D490" s="23" t="s">
        <v>17</v>
      </c>
      <c r="E490" s="87">
        <v>16800000</v>
      </c>
      <c r="F490" s="118">
        <v>16500000</v>
      </c>
      <c r="G490" s="23" t="s">
        <v>146</v>
      </c>
    </row>
    <row r="491" spans="1:7" x14ac:dyDescent="0.25">
      <c r="A491" s="37">
        <v>44562</v>
      </c>
      <c r="B491" s="362" t="s">
        <v>236</v>
      </c>
      <c r="C491" s="12" t="s">
        <v>42</v>
      </c>
      <c r="D491" s="23" t="s">
        <v>17</v>
      </c>
      <c r="E491" s="87">
        <v>12850000</v>
      </c>
      <c r="F491" s="118">
        <v>16500000</v>
      </c>
      <c r="G491" s="23" t="s">
        <v>146</v>
      </c>
    </row>
    <row r="492" spans="1:7" x14ac:dyDescent="0.25">
      <c r="A492" s="37">
        <v>44593</v>
      </c>
      <c r="B492" s="362" t="s">
        <v>237</v>
      </c>
      <c r="C492" s="23" t="s">
        <v>13</v>
      </c>
      <c r="D492" s="23" t="s">
        <v>4</v>
      </c>
      <c r="E492" s="98">
        <v>75170000</v>
      </c>
      <c r="F492" s="118">
        <v>65000000</v>
      </c>
      <c r="G492" s="23" t="s">
        <v>146</v>
      </c>
    </row>
    <row r="493" spans="1:7" x14ac:dyDescent="0.25">
      <c r="A493" s="37">
        <v>44593</v>
      </c>
      <c r="B493" s="362" t="s">
        <v>237</v>
      </c>
      <c r="C493" s="9" t="s">
        <v>11</v>
      </c>
      <c r="D493" s="23" t="s">
        <v>16</v>
      </c>
      <c r="E493" s="124">
        <v>17450000</v>
      </c>
      <c r="F493" s="110">
        <v>16000000</v>
      </c>
      <c r="G493" s="23" t="s">
        <v>146</v>
      </c>
    </row>
    <row r="494" spans="1:7" x14ac:dyDescent="0.25">
      <c r="A494" s="37">
        <v>44593</v>
      </c>
      <c r="B494" s="362" t="s">
        <v>237</v>
      </c>
      <c r="C494" s="9" t="s">
        <v>30</v>
      </c>
      <c r="D494" s="23" t="s">
        <v>16</v>
      </c>
      <c r="E494" s="124">
        <v>18750000</v>
      </c>
      <c r="F494" s="110">
        <v>16000000</v>
      </c>
      <c r="G494" s="23" t="s">
        <v>146</v>
      </c>
    </row>
    <row r="495" spans="1:7" x14ac:dyDescent="0.25">
      <c r="A495" s="37">
        <v>44593</v>
      </c>
      <c r="B495" s="362" t="s">
        <v>237</v>
      </c>
      <c r="C495" s="9" t="s">
        <v>43</v>
      </c>
      <c r="D495" s="23" t="s">
        <v>16</v>
      </c>
      <c r="E495" s="124">
        <v>16450000</v>
      </c>
      <c r="F495" s="110">
        <v>15000000</v>
      </c>
      <c r="G495" s="23" t="s">
        <v>146</v>
      </c>
    </row>
    <row r="496" spans="1:7" x14ac:dyDescent="0.25">
      <c r="A496" s="37">
        <v>44593</v>
      </c>
      <c r="B496" s="362" t="s">
        <v>237</v>
      </c>
      <c r="C496" s="9" t="s">
        <v>50</v>
      </c>
      <c r="D496" s="23" t="s">
        <v>16</v>
      </c>
      <c r="E496" s="124">
        <v>14170000</v>
      </c>
      <c r="F496" s="110">
        <v>15000000</v>
      </c>
      <c r="G496" s="23" t="s">
        <v>146</v>
      </c>
    </row>
    <row r="497" spans="1:7" x14ac:dyDescent="0.25">
      <c r="A497" s="37">
        <v>44593</v>
      </c>
      <c r="B497" s="362" t="s">
        <v>237</v>
      </c>
      <c r="C497" s="9" t="s">
        <v>51</v>
      </c>
      <c r="D497" s="23" t="s">
        <v>17</v>
      </c>
      <c r="E497" s="122">
        <v>0</v>
      </c>
      <c r="F497" s="110">
        <v>16500000</v>
      </c>
      <c r="G497" s="23" t="s">
        <v>146</v>
      </c>
    </row>
    <row r="498" spans="1:7" x14ac:dyDescent="0.25">
      <c r="A498" s="37">
        <v>44593</v>
      </c>
      <c r="B498" s="362" t="s">
        <v>237</v>
      </c>
      <c r="C498" s="9" t="s">
        <v>45</v>
      </c>
      <c r="D498" s="23" t="s">
        <v>17</v>
      </c>
      <c r="E498" s="124">
        <v>21700000</v>
      </c>
      <c r="F498" s="110">
        <v>16500000</v>
      </c>
      <c r="G498" s="23" t="s">
        <v>146</v>
      </c>
    </row>
    <row r="499" spans="1:7" x14ac:dyDescent="0.25">
      <c r="A499" s="37">
        <v>44593</v>
      </c>
      <c r="B499" s="363" t="s">
        <v>237</v>
      </c>
      <c r="C499" s="10" t="s">
        <v>52</v>
      </c>
      <c r="D499" s="42" t="s">
        <v>17</v>
      </c>
      <c r="E499" s="125">
        <v>25770000</v>
      </c>
      <c r="F499" s="117">
        <v>16500000</v>
      </c>
      <c r="G499" s="42" t="s">
        <v>146</v>
      </c>
    </row>
    <row r="500" spans="1:7" x14ac:dyDescent="0.25">
      <c r="A500" s="37">
        <v>44593</v>
      </c>
      <c r="B500" s="37" t="s">
        <v>237</v>
      </c>
      <c r="C500" s="12" t="s">
        <v>34</v>
      </c>
      <c r="D500" s="23" t="s">
        <v>17</v>
      </c>
      <c r="E500" s="87">
        <v>21600000</v>
      </c>
      <c r="F500" s="118">
        <v>16500000</v>
      </c>
      <c r="G500" s="23" t="s">
        <v>146</v>
      </c>
    </row>
    <row r="501" spans="1:7" x14ac:dyDescent="0.25">
      <c r="A501" s="37">
        <v>44593</v>
      </c>
      <c r="B501" s="37" t="s">
        <v>237</v>
      </c>
      <c r="C501" s="12" t="s">
        <v>42</v>
      </c>
      <c r="D501" s="23" t="s">
        <v>17</v>
      </c>
      <c r="E501" s="87">
        <v>5100000</v>
      </c>
      <c r="F501" s="118">
        <v>16500000</v>
      </c>
      <c r="G501" s="23" t="s">
        <v>146</v>
      </c>
    </row>
    <row r="502" spans="1:7" x14ac:dyDescent="0.25">
      <c r="A502" s="37">
        <v>44621</v>
      </c>
      <c r="B502" s="362" t="s">
        <v>238</v>
      </c>
      <c r="C502" s="23" t="s">
        <v>13</v>
      </c>
      <c r="D502" s="23" t="s">
        <v>4</v>
      </c>
      <c r="E502" s="99">
        <v>58160000</v>
      </c>
      <c r="F502" s="118">
        <v>65000000</v>
      </c>
      <c r="G502" s="23" t="s">
        <v>146</v>
      </c>
    </row>
    <row r="503" spans="1:7" x14ac:dyDescent="0.25">
      <c r="A503" s="37">
        <v>44621</v>
      </c>
      <c r="B503" s="362" t="s">
        <v>238</v>
      </c>
      <c r="C503" s="9" t="s">
        <v>11</v>
      </c>
      <c r="D503" s="23" t="s">
        <v>16</v>
      </c>
      <c r="E503" s="122">
        <v>16150000</v>
      </c>
      <c r="F503" s="110">
        <v>16000000</v>
      </c>
      <c r="G503" s="23" t="s">
        <v>146</v>
      </c>
    </row>
    <row r="504" spans="1:7" x14ac:dyDescent="0.25">
      <c r="A504" s="37">
        <v>44621</v>
      </c>
      <c r="B504" s="362" t="s">
        <v>238</v>
      </c>
      <c r="C504" s="9" t="s">
        <v>30</v>
      </c>
      <c r="D504" s="23" t="s">
        <v>16</v>
      </c>
      <c r="E504" s="122">
        <v>16250000</v>
      </c>
      <c r="F504" s="110">
        <v>16000000</v>
      </c>
      <c r="G504" s="23" t="s">
        <v>146</v>
      </c>
    </row>
    <row r="505" spans="1:7" x14ac:dyDescent="0.25">
      <c r="A505" s="37">
        <v>44621</v>
      </c>
      <c r="B505" s="362" t="s">
        <v>238</v>
      </c>
      <c r="C505" s="9" t="s">
        <v>43</v>
      </c>
      <c r="D505" s="23" t="s">
        <v>16</v>
      </c>
      <c r="E505" s="122">
        <v>14850000</v>
      </c>
      <c r="F505" s="110">
        <v>15000000</v>
      </c>
      <c r="G505" s="23" t="s">
        <v>146</v>
      </c>
    </row>
    <row r="506" spans="1:7" x14ac:dyDescent="0.25">
      <c r="A506" s="37">
        <v>44621</v>
      </c>
      <c r="B506" s="362" t="s">
        <v>238</v>
      </c>
      <c r="C506" s="9" t="s">
        <v>50</v>
      </c>
      <c r="D506" s="23" t="s">
        <v>16</v>
      </c>
      <c r="E506" s="122">
        <v>9660000</v>
      </c>
      <c r="F506" s="110">
        <v>15000000</v>
      </c>
      <c r="G506" s="23" t="s">
        <v>146</v>
      </c>
    </row>
    <row r="507" spans="1:7" x14ac:dyDescent="0.25">
      <c r="A507" s="37">
        <v>44621</v>
      </c>
      <c r="B507" s="362" t="s">
        <v>238</v>
      </c>
      <c r="C507" s="9" t="s">
        <v>51</v>
      </c>
      <c r="D507" s="23" t="s">
        <v>17</v>
      </c>
      <c r="E507" s="122">
        <v>20280000</v>
      </c>
      <c r="F507" s="110">
        <v>16500000</v>
      </c>
      <c r="G507" s="23" t="s">
        <v>146</v>
      </c>
    </row>
    <row r="508" spans="1:7" x14ac:dyDescent="0.25">
      <c r="A508" s="37">
        <v>44621</v>
      </c>
      <c r="B508" s="362" t="s">
        <v>238</v>
      </c>
      <c r="C508" s="9" t="s">
        <v>45</v>
      </c>
      <c r="D508" s="23" t="s">
        <v>17</v>
      </c>
      <c r="E508" s="122">
        <v>23580000</v>
      </c>
      <c r="F508" s="110">
        <v>16500000</v>
      </c>
      <c r="G508" s="23" t="s">
        <v>146</v>
      </c>
    </row>
    <row r="509" spans="1:7" x14ac:dyDescent="0.25">
      <c r="A509" s="37">
        <v>44621</v>
      </c>
      <c r="B509" s="362" t="s">
        <v>238</v>
      </c>
      <c r="C509" s="9" t="s">
        <v>52</v>
      </c>
      <c r="D509" s="23" t="s">
        <v>17</v>
      </c>
      <c r="E509" s="122"/>
      <c r="F509" s="110">
        <v>16500000</v>
      </c>
      <c r="G509" s="23" t="s">
        <v>146</v>
      </c>
    </row>
    <row r="510" spans="1:7" x14ac:dyDescent="0.25">
      <c r="A510" s="37">
        <v>44621</v>
      </c>
      <c r="B510" s="362" t="s">
        <v>238</v>
      </c>
      <c r="C510" s="9" t="s">
        <v>34</v>
      </c>
      <c r="D510" s="23" t="s">
        <v>17</v>
      </c>
      <c r="E510" s="122">
        <v>10650000</v>
      </c>
      <c r="F510" s="110">
        <v>16500000</v>
      </c>
      <c r="G510" s="23" t="s">
        <v>146</v>
      </c>
    </row>
    <row r="511" spans="1:7" x14ac:dyDescent="0.25">
      <c r="A511" s="37">
        <v>44652</v>
      </c>
      <c r="B511" s="362" t="s">
        <v>239</v>
      </c>
      <c r="C511" s="23" t="s">
        <v>13</v>
      </c>
      <c r="D511" s="23" t="s">
        <v>4</v>
      </c>
      <c r="E511" s="324">
        <v>40900000</v>
      </c>
      <c r="F511" s="118">
        <v>65000000</v>
      </c>
      <c r="G511" s="23" t="s">
        <v>146</v>
      </c>
    </row>
    <row r="512" spans="1:7" x14ac:dyDescent="0.25">
      <c r="A512" s="37">
        <v>44652</v>
      </c>
      <c r="B512" s="362" t="s">
        <v>239</v>
      </c>
      <c r="C512" s="9" t="s">
        <v>11</v>
      </c>
      <c r="D512" s="23" t="s">
        <v>16</v>
      </c>
      <c r="E512" s="122">
        <v>11300000</v>
      </c>
      <c r="F512" s="110">
        <v>16000000</v>
      </c>
      <c r="G512" s="23" t="s">
        <v>146</v>
      </c>
    </row>
    <row r="513" spans="1:7" x14ac:dyDescent="0.25">
      <c r="A513" s="37">
        <v>44652</v>
      </c>
      <c r="B513" s="362" t="s">
        <v>239</v>
      </c>
      <c r="C513" s="9" t="s">
        <v>30</v>
      </c>
      <c r="D513" s="23" t="s">
        <v>16</v>
      </c>
      <c r="E513" s="122">
        <v>11300000</v>
      </c>
      <c r="F513" s="110">
        <v>16000000</v>
      </c>
      <c r="G513" s="23" t="s">
        <v>146</v>
      </c>
    </row>
    <row r="514" spans="1:7" x14ac:dyDescent="0.25">
      <c r="A514" s="37">
        <v>44652</v>
      </c>
      <c r="B514" s="362" t="s">
        <v>239</v>
      </c>
      <c r="C514" s="9" t="s">
        <v>43</v>
      </c>
      <c r="D514" s="23" t="s">
        <v>16</v>
      </c>
      <c r="E514" s="122">
        <v>2300000</v>
      </c>
      <c r="F514" s="110">
        <v>15000000</v>
      </c>
      <c r="G514" s="23" t="s">
        <v>146</v>
      </c>
    </row>
    <row r="515" spans="1:7" x14ac:dyDescent="0.25">
      <c r="A515" s="37">
        <v>44652</v>
      </c>
      <c r="B515" s="362" t="s">
        <v>239</v>
      </c>
      <c r="C515" s="9" t="s">
        <v>50</v>
      </c>
      <c r="D515" s="23" t="s">
        <v>16</v>
      </c>
      <c r="E515" s="122">
        <v>11250000</v>
      </c>
      <c r="F515" s="110">
        <v>15000000</v>
      </c>
      <c r="G515" s="23" t="s">
        <v>146</v>
      </c>
    </row>
    <row r="516" spans="1:7" x14ac:dyDescent="0.25">
      <c r="A516" s="37">
        <v>44652</v>
      </c>
      <c r="B516" s="362" t="s">
        <v>239</v>
      </c>
      <c r="C516" s="9" t="s">
        <v>51</v>
      </c>
      <c r="D516" s="23" t="s">
        <v>17</v>
      </c>
      <c r="E516" s="122">
        <v>7550000</v>
      </c>
      <c r="F516" s="110">
        <v>16500000</v>
      </c>
      <c r="G516" s="23" t="s">
        <v>146</v>
      </c>
    </row>
    <row r="517" spans="1:7" x14ac:dyDescent="0.25">
      <c r="A517" s="37">
        <v>44652</v>
      </c>
      <c r="B517" s="362" t="s">
        <v>239</v>
      </c>
      <c r="C517" s="9" t="s">
        <v>45</v>
      </c>
      <c r="D517" s="23" t="s">
        <v>17</v>
      </c>
      <c r="E517" s="122">
        <v>19200000</v>
      </c>
      <c r="F517" s="110">
        <v>16500000</v>
      </c>
      <c r="G517" s="23" t="s">
        <v>146</v>
      </c>
    </row>
    <row r="518" spans="1:7" x14ac:dyDescent="0.25">
      <c r="A518" s="37">
        <v>44652</v>
      </c>
      <c r="B518" s="362" t="s">
        <v>239</v>
      </c>
      <c r="C518" s="9" t="s">
        <v>52</v>
      </c>
      <c r="D518" s="23" t="s">
        <v>17</v>
      </c>
      <c r="E518" s="122">
        <v>1650000</v>
      </c>
      <c r="F518" s="110">
        <v>16500000</v>
      </c>
      <c r="G518" s="23" t="s">
        <v>146</v>
      </c>
    </row>
    <row r="519" spans="1:7" x14ac:dyDescent="0.25">
      <c r="A519" s="37">
        <v>44652</v>
      </c>
      <c r="B519" s="362" t="s">
        <v>239</v>
      </c>
      <c r="C519" s="9" t="s">
        <v>34</v>
      </c>
      <c r="D519" s="23" t="s">
        <v>17</v>
      </c>
      <c r="E519" s="122">
        <v>8200000</v>
      </c>
      <c r="F519" s="110">
        <v>16500000</v>
      </c>
      <c r="G519" s="23" t="s">
        <v>146</v>
      </c>
    </row>
    <row r="520" spans="1:7" x14ac:dyDescent="0.25">
      <c r="A520" s="37">
        <v>44682</v>
      </c>
      <c r="B520" s="362" t="s">
        <v>240</v>
      </c>
      <c r="C520" s="23" t="s">
        <v>13</v>
      </c>
      <c r="D520" s="23" t="s">
        <v>4</v>
      </c>
      <c r="E520" s="66">
        <v>58480000</v>
      </c>
      <c r="F520" s="144">
        <v>65000000</v>
      </c>
      <c r="G520" s="23" t="s">
        <v>146</v>
      </c>
    </row>
    <row r="521" spans="1:7" x14ac:dyDescent="0.25">
      <c r="A521" s="37">
        <v>44682</v>
      </c>
      <c r="B521" s="362" t="s">
        <v>240</v>
      </c>
      <c r="C521" s="9" t="s">
        <v>11</v>
      </c>
      <c r="D521" s="23" t="s">
        <v>16</v>
      </c>
      <c r="E521" s="122">
        <v>19330000</v>
      </c>
      <c r="F521" s="110">
        <v>16000000</v>
      </c>
      <c r="G521" s="23" t="s">
        <v>146</v>
      </c>
    </row>
    <row r="522" spans="1:7" x14ac:dyDescent="0.25">
      <c r="A522" s="37">
        <v>44682</v>
      </c>
      <c r="B522" s="362" t="s">
        <v>240</v>
      </c>
      <c r="C522" s="9" t="s">
        <v>30</v>
      </c>
      <c r="D522" s="23" t="s">
        <v>16</v>
      </c>
      <c r="E522" s="122">
        <v>16300000</v>
      </c>
      <c r="F522" s="110">
        <v>16000000</v>
      </c>
      <c r="G522" s="23" t="s">
        <v>146</v>
      </c>
    </row>
    <row r="523" spans="1:7" x14ac:dyDescent="0.25">
      <c r="A523" s="37">
        <v>44682</v>
      </c>
      <c r="B523" s="362" t="s">
        <v>240</v>
      </c>
      <c r="C523" s="9" t="s">
        <v>43</v>
      </c>
      <c r="D523" s="23" t="s">
        <v>16</v>
      </c>
      <c r="E523" s="122">
        <v>3650000</v>
      </c>
      <c r="F523" s="110">
        <v>15000000</v>
      </c>
      <c r="G523" s="23" t="s">
        <v>146</v>
      </c>
    </row>
    <row r="524" spans="1:7" x14ac:dyDescent="0.25">
      <c r="A524" s="37">
        <v>44682</v>
      </c>
      <c r="B524" s="362" t="s">
        <v>240</v>
      </c>
      <c r="C524" s="9" t="s">
        <v>50</v>
      </c>
      <c r="D524" s="23" t="s">
        <v>16</v>
      </c>
      <c r="E524" s="122">
        <v>17490000</v>
      </c>
      <c r="F524" s="110">
        <v>15000000</v>
      </c>
      <c r="G524" s="23" t="s">
        <v>146</v>
      </c>
    </row>
    <row r="525" spans="1:7" x14ac:dyDescent="0.25">
      <c r="A525" s="37">
        <v>44682</v>
      </c>
      <c r="B525" s="362" t="s">
        <v>240</v>
      </c>
      <c r="C525" s="9" t="s">
        <v>51</v>
      </c>
      <c r="D525" s="23" t="s">
        <v>17</v>
      </c>
      <c r="E525" s="122">
        <v>17040000</v>
      </c>
      <c r="F525" s="110">
        <v>16500000</v>
      </c>
      <c r="G525" s="23" t="s">
        <v>146</v>
      </c>
    </row>
    <row r="526" spans="1:7" x14ac:dyDescent="0.25">
      <c r="A526" s="37">
        <v>44682</v>
      </c>
      <c r="B526" s="362" t="s">
        <v>240</v>
      </c>
      <c r="C526" s="9" t="s">
        <v>45</v>
      </c>
      <c r="D526" s="42" t="s">
        <v>17</v>
      </c>
      <c r="E526" s="123">
        <v>25680000</v>
      </c>
      <c r="F526" s="117">
        <v>16500000</v>
      </c>
      <c r="G526" s="23" t="s">
        <v>146</v>
      </c>
    </row>
    <row r="527" spans="1:7" x14ac:dyDescent="0.25">
      <c r="A527" s="37">
        <v>44682</v>
      </c>
      <c r="B527" s="362" t="s">
        <v>240</v>
      </c>
      <c r="C527" s="11" t="s">
        <v>52</v>
      </c>
      <c r="D527" s="23" t="s">
        <v>17</v>
      </c>
      <c r="E527" s="87">
        <v>11600000</v>
      </c>
      <c r="F527" s="118">
        <v>16500000</v>
      </c>
      <c r="G527" s="23" t="s">
        <v>146</v>
      </c>
    </row>
    <row r="528" spans="1:7" x14ac:dyDescent="0.25">
      <c r="A528" s="37">
        <v>44682</v>
      </c>
      <c r="B528" s="362" t="s">
        <v>240</v>
      </c>
      <c r="C528" s="33" t="s">
        <v>53</v>
      </c>
      <c r="D528" s="23" t="s">
        <v>17</v>
      </c>
      <c r="E528" s="87">
        <v>2150000</v>
      </c>
      <c r="F528" s="118">
        <v>16500000</v>
      </c>
      <c r="G528" s="23" t="s">
        <v>146</v>
      </c>
    </row>
    <row r="529" spans="1:7" x14ac:dyDescent="0.25">
      <c r="A529" s="37">
        <v>44713</v>
      </c>
      <c r="B529" s="362" t="s">
        <v>241</v>
      </c>
      <c r="C529" s="254" t="s">
        <v>13</v>
      </c>
      <c r="D529" s="23" t="s">
        <v>4</v>
      </c>
      <c r="E529" s="77">
        <v>50850000</v>
      </c>
      <c r="F529" s="118">
        <v>65000000</v>
      </c>
      <c r="G529" s="23" t="s">
        <v>146</v>
      </c>
    </row>
    <row r="530" spans="1:7" x14ac:dyDescent="0.25">
      <c r="A530" s="37">
        <v>44713</v>
      </c>
      <c r="B530" s="362" t="s">
        <v>241</v>
      </c>
      <c r="C530" s="9" t="s">
        <v>11</v>
      </c>
      <c r="D530" s="23" t="s">
        <v>16</v>
      </c>
      <c r="E530" s="96">
        <v>16650000</v>
      </c>
      <c r="F530" s="118">
        <v>16000000</v>
      </c>
      <c r="G530" s="23" t="s">
        <v>146</v>
      </c>
    </row>
    <row r="531" spans="1:7" x14ac:dyDescent="0.25">
      <c r="A531" s="37">
        <v>44713</v>
      </c>
      <c r="B531" s="362" t="s">
        <v>241</v>
      </c>
      <c r="C531" s="9" t="s">
        <v>30</v>
      </c>
      <c r="D531" s="23" t="s">
        <v>16</v>
      </c>
      <c r="E531" s="96">
        <v>16700000</v>
      </c>
      <c r="F531" s="118">
        <v>16000000</v>
      </c>
      <c r="G531" s="23" t="s">
        <v>146</v>
      </c>
    </row>
    <row r="532" spans="1:7" x14ac:dyDescent="0.25">
      <c r="A532" s="37">
        <v>44713</v>
      </c>
      <c r="B532" s="362" t="s">
        <v>241</v>
      </c>
      <c r="C532" s="9" t="s">
        <v>50</v>
      </c>
      <c r="D532" s="23" t="s">
        <v>16</v>
      </c>
      <c r="E532" s="96">
        <v>9650000</v>
      </c>
      <c r="F532" s="118">
        <v>15000000</v>
      </c>
      <c r="G532" s="23" t="s">
        <v>146</v>
      </c>
    </row>
    <row r="533" spans="1:7" x14ac:dyDescent="0.25">
      <c r="A533" s="37">
        <v>44713</v>
      </c>
      <c r="B533" s="362" t="s">
        <v>241</v>
      </c>
      <c r="C533" s="9" t="s">
        <v>54</v>
      </c>
      <c r="D533" s="23" t="s">
        <v>16</v>
      </c>
      <c r="E533" s="96">
        <v>6750000</v>
      </c>
      <c r="F533" s="118">
        <v>15000000</v>
      </c>
      <c r="G533" s="23" t="s">
        <v>146</v>
      </c>
    </row>
    <row r="534" spans="1:7" x14ac:dyDescent="0.25">
      <c r="A534" s="37">
        <v>44713</v>
      </c>
      <c r="B534" s="362" t="s">
        <v>241</v>
      </c>
      <c r="C534" s="9" t="s">
        <v>51</v>
      </c>
      <c r="D534" s="23" t="s">
        <v>17</v>
      </c>
      <c r="E534" s="96">
        <v>16620000</v>
      </c>
      <c r="F534" s="118">
        <v>16500000</v>
      </c>
      <c r="G534" s="23" t="s">
        <v>146</v>
      </c>
    </row>
    <row r="535" spans="1:7" x14ac:dyDescent="0.25">
      <c r="A535" s="37">
        <v>44713</v>
      </c>
      <c r="B535" s="362" t="s">
        <v>241</v>
      </c>
      <c r="C535" s="9" t="s">
        <v>45</v>
      </c>
      <c r="D535" s="23" t="s">
        <v>17</v>
      </c>
      <c r="E535" s="96">
        <v>13550000</v>
      </c>
      <c r="F535" s="118">
        <v>16500000</v>
      </c>
      <c r="G535" s="23" t="s">
        <v>146</v>
      </c>
    </row>
    <row r="536" spans="1:7" x14ac:dyDescent="0.25">
      <c r="A536" s="37">
        <v>44713</v>
      </c>
      <c r="B536" s="362" t="s">
        <v>241</v>
      </c>
      <c r="C536" s="9" t="s">
        <v>52</v>
      </c>
      <c r="D536" s="253" t="s">
        <v>17</v>
      </c>
      <c r="E536" s="280">
        <v>11780000</v>
      </c>
      <c r="F536" s="118">
        <v>16500000</v>
      </c>
      <c r="G536" s="23" t="s">
        <v>146</v>
      </c>
    </row>
    <row r="537" spans="1:7" x14ac:dyDescent="0.25">
      <c r="A537" s="37">
        <v>44713</v>
      </c>
      <c r="B537" s="362" t="s">
        <v>241</v>
      </c>
      <c r="C537" s="9" t="s">
        <v>53</v>
      </c>
      <c r="D537" s="23" t="s">
        <v>17</v>
      </c>
      <c r="E537" s="137">
        <v>8900000</v>
      </c>
      <c r="F537" s="118">
        <v>16500000</v>
      </c>
      <c r="G537" s="23" t="s">
        <v>146</v>
      </c>
    </row>
    <row r="538" spans="1:7" x14ac:dyDescent="0.25">
      <c r="A538" s="37">
        <v>44743</v>
      </c>
      <c r="B538" s="362" t="s">
        <v>242</v>
      </c>
      <c r="C538" s="23" t="s">
        <v>13</v>
      </c>
      <c r="D538" s="23" t="s">
        <v>4</v>
      </c>
      <c r="E538" s="110">
        <v>65142730</v>
      </c>
      <c r="F538" s="325">
        <v>65000000</v>
      </c>
      <c r="G538" s="23" t="s">
        <v>146</v>
      </c>
    </row>
    <row r="539" spans="1:7" x14ac:dyDescent="0.25">
      <c r="A539" s="37">
        <v>44743</v>
      </c>
      <c r="B539" s="362" t="s">
        <v>242</v>
      </c>
      <c r="C539" s="12" t="s">
        <v>11</v>
      </c>
      <c r="D539" s="23" t="s">
        <v>16</v>
      </c>
      <c r="E539" s="137">
        <v>21850000</v>
      </c>
      <c r="F539" s="118">
        <v>16000000</v>
      </c>
      <c r="G539" s="23" t="s">
        <v>146</v>
      </c>
    </row>
    <row r="540" spans="1:7" x14ac:dyDescent="0.25">
      <c r="A540" s="37">
        <v>44743</v>
      </c>
      <c r="B540" s="362" t="s">
        <v>242</v>
      </c>
      <c r="C540" s="12" t="s">
        <v>30</v>
      </c>
      <c r="D540" s="23" t="s">
        <v>16</v>
      </c>
      <c r="E540" s="137">
        <v>21200000</v>
      </c>
      <c r="F540" s="118">
        <v>16000000</v>
      </c>
      <c r="G540" s="23" t="s">
        <v>146</v>
      </c>
    </row>
    <row r="541" spans="1:7" x14ac:dyDescent="0.25">
      <c r="A541" s="37">
        <v>44743</v>
      </c>
      <c r="B541" s="362" t="s">
        <v>242</v>
      </c>
      <c r="C541" s="12" t="s">
        <v>50</v>
      </c>
      <c r="D541" s="23" t="s">
        <v>16</v>
      </c>
      <c r="E541" s="137">
        <v>12200000</v>
      </c>
      <c r="F541" s="118">
        <v>15000000</v>
      </c>
      <c r="G541" s="23" t="s">
        <v>146</v>
      </c>
    </row>
    <row r="542" spans="1:7" x14ac:dyDescent="0.25">
      <c r="A542" s="37">
        <v>44743</v>
      </c>
      <c r="B542" s="362" t="s">
        <v>242</v>
      </c>
      <c r="C542" s="12" t="s">
        <v>54</v>
      </c>
      <c r="D542" s="23" t="s">
        <v>16</v>
      </c>
      <c r="E542" s="137">
        <v>1900000</v>
      </c>
      <c r="F542" s="118">
        <v>15000000</v>
      </c>
      <c r="G542" s="23" t="s">
        <v>146</v>
      </c>
    </row>
    <row r="543" spans="1:7" x14ac:dyDescent="0.25">
      <c r="A543" s="37">
        <v>44743</v>
      </c>
      <c r="B543" s="362" t="s">
        <v>242</v>
      </c>
      <c r="C543" s="12" t="s">
        <v>51</v>
      </c>
      <c r="D543" s="23" t="s">
        <v>17</v>
      </c>
      <c r="E543" s="137">
        <v>27272730</v>
      </c>
      <c r="F543" s="118">
        <v>16500000</v>
      </c>
      <c r="G543" s="23" t="s">
        <v>146</v>
      </c>
    </row>
    <row r="544" spans="1:7" x14ac:dyDescent="0.25">
      <c r="A544" s="37">
        <v>44743</v>
      </c>
      <c r="B544" s="362" t="s">
        <v>242</v>
      </c>
      <c r="C544" s="12" t="s">
        <v>45</v>
      </c>
      <c r="D544" s="23" t="s">
        <v>17</v>
      </c>
      <c r="E544" s="137">
        <v>27270000</v>
      </c>
      <c r="F544" s="118">
        <v>16500000</v>
      </c>
      <c r="G544" s="23" t="s">
        <v>146</v>
      </c>
    </row>
    <row r="545" spans="1:7" x14ac:dyDescent="0.25">
      <c r="A545" s="37">
        <v>44743</v>
      </c>
      <c r="B545" s="362" t="s">
        <v>242</v>
      </c>
      <c r="C545" s="12" t="s">
        <v>55</v>
      </c>
      <c r="D545" s="23" t="s">
        <v>17</v>
      </c>
      <c r="E545" s="137">
        <v>4250000</v>
      </c>
      <c r="F545" s="118">
        <v>16500000</v>
      </c>
      <c r="G545" s="23" t="s">
        <v>146</v>
      </c>
    </row>
    <row r="546" spans="1:7" x14ac:dyDescent="0.25">
      <c r="A546" s="37">
        <v>44774</v>
      </c>
      <c r="B546" s="362" t="s">
        <v>243</v>
      </c>
      <c r="C546" s="23" t="s">
        <v>13</v>
      </c>
      <c r="D546" s="23" t="s">
        <v>4</v>
      </c>
      <c r="E546" s="110">
        <v>87841000</v>
      </c>
      <c r="F546" s="325">
        <v>65000000</v>
      </c>
      <c r="G546" s="23" t="s">
        <v>146</v>
      </c>
    </row>
    <row r="547" spans="1:7" x14ac:dyDescent="0.25">
      <c r="A547" s="37">
        <v>44774</v>
      </c>
      <c r="B547" s="362" t="s">
        <v>243</v>
      </c>
      <c r="C547" s="12" t="s">
        <v>11</v>
      </c>
      <c r="D547" s="23" t="s">
        <v>16</v>
      </c>
      <c r="E547" s="137">
        <v>7100000</v>
      </c>
      <c r="F547" s="118">
        <v>16000000</v>
      </c>
      <c r="G547" s="23" t="s">
        <v>146</v>
      </c>
    </row>
    <row r="548" spans="1:7" x14ac:dyDescent="0.25">
      <c r="A548" s="37">
        <v>44774</v>
      </c>
      <c r="B548" s="362" t="s">
        <v>243</v>
      </c>
      <c r="C548" s="12" t="s">
        <v>30</v>
      </c>
      <c r="D548" s="23" t="s">
        <v>16</v>
      </c>
      <c r="E548" s="137">
        <v>26582000</v>
      </c>
      <c r="F548" s="118">
        <v>16000000</v>
      </c>
      <c r="G548" s="23" t="s">
        <v>146</v>
      </c>
    </row>
    <row r="549" spans="1:7" x14ac:dyDescent="0.25">
      <c r="A549" s="37">
        <v>44774</v>
      </c>
      <c r="B549" s="362" t="s">
        <v>243</v>
      </c>
      <c r="C549" s="12" t="s">
        <v>50</v>
      </c>
      <c r="D549" s="23" t="s">
        <v>16</v>
      </c>
      <c r="E549" s="137">
        <v>20050000</v>
      </c>
      <c r="F549" s="118">
        <v>15000000</v>
      </c>
      <c r="G549" s="23" t="s">
        <v>146</v>
      </c>
    </row>
    <row r="550" spans="1:7" x14ac:dyDescent="0.25">
      <c r="A550" s="37">
        <v>44774</v>
      </c>
      <c r="B550" s="362" t="s">
        <v>243</v>
      </c>
      <c r="C550" s="12" t="s">
        <v>54</v>
      </c>
      <c r="D550" s="23" t="s">
        <v>16</v>
      </c>
      <c r="E550" s="137">
        <v>8650000</v>
      </c>
      <c r="F550" s="118">
        <v>15000000</v>
      </c>
      <c r="G550" s="23" t="s">
        <v>146</v>
      </c>
    </row>
    <row r="551" spans="1:7" ht="12" customHeight="1" x14ac:dyDescent="0.25">
      <c r="A551" s="37">
        <v>44774</v>
      </c>
      <c r="B551" s="362" t="s">
        <v>243</v>
      </c>
      <c r="C551" s="12" t="s">
        <v>56</v>
      </c>
      <c r="D551" s="23" t="s">
        <v>16</v>
      </c>
      <c r="E551" s="137">
        <v>2000000</v>
      </c>
      <c r="F551" s="118">
        <v>15000000</v>
      </c>
      <c r="G551" s="23" t="s">
        <v>146</v>
      </c>
    </row>
    <row r="552" spans="1:7" ht="12" customHeight="1" x14ac:dyDescent="0.25">
      <c r="A552" s="37">
        <v>44774</v>
      </c>
      <c r="B552" s="362" t="s">
        <v>243</v>
      </c>
      <c r="C552" s="12" t="s">
        <v>51</v>
      </c>
      <c r="D552" s="23" t="s">
        <v>17</v>
      </c>
      <c r="E552" s="137">
        <v>26374000</v>
      </c>
      <c r="F552" s="118">
        <v>16500000</v>
      </c>
      <c r="G552" s="23" t="s">
        <v>146</v>
      </c>
    </row>
    <row r="553" spans="1:7" ht="12" customHeight="1" x14ac:dyDescent="0.25">
      <c r="A553" s="37">
        <v>44774</v>
      </c>
      <c r="B553" s="362" t="s">
        <v>243</v>
      </c>
      <c r="C553" s="12" t="s">
        <v>45</v>
      </c>
      <c r="D553" s="23" t="s">
        <v>17</v>
      </c>
      <c r="E553" s="137">
        <v>24350000</v>
      </c>
      <c r="F553" s="118">
        <v>16500000</v>
      </c>
      <c r="G553" s="23" t="s">
        <v>146</v>
      </c>
    </row>
    <row r="554" spans="1:7" ht="12" customHeight="1" x14ac:dyDescent="0.25">
      <c r="A554" s="37">
        <v>44774</v>
      </c>
      <c r="B554" s="362" t="s">
        <v>243</v>
      </c>
      <c r="C554" s="12" t="s">
        <v>55</v>
      </c>
      <c r="D554" s="23" t="s">
        <v>17</v>
      </c>
      <c r="E554" s="137">
        <v>4250000</v>
      </c>
      <c r="F554" s="118">
        <v>16500000</v>
      </c>
      <c r="G554" s="23" t="s">
        <v>146</v>
      </c>
    </row>
    <row r="555" spans="1:7" x14ac:dyDescent="0.25">
      <c r="A555" s="37">
        <v>44774</v>
      </c>
      <c r="B555" s="362" t="s">
        <v>243</v>
      </c>
      <c r="C555" s="12" t="s">
        <v>57</v>
      </c>
      <c r="D555" s="23" t="s">
        <v>17</v>
      </c>
      <c r="E555" s="137">
        <v>3800000</v>
      </c>
      <c r="F555" s="118">
        <v>16500000</v>
      </c>
      <c r="G555" s="23" t="s">
        <v>146</v>
      </c>
    </row>
    <row r="556" spans="1:7" x14ac:dyDescent="0.25">
      <c r="A556" s="37">
        <v>44774</v>
      </c>
      <c r="B556" s="362" t="s">
        <v>243</v>
      </c>
      <c r="C556" s="281" t="s">
        <v>58</v>
      </c>
      <c r="D556" s="42" t="s">
        <v>17</v>
      </c>
      <c r="E556" s="146">
        <v>3200000</v>
      </c>
      <c r="F556" s="326">
        <v>16500000</v>
      </c>
      <c r="G556" s="23" t="s">
        <v>146</v>
      </c>
    </row>
    <row r="557" spans="1:7" x14ac:dyDescent="0.25">
      <c r="A557" s="37">
        <v>44805</v>
      </c>
      <c r="B557" s="362" t="s">
        <v>244</v>
      </c>
      <c r="C557" s="20" t="s">
        <v>8</v>
      </c>
      <c r="D557" s="23" t="s">
        <v>4</v>
      </c>
      <c r="E557" s="173">
        <v>46090000</v>
      </c>
      <c r="F557" s="238">
        <v>65000000</v>
      </c>
      <c r="G557" s="23" t="s">
        <v>146</v>
      </c>
    </row>
    <row r="558" spans="1:7" x14ac:dyDescent="0.25">
      <c r="A558" s="37">
        <v>44805</v>
      </c>
      <c r="B558" s="362" t="s">
        <v>244</v>
      </c>
      <c r="C558" s="9" t="s">
        <v>11</v>
      </c>
      <c r="D558" s="23" t="s">
        <v>16</v>
      </c>
      <c r="E558" s="298">
        <v>21750000</v>
      </c>
      <c r="F558" s="238">
        <v>16000000</v>
      </c>
      <c r="G558" s="23" t="s">
        <v>146</v>
      </c>
    </row>
    <row r="559" spans="1:7" x14ac:dyDescent="0.25">
      <c r="A559" s="37">
        <v>44805</v>
      </c>
      <c r="B559" s="362" t="s">
        <v>244</v>
      </c>
      <c r="C559" s="9" t="s">
        <v>30</v>
      </c>
      <c r="D559" s="23" t="s">
        <v>16</v>
      </c>
      <c r="E559" s="222">
        <v>19000000</v>
      </c>
      <c r="F559" s="238">
        <v>16000000</v>
      </c>
      <c r="G559" s="23" t="s">
        <v>146</v>
      </c>
    </row>
    <row r="560" spans="1:7" x14ac:dyDescent="0.25">
      <c r="A560" s="37">
        <v>44805</v>
      </c>
      <c r="B560" s="362" t="s">
        <v>244</v>
      </c>
      <c r="C560" s="9" t="s">
        <v>50</v>
      </c>
      <c r="D560" s="23" t="s">
        <v>16</v>
      </c>
      <c r="E560" s="222">
        <v>1200000</v>
      </c>
      <c r="F560" s="238">
        <v>15000000</v>
      </c>
      <c r="G560" s="23" t="s">
        <v>146</v>
      </c>
    </row>
    <row r="561" spans="1:7" x14ac:dyDescent="0.25">
      <c r="A561" s="37">
        <v>44805</v>
      </c>
      <c r="B561" s="362" t="s">
        <v>244</v>
      </c>
      <c r="C561" s="9" t="s">
        <v>51</v>
      </c>
      <c r="D561" s="23" t="s">
        <v>17</v>
      </c>
      <c r="E561" s="222">
        <v>22700000</v>
      </c>
      <c r="F561" s="238">
        <v>16500000</v>
      </c>
      <c r="G561" s="23" t="s">
        <v>146</v>
      </c>
    </row>
    <row r="562" spans="1:7" x14ac:dyDescent="0.25">
      <c r="A562" s="37">
        <v>44805</v>
      </c>
      <c r="B562" s="362" t="s">
        <v>244</v>
      </c>
      <c r="C562" s="9" t="s">
        <v>45</v>
      </c>
      <c r="D562" s="23" t="s">
        <v>17</v>
      </c>
      <c r="E562" s="222">
        <v>26200000</v>
      </c>
      <c r="F562" s="238">
        <v>16500000</v>
      </c>
      <c r="G562" s="23" t="s">
        <v>146</v>
      </c>
    </row>
    <row r="563" spans="1:7" x14ac:dyDescent="0.25">
      <c r="A563" s="37">
        <v>44805</v>
      </c>
      <c r="B563" s="362" t="s">
        <v>244</v>
      </c>
      <c r="C563" s="11" t="s">
        <v>58</v>
      </c>
      <c r="D563" s="23" t="s">
        <v>17</v>
      </c>
      <c r="E563" s="267">
        <v>18547000</v>
      </c>
      <c r="F563" s="238">
        <v>16500000</v>
      </c>
      <c r="G563" s="23" t="s">
        <v>146</v>
      </c>
    </row>
    <row r="564" spans="1:7" x14ac:dyDescent="0.25">
      <c r="A564" s="37">
        <v>44835</v>
      </c>
      <c r="B564" s="362" t="s">
        <v>245</v>
      </c>
      <c r="C564" s="20" t="s">
        <v>8</v>
      </c>
      <c r="D564" s="23" t="s">
        <v>4</v>
      </c>
      <c r="E564" s="271">
        <v>67950000</v>
      </c>
      <c r="F564" s="238">
        <v>65000000</v>
      </c>
      <c r="G564" s="23" t="s">
        <v>146</v>
      </c>
    </row>
    <row r="565" spans="1:7" x14ac:dyDescent="0.25">
      <c r="A565" s="37">
        <v>44835</v>
      </c>
      <c r="B565" s="362" t="s">
        <v>245</v>
      </c>
      <c r="C565" s="9" t="s">
        <v>11</v>
      </c>
      <c r="D565" s="23" t="s">
        <v>16</v>
      </c>
      <c r="E565" s="57">
        <v>20850000</v>
      </c>
      <c r="F565" s="238">
        <v>16000000</v>
      </c>
      <c r="G565" s="23" t="s">
        <v>146</v>
      </c>
    </row>
    <row r="566" spans="1:7" x14ac:dyDescent="0.25">
      <c r="A566" s="37">
        <v>44835</v>
      </c>
      <c r="B566" s="362" t="s">
        <v>245</v>
      </c>
      <c r="C566" s="9" t="s">
        <v>30</v>
      </c>
      <c r="D566" s="23" t="s">
        <v>16</v>
      </c>
      <c r="E566" s="57">
        <v>21450000</v>
      </c>
      <c r="F566" s="238">
        <v>16000000</v>
      </c>
      <c r="G566" s="23" t="s">
        <v>146</v>
      </c>
    </row>
    <row r="567" spans="1:7" x14ac:dyDescent="0.25">
      <c r="A567" s="37">
        <v>44835</v>
      </c>
      <c r="B567" s="362" t="s">
        <v>245</v>
      </c>
      <c r="C567" s="9" t="s">
        <v>50</v>
      </c>
      <c r="D567" s="23" t="s">
        <v>16</v>
      </c>
      <c r="E567" s="57">
        <v>22150000</v>
      </c>
      <c r="F567" s="238">
        <v>15000000</v>
      </c>
      <c r="G567" s="23" t="s">
        <v>146</v>
      </c>
    </row>
    <row r="568" spans="1:7" x14ac:dyDescent="0.25">
      <c r="A568" s="37">
        <v>44835</v>
      </c>
      <c r="B568" s="362" t="s">
        <v>245</v>
      </c>
      <c r="C568" s="10" t="s">
        <v>51</v>
      </c>
      <c r="D568" s="42" t="s">
        <v>17</v>
      </c>
      <c r="E568" s="272">
        <v>36900000</v>
      </c>
      <c r="F568" s="327">
        <v>16500000</v>
      </c>
      <c r="G568" s="42" t="s">
        <v>146</v>
      </c>
    </row>
    <row r="569" spans="1:7" x14ac:dyDescent="0.25">
      <c r="A569" s="37">
        <v>44835</v>
      </c>
      <c r="B569" s="362" t="s">
        <v>245</v>
      </c>
      <c r="C569" s="12" t="s">
        <v>45</v>
      </c>
      <c r="D569" s="23" t="s">
        <v>17</v>
      </c>
      <c r="E569" s="59">
        <v>22030000</v>
      </c>
      <c r="F569" s="278">
        <v>16500000</v>
      </c>
      <c r="G569" s="23" t="s">
        <v>146</v>
      </c>
    </row>
    <row r="570" spans="1:7" x14ac:dyDescent="0.25">
      <c r="A570" s="37">
        <v>44835</v>
      </c>
      <c r="B570" s="362" t="s">
        <v>245</v>
      </c>
      <c r="C570" s="12" t="s">
        <v>58</v>
      </c>
      <c r="D570" s="23" t="s">
        <v>17</v>
      </c>
      <c r="E570" s="59">
        <v>17980000</v>
      </c>
      <c r="F570" s="278">
        <v>16500000</v>
      </c>
      <c r="G570" s="23" t="s">
        <v>146</v>
      </c>
    </row>
    <row r="571" spans="1:7" x14ac:dyDescent="0.25">
      <c r="G571" s="24"/>
    </row>
    <row r="572" spans="1:7" x14ac:dyDescent="0.25">
      <c r="G572" s="24"/>
    </row>
    <row r="1048576" spans="6:6" x14ac:dyDescent="0.25">
      <c r="F1048576" s="255"/>
    </row>
  </sheetData>
  <autoFilter ref="A2:G570" xr:uid="{B413A111-9D2C-418C-8393-D7B4782AC702}"/>
  <mergeCells count="1">
    <mergeCell ref="A1:G1"/>
  </mergeCells>
  <phoneticPr fontId="5" type="noConversion"/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FFBCF-BF14-47AB-B845-3224F77E96F6}">
  <dimension ref="A1:F54"/>
  <sheetViews>
    <sheetView workbookViewId="0">
      <selection activeCell="C53" sqref="C53"/>
    </sheetView>
  </sheetViews>
  <sheetFormatPr baseColWidth="10" defaultRowHeight="13.2" x14ac:dyDescent="0.25"/>
  <cols>
    <col min="1" max="1" width="11.5546875" style="22"/>
    <col min="2" max="2" width="19.77734375" style="22" bestFit="1" customWidth="1"/>
    <col min="3" max="3" width="13" style="22" bestFit="1" customWidth="1"/>
    <col min="4" max="5" width="14.21875" style="22" bestFit="1" customWidth="1"/>
    <col min="6" max="16384" width="11.5546875" style="22"/>
  </cols>
  <sheetData>
    <row r="1" spans="1:6" x14ac:dyDescent="0.25">
      <c r="A1" s="367" t="s">
        <v>59</v>
      </c>
      <c r="B1" s="367"/>
      <c r="C1" s="367"/>
      <c r="D1" s="367"/>
      <c r="E1" s="367"/>
      <c r="F1" s="367"/>
    </row>
    <row r="2" spans="1:6" x14ac:dyDescent="0.25">
      <c r="A2" s="35" t="s">
        <v>0</v>
      </c>
      <c r="B2" s="23" t="s">
        <v>60</v>
      </c>
      <c r="C2" s="23" t="s">
        <v>2</v>
      </c>
      <c r="D2" s="23" t="s">
        <v>3</v>
      </c>
      <c r="E2" s="36" t="s">
        <v>1</v>
      </c>
      <c r="F2" s="52" t="s">
        <v>18</v>
      </c>
    </row>
    <row r="3" spans="1:6" x14ac:dyDescent="0.25">
      <c r="A3" s="37">
        <v>44562</v>
      </c>
      <c r="B3" s="14" t="s">
        <v>67</v>
      </c>
      <c r="C3" s="23" t="s">
        <v>4</v>
      </c>
      <c r="D3" s="126">
        <v>33500000</v>
      </c>
      <c r="E3" s="127">
        <v>35000000</v>
      </c>
      <c r="F3" s="23" t="s">
        <v>61</v>
      </c>
    </row>
    <row r="4" spans="1:6" x14ac:dyDescent="0.25">
      <c r="A4" s="37">
        <v>44562</v>
      </c>
      <c r="B4" s="11" t="s">
        <v>40</v>
      </c>
      <c r="C4" s="23" t="s">
        <v>16</v>
      </c>
      <c r="D4" s="127">
        <v>14500000</v>
      </c>
      <c r="E4" s="127">
        <v>13000000</v>
      </c>
      <c r="F4" s="23" t="s">
        <v>61</v>
      </c>
    </row>
    <row r="5" spans="1:6" x14ac:dyDescent="0.25">
      <c r="A5" s="37">
        <v>44562</v>
      </c>
      <c r="B5" s="11" t="s">
        <v>63</v>
      </c>
      <c r="C5" s="23" t="s">
        <v>16</v>
      </c>
      <c r="D5" s="127">
        <v>13400000</v>
      </c>
      <c r="E5" s="127">
        <v>13000000</v>
      </c>
      <c r="F5" s="23" t="s">
        <v>61</v>
      </c>
    </row>
    <row r="6" spans="1:6" x14ac:dyDescent="0.25">
      <c r="A6" s="37">
        <v>44562</v>
      </c>
      <c r="B6" s="11" t="s">
        <v>65</v>
      </c>
      <c r="C6" s="23" t="s">
        <v>62</v>
      </c>
      <c r="D6" s="127">
        <v>18392730</v>
      </c>
      <c r="E6" s="127">
        <v>17500000</v>
      </c>
      <c r="F6" s="23" t="s">
        <v>61</v>
      </c>
    </row>
    <row r="7" spans="1:6" x14ac:dyDescent="0.25">
      <c r="A7" s="37">
        <v>44562</v>
      </c>
      <c r="B7" s="33" t="s">
        <v>66</v>
      </c>
      <c r="C7" s="23" t="s">
        <v>62</v>
      </c>
      <c r="D7" s="127">
        <v>14100000</v>
      </c>
      <c r="E7" s="127">
        <v>17500000</v>
      </c>
      <c r="F7" s="23" t="s">
        <v>61</v>
      </c>
    </row>
    <row r="8" spans="1:6" x14ac:dyDescent="0.25">
      <c r="A8" s="37">
        <v>44593</v>
      </c>
      <c r="B8" s="15" t="s">
        <v>67</v>
      </c>
      <c r="C8" s="23" t="s">
        <v>4</v>
      </c>
      <c r="D8" s="126">
        <v>29920000</v>
      </c>
      <c r="E8" s="127">
        <v>35000000</v>
      </c>
      <c r="F8" s="23" t="s">
        <v>61</v>
      </c>
    </row>
    <row r="9" spans="1:6" x14ac:dyDescent="0.25">
      <c r="A9" s="37">
        <v>44593</v>
      </c>
      <c r="B9" s="257" t="s">
        <v>40</v>
      </c>
      <c r="C9" s="23" t="s">
        <v>16</v>
      </c>
      <c r="D9" s="127">
        <v>14520000</v>
      </c>
      <c r="E9" s="127">
        <v>13000000</v>
      </c>
      <c r="F9" s="23" t="s">
        <v>61</v>
      </c>
    </row>
    <row r="10" spans="1:6" x14ac:dyDescent="0.25">
      <c r="A10" s="37">
        <v>44593</v>
      </c>
      <c r="B10" s="11" t="s">
        <v>63</v>
      </c>
      <c r="C10" s="23" t="s">
        <v>16</v>
      </c>
      <c r="D10" s="127">
        <v>15400000</v>
      </c>
      <c r="E10" s="127">
        <v>13000000</v>
      </c>
      <c r="F10" s="23" t="s">
        <v>61</v>
      </c>
    </row>
    <row r="11" spans="1:6" x14ac:dyDescent="0.25">
      <c r="A11" s="37">
        <v>44593</v>
      </c>
      <c r="B11" s="11" t="s">
        <v>65</v>
      </c>
      <c r="C11" s="23" t="s">
        <v>62</v>
      </c>
      <c r="D11" s="126">
        <v>16320000</v>
      </c>
      <c r="E11" s="127">
        <v>17500000</v>
      </c>
      <c r="F11" s="23" t="s">
        <v>61</v>
      </c>
    </row>
    <row r="12" spans="1:6" x14ac:dyDescent="0.25">
      <c r="A12" s="37">
        <v>44593</v>
      </c>
      <c r="B12" s="11" t="s">
        <v>66</v>
      </c>
      <c r="C12" s="23" t="s">
        <v>62</v>
      </c>
      <c r="D12" s="126">
        <v>16250000</v>
      </c>
      <c r="E12" s="127">
        <v>17500000</v>
      </c>
      <c r="F12" s="23" t="s">
        <v>61</v>
      </c>
    </row>
    <row r="13" spans="1:6" x14ac:dyDescent="0.25">
      <c r="A13" s="37">
        <v>44621</v>
      </c>
      <c r="B13" s="15" t="s">
        <v>67</v>
      </c>
      <c r="C13" s="23" t="s">
        <v>4</v>
      </c>
      <c r="D13" s="126">
        <v>33500000</v>
      </c>
      <c r="E13" s="127">
        <v>35000000</v>
      </c>
      <c r="F13" s="23" t="s">
        <v>61</v>
      </c>
    </row>
    <row r="14" spans="1:6" x14ac:dyDescent="0.25">
      <c r="A14" s="37">
        <v>44621</v>
      </c>
      <c r="B14" s="257" t="s">
        <v>40</v>
      </c>
      <c r="C14" s="23" t="s">
        <v>16</v>
      </c>
      <c r="D14" s="127">
        <v>17600000</v>
      </c>
      <c r="E14" s="127">
        <v>13000000</v>
      </c>
      <c r="F14" s="23" t="s">
        <v>61</v>
      </c>
    </row>
    <row r="15" spans="1:6" x14ac:dyDescent="0.25">
      <c r="A15" s="37">
        <v>44621</v>
      </c>
      <c r="B15" s="11" t="s">
        <v>63</v>
      </c>
      <c r="C15" s="23" t="s">
        <v>16</v>
      </c>
      <c r="D15" s="127">
        <v>13750000</v>
      </c>
      <c r="E15" s="127">
        <v>13000000</v>
      </c>
      <c r="F15" s="23" t="s">
        <v>61</v>
      </c>
    </row>
    <row r="16" spans="1:6" x14ac:dyDescent="0.25">
      <c r="A16" s="37">
        <v>44621</v>
      </c>
      <c r="B16" s="11" t="s">
        <v>65</v>
      </c>
      <c r="C16" s="23" t="s">
        <v>62</v>
      </c>
      <c r="D16" s="127">
        <v>17650000</v>
      </c>
      <c r="E16" s="127">
        <v>17500000</v>
      </c>
      <c r="F16" s="23" t="s">
        <v>61</v>
      </c>
    </row>
    <row r="17" spans="1:6" x14ac:dyDescent="0.25">
      <c r="A17" s="37">
        <v>44621</v>
      </c>
      <c r="B17" s="11" t="s">
        <v>66</v>
      </c>
      <c r="C17" s="23" t="s">
        <v>62</v>
      </c>
      <c r="D17" s="127">
        <v>17650000</v>
      </c>
      <c r="E17" s="127">
        <v>17500000</v>
      </c>
      <c r="F17" s="23" t="s">
        <v>61</v>
      </c>
    </row>
    <row r="18" spans="1:6" x14ac:dyDescent="0.25">
      <c r="A18" s="37">
        <v>44652</v>
      </c>
      <c r="B18" s="15" t="s">
        <v>67</v>
      </c>
      <c r="C18" s="23" t="s">
        <v>4</v>
      </c>
      <c r="D18" s="126">
        <v>28120000</v>
      </c>
      <c r="E18" s="127">
        <v>35000000</v>
      </c>
      <c r="F18" s="23" t="s">
        <v>61</v>
      </c>
    </row>
    <row r="19" spans="1:6" x14ac:dyDescent="0.25">
      <c r="A19" s="37">
        <v>44652</v>
      </c>
      <c r="B19" s="257" t="s">
        <v>40</v>
      </c>
      <c r="C19" s="23" t="s">
        <v>16</v>
      </c>
      <c r="D19" s="127">
        <v>8900000</v>
      </c>
      <c r="E19" s="127">
        <v>13000000</v>
      </c>
      <c r="F19" s="23" t="s">
        <v>61</v>
      </c>
    </row>
    <row r="20" spans="1:6" x14ac:dyDescent="0.25">
      <c r="A20" s="37">
        <v>44652</v>
      </c>
      <c r="B20" s="11" t="s">
        <v>63</v>
      </c>
      <c r="C20" s="23" t="s">
        <v>16</v>
      </c>
      <c r="D20" s="127">
        <v>19220000</v>
      </c>
      <c r="E20" s="127">
        <v>13000000</v>
      </c>
      <c r="F20" s="23" t="s">
        <v>61</v>
      </c>
    </row>
    <row r="21" spans="1:6" x14ac:dyDescent="0.25">
      <c r="A21" s="37">
        <v>44652</v>
      </c>
      <c r="B21" s="11" t="s">
        <v>65</v>
      </c>
      <c r="C21" s="23" t="s">
        <v>62</v>
      </c>
      <c r="D21" s="127">
        <v>15970000</v>
      </c>
      <c r="E21" s="127">
        <v>17500000</v>
      </c>
      <c r="F21" s="23" t="s">
        <v>61</v>
      </c>
    </row>
    <row r="22" spans="1:6" x14ac:dyDescent="0.25">
      <c r="A22" s="37">
        <v>44652</v>
      </c>
      <c r="B22" s="11" t="s">
        <v>66</v>
      </c>
      <c r="C22" s="23" t="s">
        <v>62</v>
      </c>
      <c r="D22" s="127">
        <v>12150000</v>
      </c>
      <c r="E22" s="127">
        <v>17500000</v>
      </c>
      <c r="F22" s="23" t="s">
        <v>61</v>
      </c>
    </row>
    <row r="23" spans="1:6" x14ac:dyDescent="0.25">
      <c r="A23" s="37">
        <v>44682</v>
      </c>
      <c r="B23" s="15" t="s">
        <v>67</v>
      </c>
      <c r="C23" s="23" t="s">
        <v>4</v>
      </c>
      <c r="D23" s="127">
        <v>44430000</v>
      </c>
      <c r="E23" s="127">
        <v>35000000</v>
      </c>
      <c r="F23" s="23" t="s">
        <v>61</v>
      </c>
    </row>
    <row r="24" spans="1:6" x14ac:dyDescent="0.25">
      <c r="A24" s="37">
        <v>44682</v>
      </c>
      <c r="B24" s="257" t="s">
        <v>40</v>
      </c>
      <c r="C24" s="23" t="s">
        <v>16</v>
      </c>
      <c r="D24" s="127">
        <v>22500000</v>
      </c>
      <c r="E24" s="127">
        <v>13000000</v>
      </c>
      <c r="F24" s="23" t="s">
        <v>61</v>
      </c>
    </row>
    <row r="25" spans="1:6" x14ac:dyDescent="0.25">
      <c r="A25" s="37">
        <v>44682</v>
      </c>
      <c r="B25" s="11" t="s">
        <v>63</v>
      </c>
      <c r="C25" s="23" t="s">
        <v>16</v>
      </c>
      <c r="D25" s="127">
        <v>12180000</v>
      </c>
      <c r="E25" s="127">
        <v>13000000</v>
      </c>
      <c r="F25" s="23" t="s">
        <v>61</v>
      </c>
    </row>
    <row r="26" spans="1:6" x14ac:dyDescent="0.25">
      <c r="A26" s="37">
        <v>44682</v>
      </c>
      <c r="B26" s="11" t="s">
        <v>65</v>
      </c>
      <c r="C26" s="23" t="s">
        <v>62</v>
      </c>
      <c r="D26" s="127">
        <v>23400000</v>
      </c>
      <c r="E26" s="127">
        <v>17500000</v>
      </c>
      <c r="F26" s="23" t="s">
        <v>61</v>
      </c>
    </row>
    <row r="27" spans="1:6" x14ac:dyDescent="0.25">
      <c r="A27" s="37">
        <v>44682</v>
      </c>
      <c r="B27" s="11" t="s">
        <v>66</v>
      </c>
      <c r="C27" s="23" t="s">
        <v>62</v>
      </c>
      <c r="D27" s="127">
        <v>15730000</v>
      </c>
      <c r="E27" s="127">
        <v>17500000</v>
      </c>
      <c r="F27" s="23" t="s">
        <v>61</v>
      </c>
    </row>
    <row r="28" spans="1:6" x14ac:dyDescent="0.25">
      <c r="A28" s="37">
        <v>44713</v>
      </c>
      <c r="B28" s="14" t="s">
        <v>67</v>
      </c>
      <c r="C28" s="23" t="s">
        <v>4</v>
      </c>
      <c r="D28" s="126">
        <v>24100000</v>
      </c>
      <c r="E28" s="127">
        <v>35000000</v>
      </c>
      <c r="F28" s="23" t="s">
        <v>61</v>
      </c>
    </row>
    <row r="29" spans="1:6" x14ac:dyDescent="0.25">
      <c r="A29" s="37">
        <v>44713</v>
      </c>
      <c r="B29" s="11" t="s">
        <v>40</v>
      </c>
      <c r="C29" s="23" t="s">
        <v>16</v>
      </c>
      <c r="D29" s="127">
        <v>10600000</v>
      </c>
      <c r="E29" s="127">
        <v>13000000</v>
      </c>
      <c r="F29" s="23" t="s">
        <v>61</v>
      </c>
    </row>
    <row r="30" spans="1:6" x14ac:dyDescent="0.25">
      <c r="A30" s="37">
        <v>44713</v>
      </c>
      <c r="B30" s="11" t="s">
        <v>64</v>
      </c>
      <c r="C30" s="23" t="s">
        <v>16</v>
      </c>
      <c r="D30" s="127">
        <v>7650000</v>
      </c>
      <c r="E30" s="127">
        <v>13000000</v>
      </c>
      <c r="F30" s="23" t="s">
        <v>61</v>
      </c>
    </row>
    <row r="31" spans="1:6" x14ac:dyDescent="0.25">
      <c r="A31" s="37">
        <v>44713</v>
      </c>
      <c r="B31" s="11" t="s">
        <v>68</v>
      </c>
      <c r="C31" s="23" t="s">
        <v>16</v>
      </c>
      <c r="D31" s="127">
        <v>5850000</v>
      </c>
      <c r="E31" s="127">
        <v>13000000</v>
      </c>
      <c r="F31" s="23" t="s">
        <v>61</v>
      </c>
    </row>
    <row r="32" spans="1:6" x14ac:dyDescent="0.25">
      <c r="A32" s="37">
        <v>44713</v>
      </c>
      <c r="B32" s="11" t="s">
        <v>65</v>
      </c>
      <c r="C32" s="23" t="s">
        <v>62</v>
      </c>
      <c r="D32" s="127">
        <v>11900000</v>
      </c>
      <c r="E32" s="127">
        <v>17500000</v>
      </c>
      <c r="F32" s="23" t="s">
        <v>61</v>
      </c>
    </row>
    <row r="33" spans="1:6" x14ac:dyDescent="0.25">
      <c r="A33" s="37">
        <v>44713</v>
      </c>
      <c r="B33" s="11" t="s">
        <v>66</v>
      </c>
      <c r="C33" s="23" t="s">
        <v>62</v>
      </c>
      <c r="D33" s="127">
        <v>12200000</v>
      </c>
      <c r="E33" s="127">
        <v>17500000</v>
      </c>
      <c r="F33" s="23" t="s">
        <v>61</v>
      </c>
    </row>
    <row r="34" spans="1:6" x14ac:dyDescent="0.25">
      <c r="A34" s="37">
        <v>44743</v>
      </c>
      <c r="B34" s="15" t="s">
        <v>67</v>
      </c>
      <c r="C34" s="23" t="s">
        <v>4</v>
      </c>
      <c r="D34" s="126">
        <v>26350000</v>
      </c>
      <c r="E34" s="127">
        <v>35000000</v>
      </c>
      <c r="F34" s="23" t="s">
        <v>61</v>
      </c>
    </row>
    <row r="35" spans="1:6" x14ac:dyDescent="0.25">
      <c r="A35" s="37">
        <v>44743</v>
      </c>
      <c r="B35" s="11" t="s">
        <v>40</v>
      </c>
      <c r="C35" s="23" t="s">
        <v>16</v>
      </c>
      <c r="D35" s="127">
        <v>16400000</v>
      </c>
      <c r="E35" s="127">
        <v>13000000</v>
      </c>
      <c r="F35" s="23" t="s">
        <v>61</v>
      </c>
    </row>
    <row r="36" spans="1:6" x14ac:dyDescent="0.25">
      <c r="A36" s="37">
        <v>44743</v>
      </c>
      <c r="B36" s="11" t="s">
        <v>68</v>
      </c>
      <c r="C36" s="23" t="s">
        <v>16</v>
      </c>
      <c r="D36" s="127">
        <v>9950000</v>
      </c>
      <c r="E36" s="127">
        <v>13000000</v>
      </c>
      <c r="F36" s="23" t="s">
        <v>61</v>
      </c>
    </row>
    <row r="37" spans="1:6" x14ac:dyDescent="0.25">
      <c r="A37" s="37">
        <v>44743</v>
      </c>
      <c r="B37" s="11" t="s">
        <v>65</v>
      </c>
      <c r="C37" s="23" t="s">
        <v>62</v>
      </c>
      <c r="D37" s="127">
        <v>20610000</v>
      </c>
      <c r="E37" s="127">
        <v>17500000</v>
      </c>
      <c r="F37" s="23" t="s">
        <v>61</v>
      </c>
    </row>
    <row r="38" spans="1:6" x14ac:dyDescent="0.25">
      <c r="A38" s="37">
        <v>44743</v>
      </c>
      <c r="B38" s="33" t="s">
        <v>66</v>
      </c>
      <c r="C38" s="23" t="s">
        <v>62</v>
      </c>
      <c r="D38" s="127">
        <v>21400000</v>
      </c>
      <c r="E38" s="127">
        <v>17500000</v>
      </c>
      <c r="F38" s="23" t="s">
        <v>61</v>
      </c>
    </row>
    <row r="39" spans="1:6" x14ac:dyDescent="0.25">
      <c r="A39" s="37">
        <v>44774</v>
      </c>
      <c r="B39" s="15" t="s">
        <v>67</v>
      </c>
      <c r="C39" s="23" t="s">
        <v>4</v>
      </c>
      <c r="D39" s="126">
        <v>32585000</v>
      </c>
      <c r="E39" s="127">
        <v>35000000</v>
      </c>
      <c r="F39" s="23" t="s">
        <v>61</v>
      </c>
    </row>
    <row r="40" spans="1:6" x14ac:dyDescent="0.25">
      <c r="A40" s="37">
        <v>44774</v>
      </c>
      <c r="B40" s="257" t="s">
        <v>40</v>
      </c>
      <c r="C40" s="23" t="s">
        <v>16</v>
      </c>
      <c r="D40" s="127">
        <v>17450000</v>
      </c>
      <c r="E40" s="127">
        <v>13000000</v>
      </c>
      <c r="F40" s="23" t="s">
        <v>61</v>
      </c>
    </row>
    <row r="41" spans="1:6" x14ac:dyDescent="0.25">
      <c r="A41" s="37">
        <v>44774</v>
      </c>
      <c r="B41" s="11" t="s">
        <v>68</v>
      </c>
      <c r="C41" s="23" t="s">
        <v>16</v>
      </c>
      <c r="D41" s="127">
        <v>13285000</v>
      </c>
      <c r="E41" s="127">
        <v>13000000</v>
      </c>
      <c r="F41" s="23" t="s">
        <v>61</v>
      </c>
    </row>
    <row r="42" spans="1:6" x14ac:dyDescent="0.25">
      <c r="A42" s="41">
        <v>44774</v>
      </c>
      <c r="B42" s="33" t="s">
        <v>66</v>
      </c>
      <c r="C42" s="42" t="s">
        <v>62</v>
      </c>
      <c r="D42" s="282">
        <v>17735000</v>
      </c>
      <c r="E42" s="282">
        <v>17500000</v>
      </c>
      <c r="F42" s="42" t="s">
        <v>61</v>
      </c>
    </row>
    <row r="43" spans="1:6" x14ac:dyDescent="0.25">
      <c r="A43" s="41">
        <v>44805</v>
      </c>
      <c r="B43" s="30" t="s">
        <v>67</v>
      </c>
      <c r="C43" s="23" t="s">
        <v>4</v>
      </c>
      <c r="D43" s="268">
        <v>35907000</v>
      </c>
      <c r="E43" s="241">
        <v>35000000</v>
      </c>
      <c r="F43" s="42" t="s">
        <v>61</v>
      </c>
    </row>
    <row r="44" spans="1:6" x14ac:dyDescent="0.25">
      <c r="A44" s="41">
        <v>44805</v>
      </c>
      <c r="B44" s="11" t="s">
        <v>40</v>
      </c>
      <c r="C44" s="23" t="s">
        <v>16</v>
      </c>
      <c r="D44" s="241">
        <v>17000000</v>
      </c>
      <c r="E44" s="241">
        <v>13000000</v>
      </c>
      <c r="F44" s="42" t="s">
        <v>61</v>
      </c>
    </row>
    <row r="45" spans="1:6" x14ac:dyDescent="0.25">
      <c r="A45" s="41">
        <v>44805</v>
      </c>
      <c r="B45" s="11" t="s">
        <v>68</v>
      </c>
      <c r="C45" s="23" t="s">
        <v>16</v>
      </c>
      <c r="D45" s="241">
        <v>18907000</v>
      </c>
      <c r="E45" s="241">
        <v>13000000</v>
      </c>
      <c r="F45" s="42" t="s">
        <v>61</v>
      </c>
    </row>
    <row r="46" spans="1:6" x14ac:dyDescent="0.25">
      <c r="A46" s="41">
        <v>44805</v>
      </c>
      <c r="B46" s="11" t="s">
        <v>66</v>
      </c>
      <c r="C46" s="23" t="s">
        <v>62</v>
      </c>
      <c r="D46" s="241">
        <v>11000000</v>
      </c>
      <c r="E46" s="241">
        <v>17500000</v>
      </c>
      <c r="F46" s="42" t="s">
        <v>61</v>
      </c>
    </row>
    <row r="47" spans="1:6" x14ac:dyDescent="0.25">
      <c r="A47" s="41">
        <v>44835</v>
      </c>
      <c r="B47" s="30" t="s">
        <v>67</v>
      </c>
      <c r="C47" s="23" t="s">
        <v>4</v>
      </c>
      <c r="D47" s="173">
        <v>31680000</v>
      </c>
      <c r="E47" s="241">
        <v>35000000</v>
      </c>
      <c r="F47" s="42" t="s">
        <v>61</v>
      </c>
    </row>
    <row r="48" spans="1:6" x14ac:dyDescent="0.25">
      <c r="A48" s="41">
        <v>44835</v>
      </c>
      <c r="B48" s="11" t="s">
        <v>40</v>
      </c>
      <c r="C48" s="23" t="s">
        <v>16</v>
      </c>
      <c r="D48" s="166">
        <v>13800000</v>
      </c>
      <c r="E48" s="241">
        <v>13000000</v>
      </c>
      <c r="F48" s="42" t="s">
        <v>61</v>
      </c>
    </row>
    <row r="49" spans="1:6" x14ac:dyDescent="0.25">
      <c r="A49" s="37">
        <v>44835</v>
      </c>
      <c r="B49" s="328" t="s">
        <v>68</v>
      </c>
      <c r="C49" s="23" t="s">
        <v>16</v>
      </c>
      <c r="D49" s="241">
        <v>15200000</v>
      </c>
      <c r="E49" s="241">
        <v>13000000</v>
      </c>
      <c r="F49" s="42" t="s">
        <v>61</v>
      </c>
    </row>
    <row r="50" spans="1:6" x14ac:dyDescent="0.25">
      <c r="A50" s="37">
        <v>44835</v>
      </c>
      <c r="B50" s="328" t="s">
        <v>66</v>
      </c>
      <c r="C50" s="23" t="s">
        <v>62</v>
      </c>
      <c r="D50" s="241">
        <v>21920000</v>
      </c>
      <c r="E50" s="162">
        <v>17500000</v>
      </c>
      <c r="F50" s="23" t="s">
        <v>61</v>
      </c>
    </row>
    <row r="51" spans="1:6" x14ac:dyDescent="0.25">
      <c r="A51" s="24"/>
      <c r="B51" s="24"/>
      <c r="C51" s="24"/>
      <c r="D51" s="24"/>
      <c r="E51" s="24"/>
      <c r="F51" s="24"/>
    </row>
    <row r="52" spans="1:6" x14ac:dyDescent="0.25">
      <c r="A52" s="24"/>
      <c r="B52" s="24"/>
      <c r="C52" s="24"/>
      <c r="D52" s="24"/>
      <c r="E52" s="24"/>
      <c r="F52" s="24"/>
    </row>
    <row r="53" spans="1:6" x14ac:dyDescent="0.25">
      <c r="A53" s="24"/>
      <c r="B53" s="24"/>
      <c r="C53" s="24"/>
      <c r="D53" s="24"/>
      <c r="E53" s="24"/>
      <c r="F53" s="24"/>
    </row>
    <row r="54" spans="1:6" x14ac:dyDescent="0.25">
      <c r="A54" s="24"/>
      <c r="B54" s="24"/>
      <c r="C54" s="24"/>
      <c r="D54" s="24"/>
      <c r="E54" s="24"/>
      <c r="F54" s="24"/>
    </row>
  </sheetData>
  <autoFilter ref="A2:F42" xr:uid="{970FFBCF-BF14-47AB-B845-3224F77E96F6}"/>
  <mergeCells count="1">
    <mergeCell ref="A1:F1"/>
  </mergeCell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98971-3406-4A45-AF1A-C47655E76C94}">
  <dimension ref="A1:F407"/>
  <sheetViews>
    <sheetView topLeftCell="A367" workbookViewId="0">
      <selection activeCell="B422" sqref="B422"/>
    </sheetView>
  </sheetViews>
  <sheetFormatPr baseColWidth="10" defaultRowHeight="13.2" x14ac:dyDescent="0.25"/>
  <cols>
    <col min="1" max="1" width="11.5546875" style="22"/>
    <col min="2" max="2" width="26.33203125" style="22" bestFit="1" customWidth="1"/>
    <col min="3" max="3" width="13" style="22" bestFit="1" customWidth="1"/>
    <col min="4" max="5" width="15.77734375" style="22" bestFit="1" customWidth="1"/>
    <col min="6" max="16384" width="11.5546875" style="22"/>
  </cols>
  <sheetData>
    <row r="1" spans="1:6" x14ac:dyDescent="0.25">
      <c r="A1" s="367" t="s">
        <v>69</v>
      </c>
      <c r="B1" s="367"/>
      <c r="C1" s="367"/>
      <c r="D1" s="367"/>
      <c r="E1" s="367"/>
      <c r="F1" s="367"/>
    </row>
    <row r="2" spans="1:6" x14ac:dyDescent="0.25">
      <c r="A2" s="35" t="s">
        <v>0</v>
      </c>
      <c r="B2" s="23" t="s">
        <v>60</v>
      </c>
      <c r="C2" s="23" t="s">
        <v>2</v>
      </c>
      <c r="D2" s="23" t="s">
        <v>3</v>
      </c>
      <c r="E2" s="36" t="s">
        <v>1</v>
      </c>
      <c r="F2" s="52" t="s">
        <v>18</v>
      </c>
    </row>
    <row r="3" spans="1:6" x14ac:dyDescent="0.25">
      <c r="A3" s="37">
        <v>43101</v>
      </c>
      <c r="B3" s="23" t="s">
        <v>70</v>
      </c>
      <c r="C3" s="23" t="s">
        <v>4</v>
      </c>
      <c r="D3" s="128">
        <v>22970000</v>
      </c>
      <c r="E3" s="129">
        <v>42000000</v>
      </c>
      <c r="F3" s="23" t="s">
        <v>74</v>
      </c>
    </row>
    <row r="4" spans="1:6" x14ac:dyDescent="0.25">
      <c r="A4" s="37">
        <v>43101</v>
      </c>
      <c r="B4" s="18" t="s">
        <v>71</v>
      </c>
      <c r="C4" s="23" t="s">
        <v>16</v>
      </c>
      <c r="D4" s="75">
        <v>9140000</v>
      </c>
      <c r="E4" s="129">
        <v>13500000</v>
      </c>
      <c r="F4" s="23" t="s">
        <v>74</v>
      </c>
    </row>
    <row r="5" spans="1:6" x14ac:dyDescent="0.25">
      <c r="A5" s="37">
        <v>43101</v>
      </c>
      <c r="B5" s="18" t="s">
        <v>72</v>
      </c>
      <c r="C5" s="23" t="s">
        <v>16</v>
      </c>
      <c r="D5" s="75">
        <v>10430000</v>
      </c>
      <c r="E5" s="129">
        <v>13500000</v>
      </c>
      <c r="F5" s="23" t="s">
        <v>74</v>
      </c>
    </row>
    <row r="6" spans="1:6" x14ac:dyDescent="0.25">
      <c r="A6" s="37">
        <v>43101</v>
      </c>
      <c r="B6" s="18" t="s">
        <v>73</v>
      </c>
      <c r="C6" s="23" t="s">
        <v>16</v>
      </c>
      <c r="D6" s="118">
        <v>4050000</v>
      </c>
      <c r="E6" s="129">
        <v>13500000</v>
      </c>
      <c r="F6" s="23" t="s">
        <v>74</v>
      </c>
    </row>
    <row r="7" spans="1:6" x14ac:dyDescent="0.25">
      <c r="A7" s="37">
        <v>43132</v>
      </c>
      <c r="B7" s="23" t="s">
        <v>70</v>
      </c>
      <c r="C7" s="23" t="s">
        <v>4</v>
      </c>
      <c r="D7" s="128">
        <v>38565000</v>
      </c>
      <c r="E7" s="129">
        <v>42000000</v>
      </c>
      <c r="F7" s="23" t="s">
        <v>74</v>
      </c>
    </row>
    <row r="8" spans="1:6" x14ac:dyDescent="0.25">
      <c r="A8" s="37">
        <v>43132</v>
      </c>
      <c r="B8" s="18" t="s">
        <v>71</v>
      </c>
      <c r="C8" s="23" t="s">
        <v>16</v>
      </c>
      <c r="D8" s="75">
        <v>10515000</v>
      </c>
      <c r="E8" s="129">
        <v>13500000</v>
      </c>
      <c r="F8" s="23" t="s">
        <v>74</v>
      </c>
    </row>
    <row r="9" spans="1:6" x14ac:dyDescent="0.25">
      <c r="A9" s="37">
        <v>43132</v>
      </c>
      <c r="B9" s="18" t="s">
        <v>72</v>
      </c>
      <c r="C9" s="23" t="s">
        <v>16</v>
      </c>
      <c r="D9" s="75">
        <v>12140000</v>
      </c>
      <c r="E9" s="129">
        <v>13500000</v>
      </c>
      <c r="F9" s="23" t="s">
        <v>74</v>
      </c>
    </row>
    <row r="10" spans="1:6" x14ac:dyDescent="0.25">
      <c r="A10" s="37">
        <v>43132</v>
      </c>
      <c r="B10" s="18" t="s">
        <v>73</v>
      </c>
      <c r="C10" s="23" t="s">
        <v>16</v>
      </c>
      <c r="D10" s="75">
        <v>13480000</v>
      </c>
      <c r="E10" s="129">
        <v>13500000</v>
      </c>
      <c r="F10" s="23" t="s">
        <v>74</v>
      </c>
    </row>
    <row r="11" spans="1:6" x14ac:dyDescent="0.25">
      <c r="A11" s="37">
        <v>43160</v>
      </c>
      <c r="B11" s="23" t="s">
        <v>70</v>
      </c>
      <c r="C11" s="23" t="s">
        <v>4</v>
      </c>
      <c r="D11" s="128">
        <v>25245000</v>
      </c>
      <c r="E11" s="129">
        <v>42000000</v>
      </c>
      <c r="F11" s="23" t="s">
        <v>74</v>
      </c>
    </row>
    <row r="12" spans="1:6" x14ac:dyDescent="0.25">
      <c r="A12" s="37">
        <v>43160</v>
      </c>
      <c r="B12" s="18" t="s">
        <v>71</v>
      </c>
      <c r="C12" s="23" t="s">
        <v>16</v>
      </c>
      <c r="D12" s="118">
        <v>6550000</v>
      </c>
      <c r="E12" s="129">
        <v>13500000</v>
      </c>
      <c r="F12" s="23" t="s">
        <v>74</v>
      </c>
    </row>
    <row r="13" spans="1:6" x14ac:dyDescent="0.25">
      <c r="A13" s="37">
        <v>43160</v>
      </c>
      <c r="B13" s="18" t="s">
        <v>72</v>
      </c>
      <c r="C13" s="23" t="s">
        <v>16</v>
      </c>
      <c r="D13" s="75">
        <v>6240000</v>
      </c>
      <c r="E13" s="129">
        <v>13500000</v>
      </c>
      <c r="F13" s="23" t="s">
        <v>74</v>
      </c>
    </row>
    <row r="14" spans="1:6" x14ac:dyDescent="0.25">
      <c r="A14" s="37">
        <v>43160</v>
      </c>
      <c r="B14" s="18" t="s">
        <v>73</v>
      </c>
      <c r="C14" s="23" t="s">
        <v>16</v>
      </c>
      <c r="D14" s="118">
        <v>5650000</v>
      </c>
      <c r="E14" s="129">
        <v>13500000</v>
      </c>
      <c r="F14" s="23" t="s">
        <v>74</v>
      </c>
    </row>
    <row r="15" spans="1:6" x14ac:dyDescent="0.25">
      <c r="A15" s="37">
        <v>43191</v>
      </c>
      <c r="B15" s="23" t="s">
        <v>70</v>
      </c>
      <c r="C15" s="23" t="s">
        <v>4</v>
      </c>
      <c r="D15" s="128">
        <v>20430030</v>
      </c>
      <c r="E15" s="129">
        <v>42000000</v>
      </c>
      <c r="F15" s="23" t="s">
        <v>74</v>
      </c>
    </row>
    <row r="16" spans="1:6" x14ac:dyDescent="0.25">
      <c r="A16" s="37">
        <v>43191</v>
      </c>
      <c r="B16" s="18" t="s">
        <v>71</v>
      </c>
      <c r="C16" s="23" t="s">
        <v>16</v>
      </c>
      <c r="D16" s="75">
        <v>11630600</v>
      </c>
      <c r="E16" s="129">
        <v>13500000</v>
      </c>
      <c r="F16" s="23" t="s">
        <v>74</v>
      </c>
    </row>
    <row r="17" spans="1:6" x14ac:dyDescent="0.25">
      <c r="A17" s="37">
        <v>43191</v>
      </c>
      <c r="B17" s="18" t="s">
        <v>72</v>
      </c>
      <c r="C17" s="23" t="s">
        <v>16</v>
      </c>
      <c r="D17" s="75">
        <v>13770000</v>
      </c>
      <c r="E17" s="129">
        <v>13500000</v>
      </c>
      <c r="F17" s="23" t="s">
        <v>74</v>
      </c>
    </row>
    <row r="18" spans="1:6" x14ac:dyDescent="0.25">
      <c r="A18" s="37">
        <v>43191</v>
      </c>
      <c r="B18" s="18" t="s">
        <v>73</v>
      </c>
      <c r="C18" s="23" t="s">
        <v>16</v>
      </c>
      <c r="D18" s="118">
        <v>4700000</v>
      </c>
      <c r="E18" s="129">
        <v>13500000</v>
      </c>
      <c r="F18" s="23" t="s">
        <v>74</v>
      </c>
    </row>
    <row r="19" spans="1:6" x14ac:dyDescent="0.25">
      <c r="A19" s="37">
        <v>43221</v>
      </c>
      <c r="B19" s="23" t="s">
        <v>70</v>
      </c>
      <c r="C19" s="23" t="s">
        <v>4</v>
      </c>
      <c r="D19" s="128">
        <v>21968300</v>
      </c>
      <c r="E19" s="129">
        <v>42000000</v>
      </c>
      <c r="F19" s="23" t="s">
        <v>74</v>
      </c>
    </row>
    <row r="20" spans="1:6" x14ac:dyDescent="0.25">
      <c r="A20" s="37">
        <v>43221</v>
      </c>
      <c r="B20" s="18" t="s">
        <v>71</v>
      </c>
      <c r="C20" s="23" t="s">
        <v>16</v>
      </c>
      <c r="D20" s="75">
        <v>13050000</v>
      </c>
      <c r="E20" s="129">
        <v>13500000</v>
      </c>
      <c r="F20" s="23" t="s">
        <v>74</v>
      </c>
    </row>
    <row r="21" spans="1:6" x14ac:dyDescent="0.25">
      <c r="A21" s="37">
        <v>43221</v>
      </c>
      <c r="B21" s="18" t="s">
        <v>72</v>
      </c>
      <c r="C21" s="23" t="s">
        <v>16</v>
      </c>
      <c r="D21" s="118">
        <v>2350000</v>
      </c>
      <c r="E21" s="129">
        <v>13500000</v>
      </c>
      <c r="F21" s="23" t="s">
        <v>74</v>
      </c>
    </row>
    <row r="22" spans="1:6" x14ac:dyDescent="0.25">
      <c r="A22" s="37">
        <v>43221</v>
      </c>
      <c r="B22" s="18" t="s">
        <v>73</v>
      </c>
      <c r="C22" s="23" t="s">
        <v>16</v>
      </c>
      <c r="D22" s="118">
        <v>6568300</v>
      </c>
      <c r="E22" s="129">
        <v>13500000</v>
      </c>
      <c r="F22" s="23" t="s">
        <v>74</v>
      </c>
    </row>
    <row r="23" spans="1:6" x14ac:dyDescent="0.25">
      <c r="A23" s="37">
        <v>43252</v>
      </c>
      <c r="B23" s="23" t="s">
        <v>70</v>
      </c>
      <c r="C23" s="23" t="s">
        <v>4</v>
      </c>
      <c r="D23" s="128">
        <v>32676240</v>
      </c>
      <c r="E23" s="129">
        <v>42000000</v>
      </c>
      <c r="F23" s="23" t="s">
        <v>74</v>
      </c>
    </row>
    <row r="24" spans="1:6" x14ac:dyDescent="0.25">
      <c r="A24" s="37">
        <v>43252</v>
      </c>
      <c r="B24" s="18" t="s">
        <v>71</v>
      </c>
      <c r="C24" s="23" t="s">
        <v>16</v>
      </c>
      <c r="D24" s="75">
        <v>10860000</v>
      </c>
      <c r="E24" s="129">
        <v>13500000</v>
      </c>
      <c r="F24" s="23" t="s">
        <v>74</v>
      </c>
    </row>
    <row r="25" spans="1:6" x14ac:dyDescent="0.25">
      <c r="A25" s="37">
        <v>43252</v>
      </c>
      <c r="B25" s="18" t="s">
        <v>72</v>
      </c>
      <c r="C25" s="23" t="s">
        <v>16</v>
      </c>
      <c r="D25" s="75">
        <v>9050000</v>
      </c>
      <c r="E25" s="129">
        <v>13500000</v>
      </c>
      <c r="F25" s="23" t="s">
        <v>74</v>
      </c>
    </row>
    <row r="26" spans="1:6" x14ac:dyDescent="0.25">
      <c r="A26" s="37">
        <v>43252</v>
      </c>
      <c r="B26" s="18" t="s">
        <v>73</v>
      </c>
      <c r="C26" s="23" t="s">
        <v>16</v>
      </c>
      <c r="D26" s="75">
        <v>10050000</v>
      </c>
      <c r="E26" s="129">
        <v>13500000</v>
      </c>
      <c r="F26" s="23" t="s">
        <v>74</v>
      </c>
    </row>
    <row r="27" spans="1:6" x14ac:dyDescent="0.25">
      <c r="A27" s="37">
        <v>43282</v>
      </c>
      <c r="B27" s="23" t="s">
        <v>70</v>
      </c>
      <c r="C27" s="23" t="s">
        <v>4</v>
      </c>
      <c r="D27" s="128">
        <v>26780000</v>
      </c>
      <c r="E27" s="129">
        <v>42000000</v>
      </c>
      <c r="F27" s="23" t="s">
        <v>74</v>
      </c>
    </row>
    <row r="28" spans="1:6" x14ac:dyDescent="0.25">
      <c r="A28" s="37">
        <v>43282</v>
      </c>
      <c r="B28" s="18" t="s">
        <v>71</v>
      </c>
      <c r="C28" s="23" t="s">
        <v>16</v>
      </c>
      <c r="D28" s="75">
        <v>15375000</v>
      </c>
      <c r="E28" s="129">
        <v>13500000</v>
      </c>
      <c r="F28" s="23" t="s">
        <v>74</v>
      </c>
    </row>
    <row r="29" spans="1:6" x14ac:dyDescent="0.25">
      <c r="A29" s="37">
        <v>43282</v>
      </c>
      <c r="B29" s="18" t="s">
        <v>72</v>
      </c>
      <c r="C29" s="23" t="s">
        <v>16</v>
      </c>
      <c r="D29" s="75">
        <v>3140000</v>
      </c>
      <c r="E29" s="129">
        <v>13500000</v>
      </c>
      <c r="F29" s="23" t="s">
        <v>74</v>
      </c>
    </row>
    <row r="30" spans="1:6" x14ac:dyDescent="0.25">
      <c r="A30" s="37">
        <v>43282</v>
      </c>
      <c r="B30" s="18" t="s">
        <v>73</v>
      </c>
      <c r="C30" s="23" t="s">
        <v>16</v>
      </c>
      <c r="D30" s="75">
        <v>8265000</v>
      </c>
      <c r="E30" s="129">
        <v>13500000</v>
      </c>
      <c r="F30" s="23" t="s">
        <v>74</v>
      </c>
    </row>
    <row r="31" spans="1:6" x14ac:dyDescent="0.25">
      <c r="A31" s="37">
        <v>43313</v>
      </c>
      <c r="B31" s="23" t="s">
        <v>70</v>
      </c>
      <c r="C31" s="23" t="s">
        <v>4</v>
      </c>
      <c r="D31" s="128">
        <v>43910000</v>
      </c>
      <c r="E31" s="129">
        <v>42000000</v>
      </c>
      <c r="F31" s="23" t="s">
        <v>74</v>
      </c>
    </row>
    <row r="32" spans="1:6" x14ac:dyDescent="0.25">
      <c r="A32" s="37">
        <v>43313</v>
      </c>
      <c r="B32" s="18" t="s">
        <v>71</v>
      </c>
      <c r="C32" s="23" t="s">
        <v>16</v>
      </c>
      <c r="D32" s="75">
        <v>11360000</v>
      </c>
      <c r="E32" s="129">
        <v>13500000</v>
      </c>
      <c r="F32" s="23" t="s">
        <v>74</v>
      </c>
    </row>
    <row r="33" spans="1:6" x14ac:dyDescent="0.25">
      <c r="A33" s="37">
        <v>43313</v>
      </c>
      <c r="B33" s="18" t="s">
        <v>72</v>
      </c>
      <c r="C33" s="23" t="s">
        <v>16</v>
      </c>
      <c r="D33" s="75">
        <v>13200000</v>
      </c>
      <c r="E33" s="129">
        <v>13500000</v>
      </c>
      <c r="F33" s="23" t="s">
        <v>74</v>
      </c>
    </row>
    <row r="34" spans="1:6" x14ac:dyDescent="0.25">
      <c r="A34" s="37">
        <v>43313</v>
      </c>
      <c r="B34" s="18" t="s">
        <v>73</v>
      </c>
      <c r="C34" s="23" t="s">
        <v>16</v>
      </c>
      <c r="D34" s="75">
        <v>19350000</v>
      </c>
      <c r="E34" s="129">
        <v>13500000</v>
      </c>
      <c r="F34" s="23" t="s">
        <v>74</v>
      </c>
    </row>
    <row r="35" spans="1:6" x14ac:dyDescent="0.25">
      <c r="A35" s="37">
        <v>43344</v>
      </c>
      <c r="B35" s="23" t="s">
        <v>70</v>
      </c>
      <c r="C35" s="23" t="s">
        <v>4</v>
      </c>
      <c r="D35" s="128">
        <v>33140000</v>
      </c>
      <c r="E35" s="129">
        <v>42000000</v>
      </c>
      <c r="F35" s="23" t="s">
        <v>74</v>
      </c>
    </row>
    <row r="36" spans="1:6" x14ac:dyDescent="0.25">
      <c r="A36" s="37">
        <v>43344</v>
      </c>
      <c r="B36" s="18" t="s">
        <v>71</v>
      </c>
      <c r="C36" s="23" t="s">
        <v>16</v>
      </c>
      <c r="D36" s="75">
        <v>7500000</v>
      </c>
      <c r="E36" s="130">
        <v>13500000</v>
      </c>
      <c r="F36" s="23" t="s">
        <v>74</v>
      </c>
    </row>
    <row r="37" spans="1:6" x14ac:dyDescent="0.25">
      <c r="A37" s="37">
        <v>43344</v>
      </c>
      <c r="B37" s="18" t="s">
        <v>72</v>
      </c>
      <c r="C37" s="23" t="s">
        <v>16</v>
      </c>
      <c r="D37" s="75">
        <v>11460000</v>
      </c>
      <c r="E37" s="130">
        <v>13500000</v>
      </c>
      <c r="F37" s="23" t="s">
        <v>74</v>
      </c>
    </row>
    <row r="38" spans="1:6" x14ac:dyDescent="0.25">
      <c r="A38" s="37">
        <v>43344</v>
      </c>
      <c r="B38" s="18" t="s">
        <v>73</v>
      </c>
      <c r="C38" s="23" t="s">
        <v>16</v>
      </c>
      <c r="D38" s="75">
        <v>14180000</v>
      </c>
      <c r="E38" s="130">
        <v>13500000</v>
      </c>
      <c r="F38" s="23" t="s">
        <v>74</v>
      </c>
    </row>
    <row r="39" spans="1:6" x14ac:dyDescent="0.25">
      <c r="A39" s="37">
        <v>43374</v>
      </c>
      <c r="B39" s="23" t="s">
        <v>70</v>
      </c>
      <c r="C39" s="23" t="s">
        <v>4</v>
      </c>
      <c r="D39" s="128">
        <v>32632000</v>
      </c>
      <c r="E39" s="129">
        <v>42000000</v>
      </c>
      <c r="F39" s="23" t="s">
        <v>74</v>
      </c>
    </row>
    <row r="40" spans="1:6" x14ac:dyDescent="0.25">
      <c r="A40" s="37">
        <v>43374</v>
      </c>
      <c r="B40" s="18" t="s">
        <v>71</v>
      </c>
      <c r="C40" s="23" t="s">
        <v>16</v>
      </c>
      <c r="D40" s="75">
        <v>12870000</v>
      </c>
      <c r="E40" s="130">
        <v>13500000</v>
      </c>
      <c r="F40" s="23" t="s">
        <v>74</v>
      </c>
    </row>
    <row r="41" spans="1:6" x14ac:dyDescent="0.25">
      <c r="A41" s="37">
        <v>43374</v>
      </c>
      <c r="B41" s="18" t="s">
        <v>72</v>
      </c>
      <c r="C41" s="23" t="s">
        <v>16</v>
      </c>
      <c r="D41" s="75">
        <v>9050000</v>
      </c>
      <c r="E41" s="130">
        <v>13500000</v>
      </c>
      <c r="F41" s="23" t="s">
        <v>74</v>
      </c>
    </row>
    <row r="42" spans="1:6" x14ac:dyDescent="0.25">
      <c r="A42" s="37">
        <v>43374</v>
      </c>
      <c r="B42" s="18" t="s">
        <v>73</v>
      </c>
      <c r="C42" s="23" t="s">
        <v>16</v>
      </c>
      <c r="D42" s="75">
        <v>10712000</v>
      </c>
      <c r="E42" s="130">
        <v>13500000</v>
      </c>
      <c r="F42" s="23" t="s">
        <v>74</v>
      </c>
    </row>
    <row r="43" spans="1:6" x14ac:dyDescent="0.25">
      <c r="A43" s="37">
        <v>43405</v>
      </c>
      <c r="B43" s="23" t="s">
        <v>70</v>
      </c>
      <c r="C43" s="23" t="s">
        <v>4</v>
      </c>
      <c r="D43" s="128">
        <v>24136000</v>
      </c>
      <c r="E43" s="129">
        <v>42000000</v>
      </c>
      <c r="F43" s="23" t="s">
        <v>74</v>
      </c>
    </row>
    <row r="44" spans="1:6" x14ac:dyDescent="0.25">
      <c r="A44" s="37">
        <v>43405</v>
      </c>
      <c r="B44" s="18" t="s">
        <v>71</v>
      </c>
      <c r="C44" s="23" t="s">
        <v>16</v>
      </c>
      <c r="D44" s="75">
        <v>4765000</v>
      </c>
      <c r="E44" s="130">
        <v>13500000</v>
      </c>
      <c r="F44" s="23" t="s">
        <v>74</v>
      </c>
    </row>
    <row r="45" spans="1:6" x14ac:dyDescent="0.25">
      <c r="A45" s="37">
        <v>43405</v>
      </c>
      <c r="B45" s="18" t="s">
        <v>72</v>
      </c>
      <c r="C45" s="23" t="s">
        <v>16</v>
      </c>
      <c r="D45" s="75">
        <v>14211000</v>
      </c>
      <c r="E45" s="130">
        <v>13500000</v>
      </c>
      <c r="F45" s="23" t="s">
        <v>74</v>
      </c>
    </row>
    <row r="46" spans="1:6" x14ac:dyDescent="0.25">
      <c r="A46" s="37">
        <v>43405</v>
      </c>
      <c r="B46" s="18" t="s">
        <v>73</v>
      </c>
      <c r="C46" s="23" t="s">
        <v>16</v>
      </c>
      <c r="D46" s="75">
        <v>1960000</v>
      </c>
      <c r="E46" s="130">
        <v>13500000</v>
      </c>
      <c r="F46" s="23" t="s">
        <v>74</v>
      </c>
    </row>
    <row r="47" spans="1:6" x14ac:dyDescent="0.25">
      <c r="A47" s="37">
        <v>43435</v>
      </c>
      <c r="B47" s="23" t="s">
        <v>70</v>
      </c>
      <c r="C47" s="23" t="s">
        <v>4</v>
      </c>
      <c r="D47" s="128">
        <v>22026000</v>
      </c>
      <c r="E47" s="129">
        <v>42000000</v>
      </c>
      <c r="F47" s="23" t="s">
        <v>74</v>
      </c>
    </row>
    <row r="48" spans="1:6" x14ac:dyDescent="0.25">
      <c r="A48" s="37">
        <v>43435</v>
      </c>
      <c r="B48" s="18" t="s">
        <v>71</v>
      </c>
      <c r="C48" s="23" t="s">
        <v>16</v>
      </c>
      <c r="D48" s="75">
        <v>7650000</v>
      </c>
      <c r="E48" s="131">
        <v>13500000</v>
      </c>
      <c r="F48" s="23" t="s">
        <v>74</v>
      </c>
    </row>
    <row r="49" spans="1:6" x14ac:dyDescent="0.25">
      <c r="A49" s="37">
        <v>43435</v>
      </c>
      <c r="B49" s="18" t="s">
        <v>72</v>
      </c>
      <c r="C49" s="23" t="s">
        <v>16</v>
      </c>
      <c r="D49" s="93">
        <v>3280000</v>
      </c>
      <c r="E49" s="132">
        <v>13500000</v>
      </c>
      <c r="F49" s="23" t="s">
        <v>74</v>
      </c>
    </row>
    <row r="50" spans="1:6" x14ac:dyDescent="0.25">
      <c r="A50" s="37">
        <v>43435</v>
      </c>
      <c r="B50" s="40" t="s">
        <v>73</v>
      </c>
      <c r="C50" s="23" t="s">
        <v>16</v>
      </c>
      <c r="D50" s="93">
        <v>3400000</v>
      </c>
      <c r="E50" s="132">
        <v>13500000</v>
      </c>
      <c r="F50" s="23" t="s">
        <v>74</v>
      </c>
    </row>
    <row r="51" spans="1:6" x14ac:dyDescent="0.25">
      <c r="A51" s="37">
        <v>43466</v>
      </c>
      <c r="B51" s="16" t="s">
        <v>79</v>
      </c>
      <c r="C51" s="23" t="s">
        <v>4</v>
      </c>
      <c r="D51" s="102">
        <v>28600000</v>
      </c>
      <c r="E51" s="88">
        <v>42000000</v>
      </c>
      <c r="F51" s="23" t="s">
        <v>74</v>
      </c>
    </row>
    <row r="52" spans="1:6" x14ac:dyDescent="0.25">
      <c r="A52" s="37">
        <v>43466</v>
      </c>
      <c r="B52" s="29" t="s">
        <v>71</v>
      </c>
      <c r="C52" s="23" t="s">
        <v>16</v>
      </c>
      <c r="D52" s="102">
        <v>5400000</v>
      </c>
      <c r="E52" s="88">
        <v>10833333</v>
      </c>
      <c r="F52" s="23" t="s">
        <v>74</v>
      </c>
    </row>
    <row r="53" spans="1:6" x14ac:dyDescent="0.25">
      <c r="A53" s="37">
        <v>43466</v>
      </c>
      <c r="B53" s="18" t="s">
        <v>72</v>
      </c>
      <c r="C53" s="23" t="s">
        <v>16</v>
      </c>
      <c r="D53" s="102">
        <v>6970000</v>
      </c>
      <c r="E53" s="88">
        <v>10833333</v>
      </c>
      <c r="F53" s="23" t="s">
        <v>74</v>
      </c>
    </row>
    <row r="54" spans="1:6" x14ac:dyDescent="0.25">
      <c r="A54" s="37">
        <v>43466</v>
      </c>
      <c r="B54" s="18" t="s">
        <v>73</v>
      </c>
      <c r="C54" s="23" t="s">
        <v>16</v>
      </c>
      <c r="D54" s="90">
        <v>11050000</v>
      </c>
      <c r="E54" s="88">
        <v>10000000</v>
      </c>
      <c r="F54" s="23" t="s">
        <v>74</v>
      </c>
    </row>
    <row r="55" spans="1:6" x14ac:dyDescent="0.25">
      <c r="A55" s="37">
        <v>43466</v>
      </c>
      <c r="B55" s="18" t="s">
        <v>75</v>
      </c>
      <c r="C55" s="23" t="s">
        <v>17</v>
      </c>
      <c r="D55" s="102">
        <v>5180000</v>
      </c>
      <c r="E55" s="88">
        <v>10000000</v>
      </c>
      <c r="F55" s="23" t="s">
        <v>74</v>
      </c>
    </row>
    <row r="56" spans="1:6" x14ac:dyDescent="0.25">
      <c r="A56" s="37">
        <v>43466</v>
      </c>
      <c r="B56" s="29" t="s">
        <v>84</v>
      </c>
      <c r="C56" s="23" t="s">
        <v>17</v>
      </c>
      <c r="D56" s="106">
        <v>12730000</v>
      </c>
      <c r="E56" s="88">
        <v>13916667</v>
      </c>
      <c r="F56" s="23" t="s">
        <v>74</v>
      </c>
    </row>
    <row r="57" spans="1:6" x14ac:dyDescent="0.25">
      <c r="A57" s="37">
        <v>43466</v>
      </c>
      <c r="B57" s="32" t="s">
        <v>76</v>
      </c>
      <c r="C57" s="23" t="s">
        <v>17</v>
      </c>
      <c r="D57" s="90">
        <v>15870000</v>
      </c>
      <c r="E57" s="88">
        <v>13916667</v>
      </c>
      <c r="F57" s="23" t="s">
        <v>74</v>
      </c>
    </row>
    <row r="58" spans="1:6" x14ac:dyDescent="0.25">
      <c r="A58" s="37">
        <v>43466</v>
      </c>
      <c r="B58" s="258" t="s">
        <v>77</v>
      </c>
      <c r="C58" s="23" t="s">
        <v>17</v>
      </c>
      <c r="D58" s="90">
        <v>28220500</v>
      </c>
      <c r="E58" s="88">
        <v>13916667</v>
      </c>
      <c r="F58" s="23" t="s">
        <v>74</v>
      </c>
    </row>
    <row r="59" spans="1:6" x14ac:dyDescent="0.25">
      <c r="A59" s="37">
        <v>43497</v>
      </c>
      <c r="B59" s="16" t="s">
        <v>79</v>
      </c>
      <c r="C59" s="23" t="s">
        <v>4</v>
      </c>
      <c r="D59" s="62">
        <v>42000000</v>
      </c>
      <c r="E59" s="88">
        <v>42000000</v>
      </c>
      <c r="F59" s="23" t="s">
        <v>74</v>
      </c>
    </row>
    <row r="60" spans="1:6" x14ac:dyDescent="0.25">
      <c r="A60" s="37">
        <v>43497</v>
      </c>
      <c r="B60" s="29" t="s">
        <v>71</v>
      </c>
      <c r="C60" s="23" t="s">
        <v>16</v>
      </c>
      <c r="D60" s="62">
        <v>10833333</v>
      </c>
      <c r="E60" s="88">
        <v>10833333</v>
      </c>
      <c r="F60" s="23" t="s">
        <v>74</v>
      </c>
    </row>
    <row r="61" spans="1:6" x14ac:dyDescent="0.25">
      <c r="A61" s="37">
        <v>43497</v>
      </c>
      <c r="B61" s="18" t="s">
        <v>72</v>
      </c>
      <c r="C61" s="23" t="s">
        <v>16</v>
      </c>
      <c r="D61" s="62">
        <v>10833333</v>
      </c>
      <c r="E61" s="88">
        <v>10833333</v>
      </c>
      <c r="F61" s="23" t="s">
        <v>74</v>
      </c>
    </row>
    <row r="62" spans="1:6" x14ac:dyDescent="0.25">
      <c r="A62" s="37">
        <v>43497</v>
      </c>
      <c r="B62" s="18" t="s">
        <v>73</v>
      </c>
      <c r="C62" s="23" t="s">
        <v>16</v>
      </c>
      <c r="D62" s="62">
        <v>10000000</v>
      </c>
      <c r="E62" s="88">
        <v>10000000</v>
      </c>
      <c r="F62" s="23" t="s">
        <v>74</v>
      </c>
    </row>
    <row r="63" spans="1:6" x14ac:dyDescent="0.25">
      <c r="A63" s="37">
        <v>43497</v>
      </c>
      <c r="B63" s="18" t="s">
        <v>75</v>
      </c>
      <c r="C63" s="23" t="s">
        <v>16</v>
      </c>
      <c r="D63" s="62">
        <v>10000000</v>
      </c>
      <c r="E63" s="88">
        <v>10000000</v>
      </c>
      <c r="F63" s="23" t="s">
        <v>74</v>
      </c>
    </row>
    <row r="64" spans="1:6" x14ac:dyDescent="0.25">
      <c r="A64" s="37">
        <v>43497</v>
      </c>
      <c r="B64" s="29" t="s">
        <v>84</v>
      </c>
      <c r="C64" s="23" t="s">
        <v>17</v>
      </c>
      <c r="D64" s="133">
        <v>13916667</v>
      </c>
      <c r="E64" s="88">
        <v>13916667</v>
      </c>
      <c r="F64" s="23" t="s">
        <v>74</v>
      </c>
    </row>
    <row r="65" spans="1:6" x14ac:dyDescent="0.25">
      <c r="A65" s="37">
        <v>43497</v>
      </c>
      <c r="B65" s="32" t="s">
        <v>76</v>
      </c>
      <c r="C65" s="23" t="s">
        <v>17</v>
      </c>
      <c r="D65" s="62">
        <v>13916667</v>
      </c>
      <c r="E65" s="88">
        <v>13916667</v>
      </c>
      <c r="F65" s="23" t="s">
        <v>74</v>
      </c>
    </row>
    <row r="66" spans="1:6" x14ac:dyDescent="0.25">
      <c r="A66" s="37">
        <v>43497</v>
      </c>
      <c r="B66" s="258" t="s">
        <v>77</v>
      </c>
      <c r="C66" s="23" t="s">
        <v>17</v>
      </c>
      <c r="D66" s="62">
        <v>13916667</v>
      </c>
      <c r="E66" s="88">
        <v>13916667</v>
      </c>
      <c r="F66" s="23" t="s">
        <v>74</v>
      </c>
    </row>
    <row r="67" spans="1:6" x14ac:dyDescent="0.25">
      <c r="A67" s="37">
        <v>43525</v>
      </c>
      <c r="B67" s="16" t="s">
        <v>79</v>
      </c>
      <c r="C67" s="23" t="s">
        <v>4</v>
      </c>
      <c r="D67" s="102">
        <v>36751000</v>
      </c>
      <c r="E67" s="88">
        <v>42000000</v>
      </c>
      <c r="F67" s="23" t="s">
        <v>74</v>
      </c>
    </row>
    <row r="68" spans="1:6" x14ac:dyDescent="0.25">
      <c r="A68" s="37">
        <v>43525</v>
      </c>
      <c r="B68" s="29" t="s">
        <v>71</v>
      </c>
      <c r="C68" s="23" t="s">
        <v>16</v>
      </c>
      <c r="D68" s="90">
        <v>13011000</v>
      </c>
      <c r="E68" s="88">
        <v>10833333</v>
      </c>
      <c r="F68" s="23" t="s">
        <v>74</v>
      </c>
    </row>
    <row r="69" spans="1:6" x14ac:dyDescent="0.25">
      <c r="A69" s="37">
        <v>43525</v>
      </c>
      <c r="B69" s="18" t="s">
        <v>72</v>
      </c>
      <c r="C69" s="23" t="s">
        <v>16</v>
      </c>
      <c r="D69" s="102">
        <v>7220000</v>
      </c>
      <c r="E69" s="88">
        <v>10833333</v>
      </c>
      <c r="F69" s="23" t="s">
        <v>74</v>
      </c>
    </row>
    <row r="70" spans="1:6" x14ac:dyDescent="0.25">
      <c r="A70" s="37">
        <v>43525</v>
      </c>
      <c r="B70" s="18" t="s">
        <v>73</v>
      </c>
      <c r="C70" s="23" t="s">
        <v>16</v>
      </c>
      <c r="D70" s="102">
        <v>9700000</v>
      </c>
      <c r="E70" s="88">
        <v>10000000</v>
      </c>
      <c r="F70" s="23" t="s">
        <v>74</v>
      </c>
    </row>
    <row r="71" spans="1:6" x14ac:dyDescent="0.25">
      <c r="A71" s="37">
        <v>43525</v>
      </c>
      <c r="B71" s="18" t="s">
        <v>75</v>
      </c>
      <c r="C71" s="23" t="s">
        <v>16</v>
      </c>
      <c r="D71" s="102">
        <v>4120000</v>
      </c>
      <c r="E71" s="88">
        <v>10000000</v>
      </c>
      <c r="F71" s="23" t="s">
        <v>74</v>
      </c>
    </row>
    <row r="72" spans="1:6" x14ac:dyDescent="0.25">
      <c r="A72" s="37">
        <v>43525</v>
      </c>
      <c r="B72" s="29" t="s">
        <v>84</v>
      </c>
      <c r="C72" s="23" t="s">
        <v>17</v>
      </c>
      <c r="D72" s="134">
        <v>17461000</v>
      </c>
      <c r="E72" s="88">
        <v>13916667</v>
      </c>
      <c r="F72" s="23" t="s">
        <v>74</v>
      </c>
    </row>
    <row r="73" spans="1:6" x14ac:dyDescent="0.25">
      <c r="A73" s="37">
        <v>43525</v>
      </c>
      <c r="B73" s="32" t="s">
        <v>76</v>
      </c>
      <c r="C73" s="23" t="s">
        <v>17</v>
      </c>
      <c r="D73" s="102">
        <v>6450000</v>
      </c>
      <c r="E73" s="88">
        <v>13916667</v>
      </c>
      <c r="F73" s="23" t="s">
        <v>74</v>
      </c>
    </row>
    <row r="74" spans="1:6" x14ac:dyDescent="0.25">
      <c r="A74" s="37">
        <v>43525</v>
      </c>
      <c r="B74" s="32" t="s">
        <v>77</v>
      </c>
      <c r="C74" s="23" t="s">
        <v>17</v>
      </c>
      <c r="D74" s="90">
        <v>13620000</v>
      </c>
      <c r="E74" s="88">
        <v>13916667</v>
      </c>
      <c r="F74" s="23" t="s">
        <v>74</v>
      </c>
    </row>
    <row r="75" spans="1:6" x14ac:dyDescent="0.25">
      <c r="A75" s="37">
        <v>43556</v>
      </c>
      <c r="B75" s="17" t="s">
        <v>70</v>
      </c>
      <c r="C75" s="23" t="s">
        <v>4</v>
      </c>
      <c r="D75" s="66">
        <v>22140000</v>
      </c>
      <c r="E75" s="71">
        <v>42000000</v>
      </c>
      <c r="F75" s="23" t="s">
        <v>74</v>
      </c>
    </row>
    <row r="76" spans="1:6" x14ac:dyDescent="0.25">
      <c r="A76" s="37">
        <v>43556</v>
      </c>
      <c r="B76" s="18" t="s">
        <v>71</v>
      </c>
      <c r="C76" s="23" t="s">
        <v>16</v>
      </c>
      <c r="D76" s="66">
        <v>6730000</v>
      </c>
      <c r="E76" s="71">
        <v>10833333</v>
      </c>
      <c r="F76" s="23" t="s">
        <v>74</v>
      </c>
    </row>
    <row r="77" spans="1:6" x14ac:dyDescent="0.25">
      <c r="A77" s="37">
        <v>43556</v>
      </c>
      <c r="B77" s="18" t="s">
        <v>72</v>
      </c>
      <c r="C77" s="23" t="s">
        <v>16</v>
      </c>
      <c r="D77" s="66">
        <v>5350000</v>
      </c>
      <c r="E77" s="71">
        <v>10833333</v>
      </c>
      <c r="F77" s="23" t="s">
        <v>74</v>
      </c>
    </row>
    <row r="78" spans="1:6" x14ac:dyDescent="0.25">
      <c r="A78" s="37">
        <v>43556</v>
      </c>
      <c r="B78" s="18" t="s">
        <v>73</v>
      </c>
      <c r="C78" s="23" t="s">
        <v>16</v>
      </c>
      <c r="D78" s="66">
        <v>9180000</v>
      </c>
      <c r="E78" s="71">
        <v>10000000</v>
      </c>
      <c r="F78" s="23" t="s">
        <v>74</v>
      </c>
    </row>
    <row r="79" spans="1:6" x14ac:dyDescent="0.25">
      <c r="A79" s="37">
        <v>43556</v>
      </c>
      <c r="B79" s="18" t="s">
        <v>75</v>
      </c>
      <c r="C79" s="23" t="s">
        <v>16</v>
      </c>
      <c r="D79" s="66">
        <v>880000</v>
      </c>
      <c r="E79" s="71">
        <v>10000000</v>
      </c>
      <c r="F79" s="23" t="s">
        <v>74</v>
      </c>
    </row>
    <row r="80" spans="1:6" x14ac:dyDescent="0.25">
      <c r="A80" s="37">
        <v>43556</v>
      </c>
      <c r="B80" s="29" t="s">
        <v>84</v>
      </c>
      <c r="C80" s="23" t="s">
        <v>17</v>
      </c>
      <c r="D80" s="83">
        <v>5700000</v>
      </c>
      <c r="E80" s="74">
        <v>13916667</v>
      </c>
      <c r="F80" s="23" t="s">
        <v>74</v>
      </c>
    </row>
    <row r="81" spans="1:6" x14ac:dyDescent="0.25">
      <c r="A81" s="37">
        <v>43556</v>
      </c>
      <c r="B81" s="32" t="s">
        <v>76</v>
      </c>
      <c r="C81" s="23" t="s">
        <v>17</v>
      </c>
      <c r="D81" s="66">
        <v>10880000</v>
      </c>
      <c r="E81" s="71">
        <v>13916667</v>
      </c>
      <c r="F81" s="23" t="s">
        <v>74</v>
      </c>
    </row>
    <row r="82" spans="1:6" x14ac:dyDescent="0.25">
      <c r="A82" s="37">
        <v>43556</v>
      </c>
      <c r="B82" s="32" t="s">
        <v>77</v>
      </c>
      <c r="C82" s="23" t="s">
        <v>17</v>
      </c>
      <c r="D82" s="66">
        <v>9960000</v>
      </c>
      <c r="E82" s="71">
        <v>13916667</v>
      </c>
      <c r="F82" s="23" t="s">
        <v>74</v>
      </c>
    </row>
    <row r="83" spans="1:6" x14ac:dyDescent="0.25">
      <c r="A83" s="37">
        <v>43556</v>
      </c>
      <c r="B83" s="22" t="s">
        <v>78</v>
      </c>
      <c r="C83" s="23" t="s">
        <v>17</v>
      </c>
      <c r="D83" s="66">
        <v>1300000</v>
      </c>
      <c r="E83" s="71">
        <v>13916667</v>
      </c>
      <c r="F83" s="23" t="s">
        <v>74</v>
      </c>
    </row>
    <row r="84" spans="1:6" x14ac:dyDescent="0.25">
      <c r="A84" s="37">
        <v>43586</v>
      </c>
      <c r="B84" s="17" t="s">
        <v>70</v>
      </c>
      <c r="C84" s="23" t="s">
        <v>4</v>
      </c>
      <c r="D84" s="66">
        <v>39840000</v>
      </c>
      <c r="E84" s="71">
        <v>42000000</v>
      </c>
      <c r="F84" s="23" t="s">
        <v>74</v>
      </c>
    </row>
    <row r="85" spans="1:6" x14ac:dyDescent="0.25">
      <c r="A85" s="37">
        <v>43586</v>
      </c>
      <c r="B85" s="18" t="s">
        <v>71</v>
      </c>
      <c r="C85" s="23" t="s">
        <v>16</v>
      </c>
      <c r="D85" s="63">
        <v>16720000</v>
      </c>
      <c r="E85" s="71">
        <v>10833333</v>
      </c>
      <c r="F85" s="23" t="s">
        <v>74</v>
      </c>
    </row>
    <row r="86" spans="1:6" x14ac:dyDescent="0.25">
      <c r="A86" s="37">
        <v>43586</v>
      </c>
      <c r="B86" s="18" t="s">
        <v>72</v>
      </c>
      <c r="C86" s="23" t="s">
        <v>16</v>
      </c>
      <c r="D86" s="66">
        <v>10500000</v>
      </c>
      <c r="E86" s="71">
        <v>10833333</v>
      </c>
      <c r="F86" s="23" t="s">
        <v>74</v>
      </c>
    </row>
    <row r="87" spans="1:6" x14ac:dyDescent="0.25">
      <c r="A87" s="37">
        <v>43586</v>
      </c>
      <c r="B87" s="18" t="s">
        <v>73</v>
      </c>
      <c r="C87" s="23" t="s">
        <v>16</v>
      </c>
      <c r="D87" s="66">
        <v>5050000</v>
      </c>
      <c r="E87" s="71">
        <v>10000000</v>
      </c>
      <c r="F87" s="23" t="s">
        <v>74</v>
      </c>
    </row>
    <row r="88" spans="1:6" x14ac:dyDescent="0.25">
      <c r="A88" s="37">
        <v>43586</v>
      </c>
      <c r="B88" s="18" t="s">
        <v>75</v>
      </c>
      <c r="C88" s="23" t="s">
        <v>16</v>
      </c>
      <c r="D88" s="66">
        <v>7570000</v>
      </c>
      <c r="E88" s="71">
        <v>10000000</v>
      </c>
      <c r="F88" s="23" t="s">
        <v>74</v>
      </c>
    </row>
    <row r="89" spans="1:6" x14ac:dyDescent="0.25">
      <c r="A89" s="37">
        <v>43586</v>
      </c>
      <c r="B89" s="29" t="s">
        <v>84</v>
      </c>
      <c r="C89" s="23" t="s">
        <v>17</v>
      </c>
      <c r="D89" s="135">
        <v>14840000</v>
      </c>
      <c r="E89" s="74">
        <v>13916667</v>
      </c>
      <c r="F89" s="23" t="s">
        <v>74</v>
      </c>
    </row>
    <row r="90" spans="1:6" x14ac:dyDescent="0.25">
      <c r="A90" s="37">
        <v>43586</v>
      </c>
      <c r="B90" s="32" t="s">
        <v>76</v>
      </c>
      <c r="C90" s="23" t="s">
        <v>17</v>
      </c>
      <c r="D90" s="90">
        <v>22300000</v>
      </c>
      <c r="E90" s="71">
        <v>13916667</v>
      </c>
      <c r="F90" s="23" t="s">
        <v>74</v>
      </c>
    </row>
    <row r="91" spans="1:6" x14ac:dyDescent="0.25">
      <c r="A91" s="37">
        <v>43586</v>
      </c>
      <c r="B91" s="32" t="s">
        <v>77</v>
      </c>
      <c r="C91" s="23" t="s">
        <v>17</v>
      </c>
      <c r="D91" s="102">
        <v>1450000</v>
      </c>
      <c r="E91" s="71">
        <v>13916667</v>
      </c>
      <c r="F91" s="23" t="s">
        <v>74</v>
      </c>
    </row>
    <row r="92" spans="1:6" x14ac:dyDescent="0.25">
      <c r="A92" s="37">
        <v>43586</v>
      </c>
      <c r="B92" s="22" t="s">
        <v>78</v>
      </c>
      <c r="C92" s="23" t="s">
        <v>17</v>
      </c>
      <c r="D92" s="102">
        <v>3900000</v>
      </c>
      <c r="E92" s="71">
        <v>13916667</v>
      </c>
      <c r="F92" s="23" t="s">
        <v>74</v>
      </c>
    </row>
    <row r="93" spans="1:6" x14ac:dyDescent="0.25">
      <c r="A93" s="37">
        <v>43617</v>
      </c>
      <c r="B93" s="17" t="s">
        <v>70</v>
      </c>
      <c r="C93" s="23" t="s">
        <v>4</v>
      </c>
      <c r="D93" s="66">
        <v>35070000</v>
      </c>
      <c r="E93" s="71">
        <v>42000000</v>
      </c>
      <c r="F93" s="23" t="s">
        <v>74</v>
      </c>
    </row>
    <row r="94" spans="1:6" x14ac:dyDescent="0.25">
      <c r="A94" s="37">
        <v>43617</v>
      </c>
      <c r="B94" s="18" t="s">
        <v>71</v>
      </c>
      <c r="C94" s="23" t="s">
        <v>16</v>
      </c>
      <c r="D94" s="63">
        <v>12830000</v>
      </c>
      <c r="E94" s="71">
        <v>10833333</v>
      </c>
      <c r="F94" s="23" t="s">
        <v>74</v>
      </c>
    </row>
    <row r="95" spans="1:6" x14ac:dyDescent="0.25">
      <c r="A95" s="37">
        <v>43617</v>
      </c>
      <c r="B95" s="18" t="s">
        <v>72</v>
      </c>
      <c r="C95" s="23" t="s">
        <v>16</v>
      </c>
      <c r="D95" s="63">
        <v>7120000</v>
      </c>
      <c r="E95" s="71">
        <v>10833333</v>
      </c>
      <c r="F95" s="23" t="s">
        <v>74</v>
      </c>
    </row>
    <row r="96" spans="1:6" x14ac:dyDescent="0.25">
      <c r="A96" s="37">
        <v>43617</v>
      </c>
      <c r="B96" s="18" t="s">
        <v>73</v>
      </c>
      <c r="C96" s="23" t="s">
        <v>16</v>
      </c>
      <c r="D96" s="66">
        <v>7500000</v>
      </c>
      <c r="E96" s="71">
        <v>10000000</v>
      </c>
      <c r="F96" s="23" t="s">
        <v>74</v>
      </c>
    </row>
    <row r="97" spans="1:6" x14ac:dyDescent="0.25">
      <c r="A97" s="37">
        <v>43617</v>
      </c>
      <c r="B97" s="18" t="s">
        <v>75</v>
      </c>
      <c r="C97" s="23" t="s">
        <v>16</v>
      </c>
      <c r="D97" s="63">
        <v>7620000</v>
      </c>
      <c r="E97" s="71">
        <v>10000000</v>
      </c>
      <c r="F97" s="23" t="s">
        <v>74</v>
      </c>
    </row>
    <row r="98" spans="1:6" x14ac:dyDescent="0.25">
      <c r="A98" s="37">
        <v>43617</v>
      </c>
      <c r="B98" s="29" t="s">
        <v>84</v>
      </c>
      <c r="C98" s="23" t="s">
        <v>17</v>
      </c>
      <c r="D98" s="66">
        <v>12390000</v>
      </c>
      <c r="E98" s="74">
        <v>13916667</v>
      </c>
      <c r="F98" s="23" t="s">
        <v>74</v>
      </c>
    </row>
    <row r="99" spans="1:6" x14ac:dyDescent="0.25">
      <c r="A99" s="37">
        <v>43617</v>
      </c>
      <c r="B99" s="32" t="s">
        <v>76</v>
      </c>
      <c r="C99" s="23" t="s">
        <v>17</v>
      </c>
      <c r="D99" s="63">
        <v>20130000</v>
      </c>
      <c r="E99" s="71">
        <v>13916667</v>
      </c>
      <c r="F99" s="23" t="s">
        <v>74</v>
      </c>
    </row>
    <row r="100" spans="1:6" x14ac:dyDescent="0.25">
      <c r="A100" s="37">
        <v>43647</v>
      </c>
      <c r="B100" s="17" t="s">
        <v>70</v>
      </c>
      <c r="C100" s="23" t="s">
        <v>4</v>
      </c>
      <c r="D100" s="66">
        <v>37370000</v>
      </c>
      <c r="E100" s="71">
        <v>42000000</v>
      </c>
      <c r="F100" s="23" t="s">
        <v>74</v>
      </c>
    </row>
    <row r="101" spans="1:6" x14ac:dyDescent="0.25">
      <c r="A101" s="37">
        <v>43647</v>
      </c>
      <c r="B101" s="18" t="s">
        <v>71</v>
      </c>
      <c r="C101" s="23" t="s">
        <v>16</v>
      </c>
      <c r="D101" s="63">
        <v>13020000</v>
      </c>
      <c r="E101" s="71">
        <v>10833333</v>
      </c>
      <c r="F101" s="23" t="s">
        <v>74</v>
      </c>
    </row>
    <row r="102" spans="1:6" x14ac:dyDescent="0.25">
      <c r="A102" s="37">
        <v>43647</v>
      </c>
      <c r="B102" s="18" t="s">
        <v>72</v>
      </c>
      <c r="C102" s="23" t="s">
        <v>16</v>
      </c>
      <c r="D102" s="66">
        <v>4500000</v>
      </c>
      <c r="E102" s="71">
        <v>10833333</v>
      </c>
      <c r="F102" s="23" t="s">
        <v>74</v>
      </c>
    </row>
    <row r="103" spans="1:6" x14ac:dyDescent="0.25">
      <c r="A103" s="37">
        <v>43647</v>
      </c>
      <c r="B103" s="18" t="s">
        <v>73</v>
      </c>
      <c r="C103" s="23" t="s">
        <v>16</v>
      </c>
      <c r="D103" s="66">
        <v>5550000</v>
      </c>
      <c r="E103" s="71">
        <v>10000000</v>
      </c>
      <c r="F103" s="23" t="s">
        <v>74</v>
      </c>
    </row>
    <row r="104" spans="1:6" x14ac:dyDescent="0.25">
      <c r="A104" s="37">
        <v>43647</v>
      </c>
      <c r="B104" s="18" t="s">
        <v>75</v>
      </c>
      <c r="C104" s="23" t="s">
        <v>16</v>
      </c>
      <c r="D104" s="63">
        <v>14300000</v>
      </c>
      <c r="E104" s="71">
        <v>10000000</v>
      </c>
      <c r="F104" s="23" t="s">
        <v>74</v>
      </c>
    </row>
    <row r="105" spans="1:6" x14ac:dyDescent="0.25">
      <c r="A105" s="37">
        <v>43647</v>
      </c>
      <c r="B105" s="29" t="s">
        <v>84</v>
      </c>
      <c r="C105" s="23" t="s">
        <v>17</v>
      </c>
      <c r="D105" s="69">
        <v>13800000</v>
      </c>
      <c r="E105" s="74">
        <v>13916667</v>
      </c>
      <c r="F105" s="23" t="s">
        <v>74</v>
      </c>
    </row>
    <row r="106" spans="1:6" x14ac:dyDescent="0.25">
      <c r="A106" s="37">
        <v>43647</v>
      </c>
      <c r="B106" s="32" t="s">
        <v>76</v>
      </c>
      <c r="C106" s="23" t="s">
        <v>17</v>
      </c>
      <c r="D106" s="73">
        <v>24555000</v>
      </c>
      <c r="E106" s="71">
        <v>13916667</v>
      </c>
      <c r="F106" s="23" t="s">
        <v>74</v>
      </c>
    </row>
    <row r="107" spans="1:6" x14ac:dyDescent="0.25">
      <c r="A107" s="37">
        <v>43647</v>
      </c>
      <c r="B107" s="27" t="s">
        <v>83</v>
      </c>
      <c r="C107" s="23" t="s">
        <v>17</v>
      </c>
      <c r="D107" s="78">
        <v>6620000</v>
      </c>
      <c r="E107" s="71">
        <v>13916667</v>
      </c>
      <c r="F107" s="23" t="s">
        <v>74</v>
      </c>
    </row>
    <row r="108" spans="1:6" x14ac:dyDescent="0.25">
      <c r="A108" s="37">
        <v>43678</v>
      </c>
      <c r="B108" s="17" t="s">
        <v>70</v>
      </c>
      <c r="C108" s="23" t="s">
        <v>4</v>
      </c>
      <c r="D108" s="66">
        <v>34340000</v>
      </c>
      <c r="E108" s="71">
        <v>42000000</v>
      </c>
      <c r="F108" s="23" t="s">
        <v>74</v>
      </c>
    </row>
    <row r="109" spans="1:6" x14ac:dyDescent="0.25">
      <c r="A109" s="37">
        <v>43678</v>
      </c>
      <c r="B109" s="18" t="s">
        <v>71</v>
      </c>
      <c r="C109" s="23" t="s">
        <v>16</v>
      </c>
      <c r="D109" s="63">
        <v>11440000</v>
      </c>
      <c r="E109" s="71">
        <v>10833333</v>
      </c>
      <c r="F109" s="23" t="s">
        <v>74</v>
      </c>
    </row>
    <row r="110" spans="1:6" x14ac:dyDescent="0.25">
      <c r="A110" s="37">
        <v>43678</v>
      </c>
      <c r="B110" s="18" t="s">
        <v>72</v>
      </c>
      <c r="C110" s="23" t="s">
        <v>16</v>
      </c>
      <c r="D110" s="66">
        <v>5850000</v>
      </c>
      <c r="E110" s="71">
        <v>10833333</v>
      </c>
      <c r="F110" s="23" t="s">
        <v>74</v>
      </c>
    </row>
    <row r="111" spans="1:6" x14ac:dyDescent="0.25">
      <c r="A111" s="37">
        <v>43678</v>
      </c>
      <c r="B111" s="18" t="s">
        <v>73</v>
      </c>
      <c r="C111" s="23" t="s">
        <v>16</v>
      </c>
      <c r="D111" s="63">
        <v>12530000</v>
      </c>
      <c r="E111" s="71">
        <v>10000000</v>
      </c>
      <c r="F111" s="23" t="s">
        <v>74</v>
      </c>
    </row>
    <row r="112" spans="1:6" x14ac:dyDescent="0.25">
      <c r="A112" s="37">
        <v>43678</v>
      </c>
      <c r="B112" s="18" t="s">
        <v>75</v>
      </c>
      <c r="C112" s="23" t="s">
        <v>16</v>
      </c>
      <c r="D112" s="63">
        <v>4520000</v>
      </c>
      <c r="E112" s="71">
        <v>10000000</v>
      </c>
      <c r="F112" s="23" t="s">
        <v>74</v>
      </c>
    </row>
    <row r="113" spans="1:6" x14ac:dyDescent="0.25">
      <c r="A113" s="37">
        <v>43678</v>
      </c>
      <c r="B113" s="29" t="s">
        <v>84</v>
      </c>
      <c r="C113" s="23" t="s">
        <v>17</v>
      </c>
      <c r="D113" s="69">
        <v>8340000</v>
      </c>
      <c r="E113" s="74">
        <v>13916667</v>
      </c>
      <c r="F113" s="23" t="s">
        <v>74</v>
      </c>
    </row>
    <row r="114" spans="1:6" x14ac:dyDescent="0.25">
      <c r="A114" s="37">
        <v>43678</v>
      </c>
      <c r="B114" s="32" t="s">
        <v>76</v>
      </c>
      <c r="C114" s="23" t="s">
        <v>17</v>
      </c>
      <c r="D114" s="73">
        <v>13120000</v>
      </c>
      <c r="E114" s="71">
        <v>13916667</v>
      </c>
      <c r="F114" s="23" t="s">
        <v>74</v>
      </c>
    </row>
    <row r="115" spans="1:6" x14ac:dyDescent="0.25">
      <c r="A115" s="37">
        <v>43678</v>
      </c>
      <c r="B115" s="27" t="s">
        <v>83</v>
      </c>
      <c r="C115" s="23" t="s">
        <v>17</v>
      </c>
      <c r="D115" s="136">
        <v>12880000</v>
      </c>
      <c r="E115" s="71">
        <v>13916667</v>
      </c>
      <c r="F115" s="23" t="s">
        <v>74</v>
      </c>
    </row>
    <row r="116" spans="1:6" x14ac:dyDescent="0.25">
      <c r="A116" s="37">
        <v>43709</v>
      </c>
      <c r="B116" s="17" t="s">
        <v>70</v>
      </c>
      <c r="C116" s="23" t="s">
        <v>4</v>
      </c>
      <c r="D116" s="63">
        <v>39513000</v>
      </c>
      <c r="E116" s="71">
        <v>42000000</v>
      </c>
      <c r="F116" s="23" t="s">
        <v>74</v>
      </c>
    </row>
    <row r="117" spans="1:6" x14ac:dyDescent="0.25">
      <c r="A117" s="37">
        <v>43709</v>
      </c>
      <c r="B117" s="29" t="s">
        <v>71</v>
      </c>
      <c r="C117" s="23" t="s">
        <v>16</v>
      </c>
      <c r="D117" s="63">
        <v>12830000</v>
      </c>
      <c r="E117" s="71">
        <v>10833333</v>
      </c>
      <c r="F117" s="23" t="s">
        <v>74</v>
      </c>
    </row>
    <row r="118" spans="1:6" x14ac:dyDescent="0.25">
      <c r="A118" s="37">
        <v>43709</v>
      </c>
      <c r="B118" s="29" t="s">
        <v>72</v>
      </c>
      <c r="C118" s="23" t="s">
        <v>16</v>
      </c>
      <c r="D118" s="63">
        <v>11613000</v>
      </c>
      <c r="E118" s="71">
        <v>10833333</v>
      </c>
      <c r="F118" s="23" t="s">
        <v>74</v>
      </c>
    </row>
    <row r="119" spans="1:6" x14ac:dyDescent="0.25">
      <c r="A119" s="37">
        <v>43709</v>
      </c>
      <c r="B119" s="29" t="s">
        <v>73</v>
      </c>
      <c r="C119" s="23" t="s">
        <v>16</v>
      </c>
      <c r="D119" s="63">
        <v>10870000</v>
      </c>
      <c r="E119" s="71">
        <v>10000000</v>
      </c>
      <c r="F119" s="23" t="s">
        <v>74</v>
      </c>
    </row>
    <row r="120" spans="1:6" x14ac:dyDescent="0.25">
      <c r="A120" s="37">
        <v>43709</v>
      </c>
      <c r="B120" s="29" t="s">
        <v>75</v>
      </c>
      <c r="C120" s="23" t="s">
        <v>16</v>
      </c>
      <c r="D120" s="63">
        <v>4200000</v>
      </c>
      <c r="E120" s="71">
        <v>10000000</v>
      </c>
      <c r="F120" s="23" t="s">
        <v>74</v>
      </c>
    </row>
    <row r="121" spans="1:6" x14ac:dyDescent="0.25">
      <c r="A121" s="37">
        <v>43709</v>
      </c>
      <c r="B121" s="29" t="s">
        <v>84</v>
      </c>
      <c r="C121" s="23" t="s">
        <v>17</v>
      </c>
      <c r="D121" s="69">
        <v>16353000</v>
      </c>
      <c r="E121" s="74">
        <v>13916667</v>
      </c>
      <c r="F121" s="23" t="s">
        <v>74</v>
      </c>
    </row>
    <row r="122" spans="1:6" x14ac:dyDescent="0.25">
      <c r="A122" s="37">
        <v>43709</v>
      </c>
      <c r="B122" s="32" t="s">
        <v>76</v>
      </c>
      <c r="C122" s="23" t="s">
        <v>17</v>
      </c>
      <c r="D122" s="73">
        <v>15800000</v>
      </c>
      <c r="E122" s="71">
        <v>13916667</v>
      </c>
      <c r="F122" s="23" t="s">
        <v>74</v>
      </c>
    </row>
    <row r="123" spans="1:6" x14ac:dyDescent="0.25">
      <c r="A123" s="37">
        <v>43709</v>
      </c>
      <c r="B123" s="257" t="s">
        <v>83</v>
      </c>
      <c r="C123" s="23" t="s">
        <v>17</v>
      </c>
      <c r="D123" s="136">
        <v>7630000</v>
      </c>
      <c r="E123" s="71">
        <v>13916667</v>
      </c>
      <c r="F123" s="23" t="s">
        <v>74</v>
      </c>
    </row>
    <row r="124" spans="1:6" x14ac:dyDescent="0.25">
      <c r="A124" s="37">
        <v>43739</v>
      </c>
      <c r="B124" s="17" t="s">
        <v>70</v>
      </c>
      <c r="C124" s="23" t="s">
        <v>4</v>
      </c>
      <c r="D124" s="63">
        <v>35700000</v>
      </c>
      <c r="E124" s="71">
        <v>42000000</v>
      </c>
      <c r="F124" s="23" t="s">
        <v>74</v>
      </c>
    </row>
    <row r="125" spans="1:6" x14ac:dyDescent="0.25">
      <c r="A125" s="37">
        <v>43739</v>
      </c>
      <c r="B125" s="29" t="s">
        <v>71</v>
      </c>
      <c r="C125" s="23" t="s">
        <v>16</v>
      </c>
      <c r="D125" s="63">
        <v>9750000</v>
      </c>
      <c r="E125" s="71">
        <v>10833333</v>
      </c>
      <c r="F125" s="23" t="s">
        <v>74</v>
      </c>
    </row>
    <row r="126" spans="1:6" x14ac:dyDescent="0.25">
      <c r="A126" s="37">
        <v>43739</v>
      </c>
      <c r="B126" s="29" t="s">
        <v>72</v>
      </c>
      <c r="C126" s="23" t="s">
        <v>16</v>
      </c>
      <c r="D126" s="63">
        <v>11750000</v>
      </c>
      <c r="E126" s="71">
        <v>10833333</v>
      </c>
      <c r="F126" s="23" t="s">
        <v>74</v>
      </c>
    </row>
    <row r="127" spans="1:6" x14ac:dyDescent="0.25">
      <c r="A127" s="37">
        <v>43739</v>
      </c>
      <c r="B127" s="29" t="s">
        <v>73</v>
      </c>
      <c r="C127" s="23" t="s">
        <v>16</v>
      </c>
      <c r="D127" s="63">
        <v>9000000</v>
      </c>
      <c r="E127" s="71">
        <v>10000000</v>
      </c>
      <c r="F127" s="23" t="s">
        <v>74</v>
      </c>
    </row>
    <row r="128" spans="1:6" x14ac:dyDescent="0.25">
      <c r="A128" s="37">
        <v>43739</v>
      </c>
      <c r="B128" s="29" t="s">
        <v>75</v>
      </c>
      <c r="C128" s="23" t="s">
        <v>16</v>
      </c>
      <c r="D128" s="63">
        <v>5200000</v>
      </c>
      <c r="E128" s="71">
        <v>10000000</v>
      </c>
      <c r="F128" s="23" t="s">
        <v>74</v>
      </c>
    </row>
    <row r="129" spans="1:6" x14ac:dyDescent="0.25">
      <c r="A129" s="37">
        <v>43739</v>
      </c>
      <c r="B129" s="29" t="s">
        <v>84</v>
      </c>
      <c r="C129" s="23" t="s">
        <v>17</v>
      </c>
      <c r="D129" s="69">
        <v>18150000</v>
      </c>
      <c r="E129" s="74">
        <v>13916667</v>
      </c>
      <c r="F129" s="23" t="s">
        <v>74</v>
      </c>
    </row>
    <row r="130" spans="1:6" x14ac:dyDescent="0.25">
      <c r="A130" s="37">
        <v>43739</v>
      </c>
      <c r="B130" s="32" t="s">
        <v>76</v>
      </c>
      <c r="C130" s="23" t="s">
        <v>17</v>
      </c>
      <c r="D130" s="69">
        <v>9500000</v>
      </c>
      <c r="E130" s="71">
        <v>13916667</v>
      </c>
      <c r="F130" s="23" t="s">
        <v>74</v>
      </c>
    </row>
    <row r="131" spans="1:6" x14ac:dyDescent="0.25">
      <c r="A131" s="37">
        <v>43739</v>
      </c>
      <c r="B131" s="257" t="s">
        <v>83</v>
      </c>
      <c r="C131" s="23" t="s">
        <v>17</v>
      </c>
      <c r="D131" s="122">
        <v>8050000</v>
      </c>
      <c r="E131" s="71">
        <v>13916667</v>
      </c>
      <c r="F131" s="23" t="s">
        <v>74</v>
      </c>
    </row>
    <row r="132" spans="1:6" x14ac:dyDescent="0.25">
      <c r="A132" s="37">
        <v>43770</v>
      </c>
      <c r="B132" s="17" t="s">
        <v>70</v>
      </c>
      <c r="C132" s="12" t="s">
        <v>4</v>
      </c>
      <c r="D132" s="63">
        <v>29761000</v>
      </c>
      <c r="E132" s="71">
        <v>42000000</v>
      </c>
      <c r="F132" s="23" t="s">
        <v>74</v>
      </c>
    </row>
    <row r="133" spans="1:6" x14ac:dyDescent="0.25">
      <c r="A133" s="37">
        <v>43770</v>
      </c>
      <c r="B133" s="29" t="s">
        <v>71</v>
      </c>
      <c r="C133" s="259" t="s">
        <v>16</v>
      </c>
      <c r="D133" s="63">
        <v>16050000</v>
      </c>
      <c r="E133" s="71">
        <v>10833333</v>
      </c>
      <c r="F133" s="23" t="s">
        <v>74</v>
      </c>
    </row>
    <row r="134" spans="1:6" x14ac:dyDescent="0.25">
      <c r="A134" s="37">
        <v>43770</v>
      </c>
      <c r="B134" s="29" t="s">
        <v>72</v>
      </c>
      <c r="C134" s="259" t="s">
        <v>16</v>
      </c>
      <c r="D134" s="63">
        <v>6580000</v>
      </c>
      <c r="E134" s="71">
        <v>10833333</v>
      </c>
      <c r="F134" s="23" t="s">
        <v>74</v>
      </c>
    </row>
    <row r="135" spans="1:6" x14ac:dyDescent="0.25">
      <c r="A135" s="37">
        <v>43770</v>
      </c>
      <c r="B135" s="29" t="s">
        <v>73</v>
      </c>
      <c r="C135" s="259" t="s">
        <v>16</v>
      </c>
      <c r="D135" s="63">
        <v>5731000</v>
      </c>
      <c r="E135" s="71">
        <v>10000000</v>
      </c>
      <c r="F135" s="23" t="s">
        <v>74</v>
      </c>
    </row>
    <row r="136" spans="1:6" x14ac:dyDescent="0.25">
      <c r="A136" s="37">
        <v>43770</v>
      </c>
      <c r="B136" s="29" t="s">
        <v>75</v>
      </c>
      <c r="C136" s="259" t="s">
        <v>16</v>
      </c>
      <c r="D136" s="63">
        <v>1400000</v>
      </c>
      <c r="E136" s="71">
        <v>10000000</v>
      </c>
      <c r="F136" s="23" t="s">
        <v>74</v>
      </c>
    </row>
    <row r="137" spans="1:6" x14ac:dyDescent="0.25">
      <c r="A137" s="37">
        <v>43770</v>
      </c>
      <c r="B137" s="29" t="s">
        <v>84</v>
      </c>
      <c r="C137" s="259" t="s">
        <v>17</v>
      </c>
      <c r="D137" s="69">
        <v>3301000</v>
      </c>
      <c r="E137" s="74">
        <v>13916667</v>
      </c>
      <c r="F137" s="23" t="s">
        <v>74</v>
      </c>
    </row>
    <row r="138" spans="1:6" x14ac:dyDescent="0.25">
      <c r="A138" s="37">
        <v>43770</v>
      </c>
      <c r="B138" s="32" t="s">
        <v>76</v>
      </c>
      <c r="C138" s="259" t="s">
        <v>17</v>
      </c>
      <c r="D138" s="69">
        <v>10830000</v>
      </c>
      <c r="E138" s="71">
        <v>13916667</v>
      </c>
      <c r="F138" s="23" t="s">
        <v>74</v>
      </c>
    </row>
    <row r="139" spans="1:6" x14ac:dyDescent="0.25">
      <c r="A139" s="37">
        <v>43770</v>
      </c>
      <c r="B139" s="257" t="s">
        <v>83</v>
      </c>
      <c r="C139" s="259" t="s">
        <v>17</v>
      </c>
      <c r="D139" s="137">
        <v>13330000</v>
      </c>
      <c r="E139" s="71">
        <v>13916667</v>
      </c>
      <c r="F139" s="23" t="s">
        <v>74</v>
      </c>
    </row>
    <row r="140" spans="1:6" x14ac:dyDescent="0.25">
      <c r="A140" s="37">
        <v>43800</v>
      </c>
      <c r="B140" s="17" t="s">
        <v>70</v>
      </c>
      <c r="C140" s="12" t="s">
        <v>4</v>
      </c>
      <c r="D140" s="90">
        <v>25880000</v>
      </c>
      <c r="E140" s="71">
        <v>42000000</v>
      </c>
      <c r="F140" s="23" t="s">
        <v>74</v>
      </c>
    </row>
    <row r="141" spans="1:6" x14ac:dyDescent="0.25">
      <c r="A141" s="37">
        <v>43800</v>
      </c>
      <c r="B141" s="29" t="s">
        <v>71</v>
      </c>
      <c r="C141" s="259" t="s">
        <v>16</v>
      </c>
      <c r="D141" s="90">
        <v>13550000</v>
      </c>
      <c r="E141" s="71">
        <v>10833333</v>
      </c>
      <c r="F141" s="23" t="s">
        <v>74</v>
      </c>
    </row>
    <row r="142" spans="1:6" x14ac:dyDescent="0.25">
      <c r="A142" s="37">
        <v>43800</v>
      </c>
      <c r="B142" s="29" t="s">
        <v>72</v>
      </c>
      <c r="C142" s="259" t="s">
        <v>16</v>
      </c>
      <c r="D142" s="90">
        <v>7150000</v>
      </c>
      <c r="E142" s="71">
        <v>10833333</v>
      </c>
      <c r="F142" s="23" t="s">
        <v>74</v>
      </c>
    </row>
    <row r="143" spans="1:6" x14ac:dyDescent="0.25">
      <c r="A143" s="37">
        <v>43800</v>
      </c>
      <c r="B143" s="29" t="s">
        <v>73</v>
      </c>
      <c r="C143" s="259" t="s">
        <v>16</v>
      </c>
      <c r="D143" s="90">
        <v>4430000</v>
      </c>
      <c r="E143" s="71">
        <v>10000000</v>
      </c>
      <c r="F143" s="23" t="s">
        <v>74</v>
      </c>
    </row>
    <row r="144" spans="1:6" x14ac:dyDescent="0.25">
      <c r="A144" s="37">
        <v>43800</v>
      </c>
      <c r="B144" s="29" t="s">
        <v>75</v>
      </c>
      <c r="C144" s="259" t="s">
        <v>16</v>
      </c>
      <c r="D144" s="90">
        <v>2250000</v>
      </c>
      <c r="E144" s="71">
        <v>10000000</v>
      </c>
      <c r="F144" s="23" t="s">
        <v>74</v>
      </c>
    </row>
    <row r="145" spans="1:6" x14ac:dyDescent="0.25">
      <c r="A145" s="37">
        <v>43800</v>
      </c>
      <c r="B145" s="29" t="s">
        <v>84</v>
      </c>
      <c r="C145" s="259" t="s">
        <v>17</v>
      </c>
      <c r="D145" s="92">
        <v>2250000</v>
      </c>
      <c r="E145" s="74">
        <v>13916667</v>
      </c>
      <c r="F145" s="23" t="s">
        <v>74</v>
      </c>
    </row>
    <row r="146" spans="1:6" x14ac:dyDescent="0.25">
      <c r="A146" s="37">
        <v>43800</v>
      </c>
      <c r="B146" s="32" t="s">
        <v>76</v>
      </c>
      <c r="C146" s="259" t="s">
        <v>17</v>
      </c>
      <c r="D146" s="138">
        <v>10700000</v>
      </c>
      <c r="E146" s="71">
        <v>13916667</v>
      </c>
      <c r="F146" s="23" t="s">
        <v>74</v>
      </c>
    </row>
    <row r="147" spans="1:6" x14ac:dyDescent="0.25">
      <c r="A147" s="37">
        <v>43800</v>
      </c>
      <c r="B147" s="257" t="s">
        <v>83</v>
      </c>
      <c r="C147" s="259" t="s">
        <v>17</v>
      </c>
      <c r="D147" s="137">
        <v>8060000</v>
      </c>
      <c r="E147" s="71">
        <v>13916667</v>
      </c>
      <c r="F147" s="23" t="s">
        <v>74</v>
      </c>
    </row>
    <row r="148" spans="1:6" x14ac:dyDescent="0.25">
      <c r="A148" s="37">
        <v>43831</v>
      </c>
      <c r="B148" s="258" t="s">
        <v>70</v>
      </c>
      <c r="C148" s="23" t="s">
        <v>4</v>
      </c>
      <c r="D148" s="139">
        <v>40375000</v>
      </c>
      <c r="E148" s="71">
        <v>42000000</v>
      </c>
      <c r="F148" s="23" t="s">
        <v>74</v>
      </c>
    </row>
    <row r="149" spans="1:6" x14ac:dyDescent="0.25">
      <c r="A149" s="37">
        <v>43831</v>
      </c>
      <c r="B149" s="18" t="s">
        <v>80</v>
      </c>
      <c r="C149" s="23" t="s">
        <v>16</v>
      </c>
      <c r="D149" s="63">
        <v>15085000</v>
      </c>
      <c r="E149" s="71">
        <v>10500000</v>
      </c>
      <c r="F149" s="23" t="s">
        <v>74</v>
      </c>
    </row>
    <row r="150" spans="1:6" x14ac:dyDescent="0.25">
      <c r="A150" s="37">
        <v>43831</v>
      </c>
      <c r="B150" s="18" t="s">
        <v>72</v>
      </c>
      <c r="C150" s="23" t="s">
        <v>16</v>
      </c>
      <c r="D150" s="110">
        <v>16860000</v>
      </c>
      <c r="E150" s="71">
        <v>10500000</v>
      </c>
      <c r="F150" s="23" t="s">
        <v>74</v>
      </c>
    </row>
    <row r="151" spans="1:6" x14ac:dyDescent="0.25">
      <c r="A151" s="37">
        <v>43831</v>
      </c>
      <c r="B151" s="18" t="s">
        <v>71</v>
      </c>
      <c r="C151" s="23" t="s">
        <v>16</v>
      </c>
      <c r="D151" s="110">
        <v>9430000</v>
      </c>
      <c r="E151" s="71">
        <v>10500000</v>
      </c>
      <c r="F151" s="23" t="s">
        <v>74</v>
      </c>
    </row>
    <row r="152" spans="1:6" x14ac:dyDescent="0.25">
      <c r="A152" s="37">
        <v>43831</v>
      </c>
      <c r="B152" s="29" t="s">
        <v>81</v>
      </c>
      <c r="C152" s="23" t="s">
        <v>17</v>
      </c>
      <c r="D152" s="66">
        <v>11840000</v>
      </c>
      <c r="E152" s="140">
        <v>14000000</v>
      </c>
      <c r="F152" s="23" t="s">
        <v>74</v>
      </c>
    </row>
    <row r="153" spans="1:6" x14ac:dyDescent="0.25">
      <c r="A153" s="37">
        <v>43831</v>
      </c>
      <c r="B153" s="29" t="s">
        <v>76</v>
      </c>
      <c r="C153" s="23" t="s">
        <v>17</v>
      </c>
      <c r="D153" s="63">
        <v>17070000</v>
      </c>
      <c r="E153" s="140">
        <v>14000000</v>
      </c>
      <c r="F153" s="23" t="s">
        <v>74</v>
      </c>
    </row>
    <row r="154" spans="1:6" x14ac:dyDescent="0.25">
      <c r="A154" s="37">
        <v>43831</v>
      </c>
      <c r="B154" s="233" t="s">
        <v>82</v>
      </c>
      <c r="C154" s="23" t="s">
        <v>17</v>
      </c>
      <c r="D154" s="66">
        <v>9365000</v>
      </c>
      <c r="E154" s="140">
        <v>14000000</v>
      </c>
      <c r="F154" s="23" t="s">
        <v>74</v>
      </c>
    </row>
    <row r="155" spans="1:6" x14ac:dyDescent="0.25">
      <c r="A155" s="37">
        <v>43862</v>
      </c>
      <c r="B155" s="258" t="s">
        <v>70</v>
      </c>
      <c r="C155" s="23" t="s">
        <v>4</v>
      </c>
      <c r="D155" s="139">
        <v>40375000</v>
      </c>
      <c r="E155" s="71">
        <v>42000000</v>
      </c>
      <c r="F155" s="23" t="s">
        <v>74</v>
      </c>
    </row>
    <row r="156" spans="1:6" x14ac:dyDescent="0.25">
      <c r="A156" s="37">
        <v>43862</v>
      </c>
      <c r="B156" s="18" t="s">
        <v>80</v>
      </c>
      <c r="C156" s="23" t="s">
        <v>16</v>
      </c>
      <c r="D156" s="63">
        <v>15085000</v>
      </c>
      <c r="E156" s="71">
        <v>10500000</v>
      </c>
      <c r="F156" s="23" t="s">
        <v>74</v>
      </c>
    </row>
    <row r="157" spans="1:6" x14ac:dyDescent="0.25">
      <c r="A157" s="37">
        <v>43862</v>
      </c>
      <c r="B157" s="18" t="s">
        <v>72</v>
      </c>
      <c r="C157" s="23" t="s">
        <v>16</v>
      </c>
      <c r="D157" s="110">
        <v>16860000</v>
      </c>
      <c r="E157" s="71">
        <v>10500000</v>
      </c>
      <c r="F157" s="23" t="s">
        <v>74</v>
      </c>
    </row>
    <row r="158" spans="1:6" x14ac:dyDescent="0.25">
      <c r="A158" s="37">
        <v>43862</v>
      </c>
      <c r="B158" s="18" t="s">
        <v>71</v>
      </c>
      <c r="C158" s="23" t="s">
        <v>16</v>
      </c>
      <c r="D158" s="110">
        <v>9430000</v>
      </c>
      <c r="E158" s="71">
        <v>10500000</v>
      </c>
      <c r="F158" s="23" t="s">
        <v>74</v>
      </c>
    </row>
    <row r="159" spans="1:6" x14ac:dyDescent="0.25">
      <c r="A159" s="37">
        <v>43862</v>
      </c>
      <c r="B159" s="29" t="s">
        <v>81</v>
      </c>
      <c r="C159" s="23" t="s">
        <v>17</v>
      </c>
      <c r="D159" s="66">
        <v>11840000</v>
      </c>
      <c r="E159" s="140">
        <v>14000000</v>
      </c>
      <c r="F159" s="23" t="s">
        <v>74</v>
      </c>
    </row>
    <row r="160" spans="1:6" x14ac:dyDescent="0.25">
      <c r="A160" s="37">
        <v>43862</v>
      </c>
      <c r="B160" s="29" t="s">
        <v>76</v>
      </c>
      <c r="C160" s="23" t="s">
        <v>17</v>
      </c>
      <c r="D160" s="63">
        <v>17070000</v>
      </c>
      <c r="E160" s="140">
        <v>14000000</v>
      </c>
      <c r="F160" s="23" t="s">
        <v>74</v>
      </c>
    </row>
    <row r="161" spans="1:6" x14ac:dyDescent="0.25">
      <c r="A161" s="37">
        <v>43862</v>
      </c>
      <c r="B161" s="233" t="s">
        <v>82</v>
      </c>
      <c r="C161" s="23" t="s">
        <v>17</v>
      </c>
      <c r="D161" s="66">
        <v>9365000</v>
      </c>
      <c r="E161" s="140">
        <v>14000000</v>
      </c>
      <c r="F161" s="23" t="s">
        <v>74</v>
      </c>
    </row>
    <row r="162" spans="1:6" x14ac:dyDescent="0.25">
      <c r="A162" s="37">
        <v>43891</v>
      </c>
      <c r="B162" s="258" t="s">
        <v>70</v>
      </c>
      <c r="C162" s="23" t="s">
        <v>4</v>
      </c>
      <c r="D162" s="66">
        <v>22877000</v>
      </c>
      <c r="E162" s="71">
        <v>42000000</v>
      </c>
      <c r="F162" s="23" t="s">
        <v>74</v>
      </c>
    </row>
    <row r="163" spans="1:6" x14ac:dyDescent="0.25">
      <c r="A163" s="37">
        <v>43891</v>
      </c>
      <c r="B163" s="18" t="s">
        <v>80</v>
      </c>
      <c r="C163" s="23" t="s">
        <v>16</v>
      </c>
      <c r="D163" s="66">
        <v>6900000</v>
      </c>
      <c r="E163" s="71">
        <v>10500000</v>
      </c>
      <c r="F163" s="23" t="s">
        <v>74</v>
      </c>
    </row>
    <row r="164" spans="1:6" x14ac:dyDescent="0.25">
      <c r="A164" s="37">
        <v>43891</v>
      </c>
      <c r="B164" s="29" t="s">
        <v>72</v>
      </c>
      <c r="C164" s="23" t="s">
        <v>16</v>
      </c>
      <c r="D164" s="66">
        <v>5700000</v>
      </c>
      <c r="E164" s="71">
        <v>10500000</v>
      </c>
      <c r="F164" s="23" t="s">
        <v>74</v>
      </c>
    </row>
    <row r="165" spans="1:6" x14ac:dyDescent="0.25">
      <c r="A165" s="37">
        <v>43891</v>
      </c>
      <c r="B165" s="29" t="s">
        <v>71</v>
      </c>
      <c r="C165" s="23" t="s">
        <v>16</v>
      </c>
      <c r="D165" s="66">
        <v>9627000</v>
      </c>
      <c r="E165" s="71">
        <v>10500000</v>
      </c>
      <c r="F165" s="23" t="s">
        <v>74</v>
      </c>
    </row>
    <row r="166" spans="1:6" x14ac:dyDescent="0.25">
      <c r="A166" s="37">
        <v>43891</v>
      </c>
      <c r="B166" s="29" t="s">
        <v>81</v>
      </c>
      <c r="C166" s="23" t="s">
        <v>17</v>
      </c>
      <c r="D166" s="79">
        <v>9950000</v>
      </c>
      <c r="E166" s="140">
        <v>14000000</v>
      </c>
      <c r="F166" s="23" t="s">
        <v>74</v>
      </c>
    </row>
    <row r="167" spans="1:6" x14ac:dyDescent="0.25">
      <c r="A167" s="37">
        <v>43891</v>
      </c>
      <c r="B167" s="29" t="s">
        <v>76</v>
      </c>
      <c r="C167" s="23" t="s">
        <v>17</v>
      </c>
      <c r="D167" s="80">
        <v>7277000</v>
      </c>
      <c r="E167" s="140">
        <v>14000000</v>
      </c>
      <c r="F167" s="23" t="s">
        <v>74</v>
      </c>
    </row>
    <row r="168" spans="1:6" x14ac:dyDescent="0.25">
      <c r="A168" s="37">
        <v>43891</v>
      </c>
      <c r="B168" s="260" t="s">
        <v>82</v>
      </c>
      <c r="C168" s="23" t="s">
        <v>17</v>
      </c>
      <c r="D168" s="66">
        <v>5650000</v>
      </c>
      <c r="E168" s="140">
        <v>14000000</v>
      </c>
      <c r="F168" s="23" t="s">
        <v>74</v>
      </c>
    </row>
    <row r="169" spans="1:6" x14ac:dyDescent="0.25">
      <c r="A169" s="37">
        <v>43922</v>
      </c>
      <c r="B169" s="258" t="s">
        <v>70</v>
      </c>
      <c r="C169" s="23" t="s">
        <v>4</v>
      </c>
      <c r="D169" s="66">
        <v>0</v>
      </c>
      <c r="E169" s="71">
        <v>42000000</v>
      </c>
      <c r="F169" s="23" t="s">
        <v>74</v>
      </c>
    </row>
    <row r="170" spans="1:6" x14ac:dyDescent="0.25">
      <c r="A170" s="37">
        <v>43922</v>
      </c>
      <c r="B170" s="18" t="s">
        <v>80</v>
      </c>
      <c r="C170" s="23" t="s">
        <v>16</v>
      </c>
      <c r="D170" s="66">
        <v>0</v>
      </c>
      <c r="E170" s="71">
        <v>10500000</v>
      </c>
      <c r="F170" s="23" t="s">
        <v>74</v>
      </c>
    </row>
    <row r="171" spans="1:6" x14ac:dyDescent="0.25">
      <c r="A171" s="37">
        <v>43922</v>
      </c>
      <c r="B171" s="29" t="s">
        <v>72</v>
      </c>
      <c r="C171" s="23" t="s">
        <v>16</v>
      </c>
      <c r="D171" s="66">
        <v>0</v>
      </c>
      <c r="E171" s="71">
        <v>10500000</v>
      </c>
      <c r="F171" s="23" t="s">
        <v>74</v>
      </c>
    </row>
    <row r="172" spans="1:6" x14ac:dyDescent="0.25">
      <c r="A172" s="37">
        <v>43922</v>
      </c>
      <c r="B172" s="29" t="s">
        <v>71</v>
      </c>
      <c r="C172" s="23" t="s">
        <v>16</v>
      </c>
      <c r="D172" s="66">
        <v>0</v>
      </c>
      <c r="E172" s="71">
        <v>10500000</v>
      </c>
      <c r="F172" s="23" t="s">
        <v>74</v>
      </c>
    </row>
    <row r="173" spans="1:6" x14ac:dyDescent="0.25">
      <c r="A173" s="37">
        <v>43922</v>
      </c>
      <c r="B173" s="29" t="s">
        <v>81</v>
      </c>
      <c r="C173" s="23" t="s">
        <v>17</v>
      </c>
      <c r="D173" s="79">
        <v>0</v>
      </c>
      <c r="E173" s="140">
        <v>14000000</v>
      </c>
      <c r="F173" s="23" t="s">
        <v>74</v>
      </c>
    </row>
    <row r="174" spans="1:6" x14ac:dyDescent="0.25">
      <c r="A174" s="37">
        <v>43922</v>
      </c>
      <c r="B174" s="29" t="s">
        <v>76</v>
      </c>
      <c r="C174" s="23" t="s">
        <v>17</v>
      </c>
      <c r="D174" s="80">
        <v>0</v>
      </c>
      <c r="E174" s="140">
        <v>14000000</v>
      </c>
      <c r="F174" s="23" t="s">
        <v>74</v>
      </c>
    </row>
    <row r="175" spans="1:6" x14ac:dyDescent="0.25">
      <c r="A175" s="37">
        <v>43922</v>
      </c>
      <c r="B175" s="260" t="s">
        <v>82</v>
      </c>
      <c r="C175" s="23" t="s">
        <v>17</v>
      </c>
      <c r="D175" s="66">
        <v>0</v>
      </c>
      <c r="E175" s="140">
        <v>14000000</v>
      </c>
      <c r="F175" s="23" t="s">
        <v>74</v>
      </c>
    </row>
    <row r="176" spans="1:6" x14ac:dyDescent="0.25">
      <c r="A176" s="37">
        <v>43952</v>
      </c>
      <c r="B176" s="258" t="s">
        <v>70</v>
      </c>
      <c r="C176" s="23" t="s">
        <v>4</v>
      </c>
      <c r="D176" s="110">
        <v>0</v>
      </c>
      <c r="E176" s="71">
        <v>42000000</v>
      </c>
      <c r="F176" s="23" t="s">
        <v>74</v>
      </c>
    </row>
    <row r="177" spans="1:6" x14ac:dyDescent="0.25">
      <c r="A177" s="37">
        <v>43952</v>
      </c>
      <c r="B177" s="18" t="s">
        <v>80</v>
      </c>
      <c r="C177" s="23" t="s">
        <v>16</v>
      </c>
      <c r="D177" s="122">
        <v>0</v>
      </c>
      <c r="E177" s="71">
        <v>10500000</v>
      </c>
      <c r="F177" s="23" t="s">
        <v>74</v>
      </c>
    </row>
    <row r="178" spans="1:6" x14ac:dyDescent="0.25">
      <c r="A178" s="37">
        <v>43952</v>
      </c>
      <c r="B178" s="29" t="s">
        <v>72</v>
      </c>
      <c r="C178" s="23" t="s">
        <v>16</v>
      </c>
      <c r="D178" s="122">
        <v>0</v>
      </c>
      <c r="E178" s="71">
        <v>10500000</v>
      </c>
      <c r="F178" s="23" t="s">
        <v>74</v>
      </c>
    </row>
    <row r="179" spans="1:6" x14ac:dyDescent="0.25">
      <c r="A179" s="37">
        <v>43952</v>
      </c>
      <c r="B179" s="29" t="s">
        <v>71</v>
      </c>
      <c r="C179" s="23" t="s">
        <v>16</v>
      </c>
      <c r="D179" s="122">
        <v>0</v>
      </c>
      <c r="E179" s="71">
        <v>10500000</v>
      </c>
      <c r="F179" s="23" t="s">
        <v>74</v>
      </c>
    </row>
    <row r="180" spans="1:6" x14ac:dyDescent="0.25">
      <c r="A180" s="37">
        <v>43952</v>
      </c>
      <c r="B180" s="29" t="s">
        <v>81</v>
      </c>
      <c r="C180" s="23" t="s">
        <v>17</v>
      </c>
      <c r="D180" s="69">
        <v>0</v>
      </c>
      <c r="E180" s="140">
        <v>14000000</v>
      </c>
      <c r="F180" s="23" t="s">
        <v>74</v>
      </c>
    </row>
    <row r="181" spans="1:6" x14ac:dyDescent="0.25">
      <c r="A181" s="37">
        <v>43952</v>
      </c>
      <c r="B181" s="29" t="s">
        <v>76</v>
      </c>
      <c r="C181" s="23" t="s">
        <v>17</v>
      </c>
      <c r="D181" s="73">
        <v>0</v>
      </c>
      <c r="E181" s="140">
        <v>14000000</v>
      </c>
      <c r="F181" s="23" t="s">
        <v>74</v>
      </c>
    </row>
    <row r="182" spans="1:6" x14ac:dyDescent="0.25">
      <c r="A182" s="37">
        <v>43952</v>
      </c>
      <c r="B182" s="260" t="s">
        <v>82</v>
      </c>
      <c r="C182" s="23" t="s">
        <v>17</v>
      </c>
      <c r="D182" s="122">
        <v>0</v>
      </c>
      <c r="E182" s="140">
        <v>14000000</v>
      </c>
      <c r="F182" s="23" t="s">
        <v>74</v>
      </c>
    </row>
    <row r="183" spans="1:6" x14ac:dyDescent="0.25">
      <c r="A183" s="37">
        <v>43983</v>
      </c>
      <c r="B183" s="258" t="s">
        <v>70</v>
      </c>
      <c r="C183" s="23" t="s">
        <v>4</v>
      </c>
      <c r="D183" s="135">
        <v>21650000</v>
      </c>
      <c r="E183" s="71">
        <v>42000000</v>
      </c>
      <c r="F183" s="23" t="s">
        <v>74</v>
      </c>
    </row>
    <row r="184" spans="1:6" x14ac:dyDescent="0.25">
      <c r="A184" s="37">
        <v>43983</v>
      </c>
      <c r="B184" s="18" t="s">
        <v>80</v>
      </c>
      <c r="C184" s="23" t="s">
        <v>16</v>
      </c>
      <c r="D184" s="66">
        <v>8400000</v>
      </c>
      <c r="E184" s="71">
        <v>10500000</v>
      </c>
      <c r="F184" s="23" t="s">
        <v>74</v>
      </c>
    </row>
    <row r="185" spans="1:6" x14ac:dyDescent="0.25">
      <c r="A185" s="37">
        <v>43983</v>
      </c>
      <c r="B185" s="29" t="s">
        <v>72</v>
      </c>
      <c r="C185" s="23" t="s">
        <v>16</v>
      </c>
      <c r="D185" s="84">
        <v>5950000</v>
      </c>
      <c r="E185" s="71">
        <v>10500000</v>
      </c>
      <c r="F185" s="23" t="s">
        <v>74</v>
      </c>
    </row>
    <row r="186" spans="1:6" x14ac:dyDescent="0.25">
      <c r="A186" s="37">
        <v>43983</v>
      </c>
      <c r="B186" s="29" t="s">
        <v>71</v>
      </c>
      <c r="C186" s="23" t="s">
        <v>16</v>
      </c>
      <c r="D186" s="66">
        <v>6300000</v>
      </c>
      <c r="E186" s="71">
        <v>10500000</v>
      </c>
      <c r="F186" s="23" t="s">
        <v>74</v>
      </c>
    </row>
    <row r="187" spans="1:6" x14ac:dyDescent="0.25">
      <c r="A187" s="37">
        <v>43983</v>
      </c>
      <c r="B187" s="29" t="s">
        <v>81</v>
      </c>
      <c r="C187" s="23" t="s">
        <v>17</v>
      </c>
      <c r="D187" s="69">
        <v>10400000</v>
      </c>
      <c r="E187" s="140">
        <v>14000000</v>
      </c>
      <c r="F187" s="23" t="s">
        <v>74</v>
      </c>
    </row>
    <row r="188" spans="1:6" x14ac:dyDescent="0.25">
      <c r="A188" s="37">
        <v>43983</v>
      </c>
      <c r="B188" s="29" t="s">
        <v>76</v>
      </c>
      <c r="C188" s="23" t="s">
        <v>17</v>
      </c>
      <c r="D188" s="73">
        <v>0</v>
      </c>
      <c r="E188" s="140">
        <v>14000000</v>
      </c>
      <c r="F188" s="23" t="s">
        <v>74</v>
      </c>
    </row>
    <row r="189" spans="1:6" x14ac:dyDescent="0.25">
      <c r="A189" s="37">
        <v>43983</v>
      </c>
      <c r="B189" s="260" t="s">
        <v>82</v>
      </c>
      <c r="C189" s="23" t="s">
        <v>17</v>
      </c>
      <c r="D189" s="122">
        <v>11250000</v>
      </c>
      <c r="E189" s="140">
        <v>14000000</v>
      </c>
      <c r="F189" s="23" t="s">
        <v>74</v>
      </c>
    </row>
    <row r="190" spans="1:6" x14ac:dyDescent="0.25">
      <c r="A190" s="37">
        <v>44013</v>
      </c>
      <c r="B190" s="258" t="s">
        <v>70</v>
      </c>
      <c r="C190" s="23" t="s">
        <v>4</v>
      </c>
      <c r="D190" s="63">
        <v>47399760</v>
      </c>
      <c r="E190" s="71">
        <v>42000000</v>
      </c>
      <c r="F190" s="23" t="s">
        <v>74</v>
      </c>
    </row>
    <row r="191" spans="1:6" x14ac:dyDescent="0.25">
      <c r="A191" s="37">
        <v>44013</v>
      </c>
      <c r="B191" s="18" t="s">
        <v>80</v>
      </c>
      <c r="C191" s="23" t="s">
        <v>16</v>
      </c>
      <c r="D191" s="63">
        <v>12000000</v>
      </c>
      <c r="E191" s="71">
        <v>10500000</v>
      </c>
      <c r="F191" s="23" t="s">
        <v>74</v>
      </c>
    </row>
    <row r="192" spans="1:6" x14ac:dyDescent="0.25">
      <c r="A192" s="37">
        <v>44013</v>
      </c>
      <c r="B192" s="29" t="s">
        <v>72</v>
      </c>
      <c r="C192" s="23" t="s">
        <v>16</v>
      </c>
      <c r="D192" s="63">
        <v>12100000</v>
      </c>
      <c r="E192" s="71">
        <v>10500000</v>
      </c>
      <c r="F192" s="23" t="s">
        <v>74</v>
      </c>
    </row>
    <row r="193" spans="1:6" x14ac:dyDescent="0.25">
      <c r="A193" s="37">
        <v>44013</v>
      </c>
      <c r="B193" s="29" t="s">
        <v>71</v>
      </c>
      <c r="C193" s="23" t="s">
        <v>16</v>
      </c>
      <c r="D193" s="63">
        <v>21960000</v>
      </c>
      <c r="E193" s="71">
        <v>10500000</v>
      </c>
      <c r="F193" s="23" t="s">
        <v>74</v>
      </c>
    </row>
    <row r="194" spans="1:6" x14ac:dyDescent="0.25">
      <c r="A194" s="37">
        <v>44013</v>
      </c>
      <c r="B194" s="29" t="s">
        <v>81</v>
      </c>
      <c r="C194" s="23" t="s">
        <v>17</v>
      </c>
      <c r="D194" s="69">
        <v>25498760</v>
      </c>
      <c r="E194" s="140">
        <v>14000000</v>
      </c>
      <c r="F194" s="23" t="s">
        <v>74</v>
      </c>
    </row>
    <row r="195" spans="1:6" x14ac:dyDescent="0.25">
      <c r="A195" s="37">
        <v>44013</v>
      </c>
      <c r="B195" s="29" t="s">
        <v>76</v>
      </c>
      <c r="C195" s="23" t="s">
        <v>17</v>
      </c>
      <c r="D195" s="69">
        <v>0</v>
      </c>
      <c r="E195" s="140">
        <v>14000000</v>
      </c>
      <c r="F195" s="23" t="s">
        <v>74</v>
      </c>
    </row>
    <row r="196" spans="1:6" x14ac:dyDescent="0.25">
      <c r="A196" s="37">
        <v>44013</v>
      </c>
      <c r="B196" s="260" t="s">
        <v>82</v>
      </c>
      <c r="C196" s="23" t="s">
        <v>17</v>
      </c>
      <c r="D196" s="122">
        <v>21900000</v>
      </c>
      <c r="E196" s="140">
        <v>14000000</v>
      </c>
      <c r="F196" s="23" t="s">
        <v>74</v>
      </c>
    </row>
    <row r="197" spans="1:6" x14ac:dyDescent="0.25">
      <c r="A197" s="37">
        <v>44044</v>
      </c>
      <c r="B197" s="258" t="s">
        <v>70</v>
      </c>
      <c r="C197" s="23" t="s">
        <v>4</v>
      </c>
      <c r="D197" s="66">
        <v>17005000</v>
      </c>
      <c r="E197" s="71">
        <v>42000000</v>
      </c>
      <c r="F197" s="23" t="s">
        <v>74</v>
      </c>
    </row>
    <row r="198" spans="1:6" x14ac:dyDescent="0.25">
      <c r="A198" s="37">
        <v>44044</v>
      </c>
      <c r="B198" s="18" t="s">
        <v>80</v>
      </c>
      <c r="C198" s="23" t="s">
        <v>16</v>
      </c>
      <c r="D198" s="66">
        <v>2800000</v>
      </c>
      <c r="E198" s="71">
        <v>10500000</v>
      </c>
      <c r="F198" s="23" t="s">
        <v>74</v>
      </c>
    </row>
    <row r="199" spans="1:6" x14ac:dyDescent="0.25">
      <c r="A199" s="37">
        <v>44044</v>
      </c>
      <c r="B199" s="29" t="s">
        <v>72</v>
      </c>
      <c r="C199" s="23" t="s">
        <v>16</v>
      </c>
      <c r="D199" s="66">
        <v>6500000</v>
      </c>
      <c r="E199" s="71">
        <v>10500000</v>
      </c>
      <c r="F199" s="23" t="s">
        <v>74</v>
      </c>
    </row>
    <row r="200" spans="1:6" x14ac:dyDescent="0.25">
      <c r="A200" s="37">
        <v>44044</v>
      </c>
      <c r="B200" s="29" t="s">
        <v>71</v>
      </c>
      <c r="C200" s="23" t="s">
        <v>16</v>
      </c>
      <c r="D200" s="66">
        <v>7705000</v>
      </c>
      <c r="E200" s="71">
        <v>10500000</v>
      </c>
      <c r="F200" s="23" t="s">
        <v>74</v>
      </c>
    </row>
    <row r="201" spans="1:6" x14ac:dyDescent="0.25">
      <c r="A201" s="37">
        <v>44044</v>
      </c>
      <c r="B201" s="29" t="s">
        <v>81</v>
      </c>
      <c r="C201" s="23" t="s">
        <v>17</v>
      </c>
      <c r="D201" s="79">
        <v>8375000</v>
      </c>
      <c r="E201" s="140">
        <v>14000000</v>
      </c>
      <c r="F201" s="23" t="s">
        <v>74</v>
      </c>
    </row>
    <row r="202" spans="1:6" x14ac:dyDescent="0.25">
      <c r="A202" s="37">
        <v>44044</v>
      </c>
      <c r="B202" s="29" t="s">
        <v>76</v>
      </c>
      <c r="C202" s="23" t="s">
        <v>17</v>
      </c>
      <c r="D202" s="69">
        <v>0</v>
      </c>
      <c r="E202" s="140">
        <v>14000000</v>
      </c>
      <c r="F202" s="23" t="s">
        <v>74</v>
      </c>
    </row>
    <row r="203" spans="1:6" x14ac:dyDescent="0.25">
      <c r="A203" s="37">
        <v>44044</v>
      </c>
      <c r="B203" s="260" t="s">
        <v>82</v>
      </c>
      <c r="C203" s="23" t="s">
        <v>17</v>
      </c>
      <c r="D203" s="66">
        <v>8630000</v>
      </c>
      <c r="E203" s="140">
        <v>14000000</v>
      </c>
      <c r="F203" s="23" t="s">
        <v>74</v>
      </c>
    </row>
    <row r="204" spans="1:6" x14ac:dyDescent="0.25">
      <c r="A204" s="37">
        <v>44075</v>
      </c>
      <c r="B204" s="258" t="s">
        <v>70</v>
      </c>
      <c r="C204" s="23" t="s">
        <v>4</v>
      </c>
      <c r="D204" s="66">
        <v>31960000</v>
      </c>
      <c r="E204" s="71">
        <v>42000000</v>
      </c>
      <c r="F204" s="23" t="s">
        <v>74</v>
      </c>
    </row>
    <row r="205" spans="1:6" x14ac:dyDescent="0.25">
      <c r="A205" s="37">
        <v>44075</v>
      </c>
      <c r="B205" s="18" t="s">
        <v>80</v>
      </c>
      <c r="C205" s="23" t="s">
        <v>16</v>
      </c>
      <c r="D205" s="63">
        <v>15560000</v>
      </c>
      <c r="E205" s="71">
        <v>10500000</v>
      </c>
      <c r="F205" s="23" t="s">
        <v>74</v>
      </c>
    </row>
    <row r="206" spans="1:6" x14ac:dyDescent="0.25">
      <c r="A206" s="37">
        <v>44075</v>
      </c>
      <c r="B206" s="29" t="s">
        <v>72</v>
      </c>
      <c r="C206" s="23" t="s">
        <v>16</v>
      </c>
      <c r="D206" s="66">
        <v>4500000</v>
      </c>
      <c r="E206" s="71">
        <v>10500000</v>
      </c>
      <c r="F206" s="23" t="s">
        <v>74</v>
      </c>
    </row>
    <row r="207" spans="1:6" x14ac:dyDescent="0.25">
      <c r="A207" s="37">
        <v>44075</v>
      </c>
      <c r="B207" s="29" t="s">
        <v>71</v>
      </c>
      <c r="C207" s="23" t="s">
        <v>16</v>
      </c>
      <c r="D207" s="63">
        <v>11900000</v>
      </c>
      <c r="E207" s="71">
        <v>10500000</v>
      </c>
      <c r="F207" s="23" t="s">
        <v>74</v>
      </c>
    </row>
    <row r="208" spans="1:6" x14ac:dyDescent="0.25">
      <c r="A208" s="37">
        <v>44075</v>
      </c>
      <c r="B208" s="29" t="s">
        <v>81</v>
      </c>
      <c r="C208" s="23" t="s">
        <v>17</v>
      </c>
      <c r="D208" s="69">
        <v>12300000</v>
      </c>
      <c r="E208" s="140">
        <v>14000000</v>
      </c>
      <c r="F208" s="23" t="s">
        <v>74</v>
      </c>
    </row>
    <row r="209" spans="1:6" x14ac:dyDescent="0.25">
      <c r="A209" s="37">
        <v>44075</v>
      </c>
      <c r="B209" s="29" t="s">
        <v>76</v>
      </c>
      <c r="C209" s="23" t="s">
        <v>17</v>
      </c>
      <c r="D209" s="69">
        <v>0</v>
      </c>
      <c r="E209" s="140">
        <v>14000000</v>
      </c>
      <c r="F209" s="23" t="s">
        <v>74</v>
      </c>
    </row>
    <row r="210" spans="1:6" x14ac:dyDescent="0.25">
      <c r="A210" s="37">
        <v>44075</v>
      </c>
      <c r="B210" s="260" t="s">
        <v>82</v>
      </c>
      <c r="C210" s="23" t="s">
        <v>17</v>
      </c>
      <c r="D210" s="122">
        <v>24910000</v>
      </c>
      <c r="E210" s="140">
        <v>14000000</v>
      </c>
      <c r="F210" s="23" t="s">
        <v>74</v>
      </c>
    </row>
    <row r="211" spans="1:6" x14ac:dyDescent="0.25">
      <c r="A211" s="37">
        <v>44105</v>
      </c>
      <c r="B211" s="258" t="s">
        <v>70</v>
      </c>
      <c r="C211" s="23" t="s">
        <v>4</v>
      </c>
      <c r="D211" s="84">
        <v>30350980</v>
      </c>
      <c r="E211" s="71">
        <v>42000000</v>
      </c>
      <c r="F211" s="23" t="s">
        <v>74</v>
      </c>
    </row>
    <row r="212" spans="1:6" x14ac:dyDescent="0.25">
      <c r="A212" s="37">
        <v>44105</v>
      </c>
      <c r="B212" s="18" t="s">
        <v>80</v>
      </c>
      <c r="C212" s="23" t="s">
        <v>16</v>
      </c>
      <c r="D212" s="66">
        <v>9600000</v>
      </c>
      <c r="E212" s="71">
        <v>10500000</v>
      </c>
      <c r="F212" s="23" t="s">
        <v>74</v>
      </c>
    </row>
    <row r="213" spans="1:6" x14ac:dyDescent="0.25">
      <c r="A213" s="37">
        <v>44105</v>
      </c>
      <c r="B213" s="29" t="s">
        <v>72</v>
      </c>
      <c r="C213" s="23" t="s">
        <v>16</v>
      </c>
      <c r="D213" s="63">
        <v>0</v>
      </c>
      <c r="E213" s="71">
        <v>10500000</v>
      </c>
      <c r="F213" s="23" t="s">
        <v>74</v>
      </c>
    </row>
    <row r="214" spans="1:6" x14ac:dyDescent="0.25">
      <c r="A214" s="37">
        <v>44105</v>
      </c>
      <c r="B214" s="29" t="s">
        <v>71</v>
      </c>
      <c r="C214" s="23" t="s">
        <v>16</v>
      </c>
      <c r="D214" s="63">
        <v>17455000</v>
      </c>
      <c r="E214" s="71">
        <v>10500000</v>
      </c>
      <c r="F214" s="23" t="s">
        <v>74</v>
      </c>
    </row>
    <row r="215" spans="1:6" x14ac:dyDescent="0.25">
      <c r="A215" s="37">
        <v>44105</v>
      </c>
      <c r="B215" s="29" t="s">
        <v>81</v>
      </c>
      <c r="C215" s="23" t="s">
        <v>17</v>
      </c>
      <c r="D215" s="69">
        <v>10630000</v>
      </c>
      <c r="E215" s="140">
        <v>14000000</v>
      </c>
      <c r="F215" s="23" t="s">
        <v>74</v>
      </c>
    </row>
    <row r="216" spans="1:6" x14ac:dyDescent="0.25">
      <c r="A216" s="37">
        <v>44105</v>
      </c>
      <c r="B216" s="29" t="s">
        <v>76</v>
      </c>
      <c r="C216" s="23" t="s">
        <v>17</v>
      </c>
      <c r="D216" s="69">
        <v>1060000</v>
      </c>
      <c r="E216" s="140">
        <v>14000000</v>
      </c>
      <c r="F216" s="23" t="s">
        <v>74</v>
      </c>
    </row>
    <row r="217" spans="1:6" x14ac:dyDescent="0.25">
      <c r="A217" s="37">
        <v>44105</v>
      </c>
      <c r="B217" s="260" t="s">
        <v>82</v>
      </c>
      <c r="C217" s="23" t="s">
        <v>17</v>
      </c>
      <c r="D217" s="122">
        <v>22840000</v>
      </c>
      <c r="E217" s="140">
        <v>14000000</v>
      </c>
      <c r="F217" s="23" t="s">
        <v>74</v>
      </c>
    </row>
    <row r="218" spans="1:6" x14ac:dyDescent="0.25">
      <c r="A218" s="37">
        <v>44136</v>
      </c>
      <c r="B218" s="258" t="s">
        <v>70</v>
      </c>
      <c r="C218" s="23" t="s">
        <v>4</v>
      </c>
      <c r="D218" s="63">
        <v>37440000</v>
      </c>
      <c r="E218" s="71">
        <v>42000000</v>
      </c>
      <c r="F218" s="23" t="s">
        <v>74</v>
      </c>
    </row>
    <row r="219" spans="1:6" x14ac:dyDescent="0.25">
      <c r="A219" s="37">
        <v>44136</v>
      </c>
      <c r="B219" s="18" t="s">
        <v>80</v>
      </c>
      <c r="C219" s="23" t="s">
        <v>16</v>
      </c>
      <c r="D219" s="63">
        <v>13140000</v>
      </c>
      <c r="E219" s="71">
        <v>10500000</v>
      </c>
      <c r="F219" s="23" t="s">
        <v>74</v>
      </c>
    </row>
    <row r="220" spans="1:6" x14ac:dyDescent="0.25">
      <c r="A220" s="37">
        <v>44136</v>
      </c>
      <c r="B220" s="29" t="s">
        <v>72</v>
      </c>
      <c r="C220" s="23" t="s">
        <v>16</v>
      </c>
      <c r="D220" s="63">
        <v>0</v>
      </c>
      <c r="E220" s="71">
        <v>10500000</v>
      </c>
      <c r="F220" s="23" t="s">
        <v>74</v>
      </c>
    </row>
    <row r="221" spans="1:6" x14ac:dyDescent="0.25">
      <c r="A221" s="37">
        <v>44136</v>
      </c>
      <c r="B221" s="29" t="s">
        <v>71</v>
      </c>
      <c r="C221" s="23" t="s">
        <v>16</v>
      </c>
      <c r="D221" s="63">
        <v>20750000</v>
      </c>
      <c r="E221" s="71">
        <v>10500000</v>
      </c>
      <c r="F221" s="23" t="s">
        <v>74</v>
      </c>
    </row>
    <row r="222" spans="1:6" x14ac:dyDescent="0.25">
      <c r="A222" s="37">
        <v>44136</v>
      </c>
      <c r="B222" s="29" t="s">
        <v>81</v>
      </c>
      <c r="C222" s="23" t="s">
        <v>17</v>
      </c>
      <c r="D222" s="69">
        <v>6400000</v>
      </c>
      <c r="E222" s="140">
        <v>14000000</v>
      </c>
      <c r="F222" s="23" t="s">
        <v>74</v>
      </c>
    </row>
    <row r="223" spans="1:6" x14ac:dyDescent="0.25">
      <c r="A223" s="37">
        <v>44136</v>
      </c>
      <c r="B223" s="29" t="s">
        <v>76</v>
      </c>
      <c r="C223" s="23" t="s">
        <v>17</v>
      </c>
      <c r="D223" s="69">
        <v>16240000</v>
      </c>
      <c r="E223" s="140">
        <v>14000000</v>
      </c>
      <c r="F223" s="23" t="s">
        <v>74</v>
      </c>
    </row>
    <row r="224" spans="1:6" x14ac:dyDescent="0.25">
      <c r="A224" s="37">
        <v>44136</v>
      </c>
      <c r="B224" s="260" t="s">
        <v>82</v>
      </c>
      <c r="C224" s="23" t="s">
        <v>17</v>
      </c>
      <c r="D224" s="141">
        <v>16600000</v>
      </c>
      <c r="E224" s="140">
        <v>14000000</v>
      </c>
      <c r="F224" s="23" t="s">
        <v>74</v>
      </c>
    </row>
    <row r="225" spans="1:6" x14ac:dyDescent="0.25">
      <c r="A225" s="37">
        <v>44166</v>
      </c>
      <c r="B225" s="258" t="s">
        <v>70</v>
      </c>
      <c r="C225" s="23" t="s">
        <v>4</v>
      </c>
      <c r="D225" s="135">
        <v>23875000</v>
      </c>
      <c r="E225" s="71">
        <v>42000000</v>
      </c>
      <c r="F225" s="23" t="s">
        <v>74</v>
      </c>
    </row>
    <row r="226" spans="1:6" x14ac:dyDescent="0.25">
      <c r="A226" s="37">
        <v>44166</v>
      </c>
      <c r="B226" s="18" t="s">
        <v>80</v>
      </c>
      <c r="C226" s="23" t="s">
        <v>16</v>
      </c>
      <c r="D226" s="90">
        <v>9450000</v>
      </c>
      <c r="E226" s="71">
        <v>10500000</v>
      </c>
      <c r="F226" s="23" t="s">
        <v>74</v>
      </c>
    </row>
    <row r="227" spans="1:6" x14ac:dyDescent="0.25">
      <c r="A227" s="37">
        <v>44166</v>
      </c>
      <c r="B227" s="29" t="s">
        <v>72</v>
      </c>
      <c r="C227" s="23" t="s">
        <v>16</v>
      </c>
      <c r="D227" s="90">
        <v>0</v>
      </c>
      <c r="E227" s="71">
        <v>10500000</v>
      </c>
      <c r="F227" s="23" t="s">
        <v>74</v>
      </c>
    </row>
    <row r="228" spans="1:6" x14ac:dyDescent="0.25">
      <c r="A228" s="37">
        <v>44166</v>
      </c>
      <c r="B228" s="29" t="s">
        <v>71</v>
      </c>
      <c r="C228" s="23" t="s">
        <v>16</v>
      </c>
      <c r="D228" s="90">
        <v>14425000</v>
      </c>
      <c r="E228" s="71">
        <v>10500000</v>
      </c>
      <c r="F228" s="23" t="s">
        <v>74</v>
      </c>
    </row>
    <row r="229" spans="1:6" x14ac:dyDescent="0.25">
      <c r="A229" s="37">
        <v>44166</v>
      </c>
      <c r="B229" s="29" t="s">
        <v>81</v>
      </c>
      <c r="C229" s="23" t="s">
        <v>17</v>
      </c>
      <c r="D229" s="69">
        <v>5450000</v>
      </c>
      <c r="E229" s="140">
        <v>14000000</v>
      </c>
      <c r="F229" s="23" t="s">
        <v>74</v>
      </c>
    </row>
    <row r="230" spans="1:6" x14ac:dyDescent="0.25">
      <c r="A230" s="37">
        <v>44166</v>
      </c>
      <c r="B230" s="47" t="s">
        <v>76</v>
      </c>
      <c r="C230" s="42" t="s">
        <v>17</v>
      </c>
      <c r="D230" s="73">
        <v>8775000</v>
      </c>
      <c r="E230" s="133">
        <v>14000000</v>
      </c>
      <c r="F230" s="23" t="s">
        <v>74</v>
      </c>
    </row>
    <row r="231" spans="1:6" x14ac:dyDescent="0.25">
      <c r="A231" s="37">
        <v>44166</v>
      </c>
      <c r="B231" s="261" t="s">
        <v>82</v>
      </c>
      <c r="C231" s="23" t="s">
        <v>17</v>
      </c>
      <c r="D231" s="87">
        <v>7950000</v>
      </c>
      <c r="E231" s="88">
        <v>14000000</v>
      </c>
      <c r="F231" s="23" t="s">
        <v>74</v>
      </c>
    </row>
    <row r="232" spans="1:6" x14ac:dyDescent="0.25">
      <c r="A232" s="37">
        <v>44197</v>
      </c>
      <c r="B232" s="23" t="s">
        <v>8</v>
      </c>
      <c r="C232" s="23" t="s">
        <v>4</v>
      </c>
      <c r="D232" s="77">
        <v>29750000</v>
      </c>
      <c r="E232" s="71">
        <v>45000000</v>
      </c>
      <c r="F232" s="23" t="s">
        <v>74</v>
      </c>
    </row>
    <row r="233" spans="1:6" x14ac:dyDescent="0.25">
      <c r="A233" s="37">
        <v>44197</v>
      </c>
      <c r="B233" s="19" t="s">
        <v>71</v>
      </c>
      <c r="C233" s="23" t="s">
        <v>16</v>
      </c>
      <c r="D233" s="77">
        <v>10990000</v>
      </c>
      <c r="E233" s="71">
        <v>13000000</v>
      </c>
      <c r="F233" s="23" t="s">
        <v>74</v>
      </c>
    </row>
    <row r="234" spans="1:6" x14ac:dyDescent="0.25">
      <c r="A234" s="37">
        <v>44197</v>
      </c>
      <c r="B234" s="19" t="s">
        <v>73</v>
      </c>
      <c r="C234" s="23" t="s">
        <v>16</v>
      </c>
      <c r="D234" s="87">
        <v>13600000</v>
      </c>
      <c r="E234" s="71">
        <v>13000000</v>
      </c>
      <c r="F234" s="23" t="s">
        <v>74</v>
      </c>
    </row>
    <row r="235" spans="1:6" x14ac:dyDescent="0.25">
      <c r="A235" s="37">
        <v>44197</v>
      </c>
      <c r="B235" s="19" t="s">
        <v>85</v>
      </c>
      <c r="C235" s="23" t="s">
        <v>16</v>
      </c>
      <c r="D235" s="87">
        <v>2100000</v>
      </c>
      <c r="E235" s="89">
        <v>11250000</v>
      </c>
      <c r="F235" s="23" t="s">
        <v>74</v>
      </c>
    </row>
    <row r="236" spans="1:6" x14ac:dyDescent="0.25">
      <c r="A236" s="37">
        <v>44197</v>
      </c>
      <c r="B236" s="247" t="s">
        <v>86</v>
      </c>
      <c r="C236" s="23" t="s">
        <v>16</v>
      </c>
      <c r="D236" s="77">
        <v>3060000</v>
      </c>
      <c r="E236" s="89">
        <v>11250000</v>
      </c>
      <c r="F236" s="23" t="s">
        <v>74</v>
      </c>
    </row>
    <row r="237" spans="1:6" x14ac:dyDescent="0.25">
      <c r="A237" s="37">
        <v>44197</v>
      </c>
      <c r="B237" s="19" t="s">
        <v>81</v>
      </c>
      <c r="C237" s="23" t="s">
        <v>17</v>
      </c>
      <c r="D237" s="87">
        <v>3490000</v>
      </c>
      <c r="E237" s="117">
        <v>17000000</v>
      </c>
      <c r="F237" s="23" t="s">
        <v>74</v>
      </c>
    </row>
    <row r="238" spans="1:6" x14ac:dyDescent="0.25">
      <c r="A238" s="37">
        <v>44197</v>
      </c>
      <c r="B238" s="23" t="s">
        <v>76</v>
      </c>
      <c r="C238" s="23" t="s">
        <v>17</v>
      </c>
      <c r="D238" s="87">
        <v>15380000</v>
      </c>
      <c r="E238" s="117">
        <v>17000000</v>
      </c>
      <c r="F238" s="23" t="s">
        <v>74</v>
      </c>
    </row>
    <row r="239" spans="1:6" x14ac:dyDescent="0.25">
      <c r="A239" s="37">
        <v>44197</v>
      </c>
      <c r="B239" s="23" t="s">
        <v>82</v>
      </c>
      <c r="C239" s="23" t="s">
        <v>17</v>
      </c>
      <c r="D239" s="87">
        <v>15070000</v>
      </c>
      <c r="E239" s="117">
        <v>17000000</v>
      </c>
      <c r="F239" s="23" t="s">
        <v>74</v>
      </c>
    </row>
    <row r="240" spans="1:6" x14ac:dyDescent="0.25">
      <c r="A240" s="37">
        <v>44228</v>
      </c>
      <c r="B240" s="24" t="s">
        <v>8</v>
      </c>
      <c r="C240" s="23" t="s">
        <v>4</v>
      </c>
      <c r="D240" s="63">
        <v>52200000</v>
      </c>
      <c r="E240" s="62">
        <v>45000000</v>
      </c>
      <c r="F240" s="23" t="s">
        <v>74</v>
      </c>
    </row>
    <row r="241" spans="1:6" x14ac:dyDescent="0.25">
      <c r="A241" s="37">
        <v>44228</v>
      </c>
      <c r="B241" s="18" t="s">
        <v>71</v>
      </c>
      <c r="C241" s="23" t="s">
        <v>16</v>
      </c>
      <c r="D241" s="122">
        <v>16500000</v>
      </c>
      <c r="E241" s="62">
        <v>13000000</v>
      </c>
      <c r="F241" s="23" t="s">
        <v>74</v>
      </c>
    </row>
    <row r="242" spans="1:6" x14ac:dyDescent="0.25">
      <c r="A242" s="37">
        <v>44228</v>
      </c>
      <c r="B242" s="18" t="s">
        <v>73</v>
      </c>
      <c r="C242" s="23" t="s">
        <v>16</v>
      </c>
      <c r="D242" s="122">
        <v>12700000</v>
      </c>
      <c r="E242" s="62">
        <v>13000000</v>
      </c>
      <c r="F242" s="23" t="s">
        <v>74</v>
      </c>
    </row>
    <row r="243" spans="1:6" x14ac:dyDescent="0.25">
      <c r="A243" s="37">
        <v>44228</v>
      </c>
      <c r="B243" s="18" t="s">
        <v>85</v>
      </c>
      <c r="C243" s="23" t="s">
        <v>16</v>
      </c>
      <c r="D243" s="66">
        <v>9600000</v>
      </c>
      <c r="E243" s="142">
        <v>11250000</v>
      </c>
      <c r="F243" s="23" t="s">
        <v>74</v>
      </c>
    </row>
    <row r="244" spans="1:6" x14ac:dyDescent="0.25">
      <c r="A244" s="37">
        <v>44228</v>
      </c>
      <c r="B244" s="39" t="s">
        <v>86</v>
      </c>
      <c r="C244" s="23" t="s">
        <v>16</v>
      </c>
      <c r="D244" s="143">
        <v>13400000</v>
      </c>
      <c r="E244" s="142">
        <v>11250000</v>
      </c>
      <c r="F244" s="23" t="s">
        <v>74</v>
      </c>
    </row>
    <row r="245" spans="1:6" x14ac:dyDescent="0.25">
      <c r="A245" s="37">
        <v>44228</v>
      </c>
      <c r="B245" s="25" t="s">
        <v>82</v>
      </c>
      <c r="C245" s="23" t="s">
        <v>17</v>
      </c>
      <c r="D245" s="122">
        <v>26650000</v>
      </c>
      <c r="E245" s="117">
        <v>17000000</v>
      </c>
      <c r="F245" s="23" t="s">
        <v>74</v>
      </c>
    </row>
    <row r="246" spans="1:6" x14ac:dyDescent="0.25">
      <c r="A246" s="37">
        <v>44228</v>
      </c>
      <c r="B246" s="23" t="s">
        <v>81</v>
      </c>
      <c r="C246" s="23" t="s">
        <v>17</v>
      </c>
      <c r="D246" s="122">
        <v>2900000</v>
      </c>
      <c r="E246" s="117">
        <v>17000000</v>
      </c>
      <c r="F246" s="23" t="s">
        <v>74</v>
      </c>
    </row>
    <row r="247" spans="1:6" x14ac:dyDescent="0.25">
      <c r="A247" s="37">
        <v>44228</v>
      </c>
      <c r="B247" s="23" t="s">
        <v>76</v>
      </c>
      <c r="C247" s="23" t="s">
        <v>17</v>
      </c>
      <c r="D247" s="122">
        <v>21950000</v>
      </c>
      <c r="E247" s="117">
        <v>17000000</v>
      </c>
      <c r="F247" s="23" t="s">
        <v>74</v>
      </c>
    </row>
    <row r="248" spans="1:6" x14ac:dyDescent="0.25">
      <c r="A248" s="37">
        <v>44228</v>
      </c>
      <c r="B248" s="23" t="s">
        <v>88</v>
      </c>
      <c r="C248" s="23" t="s">
        <v>17</v>
      </c>
      <c r="D248" s="123">
        <v>11230000</v>
      </c>
      <c r="E248" s="117">
        <v>17000000</v>
      </c>
      <c r="F248" s="23" t="s">
        <v>74</v>
      </c>
    </row>
    <row r="249" spans="1:6" x14ac:dyDescent="0.25">
      <c r="A249" s="37">
        <v>44256</v>
      </c>
      <c r="B249" s="23" t="s">
        <v>8</v>
      </c>
      <c r="C249" s="23" t="s">
        <v>4</v>
      </c>
      <c r="D249" s="118">
        <v>49208897</v>
      </c>
      <c r="E249" s="71">
        <v>45000000</v>
      </c>
      <c r="F249" s="23" t="s">
        <v>74</v>
      </c>
    </row>
    <row r="250" spans="1:6" x14ac:dyDescent="0.25">
      <c r="A250" s="37">
        <v>44256</v>
      </c>
      <c r="B250" s="18" t="s">
        <v>71</v>
      </c>
      <c r="C250" s="23" t="s">
        <v>16</v>
      </c>
      <c r="D250" s="87">
        <v>17580000</v>
      </c>
      <c r="E250" s="71">
        <v>13000000</v>
      </c>
      <c r="F250" s="23" t="s">
        <v>74</v>
      </c>
    </row>
    <row r="251" spans="1:6" x14ac:dyDescent="0.25">
      <c r="A251" s="37">
        <v>44256</v>
      </c>
      <c r="B251" s="18" t="s">
        <v>73</v>
      </c>
      <c r="C251" s="23" t="s">
        <v>16</v>
      </c>
      <c r="D251" s="87">
        <v>11100000</v>
      </c>
      <c r="E251" s="71">
        <v>13000000</v>
      </c>
      <c r="F251" s="23" t="s">
        <v>74</v>
      </c>
    </row>
    <row r="252" spans="1:6" x14ac:dyDescent="0.25">
      <c r="A252" s="37">
        <v>44256</v>
      </c>
      <c r="B252" s="18" t="s">
        <v>85</v>
      </c>
      <c r="C252" s="23" t="s">
        <v>16</v>
      </c>
      <c r="D252" s="87">
        <v>13300000</v>
      </c>
      <c r="E252" s="89">
        <v>11250000</v>
      </c>
      <c r="F252" s="23" t="s">
        <v>74</v>
      </c>
    </row>
    <row r="253" spans="1:6" x14ac:dyDescent="0.25">
      <c r="A253" s="37">
        <v>44256</v>
      </c>
      <c r="B253" s="39" t="s">
        <v>86</v>
      </c>
      <c r="C253" s="23" t="s">
        <v>16</v>
      </c>
      <c r="D253" s="77">
        <v>0</v>
      </c>
      <c r="E253" s="89">
        <v>11250000</v>
      </c>
      <c r="F253" s="23" t="s">
        <v>74</v>
      </c>
    </row>
    <row r="254" spans="1:6" x14ac:dyDescent="0.25">
      <c r="A254" s="37">
        <v>44256</v>
      </c>
      <c r="B254" s="25" t="s">
        <v>82</v>
      </c>
      <c r="C254" s="23" t="s">
        <v>17</v>
      </c>
      <c r="D254" s="87">
        <v>11928897</v>
      </c>
      <c r="E254" s="117">
        <v>17000000</v>
      </c>
      <c r="F254" s="23" t="s">
        <v>74</v>
      </c>
    </row>
    <row r="255" spans="1:6" x14ac:dyDescent="0.25">
      <c r="A255" s="37">
        <v>44256</v>
      </c>
      <c r="B255" s="23" t="s">
        <v>81</v>
      </c>
      <c r="C255" s="23" t="s">
        <v>17</v>
      </c>
      <c r="D255" s="87">
        <v>20580000</v>
      </c>
      <c r="E255" s="117">
        <v>17000000</v>
      </c>
      <c r="F255" s="23" t="s">
        <v>74</v>
      </c>
    </row>
    <row r="256" spans="1:6" x14ac:dyDescent="0.25">
      <c r="A256" s="37">
        <v>44256</v>
      </c>
      <c r="B256" s="23" t="s">
        <v>88</v>
      </c>
      <c r="C256" s="23" t="s">
        <v>17</v>
      </c>
      <c r="D256" s="87">
        <v>12800000</v>
      </c>
      <c r="E256" s="117">
        <v>17000000</v>
      </c>
      <c r="F256" s="23" t="s">
        <v>74</v>
      </c>
    </row>
    <row r="257" spans="1:6" x14ac:dyDescent="0.25">
      <c r="A257" s="37">
        <v>44287</v>
      </c>
      <c r="B257" s="20" t="s">
        <v>8</v>
      </c>
      <c r="C257" s="23" t="s">
        <v>4</v>
      </c>
      <c r="D257" s="66">
        <v>33500000</v>
      </c>
      <c r="E257" s="71">
        <v>45000000</v>
      </c>
      <c r="F257" s="23" t="s">
        <v>74</v>
      </c>
    </row>
    <row r="258" spans="1:6" x14ac:dyDescent="0.25">
      <c r="A258" s="37">
        <v>44287</v>
      </c>
      <c r="B258" s="18" t="s">
        <v>71</v>
      </c>
      <c r="C258" s="23" t="s">
        <v>16</v>
      </c>
      <c r="D258" s="122">
        <v>12900000</v>
      </c>
      <c r="E258" s="71">
        <v>13000000</v>
      </c>
      <c r="F258" s="23" t="s">
        <v>74</v>
      </c>
    </row>
    <row r="259" spans="1:6" x14ac:dyDescent="0.25">
      <c r="A259" s="37">
        <v>44287</v>
      </c>
      <c r="B259" s="18" t="s">
        <v>73</v>
      </c>
      <c r="C259" s="23" t="s">
        <v>16</v>
      </c>
      <c r="D259" s="122">
        <v>10400000</v>
      </c>
      <c r="E259" s="71">
        <v>13000000</v>
      </c>
      <c r="F259" s="23" t="s">
        <v>74</v>
      </c>
    </row>
    <row r="260" spans="1:6" x14ac:dyDescent="0.25">
      <c r="A260" s="37">
        <v>44287</v>
      </c>
      <c r="B260" s="18" t="s">
        <v>85</v>
      </c>
      <c r="C260" s="23" t="s">
        <v>16</v>
      </c>
      <c r="D260" s="66">
        <v>7850000</v>
      </c>
      <c r="E260" s="89">
        <v>11250000</v>
      </c>
      <c r="F260" s="23" t="s">
        <v>74</v>
      </c>
    </row>
    <row r="261" spans="1:6" x14ac:dyDescent="0.25">
      <c r="A261" s="37">
        <v>44287</v>
      </c>
      <c r="B261" s="39" t="s">
        <v>86</v>
      </c>
      <c r="C261" s="23" t="s">
        <v>16</v>
      </c>
      <c r="D261" s="82">
        <v>2350000</v>
      </c>
      <c r="E261" s="89">
        <v>11250000</v>
      </c>
      <c r="F261" s="23" t="s">
        <v>74</v>
      </c>
    </row>
    <row r="262" spans="1:6" x14ac:dyDescent="0.25">
      <c r="A262" s="37">
        <v>44287</v>
      </c>
      <c r="B262" s="25" t="s">
        <v>82</v>
      </c>
      <c r="C262" s="23" t="s">
        <v>17</v>
      </c>
      <c r="D262" s="123">
        <v>22500000</v>
      </c>
      <c r="E262" s="117">
        <v>17000000</v>
      </c>
      <c r="F262" s="23" t="s">
        <v>74</v>
      </c>
    </row>
    <row r="263" spans="1:6" x14ac:dyDescent="0.25">
      <c r="A263" s="37">
        <v>44287</v>
      </c>
      <c r="B263" s="23" t="s">
        <v>76</v>
      </c>
      <c r="C263" s="23" t="s">
        <v>17</v>
      </c>
      <c r="D263" s="122">
        <v>6750000</v>
      </c>
      <c r="E263" s="117">
        <v>17000000</v>
      </c>
      <c r="F263" s="23" t="s">
        <v>74</v>
      </c>
    </row>
    <row r="264" spans="1:6" x14ac:dyDescent="0.25">
      <c r="A264" s="37">
        <v>44287</v>
      </c>
      <c r="B264" s="23" t="s">
        <v>88</v>
      </c>
      <c r="C264" s="23" t="s">
        <v>17</v>
      </c>
      <c r="D264" s="122">
        <v>4250000</v>
      </c>
      <c r="E264" s="117">
        <v>17000000</v>
      </c>
      <c r="F264" s="23" t="s">
        <v>74</v>
      </c>
    </row>
    <row r="265" spans="1:6" x14ac:dyDescent="0.25">
      <c r="A265" s="37">
        <v>44317</v>
      </c>
      <c r="B265" s="20" t="s">
        <v>8</v>
      </c>
      <c r="C265" s="23" t="s">
        <v>4</v>
      </c>
      <c r="D265" s="143">
        <v>61874000</v>
      </c>
      <c r="E265" s="98">
        <v>45000000</v>
      </c>
      <c r="F265" s="23" t="s">
        <v>74</v>
      </c>
    </row>
    <row r="266" spans="1:6" x14ac:dyDescent="0.25">
      <c r="A266" s="37">
        <v>44317</v>
      </c>
      <c r="B266" s="18" t="s">
        <v>71</v>
      </c>
      <c r="C266" s="23" t="s">
        <v>16</v>
      </c>
      <c r="D266" s="143">
        <v>23600000</v>
      </c>
      <c r="E266" s="144">
        <v>13000000</v>
      </c>
      <c r="F266" s="23" t="s">
        <v>74</v>
      </c>
    </row>
    <row r="267" spans="1:6" x14ac:dyDescent="0.25">
      <c r="A267" s="37">
        <v>44317</v>
      </c>
      <c r="B267" s="18" t="s">
        <v>73</v>
      </c>
      <c r="C267" s="23" t="s">
        <v>16</v>
      </c>
      <c r="D267" s="143">
        <v>17400000</v>
      </c>
      <c r="E267" s="110">
        <v>13000000</v>
      </c>
      <c r="F267" s="23" t="s">
        <v>74</v>
      </c>
    </row>
    <row r="268" spans="1:6" x14ac:dyDescent="0.25">
      <c r="A268" s="37">
        <v>44317</v>
      </c>
      <c r="B268" s="18" t="s">
        <v>85</v>
      </c>
      <c r="C268" s="23" t="s">
        <v>16</v>
      </c>
      <c r="D268" s="66">
        <v>9294000</v>
      </c>
      <c r="E268" s="110">
        <v>11250000</v>
      </c>
      <c r="F268" s="23" t="s">
        <v>74</v>
      </c>
    </row>
    <row r="269" spans="1:6" x14ac:dyDescent="0.25">
      <c r="A269" s="37">
        <v>44317</v>
      </c>
      <c r="B269" s="39" t="s">
        <v>86</v>
      </c>
      <c r="C269" s="23" t="s">
        <v>16</v>
      </c>
      <c r="D269" s="145">
        <v>11580000</v>
      </c>
      <c r="E269" s="110">
        <v>11250000</v>
      </c>
      <c r="F269" s="23" t="s">
        <v>74</v>
      </c>
    </row>
    <row r="270" spans="1:6" x14ac:dyDescent="0.25">
      <c r="A270" s="37">
        <v>44317</v>
      </c>
      <c r="B270" s="25" t="s">
        <v>82</v>
      </c>
      <c r="C270" s="23" t="s">
        <v>17</v>
      </c>
      <c r="D270" s="122">
        <v>30600000</v>
      </c>
      <c r="E270" s="117">
        <v>17000000</v>
      </c>
      <c r="F270" s="23" t="s">
        <v>74</v>
      </c>
    </row>
    <row r="271" spans="1:6" x14ac:dyDescent="0.25">
      <c r="A271" s="37">
        <v>44317</v>
      </c>
      <c r="B271" s="23" t="s">
        <v>76</v>
      </c>
      <c r="C271" s="23" t="s">
        <v>17</v>
      </c>
      <c r="D271" s="124">
        <v>14480000</v>
      </c>
      <c r="E271" s="117">
        <v>17000000</v>
      </c>
      <c r="F271" s="23" t="s">
        <v>74</v>
      </c>
    </row>
    <row r="272" spans="1:6" x14ac:dyDescent="0.25">
      <c r="A272" s="37">
        <v>44317</v>
      </c>
      <c r="B272" s="23" t="s">
        <v>88</v>
      </c>
      <c r="C272" s="23" t="s">
        <v>17</v>
      </c>
      <c r="D272" s="124">
        <v>12244000</v>
      </c>
      <c r="E272" s="117">
        <v>17000000</v>
      </c>
      <c r="F272" s="23" t="s">
        <v>74</v>
      </c>
    </row>
    <row r="273" spans="1:6" x14ac:dyDescent="0.25">
      <c r="A273" s="37">
        <v>44317</v>
      </c>
      <c r="B273" s="23" t="s">
        <v>89</v>
      </c>
      <c r="C273" s="23" t="s">
        <v>17</v>
      </c>
      <c r="D273" s="124">
        <v>13216000</v>
      </c>
      <c r="E273" s="117">
        <v>17000000</v>
      </c>
      <c r="F273" s="23" t="s">
        <v>74</v>
      </c>
    </row>
    <row r="274" spans="1:6" x14ac:dyDescent="0.25">
      <c r="A274" s="37">
        <v>44348</v>
      </c>
      <c r="B274" s="20" t="s">
        <v>8</v>
      </c>
      <c r="C274" s="23" t="s">
        <v>4</v>
      </c>
      <c r="D274" s="66">
        <v>35820000</v>
      </c>
      <c r="E274" s="71">
        <v>45000000</v>
      </c>
      <c r="F274" s="23" t="s">
        <v>74</v>
      </c>
    </row>
    <row r="275" spans="1:6" x14ac:dyDescent="0.25">
      <c r="A275" s="37">
        <v>44348</v>
      </c>
      <c r="B275" s="18" t="s">
        <v>71</v>
      </c>
      <c r="C275" s="23" t="s">
        <v>16</v>
      </c>
      <c r="D275" s="84">
        <v>8520000</v>
      </c>
      <c r="E275" s="71">
        <v>13000000</v>
      </c>
      <c r="F275" s="23" t="s">
        <v>74</v>
      </c>
    </row>
    <row r="276" spans="1:6" x14ac:dyDescent="0.25">
      <c r="A276" s="37">
        <v>44348</v>
      </c>
      <c r="B276" s="18" t="s">
        <v>73</v>
      </c>
      <c r="C276" s="23" t="s">
        <v>16</v>
      </c>
      <c r="D276" s="143">
        <v>12450000</v>
      </c>
      <c r="E276" s="71">
        <v>13000000</v>
      </c>
      <c r="F276" s="23" t="s">
        <v>74</v>
      </c>
    </row>
    <row r="277" spans="1:6" x14ac:dyDescent="0.25">
      <c r="A277" s="37">
        <v>44348</v>
      </c>
      <c r="B277" s="18" t="s">
        <v>85</v>
      </c>
      <c r="C277" s="23" t="s">
        <v>16</v>
      </c>
      <c r="D277" s="143">
        <v>13550000</v>
      </c>
      <c r="E277" s="89">
        <v>11250000</v>
      </c>
      <c r="F277" s="23" t="s">
        <v>74</v>
      </c>
    </row>
    <row r="278" spans="1:6" x14ac:dyDescent="0.25">
      <c r="A278" s="37">
        <v>44348</v>
      </c>
      <c r="B278" s="39" t="s">
        <v>86</v>
      </c>
      <c r="C278" s="23" t="s">
        <v>16</v>
      </c>
      <c r="D278" s="82">
        <v>1300000</v>
      </c>
      <c r="E278" s="89">
        <v>11250000</v>
      </c>
      <c r="F278" s="23" t="s">
        <v>74</v>
      </c>
    </row>
    <row r="279" spans="1:6" x14ac:dyDescent="0.25">
      <c r="A279" s="37">
        <v>44348</v>
      </c>
      <c r="B279" s="25" t="s">
        <v>82</v>
      </c>
      <c r="C279" s="23" t="s">
        <v>17</v>
      </c>
      <c r="D279" s="122">
        <v>10970000</v>
      </c>
      <c r="E279" s="117">
        <v>17000000</v>
      </c>
      <c r="F279" s="23" t="s">
        <v>74</v>
      </c>
    </row>
    <row r="280" spans="1:6" x14ac:dyDescent="0.25">
      <c r="A280" s="37">
        <v>44348</v>
      </c>
      <c r="B280" s="23" t="s">
        <v>88</v>
      </c>
      <c r="C280" s="23" t="s">
        <v>17</v>
      </c>
      <c r="D280" s="122">
        <v>7100000</v>
      </c>
      <c r="E280" s="117">
        <v>17000000</v>
      </c>
      <c r="F280" s="13" t="s">
        <v>74</v>
      </c>
    </row>
    <row r="281" spans="1:6" x14ac:dyDescent="0.25">
      <c r="A281" s="37">
        <v>44348</v>
      </c>
      <c r="B281" s="23" t="s">
        <v>89</v>
      </c>
      <c r="C281" s="23" t="s">
        <v>17</v>
      </c>
      <c r="D281" s="137">
        <v>19400000</v>
      </c>
      <c r="E281" s="117">
        <v>17000000</v>
      </c>
      <c r="F281" s="13" t="s">
        <v>74</v>
      </c>
    </row>
    <row r="282" spans="1:6" x14ac:dyDescent="0.25">
      <c r="A282" s="37">
        <v>44378</v>
      </c>
      <c r="B282" s="20" t="s">
        <v>8</v>
      </c>
      <c r="C282" s="23" t="s">
        <v>4</v>
      </c>
      <c r="D282" s="66">
        <v>41430000</v>
      </c>
      <c r="E282" s="71">
        <v>45000000</v>
      </c>
      <c r="F282" s="13" t="s">
        <v>74</v>
      </c>
    </row>
    <row r="283" spans="1:6" x14ac:dyDescent="0.25">
      <c r="A283" s="37">
        <v>44378</v>
      </c>
      <c r="B283" s="18" t="s">
        <v>71</v>
      </c>
      <c r="C283" s="23" t="s">
        <v>16</v>
      </c>
      <c r="D283" s="122">
        <v>15500000</v>
      </c>
      <c r="E283" s="71">
        <v>13000000</v>
      </c>
      <c r="F283" s="13" t="s">
        <v>74</v>
      </c>
    </row>
    <row r="284" spans="1:6" x14ac:dyDescent="0.25">
      <c r="A284" s="37">
        <v>44378</v>
      </c>
      <c r="B284" s="18" t="s">
        <v>73</v>
      </c>
      <c r="C284" s="23" t="s">
        <v>16</v>
      </c>
      <c r="D284" s="122">
        <v>11030000</v>
      </c>
      <c r="E284" s="71">
        <v>13000000</v>
      </c>
      <c r="F284" s="13" t="s">
        <v>74</v>
      </c>
    </row>
    <row r="285" spans="1:6" x14ac:dyDescent="0.25">
      <c r="A285" s="37">
        <v>44378</v>
      </c>
      <c r="B285" s="18" t="s">
        <v>85</v>
      </c>
      <c r="C285" s="23" t="s">
        <v>16</v>
      </c>
      <c r="D285" s="66">
        <v>4550000</v>
      </c>
      <c r="E285" s="89">
        <v>11250000</v>
      </c>
      <c r="F285" s="13" t="s">
        <v>74</v>
      </c>
    </row>
    <row r="286" spans="1:6" x14ac:dyDescent="0.25">
      <c r="A286" s="37">
        <v>44378</v>
      </c>
      <c r="B286" s="39" t="s">
        <v>86</v>
      </c>
      <c r="C286" s="23" t="s">
        <v>16</v>
      </c>
      <c r="D286" s="82">
        <v>10350000</v>
      </c>
      <c r="E286" s="89">
        <v>11250000</v>
      </c>
      <c r="F286" s="13" t="s">
        <v>74</v>
      </c>
    </row>
    <row r="287" spans="1:6" x14ac:dyDescent="0.25">
      <c r="A287" s="37">
        <v>44378</v>
      </c>
      <c r="B287" s="25" t="s">
        <v>82</v>
      </c>
      <c r="C287" s="23" t="s">
        <v>17</v>
      </c>
      <c r="D287" s="122">
        <v>25280000</v>
      </c>
      <c r="E287" s="117">
        <v>17000000</v>
      </c>
      <c r="F287" s="13" t="s">
        <v>74</v>
      </c>
    </row>
    <row r="288" spans="1:6" x14ac:dyDescent="0.25">
      <c r="A288" s="37">
        <v>44378</v>
      </c>
      <c r="B288" s="23" t="s">
        <v>88</v>
      </c>
      <c r="C288" s="23" t="s">
        <v>17</v>
      </c>
      <c r="D288" s="122">
        <v>14500000</v>
      </c>
      <c r="E288" s="117">
        <v>17000000</v>
      </c>
      <c r="F288" s="13" t="s">
        <v>74</v>
      </c>
    </row>
    <row r="289" spans="1:6" x14ac:dyDescent="0.25">
      <c r="A289" s="37">
        <v>44378</v>
      </c>
      <c r="B289" s="23" t="s">
        <v>89</v>
      </c>
      <c r="C289" s="23" t="s">
        <v>17</v>
      </c>
      <c r="D289" s="77">
        <v>1650000</v>
      </c>
      <c r="E289" s="117">
        <v>17000000</v>
      </c>
      <c r="F289" s="13" t="s">
        <v>74</v>
      </c>
    </row>
    <row r="290" spans="1:6" x14ac:dyDescent="0.25">
      <c r="A290" s="37">
        <v>44378</v>
      </c>
      <c r="B290" s="23" t="s">
        <v>92</v>
      </c>
      <c r="C290" s="23" t="s">
        <v>17</v>
      </c>
      <c r="D290" s="66">
        <v>1650000</v>
      </c>
      <c r="E290" s="117">
        <v>17000000</v>
      </c>
      <c r="F290" s="13" t="s">
        <v>74</v>
      </c>
    </row>
    <row r="291" spans="1:6" x14ac:dyDescent="0.25">
      <c r="A291" s="37">
        <v>44409</v>
      </c>
      <c r="B291" s="20" t="s">
        <v>8</v>
      </c>
      <c r="C291" s="23" t="s">
        <v>4</v>
      </c>
      <c r="D291" s="110">
        <v>48762220</v>
      </c>
      <c r="E291" s="71">
        <v>45000000</v>
      </c>
      <c r="F291" s="13" t="s">
        <v>74</v>
      </c>
    </row>
    <row r="292" spans="1:6" x14ac:dyDescent="0.25">
      <c r="A292" s="37">
        <v>44409</v>
      </c>
      <c r="B292" s="18" t="s">
        <v>71</v>
      </c>
      <c r="C292" s="23" t="s">
        <v>16</v>
      </c>
      <c r="D292" s="122">
        <v>15320000</v>
      </c>
      <c r="E292" s="71">
        <v>13000000</v>
      </c>
      <c r="F292" s="13" t="s">
        <v>74</v>
      </c>
    </row>
    <row r="293" spans="1:6" x14ac:dyDescent="0.25">
      <c r="A293" s="37">
        <v>44409</v>
      </c>
      <c r="B293" s="18" t="s">
        <v>73</v>
      </c>
      <c r="C293" s="23" t="s">
        <v>16</v>
      </c>
      <c r="D293" s="122">
        <v>10350000</v>
      </c>
      <c r="E293" s="71">
        <v>13000000</v>
      </c>
      <c r="F293" s="13" t="s">
        <v>74</v>
      </c>
    </row>
    <row r="294" spans="1:6" x14ac:dyDescent="0.25">
      <c r="A294" s="37">
        <v>44409</v>
      </c>
      <c r="B294" s="18" t="s">
        <v>85</v>
      </c>
      <c r="C294" s="23" t="s">
        <v>16</v>
      </c>
      <c r="D294" s="122">
        <v>16700000</v>
      </c>
      <c r="E294" s="89">
        <v>11250000</v>
      </c>
      <c r="F294" s="13" t="s">
        <v>74</v>
      </c>
    </row>
    <row r="295" spans="1:6" x14ac:dyDescent="0.25">
      <c r="A295" s="37">
        <v>44409</v>
      </c>
      <c r="B295" s="21" t="s">
        <v>87</v>
      </c>
      <c r="C295" s="23" t="s">
        <v>16</v>
      </c>
      <c r="D295" s="82">
        <v>2800000</v>
      </c>
      <c r="E295" s="89">
        <v>11250000</v>
      </c>
      <c r="F295" s="13" t="s">
        <v>74</v>
      </c>
    </row>
    <row r="296" spans="1:6" x14ac:dyDescent="0.25">
      <c r="A296" s="37">
        <v>44409</v>
      </c>
      <c r="B296" s="25" t="s">
        <v>82</v>
      </c>
      <c r="C296" s="23" t="s">
        <v>17</v>
      </c>
      <c r="D296" s="123">
        <v>22712220</v>
      </c>
      <c r="E296" s="117">
        <v>17000000</v>
      </c>
      <c r="F296" s="13" t="s">
        <v>74</v>
      </c>
    </row>
    <row r="297" spans="1:6" x14ac:dyDescent="0.25">
      <c r="A297" s="37">
        <v>44409</v>
      </c>
      <c r="B297" s="26" t="s">
        <v>88</v>
      </c>
      <c r="C297" s="23" t="s">
        <v>17</v>
      </c>
      <c r="D297" s="122">
        <v>20500000</v>
      </c>
      <c r="E297" s="117">
        <v>17000000</v>
      </c>
      <c r="F297" s="13" t="s">
        <v>74</v>
      </c>
    </row>
    <row r="298" spans="1:6" x14ac:dyDescent="0.25">
      <c r="A298" s="37">
        <v>44409</v>
      </c>
      <c r="B298" s="27" t="s">
        <v>91</v>
      </c>
      <c r="C298" s="23" t="s">
        <v>17</v>
      </c>
      <c r="D298" s="66">
        <v>5550000</v>
      </c>
      <c r="E298" s="117">
        <v>17000000</v>
      </c>
      <c r="F298" s="13" t="s">
        <v>74</v>
      </c>
    </row>
    <row r="299" spans="1:6" x14ac:dyDescent="0.25">
      <c r="A299" s="37">
        <v>44440</v>
      </c>
      <c r="B299" s="20" t="s">
        <v>8</v>
      </c>
      <c r="C299" s="23" t="s">
        <v>4</v>
      </c>
      <c r="D299" s="94">
        <v>51106015</v>
      </c>
      <c r="E299" s="71">
        <v>45000000</v>
      </c>
      <c r="F299" s="13" t="s">
        <v>74</v>
      </c>
    </row>
    <row r="300" spans="1:6" x14ac:dyDescent="0.25">
      <c r="A300" s="37">
        <v>44440</v>
      </c>
      <c r="B300" s="18" t="s">
        <v>71</v>
      </c>
      <c r="C300" s="23" t="s">
        <v>16</v>
      </c>
      <c r="D300" s="63">
        <v>29170000</v>
      </c>
      <c r="E300" s="71">
        <v>13000000</v>
      </c>
      <c r="F300" s="13" t="s">
        <v>74</v>
      </c>
    </row>
    <row r="301" spans="1:6" x14ac:dyDescent="0.25">
      <c r="A301" s="37">
        <v>44440</v>
      </c>
      <c r="B301" s="18" t="s">
        <v>73</v>
      </c>
      <c r="C301" s="23" t="s">
        <v>16</v>
      </c>
      <c r="D301" s="66">
        <v>5684000</v>
      </c>
      <c r="E301" s="71">
        <v>13000000</v>
      </c>
      <c r="F301" s="13" t="s">
        <v>74</v>
      </c>
    </row>
    <row r="302" spans="1:6" x14ac:dyDescent="0.25">
      <c r="A302" s="37">
        <v>44440</v>
      </c>
      <c r="B302" s="18" t="s">
        <v>85</v>
      </c>
      <c r="C302" s="23" t="s">
        <v>16</v>
      </c>
      <c r="D302" s="66">
        <v>9080000</v>
      </c>
      <c r="E302" s="89">
        <v>11250000</v>
      </c>
      <c r="F302" s="13" t="s">
        <v>74</v>
      </c>
    </row>
    <row r="303" spans="1:6" x14ac:dyDescent="0.25">
      <c r="A303" s="37">
        <v>44440</v>
      </c>
      <c r="B303" s="21" t="s">
        <v>87</v>
      </c>
      <c r="C303" s="23" t="s">
        <v>16</v>
      </c>
      <c r="D303" s="107">
        <v>6410000</v>
      </c>
      <c r="E303" s="89">
        <v>11250000</v>
      </c>
      <c r="F303" s="13" t="s">
        <v>74</v>
      </c>
    </row>
    <row r="304" spans="1:6" x14ac:dyDescent="0.25">
      <c r="A304" s="37">
        <v>44440</v>
      </c>
      <c r="B304" s="25" t="s">
        <v>82</v>
      </c>
      <c r="C304" s="23" t="s">
        <v>17</v>
      </c>
      <c r="D304" s="146">
        <v>29676015</v>
      </c>
      <c r="E304" s="117">
        <v>17000000</v>
      </c>
      <c r="F304" s="13" t="s">
        <v>74</v>
      </c>
    </row>
    <row r="305" spans="1:6" x14ac:dyDescent="0.25">
      <c r="A305" s="37">
        <v>44440</v>
      </c>
      <c r="B305" s="26" t="s">
        <v>88</v>
      </c>
      <c r="C305" s="23" t="s">
        <v>17</v>
      </c>
      <c r="D305" s="122">
        <v>8770000</v>
      </c>
      <c r="E305" s="117">
        <v>17000000</v>
      </c>
      <c r="F305" s="13" t="s">
        <v>74</v>
      </c>
    </row>
    <row r="306" spans="1:6" x14ac:dyDescent="0.25">
      <c r="A306" s="37">
        <v>44440</v>
      </c>
      <c r="B306" s="25" t="s">
        <v>90</v>
      </c>
      <c r="C306" s="23" t="s">
        <v>17</v>
      </c>
      <c r="D306" s="83">
        <v>12660000</v>
      </c>
      <c r="E306" s="117">
        <v>17000000</v>
      </c>
      <c r="F306" s="13" t="s">
        <v>74</v>
      </c>
    </row>
    <row r="307" spans="1:6" x14ac:dyDescent="0.25">
      <c r="A307" s="37">
        <v>44440</v>
      </c>
      <c r="B307" s="23" t="s">
        <v>93</v>
      </c>
      <c r="C307" s="23" t="s">
        <v>17</v>
      </c>
      <c r="D307" s="122">
        <v>1200000</v>
      </c>
      <c r="E307" s="117">
        <v>17000000</v>
      </c>
      <c r="F307" s="13" t="s">
        <v>74</v>
      </c>
    </row>
    <row r="308" spans="1:6" x14ac:dyDescent="0.25">
      <c r="A308" s="37">
        <v>44470</v>
      </c>
      <c r="B308" s="20" t="s">
        <v>8</v>
      </c>
      <c r="C308" s="23" t="s">
        <v>4</v>
      </c>
      <c r="D308" s="94">
        <v>45560000</v>
      </c>
      <c r="E308" s="71">
        <v>45000000</v>
      </c>
      <c r="F308" s="13" t="s">
        <v>74</v>
      </c>
    </row>
    <row r="309" spans="1:6" x14ac:dyDescent="0.25">
      <c r="A309" s="37">
        <v>44470</v>
      </c>
      <c r="B309" s="18" t="s">
        <v>71</v>
      </c>
      <c r="C309" s="23" t="s">
        <v>16</v>
      </c>
      <c r="D309" s="90">
        <v>22490000</v>
      </c>
      <c r="E309" s="71">
        <v>13000000</v>
      </c>
      <c r="F309" s="13" t="s">
        <v>74</v>
      </c>
    </row>
    <row r="310" spans="1:6" x14ac:dyDescent="0.25">
      <c r="A310" s="37">
        <v>44470</v>
      </c>
      <c r="B310" s="18" t="s">
        <v>73</v>
      </c>
      <c r="C310" s="23" t="s">
        <v>16</v>
      </c>
      <c r="D310" s="90">
        <v>17600000</v>
      </c>
      <c r="E310" s="71">
        <v>13000000</v>
      </c>
      <c r="F310" s="13" t="s">
        <v>74</v>
      </c>
    </row>
    <row r="311" spans="1:6" x14ac:dyDescent="0.25">
      <c r="A311" s="37">
        <v>44470</v>
      </c>
      <c r="B311" s="21" t="s">
        <v>87</v>
      </c>
      <c r="C311" s="23" t="s">
        <v>16</v>
      </c>
      <c r="D311" s="66">
        <v>5470000</v>
      </c>
      <c r="E311" s="89">
        <v>11250000</v>
      </c>
      <c r="F311" s="13" t="s">
        <v>74</v>
      </c>
    </row>
    <row r="312" spans="1:6" x14ac:dyDescent="0.25">
      <c r="A312" s="37">
        <v>44470</v>
      </c>
      <c r="B312" s="25" t="s">
        <v>82</v>
      </c>
      <c r="C312" s="23" t="s">
        <v>17</v>
      </c>
      <c r="D312" s="122">
        <v>27260000</v>
      </c>
      <c r="E312" s="117">
        <v>17000000</v>
      </c>
      <c r="F312" s="13" t="s">
        <v>74</v>
      </c>
    </row>
    <row r="313" spans="1:6" x14ac:dyDescent="0.25">
      <c r="A313" s="37">
        <v>44470</v>
      </c>
      <c r="B313" s="23" t="s">
        <v>90</v>
      </c>
      <c r="C313" s="23" t="s">
        <v>17</v>
      </c>
      <c r="D313" s="122">
        <v>15230000</v>
      </c>
      <c r="E313" s="117">
        <v>17000000</v>
      </c>
      <c r="F313" s="13" t="s">
        <v>74</v>
      </c>
    </row>
    <row r="314" spans="1:6" x14ac:dyDescent="0.25">
      <c r="A314" s="37">
        <v>44470</v>
      </c>
      <c r="B314" s="23" t="s">
        <v>93</v>
      </c>
      <c r="C314" s="23" t="s">
        <v>17</v>
      </c>
      <c r="D314" s="122">
        <v>11850000</v>
      </c>
      <c r="E314" s="117">
        <v>17000000</v>
      </c>
      <c r="F314" s="13" t="s">
        <v>74</v>
      </c>
    </row>
    <row r="315" spans="1:6" x14ac:dyDescent="0.25">
      <c r="A315" s="37">
        <v>44501</v>
      </c>
      <c r="B315" s="22" t="s">
        <v>8</v>
      </c>
      <c r="C315" s="23" t="s">
        <v>4</v>
      </c>
      <c r="D315" s="110">
        <v>48470000</v>
      </c>
      <c r="E315" s="98">
        <v>45000000</v>
      </c>
      <c r="F315" s="13" t="s">
        <v>74</v>
      </c>
    </row>
    <row r="316" spans="1:6" x14ac:dyDescent="0.25">
      <c r="A316" s="37">
        <v>44501</v>
      </c>
      <c r="B316" s="50" t="s">
        <v>73</v>
      </c>
      <c r="C316" s="23" t="s">
        <v>16</v>
      </c>
      <c r="D316" s="122">
        <v>11630000</v>
      </c>
      <c r="E316" s="144">
        <v>13000000</v>
      </c>
      <c r="F316" s="13" t="s">
        <v>74</v>
      </c>
    </row>
    <row r="317" spans="1:6" x14ac:dyDescent="0.25">
      <c r="A317" s="37">
        <v>44501</v>
      </c>
      <c r="B317" s="50" t="s">
        <v>71</v>
      </c>
      <c r="C317" s="23" t="s">
        <v>16</v>
      </c>
      <c r="D317" s="122">
        <v>14950000</v>
      </c>
      <c r="E317" s="110">
        <v>13000000</v>
      </c>
      <c r="F317" s="13" t="s">
        <v>74</v>
      </c>
    </row>
    <row r="318" spans="1:6" x14ac:dyDescent="0.25">
      <c r="A318" s="37">
        <v>44501</v>
      </c>
      <c r="B318" s="50" t="s">
        <v>87</v>
      </c>
      <c r="C318" s="23" t="s">
        <v>16</v>
      </c>
      <c r="D318" s="122">
        <v>6550000</v>
      </c>
      <c r="E318" s="110">
        <v>11250000</v>
      </c>
      <c r="F318" s="13" t="s">
        <v>74</v>
      </c>
    </row>
    <row r="319" spans="1:6" x14ac:dyDescent="0.25">
      <c r="A319" s="37">
        <v>44501</v>
      </c>
      <c r="B319" s="50" t="s">
        <v>94</v>
      </c>
      <c r="C319" s="23" t="s">
        <v>16</v>
      </c>
      <c r="D319" s="122">
        <v>9050000</v>
      </c>
      <c r="E319" s="110">
        <v>11250000</v>
      </c>
      <c r="F319" s="13" t="s">
        <v>74</v>
      </c>
    </row>
    <row r="320" spans="1:6" x14ac:dyDescent="0.25">
      <c r="A320" s="37">
        <v>44501</v>
      </c>
      <c r="B320" s="50" t="s">
        <v>95</v>
      </c>
      <c r="C320" s="23" t="s">
        <v>16</v>
      </c>
      <c r="D320" s="122">
        <v>6290000</v>
      </c>
      <c r="E320" s="110">
        <v>11250000</v>
      </c>
      <c r="F320" s="13" t="s">
        <v>74</v>
      </c>
    </row>
    <row r="321" spans="1:6" x14ac:dyDescent="0.25">
      <c r="A321" s="37">
        <v>44501</v>
      </c>
      <c r="B321" s="25" t="s">
        <v>82</v>
      </c>
      <c r="C321" s="23" t="s">
        <v>17</v>
      </c>
      <c r="D321" s="122">
        <v>21390000</v>
      </c>
      <c r="E321" s="117">
        <v>17000000</v>
      </c>
      <c r="F321" s="13" t="s">
        <v>74</v>
      </c>
    </row>
    <row r="322" spans="1:6" x14ac:dyDescent="0.25">
      <c r="A322" s="37">
        <v>44501</v>
      </c>
      <c r="B322" s="23" t="s">
        <v>90</v>
      </c>
      <c r="C322" s="23" t="s">
        <v>17</v>
      </c>
      <c r="D322" s="122">
        <v>17100000</v>
      </c>
      <c r="E322" s="117">
        <v>17000000</v>
      </c>
      <c r="F322" s="13" t="s">
        <v>74</v>
      </c>
    </row>
    <row r="323" spans="1:6" x14ac:dyDescent="0.25">
      <c r="A323" s="37">
        <v>44501</v>
      </c>
      <c r="B323" s="23" t="s">
        <v>93</v>
      </c>
      <c r="C323" s="23" t="s">
        <v>17</v>
      </c>
      <c r="D323" s="122">
        <v>1200000</v>
      </c>
      <c r="E323" s="117">
        <v>17000000</v>
      </c>
      <c r="F323" s="13" t="s">
        <v>74</v>
      </c>
    </row>
    <row r="324" spans="1:6" x14ac:dyDescent="0.25">
      <c r="A324" s="37">
        <v>44531</v>
      </c>
      <c r="B324" s="22" t="s">
        <v>8</v>
      </c>
      <c r="C324" s="23" t="s">
        <v>4</v>
      </c>
      <c r="D324" s="110">
        <v>43810000</v>
      </c>
      <c r="E324" s="98">
        <v>45000000</v>
      </c>
      <c r="F324" s="13" t="s">
        <v>74</v>
      </c>
    </row>
    <row r="325" spans="1:6" x14ac:dyDescent="0.25">
      <c r="A325" s="37">
        <v>44531</v>
      </c>
      <c r="B325" s="50" t="s">
        <v>73</v>
      </c>
      <c r="C325" s="23" t="s">
        <v>16</v>
      </c>
      <c r="D325" s="122">
        <v>950000</v>
      </c>
      <c r="E325" s="144">
        <v>13000000</v>
      </c>
      <c r="F325" s="13" t="s">
        <v>74</v>
      </c>
    </row>
    <row r="326" spans="1:6" x14ac:dyDescent="0.25">
      <c r="A326" s="37">
        <v>44531</v>
      </c>
      <c r="B326" s="50" t="s">
        <v>71</v>
      </c>
      <c r="C326" s="23" t="s">
        <v>16</v>
      </c>
      <c r="D326" s="122">
        <v>12250000</v>
      </c>
      <c r="E326" s="110">
        <v>13000000</v>
      </c>
      <c r="F326" s="13" t="s">
        <v>74</v>
      </c>
    </row>
    <row r="327" spans="1:6" x14ac:dyDescent="0.25">
      <c r="A327" s="37">
        <v>44531</v>
      </c>
      <c r="B327" s="50" t="s">
        <v>87</v>
      </c>
      <c r="C327" s="23" t="s">
        <v>16</v>
      </c>
      <c r="D327" s="122">
        <v>10900000</v>
      </c>
      <c r="E327" s="110">
        <v>11250000</v>
      </c>
      <c r="F327" s="13" t="s">
        <v>74</v>
      </c>
    </row>
    <row r="328" spans="1:6" x14ac:dyDescent="0.25">
      <c r="A328" s="37">
        <v>44531</v>
      </c>
      <c r="B328" s="50" t="s">
        <v>94</v>
      </c>
      <c r="C328" s="23" t="s">
        <v>16</v>
      </c>
      <c r="D328" s="122">
        <v>6760000</v>
      </c>
      <c r="E328" s="110">
        <v>11250000</v>
      </c>
      <c r="F328" s="13" t="s">
        <v>74</v>
      </c>
    </row>
    <row r="329" spans="1:6" x14ac:dyDescent="0.25">
      <c r="A329" s="37">
        <v>44531</v>
      </c>
      <c r="B329" s="50" t="s">
        <v>95</v>
      </c>
      <c r="C329" s="23" t="s">
        <v>16</v>
      </c>
      <c r="D329" s="122">
        <v>9950000</v>
      </c>
      <c r="E329" s="110">
        <v>11250000</v>
      </c>
      <c r="F329" s="13" t="s">
        <v>74</v>
      </c>
    </row>
    <row r="330" spans="1:6" x14ac:dyDescent="0.25">
      <c r="A330" s="37">
        <v>44531</v>
      </c>
      <c r="B330" s="25" t="s">
        <v>82</v>
      </c>
      <c r="C330" s="23" t="s">
        <v>17</v>
      </c>
      <c r="D330" s="122">
        <v>1760000</v>
      </c>
      <c r="E330" s="117">
        <v>17000000</v>
      </c>
      <c r="F330" s="13" t="s">
        <v>74</v>
      </c>
    </row>
    <row r="331" spans="1:6" x14ac:dyDescent="0.25">
      <c r="A331" s="37">
        <v>44531</v>
      </c>
      <c r="B331" s="23" t="s">
        <v>90</v>
      </c>
      <c r="C331" s="23" t="s">
        <v>17</v>
      </c>
      <c r="D331" s="122">
        <v>21900000</v>
      </c>
      <c r="E331" s="117">
        <v>17000000</v>
      </c>
      <c r="F331" s="13" t="s">
        <v>74</v>
      </c>
    </row>
    <row r="332" spans="1:6" x14ac:dyDescent="0.25">
      <c r="A332" s="37">
        <v>44531</v>
      </c>
      <c r="B332" s="23" t="s">
        <v>93</v>
      </c>
      <c r="C332" s="23" t="s">
        <v>17</v>
      </c>
      <c r="D332" s="122">
        <v>20150000</v>
      </c>
      <c r="E332" s="117">
        <v>17000000</v>
      </c>
      <c r="F332" s="13" t="s">
        <v>74</v>
      </c>
    </row>
    <row r="333" spans="1:6" x14ac:dyDescent="0.25">
      <c r="A333" s="37">
        <v>44562</v>
      </c>
      <c r="B333" s="22" t="s">
        <v>8</v>
      </c>
      <c r="C333" s="23" t="s">
        <v>4</v>
      </c>
      <c r="D333" s="82">
        <v>26050000</v>
      </c>
      <c r="E333" s="110">
        <v>50000000</v>
      </c>
      <c r="F333" s="13" t="s">
        <v>74</v>
      </c>
    </row>
    <row r="334" spans="1:6" x14ac:dyDescent="0.25">
      <c r="A334" s="37">
        <v>44562</v>
      </c>
      <c r="B334" s="9" t="s">
        <v>71</v>
      </c>
      <c r="C334" s="23" t="s">
        <v>16</v>
      </c>
      <c r="D334" s="124">
        <v>7150000</v>
      </c>
      <c r="E334" s="110">
        <v>15000000</v>
      </c>
      <c r="F334" s="13" t="s">
        <v>74</v>
      </c>
    </row>
    <row r="335" spans="1:6" x14ac:dyDescent="0.25">
      <c r="A335" s="37">
        <v>44562</v>
      </c>
      <c r="B335" s="9" t="s">
        <v>87</v>
      </c>
      <c r="C335" s="23" t="s">
        <v>16</v>
      </c>
      <c r="D335" s="124">
        <v>4900000</v>
      </c>
      <c r="E335" s="110">
        <v>13000000</v>
      </c>
      <c r="F335" s="13" t="s">
        <v>74</v>
      </c>
    </row>
    <row r="336" spans="1:6" x14ac:dyDescent="0.25">
      <c r="A336" s="37">
        <v>44562</v>
      </c>
      <c r="B336" s="9" t="s">
        <v>95</v>
      </c>
      <c r="C336" s="23" t="s">
        <v>16</v>
      </c>
      <c r="D336" s="124">
        <v>13250000</v>
      </c>
      <c r="E336" s="110">
        <v>13000000</v>
      </c>
      <c r="F336" s="13" t="s">
        <v>74</v>
      </c>
    </row>
    <row r="337" spans="1:6" x14ac:dyDescent="0.25">
      <c r="A337" s="37">
        <v>44562</v>
      </c>
      <c r="B337" s="9" t="s">
        <v>76</v>
      </c>
      <c r="C337" s="23" t="s">
        <v>17</v>
      </c>
      <c r="D337" s="124">
        <v>13020000</v>
      </c>
      <c r="E337" s="110">
        <v>17000000</v>
      </c>
      <c r="F337" s="13" t="s">
        <v>74</v>
      </c>
    </row>
    <row r="338" spans="1:6" x14ac:dyDescent="0.25">
      <c r="A338" s="37">
        <v>44562</v>
      </c>
      <c r="B338" s="9" t="s">
        <v>82</v>
      </c>
      <c r="C338" s="23" t="s">
        <v>17</v>
      </c>
      <c r="D338" s="124">
        <v>11650000</v>
      </c>
      <c r="E338" s="110">
        <v>17000000</v>
      </c>
      <c r="F338" s="13" t="s">
        <v>74</v>
      </c>
    </row>
    <row r="339" spans="1:6" x14ac:dyDescent="0.25">
      <c r="A339" s="37">
        <v>44593</v>
      </c>
      <c r="B339" s="9" t="s">
        <v>99</v>
      </c>
      <c r="C339" s="23" t="s">
        <v>4</v>
      </c>
      <c r="D339" s="110">
        <v>73420000</v>
      </c>
      <c r="E339" s="110">
        <v>50000000</v>
      </c>
      <c r="F339" s="13" t="s">
        <v>74</v>
      </c>
    </row>
    <row r="340" spans="1:6" x14ac:dyDescent="0.25">
      <c r="A340" s="37">
        <v>44593</v>
      </c>
      <c r="B340" s="9" t="s">
        <v>71</v>
      </c>
      <c r="C340" s="23" t="s">
        <v>16</v>
      </c>
      <c r="D340" s="122">
        <v>26440000</v>
      </c>
      <c r="E340" s="110">
        <v>15000000</v>
      </c>
      <c r="F340" s="13" t="s">
        <v>74</v>
      </c>
    </row>
    <row r="341" spans="1:6" x14ac:dyDescent="0.25">
      <c r="A341" s="37">
        <v>44593</v>
      </c>
      <c r="B341" s="9" t="s">
        <v>87</v>
      </c>
      <c r="C341" s="23" t="s">
        <v>16</v>
      </c>
      <c r="D341" s="122">
        <v>20700000</v>
      </c>
      <c r="E341" s="110">
        <v>13000000</v>
      </c>
      <c r="F341" s="13" t="s">
        <v>74</v>
      </c>
    </row>
    <row r="342" spans="1:6" x14ac:dyDescent="0.25">
      <c r="A342" s="37">
        <v>44593</v>
      </c>
      <c r="B342" s="9" t="s">
        <v>95</v>
      </c>
      <c r="C342" s="23" t="s">
        <v>16</v>
      </c>
      <c r="D342" s="122">
        <v>14970000</v>
      </c>
      <c r="E342" s="110">
        <v>13000000</v>
      </c>
      <c r="F342" s="13" t="s">
        <v>74</v>
      </c>
    </row>
    <row r="343" spans="1:6" x14ac:dyDescent="0.25">
      <c r="A343" s="37">
        <v>44593</v>
      </c>
      <c r="B343" s="9" t="s">
        <v>96</v>
      </c>
      <c r="C343" s="23" t="s">
        <v>16</v>
      </c>
      <c r="D343" s="122">
        <v>5500000</v>
      </c>
      <c r="E343" s="110">
        <v>13000000</v>
      </c>
      <c r="F343" s="13" t="s">
        <v>74</v>
      </c>
    </row>
    <row r="344" spans="1:6" x14ac:dyDescent="0.25">
      <c r="A344" s="37">
        <v>44593</v>
      </c>
      <c r="B344" s="9" t="s">
        <v>76</v>
      </c>
      <c r="C344" s="23" t="s">
        <v>17</v>
      </c>
      <c r="D344" s="122">
        <v>13550000</v>
      </c>
      <c r="E344" s="110">
        <v>17000000</v>
      </c>
      <c r="F344" s="13" t="s">
        <v>74</v>
      </c>
    </row>
    <row r="345" spans="1:6" x14ac:dyDescent="0.25">
      <c r="A345" s="37">
        <v>44593</v>
      </c>
      <c r="B345" s="9" t="s">
        <v>82</v>
      </c>
      <c r="C345" s="23" t="s">
        <v>17</v>
      </c>
      <c r="D345" s="122">
        <v>47720000</v>
      </c>
      <c r="E345" s="110">
        <v>17000000</v>
      </c>
      <c r="F345" s="13" t="s">
        <v>74</v>
      </c>
    </row>
    <row r="346" spans="1:6" x14ac:dyDescent="0.25">
      <c r="A346" s="37">
        <v>44593</v>
      </c>
      <c r="B346" s="10" t="s">
        <v>97</v>
      </c>
      <c r="C346" s="23" t="s">
        <v>17</v>
      </c>
      <c r="D346" s="123">
        <v>700000</v>
      </c>
      <c r="E346" s="117">
        <v>17000000</v>
      </c>
      <c r="F346" s="13" t="s">
        <v>74</v>
      </c>
    </row>
    <row r="347" spans="1:6" x14ac:dyDescent="0.25">
      <c r="A347" s="37">
        <v>44593</v>
      </c>
      <c r="B347" s="10" t="s">
        <v>98</v>
      </c>
      <c r="C347" s="23" t="s">
        <v>17</v>
      </c>
      <c r="D347" s="123">
        <v>13300000</v>
      </c>
      <c r="E347" s="117">
        <v>17000000</v>
      </c>
      <c r="F347" s="13" t="s">
        <v>74</v>
      </c>
    </row>
    <row r="348" spans="1:6" x14ac:dyDescent="0.25">
      <c r="A348" s="37">
        <v>44621</v>
      </c>
      <c r="B348" s="9" t="s">
        <v>100</v>
      </c>
      <c r="C348" s="23" t="s">
        <v>4</v>
      </c>
      <c r="D348" s="66">
        <v>42380000</v>
      </c>
      <c r="E348" s="110">
        <v>50000000</v>
      </c>
      <c r="F348" s="13" t="s">
        <v>74</v>
      </c>
    </row>
    <row r="349" spans="1:6" x14ac:dyDescent="0.25">
      <c r="A349" s="37">
        <v>44621</v>
      </c>
      <c r="B349" s="9" t="s">
        <v>71</v>
      </c>
      <c r="C349" s="23" t="s">
        <v>16</v>
      </c>
      <c r="D349" s="122">
        <v>22330000</v>
      </c>
      <c r="E349" s="110">
        <v>15000000</v>
      </c>
      <c r="F349" s="13" t="s">
        <v>74</v>
      </c>
    </row>
    <row r="350" spans="1:6" x14ac:dyDescent="0.25">
      <c r="A350" s="37">
        <v>44621</v>
      </c>
      <c r="B350" s="9" t="s">
        <v>87</v>
      </c>
      <c r="C350" s="23" t="s">
        <v>16</v>
      </c>
      <c r="D350" s="122">
        <v>7500000</v>
      </c>
      <c r="E350" s="110">
        <v>13000000</v>
      </c>
      <c r="F350" s="13" t="s">
        <v>74</v>
      </c>
    </row>
    <row r="351" spans="1:6" x14ac:dyDescent="0.25">
      <c r="A351" s="37">
        <v>44621</v>
      </c>
      <c r="B351" s="9" t="s">
        <v>95</v>
      </c>
      <c r="C351" s="23" t="s">
        <v>16</v>
      </c>
      <c r="D351" s="122">
        <v>4700000</v>
      </c>
      <c r="E351" s="110">
        <v>13000000</v>
      </c>
      <c r="F351" s="13" t="s">
        <v>74</v>
      </c>
    </row>
    <row r="352" spans="1:6" x14ac:dyDescent="0.25">
      <c r="A352" s="37">
        <v>44621</v>
      </c>
      <c r="B352" s="9" t="s">
        <v>96</v>
      </c>
      <c r="C352" s="23" t="s">
        <v>16</v>
      </c>
      <c r="D352" s="122">
        <v>6750000</v>
      </c>
      <c r="E352" s="110">
        <v>13000000</v>
      </c>
      <c r="F352" s="13" t="s">
        <v>74</v>
      </c>
    </row>
    <row r="353" spans="1:6" x14ac:dyDescent="0.25">
      <c r="A353" s="37">
        <v>44621</v>
      </c>
      <c r="B353" s="9" t="s">
        <v>76</v>
      </c>
      <c r="C353" s="23" t="s">
        <v>17</v>
      </c>
      <c r="D353" s="122">
        <v>22000000</v>
      </c>
      <c r="E353" s="110">
        <v>17000000</v>
      </c>
      <c r="F353" s="13" t="s">
        <v>74</v>
      </c>
    </row>
    <row r="354" spans="1:6" x14ac:dyDescent="0.25">
      <c r="A354" s="37">
        <v>44621</v>
      </c>
      <c r="B354" s="9" t="s">
        <v>82</v>
      </c>
      <c r="C354" s="23" t="s">
        <v>17</v>
      </c>
      <c r="D354" s="122">
        <v>18250000</v>
      </c>
      <c r="E354" s="110">
        <v>17000000</v>
      </c>
      <c r="F354" s="13" t="s">
        <v>74</v>
      </c>
    </row>
    <row r="355" spans="1:6" x14ac:dyDescent="0.25">
      <c r="A355" s="37">
        <v>44621</v>
      </c>
      <c r="B355" s="10" t="s">
        <v>97</v>
      </c>
      <c r="C355" s="23" t="s">
        <v>17</v>
      </c>
      <c r="D355" s="123">
        <v>14850000</v>
      </c>
      <c r="E355" s="117">
        <v>17000000</v>
      </c>
      <c r="F355" s="13" t="s">
        <v>74</v>
      </c>
    </row>
    <row r="356" spans="1:6" x14ac:dyDescent="0.25">
      <c r="A356" s="37">
        <v>44621</v>
      </c>
      <c r="B356" s="10" t="s">
        <v>98</v>
      </c>
      <c r="C356" s="23" t="s">
        <v>17</v>
      </c>
      <c r="D356" s="123">
        <v>9280000</v>
      </c>
      <c r="E356" s="117">
        <v>17000000</v>
      </c>
      <c r="F356" s="13" t="s">
        <v>74</v>
      </c>
    </row>
    <row r="357" spans="1:6" x14ac:dyDescent="0.25">
      <c r="A357" s="37">
        <v>44652</v>
      </c>
      <c r="B357" s="9" t="s">
        <v>99</v>
      </c>
      <c r="C357" s="23" t="s">
        <v>4</v>
      </c>
      <c r="D357" s="110">
        <v>41150000</v>
      </c>
      <c r="E357" s="110">
        <v>50000000</v>
      </c>
      <c r="F357" s="13" t="s">
        <v>74</v>
      </c>
    </row>
    <row r="358" spans="1:6" x14ac:dyDescent="0.25">
      <c r="A358" s="37">
        <v>44652</v>
      </c>
      <c r="B358" s="9" t="s">
        <v>71</v>
      </c>
      <c r="C358" s="23" t="s">
        <v>16</v>
      </c>
      <c r="D358" s="122">
        <v>19650000</v>
      </c>
      <c r="E358" s="110">
        <v>15000000</v>
      </c>
      <c r="F358" s="13" t="s">
        <v>74</v>
      </c>
    </row>
    <row r="359" spans="1:6" x14ac:dyDescent="0.25">
      <c r="A359" s="37">
        <v>44652</v>
      </c>
      <c r="B359" s="9" t="s">
        <v>87</v>
      </c>
      <c r="C359" s="23" t="s">
        <v>16</v>
      </c>
      <c r="D359" s="122">
        <v>13200000</v>
      </c>
      <c r="E359" s="110">
        <v>13000000</v>
      </c>
      <c r="F359" s="13" t="s">
        <v>74</v>
      </c>
    </row>
    <row r="360" spans="1:6" x14ac:dyDescent="0.25">
      <c r="A360" s="37">
        <v>44652</v>
      </c>
      <c r="B360" s="9" t="s">
        <v>95</v>
      </c>
      <c r="C360" s="23" t="s">
        <v>16</v>
      </c>
      <c r="D360" s="122">
        <v>8300000</v>
      </c>
      <c r="E360" s="110">
        <v>13000000</v>
      </c>
      <c r="F360" s="13" t="s">
        <v>74</v>
      </c>
    </row>
    <row r="361" spans="1:6" x14ac:dyDescent="0.25">
      <c r="A361" s="37">
        <v>44652</v>
      </c>
      <c r="B361" s="9" t="s">
        <v>76</v>
      </c>
      <c r="C361" s="23" t="s">
        <v>17</v>
      </c>
      <c r="D361" s="122">
        <v>27960000</v>
      </c>
      <c r="E361" s="110">
        <v>17000000</v>
      </c>
      <c r="F361" s="13" t="s">
        <v>74</v>
      </c>
    </row>
    <row r="362" spans="1:6" x14ac:dyDescent="0.25">
      <c r="A362" s="37">
        <v>44652</v>
      </c>
      <c r="B362" s="9" t="s">
        <v>82</v>
      </c>
      <c r="C362" s="23" t="s">
        <v>17</v>
      </c>
      <c r="D362" s="122">
        <v>16700000</v>
      </c>
      <c r="E362" s="110">
        <v>17000000</v>
      </c>
      <c r="F362" s="13" t="s">
        <v>74</v>
      </c>
    </row>
    <row r="363" spans="1:6" x14ac:dyDescent="0.25">
      <c r="A363" s="37">
        <v>44652</v>
      </c>
      <c r="B363" s="10" t="s">
        <v>97</v>
      </c>
      <c r="C363" s="23" t="s">
        <v>17</v>
      </c>
      <c r="D363" s="123">
        <v>25260000</v>
      </c>
      <c r="E363" s="117">
        <v>17000000</v>
      </c>
      <c r="F363" s="13" t="s">
        <v>74</v>
      </c>
    </row>
    <row r="364" spans="1:6" x14ac:dyDescent="0.25">
      <c r="A364" s="37">
        <v>44682</v>
      </c>
      <c r="B364" s="9" t="s">
        <v>99</v>
      </c>
      <c r="C364" s="23" t="s">
        <v>4</v>
      </c>
      <c r="D364" s="110">
        <v>50260000</v>
      </c>
      <c r="E364" s="110">
        <v>50000000</v>
      </c>
      <c r="F364" s="13" t="s">
        <v>74</v>
      </c>
    </row>
    <row r="365" spans="1:6" x14ac:dyDescent="0.25">
      <c r="A365" s="37">
        <v>44682</v>
      </c>
      <c r="B365" s="9" t="s">
        <v>71</v>
      </c>
      <c r="C365" s="23" t="s">
        <v>16</v>
      </c>
      <c r="D365" s="122">
        <v>23650000</v>
      </c>
      <c r="E365" s="110">
        <v>15000000</v>
      </c>
      <c r="F365" s="13" t="s">
        <v>74</v>
      </c>
    </row>
    <row r="366" spans="1:6" x14ac:dyDescent="0.25">
      <c r="A366" s="37">
        <v>44682</v>
      </c>
      <c r="B366" s="9" t="s">
        <v>87</v>
      </c>
      <c r="C366" s="23" t="s">
        <v>16</v>
      </c>
      <c r="D366" s="122">
        <v>13400000</v>
      </c>
      <c r="E366" s="110">
        <v>13000000</v>
      </c>
      <c r="F366" s="13" t="s">
        <v>74</v>
      </c>
    </row>
    <row r="367" spans="1:6" x14ac:dyDescent="0.25">
      <c r="A367" s="37">
        <v>44682</v>
      </c>
      <c r="B367" s="9" t="s">
        <v>95</v>
      </c>
      <c r="C367" s="23" t="s">
        <v>16</v>
      </c>
      <c r="D367" s="122">
        <v>4600000</v>
      </c>
      <c r="E367" s="110">
        <v>13000000</v>
      </c>
      <c r="F367" s="13" t="s">
        <v>74</v>
      </c>
    </row>
    <row r="368" spans="1:6" x14ac:dyDescent="0.25">
      <c r="A368" s="37">
        <v>44682</v>
      </c>
      <c r="B368" s="9" t="s">
        <v>101</v>
      </c>
      <c r="C368" s="23" t="s">
        <v>16</v>
      </c>
      <c r="D368" s="122">
        <v>2500000</v>
      </c>
      <c r="E368" s="110">
        <v>13000000</v>
      </c>
      <c r="F368" s="13" t="s">
        <v>74</v>
      </c>
    </row>
    <row r="369" spans="1:6" x14ac:dyDescent="0.25">
      <c r="A369" s="37">
        <v>44682</v>
      </c>
      <c r="B369" s="9" t="s">
        <v>102</v>
      </c>
      <c r="C369" s="23" t="s">
        <v>16</v>
      </c>
      <c r="D369" s="122">
        <v>2860000</v>
      </c>
      <c r="E369" s="110">
        <v>13000000</v>
      </c>
      <c r="F369" s="13" t="s">
        <v>74</v>
      </c>
    </row>
    <row r="370" spans="1:6" x14ac:dyDescent="0.25">
      <c r="A370" s="37">
        <v>44682</v>
      </c>
      <c r="B370" s="9" t="s">
        <v>82</v>
      </c>
      <c r="C370" s="23" t="s">
        <v>17</v>
      </c>
      <c r="D370" s="122">
        <v>16700000</v>
      </c>
      <c r="E370" s="110">
        <v>17000000</v>
      </c>
      <c r="F370" s="13" t="s">
        <v>74</v>
      </c>
    </row>
    <row r="371" spans="1:6" x14ac:dyDescent="0.25">
      <c r="A371" s="37">
        <v>44682</v>
      </c>
      <c r="B371" s="10" t="s">
        <v>97</v>
      </c>
      <c r="C371" s="23" t="s">
        <v>17</v>
      </c>
      <c r="D371" s="123">
        <v>25260000</v>
      </c>
      <c r="E371" s="117">
        <v>17000000</v>
      </c>
      <c r="F371" s="13" t="s">
        <v>74</v>
      </c>
    </row>
    <row r="372" spans="1:6" x14ac:dyDescent="0.25">
      <c r="A372" s="37">
        <v>44682</v>
      </c>
      <c r="B372" s="10" t="s">
        <v>103</v>
      </c>
      <c r="C372" s="23" t="s">
        <v>17</v>
      </c>
      <c r="D372" s="123">
        <v>8300000</v>
      </c>
      <c r="E372" s="117">
        <v>17000000</v>
      </c>
      <c r="F372" s="13" t="s">
        <v>74</v>
      </c>
    </row>
    <row r="373" spans="1:6" x14ac:dyDescent="0.25">
      <c r="A373" s="37">
        <v>44713</v>
      </c>
      <c r="B373" s="9" t="s">
        <v>100</v>
      </c>
      <c r="C373" s="23" t="s">
        <v>4</v>
      </c>
      <c r="D373" s="66">
        <v>34050000</v>
      </c>
      <c r="E373" s="110">
        <v>50000000</v>
      </c>
      <c r="F373" s="13" t="s">
        <v>74</v>
      </c>
    </row>
    <row r="374" spans="1:6" x14ac:dyDescent="0.25">
      <c r="A374" s="37">
        <v>44713</v>
      </c>
      <c r="B374" s="9" t="s">
        <v>71</v>
      </c>
      <c r="C374" s="23" t="s">
        <v>16</v>
      </c>
      <c r="D374" s="122">
        <v>11800000</v>
      </c>
      <c r="E374" s="110">
        <v>15000000</v>
      </c>
      <c r="F374" s="13" t="s">
        <v>74</v>
      </c>
    </row>
    <row r="375" spans="1:6" x14ac:dyDescent="0.25">
      <c r="A375" s="37">
        <v>44713</v>
      </c>
      <c r="B375" s="9" t="s">
        <v>87</v>
      </c>
      <c r="C375" s="23" t="s">
        <v>16</v>
      </c>
      <c r="D375" s="122">
        <v>5900000</v>
      </c>
      <c r="E375" s="110">
        <v>13000000</v>
      </c>
      <c r="F375" s="13" t="s">
        <v>74</v>
      </c>
    </row>
    <row r="376" spans="1:6" x14ac:dyDescent="0.25">
      <c r="A376" s="37">
        <v>44713</v>
      </c>
      <c r="B376" s="9" t="s">
        <v>95</v>
      </c>
      <c r="C376" s="23" t="s">
        <v>16</v>
      </c>
      <c r="D376" s="122">
        <v>7100000</v>
      </c>
      <c r="E376" s="110">
        <v>13000000</v>
      </c>
      <c r="F376" s="13" t="s">
        <v>74</v>
      </c>
    </row>
    <row r="377" spans="1:6" x14ac:dyDescent="0.25">
      <c r="A377" s="37">
        <v>44713</v>
      </c>
      <c r="B377" s="9" t="s">
        <v>102</v>
      </c>
      <c r="C377" s="23" t="s">
        <v>16</v>
      </c>
      <c r="D377" s="122">
        <v>1550000</v>
      </c>
      <c r="E377" s="110">
        <v>13000000</v>
      </c>
      <c r="F377" s="13" t="s">
        <v>74</v>
      </c>
    </row>
    <row r="378" spans="1:6" x14ac:dyDescent="0.25">
      <c r="A378" s="41">
        <v>44713</v>
      </c>
      <c r="B378" s="10" t="s">
        <v>97</v>
      </c>
      <c r="C378" s="42" t="s">
        <v>17</v>
      </c>
      <c r="D378" s="123">
        <v>24400000</v>
      </c>
      <c r="E378" s="117">
        <v>17000000</v>
      </c>
      <c r="F378" s="13" t="s">
        <v>74</v>
      </c>
    </row>
    <row r="379" spans="1:6" x14ac:dyDescent="0.25">
      <c r="A379" s="37">
        <v>44713</v>
      </c>
      <c r="B379" s="12" t="s">
        <v>103</v>
      </c>
      <c r="C379" s="23" t="s">
        <v>17</v>
      </c>
      <c r="D379" s="87">
        <v>6250000</v>
      </c>
      <c r="E379" s="118">
        <v>17000000</v>
      </c>
      <c r="F379" s="13" t="s">
        <v>74</v>
      </c>
    </row>
    <row r="380" spans="1:6" x14ac:dyDescent="0.25">
      <c r="A380" s="37">
        <v>44713</v>
      </c>
      <c r="B380" s="12" t="s">
        <v>104</v>
      </c>
      <c r="C380" s="23" t="s">
        <v>17</v>
      </c>
      <c r="D380" s="87">
        <v>1600000</v>
      </c>
      <c r="E380" s="118">
        <v>17000000</v>
      </c>
      <c r="F380" s="13" t="s">
        <v>74</v>
      </c>
    </row>
    <row r="381" spans="1:6" x14ac:dyDescent="0.25">
      <c r="A381" s="37">
        <v>44774</v>
      </c>
      <c r="B381" s="12" t="s">
        <v>100</v>
      </c>
      <c r="C381" s="23" t="s">
        <v>4</v>
      </c>
      <c r="D381" s="77">
        <v>48431300</v>
      </c>
      <c r="E381" s="118">
        <v>50000000</v>
      </c>
      <c r="F381" s="13" t="s">
        <v>74</v>
      </c>
    </row>
    <row r="382" spans="1:6" x14ac:dyDescent="0.25">
      <c r="A382" s="37">
        <v>44774</v>
      </c>
      <c r="B382" s="12" t="s">
        <v>71</v>
      </c>
      <c r="C382" s="23" t="s">
        <v>16</v>
      </c>
      <c r="D382" s="87">
        <v>30450000</v>
      </c>
      <c r="E382" s="118">
        <v>15000000</v>
      </c>
      <c r="F382" s="13" t="s">
        <v>74</v>
      </c>
    </row>
    <row r="383" spans="1:6" x14ac:dyDescent="0.25">
      <c r="A383" s="37">
        <v>44774</v>
      </c>
      <c r="B383" s="12" t="s">
        <v>87</v>
      </c>
      <c r="C383" s="23" t="s">
        <v>16</v>
      </c>
      <c r="D383" s="87">
        <v>1800000</v>
      </c>
      <c r="E383" s="118">
        <v>13000000</v>
      </c>
      <c r="F383" s="13" t="s">
        <v>74</v>
      </c>
    </row>
    <row r="384" spans="1:6" x14ac:dyDescent="0.25">
      <c r="A384" s="37">
        <v>44774</v>
      </c>
      <c r="B384" s="12" t="s">
        <v>95</v>
      </c>
      <c r="C384" s="23" t="s">
        <v>16</v>
      </c>
      <c r="D384" s="87">
        <v>9450000</v>
      </c>
      <c r="E384" s="118">
        <v>13000000</v>
      </c>
      <c r="F384" s="13" t="s">
        <v>74</v>
      </c>
    </row>
    <row r="385" spans="1:6" x14ac:dyDescent="0.25">
      <c r="A385" s="37">
        <v>44774</v>
      </c>
      <c r="B385" s="12" t="s">
        <v>105</v>
      </c>
      <c r="C385" s="23" t="s">
        <v>16</v>
      </c>
      <c r="D385" s="87">
        <v>3700000</v>
      </c>
      <c r="E385" s="118">
        <v>13000000</v>
      </c>
      <c r="F385" s="13" t="s">
        <v>74</v>
      </c>
    </row>
    <row r="386" spans="1:6" x14ac:dyDescent="0.25">
      <c r="A386" s="37">
        <v>44774</v>
      </c>
      <c r="B386" s="12" t="s">
        <v>97</v>
      </c>
      <c r="C386" s="23" t="s">
        <v>17</v>
      </c>
      <c r="D386" s="87">
        <v>29431300</v>
      </c>
      <c r="E386" s="118">
        <v>17000000</v>
      </c>
      <c r="F386" s="13" t="s">
        <v>74</v>
      </c>
    </row>
    <row r="387" spans="1:6" x14ac:dyDescent="0.25">
      <c r="A387" s="37">
        <v>44774</v>
      </c>
      <c r="B387" s="309" t="s">
        <v>105</v>
      </c>
      <c r="C387" s="23" t="s">
        <v>17</v>
      </c>
      <c r="D387" s="87">
        <v>5000000</v>
      </c>
      <c r="E387" s="118">
        <v>17000000</v>
      </c>
      <c r="F387" s="13" t="s">
        <v>74</v>
      </c>
    </row>
    <row r="388" spans="1:6" x14ac:dyDescent="0.25">
      <c r="A388" s="37">
        <v>44774</v>
      </c>
      <c r="B388" s="309" t="s">
        <v>106</v>
      </c>
      <c r="C388" s="23" t="s">
        <v>17</v>
      </c>
      <c r="D388" s="87">
        <v>14050000</v>
      </c>
      <c r="E388" s="118">
        <v>17000000</v>
      </c>
      <c r="F388" s="13" t="s">
        <v>74</v>
      </c>
    </row>
    <row r="389" spans="1:6" x14ac:dyDescent="0.25">
      <c r="A389" s="37">
        <v>44805</v>
      </c>
      <c r="B389" s="234" t="s">
        <v>100</v>
      </c>
      <c r="C389" s="23" t="s">
        <v>4</v>
      </c>
      <c r="D389" s="241">
        <v>67970000</v>
      </c>
      <c r="E389" s="241">
        <v>50000000</v>
      </c>
      <c r="F389" s="13" t="s">
        <v>74</v>
      </c>
    </row>
    <row r="390" spans="1:6" x14ac:dyDescent="0.25">
      <c r="A390" s="37">
        <v>44805</v>
      </c>
      <c r="B390" s="234" t="s">
        <v>71</v>
      </c>
      <c r="C390" s="23" t="s">
        <v>16</v>
      </c>
      <c r="D390" s="222">
        <v>33500000</v>
      </c>
      <c r="E390" s="241">
        <v>15000000</v>
      </c>
      <c r="F390" s="13" t="s">
        <v>74</v>
      </c>
    </row>
    <row r="391" spans="1:6" x14ac:dyDescent="0.25">
      <c r="A391" s="37">
        <v>44805</v>
      </c>
      <c r="B391" s="234" t="s">
        <v>87</v>
      </c>
      <c r="C391" s="23" t="s">
        <v>16</v>
      </c>
      <c r="D391" s="222">
        <v>9050000</v>
      </c>
      <c r="E391" s="241">
        <v>13000000</v>
      </c>
      <c r="F391" s="13" t="s">
        <v>74</v>
      </c>
    </row>
    <row r="392" spans="1:6" x14ac:dyDescent="0.25">
      <c r="A392" s="37">
        <v>44805</v>
      </c>
      <c r="B392" s="234" t="s">
        <v>95</v>
      </c>
      <c r="C392" s="23" t="s">
        <v>16</v>
      </c>
      <c r="D392" s="222">
        <v>13550000</v>
      </c>
      <c r="E392" s="241">
        <v>13000000</v>
      </c>
      <c r="F392" s="13" t="s">
        <v>74</v>
      </c>
    </row>
    <row r="393" spans="1:6" x14ac:dyDescent="0.25">
      <c r="A393" s="37">
        <v>44805</v>
      </c>
      <c r="B393" s="234" t="s">
        <v>105</v>
      </c>
      <c r="C393" s="23" t="s">
        <v>16</v>
      </c>
      <c r="D393" s="222">
        <v>8970000</v>
      </c>
      <c r="E393" s="241">
        <v>13000000</v>
      </c>
      <c r="F393" s="13" t="s">
        <v>74</v>
      </c>
    </row>
    <row r="394" spans="1:6" x14ac:dyDescent="0.25">
      <c r="A394" s="37">
        <v>44805</v>
      </c>
      <c r="B394" s="329" t="s">
        <v>97</v>
      </c>
      <c r="C394" s="23" t="s">
        <v>17</v>
      </c>
      <c r="D394" s="266">
        <v>38970000</v>
      </c>
      <c r="E394" s="268">
        <v>17000000</v>
      </c>
      <c r="F394" s="13" t="s">
        <v>74</v>
      </c>
    </row>
    <row r="395" spans="1:6" x14ac:dyDescent="0.25">
      <c r="A395" s="37">
        <v>44805</v>
      </c>
      <c r="B395" s="234" t="s">
        <v>222</v>
      </c>
      <c r="C395" s="23" t="s">
        <v>17</v>
      </c>
      <c r="D395" s="222">
        <v>22450000</v>
      </c>
      <c r="E395" s="268">
        <v>17000000</v>
      </c>
      <c r="F395" s="13" t="s">
        <v>74</v>
      </c>
    </row>
    <row r="396" spans="1:6" x14ac:dyDescent="0.25">
      <c r="A396" s="37">
        <v>44805</v>
      </c>
      <c r="B396" s="234" t="s">
        <v>106</v>
      </c>
      <c r="C396" s="23" t="s">
        <v>17</v>
      </c>
      <c r="D396" s="222">
        <v>6550000</v>
      </c>
      <c r="E396" s="268">
        <v>17000000</v>
      </c>
      <c r="F396" s="13" t="s">
        <v>74</v>
      </c>
    </row>
    <row r="397" spans="1:6" x14ac:dyDescent="0.25">
      <c r="A397" s="37">
        <v>44835</v>
      </c>
      <c r="B397" s="9" t="s">
        <v>100</v>
      </c>
      <c r="C397" s="23" t="s">
        <v>4</v>
      </c>
      <c r="D397" s="241">
        <v>64330000</v>
      </c>
      <c r="E397" s="241">
        <v>50000000</v>
      </c>
      <c r="F397" s="13" t="s">
        <v>74</v>
      </c>
    </row>
    <row r="398" spans="1:6" x14ac:dyDescent="0.25">
      <c r="A398" s="37">
        <v>44835</v>
      </c>
      <c r="B398" s="9" t="s">
        <v>71</v>
      </c>
      <c r="C398" s="23" t="s">
        <v>16</v>
      </c>
      <c r="D398" s="222">
        <v>23370000</v>
      </c>
      <c r="E398" s="241">
        <v>15000000</v>
      </c>
      <c r="F398" s="13" t="s">
        <v>74</v>
      </c>
    </row>
    <row r="399" spans="1:6" x14ac:dyDescent="0.25">
      <c r="A399" s="37">
        <v>44835</v>
      </c>
      <c r="B399" s="9" t="s">
        <v>87</v>
      </c>
      <c r="C399" s="23" t="s">
        <v>16</v>
      </c>
      <c r="D399" s="222">
        <v>20200000</v>
      </c>
      <c r="E399" s="241">
        <v>13000000</v>
      </c>
      <c r="F399" s="13" t="s">
        <v>74</v>
      </c>
    </row>
    <row r="400" spans="1:6" x14ac:dyDescent="0.25">
      <c r="A400" s="37">
        <v>44835</v>
      </c>
      <c r="B400" s="9" t="s">
        <v>95</v>
      </c>
      <c r="C400" s="23" t="s">
        <v>16</v>
      </c>
      <c r="D400" s="222">
        <v>6400000</v>
      </c>
      <c r="E400" s="241">
        <v>13000000</v>
      </c>
      <c r="F400" s="13" t="s">
        <v>74</v>
      </c>
    </row>
    <row r="401" spans="1:6" x14ac:dyDescent="0.25">
      <c r="A401" s="37">
        <v>44835</v>
      </c>
      <c r="B401" s="9" t="s">
        <v>105</v>
      </c>
      <c r="C401" s="23" t="s">
        <v>16</v>
      </c>
      <c r="D401" s="222">
        <v>3000000</v>
      </c>
      <c r="E401" s="241">
        <v>13000000</v>
      </c>
      <c r="F401" s="13" t="s">
        <v>74</v>
      </c>
    </row>
    <row r="402" spans="1:6" x14ac:dyDescent="0.25">
      <c r="A402" s="37">
        <v>44835</v>
      </c>
      <c r="B402" s="9" t="s">
        <v>73</v>
      </c>
      <c r="C402" s="23" t="s">
        <v>16</v>
      </c>
      <c r="D402" s="222">
        <v>6100000</v>
      </c>
      <c r="E402" s="241">
        <v>13000000</v>
      </c>
      <c r="F402" s="13" t="s">
        <v>74</v>
      </c>
    </row>
    <row r="403" spans="1:6" x14ac:dyDescent="0.25">
      <c r="A403" s="37">
        <v>44835</v>
      </c>
      <c r="B403" s="11" t="s">
        <v>223</v>
      </c>
      <c r="C403" s="23" t="s">
        <v>16</v>
      </c>
      <c r="D403" s="222">
        <v>4900000</v>
      </c>
      <c r="E403" s="101">
        <v>13000000</v>
      </c>
      <c r="F403" s="13" t="s">
        <v>74</v>
      </c>
    </row>
    <row r="404" spans="1:6" x14ac:dyDescent="0.25">
      <c r="A404" s="37">
        <v>44835</v>
      </c>
      <c r="B404" s="33" t="s">
        <v>97</v>
      </c>
      <c r="C404" s="23" t="s">
        <v>17</v>
      </c>
      <c r="D404" s="266">
        <v>33350000</v>
      </c>
      <c r="E404" s="331">
        <v>17000000</v>
      </c>
      <c r="F404" s="13" t="s">
        <v>74</v>
      </c>
    </row>
    <row r="405" spans="1:6" x14ac:dyDescent="0.25">
      <c r="A405" s="37">
        <v>44835</v>
      </c>
      <c r="B405" s="34" t="s">
        <v>105</v>
      </c>
      <c r="C405" s="23" t="s">
        <v>17</v>
      </c>
      <c r="D405" s="222">
        <v>24680000</v>
      </c>
      <c r="E405" s="331">
        <v>17000000</v>
      </c>
      <c r="F405" s="13" t="s">
        <v>74</v>
      </c>
    </row>
    <row r="406" spans="1:6" x14ac:dyDescent="0.25">
      <c r="A406" s="37">
        <v>44835</v>
      </c>
      <c r="B406" s="34" t="s">
        <v>224</v>
      </c>
      <c r="C406" s="23" t="s">
        <v>17</v>
      </c>
      <c r="D406" s="222">
        <v>4400000</v>
      </c>
      <c r="E406" s="162">
        <v>17000000</v>
      </c>
      <c r="F406" s="13" t="s">
        <v>74</v>
      </c>
    </row>
    <row r="407" spans="1:6" x14ac:dyDescent="0.25">
      <c r="F407" s="330"/>
    </row>
  </sheetData>
  <autoFilter ref="A2:F388" xr:uid="{24F98971-3406-4A45-AF1A-C47655E76C94}"/>
  <mergeCells count="1">
    <mergeCell ref="A1:F1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20921-5D7E-4D7E-8A90-032B0E544A8E}">
  <dimension ref="A1:F333"/>
  <sheetViews>
    <sheetView topLeftCell="A307" workbookViewId="0">
      <selection activeCell="B329" sqref="B329"/>
    </sheetView>
  </sheetViews>
  <sheetFormatPr baseColWidth="10" defaultColWidth="10.88671875" defaultRowHeight="13.2" x14ac:dyDescent="0.25"/>
  <cols>
    <col min="1" max="1" width="10.88671875" style="22"/>
    <col min="2" max="2" width="27.21875" style="22" bestFit="1" customWidth="1"/>
    <col min="3" max="3" width="13" style="22" bestFit="1" customWidth="1"/>
    <col min="4" max="4" width="16.33203125" style="22" bestFit="1" customWidth="1"/>
    <col min="5" max="5" width="14.77734375" style="22" bestFit="1" customWidth="1"/>
    <col min="6" max="16384" width="10.88671875" style="22"/>
  </cols>
  <sheetData>
    <row r="1" spans="1:6" x14ac:dyDescent="0.25">
      <c r="A1" s="367" t="s">
        <v>107</v>
      </c>
      <c r="B1" s="367"/>
      <c r="C1" s="367"/>
      <c r="D1" s="367"/>
      <c r="E1" s="367"/>
      <c r="F1" s="367"/>
    </row>
    <row r="2" spans="1:6" x14ac:dyDescent="0.25">
      <c r="A2" s="35" t="s">
        <v>0</v>
      </c>
      <c r="B2" s="23" t="s">
        <v>60</v>
      </c>
      <c r="C2" s="23" t="s">
        <v>2</v>
      </c>
      <c r="D2" s="23" t="s">
        <v>3</v>
      </c>
      <c r="E2" s="36" t="s">
        <v>1</v>
      </c>
      <c r="F2" s="52" t="s">
        <v>18</v>
      </c>
    </row>
    <row r="3" spans="1:6" x14ac:dyDescent="0.25">
      <c r="A3" s="37">
        <v>43101</v>
      </c>
      <c r="B3" s="28" t="s">
        <v>110</v>
      </c>
      <c r="C3" s="23" t="s">
        <v>4</v>
      </c>
      <c r="D3" s="147">
        <v>11950000</v>
      </c>
      <c r="E3" s="148">
        <v>30000000</v>
      </c>
      <c r="F3" s="23" t="s">
        <v>108</v>
      </c>
    </row>
    <row r="4" spans="1:6" x14ac:dyDescent="0.25">
      <c r="A4" s="37">
        <v>43101</v>
      </c>
      <c r="B4" s="18" t="s">
        <v>12</v>
      </c>
      <c r="C4" s="23" t="s">
        <v>16</v>
      </c>
      <c r="D4" s="63">
        <v>5550000</v>
      </c>
      <c r="E4" s="130">
        <v>10500000</v>
      </c>
      <c r="F4" s="23" t="s">
        <v>108</v>
      </c>
    </row>
    <row r="5" spans="1:6" x14ac:dyDescent="0.25">
      <c r="A5" s="37">
        <v>43101</v>
      </c>
      <c r="B5" s="18" t="s">
        <v>109</v>
      </c>
      <c r="C5" s="23" t="s">
        <v>16</v>
      </c>
      <c r="D5" s="110">
        <v>3640000</v>
      </c>
      <c r="E5" s="130">
        <v>10500000</v>
      </c>
      <c r="F5" s="23" t="s">
        <v>108</v>
      </c>
    </row>
    <row r="6" spans="1:6" x14ac:dyDescent="0.25">
      <c r="A6" s="37">
        <v>43101</v>
      </c>
      <c r="B6" s="18" t="s">
        <v>22</v>
      </c>
      <c r="C6" s="23" t="s">
        <v>17</v>
      </c>
      <c r="D6" s="110">
        <v>12250000</v>
      </c>
      <c r="E6" s="130">
        <v>13500000</v>
      </c>
      <c r="F6" s="23" t="s">
        <v>108</v>
      </c>
    </row>
    <row r="7" spans="1:6" x14ac:dyDescent="0.25">
      <c r="A7" s="37">
        <v>43132</v>
      </c>
      <c r="B7" s="28" t="s">
        <v>110</v>
      </c>
      <c r="C7" s="23" t="s">
        <v>4</v>
      </c>
      <c r="D7" s="147">
        <v>16680000</v>
      </c>
      <c r="E7" s="148">
        <v>30000000</v>
      </c>
      <c r="F7" s="23" t="s">
        <v>108</v>
      </c>
    </row>
    <row r="8" spans="1:6" x14ac:dyDescent="0.25">
      <c r="A8" s="37">
        <v>43132</v>
      </c>
      <c r="B8" s="18" t="s">
        <v>12</v>
      </c>
      <c r="C8" s="23" t="s">
        <v>16</v>
      </c>
      <c r="D8" s="67">
        <v>10530000</v>
      </c>
      <c r="E8" s="130">
        <v>10500000</v>
      </c>
      <c r="F8" s="23" t="s">
        <v>108</v>
      </c>
    </row>
    <row r="9" spans="1:6" x14ac:dyDescent="0.25">
      <c r="A9" s="37">
        <v>43132</v>
      </c>
      <c r="B9" s="18" t="s">
        <v>109</v>
      </c>
      <c r="C9" s="23" t="s">
        <v>16</v>
      </c>
      <c r="D9" s="67">
        <v>6180000</v>
      </c>
      <c r="E9" s="130">
        <v>10500000</v>
      </c>
      <c r="F9" s="23" t="s">
        <v>108</v>
      </c>
    </row>
    <row r="10" spans="1:6" x14ac:dyDescent="0.25">
      <c r="A10" s="37">
        <v>43132</v>
      </c>
      <c r="B10" s="18" t="s">
        <v>22</v>
      </c>
      <c r="C10" s="23" t="s">
        <v>17</v>
      </c>
      <c r="D10" s="111">
        <v>7050000</v>
      </c>
      <c r="E10" s="130">
        <v>13500000</v>
      </c>
      <c r="F10" s="23" t="s">
        <v>108</v>
      </c>
    </row>
    <row r="11" spans="1:6" x14ac:dyDescent="0.25">
      <c r="A11" s="37">
        <v>43160</v>
      </c>
      <c r="B11" s="28" t="s">
        <v>110</v>
      </c>
      <c r="C11" s="23" t="s">
        <v>4</v>
      </c>
      <c r="D11" s="149">
        <v>20430030</v>
      </c>
      <c r="E11" s="148">
        <v>30000000</v>
      </c>
      <c r="F11" s="23" t="s">
        <v>108</v>
      </c>
    </row>
    <row r="12" spans="1:6" x14ac:dyDescent="0.25">
      <c r="A12" s="37">
        <v>43160</v>
      </c>
      <c r="B12" s="18" t="s">
        <v>12</v>
      </c>
      <c r="C12" s="23" t="s">
        <v>16</v>
      </c>
      <c r="D12" s="67">
        <v>9800030</v>
      </c>
      <c r="E12" s="130">
        <v>10500000</v>
      </c>
      <c r="F12" s="23" t="s">
        <v>108</v>
      </c>
    </row>
    <row r="13" spans="1:6" x14ac:dyDescent="0.25">
      <c r="A13" s="37">
        <v>43160</v>
      </c>
      <c r="B13" s="18" t="s">
        <v>22</v>
      </c>
      <c r="C13" s="23" t="s">
        <v>17</v>
      </c>
      <c r="D13" s="67">
        <v>12720000</v>
      </c>
      <c r="E13" s="130">
        <v>13500000</v>
      </c>
      <c r="F13" s="23" t="s">
        <v>108</v>
      </c>
    </row>
    <row r="14" spans="1:6" x14ac:dyDescent="0.25">
      <c r="A14" s="37">
        <v>43191</v>
      </c>
      <c r="B14" s="28" t="s">
        <v>110</v>
      </c>
      <c r="C14" s="23" t="s">
        <v>4</v>
      </c>
      <c r="D14" s="149">
        <v>24705000</v>
      </c>
      <c r="E14" s="148">
        <v>30000000</v>
      </c>
      <c r="F14" s="23" t="s">
        <v>108</v>
      </c>
    </row>
    <row r="15" spans="1:6" x14ac:dyDescent="0.25">
      <c r="A15" s="37">
        <v>43191</v>
      </c>
      <c r="B15" s="18" t="s">
        <v>12</v>
      </c>
      <c r="C15" s="23" t="s">
        <v>16</v>
      </c>
      <c r="D15" s="67">
        <v>5905000</v>
      </c>
      <c r="E15" s="130">
        <v>10500000</v>
      </c>
      <c r="F15" s="23" t="s">
        <v>108</v>
      </c>
    </row>
    <row r="16" spans="1:6" x14ac:dyDescent="0.25">
      <c r="A16" s="37">
        <v>43191</v>
      </c>
      <c r="B16" s="18" t="s">
        <v>109</v>
      </c>
      <c r="C16" s="23" t="s">
        <v>16</v>
      </c>
      <c r="D16" s="67">
        <v>12350000</v>
      </c>
      <c r="E16" s="130">
        <v>10500000</v>
      </c>
      <c r="F16" s="23" t="s">
        <v>108</v>
      </c>
    </row>
    <row r="17" spans="1:6" x14ac:dyDescent="0.25">
      <c r="A17" s="37">
        <v>43191</v>
      </c>
      <c r="B17" s="18" t="s">
        <v>22</v>
      </c>
      <c r="C17" s="23" t="s">
        <v>17</v>
      </c>
      <c r="D17" s="67">
        <v>12600000</v>
      </c>
      <c r="E17" s="130">
        <v>13500000</v>
      </c>
      <c r="F17" s="23" t="s">
        <v>108</v>
      </c>
    </row>
    <row r="18" spans="1:6" x14ac:dyDescent="0.25">
      <c r="A18" s="37">
        <v>43221</v>
      </c>
      <c r="B18" s="28" t="s">
        <v>110</v>
      </c>
      <c r="C18" s="23" t="s">
        <v>4</v>
      </c>
      <c r="D18" s="149">
        <v>21970000</v>
      </c>
      <c r="E18" s="148">
        <v>30000000</v>
      </c>
      <c r="F18" s="23" t="s">
        <v>108</v>
      </c>
    </row>
    <row r="19" spans="1:6" x14ac:dyDescent="0.25">
      <c r="A19" s="37">
        <v>43221</v>
      </c>
      <c r="B19" s="18" t="s">
        <v>12</v>
      </c>
      <c r="C19" s="23" t="s">
        <v>16</v>
      </c>
      <c r="D19" s="67">
        <v>6120000</v>
      </c>
      <c r="E19" s="130">
        <v>10500000</v>
      </c>
      <c r="F19" s="23" t="s">
        <v>108</v>
      </c>
    </row>
    <row r="20" spans="1:6" x14ac:dyDescent="0.25">
      <c r="A20" s="37">
        <v>43221</v>
      </c>
      <c r="B20" s="18" t="s">
        <v>109</v>
      </c>
      <c r="C20" s="23" t="s">
        <v>16</v>
      </c>
      <c r="D20" s="67">
        <v>2500000</v>
      </c>
      <c r="E20" s="130">
        <v>10500000</v>
      </c>
      <c r="F20" s="23" t="s">
        <v>108</v>
      </c>
    </row>
    <row r="21" spans="1:6" x14ac:dyDescent="0.25">
      <c r="A21" s="37">
        <v>43221</v>
      </c>
      <c r="B21" s="18" t="s">
        <v>22</v>
      </c>
      <c r="C21" s="23" t="s">
        <v>17</v>
      </c>
      <c r="D21" s="67">
        <v>6728300</v>
      </c>
      <c r="E21" s="130">
        <v>13500000</v>
      </c>
      <c r="F21" s="23" t="s">
        <v>108</v>
      </c>
    </row>
    <row r="22" spans="1:6" x14ac:dyDescent="0.25">
      <c r="A22" s="37">
        <v>43252</v>
      </c>
      <c r="B22" s="28" t="s">
        <v>110</v>
      </c>
      <c r="C22" s="23" t="s">
        <v>4</v>
      </c>
      <c r="D22" s="149">
        <v>18070000</v>
      </c>
      <c r="E22" s="148">
        <v>30000000</v>
      </c>
      <c r="F22" s="23" t="s">
        <v>108</v>
      </c>
    </row>
    <row r="23" spans="1:6" x14ac:dyDescent="0.25">
      <c r="A23" s="37">
        <v>43252</v>
      </c>
      <c r="B23" s="18" t="s">
        <v>12</v>
      </c>
      <c r="C23" s="23" t="s">
        <v>16</v>
      </c>
      <c r="D23" s="67">
        <v>6000000</v>
      </c>
      <c r="E23" s="130">
        <v>10500000</v>
      </c>
      <c r="F23" s="23" t="s">
        <v>108</v>
      </c>
    </row>
    <row r="24" spans="1:6" x14ac:dyDescent="0.25">
      <c r="A24" s="37">
        <v>43252</v>
      </c>
      <c r="B24" s="18" t="s">
        <v>109</v>
      </c>
      <c r="C24" s="23" t="s">
        <v>16</v>
      </c>
      <c r="D24" s="67">
        <v>9270000</v>
      </c>
      <c r="E24" s="130">
        <v>10500000</v>
      </c>
      <c r="F24" s="23" t="s">
        <v>108</v>
      </c>
    </row>
    <row r="25" spans="1:6" x14ac:dyDescent="0.25">
      <c r="A25" s="37">
        <v>43252</v>
      </c>
      <c r="B25" s="18" t="s">
        <v>22</v>
      </c>
      <c r="C25" s="23" t="s">
        <v>17</v>
      </c>
      <c r="D25" s="67">
        <v>6940000</v>
      </c>
      <c r="E25" s="130">
        <v>13500000</v>
      </c>
      <c r="F25" s="23" t="s">
        <v>108</v>
      </c>
    </row>
    <row r="26" spans="1:6" x14ac:dyDescent="0.25">
      <c r="A26" s="37">
        <v>43282</v>
      </c>
      <c r="B26" s="28" t="s">
        <v>110</v>
      </c>
      <c r="C26" s="23" t="s">
        <v>4</v>
      </c>
      <c r="D26" s="149">
        <v>17550000</v>
      </c>
      <c r="E26" s="148">
        <v>30000000</v>
      </c>
      <c r="F26" s="23" t="s">
        <v>108</v>
      </c>
    </row>
    <row r="27" spans="1:6" x14ac:dyDescent="0.25">
      <c r="A27" s="37">
        <v>43282</v>
      </c>
      <c r="B27" s="18" t="s">
        <v>12</v>
      </c>
      <c r="C27" s="23" t="s">
        <v>16</v>
      </c>
      <c r="D27" s="67">
        <v>8100000</v>
      </c>
      <c r="E27" s="130">
        <v>10500000</v>
      </c>
      <c r="F27" s="23" t="s">
        <v>108</v>
      </c>
    </row>
    <row r="28" spans="1:6" x14ac:dyDescent="0.25">
      <c r="A28" s="37">
        <v>43282</v>
      </c>
      <c r="B28" s="18" t="s">
        <v>109</v>
      </c>
      <c r="C28" s="23" t="s">
        <v>16</v>
      </c>
      <c r="D28" s="67">
        <v>5700000</v>
      </c>
      <c r="E28" s="130">
        <v>10500000</v>
      </c>
      <c r="F28" s="23" t="s">
        <v>108</v>
      </c>
    </row>
    <row r="29" spans="1:6" x14ac:dyDescent="0.25">
      <c r="A29" s="37">
        <v>43282</v>
      </c>
      <c r="B29" s="18" t="s">
        <v>22</v>
      </c>
      <c r="C29" s="23" t="s">
        <v>17</v>
      </c>
      <c r="D29" s="129">
        <v>8135000</v>
      </c>
      <c r="E29" s="130">
        <v>13500000</v>
      </c>
      <c r="F29" s="23" t="s">
        <v>108</v>
      </c>
    </row>
    <row r="30" spans="1:6" x14ac:dyDescent="0.25">
      <c r="A30" s="37">
        <v>43313</v>
      </c>
      <c r="B30" s="28" t="s">
        <v>110</v>
      </c>
      <c r="C30" s="23" t="s">
        <v>4</v>
      </c>
      <c r="D30" s="149">
        <v>23109076</v>
      </c>
      <c r="E30" s="148">
        <v>30000000</v>
      </c>
      <c r="F30" s="23" t="s">
        <v>108</v>
      </c>
    </row>
    <row r="31" spans="1:6" x14ac:dyDescent="0.25">
      <c r="A31" s="37">
        <v>43313</v>
      </c>
      <c r="B31" s="18" t="s">
        <v>12</v>
      </c>
      <c r="C31" s="23" t="s">
        <v>16</v>
      </c>
      <c r="D31" s="111">
        <v>6090000</v>
      </c>
      <c r="E31" s="130">
        <v>10500000</v>
      </c>
      <c r="F31" s="23" t="s">
        <v>108</v>
      </c>
    </row>
    <row r="32" spans="1:6" x14ac:dyDescent="0.25">
      <c r="A32" s="37">
        <v>43313</v>
      </c>
      <c r="B32" s="18" t="s">
        <v>109</v>
      </c>
      <c r="C32" s="23" t="s">
        <v>16</v>
      </c>
      <c r="D32" s="67">
        <v>950000</v>
      </c>
      <c r="E32" s="130">
        <v>10500000</v>
      </c>
      <c r="F32" s="23" t="s">
        <v>108</v>
      </c>
    </row>
    <row r="33" spans="1:6" x14ac:dyDescent="0.25">
      <c r="A33" s="37">
        <v>43313</v>
      </c>
      <c r="B33" s="18" t="s">
        <v>22</v>
      </c>
      <c r="C33" s="23" t="s">
        <v>17</v>
      </c>
      <c r="D33" s="67">
        <v>14870000</v>
      </c>
      <c r="E33" s="130">
        <v>13500000</v>
      </c>
      <c r="F33" s="23" t="s">
        <v>108</v>
      </c>
    </row>
    <row r="34" spans="1:6" x14ac:dyDescent="0.25">
      <c r="A34" s="37">
        <v>43344</v>
      </c>
      <c r="B34" s="28" t="s">
        <v>110</v>
      </c>
      <c r="C34" s="23" t="s">
        <v>4</v>
      </c>
      <c r="D34" s="149">
        <v>11100000</v>
      </c>
      <c r="E34" s="148">
        <v>30000000</v>
      </c>
      <c r="F34" s="23" t="s">
        <v>108</v>
      </c>
    </row>
    <row r="35" spans="1:6" x14ac:dyDescent="0.25">
      <c r="A35" s="37">
        <v>43344</v>
      </c>
      <c r="B35" s="18" t="s">
        <v>12</v>
      </c>
      <c r="C35" s="23" t="s">
        <v>16</v>
      </c>
      <c r="D35" s="67">
        <v>4600000</v>
      </c>
      <c r="E35" s="130">
        <v>10500000</v>
      </c>
      <c r="F35" s="23" t="s">
        <v>108</v>
      </c>
    </row>
    <row r="36" spans="1:6" x14ac:dyDescent="0.25">
      <c r="A36" s="37">
        <v>43344</v>
      </c>
      <c r="B36" s="18" t="s">
        <v>109</v>
      </c>
      <c r="C36" s="23" t="s">
        <v>16</v>
      </c>
      <c r="D36" s="67">
        <v>6500000</v>
      </c>
      <c r="E36" s="130">
        <v>10500000</v>
      </c>
      <c r="F36" s="23" t="s">
        <v>108</v>
      </c>
    </row>
    <row r="37" spans="1:6" x14ac:dyDescent="0.25">
      <c r="A37" s="37">
        <v>43344</v>
      </c>
      <c r="B37" s="18" t="s">
        <v>22</v>
      </c>
      <c r="C37" s="23" t="s">
        <v>17</v>
      </c>
      <c r="D37" s="67">
        <v>2200000</v>
      </c>
      <c r="E37" s="130">
        <v>13500000</v>
      </c>
      <c r="F37" s="23" t="s">
        <v>108</v>
      </c>
    </row>
    <row r="38" spans="1:6" x14ac:dyDescent="0.25">
      <c r="A38" s="37">
        <v>43374</v>
      </c>
      <c r="B38" s="28" t="s">
        <v>110</v>
      </c>
      <c r="C38" s="23" t="s">
        <v>4</v>
      </c>
      <c r="D38" s="149">
        <v>21530000</v>
      </c>
      <c r="E38" s="148">
        <v>30000000</v>
      </c>
      <c r="F38" s="23" t="s">
        <v>108</v>
      </c>
    </row>
    <row r="39" spans="1:6" x14ac:dyDescent="0.25">
      <c r="A39" s="37">
        <v>43374</v>
      </c>
      <c r="B39" s="18" t="s">
        <v>12</v>
      </c>
      <c r="C39" s="23" t="s">
        <v>16</v>
      </c>
      <c r="D39" s="67">
        <v>3600000</v>
      </c>
      <c r="E39" s="130">
        <v>10500000</v>
      </c>
      <c r="F39" s="23" t="s">
        <v>108</v>
      </c>
    </row>
    <row r="40" spans="1:6" x14ac:dyDescent="0.25">
      <c r="A40" s="37">
        <v>43374</v>
      </c>
      <c r="B40" s="18" t="s">
        <v>111</v>
      </c>
      <c r="C40" s="23" t="s">
        <v>16</v>
      </c>
      <c r="D40" s="67">
        <v>4230000</v>
      </c>
      <c r="E40" s="130">
        <v>10500000</v>
      </c>
      <c r="F40" s="23" t="s">
        <v>108</v>
      </c>
    </row>
    <row r="41" spans="1:6" x14ac:dyDescent="0.25">
      <c r="A41" s="37">
        <v>43374</v>
      </c>
      <c r="B41" s="18" t="s">
        <v>109</v>
      </c>
      <c r="C41" s="23" t="s">
        <v>16</v>
      </c>
      <c r="D41" s="67">
        <v>8550000</v>
      </c>
      <c r="E41" s="130">
        <v>10500000</v>
      </c>
      <c r="F41" s="23" t="s">
        <v>108</v>
      </c>
    </row>
    <row r="42" spans="1:6" x14ac:dyDescent="0.25">
      <c r="A42" s="37">
        <v>43374</v>
      </c>
      <c r="B42" s="18" t="s">
        <v>22</v>
      </c>
      <c r="C42" s="23" t="s">
        <v>17</v>
      </c>
      <c r="D42" s="67">
        <v>0</v>
      </c>
      <c r="E42" s="130">
        <v>13500000</v>
      </c>
      <c r="F42" s="23" t="s">
        <v>108</v>
      </c>
    </row>
    <row r="43" spans="1:6" x14ac:dyDescent="0.25">
      <c r="A43" s="37">
        <v>43405</v>
      </c>
      <c r="B43" s="28" t="s">
        <v>110</v>
      </c>
      <c r="C43" s="23" t="s">
        <v>4</v>
      </c>
      <c r="D43" s="149">
        <v>22270000</v>
      </c>
      <c r="E43" s="148">
        <v>30000000</v>
      </c>
      <c r="F43" s="23" t="s">
        <v>108</v>
      </c>
    </row>
    <row r="44" spans="1:6" x14ac:dyDescent="0.25">
      <c r="A44" s="37">
        <v>43405</v>
      </c>
      <c r="B44" s="18" t="s">
        <v>12</v>
      </c>
      <c r="C44" s="23" t="s">
        <v>16</v>
      </c>
      <c r="D44" s="67">
        <v>12200000</v>
      </c>
      <c r="E44" s="130">
        <v>10500000</v>
      </c>
      <c r="F44" s="23" t="s">
        <v>108</v>
      </c>
    </row>
    <row r="45" spans="1:6" x14ac:dyDescent="0.25">
      <c r="A45" s="37">
        <v>43405</v>
      </c>
      <c r="B45" s="18" t="s">
        <v>111</v>
      </c>
      <c r="C45" s="23" t="s">
        <v>16</v>
      </c>
      <c r="D45" s="67">
        <v>6550000</v>
      </c>
      <c r="E45" s="130">
        <v>10500000</v>
      </c>
      <c r="F45" s="23" t="s">
        <v>108</v>
      </c>
    </row>
    <row r="46" spans="1:6" x14ac:dyDescent="0.25">
      <c r="A46" s="37">
        <v>43405</v>
      </c>
      <c r="B46" s="18" t="s">
        <v>109</v>
      </c>
      <c r="C46" s="23" t="s">
        <v>16</v>
      </c>
      <c r="D46" s="67">
        <v>3520000</v>
      </c>
      <c r="E46" s="130">
        <v>10500000</v>
      </c>
      <c r="F46" s="23" t="s">
        <v>108</v>
      </c>
    </row>
    <row r="47" spans="1:6" x14ac:dyDescent="0.25">
      <c r="A47" s="37">
        <v>43405</v>
      </c>
      <c r="B47" s="18" t="s">
        <v>22</v>
      </c>
      <c r="C47" s="23" t="s">
        <v>17</v>
      </c>
      <c r="D47" s="67">
        <v>2900000</v>
      </c>
      <c r="E47" s="130">
        <v>13500000</v>
      </c>
      <c r="F47" s="23" t="s">
        <v>108</v>
      </c>
    </row>
    <row r="48" spans="1:6" x14ac:dyDescent="0.25">
      <c r="A48" s="37">
        <v>43435</v>
      </c>
      <c r="B48" s="28" t="s">
        <v>110</v>
      </c>
      <c r="C48" s="23" t="s">
        <v>4</v>
      </c>
      <c r="D48" s="147">
        <v>7800000</v>
      </c>
      <c r="E48" s="148">
        <v>30000000</v>
      </c>
      <c r="F48" s="23" t="s">
        <v>108</v>
      </c>
    </row>
    <row r="49" spans="1:6" x14ac:dyDescent="0.25">
      <c r="A49" s="37">
        <v>43435</v>
      </c>
      <c r="B49" s="18" t="s">
        <v>12</v>
      </c>
      <c r="C49" s="23" t="s">
        <v>16</v>
      </c>
      <c r="D49" s="67">
        <v>2200000</v>
      </c>
      <c r="E49" s="130">
        <v>10500000</v>
      </c>
      <c r="F49" s="23" t="s">
        <v>108</v>
      </c>
    </row>
    <row r="50" spans="1:6" x14ac:dyDescent="0.25">
      <c r="A50" s="37">
        <v>43435</v>
      </c>
      <c r="B50" s="18" t="s">
        <v>109</v>
      </c>
      <c r="C50" s="23" t="s">
        <v>16</v>
      </c>
      <c r="D50" s="67">
        <v>5600000</v>
      </c>
      <c r="E50" s="130">
        <v>10500000</v>
      </c>
      <c r="F50" s="23" t="s">
        <v>108</v>
      </c>
    </row>
    <row r="51" spans="1:6" x14ac:dyDescent="0.25">
      <c r="A51" s="37">
        <v>43435</v>
      </c>
      <c r="B51" s="18" t="s">
        <v>22</v>
      </c>
      <c r="C51" s="23" t="s">
        <v>17</v>
      </c>
      <c r="D51" s="67">
        <v>7800000</v>
      </c>
      <c r="E51" s="130">
        <v>13500000</v>
      </c>
      <c r="F51" s="23" t="s">
        <v>108</v>
      </c>
    </row>
    <row r="52" spans="1:6" x14ac:dyDescent="0.25">
      <c r="A52" s="37">
        <v>43466</v>
      </c>
      <c r="B52" s="20" t="s">
        <v>110</v>
      </c>
      <c r="C52" s="23" t="s">
        <v>4</v>
      </c>
      <c r="D52" s="66">
        <v>21975000</v>
      </c>
      <c r="E52" s="71">
        <v>30000000</v>
      </c>
      <c r="F52" s="23" t="s">
        <v>108</v>
      </c>
    </row>
    <row r="53" spans="1:6" x14ac:dyDescent="0.25">
      <c r="A53" s="37">
        <v>43466</v>
      </c>
      <c r="B53" s="18" t="s">
        <v>12</v>
      </c>
      <c r="C53" s="23" t="s">
        <v>16</v>
      </c>
      <c r="D53" s="66">
        <v>5350000</v>
      </c>
      <c r="E53" s="71">
        <v>8333333</v>
      </c>
      <c r="F53" s="23" t="s">
        <v>108</v>
      </c>
    </row>
    <row r="54" spans="1:6" x14ac:dyDescent="0.25">
      <c r="A54" s="37">
        <v>43466</v>
      </c>
      <c r="B54" s="18" t="s">
        <v>111</v>
      </c>
      <c r="C54" s="23" t="s">
        <v>16</v>
      </c>
      <c r="D54" s="63">
        <v>10645000</v>
      </c>
      <c r="E54" s="71">
        <v>5000000</v>
      </c>
      <c r="F54" s="23" t="s">
        <v>108</v>
      </c>
    </row>
    <row r="55" spans="1:6" x14ac:dyDescent="0.25">
      <c r="A55" s="37">
        <v>43466</v>
      </c>
      <c r="B55" s="18" t="s">
        <v>109</v>
      </c>
      <c r="C55" s="23" t="s">
        <v>16</v>
      </c>
      <c r="D55" s="66">
        <v>780000</v>
      </c>
      <c r="E55" s="71">
        <v>6666667</v>
      </c>
      <c r="F55" s="23" t="s">
        <v>108</v>
      </c>
    </row>
    <row r="56" spans="1:6" x14ac:dyDescent="0.25">
      <c r="A56" s="37">
        <v>43466</v>
      </c>
      <c r="B56" s="38" t="s">
        <v>112</v>
      </c>
      <c r="C56" s="23" t="s">
        <v>16</v>
      </c>
      <c r="D56" s="129">
        <v>5200000</v>
      </c>
      <c r="E56" s="71">
        <v>5000000</v>
      </c>
      <c r="F56" s="23" t="s">
        <v>108</v>
      </c>
    </row>
    <row r="57" spans="1:6" x14ac:dyDescent="0.25">
      <c r="A57" s="37">
        <v>43466</v>
      </c>
      <c r="B57" s="18" t="s">
        <v>22</v>
      </c>
      <c r="C57" s="23" t="s">
        <v>17</v>
      </c>
      <c r="D57" s="69">
        <v>17975000</v>
      </c>
      <c r="E57" s="72">
        <v>12500000</v>
      </c>
      <c r="F57" s="23" t="s">
        <v>108</v>
      </c>
    </row>
    <row r="58" spans="1:6" x14ac:dyDescent="0.25">
      <c r="A58" s="37">
        <v>43466</v>
      </c>
      <c r="B58" s="18" t="s">
        <v>113</v>
      </c>
      <c r="C58" s="23" t="s">
        <v>17</v>
      </c>
      <c r="D58" s="80">
        <v>4000000</v>
      </c>
      <c r="E58" s="74">
        <v>12500000</v>
      </c>
      <c r="F58" s="23" t="s">
        <v>108</v>
      </c>
    </row>
    <row r="59" spans="1:6" x14ac:dyDescent="0.25">
      <c r="A59" s="37">
        <v>43497</v>
      </c>
      <c r="B59" s="20" t="s">
        <v>110</v>
      </c>
      <c r="C59" s="23" t="s">
        <v>4</v>
      </c>
      <c r="D59" s="66">
        <v>16670000</v>
      </c>
      <c r="E59" s="71">
        <v>30000000</v>
      </c>
      <c r="F59" s="23" t="s">
        <v>108</v>
      </c>
    </row>
    <row r="60" spans="1:6" x14ac:dyDescent="0.25">
      <c r="A60" s="37">
        <v>43497</v>
      </c>
      <c r="B60" s="18" t="s">
        <v>111</v>
      </c>
      <c r="C60" s="23" t="s">
        <v>16</v>
      </c>
      <c r="D60" s="63">
        <v>6770000</v>
      </c>
      <c r="E60" s="71">
        <v>5000000</v>
      </c>
      <c r="F60" s="23" t="s">
        <v>108</v>
      </c>
    </row>
    <row r="61" spans="1:6" x14ac:dyDescent="0.25">
      <c r="A61" s="37">
        <v>43497</v>
      </c>
      <c r="B61" s="18" t="s">
        <v>109</v>
      </c>
      <c r="C61" s="23" t="s">
        <v>16</v>
      </c>
      <c r="D61" s="63">
        <v>6770000</v>
      </c>
      <c r="E61" s="71">
        <v>6666667</v>
      </c>
      <c r="F61" s="23" t="s">
        <v>108</v>
      </c>
    </row>
    <row r="62" spans="1:6" x14ac:dyDescent="0.25">
      <c r="A62" s="37">
        <v>43497</v>
      </c>
      <c r="B62" s="38" t="s">
        <v>114</v>
      </c>
      <c r="C62" s="23" t="s">
        <v>16</v>
      </c>
      <c r="D62" s="129">
        <v>6600000</v>
      </c>
      <c r="E62" s="71">
        <v>5000000</v>
      </c>
      <c r="F62" s="23" t="s">
        <v>108</v>
      </c>
    </row>
    <row r="63" spans="1:6" x14ac:dyDescent="0.25">
      <c r="A63" s="37">
        <v>43497</v>
      </c>
      <c r="B63" s="38" t="s">
        <v>112</v>
      </c>
      <c r="C63" s="23" t="s">
        <v>16</v>
      </c>
      <c r="D63" s="150">
        <v>3300000</v>
      </c>
      <c r="E63" s="71">
        <v>5000000</v>
      </c>
      <c r="F63" s="23" t="s">
        <v>108</v>
      </c>
    </row>
    <row r="64" spans="1:6" x14ac:dyDescent="0.25">
      <c r="A64" s="37">
        <v>43497</v>
      </c>
      <c r="B64" s="18" t="s">
        <v>22</v>
      </c>
      <c r="C64" s="23" t="s">
        <v>17</v>
      </c>
      <c r="D64" s="79">
        <v>7970000</v>
      </c>
      <c r="E64" s="72">
        <v>12500000</v>
      </c>
      <c r="F64" s="23" t="s">
        <v>108</v>
      </c>
    </row>
    <row r="65" spans="1:6" x14ac:dyDescent="0.25">
      <c r="A65" s="37">
        <v>43497</v>
      </c>
      <c r="B65" s="18" t="s">
        <v>113</v>
      </c>
      <c r="C65" s="23" t="s">
        <v>17</v>
      </c>
      <c r="D65" s="80">
        <v>8700000</v>
      </c>
      <c r="E65" s="74">
        <v>12500000</v>
      </c>
      <c r="F65" s="23" t="s">
        <v>108</v>
      </c>
    </row>
    <row r="66" spans="1:6" x14ac:dyDescent="0.25">
      <c r="A66" s="37">
        <v>43525</v>
      </c>
      <c r="B66" s="20" t="s">
        <v>110</v>
      </c>
      <c r="C66" s="23" t="s">
        <v>4</v>
      </c>
      <c r="D66" s="66">
        <v>27420000</v>
      </c>
      <c r="E66" s="71">
        <v>30000000</v>
      </c>
      <c r="F66" s="23" t="s">
        <v>108</v>
      </c>
    </row>
    <row r="67" spans="1:6" x14ac:dyDescent="0.25">
      <c r="A67" s="37">
        <v>43525</v>
      </c>
      <c r="B67" s="18" t="s">
        <v>111</v>
      </c>
      <c r="C67" s="23" t="s">
        <v>16</v>
      </c>
      <c r="D67" s="63">
        <v>9820000</v>
      </c>
      <c r="E67" s="71">
        <v>5000000</v>
      </c>
      <c r="F67" s="23" t="s">
        <v>108</v>
      </c>
    </row>
    <row r="68" spans="1:6" x14ac:dyDescent="0.25">
      <c r="A68" s="37">
        <v>43525</v>
      </c>
      <c r="B68" s="18" t="s">
        <v>109</v>
      </c>
      <c r="C68" s="23" t="s">
        <v>16</v>
      </c>
      <c r="D68" s="66">
        <v>3800000</v>
      </c>
      <c r="E68" s="71">
        <v>6666667</v>
      </c>
      <c r="F68" s="23" t="s">
        <v>108</v>
      </c>
    </row>
    <row r="69" spans="1:6" x14ac:dyDescent="0.25">
      <c r="A69" s="37">
        <v>43525</v>
      </c>
      <c r="B69" s="38" t="s">
        <v>114</v>
      </c>
      <c r="C69" s="23" t="s">
        <v>16</v>
      </c>
      <c r="D69" s="129">
        <v>7300000</v>
      </c>
      <c r="E69" s="71">
        <v>5000000</v>
      </c>
      <c r="F69" s="23" t="s">
        <v>108</v>
      </c>
    </row>
    <row r="70" spans="1:6" x14ac:dyDescent="0.25">
      <c r="A70" s="37">
        <v>43525</v>
      </c>
      <c r="B70" s="38" t="s">
        <v>112</v>
      </c>
      <c r="C70" s="23" t="s">
        <v>16</v>
      </c>
      <c r="D70" s="129">
        <v>2800000</v>
      </c>
      <c r="E70" s="71">
        <v>5000000</v>
      </c>
      <c r="F70" s="23" t="s">
        <v>108</v>
      </c>
    </row>
    <row r="71" spans="1:6" x14ac:dyDescent="0.25">
      <c r="A71" s="37">
        <v>43525</v>
      </c>
      <c r="B71" s="38" t="s">
        <v>115</v>
      </c>
      <c r="C71" s="23" t="s">
        <v>16</v>
      </c>
      <c r="D71" s="129">
        <v>3700000</v>
      </c>
      <c r="E71" s="71">
        <v>5000000</v>
      </c>
      <c r="F71" s="23" t="s">
        <v>108</v>
      </c>
    </row>
    <row r="72" spans="1:6" x14ac:dyDescent="0.25">
      <c r="A72" s="37">
        <v>43525</v>
      </c>
      <c r="B72" s="18" t="s">
        <v>22</v>
      </c>
      <c r="C72" s="23" t="s">
        <v>17</v>
      </c>
      <c r="D72" s="69">
        <v>20190000</v>
      </c>
      <c r="E72" s="72">
        <v>12500000</v>
      </c>
      <c r="F72" s="23" t="s">
        <v>108</v>
      </c>
    </row>
    <row r="73" spans="1:6" x14ac:dyDescent="0.25">
      <c r="A73" s="37">
        <v>43525</v>
      </c>
      <c r="B73" s="18" t="s">
        <v>113</v>
      </c>
      <c r="C73" s="23" t="s">
        <v>17</v>
      </c>
      <c r="D73" s="73">
        <v>8600000</v>
      </c>
      <c r="E73" s="74">
        <v>12500000</v>
      </c>
      <c r="F73" s="23" t="s">
        <v>108</v>
      </c>
    </row>
    <row r="74" spans="1:6" x14ac:dyDescent="0.25">
      <c r="A74" s="37">
        <v>43525</v>
      </c>
      <c r="B74" s="31" t="s">
        <v>122</v>
      </c>
      <c r="C74" s="23" t="s">
        <v>17</v>
      </c>
      <c r="D74" s="66">
        <v>2400000</v>
      </c>
      <c r="E74" s="71">
        <v>15833000</v>
      </c>
      <c r="F74" s="23" t="s">
        <v>108</v>
      </c>
    </row>
    <row r="75" spans="1:6" x14ac:dyDescent="0.25">
      <c r="A75" s="37">
        <v>43556</v>
      </c>
      <c r="B75" s="20" t="s">
        <v>110</v>
      </c>
      <c r="C75" s="23" t="s">
        <v>4</v>
      </c>
      <c r="D75" s="63">
        <v>32816000</v>
      </c>
      <c r="E75" s="71">
        <v>30000000</v>
      </c>
      <c r="F75" s="23" t="s">
        <v>108</v>
      </c>
    </row>
    <row r="76" spans="1:6" x14ac:dyDescent="0.25">
      <c r="A76" s="37">
        <v>43556</v>
      </c>
      <c r="B76" s="18" t="s">
        <v>111</v>
      </c>
      <c r="C76" s="23" t="s">
        <v>16</v>
      </c>
      <c r="D76" s="63">
        <v>6350000</v>
      </c>
      <c r="E76" s="71">
        <v>5000000</v>
      </c>
      <c r="F76" s="23" t="s">
        <v>108</v>
      </c>
    </row>
    <row r="77" spans="1:6" x14ac:dyDescent="0.25">
      <c r="A77" s="37">
        <v>43556</v>
      </c>
      <c r="B77" s="18" t="s">
        <v>109</v>
      </c>
      <c r="C77" s="23" t="s">
        <v>16</v>
      </c>
      <c r="D77" s="63">
        <v>6700000</v>
      </c>
      <c r="E77" s="71">
        <v>6666667</v>
      </c>
      <c r="F77" s="23" t="s">
        <v>108</v>
      </c>
    </row>
    <row r="78" spans="1:6" x14ac:dyDescent="0.25">
      <c r="A78" s="37">
        <v>43556</v>
      </c>
      <c r="B78" s="38" t="s">
        <v>114</v>
      </c>
      <c r="C78" s="23" t="s">
        <v>16</v>
      </c>
      <c r="D78" s="63">
        <v>15900000</v>
      </c>
      <c r="E78" s="71">
        <v>5000000</v>
      </c>
      <c r="F78" s="23" t="s">
        <v>108</v>
      </c>
    </row>
    <row r="79" spans="1:6" x14ac:dyDescent="0.25">
      <c r="A79" s="37">
        <v>43556</v>
      </c>
      <c r="B79" s="38" t="s">
        <v>112</v>
      </c>
      <c r="C79" s="23" t="s">
        <v>16</v>
      </c>
      <c r="D79" s="66">
        <v>3866600</v>
      </c>
      <c r="E79" s="71">
        <v>5000000</v>
      </c>
      <c r="F79" s="23" t="s">
        <v>108</v>
      </c>
    </row>
    <row r="80" spans="1:6" x14ac:dyDescent="0.25">
      <c r="A80" s="37">
        <v>43556</v>
      </c>
      <c r="B80" s="18" t="s">
        <v>22</v>
      </c>
      <c r="C80" s="23" t="s">
        <v>17</v>
      </c>
      <c r="D80" s="63">
        <v>19850000</v>
      </c>
      <c r="E80" s="72">
        <v>12500000</v>
      </c>
      <c r="F80" s="23" t="s">
        <v>108</v>
      </c>
    </row>
    <row r="81" spans="1:6" x14ac:dyDescent="0.25">
      <c r="A81" s="37">
        <v>43556</v>
      </c>
      <c r="B81" s="18" t="s">
        <v>113</v>
      </c>
      <c r="C81" s="23" t="s">
        <v>17</v>
      </c>
      <c r="D81" s="85">
        <v>12986600</v>
      </c>
      <c r="E81" s="74">
        <v>12500000</v>
      </c>
      <c r="F81" s="23" t="s">
        <v>108</v>
      </c>
    </row>
    <row r="82" spans="1:6" x14ac:dyDescent="0.25">
      <c r="A82" s="37">
        <v>43556</v>
      </c>
      <c r="B82" s="31" t="s">
        <v>122</v>
      </c>
      <c r="C82" s="23" t="s">
        <v>17</v>
      </c>
      <c r="D82" s="102">
        <v>7050000</v>
      </c>
      <c r="E82" s="71">
        <v>15833000</v>
      </c>
      <c r="F82" s="23" t="s">
        <v>108</v>
      </c>
    </row>
    <row r="83" spans="1:6" x14ac:dyDescent="0.25">
      <c r="A83" s="37">
        <v>43586</v>
      </c>
      <c r="B83" s="20" t="s">
        <v>110</v>
      </c>
      <c r="C83" s="23" t="s">
        <v>4</v>
      </c>
      <c r="D83" s="66">
        <v>14100000</v>
      </c>
      <c r="E83" s="71">
        <v>30000000</v>
      </c>
      <c r="F83" s="23" t="s">
        <v>108</v>
      </c>
    </row>
    <row r="84" spans="1:6" x14ac:dyDescent="0.25">
      <c r="A84" s="37">
        <v>43586</v>
      </c>
      <c r="B84" s="18" t="s">
        <v>12</v>
      </c>
      <c r="C84" s="23" t="s">
        <v>16</v>
      </c>
      <c r="D84" s="66">
        <v>5900000</v>
      </c>
      <c r="E84" s="71">
        <v>8333333</v>
      </c>
      <c r="F84" s="23" t="s">
        <v>108</v>
      </c>
    </row>
    <row r="85" spans="1:6" x14ac:dyDescent="0.25">
      <c r="A85" s="37">
        <v>43586</v>
      </c>
      <c r="B85" s="18" t="s">
        <v>111</v>
      </c>
      <c r="C85" s="23" t="s">
        <v>16</v>
      </c>
      <c r="D85" s="66">
        <v>3650000</v>
      </c>
      <c r="E85" s="71">
        <v>5000000</v>
      </c>
      <c r="F85" s="23" t="s">
        <v>108</v>
      </c>
    </row>
    <row r="86" spans="1:6" x14ac:dyDescent="0.25">
      <c r="A86" s="37">
        <v>43586</v>
      </c>
      <c r="B86" s="18" t="s">
        <v>109</v>
      </c>
      <c r="C86" s="23" t="s">
        <v>16</v>
      </c>
      <c r="D86" s="66">
        <v>5900000</v>
      </c>
      <c r="E86" s="71">
        <v>6666667</v>
      </c>
      <c r="F86" s="23" t="s">
        <v>108</v>
      </c>
    </row>
    <row r="87" spans="1:6" x14ac:dyDescent="0.25">
      <c r="A87" s="37">
        <v>43586</v>
      </c>
      <c r="B87" s="38" t="s">
        <v>114</v>
      </c>
      <c r="C87" s="23" t="s">
        <v>16</v>
      </c>
      <c r="D87" s="150">
        <v>4700000</v>
      </c>
      <c r="E87" s="71">
        <v>5000000</v>
      </c>
      <c r="F87" s="23" t="s">
        <v>108</v>
      </c>
    </row>
    <row r="88" spans="1:6" x14ac:dyDescent="0.25">
      <c r="A88" s="37">
        <v>43586</v>
      </c>
      <c r="B88" s="18" t="s">
        <v>22</v>
      </c>
      <c r="C88" s="23" t="s">
        <v>17</v>
      </c>
      <c r="D88" s="83">
        <v>7550000</v>
      </c>
      <c r="E88" s="72">
        <v>12500000</v>
      </c>
      <c r="F88" s="23" t="s">
        <v>108</v>
      </c>
    </row>
    <row r="89" spans="1:6" x14ac:dyDescent="0.25">
      <c r="A89" s="37">
        <v>43586</v>
      </c>
      <c r="B89" s="18" t="s">
        <v>113</v>
      </c>
      <c r="C89" s="23" t="s">
        <v>17</v>
      </c>
      <c r="D89" s="66">
        <v>6550000</v>
      </c>
      <c r="E89" s="74">
        <v>12500000</v>
      </c>
      <c r="F89" s="23" t="s">
        <v>108</v>
      </c>
    </row>
    <row r="90" spans="1:6" x14ac:dyDescent="0.25">
      <c r="A90" s="37">
        <v>43586</v>
      </c>
      <c r="B90" s="31" t="s">
        <v>122</v>
      </c>
      <c r="C90" s="23" t="s">
        <v>17</v>
      </c>
      <c r="D90" s="63">
        <v>9800000</v>
      </c>
      <c r="E90" s="71">
        <v>15833000</v>
      </c>
      <c r="F90" s="23" t="s">
        <v>108</v>
      </c>
    </row>
    <row r="91" spans="1:6" x14ac:dyDescent="0.25">
      <c r="A91" s="37">
        <v>43617</v>
      </c>
      <c r="B91" s="20" t="s">
        <v>110</v>
      </c>
      <c r="C91" s="23" t="s">
        <v>4</v>
      </c>
      <c r="D91" s="66">
        <v>26900000</v>
      </c>
      <c r="E91" s="71">
        <v>30000000</v>
      </c>
      <c r="F91" s="23" t="s">
        <v>108</v>
      </c>
    </row>
    <row r="92" spans="1:6" x14ac:dyDescent="0.25">
      <c r="A92" s="37">
        <v>43617</v>
      </c>
      <c r="B92" s="18" t="s">
        <v>111</v>
      </c>
      <c r="C92" s="23" t="s">
        <v>16</v>
      </c>
      <c r="D92" s="63">
        <v>14550000</v>
      </c>
      <c r="E92" s="71">
        <v>5000000</v>
      </c>
      <c r="F92" s="23" t="s">
        <v>108</v>
      </c>
    </row>
    <row r="93" spans="1:6" x14ac:dyDescent="0.25">
      <c r="A93" s="37">
        <v>43617</v>
      </c>
      <c r="B93" s="18" t="s">
        <v>109</v>
      </c>
      <c r="C93" s="23" t="s">
        <v>16</v>
      </c>
      <c r="D93" s="63">
        <v>10900000</v>
      </c>
      <c r="E93" s="71">
        <v>6666667</v>
      </c>
      <c r="F93" s="23" t="s">
        <v>108</v>
      </c>
    </row>
    <row r="94" spans="1:6" x14ac:dyDescent="0.25">
      <c r="A94" s="37">
        <v>43617</v>
      </c>
      <c r="B94" s="18" t="s">
        <v>22</v>
      </c>
      <c r="C94" s="23" t="s">
        <v>17</v>
      </c>
      <c r="D94" s="81">
        <v>19850000</v>
      </c>
      <c r="E94" s="72">
        <v>12500000</v>
      </c>
      <c r="F94" s="23" t="s">
        <v>108</v>
      </c>
    </row>
    <row r="95" spans="1:6" x14ac:dyDescent="0.25">
      <c r="A95" s="37">
        <v>43617</v>
      </c>
      <c r="B95" s="31" t="s">
        <v>122</v>
      </c>
      <c r="C95" s="23" t="s">
        <v>17</v>
      </c>
      <c r="D95" s="63">
        <v>6400000</v>
      </c>
      <c r="E95" s="71">
        <v>15833000</v>
      </c>
      <c r="F95" s="23" t="s">
        <v>108</v>
      </c>
    </row>
    <row r="96" spans="1:6" x14ac:dyDescent="0.25">
      <c r="A96" s="37">
        <v>43647</v>
      </c>
      <c r="B96" s="20" t="s">
        <v>110</v>
      </c>
      <c r="C96" s="23" t="s">
        <v>4</v>
      </c>
      <c r="D96" s="66">
        <v>9100000</v>
      </c>
      <c r="E96" s="71">
        <v>30000000</v>
      </c>
      <c r="F96" s="23" t="s">
        <v>108</v>
      </c>
    </row>
    <row r="97" spans="1:6" x14ac:dyDescent="0.25">
      <c r="A97" s="37">
        <v>43647</v>
      </c>
      <c r="B97" s="18" t="s">
        <v>111</v>
      </c>
      <c r="C97" s="23" t="s">
        <v>16</v>
      </c>
      <c r="D97" s="63">
        <v>5600000</v>
      </c>
      <c r="E97" s="71">
        <v>5000000</v>
      </c>
      <c r="F97" s="23" t="s">
        <v>108</v>
      </c>
    </row>
    <row r="98" spans="1:6" x14ac:dyDescent="0.25">
      <c r="A98" s="37">
        <v>43647</v>
      </c>
      <c r="B98" s="18" t="s">
        <v>109</v>
      </c>
      <c r="C98" s="23" t="s">
        <v>16</v>
      </c>
      <c r="D98" s="66">
        <v>3500000</v>
      </c>
      <c r="E98" s="71">
        <v>6666667</v>
      </c>
      <c r="F98" s="23" t="s">
        <v>108</v>
      </c>
    </row>
    <row r="99" spans="1:6" x14ac:dyDescent="0.25">
      <c r="A99" s="37">
        <v>43647</v>
      </c>
      <c r="B99" s="18" t="s">
        <v>22</v>
      </c>
      <c r="C99" s="23" t="s">
        <v>17</v>
      </c>
      <c r="D99" s="151">
        <v>11620000</v>
      </c>
      <c r="E99" s="72">
        <v>12500000</v>
      </c>
      <c r="F99" s="23" t="s">
        <v>108</v>
      </c>
    </row>
    <row r="100" spans="1:6" x14ac:dyDescent="0.25">
      <c r="A100" s="37">
        <v>43678</v>
      </c>
      <c r="B100" s="20" t="s">
        <v>110</v>
      </c>
      <c r="C100" s="23" t="s">
        <v>4</v>
      </c>
      <c r="D100" s="66">
        <v>18960000</v>
      </c>
      <c r="E100" s="71">
        <v>30000000</v>
      </c>
      <c r="F100" s="23" t="s">
        <v>108</v>
      </c>
    </row>
    <row r="101" spans="1:6" x14ac:dyDescent="0.25">
      <c r="A101" s="37">
        <v>43678</v>
      </c>
      <c r="B101" s="18" t="s">
        <v>111</v>
      </c>
      <c r="C101" s="23" t="s">
        <v>16</v>
      </c>
      <c r="D101" s="63">
        <v>8990000</v>
      </c>
      <c r="E101" s="71">
        <v>5000000</v>
      </c>
      <c r="F101" s="23" t="s">
        <v>108</v>
      </c>
    </row>
    <row r="102" spans="1:6" x14ac:dyDescent="0.25">
      <c r="A102" s="37">
        <v>43678</v>
      </c>
      <c r="B102" s="18" t="s">
        <v>109</v>
      </c>
      <c r="C102" s="23" t="s">
        <v>16</v>
      </c>
      <c r="D102" s="63">
        <v>10060000</v>
      </c>
      <c r="E102" s="71">
        <v>6666667</v>
      </c>
      <c r="F102" s="23" t="s">
        <v>108</v>
      </c>
    </row>
    <row r="103" spans="1:6" x14ac:dyDescent="0.25">
      <c r="A103" s="37">
        <v>43709</v>
      </c>
      <c r="B103" s="20" t="s">
        <v>110</v>
      </c>
      <c r="C103" s="23" t="s">
        <v>4</v>
      </c>
      <c r="D103" s="63">
        <v>20235000</v>
      </c>
      <c r="E103" s="71">
        <v>30000000</v>
      </c>
      <c r="F103" s="23" t="s">
        <v>108</v>
      </c>
    </row>
    <row r="104" spans="1:6" x14ac:dyDescent="0.25">
      <c r="A104" s="37">
        <v>43709</v>
      </c>
      <c r="B104" s="18" t="s">
        <v>111</v>
      </c>
      <c r="C104" s="23" t="s">
        <v>16</v>
      </c>
      <c r="D104" s="63">
        <v>10410000</v>
      </c>
      <c r="E104" s="71">
        <v>5000000</v>
      </c>
      <c r="F104" s="23" t="s">
        <v>108</v>
      </c>
    </row>
    <row r="105" spans="1:6" x14ac:dyDescent="0.25">
      <c r="A105" s="37">
        <v>43709</v>
      </c>
      <c r="B105" s="18" t="s">
        <v>109</v>
      </c>
      <c r="C105" s="23" t="s">
        <v>16</v>
      </c>
      <c r="D105" s="63">
        <v>8625000</v>
      </c>
      <c r="E105" s="71">
        <v>6666667</v>
      </c>
      <c r="F105" s="23" t="s">
        <v>108</v>
      </c>
    </row>
    <row r="106" spans="1:6" x14ac:dyDescent="0.25">
      <c r="A106" s="37">
        <v>43739</v>
      </c>
      <c r="B106" s="20" t="s">
        <v>110</v>
      </c>
      <c r="C106" s="23" t="s">
        <v>4</v>
      </c>
      <c r="D106" s="63">
        <v>13600000</v>
      </c>
      <c r="E106" s="71">
        <v>30000000</v>
      </c>
      <c r="F106" s="23" t="s">
        <v>108</v>
      </c>
    </row>
    <row r="107" spans="1:6" x14ac:dyDescent="0.25">
      <c r="A107" s="37">
        <v>43739</v>
      </c>
      <c r="B107" s="18" t="s">
        <v>111</v>
      </c>
      <c r="C107" s="23" t="s">
        <v>16</v>
      </c>
      <c r="D107" s="63">
        <v>7150000</v>
      </c>
      <c r="E107" s="71">
        <v>5000000</v>
      </c>
      <c r="F107" s="23" t="s">
        <v>108</v>
      </c>
    </row>
    <row r="108" spans="1:6" x14ac:dyDescent="0.25">
      <c r="A108" s="37">
        <v>43739</v>
      </c>
      <c r="B108" s="18" t="s">
        <v>109</v>
      </c>
      <c r="C108" s="23" t="s">
        <v>16</v>
      </c>
      <c r="D108" s="63">
        <v>3650000</v>
      </c>
      <c r="E108" s="71">
        <v>6666667</v>
      </c>
      <c r="F108" s="23" t="s">
        <v>108</v>
      </c>
    </row>
    <row r="109" spans="1:6" x14ac:dyDescent="0.25">
      <c r="A109" s="37">
        <v>43739</v>
      </c>
      <c r="B109" s="22" t="s">
        <v>116</v>
      </c>
      <c r="C109" s="23" t="s">
        <v>17</v>
      </c>
      <c r="D109" s="122">
        <v>1450000</v>
      </c>
      <c r="E109" s="74">
        <v>12500000</v>
      </c>
      <c r="F109" s="23" t="s">
        <v>108</v>
      </c>
    </row>
    <row r="110" spans="1:6" x14ac:dyDescent="0.25">
      <c r="A110" s="37">
        <v>43739</v>
      </c>
      <c r="B110" s="31" t="s">
        <v>122</v>
      </c>
      <c r="C110" s="23" t="s">
        <v>17</v>
      </c>
      <c r="D110" s="63">
        <v>12150000</v>
      </c>
      <c r="E110" s="71">
        <v>15833000</v>
      </c>
      <c r="F110" s="23" t="s">
        <v>108</v>
      </c>
    </row>
    <row r="111" spans="1:6" x14ac:dyDescent="0.25">
      <c r="A111" s="37">
        <v>43770</v>
      </c>
      <c r="B111" s="20" t="s">
        <v>110</v>
      </c>
      <c r="C111" s="23" t="s">
        <v>4</v>
      </c>
      <c r="D111" s="63">
        <v>13900000</v>
      </c>
      <c r="E111" s="71">
        <v>30000000</v>
      </c>
      <c r="F111" s="23" t="s">
        <v>108</v>
      </c>
    </row>
    <row r="112" spans="1:6" x14ac:dyDescent="0.25">
      <c r="A112" s="37">
        <v>43770</v>
      </c>
      <c r="B112" s="18" t="s">
        <v>111</v>
      </c>
      <c r="C112" s="23" t="s">
        <v>16</v>
      </c>
      <c r="D112" s="63">
        <v>9200000</v>
      </c>
      <c r="E112" s="71">
        <v>5000000</v>
      </c>
      <c r="F112" s="23" t="s">
        <v>108</v>
      </c>
    </row>
    <row r="113" spans="1:6" x14ac:dyDescent="0.25">
      <c r="A113" s="37">
        <v>43770</v>
      </c>
      <c r="B113" s="18" t="s">
        <v>109</v>
      </c>
      <c r="C113" s="23" t="s">
        <v>16</v>
      </c>
      <c r="D113" s="63">
        <v>3600000</v>
      </c>
      <c r="E113" s="71">
        <v>6666667</v>
      </c>
      <c r="F113" s="23" t="s">
        <v>108</v>
      </c>
    </row>
    <row r="114" spans="1:6" x14ac:dyDescent="0.25">
      <c r="A114" s="37">
        <v>43770</v>
      </c>
      <c r="B114" s="22" t="s">
        <v>116</v>
      </c>
      <c r="C114" s="23" t="s">
        <v>17</v>
      </c>
      <c r="D114" s="122">
        <v>9550000</v>
      </c>
      <c r="E114" s="74">
        <v>12500000</v>
      </c>
      <c r="F114" s="23" t="s">
        <v>108</v>
      </c>
    </row>
    <row r="115" spans="1:6" x14ac:dyDescent="0.25">
      <c r="A115" s="37">
        <v>43770</v>
      </c>
      <c r="B115" s="31" t="s">
        <v>122</v>
      </c>
      <c r="C115" s="23" t="s">
        <v>17</v>
      </c>
      <c r="D115" s="63">
        <v>4350000</v>
      </c>
      <c r="E115" s="71">
        <v>15833000</v>
      </c>
      <c r="F115" s="23" t="s">
        <v>108</v>
      </c>
    </row>
    <row r="116" spans="1:6" x14ac:dyDescent="0.25">
      <c r="A116" s="37">
        <v>43800</v>
      </c>
      <c r="B116" s="20" t="s">
        <v>110</v>
      </c>
      <c r="C116" s="23" t="s">
        <v>4</v>
      </c>
      <c r="D116" s="63">
        <v>10118908</v>
      </c>
      <c r="E116" s="71">
        <v>30000000</v>
      </c>
      <c r="F116" s="23" t="s">
        <v>108</v>
      </c>
    </row>
    <row r="117" spans="1:6" x14ac:dyDescent="0.25">
      <c r="A117" s="37">
        <v>43800</v>
      </c>
      <c r="B117" s="18" t="s">
        <v>111</v>
      </c>
      <c r="C117" s="23" t="s">
        <v>16</v>
      </c>
      <c r="D117" s="63">
        <v>9618908</v>
      </c>
      <c r="E117" s="71">
        <v>5000000</v>
      </c>
      <c r="F117" s="23" t="s">
        <v>108</v>
      </c>
    </row>
    <row r="118" spans="1:6" x14ac:dyDescent="0.25">
      <c r="A118" s="37">
        <v>43800</v>
      </c>
      <c r="B118" s="22" t="s">
        <v>116</v>
      </c>
      <c r="C118" s="23" t="s">
        <v>17</v>
      </c>
      <c r="D118" s="122">
        <v>5918908</v>
      </c>
      <c r="E118" s="74">
        <v>12500000</v>
      </c>
      <c r="F118" s="23" t="s">
        <v>108</v>
      </c>
    </row>
    <row r="119" spans="1:6" x14ac:dyDescent="0.25">
      <c r="A119" s="37">
        <v>43800</v>
      </c>
      <c r="B119" s="31" t="s">
        <v>122</v>
      </c>
      <c r="C119" s="23" t="s">
        <v>17</v>
      </c>
      <c r="D119" s="63">
        <v>4200000</v>
      </c>
      <c r="E119" s="89">
        <v>15833000</v>
      </c>
      <c r="F119" s="23" t="s">
        <v>108</v>
      </c>
    </row>
    <row r="120" spans="1:6" x14ac:dyDescent="0.25">
      <c r="A120" s="37">
        <v>43831</v>
      </c>
      <c r="B120" s="23" t="s">
        <v>117</v>
      </c>
      <c r="C120" s="23" t="s">
        <v>4</v>
      </c>
      <c r="D120" s="102">
        <v>15030000</v>
      </c>
      <c r="E120" s="88">
        <v>30000000</v>
      </c>
      <c r="F120" s="23" t="s">
        <v>108</v>
      </c>
    </row>
    <row r="121" spans="1:6" x14ac:dyDescent="0.25">
      <c r="A121" s="37">
        <v>43831</v>
      </c>
      <c r="B121" s="18" t="s">
        <v>118</v>
      </c>
      <c r="C121" s="23" t="s">
        <v>16</v>
      </c>
      <c r="D121" s="90">
        <v>11250000</v>
      </c>
      <c r="E121" s="88">
        <v>10200000</v>
      </c>
      <c r="F121" s="23" t="s">
        <v>108</v>
      </c>
    </row>
    <row r="122" spans="1:6" x14ac:dyDescent="0.25">
      <c r="A122" s="37">
        <v>43831</v>
      </c>
      <c r="B122" s="18" t="s">
        <v>119</v>
      </c>
      <c r="C122" s="23" t="s">
        <v>16</v>
      </c>
      <c r="D122" s="137">
        <v>3780000</v>
      </c>
      <c r="E122" s="152">
        <v>10200000</v>
      </c>
      <c r="F122" s="23" t="s">
        <v>108</v>
      </c>
    </row>
    <row r="123" spans="1:6" x14ac:dyDescent="0.25">
      <c r="A123" s="37">
        <v>43831</v>
      </c>
      <c r="B123" s="29" t="s">
        <v>122</v>
      </c>
      <c r="C123" s="23" t="s">
        <v>17</v>
      </c>
      <c r="D123" s="106">
        <v>9180000</v>
      </c>
      <c r="E123" s="88">
        <v>15000000</v>
      </c>
      <c r="F123" s="23" t="s">
        <v>108</v>
      </c>
    </row>
    <row r="124" spans="1:6" x14ac:dyDescent="0.25">
      <c r="A124" s="37">
        <v>43831</v>
      </c>
      <c r="B124" s="29" t="s">
        <v>120</v>
      </c>
      <c r="C124" s="23" t="s">
        <v>17</v>
      </c>
      <c r="D124" s="102">
        <v>9900000</v>
      </c>
      <c r="E124" s="88">
        <v>15000000</v>
      </c>
      <c r="F124" s="23" t="s">
        <v>108</v>
      </c>
    </row>
    <row r="125" spans="1:6" x14ac:dyDescent="0.25">
      <c r="A125" s="37">
        <v>43862</v>
      </c>
      <c r="B125" s="20" t="s">
        <v>117</v>
      </c>
      <c r="C125" s="23" t="s">
        <v>4</v>
      </c>
      <c r="D125" s="102">
        <v>16350000</v>
      </c>
      <c r="E125" s="88">
        <v>30000000</v>
      </c>
      <c r="F125" s="23" t="s">
        <v>108</v>
      </c>
    </row>
    <row r="126" spans="1:6" x14ac:dyDescent="0.25">
      <c r="A126" s="37">
        <v>43862</v>
      </c>
      <c r="B126" s="18" t="s">
        <v>118</v>
      </c>
      <c r="C126" s="23" t="s">
        <v>16</v>
      </c>
      <c r="D126" s="102">
        <v>6900000</v>
      </c>
      <c r="E126" s="88">
        <v>10200000</v>
      </c>
      <c r="F126" s="23" t="s">
        <v>108</v>
      </c>
    </row>
    <row r="127" spans="1:6" x14ac:dyDescent="0.25">
      <c r="A127" s="37">
        <v>43862</v>
      </c>
      <c r="B127" s="18" t="s">
        <v>75</v>
      </c>
      <c r="C127" s="23" t="s">
        <v>16</v>
      </c>
      <c r="D127" s="102">
        <v>2200000</v>
      </c>
      <c r="E127" s="88">
        <v>10200000</v>
      </c>
      <c r="F127" s="23" t="s">
        <v>108</v>
      </c>
    </row>
    <row r="128" spans="1:6" x14ac:dyDescent="0.25">
      <c r="A128" s="37">
        <v>43862</v>
      </c>
      <c r="B128" s="18" t="s">
        <v>119</v>
      </c>
      <c r="C128" s="23" t="s">
        <v>16</v>
      </c>
      <c r="D128" s="102">
        <v>5500000</v>
      </c>
      <c r="E128" s="152">
        <v>10200000</v>
      </c>
      <c r="F128" s="23" t="s">
        <v>108</v>
      </c>
    </row>
    <row r="129" spans="1:6" x14ac:dyDescent="0.25">
      <c r="A129" s="37">
        <v>43862</v>
      </c>
      <c r="B129" s="18" t="s">
        <v>128</v>
      </c>
      <c r="C129" s="23" t="s">
        <v>16</v>
      </c>
      <c r="D129" s="107">
        <v>1750000</v>
      </c>
      <c r="E129" s="88">
        <v>10200000</v>
      </c>
      <c r="F129" s="23" t="s">
        <v>108</v>
      </c>
    </row>
    <row r="130" spans="1:6" x14ac:dyDescent="0.25">
      <c r="A130" s="37">
        <v>43862</v>
      </c>
      <c r="B130" s="29" t="s">
        <v>122</v>
      </c>
      <c r="C130" s="23" t="s">
        <v>17</v>
      </c>
      <c r="D130" s="106">
        <v>9200000</v>
      </c>
      <c r="E130" s="88">
        <v>15000000</v>
      </c>
      <c r="F130" s="23" t="s">
        <v>108</v>
      </c>
    </row>
    <row r="131" spans="1:6" x14ac:dyDescent="0.25">
      <c r="A131" s="37">
        <v>43862</v>
      </c>
      <c r="B131" s="29" t="s">
        <v>120</v>
      </c>
      <c r="C131" s="23" t="s">
        <v>17</v>
      </c>
      <c r="D131" s="102">
        <v>7150000</v>
      </c>
      <c r="E131" s="88">
        <v>15000000</v>
      </c>
      <c r="F131" s="23" t="s">
        <v>108</v>
      </c>
    </row>
    <row r="132" spans="1:6" x14ac:dyDescent="0.25">
      <c r="A132" s="37">
        <v>43891</v>
      </c>
      <c r="B132" s="20" t="s">
        <v>117</v>
      </c>
      <c r="C132" s="23" t="s">
        <v>4</v>
      </c>
      <c r="D132" s="102">
        <v>13050000</v>
      </c>
      <c r="E132" s="88">
        <v>30000000</v>
      </c>
      <c r="F132" s="23" t="s">
        <v>108</v>
      </c>
    </row>
    <row r="133" spans="1:6" x14ac:dyDescent="0.25">
      <c r="A133" s="37">
        <v>43891</v>
      </c>
      <c r="B133" s="18" t="s">
        <v>118</v>
      </c>
      <c r="C133" s="23" t="s">
        <v>16</v>
      </c>
      <c r="D133" s="102">
        <v>5750000</v>
      </c>
      <c r="E133" s="88">
        <v>10200000</v>
      </c>
      <c r="F133" s="23" t="s">
        <v>108</v>
      </c>
    </row>
    <row r="134" spans="1:6" x14ac:dyDescent="0.25">
      <c r="A134" s="37">
        <v>43891</v>
      </c>
      <c r="B134" s="18" t="s">
        <v>75</v>
      </c>
      <c r="C134" s="23" t="s">
        <v>16</v>
      </c>
      <c r="D134" s="102">
        <v>3000000</v>
      </c>
      <c r="E134" s="88">
        <v>10200000</v>
      </c>
      <c r="F134" s="23" t="s">
        <v>108</v>
      </c>
    </row>
    <row r="135" spans="1:6" x14ac:dyDescent="0.25">
      <c r="A135" s="37">
        <v>43891</v>
      </c>
      <c r="B135" s="18" t="s">
        <v>119</v>
      </c>
      <c r="C135" s="23" t="s">
        <v>16</v>
      </c>
      <c r="D135" s="102">
        <v>1400000</v>
      </c>
      <c r="E135" s="152">
        <v>10200000</v>
      </c>
      <c r="F135" s="23" t="s">
        <v>108</v>
      </c>
    </row>
    <row r="136" spans="1:6" x14ac:dyDescent="0.25">
      <c r="A136" s="37">
        <v>43891</v>
      </c>
      <c r="B136" s="18" t="s">
        <v>128</v>
      </c>
      <c r="C136" s="23" t="s">
        <v>16</v>
      </c>
      <c r="D136" s="107">
        <v>1200000</v>
      </c>
      <c r="E136" s="88">
        <v>10200000</v>
      </c>
      <c r="F136" s="23" t="s">
        <v>108</v>
      </c>
    </row>
    <row r="137" spans="1:6" x14ac:dyDescent="0.25">
      <c r="A137" s="37">
        <v>43891</v>
      </c>
      <c r="B137" s="29" t="s">
        <v>122</v>
      </c>
      <c r="C137" s="23" t="s">
        <v>17</v>
      </c>
      <c r="D137" s="106">
        <v>8850000</v>
      </c>
      <c r="E137" s="88">
        <v>15000000</v>
      </c>
      <c r="F137" s="23" t="s">
        <v>108</v>
      </c>
    </row>
    <row r="138" spans="1:6" x14ac:dyDescent="0.25">
      <c r="A138" s="37">
        <v>43891</v>
      </c>
      <c r="B138" s="29" t="s">
        <v>120</v>
      </c>
      <c r="C138" s="23" t="s">
        <v>17</v>
      </c>
      <c r="D138" s="102">
        <v>4200000</v>
      </c>
      <c r="E138" s="88">
        <v>15000000</v>
      </c>
      <c r="F138" s="23" t="s">
        <v>108</v>
      </c>
    </row>
    <row r="139" spans="1:6" x14ac:dyDescent="0.25">
      <c r="A139" s="37">
        <v>43922</v>
      </c>
      <c r="B139" s="20" t="s">
        <v>117</v>
      </c>
      <c r="C139" s="23" t="s">
        <v>4</v>
      </c>
      <c r="D139" s="102">
        <v>0</v>
      </c>
      <c r="E139" s="88">
        <v>30000000</v>
      </c>
      <c r="F139" s="23" t="s">
        <v>108</v>
      </c>
    </row>
    <row r="140" spans="1:6" x14ac:dyDescent="0.25">
      <c r="A140" s="37">
        <v>43922</v>
      </c>
      <c r="B140" s="18" t="s">
        <v>118</v>
      </c>
      <c r="C140" s="23" t="s">
        <v>16</v>
      </c>
      <c r="D140" s="102">
        <v>0</v>
      </c>
      <c r="E140" s="88">
        <v>10200000</v>
      </c>
      <c r="F140" s="23" t="s">
        <v>108</v>
      </c>
    </row>
    <row r="141" spans="1:6" x14ac:dyDescent="0.25">
      <c r="A141" s="37">
        <v>43922</v>
      </c>
      <c r="B141" s="18" t="s">
        <v>75</v>
      </c>
      <c r="C141" s="23" t="s">
        <v>16</v>
      </c>
      <c r="D141" s="102">
        <v>0</v>
      </c>
      <c r="E141" s="88">
        <v>10200000</v>
      </c>
      <c r="F141" s="23" t="s">
        <v>108</v>
      </c>
    </row>
    <row r="142" spans="1:6" x14ac:dyDescent="0.25">
      <c r="A142" s="37">
        <v>43922</v>
      </c>
      <c r="B142" s="18" t="s">
        <v>119</v>
      </c>
      <c r="C142" s="23" t="s">
        <v>16</v>
      </c>
      <c r="D142" s="102">
        <v>0</v>
      </c>
      <c r="E142" s="152">
        <v>10200000</v>
      </c>
      <c r="F142" s="23" t="s">
        <v>108</v>
      </c>
    </row>
    <row r="143" spans="1:6" x14ac:dyDescent="0.25">
      <c r="A143" s="37">
        <v>43922</v>
      </c>
      <c r="B143" s="18" t="s">
        <v>128</v>
      </c>
      <c r="C143" s="23" t="s">
        <v>16</v>
      </c>
      <c r="D143" s="107">
        <v>0</v>
      </c>
      <c r="E143" s="88">
        <v>10200000</v>
      </c>
      <c r="F143" s="23" t="s">
        <v>108</v>
      </c>
    </row>
    <row r="144" spans="1:6" x14ac:dyDescent="0.25">
      <c r="A144" s="37">
        <v>43922</v>
      </c>
      <c r="B144" s="29" t="s">
        <v>122</v>
      </c>
      <c r="C144" s="23" t="s">
        <v>17</v>
      </c>
      <c r="D144" s="106">
        <v>0</v>
      </c>
      <c r="E144" s="88">
        <v>15000000</v>
      </c>
      <c r="F144" s="23" t="s">
        <v>108</v>
      </c>
    </row>
    <row r="145" spans="1:6" x14ac:dyDescent="0.25">
      <c r="A145" s="37">
        <v>43922</v>
      </c>
      <c r="B145" s="29" t="s">
        <v>120</v>
      </c>
      <c r="C145" s="23" t="s">
        <v>17</v>
      </c>
      <c r="D145" s="102">
        <v>0</v>
      </c>
      <c r="E145" s="88">
        <v>15000000</v>
      </c>
      <c r="F145" s="23" t="s">
        <v>108</v>
      </c>
    </row>
    <row r="146" spans="1:6" x14ac:dyDescent="0.25">
      <c r="A146" s="37">
        <v>43952</v>
      </c>
      <c r="B146" s="20" t="s">
        <v>117</v>
      </c>
      <c r="C146" s="23" t="s">
        <v>4</v>
      </c>
      <c r="D146" s="102">
        <v>0</v>
      </c>
      <c r="E146" s="88">
        <v>30000000</v>
      </c>
      <c r="F146" s="23" t="s">
        <v>108</v>
      </c>
    </row>
    <row r="147" spans="1:6" x14ac:dyDescent="0.25">
      <c r="A147" s="37">
        <v>43952</v>
      </c>
      <c r="B147" s="18" t="s">
        <v>118</v>
      </c>
      <c r="C147" s="23" t="s">
        <v>16</v>
      </c>
      <c r="D147" s="102">
        <v>0</v>
      </c>
      <c r="E147" s="88">
        <v>10200000</v>
      </c>
      <c r="F147" s="23" t="s">
        <v>108</v>
      </c>
    </row>
    <row r="148" spans="1:6" x14ac:dyDescent="0.25">
      <c r="A148" s="37">
        <v>43952</v>
      </c>
      <c r="B148" s="18" t="s">
        <v>75</v>
      </c>
      <c r="C148" s="23" t="s">
        <v>16</v>
      </c>
      <c r="D148" s="102">
        <v>0</v>
      </c>
      <c r="E148" s="88">
        <v>10200000</v>
      </c>
      <c r="F148" s="23" t="s">
        <v>108</v>
      </c>
    </row>
    <row r="149" spans="1:6" x14ac:dyDescent="0.25">
      <c r="A149" s="37">
        <v>43952</v>
      </c>
      <c r="B149" s="18" t="s">
        <v>119</v>
      </c>
      <c r="C149" s="23" t="s">
        <v>16</v>
      </c>
      <c r="D149" s="102">
        <v>0</v>
      </c>
      <c r="E149" s="152">
        <v>10200000</v>
      </c>
      <c r="F149" s="23" t="s">
        <v>108</v>
      </c>
    </row>
    <row r="150" spans="1:6" x14ac:dyDescent="0.25">
      <c r="A150" s="37">
        <v>43952</v>
      </c>
      <c r="B150" s="18" t="s">
        <v>128</v>
      </c>
      <c r="C150" s="23" t="s">
        <v>16</v>
      </c>
      <c r="D150" s="107">
        <v>0</v>
      </c>
      <c r="E150" s="88">
        <v>10200000</v>
      </c>
      <c r="F150" s="23" t="s">
        <v>108</v>
      </c>
    </row>
    <row r="151" spans="1:6" x14ac:dyDescent="0.25">
      <c r="A151" s="37">
        <v>43952</v>
      </c>
      <c r="B151" s="29" t="s">
        <v>122</v>
      </c>
      <c r="C151" s="23" t="s">
        <v>17</v>
      </c>
      <c r="D151" s="106">
        <v>0</v>
      </c>
      <c r="E151" s="88">
        <v>15000000</v>
      </c>
      <c r="F151" s="23" t="s">
        <v>108</v>
      </c>
    </row>
    <row r="152" spans="1:6" x14ac:dyDescent="0.25">
      <c r="A152" s="37">
        <v>43952</v>
      </c>
      <c r="B152" s="29" t="s">
        <v>120</v>
      </c>
      <c r="C152" s="23" t="s">
        <v>17</v>
      </c>
      <c r="D152" s="102">
        <v>0</v>
      </c>
      <c r="E152" s="88">
        <v>15000000</v>
      </c>
      <c r="F152" s="23" t="s">
        <v>108</v>
      </c>
    </row>
    <row r="153" spans="1:6" x14ac:dyDescent="0.25">
      <c r="A153" s="37">
        <v>43983</v>
      </c>
      <c r="B153" s="20" t="s">
        <v>117</v>
      </c>
      <c r="C153" s="23" t="s">
        <v>4</v>
      </c>
      <c r="D153" s="102">
        <v>15266680</v>
      </c>
      <c r="E153" s="88">
        <v>30000000</v>
      </c>
      <c r="F153" s="23" t="s">
        <v>108</v>
      </c>
    </row>
    <row r="154" spans="1:6" x14ac:dyDescent="0.25">
      <c r="A154" s="37">
        <v>43983</v>
      </c>
      <c r="B154" s="18" t="s">
        <v>118</v>
      </c>
      <c r="C154" s="23" t="s">
        <v>16</v>
      </c>
      <c r="D154" s="135">
        <v>10890000</v>
      </c>
      <c r="E154" s="88">
        <v>10200000</v>
      </c>
      <c r="F154" s="23" t="s">
        <v>108</v>
      </c>
    </row>
    <row r="155" spans="1:6" x14ac:dyDescent="0.25">
      <c r="A155" s="37">
        <v>43983</v>
      </c>
      <c r="B155" s="18" t="s">
        <v>128</v>
      </c>
      <c r="C155" s="23" t="s">
        <v>16</v>
      </c>
      <c r="D155" s="107">
        <v>2500000</v>
      </c>
      <c r="E155" s="88">
        <v>10200000</v>
      </c>
      <c r="F155" s="23" t="s">
        <v>108</v>
      </c>
    </row>
    <row r="156" spans="1:6" x14ac:dyDescent="0.25">
      <c r="A156" s="37">
        <v>43983</v>
      </c>
      <c r="B156" s="29" t="s">
        <v>122</v>
      </c>
      <c r="C156" s="23" t="s">
        <v>17</v>
      </c>
      <c r="D156" s="106">
        <v>6360000</v>
      </c>
      <c r="E156" s="88">
        <v>15000000</v>
      </c>
      <c r="F156" s="23" t="s">
        <v>108</v>
      </c>
    </row>
    <row r="157" spans="1:6" x14ac:dyDescent="0.25">
      <c r="A157" s="37">
        <v>43983</v>
      </c>
      <c r="B157" s="29" t="s">
        <v>120</v>
      </c>
      <c r="C157" s="23" t="s">
        <v>17</v>
      </c>
      <c r="D157" s="102">
        <v>7030000</v>
      </c>
      <c r="E157" s="88">
        <v>15000000</v>
      </c>
      <c r="F157" s="23" t="s">
        <v>108</v>
      </c>
    </row>
    <row r="158" spans="1:6" x14ac:dyDescent="0.25">
      <c r="A158" s="37">
        <v>44013</v>
      </c>
      <c r="B158" s="20" t="s">
        <v>117</v>
      </c>
      <c r="C158" s="23" t="s">
        <v>4</v>
      </c>
      <c r="D158" s="102">
        <v>18200000</v>
      </c>
      <c r="E158" s="88">
        <v>30000000</v>
      </c>
      <c r="F158" s="23" t="s">
        <v>108</v>
      </c>
    </row>
    <row r="159" spans="1:6" x14ac:dyDescent="0.25">
      <c r="A159" s="37">
        <v>44013</v>
      </c>
      <c r="B159" s="18" t="s">
        <v>118</v>
      </c>
      <c r="C159" s="23" t="s">
        <v>16</v>
      </c>
      <c r="D159" s="90">
        <v>10250000</v>
      </c>
      <c r="E159" s="88">
        <v>10200000</v>
      </c>
      <c r="F159" s="23" t="s">
        <v>108</v>
      </c>
    </row>
    <row r="160" spans="1:6" x14ac:dyDescent="0.25">
      <c r="A160" s="37">
        <v>44013</v>
      </c>
      <c r="B160" s="18" t="s">
        <v>75</v>
      </c>
      <c r="C160" s="23" t="s">
        <v>16</v>
      </c>
      <c r="D160" s="102">
        <v>3400000</v>
      </c>
      <c r="E160" s="88">
        <v>10200000</v>
      </c>
      <c r="F160" s="23" t="s">
        <v>108</v>
      </c>
    </row>
    <row r="161" spans="1:6" x14ac:dyDescent="0.25">
      <c r="A161" s="37">
        <v>44013</v>
      </c>
      <c r="B161" s="18" t="s">
        <v>128</v>
      </c>
      <c r="C161" s="23" t="s">
        <v>16</v>
      </c>
      <c r="D161" s="107">
        <v>4550000</v>
      </c>
      <c r="E161" s="88">
        <v>10200000</v>
      </c>
      <c r="F161" s="23" t="s">
        <v>108</v>
      </c>
    </row>
    <row r="162" spans="1:6" x14ac:dyDescent="0.25">
      <c r="A162" s="37">
        <v>44013</v>
      </c>
      <c r="B162" s="29" t="s">
        <v>122</v>
      </c>
      <c r="C162" s="23" t="s">
        <v>17</v>
      </c>
      <c r="D162" s="104">
        <v>15600000</v>
      </c>
      <c r="E162" s="88">
        <v>15000000</v>
      </c>
      <c r="F162" s="23" t="s">
        <v>108</v>
      </c>
    </row>
    <row r="163" spans="1:6" x14ac:dyDescent="0.25">
      <c r="A163" s="37">
        <v>44013</v>
      </c>
      <c r="B163" s="29" t="s">
        <v>120</v>
      </c>
      <c r="C163" s="23" t="s">
        <v>17</v>
      </c>
      <c r="D163" s="104">
        <v>2600000</v>
      </c>
      <c r="E163" s="88">
        <v>15000000</v>
      </c>
      <c r="F163" s="23" t="s">
        <v>108</v>
      </c>
    </row>
    <row r="164" spans="1:6" x14ac:dyDescent="0.25">
      <c r="A164" s="37">
        <v>44044</v>
      </c>
      <c r="B164" s="30" t="s">
        <v>117</v>
      </c>
      <c r="C164" s="23" t="s">
        <v>4</v>
      </c>
      <c r="D164" s="107">
        <v>19460000</v>
      </c>
      <c r="E164" s="88">
        <v>30000000</v>
      </c>
      <c r="F164" s="23" t="s">
        <v>108</v>
      </c>
    </row>
    <row r="165" spans="1:6" x14ac:dyDescent="0.25">
      <c r="A165" s="37">
        <v>44044</v>
      </c>
      <c r="B165" s="31" t="s">
        <v>118</v>
      </c>
      <c r="C165" s="23" t="s">
        <v>16</v>
      </c>
      <c r="D165" s="107">
        <v>3650000</v>
      </c>
      <c r="E165" s="88">
        <v>10200000</v>
      </c>
      <c r="F165" s="23" t="s">
        <v>108</v>
      </c>
    </row>
    <row r="166" spans="1:6" x14ac:dyDescent="0.25">
      <c r="A166" s="37">
        <v>44044</v>
      </c>
      <c r="B166" s="31" t="s">
        <v>75</v>
      </c>
      <c r="C166" s="23" t="s">
        <v>16</v>
      </c>
      <c r="D166" s="107">
        <v>6200000</v>
      </c>
      <c r="E166" s="88">
        <v>10200000</v>
      </c>
      <c r="F166" s="23" t="s">
        <v>108</v>
      </c>
    </row>
    <row r="167" spans="1:6" x14ac:dyDescent="0.25">
      <c r="A167" s="37">
        <v>44044</v>
      </c>
      <c r="B167" s="31" t="s">
        <v>128</v>
      </c>
      <c r="C167" s="23" t="s">
        <v>16</v>
      </c>
      <c r="D167" s="107">
        <v>9610000</v>
      </c>
      <c r="E167" s="88">
        <v>10200000</v>
      </c>
      <c r="F167" s="23" t="s">
        <v>108</v>
      </c>
    </row>
    <row r="168" spans="1:6" x14ac:dyDescent="0.25">
      <c r="A168" s="37">
        <v>44044</v>
      </c>
      <c r="B168" s="32" t="s">
        <v>122</v>
      </c>
      <c r="C168" s="23" t="s">
        <v>17</v>
      </c>
      <c r="D168" s="104">
        <v>12460000</v>
      </c>
      <c r="E168" s="88">
        <v>15000000</v>
      </c>
      <c r="F168" s="23" t="s">
        <v>108</v>
      </c>
    </row>
    <row r="169" spans="1:6" x14ac:dyDescent="0.25">
      <c r="A169" s="37">
        <v>44044</v>
      </c>
      <c r="B169" s="32" t="s">
        <v>120</v>
      </c>
      <c r="C169" s="23" t="s">
        <v>17</v>
      </c>
      <c r="D169" s="104">
        <v>1100000</v>
      </c>
      <c r="E169" s="88">
        <v>15000000</v>
      </c>
      <c r="F169" s="23" t="s">
        <v>108</v>
      </c>
    </row>
    <row r="170" spans="1:6" x14ac:dyDescent="0.25">
      <c r="A170" s="37">
        <v>44075</v>
      </c>
      <c r="B170" s="30" t="s">
        <v>117</v>
      </c>
      <c r="C170" s="23" t="s">
        <v>4</v>
      </c>
      <c r="D170" s="107">
        <v>18400000</v>
      </c>
      <c r="E170" s="88">
        <v>30000000</v>
      </c>
      <c r="F170" s="23" t="s">
        <v>108</v>
      </c>
    </row>
    <row r="171" spans="1:6" x14ac:dyDescent="0.25">
      <c r="A171" s="37">
        <v>44075</v>
      </c>
      <c r="B171" s="31" t="s">
        <v>118</v>
      </c>
      <c r="C171" s="23" t="s">
        <v>16</v>
      </c>
      <c r="D171" s="107">
        <v>4800000</v>
      </c>
      <c r="E171" s="88">
        <v>10200000</v>
      </c>
      <c r="F171" s="23" t="s">
        <v>108</v>
      </c>
    </row>
    <row r="172" spans="1:6" x14ac:dyDescent="0.25">
      <c r="A172" s="37">
        <v>44075</v>
      </c>
      <c r="B172" s="31" t="s">
        <v>75</v>
      </c>
      <c r="C172" s="23" t="s">
        <v>16</v>
      </c>
      <c r="D172" s="107">
        <v>10000000</v>
      </c>
      <c r="E172" s="88">
        <v>10200000</v>
      </c>
      <c r="F172" s="23" t="s">
        <v>108</v>
      </c>
    </row>
    <row r="173" spans="1:6" x14ac:dyDescent="0.25">
      <c r="A173" s="37">
        <v>44075</v>
      </c>
      <c r="B173" s="31" t="s">
        <v>128</v>
      </c>
      <c r="C173" s="23" t="s">
        <v>16</v>
      </c>
      <c r="D173" s="107">
        <v>3600000</v>
      </c>
      <c r="E173" s="88">
        <v>10200000</v>
      </c>
      <c r="F173" s="23" t="s">
        <v>108</v>
      </c>
    </row>
    <row r="174" spans="1:6" x14ac:dyDescent="0.25">
      <c r="A174" s="37">
        <v>44075</v>
      </c>
      <c r="B174" s="32" t="s">
        <v>122</v>
      </c>
      <c r="C174" s="23" t="s">
        <v>17</v>
      </c>
      <c r="D174" s="104">
        <v>4750000</v>
      </c>
      <c r="E174" s="88">
        <v>15000000</v>
      </c>
      <c r="F174" s="23" t="s">
        <v>108</v>
      </c>
    </row>
    <row r="175" spans="1:6" x14ac:dyDescent="0.25">
      <c r="A175" s="37">
        <v>44105</v>
      </c>
      <c r="B175" s="30" t="s">
        <v>117</v>
      </c>
      <c r="C175" s="23" t="s">
        <v>4</v>
      </c>
      <c r="D175" s="84">
        <v>5200000</v>
      </c>
      <c r="E175" s="88">
        <v>30000000</v>
      </c>
      <c r="F175" s="23" t="s">
        <v>108</v>
      </c>
    </row>
    <row r="176" spans="1:6" x14ac:dyDescent="0.25">
      <c r="A176" s="37">
        <v>44105</v>
      </c>
      <c r="B176" s="31" t="s">
        <v>128</v>
      </c>
      <c r="C176" s="23" t="s">
        <v>16</v>
      </c>
      <c r="D176" s="91">
        <v>2200000</v>
      </c>
      <c r="E176" s="88">
        <v>10200000</v>
      </c>
      <c r="F176" s="23" t="s">
        <v>108</v>
      </c>
    </row>
    <row r="177" spans="1:6" x14ac:dyDescent="0.25">
      <c r="A177" s="37">
        <v>44105</v>
      </c>
      <c r="B177" s="32" t="s">
        <v>122</v>
      </c>
      <c r="C177" s="23" t="s">
        <v>17</v>
      </c>
      <c r="D177" s="92">
        <v>5200000</v>
      </c>
      <c r="E177" s="88">
        <v>15000000</v>
      </c>
      <c r="F177" s="23" t="s">
        <v>108</v>
      </c>
    </row>
    <row r="178" spans="1:6" x14ac:dyDescent="0.25">
      <c r="A178" s="37">
        <v>44136</v>
      </c>
      <c r="B178" s="30" t="s">
        <v>117</v>
      </c>
      <c r="C178" s="23" t="s">
        <v>4</v>
      </c>
      <c r="D178" s="90">
        <v>32750000</v>
      </c>
      <c r="E178" s="88">
        <v>30000000</v>
      </c>
      <c r="F178" s="23" t="s">
        <v>108</v>
      </c>
    </row>
    <row r="179" spans="1:6" x14ac:dyDescent="0.25">
      <c r="A179" s="37">
        <v>44136</v>
      </c>
      <c r="B179" s="31" t="s">
        <v>118</v>
      </c>
      <c r="C179" s="23" t="s">
        <v>16</v>
      </c>
      <c r="D179" s="90">
        <v>2900000</v>
      </c>
      <c r="E179" s="88">
        <v>10200000</v>
      </c>
      <c r="F179" s="23" t="s">
        <v>108</v>
      </c>
    </row>
    <row r="180" spans="1:6" x14ac:dyDescent="0.25">
      <c r="A180" s="37">
        <v>44136</v>
      </c>
      <c r="B180" s="31" t="s">
        <v>75</v>
      </c>
      <c r="C180" s="23" t="s">
        <v>16</v>
      </c>
      <c r="D180" s="90">
        <v>10750000</v>
      </c>
      <c r="E180" s="88">
        <v>10200000</v>
      </c>
      <c r="F180" s="23" t="s">
        <v>108</v>
      </c>
    </row>
    <row r="181" spans="1:6" x14ac:dyDescent="0.25">
      <c r="A181" s="37">
        <v>44136</v>
      </c>
      <c r="B181" s="31" t="s">
        <v>128</v>
      </c>
      <c r="C181" s="23" t="s">
        <v>16</v>
      </c>
      <c r="D181" s="91">
        <v>5750000</v>
      </c>
      <c r="E181" s="88">
        <v>10200000</v>
      </c>
      <c r="F181" s="23" t="s">
        <v>108</v>
      </c>
    </row>
    <row r="182" spans="1:6" x14ac:dyDescent="0.25">
      <c r="A182" s="37">
        <v>44136</v>
      </c>
      <c r="B182" s="32" t="s">
        <v>122</v>
      </c>
      <c r="C182" s="23" t="s">
        <v>17</v>
      </c>
      <c r="D182" s="92">
        <v>18050000</v>
      </c>
      <c r="E182" s="88">
        <v>15000000</v>
      </c>
      <c r="F182" s="23" t="s">
        <v>108</v>
      </c>
    </row>
    <row r="183" spans="1:6" x14ac:dyDescent="0.25">
      <c r="A183" s="37">
        <v>44166</v>
      </c>
      <c r="B183" s="30" t="s">
        <v>117</v>
      </c>
      <c r="C183" s="23" t="s">
        <v>4</v>
      </c>
      <c r="D183" s="135">
        <v>6600000</v>
      </c>
      <c r="E183" s="88">
        <v>30000000</v>
      </c>
      <c r="F183" s="23" t="s">
        <v>108</v>
      </c>
    </row>
    <row r="184" spans="1:6" x14ac:dyDescent="0.25">
      <c r="A184" s="37">
        <v>44166</v>
      </c>
      <c r="B184" s="31" t="s">
        <v>118</v>
      </c>
      <c r="C184" s="23" t="s">
        <v>16</v>
      </c>
      <c r="D184" s="90">
        <v>1500000</v>
      </c>
      <c r="E184" s="88">
        <v>10200000</v>
      </c>
      <c r="F184" s="23" t="s">
        <v>108</v>
      </c>
    </row>
    <row r="185" spans="1:6" x14ac:dyDescent="0.25">
      <c r="A185" s="37">
        <v>44166</v>
      </c>
      <c r="B185" s="31" t="s">
        <v>75</v>
      </c>
      <c r="C185" s="23" t="s">
        <v>16</v>
      </c>
      <c r="D185" s="90">
        <v>2150000</v>
      </c>
      <c r="E185" s="88">
        <v>10200000</v>
      </c>
      <c r="F185" s="23" t="s">
        <v>108</v>
      </c>
    </row>
    <row r="186" spans="1:6" x14ac:dyDescent="0.25">
      <c r="A186" s="37">
        <v>44166</v>
      </c>
      <c r="B186" s="31" t="s">
        <v>128</v>
      </c>
      <c r="C186" s="23" t="s">
        <v>16</v>
      </c>
      <c r="D186" s="135">
        <v>16500000</v>
      </c>
      <c r="E186" s="88">
        <v>10200000</v>
      </c>
      <c r="F186" s="23" t="s">
        <v>108</v>
      </c>
    </row>
    <row r="187" spans="1:6" x14ac:dyDescent="0.25">
      <c r="A187" s="37">
        <v>44166</v>
      </c>
      <c r="B187" s="32" t="s">
        <v>122</v>
      </c>
      <c r="C187" s="23" t="s">
        <v>17</v>
      </c>
      <c r="D187" s="92">
        <v>5300000</v>
      </c>
      <c r="E187" s="88">
        <v>15000000</v>
      </c>
      <c r="F187" s="23" t="s">
        <v>108</v>
      </c>
    </row>
    <row r="188" spans="1:6" x14ac:dyDescent="0.25">
      <c r="A188" s="37">
        <v>44197</v>
      </c>
      <c r="B188" s="20" t="s">
        <v>131</v>
      </c>
      <c r="C188" s="23" t="s">
        <v>4</v>
      </c>
      <c r="D188" s="102">
        <v>29450000</v>
      </c>
      <c r="E188" s="88">
        <v>30000000</v>
      </c>
      <c r="F188" s="23" t="s">
        <v>108</v>
      </c>
    </row>
    <row r="189" spans="1:6" x14ac:dyDescent="0.25">
      <c r="A189" s="37">
        <v>44197</v>
      </c>
      <c r="B189" s="18" t="s">
        <v>118</v>
      </c>
      <c r="C189" s="23" t="s">
        <v>16</v>
      </c>
      <c r="D189" s="90">
        <v>6600000</v>
      </c>
      <c r="E189" s="88">
        <v>10200000</v>
      </c>
      <c r="F189" s="23" t="s">
        <v>108</v>
      </c>
    </row>
    <row r="190" spans="1:6" x14ac:dyDescent="0.25">
      <c r="A190" s="37">
        <v>44197</v>
      </c>
      <c r="B190" s="18" t="s">
        <v>75</v>
      </c>
      <c r="C190" s="23" t="s">
        <v>16</v>
      </c>
      <c r="D190" s="137">
        <v>12600000</v>
      </c>
      <c r="E190" s="88">
        <v>7500000</v>
      </c>
      <c r="F190" s="23" t="s">
        <v>108</v>
      </c>
    </row>
    <row r="191" spans="1:6" x14ac:dyDescent="0.25">
      <c r="A191" s="37">
        <v>44197</v>
      </c>
      <c r="B191" s="18" t="s">
        <v>128</v>
      </c>
      <c r="C191" s="23" t="s">
        <v>16</v>
      </c>
      <c r="D191" s="137">
        <v>9050000</v>
      </c>
      <c r="E191" s="88">
        <v>7500000</v>
      </c>
      <c r="F191" s="23" t="s">
        <v>108</v>
      </c>
    </row>
    <row r="192" spans="1:6" x14ac:dyDescent="0.25">
      <c r="A192" s="37">
        <v>44197</v>
      </c>
      <c r="B192" s="39" t="s">
        <v>121</v>
      </c>
      <c r="C192" s="23" t="s">
        <v>16</v>
      </c>
      <c r="D192" s="113">
        <v>1200000</v>
      </c>
      <c r="E192" s="88">
        <v>7500000</v>
      </c>
      <c r="F192" s="23" t="s">
        <v>108</v>
      </c>
    </row>
    <row r="193" spans="1:6" x14ac:dyDescent="0.25">
      <c r="A193" s="37">
        <v>44197</v>
      </c>
      <c r="B193" s="40" t="s">
        <v>122</v>
      </c>
      <c r="C193" s="23" t="s">
        <v>17</v>
      </c>
      <c r="D193" s="134">
        <v>21350000</v>
      </c>
      <c r="E193" s="88">
        <v>15000000</v>
      </c>
      <c r="F193" s="23" t="s">
        <v>108</v>
      </c>
    </row>
    <row r="194" spans="1:6" x14ac:dyDescent="0.25">
      <c r="A194" s="37">
        <v>44197</v>
      </c>
      <c r="B194" s="25" t="s">
        <v>123</v>
      </c>
      <c r="C194" s="23" t="s">
        <v>17</v>
      </c>
      <c r="D194" s="113">
        <v>4500000</v>
      </c>
      <c r="E194" s="88">
        <v>15000000</v>
      </c>
      <c r="F194" s="23" t="s">
        <v>108</v>
      </c>
    </row>
    <row r="195" spans="1:6" x14ac:dyDescent="0.25">
      <c r="A195" s="37">
        <v>44228</v>
      </c>
      <c r="B195" s="20" t="s">
        <v>136</v>
      </c>
      <c r="C195" s="23" t="s">
        <v>4</v>
      </c>
      <c r="D195" s="90">
        <v>38675000</v>
      </c>
      <c r="E195" s="88">
        <v>30000000</v>
      </c>
      <c r="F195" s="23" t="s">
        <v>108</v>
      </c>
    </row>
    <row r="196" spans="1:6" x14ac:dyDescent="0.25">
      <c r="A196" s="37">
        <v>44228</v>
      </c>
      <c r="B196" s="18" t="s">
        <v>118</v>
      </c>
      <c r="C196" s="23" t="s">
        <v>16</v>
      </c>
      <c r="D196" s="137">
        <v>10650000</v>
      </c>
      <c r="E196" s="88">
        <v>10200000</v>
      </c>
      <c r="F196" s="23" t="s">
        <v>108</v>
      </c>
    </row>
    <row r="197" spans="1:6" x14ac:dyDescent="0.25">
      <c r="A197" s="37">
        <v>44228</v>
      </c>
      <c r="B197" s="18" t="s">
        <v>75</v>
      </c>
      <c r="C197" s="23" t="s">
        <v>16</v>
      </c>
      <c r="D197" s="137">
        <v>16295000</v>
      </c>
      <c r="E197" s="88">
        <v>7500000</v>
      </c>
      <c r="F197" s="23" t="s">
        <v>108</v>
      </c>
    </row>
    <row r="198" spans="1:6" x14ac:dyDescent="0.25">
      <c r="A198" s="37">
        <v>44228</v>
      </c>
      <c r="B198" s="18" t="s">
        <v>128</v>
      </c>
      <c r="C198" s="23" t="s">
        <v>16</v>
      </c>
      <c r="D198" s="102">
        <v>6130000</v>
      </c>
      <c r="E198" s="88">
        <v>7500000</v>
      </c>
      <c r="F198" s="23" t="s">
        <v>108</v>
      </c>
    </row>
    <row r="199" spans="1:6" x14ac:dyDescent="0.25">
      <c r="A199" s="37">
        <v>44228</v>
      </c>
      <c r="B199" s="39" t="s">
        <v>121</v>
      </c>
      <c r="C199" s="23" t="s">
        <v>16</v>
      </c>
      <c r="D199" s="102">
        <v>5600000</v>
      </c>
      <c r="E199" s="88">
        <v>7500000</v>
      </c>
      <c r="F199" s="23" t="s">
        <v>108</v>
      </c>
    </row>
    <row r="200" spans="1:6" x14ac:dyDescent="0.25">
      <c r="A200" s="37">
        <v>44228</v>
      </c>
      <c r="B200" s="40" t="s">
        <v>122</v>
      </c>
      <c r="C200" s="23" t="s">
        <v>17</v>
      </c>
      <c r="D200" s="134">
        <v>22450000</v>
      </c>
      <c r="E200" s="88">
        <v>15000000</v>
      </c>
      <c r="F200" s="23" t="s">
        <v>108</v>
      </c>
    </row>
    <row r="201" spans="1:6" x14ac:dyDescent="0.25">
      <c r="A201" s="37">
        <v>44228</v>
      </c>
      <c r="B201" s="25" t="s">
        <v>123</v>
      </c>
      <c r="C201" s="23" t="s">
        <v>17</v>
      </c>
      <c r="D201" s="146">
        <v>3375000</v>
      </c>
      <c r="E201" s="88">
        <v>15000000</v>
      </c>
      <c r="F201" s="23" t="s">
        <v>108</v>
      </c>
    </row>
    <row r="202" spans="1:6" x14ac:dyDescent="0.25">
      <c r="A202" s="37">
        <v>44256</v>
      </c>
      <c r="B202" s="20" t="s">
        <v>136</v>
      </c>
      <c r="C202" s="23" t="s">
        <v>4</v>
      </c>
      <c r="D202" s="102">
        <v>24850000</v>
      </c>
      <c r="E202" s="88">
        <v>30000000</v>
      </c>
      <c r="F202" s="23" t="s">
        <v>108</v>
      </c>
    </row>
    <row r="203" spans="1:6" x14ac:dyDescent="0.25">
      <c r="A203" s="37">
        <v>44256</v>
      </c>
      <c r="B203" s="18" t="s">
        <v>118</v>
      </c>
      <c r="C203" s="23" t="s">
        <v>16</v>
      </c>
      <c r="D203" s="102">
        <v>1570000</v>
      </c>
      <c r="E203" s="88">
        <v>10200000</v>
      </c>
      <c r="F203" s="23" t="s">
        <v>108</v>
      </c>
    </row>
    <row r="204" spans="1:6" x14ac:dyDescent="0.25">
      <c r="A204" s="37">
        <v>44256</v>
      </c>
      <c r="B204" s="18" t="s">
        <v>75</v>
      </c>
      <c r="C204" s="23" t="s">
        <v>16</v>
      </c>
      <c r="D204" s="102">
        <v>5840000</v>
      </c>
      <c r="E204" s="88">
        <v>7500000</v>
      </c>
      <c r="F204" s="23" t="s">
        <v>108</v>
      </c>
    </row>
    <row r="205" spans="1:6" x14ac:dyDescent="0.25">
      <c r="A205" s="37">
        <v>44256</v>
      </c>
      <c r="B205" s="18" t="s">
        <v>128</v>
      </c>
      <c r="C205" s="23" t="s">
        <v>16</v>
      </c>
      <c r="D205" s="122">
        <v>12220000</v>
      </c>
      <c r="E205" s="153">
        <v>7500000</v>
      </c>
      <c r="F205" s="23" t="s">
        <v>108</v>
      </c>
    </row>
    <row r="206" spans="1:6" x14ac:dyDescent="0.25">
      <c r="A206" s="37">
        <v>44256</v>
      </c>
      <c r="B206" s="39" t="s">
        <v>121</v>
      </c>
      <c r="C206" s="23" t="s">
        <v>16</v>
      </c>
      <c r="D206" s="66">
        <v>5520000</v>
      </c>
      <c r="E206" s="71">
        <v>7500000</v>
      </c>
      <c r="F206" s="23" t="s">
        <v>108</v>
      </c>
    </row>
    <row r="207" spans="1:6" x14ac:dyDescent="0.25">
      <c r="A207" s="37">
        <v>44256</v>
      </c>
      <c r="B207" s="40" t="s">
        <v>122</v>
      </c>
      <c r="C207" s="23" t="s">
        <v>17</v>
      </c>
      <c r="D207" s="154">
        <v>16630000</v>
      </c>
      <c r="E207" s="89">
        <v>15000000</v>
      </c>
      <c r="F207" s="23" t="s">
        <v>108</v>
      </c>
    </row>
    <row r="208" spans="1:6" x14ac:dyDescent="0.25">
      <c r="A208" s="37">
        <v>44256</v>
      </c>
      <c r="B208" s="25" t="s">
        <v>123</v>
      </c>
      <c r="C208" s="23" t="s">
        <v>17</v>
      </c>
      <c r="D208" s="83">
        <v>6820000</v>
      </c>
      <c r="E208" s="89">
        <v>15000000</v>
      </c>
      <c r="F208" s="23" t="s">
        <v>108</v>
      </c>
    </row>
    <row r="209" spans="1:6" x14ac:dyDescent="0.25">
      <c r="A209" s="41">
        <v>44287</v>
      </c>
      <c r="B209" s="20" t="s">
        <v>131</v>
      </c>
      <c r="C209" s="42" t="s">
        <v>4</v>
      </c>
      <c r="D209" s="83">
        <v>28730000</v>
      </c>
      <c r="E209" s="71">
        <v>30000000</v>
      </c>
      <c r="F209" s="23" t="s">
        <v>108</v>
      </c>
    </row>
    <row r="210" spans="1:6" x14ac:dyDescent="0.25">
      <c r="A210" s="37">
        <v>44287</v>
      </c>
      <c r="B210" s="18" t="s">
        <v>75</v>
      </c>
      <c r="C210" s="23" t="s">
        <v>16</v>
      </c>
      <c r="D210" s="87">
        <v>15530000</v>
      </c>
      <c r="E210" s="71">
        <v>7500000</v>
      </c>
      <c r="F210" s="23" t="s">
        <v>108</v>
      </c>
    </row>
    <row r="211" spans="1:6" x14ac:dyDescent="0.25">
      <c r="A211" s="41">
        <v>44287</v>
      </c>
      <c r="B211" s="18" t="s">
        <v>128</v>
      </c>
      <c r="C211" s="23" t="s">
        <v>16</v>
      </c>
      <c r="D211" s="87">
        <v>10200000</v>
      </c>
      <c r="E211" s="71">
        <v>7500000</v>
      </c>
      <c r="F211" s="23" t="s">
        <v>108</v>
      </c>
    </row>
    <row r="212" spans="1:6" x14ac:dyDescent="0.25">
      <c r="A212" s="37">
        <v>44287</v>
      </c>
      <c r="B212" s="39" t="s">
        <v>121</v>
      </c>
      <c r="C212" s="23" t="s">
        <v>16</v>
      </c>
      <c r="D212" s="77">
        <v>3000000</v>
      </c>
      <c r="E212" s="71">
        <v>7500000</v>
      </c>
      <c r="F212" s="23" t="s">
        <v>108</v>
      </c>
    </row>
    <row r="213" spans="1:6" x14ac:dyDescent="0.25">
      <c r="A213" s="41">
        <v>44287</v>
      </c>
      <c r="B213" s="40" t="s">
        <v>122</v>
      </c>
      <c r="C213" s="23" t="s">
        <v>17</v>
      </c>
      <c r="D213" s="77">
        <v>3050000</v>
      </c>
      <c r="E213" s="89">
        <v>15000000</v>
      </c>
      <c r="F213" s="23" t="s">
        <v>108</v>
      </c>
    </row>
    <row r="214" spans="1:6" x14ac:dyDescent="0.25">
      <c r="A214" s="37">
        <v>44287</v>
      </c>
      <c r="B214" s="25" t="s">
        <v>124</v>
      </c>
      <c r="C214" s="23" t="s">
        <v>17</v>
      </c>
      <c r="D214" s="87">
        <v>15980000</v>
      </c>
      <c r="E214" s="89">
        <v>15000000</v>
      </c>
      <c r="F214" s="23" t="s">
        <v>108</v>
      </c>
    </row>
    <row r="215" spans="1:6" x14ac:dyDescent="0.25">
      <c r="A215" s="37">
        <v>44317</v>
      </c>
      <c r="B215" s="20" t="s">
        <v>131</v>
      </c>
      <c r="C215" s="42" t="s">
        <v>4</v>
      </c>
      <c r="D215" s="118">
        <v>33300000</v>
      </c>
      <c r="E215" s="71">
        <v>30000000</v>
      </c>
      <c r="F215" s="23" t="s">
        <v>108</v>
      </c>
    </row>
    <row r="216" spans="1:6" x14ac:dyDescent="0.25">
      <c r="A216" s="37">
        <v>44317</v>
      </c>
      <c r="B216" s="18" t="s">
        <v>75</v>
      </c>
      <c r="C216" s="23" t="s">
        <v>16</v>
      </c>
      <c r="D216" s="87">
        <v>21500000</v>
      </c>
      <c r="E216" s="71">
        <v>7500000</v>
      </c>
      <c r="F216" s="23" t="s">
        <v>108</v>
      </c>
    </row>
    <row r="217" spans="1:6" x14ac:dyDescent="0.25">
      <c r="A217" s="37">
        <v>44317</v>
      </c>
      <c r="B217" s="18" t="s">
        <v>128</v>
      </c>
      <c r="C217" s="23" t="s">
        <v>16</v>
      </c>
      <c r="D217" s="87">
        <v>9300000</v>
      </c>
      <c r="E217" s="71">
        <v>7500000</v>
      </c>
      <c r="F217" s="23" t="s">
        <v>108</v>
      </c>
    </row>
    <row r="218" spans="1:6" x14ac:dyDescent="0.25">
      <c r="A218" s="37">
        <v>44317</v>
      </c>
      <c r="B218" s="39" t="s">
        <v>121</v>
      </c>
      <c r="C218" s="23" t="s">
        <v>16</v>
      </c>
      <c r="D218" s="77">
        <v>2500000</v>
      </c>
      <c r="E218" s="71">
        <v>7500000</v>
      </c>
      <c r="F218" s="23" t="s">
        <v>108</v>
      </c>
    </row>
    <row r="219" spans="1:6" x14ac:dyDescent="0.25">
      <c r="A219" s="37">
        <v>44317</v>
      </c>
      <c r="B219" s="40" t="s">
        <v>122</v>
      </c>
      <c r="C219" s="23" t="s">
        <v>17</v>
      </c>
      <c r="D219" s="75">
        <v>17850000</v>
      </c>
      <c r="E219" s="89">
        <v>15000000</v>
      </c>
      <c r="F219" s="23" t="s">
        <v>108</v>
      </c>
    </row>
    <row r="220" spans="1:6" x14ac:dyDescent="0.25">
      <c r="A220" s="37">
        <v>44317</v>
      </c>
      <c r="B220" s="25" t="s">
        <v>124</v>
      </c>
      <c r="C220" s="23" t="s">
        <v>17</v>
      </c>
      <c r="D220" s="87">
        <v>15450000</v>
      </c>
      <c r="E220" s="89">
        <v>15000000</v>
      </c>
      <c r="F220" s="23" t="s">
        <v>108</v>
      </c>
    </row>
    <row r="221" spans="1:6" x14ac:dyDescent="0.25">
      <c r="A221" s="37">
        <v>44348</v>
      </c>
      <c r="B221" s="20" t="s">
        <v>131</v>
      </c>
      <c r="C221" s="42" t="s">
        <v>4</v>
      </c>
      <c r="D221" s="77">
        <v>26050000</v>
      </c>
      <c r="E221" s="71">
        <v>30000000</v>
      </c>
      <c r="F221" s="23" t="s">
        <v>108</v>
      </c>
    </row>
    <row r="222" spans="1:6" x14ac:dyDescent="0.25">
      <c r="A222" s="37">
        <v>44348</v>
      </c>
      <c r="B222" s="18" t="s">
        <v>75</v>
      </c>
      <c r="C222" s="23" t="s">
        <v>16</v>
      </c>
      <c r="D222" s="87">
        <v>10700000</v>
      </c>
      <c r="E222" s="153">
        <v>7500000</v>
      </c>
      <c r="F222" s="23" t="s">
        <v>108</v>
      </c>
    </row>
    <row r="223" spans="1:6" x14ac:dyDescent="0.25">
      <c r="A223" s="37">
        <v>44348</v>
      </c>
      <c r="B223" s="18" t="s">
        <v>128</v>
      </c>
      <c r="C223" s="23" t="s">
        <v>16</v>
      </c>
      <c r="D223" s="87">
        <v>10500000</v>
      </c>
      <c r="E223" s="153">
        <v>7500000</v>
      </c>
      <c r="F223" s="23" t="s">
        <v>108</v>
      </c>
    </row>
    <row r="224" spans="1:6" x14ac:dyDescent="0.25">
      <c r="A224" s="37">
        <v>44348</v>
      </c>
      <c r="B224" s="39" t="s">
        <v>121</v>
      </c>
      <c r="C224" s="23" t="s">
        <v>16</v>
      </c>
      <c r="D224" s="77">
        <v>4850000</v>
      </c>
      <c r="E224" s="153">
        <v>7500000</v>
      </c>
      <c r="F224" s="23" t="s">
        <v>108</v>
      </c>
    </row>
    <row r="225" spans="1:6" x14ac:dyDescent="0.25">
      <c r="A225" s="37">
        <v>44348</v>
      </c>
      <c r="B225" s="40" t="s">
        <v>122</v>
      </c>
      <c r="C225" s="23" t="s">
        <v>17</v>
      </c>
      <c r="D225" s="77">
        <v>7650000</v>
      </c>
      <c r="E225" s="155">
        <v>15000000</v>
      </c>
      <c r="F225" s="23" t="s">
        <v>108</v>
      </c>
    </row>
    <row r="226" spans="1:6" x14ac:dyDescent="0.25">
      <c r="A226" s="37">
        <v>44348</v>
      </c>
      <c r="B226" s="25" t="s">
        <v>124</v>
      </c>
      <c r="C226" s="23" t="s">
        <v>17</v>
      </c>
      <c r="D226" s="87">
        <v>18400000</v>
      </c>
      <c r="E226" s="89">
        <v>15000000</v>
      </c>
      <c r="F226" s="23" t="s">
        <v>108</v>
      </c>
    </row>
    <row r="227" spans="1:6" x14ac:dyDescent="0.25">
      <c r="A227" s="37">
        <v>44378</v>
      </c>
      <c r="B227" s="20" t="s">
        <v>131</v>
      </c>
      <c r="C227" s="42" t="s">
        <v>4</v>
      </c>
      <c r="D227" s="118">
        <v>31728970</v>
      </c>
      <c r="E227" s="71">
        <v>30000000</v>
      </c>
      <c r="F227" s="23" t="s">
        <v>108</v>
      </c>
    </row>
    <row r="228" spans="1:6" x14ac:dyDescent="0.25">
      <c r="A228" s="37">
        <v>44378</v>
      </c>
      <c r="B228" s="18" t="s">
        <v>75</v>
      </c>
      <c r="C228" s="23" t="s">
        <v>16</v>
      </c>
      <c r="D228" s="87">
        <v>15488970</v>
      </c>
      <c r="E228" s="153">
        <v>7500000</v>
      </c>
      <c r="F228" s="23" t="s">
        <v>108</v>
      </c>
    </row>
    <row r="229" spans="1:6" x14ac:dyDescent="0.25">
      <c r="A229" s="37">
        <v>44378</v>
      </c>
      <c r="B229" s="18" t="s">
        <v>128</v>
      </c>
      <c r="C229" s="23" t="s">
        <v>16</v>
      </c>
      <c r="D229" s="77">
        <v>3850000</v>
      </c>
      <c r="E229" s="153">
        <v>7500000</v>
      </c>
      <c r="F229" s="23" t="s">
        <v>108</v>
      </c>
    </row>
    <row r="230" spans="1:6" x14ac:dyDescent="0.25">
      <c r="A230" s="37">
        <v>44378</v>
      </c>
      <c r="B230" s="39" t="s">
        <v>121</v>
      </c>
      <c r="C230" s="23" t="s">
        <v>16</v>
      </c>
      <c r="D230" s="75">
        <v>10410000</v>
      </c>
      <c r="E230" s="153">
        <v>7500000</v>
      </c>
      <c r="F230" s="23" t="s">
        <v>108</v>
      </c>
    </row>
    <row r="231" spans="1:6" x14ac:dyDescent="0.25">
      <c r="A231" s="37">
        <v>44378</v>
      </c>
      <c r="B231" s="40" t="s">
        <v>122</v>
      </c>
      <c r="C231" s="23" t="s">
        <v>17</v>
      </c>
      <c r="D231" s="75">
        <v>18598970</v>
      </c>
      <c r="E231" s="155">
        <v>15000000</v>
      </c>
      <c r="F231" s="23" t="s">
        <v>108</v>
      </c>
    </row>
    <row r="232" spans="1:6" x14ac:dyDescent="0.25">
      <c r="A232" s="37">
        <v>44378</v>
      </c>
      <c r="B232" s="25" t="s">
        <v>124</v>
      </c>
      <c r="C232" s="42" t="s">
        <v>17</v>
      </c>
      <c r="D232" s="156">
        <v>13130000</v>
      </c>
      <c r="E232" s="89">
        <v>15000000</v>
      </c>
      <c r="F232" s="23" t="s">
        <v>108</v>
      </c>
    </row>
    <row r="233" spans="1:6" x14ac:dyDescent="0.25">
      <c r="A233" s="37">
        <v>44409</v>
      </c>
      <c r="B233" s="20" t="s">
        <v>131</v>
      </c>
      <c r="C233" s="42" t="s">
        <v>4</v>
      </c>
      <c r="D233" s="110">
        <v>34550000</v>
      </c>
      <c r="E233" s="71">
        <v>30000000</v>
      </c>
      <c r="F233" s="23" t="s">
        <v>108</v>
      </c>
    </row>
    <row r="234" spans="1:6" x14ac:dyDescent="0.25">
      <c r="A234" s="37">
        <v>44409</v>
      </c>
      <c r="B234" s="18" t="s">
        <v>75</v>
      </c>
      <c r="C234" s="23" t="s">
        <v>16</v>
      </c>
      <c r="D234" s="122">
        <v>16150000</v>
      </c>
      <c r="E234" s="153">
        <v>7500000</v>
      </c>
      <c r="F234" s="23" t="s">
        <v>108</v>
      </c>
    </row>
    <row r="235" spans="1:6" x14ac:dyDescent="0.25">
      <c r="A235" s="37">
        <v>44409</v>
      </c>
      <c r="B235" s="18" t="s">
        <v>128</v>
      </c>
      <c r="C235" s="23" t="s">
        <v>16</v>
      </c>
      <c r="D235" s="136">
        <v>12800000</v>
      </c>
      <c r="E235" s="153">
        <v>7500000</v>
      </c>
      <c r="F235" s="23" t="s">
        <v>108</v>
      </c>
    </row>
    <row r="236" spans="1:6" x14ac:dyDescent="0.25">
      <c r="A236" s="37">
        <v>44409</v>
      </c>
      <c r="B236" s="39" t="s">
        <v>121</v>
      </c>
      <c r="C236" s="23" t="s">
        <v>16</v>
      </c>
      <c r="D236" s="82">
        <v>5600000</v>
      </c>
      <c r="E236" s="153">
        <v>7500000</v>
      </c>
      <c r="F236" s="23" t="s">
        <v>108</v>
      </c>
    </row>
    <row r="237" spans="1:6" x14ac:dyDescent="0.25">
      <c r="A237" s="37">
        <v>44409</v>
      </c>
      <c r="B237" s="40" t="s">
        <v>122</v>
      </c>
      <c r="C237" s="23" t="s">
        <v>17</v>
      </c>
      <c r="D237" s="154">
        <v>18750000</v>
      </c>
      <c r="E237" s="155">
        <v>15000000</v>
      </c>
      <c r="F237" s="23" t="s">
        <v>108</v>
      </c>
    </row>
    <row r="238" spans="1:6" x14ac:dyDescent="0.25">
      <c r="A238" s="37">
        <v>44409</v>
      </c>
      <c r="B238" s="25" t="s">
        <v>124</v>
      </c>
      <c r="C238" s="42" t="s">
        <v>17</v>
      </c>
      <c r="D238" s="123">
        <v>15800000</v>
      </c>
      <c r="E238" s="89">
        <v>15000000</v>
      </c>
      <c r="F238" s="23" t="s">
        <v>108</v>
      </c>
    </row>
    <row r="239" spans="1:6" x14ac:dyDescent="0.25">
      <c r="A239" s="37">
        <v>44440</v>
      </c>
      <c r="B239" s="20" t="s">
        <v>131</v>
      </c>
      <c r="C239" s="43" t="s">
        <v>4</v>
      </c>
      <c r="D239" s="110">
        <v>45300000</v>
      </c>
      <c r="E239" s="71">
        <v>30000000</v>
      </c>
      <c r="F239" s="23" t="s">
        <v>108</v>
      </c>
    </row>
    <row r="240" spans="1:6" x14ac:dyDescent="0.25">
      <c r="A240" s="37">
        <v>44440</v>
      </c>
      <c r="B240" s="29" t="s">
        <v>75</v>
      </c>
      <c r="C240" s="44" t="s">
        <v>16</v>
      </c>
      <c r="D240" s="63">
        <v>17950000</v>
      </c>
      <c r="E240" s="153">
        <v>7500000</v>
      </c>
      <c r="F240" s="23" t="s">
        <v>108</v>
      </c>
    </row>
    <row r="241" spans="1:6" x14ac:dyDescent="0.25">
      <c r="A241" s="37">
        <v>44440</v>
      </c>
      <c r="B241" s="29" t="s">
        <v>128</v>
      </c>
      <c r="C241" s="45" t="s">
        <v>16</v>
      </c>
      <c r="D241" s="136">
        <v>21300000</v>
      </c>
      <c r="E241" s="153">
        <v>7500000</v>
      </c>
      <c r="F241" s="23" t="s">
        <v>108</v>
      </c>
    </row>
    <row r="242" spans="1:6" x14ac:dyDescent="0.25">
      <c r="A242" s="37">
        <v>44440</v>
      </c>
      <c r="B242" s="46" t="s">
        <v>121</v>
      </c>
      <c r="C242" s="45" t="s">
        <v>16</v>
      </c>
      <c r="D242" s="91">
        <v>6050000</v>
      </c>
      <c r="E242" s="153">
        <v>7500000</v>
      </c>
      <c r="F242" s="23" t="s">
        <v>108</v>
      </c>
    </row>
    <row r="243" spans="1:6" x14ac:dyDescent="0.25">
      <c r="A243" s="37">
        <v>44440</v>
      </c>
      <c r="B243" s="47" t="s">
        <v>122</v>
      </c>
      <c r="C243" s="45" t="s">
        <v>17</v>
      </c>
      <c r="D243" s="138">
        <v>15100000</v>
      </c>
      <c r="E243" s="155">
        <v>15000000</v>
      </c>
      <c r="F243" s="23" t="s">
        <v>108</v>
      </c>
    </row>
    <row r="244" spans="1:6" x14ac:dyDescent="0.25">
      <c r="A244" s="37">
        <v>44440</v>
      </c>
      <c r="B244" s="10" t="s">
        <v>124</v>
      </c>
      <c r="C244" s="48" t="s">
        <v>17</v>
      </c>
      <c r="D244" s="123">
        <v>30200000</v>
      </c>
      <c r="E244" s="89">
        <v>15000000</v>
      </c>
      <c r="F244" s="23" t="s">
        <v>108</v>
      </c>
    </row>
    <row r="245" spans="1:6" x14ac:dyDescent="0.25">
      <c r="A245" s="37">
        <v>44470</v>
      </c>
      <c r="B245" s="20" t="s">
        <v>131</v>
      </c>
      <c r="C245" s="23" t="s">
        <v>4</v>
      </c>
      <c r="D245" s="118">
        <v>30354000</v>
      </c>
      <c r="E245" s="71">
        <v>30000000</v>
      </c>
      <c r="F245" s="23" t="s">
        <v>108</v>
      </c>
    </row>
    <row r="246" spans="1:6" x14ac:dyDescent="0.25">
      <c r="A246" s="37">
        <v>44470</v>
      </c>
      <c r="B246" s="18" t="s">
        <v>75</v>
      </c>
      <c r="C246" s="23" t="s">
        <v>16</v>
      </c>
      <c r="D246" s="75">
        <v>17954000</v>
      </c>
      <c r="E246" s="71">
        <v>7500000</v>
      </c>
      <c r="F246" s="23" t="s">
        <v>108</v>
      </c>
    </row>
    <row r="247" spans="1:6" x14ac:dyDescent="0.25">
      <c r="A247" s="37">
        <v>44470</v>
      </c>
      <c r="B247" s="18" t="s">
        <v>128</v>
      </c>
      <c r="C247" s="23" t="s">
        <v>16</v>
      </c>
      <c r="D247" s="75">
        <v>11050000</v>
      </c>
      <c r="E247" s="71">
        <v>7500000</v>
      </c>
      <c r="F247" s="23" t="s">
        <v>108</v>
      </c>
    </row>
    <row r="248" spans="1:6" x14ac:dyDescent="0.25">
      <c r="A248" s="37">
        <v>44470</v>
      </c>
      <c r="B248" s="49" t="s">
        <v>125</v>
      </c>
      <c r="C248" s="23" t="s">
        <v>16</v>
      </c>
      <c r="D248" s="75">
        <v>1350000</v>
      </c>
      <c r="E248" s="71">
        <v>7500000</v>
      </c>
      <c r="F248" s="23" t="s">
        <v>108</v>
      </c>
    </row>
    <row r="249" spans="1:6" x14ac:dyDescent="0.25">
      <c r="A249" s="37">
        <v>44470</v>
      </c>
      <c r="B249" s="40" t="s">
        <v>122</v>
      </c>
      <c r="C249" s="23" t="s">
        <v>17</v>
      </c>
      <c r="D249" s="87">
        <v>11900000</v>
      </c>
      <c r="E249" s="89">
        <v>15000000</v>
      </c>
      <c r="F249" s="23" t="s">
        <v>108</v>
      </c>
    </row>
    <row r="250" spans="1:6" x14ac:dyDescent="0.25">
      <c r="A250" s="37">
        <v>44470</v>
      </c>
      <c r="B250" s="25" t="s">
        <v>124</v>
      </c>
      <c r="C250" s="23" t="s">
        <v>17</v>
      </c>
      <c r="D250" s="87">
        <v>17200000</v>
      </c>
      <c r="E250" s="89">
        <v>15000000</v>
      </c>
      <c r="F250" s="23" t="s">
        <v>108</v>
      </c>
    </row>
    <row r="251" spans="1:6" x14ac:dyDescent="0.25">
      <c r="A251" s="37">
        <v>44470</v>
      </c>
      <c r="B251" s="25" t="s">
        <v>46</v>
      </c>
      <c r="C251" s="23" t="s">
        <v>17</v>
      </c>
      <c r="D251" s="87">
        <v>3354000</v>
      </c>
      <c r="E251" s="89">
        <v>15000000</v>
      </c>
      <c r="F251" s="23" t="s">
        <v>108</v>
      </c>
    </row>
    <row r="252" spans="1:6" x14ac:dyDescent="0.25">
      <c r="A252" s="37">
        <v>44501</v>
      </c>
      <c r="B252" s="20" t="s">
        <v>131</v>
      </c>
      <c r="C252" s="23" t="s">
        <v>4</v>
      </c>
      <c r="D252" s="75">
        <v>33300000</v>
      </c>
      <c r="E252" s="71">
        <v>30000000</v>
      </c>
      <c r="F252" s="23" t="s">
        <v>108</v>
      </c>
    </row>
    <row r="253" spans="1:6" x14ac:dyDescent="0.25">
      <c r="A253" s="37">
        <v>44501</v>
      </c>
      <c r="B253" s="18" t="s">
        <v>75</v>
      </c>
      <c r="C253" s="23" t="s">
        <v>16</v>
      </c>
      <c r="D253" s="75">
        <v>5400000</v>
      </c>
      <c r="E253" s="71">
        <v>7500000</v>
      </c>
      <c r="F253" s="23" t="s">
        <v>108</v>
      </c>
    </row>
    <row r="254" spans="1:6" x14ac:dyDescent="0.25">
      <c r="A254" s="37">
        <v>44501</v>
      </c>
      <c r="B254" s="18" t="s">
        <v>128</v>
      </c>
      <c r="C254" s="23" t="s">
        <v>16</v>
      </c>
      <c r="D254" s="75">
        <v>15400000</v>
      </c>
      <c r="E254" s="71">
        <v>7500000</v>
      </c>
      <c r="F254" s="23" t="s">
        <v>108</v>
      </c>
    </row>
    <row r="255" spans="1:6" x14ac:dyDescent="0.25">
      <c r="A255" s="37">
        <v>44501</v>
      </c>
      <c r="B255" s="49" t="s">
        <v>126</v>
      </c>
      <c r="C255" s="23" t="s">
        <v>16</v>
      </c>
      <c r="D255" s="75">
        <v>6800000</v>
      </c>
      <c r="E255" s="71">
        <v>7500000</v>
      </c>
      <c r="F255" s="23" t="s">
        <v>108</v>
      </c>
    </row>
    <row r="256" spans="1:6" x14ac:dyDescent="0.25">
      <c r="A256" s="37">
        <v>44501</v>
      </c>
      <c r="B256" s="49" t="s">
        <v>127</v>
      </c>
      <c r="C256" s="23" t="s">
        <v>16</v>
      </c>
      <c r="D256" s="75">
        <v>2400000</v>
      </c>
      <c r="E256" s="71">
        <v>7500000</v>
      </c>
      <c r="F256" s="23" t="s">
        <v>108</v>
      </c>
    </row>
    <row r="257" spans="1:6" x14ac:dyDescent="0.25">
      <c r="A257" s="37">
        <v>44501</v>
      </c>
      <c r="B257" s="25" t="s">
        <v>124</v>
      </c>
      <c r="C257" s="23" t="s">
        <v>17</v>
      </c>
      <c r="D257" s="87">
        <v>24600000</v>
      </c>
      <c r="E257" s="89">
        <v>15000000</v>
      </c>
      <c r="F257" s="23" t="s">
        <v>108</v>
      </c>
    </row>
    <row r="258" spans="1:6" x14ac:dyDescent="0.25">
      <c r="A258" s="37">
        <v>44501</v>
      </c>
      <c r="B258" s="50" t="s">
        <v>52</v>
      </c>
      <c r="C258" s="23" t="s">
        <v>17</v>
      </c>
      <c r="D258" s="87">
        <v>6800000</v>
      </c>
      <c r="E258" s="89">
        <v>15000000</v>
      </c>
      <c r="F258" s="23" t="s">
        <v>108</v>
      </c>
    </row>
    <row r="259" spans="1:6" x14ac:dyDescent="0.25">
      <c r="A259" s="37">
        <v>44531</v>
      </c>
      <c r="B259" s="20" t="s">
        <v>131</v>
      </c>
      <c r="C259" s="23" t="s">
        <v>4</v>
      </c>
      <c r="D259" s="77">
        <v>21405000</v>
      </c>
      <c r="E259" s="71">
        <v>30000000</v>
      </c>
      <c r="F259" s="23" t="s">
        <v>108</v>
      </c>
    </row>
    <row r="260" spans="1:6" x14ac:dyDescent="0.25">
      <c r="A260" s="37">
        <v>44531</v>
      </c>
      <c r="B260" s="18" t="s">
        <v>75</v>
      </c>
      <c r="C260" s="23" t="s">
        <v>16</v>
      </c>
      <c r="D260" s="75">
        <v>15935000</v>
      </c>
      <c r="E260" s="89">
        <v>7500000</v>
      </c>
      <c r="F260" s="23" t="s">
        <v>108</v>
      </c>
    </row>
    <row r="261" spans="1:6" x14ac:dyDescent="0.25">
      <c r="A261" s="37">
        <v>44531</v>
      </c>
      <c r="B261" s="18" t="s">
        <v>128</v>
      </c>
      <c r="C261" s="23" t="s">
        <v>16</v>
      </c>
      <c r="D261" s="75">
        <v>5470000</v>
      </c>
      <c r="E261" s="88">
        <v>7500000</v>
      </c>
      <c r="F261" s="23" t="s">
        <v>108</v>
      </c>
    </row>
    <row r="262" spans="1:6" x14ac:dyDescent="0.25">
      <c r="A262" s="37">
        <v>44531</v>
      </c>
      <c r="B262" s="25" t="s">
        <v>124</v>
      </c>
      <c r="C262" s="23" t="s">
        <v>17</v>
      </c>
      <c r="D262" s="87">
        <v>20105000</v>
      </c>
      <c r="E262" s="88">
        <v>15000000</v>
      </c>
      <c r="F262" s="23" t="s">
        <v>108</v>
      </c>
    </row>
    <row r="263" spans="1:6" x14ac:dyDescent="0.25">
      <c r="A263" s="41">
        <v>44531</v>
      </c>
      <c r="B263" s="51" t="s">
        <v>52</v>
      </c>
      <c r="C263" s="42" t="s">
        <v>17</v>
      </c>
      <c r="D263" s="157">
        <v>1300000</v>
      </c>
      <c r="E263" s="158">
        <v>15000000</v>
      </c>
      <c r="F263" s="23" t="s">
        <v>108</v>
      </c>
    </row>
    <row r="264" spans="1:6" x14ac:dyDescent="0.25">
      <c r="A264" s="37">
        <v>44562</v>
      </c>
      <c r="B264" s="12" t="s">
        <v>131</v>
      </c>
      <c r="C264" s="23" t="s">
        <v>4</v>
      </c>
      <c r="D264" s="77">
        <v>22030000</v>
      </c>
      <c r="E264" s="110">
        <v>40000000</v>
      </c>
      <c r="F264" s="23" t="s">
        <v>108</v>
      </c>
    </row>
    <row r="265" spans="1:6" x14ac:dyDescent="0.25">
      <c r="A265" s="37">
        <v>44562</v>
      </c>
      <c r="B265" s="12" t="s">
        <v>75</v>
      </c>
      <c r="C265" s="23" t="s">
        <v>16</v>
      </c>
      <c r="D265" s="77">
        <v>12630000</v>
      </c>
      <c r="E265" s="110">
        <v>13000000</v>
      </c>
      <c r="F265" s="23" t="s">
        <v>108</v>
      </c>
    </row>
    <row r="266" spans="1:6" x14ac:dyDescent="0.25">
      <c r="A266" s="37">
        <v>44562</v>
      </c>
      <c r="B266" s="12" t="s">
        <v>128</v>
      </c>
      <c r="C266" s="23" t="s">
        <v>16</v>
      </c>
      <c r="D266" s="77">
        <v>5050000</v>
      </c>
      <c r="E266" s="110">
        <v>10000000</v>
      </c>
      <c r="F266" s="23" t="s">
        <v>108</v>
      </c>
    </row>
    <row r="267" spans="1:6" x14ac:dyDescent="0.25">
      <c r="A267" s="37">
        <v>44562</v>
      </c>
      <c r="B267" s="12" t="s">
        <v>127</v>
      </c>
      <c r="C267" s="23" t="s">
        <v>16</v>
      </c>
      <c r="D267" s="77">
        <v>4850000</v>
      </c>
      <c r="E267" s="110">
        <v>10000000</v>
      </c>
      <c r="F267" s="23" t="s">
        <v>108</v>
      </c>
    </row>
    <row r="268" spans="1:6" x14ac:dyDescent="0.25">
      <c r="A268" s="37">
        <v>44562</v>
      </c>
      <c r="B268" s="12" t="s">
        <v>124</v>
      </c>
      <c r="C268" s="23" t="s">
        <v>17</v>
      </c>
      <c r="D268" s="77">
        <v>11380000</v>
      </c>
      <c r="E268" s="110">
        <v>20000000</v>
      </c>
      <c r="F268" s="23" t="s">
        <v>108</v>
      </c>
    </row>
    <row r="269" spans="1:6" x14ac:dyDescent="0.25">
      <c r="A269" s="37">
        <v>44562</v>
      </c>
      <c r="B269" s="12" t="s">
        <v>129</v>
      </c>
      <c r="C269" s="23" t="s">
        <v>17</v>
      </c>
      <c r="D269" s="77">
        <v>12000000</v>
      </c>
      <c r="E269" s="110">
        <v>20000000</v>
      </c>
      <c r="F269" s="23" t="s">
        <v>108</v>
      </c>
    </row>
    <row r="270" spans="1:6" x14ac:dyDescent="0.25">
      <c r="A270" s="37">
        <v>44562</v>
      </c>
      <c r="B270" s="12" t="s">
        <v>130</v>
      </c>
      <c r="C270" s="23" t="s">
        <v>17</v>
      </c>
      <c r="D270" s="87">
        <v>31750000</v>
      </c>
      <c r="E270" s="117">
        <v>18000000</v>
      </c>
      <c r="F270" s="23" t="s">
        <v>108</v>
      </c>
    </row>
    <row r="271" spans="1:6" x14ac:dyDescent="0.25">
      <c r="A271" s="37">
        <v>44593</v>
      </c>
      <c r="B271" s="11" t="s">
        <v>131</v>
      </c>
      <c r="C271" s="23" t="s">
        <v>4</v>
      </c>
      <c r="D271" s="118">
        <v>43500000</v>
      </c>
      <c r="E271" s="110">
        <v>40000000</v>
      </c>
      <c r="F271" s="23" t="s">
        <v>108</v>
      </c>
    </row>
    <row r="272" spans="1:6" x14ac:dyDescent="0.25">
      <c r="A272" s="37">
        <v>44593</v>
      </c>
      <c r="B272" s="11" t="s">
        <v>75</v>
      </c>
      <c r="C272" s="23" t="s">
        <v>16</v>
      </c>
      <c r="D272" s="118">
        <v>23450000</v>
      </c>
      <c r="E272" s="110">
        <v>13000000</v>
      </c>
      <c r="F272" s="23" t="s">
        <v>108</v>
      </c>
    </row>
    <row r="273" spans="1:6" x14ac:dyDescent="0.25">
      <c r="A273" s="37">
        <v>44593</v>
      </c>
      <c r="B273" s="11" t="s">
        <v>128</v>
      </c>
      <c r="C273" s="23" t="s">
        <v>16</v>
      </c>
      <c r="D273" s="77">
        <v>6950000</v>
      </c>
      <c r="E273" s="110">
        <v>10000000</v>
      </c>
      <c r="F273" s="23" t="s">
        <v>108</v>
      </c>
    </row>
    <row r="274" spans="1:6" x14ac:dyDescent="0.25">
      <c r="A274" s="37">
        <v>44593</v>
      </c>
      <c r="B274" s="11" t="s">
        <v>127</v>
      </c>
      <c r="C274" s="23" t="s">
        <v>16</v>
      </c>
      <c r="D274" s="77">
        <v>4100000</v>
      </c>
      <c r="E274" s="110">
        <v>10000000</v>
      </c>
      <c r="F274" s="23" t="s">
        <v>108</v>
      </c>
    </row>
    <row r="275" spans="1:6" x14ac:dyDescent="0.25">
      <c r="A275" s="37">
        <v>44593</v>
      </c>
      <c r="B275" s="11" t="s">
        <v>126</v>
      </c>
      <c r="C275" s="23" t="s">
        <v>16</v>
      </c>
      <c r="D275" s="77">
        <v>5400000</v>
      </c>
      <c r="E275" s="110">
        <v>10000000</v>
      </c>
      <c r="F275" s="23" t="s">
        <v>108</v>
      </c>
    </row>
    <row r="276" spans="1:6" x14ac:dyDescent="0.25">
      <c r="A276" s="37">
        <v>44593</v>
      </c>
      <c r="B276" s="11" t="s">
        <v>124</v>
      </c>
      <c r="C276" s="23" t="s">
        <v>17</v>
      </c>
      <c r="D276" s="118">
        <v>22800000</v>
      </c>
      <c r="E276" s="110">
        <v>20000000</v>
      </c>
      <c r="F276" s="23" t="s">
        <v>108</v>
      </c>
    </row>
    <row r="277" spans="1:6" x14ac:dyDescent="0.25">
      <c r="A277" s="37">
        <v>44593</v>
      </c>
      <c r="B277" s="11" t="s">
        <v>129</v>
      </c>
      <c r="C277" s="23" t="s">
        <v>17</v>
      </c>
      <c r="D277" s="77">
        <v>17100000</v>
      </c>
      <c r="E277" s="110">
        <v>20000000</v>
      </c>
      <c r="F277" s="23" t="s">
        <v>108</v>
      </c>
    </row>
    <row r="278" spans="1:6" x14ac:dyDescent="0.25">
      <c r="A278" s="37">
        <v>44593</v>
      </c>
      <c r="B278" s="33" t="s">
        <v>130</v>
      </c>
      <c r="C278" s="23" t="s">
        <v>17</v>
      </c>
      <c r="D278" s="87">
        <v>26750000</v>
      </c>
      <c r="E278" s="117">
        <v>18000000</v>
      </c>
      <c r="F278" s="23" t="s">
        <v>108</v>
      </c>
    </row>
    <row r="279" spans="1:6" x14ac:dyDescent="0.25">
      <c r="A279" s="37">
        <v>44621</v>
      </c>
      <c r="B279" s="11" t="s">
        <v>131</v>
      </c>
      <c r="C279" s="23" t="s">
        <v>4</v>
      </c>
      <c r="D279" s="77">
        <v>21225000</v>
      </c>
      <c r="E279" s="110">
        <v>40000000</v>
      </c>
      <c r="F279" s="23" t="s">
        <v>108</v>
      </c>
    </row>
    <row r="280" spans="1:6" x14ac:dyDescent="0.25">
      <c r="A280" s="37">
        <v>44621</v>
      </c>
      <c r="B280" s="11" t="s">
        <v>75</v>
      </c>
      <c r="C280" s="23" t="s">
        <v>16</v>
      </c>
      <c r="D280" s="87">
        <v>12450000</v>
      </c>
      <c r="E280" s="110">
        <v>13000000</v>
      </c>
      <c r="F280" s="23" t="s">
        <v>108</v>
      </c>
    </row>
    <row r="281" spans="1:6" x14ac:dyDescent="0.25">
      <c r="A281" s="37">
        <v>44621</v>
      </c>
      <c r="B281" s="11" t="s">
        <v>128</v>
      </c>
      <c r="C281" s="23" t="s">
        <v>16</v>
      </c>
      <c r="D281" s="87">
        <v>8775000</v>
      </c>
      <c r="E281" s="110">
        <v>10000000</v>
      </c>
      <c r="F281" s="23" t="s">
        <v>108</v>
      </c>
    </row>
    <row r="282" spans="1:6" x14ac:dyDescent="0.25">
      <c r="A282" s="37">
        <v>44621</v>
      </c>
      <c r="B282" s="11" t="s">
        <v>124</v>
      </c>
      <c r="C282" s="23" t="s">
        <v>17</v>
      </c>
      <c r="D282" s="87">
        <v>9675000</v>
      </c>
      <c r="E282" s="110">
        <v>20000000</v>
      </c>
      <c r="F282" s="23" t="s">
        <v>108</v>
      </c>
    </row>
    <row r="283" spans="1:6" x14ac:dyDescent="0.25">
      <c r="A283" s="37">
        <v>44621</v>
      </c>
      <c r="B283" s="11" t="s">
        <v>129</v>
      </c>
      <c r="C283" s="23" t="s">
        <v>17</v>
      </c>
      <c r="D283" s="87">
        <v>11550000</v>
      </c>
      <c r="E283" s="110">
        <v>20000000</v>
      </c>
      <c r="F283" s="23" t="s">
        <v>108</v>
      </c>
    </row>
    <row r="284" spans="1:6" x14ac:dyDescent="0.25">
      <c r="A284" s="37">
        <v>44621</v>
      </c>
      <c r="B284" s="33" t="s">
        <v>130</v>
      </c>
      <c r="C284" s="23" t="s">
        <v>17</v>
      </c>
      <c r="D284" s="87">
        <v>25513175</v>
      </c>
      <c r="E284" s="117">
        <v>18000000</v>
      </c>
      <c r="F284" s="23" t="s">
        <v>108</v>
      </c>
    </row>
    <row r="285" spans="1:6" x14ac:dyDescent="0.25">
      <c r="A285" s="37">
        <v>44652</v>
      </c>
      <c r="B285" s="11" t="s">
        <v>131</v>
      </c>
      <c r="C285" s="23" t="s">
        <v>4</v>
      </c>
      <c r="D285" s="87">
        <v>28798350</v>
      </c>
      <c r="E285" s="110">
        <v>40000000</v>
      </c>
      <c r="F285" s="23" t="s">
        <v>108</v>
      </c>
    </row>
    <row r="286" spans="1:6" x14ac:dyDescent="0.25">
      <c r="A286" s="37">
        <v>44652</v>
      </c>
      <c r="B286" s="11" t="s">
        <v>75</v>
      </c>
      <c r="C286" s="23" t="s">
        <v>16</v>
      </c>
      <c r="D286" s="87">
        <v>15100000</v>
      </c>
      <c r="E286" s="110">
        <v>13000000</v>
      </c>
      <c r="F286" s="23" t="s">
        <v>108</v>
      </c>
    </row>
    <row r="287" spans="1:6" x14ac:dyDescent="0.25">
      <c r="A287" s="37">
        <v>44652</v>
      </c>
      <c r="B287" s="11" t="s">
        <v>128</v>
      </c>
      <c r="C287" s="23" t="s">
        <v>16</v>
      </c>
      <c r="D287" s="87">
        <v>3100000</v>
      </c>
      <c r="E287" s="110">
        <v>10000000</v>
      </c>
      <c r="F287" s="23" t="s">
        <v>108</v>
      </c>
    </row>
    <row r="288" spans="1:6" x14ac:dyDescent="0.25">
      <c r="A288" s="37">
        <v>44652</v>
      </c>
      <c r="B288" s="11" t="s">
        <v>124</v>
      </c>
      <c r="C288" s="23" t="s">
        <v>17</v>
      </c>
      <c r="D288" s="87">
        <v>15448350</v>
      </c>
      <c r="E288" s="110">
        <v>20000000</v>
      </c>
      <c r="F288" s="23" t="s">
        <v>108</v>
      </c>
    </row>
    <row r="289" spans="1:6" x14ac:dyDescent="0.25">
      <c r="A289" s="37">
        <v>44652</v>
      </c>
      <c r="B289" s="11" t="s">
        <v>129</v>
      </c>
      <c r="C289" s="23" t="s">
        <v>17</v>
      </c>
      <c r="D289" s="87">
        <v>13350000</v>
      </c>
      <c r="E289" s="110">
        <v>20000000</v>
      </c>
      <c r="F289" s="23" t="s">
        <v>108</v>
      </c>
    </row>
    <row r="290" spans="1:6" x14ac:dyDescent="0.25">
      <c r="A290" s="37">
        <v>44652</v>
      </c>
      <c r="B290" s="33" t="s">
        <v>130</v>
      </c>
      <c r="C290" s="23" t="s">
        <v>17</v>
      </c>
      <c r="D290" s="87">
        <v>16800000</v>
      </c>
      <c r="E290" s="117">
        <v>18000000</v>
      </c>
      <c r="F290" s="23" t="s">
        <v>108</v>
      </c>
    </row>
    <row r="291" spans="1:6" x14ac:dyDescent="0.25">
      <c r="A291" s="37">
        <v>44682</v>
      </c>
      <c r="B291" s="11" t="s">
        <v>131</v>
      </c>
      <c r="C291" s="23" t="s">
        <v>4</v>
      </c>
      <c r="D291" s="87">
        <v>61163000</v>
      </c>
      <c r="E291" s="110">
        <v>40000000</v>
      </c>
      <c r="F291" s="23" t="s">
        <v>108</v>
      </c>
    </row>
    <row r="292" spans="1:6" x14ac:dyDescent="0.25">
      <c r="A292" s="37">
        <v>44682</v>
      </c>
      <c r="B292" s="11" t="s">
        <v>75</v>
      </c>
      <c r="C292" s="23" t="s">
        <v>16</v>
      </c>
      <c r="D292" s="87">
        <v>26615000</v>
      </c>
      <c r="E292" s="110">
        <v>13000000</v>
      </c>
      <c r="F292" s="23" t="s">
        <v>108</v>
      </c>
    </row>
    <row r="293" spans="1:6" x14ac:dyDescent="0.25">
      <c r="A293" s="37">
        <v>44682</v>
      </c>
      <c r="B293" s="11" t="s">
        <v>128</v>
      </c>
      <c r="C293" s="23" t="s">
        <v>16</v>
      </c>
      <c r="D293" s="87">
        <v>7300000</v>
      </c>
      <c r="E293" s="110">
        <v>10000000</v>
      </c>
      <c r="F293" s="23" t="s">
        <v>108</v>
      </c>
    </row>
    <row r="294" spans="1:6" x14ac:dyDescent="0.25">
      <c r="A294" s="37">
        <v>44682</v>
      </c>
      <c r="B294" s="11" t="s">
        <v>124</v>
      </c>
      <c r="C294" s="23" t="s">
        <v>17</v>
      </c>
      <c r="D294" s="87">
        <v>28513000</v>
      </c>
      <c r="E294" s="110">
        <v>20000000</v>
      </c>
      <c r="F294" s="23" t="s">
        <v>108</v>
      </c>
    </row>
    <row r="295" spans="1:6" x14ac:dyDescent="0.25">
      <c r="A295" s="37">
        <v>44682</v>
      </c>
      <c r="B295" s="11" t="s">
        <v>129</v>
      </c>
      <c r="C295" s="23" t="s">
        <v>17</v>
      </c>
      <c r="D295" s="87">
        <v>19044300</v>
      </c>
      <c r="E295" s="110">
        <v>20000000</v>
      </c>
      <c r="F295" s="23" t="s">
        <v>108</v>
      </c>
    </row>
    <row r="296" spans="1:6" x14ac:dyDescent="0.25">
      <c r="A296" s="37">
        <v>44682</v>
      </c>
      <c r="B296" s="33" t="s">
        <v>130</v>
      </c>
      <c r="C296" s="23" t="s">
        <v>17</v>
      </c>
      <c r="D296" s="87">
        <v>30700000</v>
      </c>
      <c r="E296" s="117">
        <v>18000000</v>
      </c>
      <c r="F296" s="23" t="s">
        <v>108</v>
      </c>
    </row>
    <row r="297" spans="1:6" x14ac:dyDescent="0.25">
      <c r="A297" s="37">
        <v>44713</v>
      </c>
      <c r="B297" s="11" t="s">
        <v>131</v>
      </c>
      <c r="C297" s="23" t="s">
        <v>4</v>
      </c>
      <c r="D297" s="118">
        <v>51200000</v>
      </c>
      <c r="E297" s="110">
        <v>40000000</v>
      </c>
      <c r="F297" s="23" t="s">
        <v>108</v>
      </c>
    </row>
    <row r="298" spans="1:6" x14ac:dyDescent="0.25">
      <c r="A298" s="37">
        <v>44713</v>
      </c>
      <c r="B298" s="11" t="s">
        <v>75</v>
      </c>
      <c r="C298" s="23" t="s">
        <v>16</v>
      </c>
      <c r="D298" s="87">
        <v>25900000</v>
      </c>
      <c r="E298" s="110">
        <v>13000000</v>
      </c>
      <c r="F298" s="23" t="s">
        <v>108</v>
      </c>
    </row>
    <row r="299" spans="1:6" x14ac:dyDescent="0.25">
      <c r="A299" s="37">
        <v>44713</v>
      </c>
      <c r="B299" s="11" t="s">
        <v>132</v>
      </c>
      <c r="C299" s="23" t="s">
        <v>16</v>
      </c>
      <c r="D299" s="87">
        <v>13700000</v>
      </c>
      <c r="E299" s="110">
        <v>10000000</v>
      </c>
      <c r="F299" s="23" t="s">
        <v>108</v>
      </c>
    </row>
    <row r="300" spans="1:6" x14ac:dyDescent="0.25">
      <c r="A300" s="37">
        <v>44713</v>
      </c>
      <c r="B300" s="11" t="s">
        <v>133</v>
      </c>
      <c r="C300" s="23" t="s">
        <v>16</v>
      </c>
      <c r="D300" s="87">
        <v>9400000</v>
      </c>
      <c r="E300" s="110">
        <v>10000000</v>
      </c>
      <c r="F300" s="23" t="s">
        <v>108</v>
      </c>
    </row>
    <row r="301" spans="1:6" x14ac:dyDescent="0.25">
      <c r="A301" s="37">
        <v>44713</v>
      </c>
      <c r="B301" s="11" t="s">
        <v>124</v>
      </c>
      <c r="C301" s="23" t="s">
        <v>17</v>
      </c>
      <c r="D301" s="87">
        <v>8600000</v>
      </c>
      <c r="E301" s="110">
        <v>20000000</v>
      </c>
      <c r="F301" s="23" t="s">
        <v>108</v>
      </c>
    </row>
    <row r="302" spans="1:6" x14ac:dyDescent="0.25">
      <c r="A302" s="37">
        <v>44713</v>
      </c>
      <c r="B302" s="33" t="s">
        <v>130</v>
      </c>
      <c r="C302" s="23" t="s">
        <v>17</v>
      </c>
      <c r="D302" s="87">
        <v>24550000</v>
      </c>
      <c r="E302" s="117">
        <v>18000000</v>
      </c>
      <c r="F302" s="23" t="s">
        <v>108</v>
      </c>
    </row>
    <row r="303" spans="1:6" x14ac:dyDescent="0.25">
      <c r="A303" s="37">
        <v>44713</v>
      </c>
      <c r="B303" s="34" t="s">
        <v>134</v>
      </c>
      <c r="C303" s="23" t="s">
        <v>17</v>
      </c>
      <c r="D303" s="87">
        <v>15850000</v>
      </c>
      <c r="E303" s="110">
        <v>18000000</v>
      </c>
      <c r="F303" s="23" t="s">
        <v>108</v>
      </c>
    </row>
    <row r="304" spans="1:6" x14ac:dyDescent="0.25">
      <c r="A304" s="37">
        <v>44743</v>
      </c>
      <c r="B304" s="11" t="s">
        <v>131</v>
      </c>
      <c r="C304" s="23" t="s">
        <v>4</v>
      </c>
      <c r="D304" s="118">
        <v>61400000</v>
      </c>
      <c r="E304" s="110">
        <v>40000000</v>
      </c>
      <c r="F304" s="23" t="s">
        <v>108</v>
      </c>
    </row>
    <row r="305" spans="1:6" x14ac:dyDescent="0.25">
      <c r="A305" s="37">
        <v>44743</v>
      </c>
      <c r="B305" s="11" t="s">
        <v>75</v>
      </c>
      <c r="C305" s="23" t="s">
        <v>16</v>
      </c>
      <c r="D305" s="87">
        <v>28800000</v>
      </c>
      <c r="E305" s="110">
        <v>13000000</v>
      </c>
      <c r="F305" s="23" t="s">
        <v>108</v>
      </c>
    </row>
    <row r="306" spans="1:6" x14ac:dyDescent="0.25">
      <c r="A306" s="37">
        <v>44743</v>
      </c>
      <c r="B306" s="11" t="s">
        <v>132</v>
      </c>
      <c r="C306" s="23" t="s">
        <v>16</v>
      </c>
      <c r="D306" s="87">
        <v>17800000</v>
      </c>
      <c r="E306" s="110">
        <v>10000000</v>
      </c>
      <c r="F306" s="23" t="s">
        <v>108</v>
      </c>
    </row>
    <row r="307" spans="1:6" x14ac:dyDescent="0.25">
      <c r="A307" s="37">
        <v>44743</v>
      </c>
      <c r="B307" s="11" t="s">
        <v>133</v>
      </c>
      <c r="C307" s="23" t="s">
        <v>16</v>
      </c>
      <c r="D307" s="87">
        <v>9450000</v>
      </c>
      <c r="E307" s="110">
        <v>10000000</v>
      </c>
      <c r="F307" s="23" t="s">
        <v>108</v>
      </c>
    </row>
    <row r="308" spans="1:6" x14ac:dyDescent="0.25">
      <c r="A308" s="37">
        <v>44743</v>
      </c>
      <c r="B308" s="11" t="s">
        <v>135</v>
      </c>
      <c r="C308" s="23" t="s">
        <v>16</v>
      </c>
      <c r="D308" s="87">
        <v>4100000</v>
      </c>
      <c r="E308" s="110">
        <v>10000000</v>
      </c>
      <c r="F308" s="23" t="s">
        <v>108</v>
      </c>
    </row>
    <row r="309" spans="1:6" x14ac:dyDescent="0.25">
      <c r="A309" s="37">
        <v>44743</v>
      </c>
      <c r="B309" s="11" t="s">
        <v>127</v>
      </c>
      <c r="C309" s="23" t="s">
        <v>16</v>
      </c>
      <c r="D309" s="87">
        <v>8950000</v>
      </c>
      <c r="E309" s="110">
        <v>10000000</v>
      </c>
      <c r="F309" s="23" t="s">
        <v>108</v>
      </c>
    </row>
    <row r="310" spans="1:6" x14ac:dyDescent="0.25">
      <c r="A310" s="37">
        <v>44743</v>
      </c>
      <c r="B310" s="11" t="s">
        <v>124</v>
      </c>
      <c r="C310" s="23" t="s">
        <v>17</v>
      </c>
      <c r="D310" s="87">
        <v>3000000</v>
      </c>
      <c r="E310" s="110">
        <v>20000000</v>
      </c>
      <c r="F310" s="23" t="s">
        <v>108</v>
      </c>
    </row>
    <row r="311" spans="1:6" x14ac:dyDescent="0.25">
      <c r="A311" s="37">
        <v>44743</v>
      </c>
      <c r="B311" s="33" t="s">
        <v>130</v>
      </c>
      <c r="C311" s="23" t="s">
        <v>17</v>
      </c>
      <c r="D311" s="87">
        <v>37550000</v>
      </c>
      <c r="E311" s="117">
        <v>18000000</v>
      </c>
      <c r="F311" s="23" t="s">
        <v>108</v>
      </c>
    </row>
    <row r="312" spans="1:6" x14ac:dyDescent="0.25">
      <c r="A312" s="37">
        <v>44743</v>
      </c>
      <c r="B312" s="332" t="s">
        <v>134</v>
      </c>
      <c r="C312" s="42" t="s">
        <v>17</v>
      </c>
      <c r="D312" s="157">
        <v>20850000</v>
      </c>
      <c r="E312" s="117">
        <v>18000000</v>
      </c>
      <c r="F312" s="42" t="s">
        <v>108</v>
      </c>
    </row>
    <row r="313" spans="1:6" x14ac:dyDescent="0.25">
      <c r="A313" s="37">
        <v>44774</v>
      </c>
      <c r="B313" s="11" t="s">
        <v>131</v>
      </c>
      <c r="C313" s="23" t="s">
        <v>4</v>
      </c>
      <c r="D313" s="110">
        <v>56350000</v>
      </c>
      <c r="E313" s="241">
        <v>40000000</v>
      </c>
      <c r="F313" s="42" t="s">
        <v>108</v>
      </c>
    </row>
    <row r="314" spans="1:6" x14ac:dyDescent="0.25">
      <c r="A314" s="37">
        <v>44774</v>
      </c>
      <c r="B314" s="11" t="s">
        <v>75</v>
      </c>
      <c r="C314" s="23" t="s">
        <v>16</v>
      </c>
      <c r="D314" s="122">
        <v>24750000</v>
      </c>
      <c r="E314" s="241">
        <v>13000000</v>
      </c>
      <c r="F314" s="42" t="s">
        <v>108</v>
      </c>
    </row>
    <row r="315" spans="1:6" x14ac:dyDescent="0.25">
      <c r="A315" s="37">
        <v>44774</v>
      </c>
      <c r="B315" s="11" t="s">
        <v>128</v>
      </c>
      <c r="C315" s="23" t="s">
        <v>16</v>
      </c>
      <c r="D315" s="122">
        <v>31175000</v>
      </c>
      <c r="E315" s="241">
        <v>10000000</v>
      </c>
      <c r="F315" s="42" t="s">
        <v>108</v>
      </c>
    </row>
    <row r="316" spans="1:6" x14ac:dyDescent="0.25">
      <c r="A316" s="37">
        <v>44774</v>
      </c>
      <c r="B316" s="11" t="s">
        <v>132</v>
      </c>
      <c r="C316" s="23" t="s">
        <v>16</v>
      </c>
      <c r="D316" s="122">
        <v>11500000</v>
      </c>
      <c r="E316" s="241">
        <v>10000000</v>
      </c>
      <c r="F316" s="42" t="s">
        <v>108</v>
      </c>
    </row>
    <row r="317" spans="1:6" x14ac:dyDescent="0.25">
      <c r="A317" s="37">
        <v>44774</v>
      </c>
      <c r="B317" s="11" t="s">
        <v>133</v>
      </c>
      <c r="C317" s="23" t="s">
        <v>16</v>
      </c>
      <c r="D317" s="122">
        <v>8700000</v>
      </c>
      <c r="E317" s="241">
        <v>10000000</v>
      </c>
      <c r="F317" s="42" t="s">
        <v>108</v>
      </c>
    </row>
    <row r="318" spans="1:6" x14ac:dyDescent="0.25">
      <c r="A318" s="41">
        <v>44774</v>
      </c>
      <c r="B318" s="33" t="s">
        <v>135</v>
      </c>
      <c r="C318" s="42" t="s">
        <v>16</v>
      </c>
      <c r="D318" s="123">
        <v>9100000</v>
      </c>
      <c r="E318" s="268">
        <v>10000000</v>
      </c>
      <c r="F318" s="42" t="s">
        <v>108</v>
      </c>
    </row>
    <row r="319" spans="1:6" x14ac:dyDescent="0.25">
      <c r="A319" s="37">
        <v>44774</v>
      </c>
      <c r="B319" s="12" t="s">
        <v>124</v>
      </c>
      <c r="C319" s="23" t="s">
        <v>17</v>
      </c>
      <c r="D319" s="87">
        <v>22200000</v>
      </c>
      <c r="E319" s="127">
        <v>20000000</v>
      </c>
      <c r="F319" s="23" t="s">
        <v>108</v>
      </c>
    </row>
    <row r="320" spans="1:6" x14ac:dyDescent="0.25">
      <c r="A320" s="37">
        <v>44774</v>
      </c>
      <c r="B320" s="12" t="s">
        <v>130</v>
      </c>
      <c r="C320" s="23" t="s">
        <v>17</v>
      </c>
      <c r="D320" s="87">
        <v>14500000</v>
      </c>
      <c r="E320" s="127">
        <v>18000000</v>
      </c>
      <c r="F320" s="23" t="s">
        <v>108</v>
      </c>
    </row>
    <row r="321" spans="1:6" x14ac:dyDescent="0.25">
      <c r="A321" s="37">
        <v>44774</v>
      </c>
      <c r="B321" s="261" t="s">
        <v>134</v>
      </c>
      <c r="C321" s="23" t="s">
        <v>17</v>
      </c>
      <c r="D321" s="87">
        <v>19650000</v>
      </c>
      <c r="E321" s="127">
        <v>18000000</v>
      </c>
      <c r="F321" s="23" t="s">
        <v>108</v>
      </c>
    </row>
    <row r="322" spans="1:6" x14ac:dyDescent="0.25">
      <c r="A322" s="37">
        <v>44805</v>
      </c>
      <c r="B322" s="12" t="s">
        <v>131</v>
      </c>
      <c r="C322" s="23" t="s">
        <v>4</v>
      </c>
      <c r="D322" s="118">
        <v>65561000</v>
      </c>
      <c r="E322" s="127">
        <v>40000000</v>
      </c>
      <c r="F322" s="23" t="s">
        <v>108</v>
      </c>
    </row>
    <row r="323" spans="1:6" x14ac:dyDescent="0.25">
      <c r="A323" s="37">
        <v>44805</v>
      </c>
      <c r="B323" s="12" t="s">
        <v>75</v>
      </c>
      <c r="C323" s="23" t="s">
        <v>16</v>
      </c>
      <c r="D323" s="87">
        <v>23840000</v>
      </c>
      <c r="E323" s="127">
        <v>13000000</v>
      </c>
      <c r="F323" s="23" t="s">
        <v>108</v>
      </c>
    </row>
    <row r="324" spans="1:6" x14ac:dyDescent="0.25">
      <c r="A324" s="37">
        <v>44805</v>
      </c>
      <c r="B324" s="12" t="s">
        <v>132</v>
      </c>
      <c r="C324" s="23" t="s">
        <v>16</v>
      </c>
      <c r="D324" s="87">
        <v>30921000</v>
      </c>
      <c r="E324" s="127">
        <v>10000000</v>
      </c>
      <c r="F324" s="23" t="s">
        <v>108</v>
      </c>
    </row>
    <row r="325" spans="1:6" x14ac:dyDescent="0.25">
      <c r="A325" s="37">
        <v>44805</v>
      </c>
      <c r="B325" s="12" t="s">
        <v>135</v>
      </c>
      <c r="C325" s="23" t="s">
        <v>16</v>
      </c>
      <c r="D325" s="87">
        <v>10800000</v>
      </c>
      <c r="E325" s="127">
        <v>10000000</v>
      </c>
      <c r="F325" s="23" t="s">
        <v>108</v>
      </c>
    </row>
    <row r="326" spans="1:6" x14ac:dyDescent="0.25">
      <c r="A326" s="37">
        <v>44805</v>
      </c>
      <c r="B326" s="12" t="s">
        <v>124</v>
      </c>
      <c r="C326" s="23" t="s">
        <v>17</v>
      </c>
      <c r="D326" s="87">
        <v>20421000</v>
      </c>
      <c r="E326" s="127">
        <v>20000000</v>
      </c>
      <c r="F326" s="23" t="s">
        <v>108</v>
      </c>
    </row>
    <row r="327" spans="1:6" x14ac:dyDescent="0.25">
      <c r="A327" s="37">
        <v>44805</v>
      </c>
      <c r="B327" s="12" t="s">
        <v>130</v>
      </c>
      <c r="C327" s="23" t="s">
        <v>17</v>
      </c>
      <c r="D327" s="87">
        <v>34470000</v>
      </c>
      <c r="E327" s="127">
        <v>18000000</v>
      </c>
      <c r="F327" s="23" t="s">
        <v>108</v>
      </c>
    </row>
    <row r="328" spans="1:6" x14ac:dyDescent="0.25">
      <c r="A328" s="37">
        <v>44805</v>
      </c>
      <c r="B328" s="261" t="s">
        <v>134</v>
      </c>
      <c r="C328" s="23" t="s">
        <v>17</v>
      </c>
      <c r="D328" s="87">
        <v>10400000</v>
      </c>
      <c r="E328" s="127">
        <v>18000000</v>
      </c>
      <c r="F328" s="23" t="s">
        <v>108</v>
      </c>
    </row>
    <row r="329" spans="1:6" x14ac:dyDescent="0.25">
      <c r="A329" s="37">
        <v>44835</v>
      </c>
      <c r="B329" s="12" t="s">
        <v>131</v>
      </c>
      <c r="C329" s="23" t="s">
        <v>4</v>
      </c>
      <c r="D329" s="127">
        <v>36050000</v>
      </c>
      <c r="E329" s="127">
        <v>40000000</v>
      </c>
      <c r="F329" s="23" t="s">
        <v>108</v>
      </c>
    </row>
    <row r="330" spans="1:6" x14ac:dyDescent="0.25">
      <c r="A330" s="37">
        <v>44835</v>
      </c>
      <c r="B330" s="12" t="s">
        <v>75</v>
      </c>
      <c r="C330" s="23" t="s">
        <v>16</v>
      </c>
      <c r="D330" s="177">
        <v>18550000</v>
      </c>
      <c r="E330" s="127">
        <v>13000000</v>
      </c>
      <c r="F330" s="23" t="s">
        <v>108</v>
      </c>
    </row>
    <row r="331" spans="1:6" x14ac:dyDescent="0.25">
      <c r="A331" s="37">
        <v>44835</v>
      </c>
      <c r="B331" s="12" t="s">
        <v>132</v>
      </c>
      <c r="C331" s="23" t="s">
        <v>16</v>
      </c>
      <c r="D331" s="177">
        <v>17500000</v>
      </c>
      <c r="E331" s="127">
        <v>10000000</v>
      </c>
      <c r="F331" s="23" t="s">
        <v>108</v>
      </c>
    </row>
    <row r="332" spans="1:6" x14ac:dyDescent="0.25">
      <c r="A332" s="37">
        <v>44835</v>
      </c>
      <c r="B332" s="12" t="s">
        <v>124</v>
      </c>
      <c r="C332" s="23" t="s">
        <v>17</v>
      </c>
      <c r="D332" s="177">
        <v>11650000</v>
      </c>
      <c r="E332" s="127">
        <v>20000000</v>
      </c>
      <c r="F332" s="23" t="s">
        <v>108</v>
      </c>
    </row>
    <row r="333" spans="1:6" x14ac:dyDescent="0.25">
      <c r="A333" s="37">
        <v>44835</v>
      </c>
      <c r="B333" s="12" t="s">
        <v>130</v>
      </c>
      <c r="C333" s="23" t="s">
        <v>17</v>
      </c>
      <c r="D333" s="177">
        <v>30300000</v>
      </c>
      <c r="E333" s="127">
        <v>18000000</v>
      </c>
      <c r="F333" s="23" t="s">
        <v>108</v>
      </c>
    </row>
  </sheetData>
  <autoFilter ref="A2:F312" xr:uid="{BE720921-5D7E-4D7E-8A90-032B0E544A8E}"/>
  <mergeCells count="1">
    <mergeCell ref="A1:F1"/>
  </mergeCells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968B7-E8B6-40D0-8601-E7EE96FA4114}">
  <dimension ref="A1:F475"/>
  <sheetViews>
    <sheetView topLeftCell="A334" workbookViewId="0">
      <selection activeCell="C278" sqref="C278"/>
    </sheetView>
  </sheetViews>
  <sheetFormatPr baseColWidth="10" defaultRowHeight="13.2" x14ac:dyDescent="0.25"/>
  <cols>
    <col min="1" max="1" width="11.5546875" style="22"/>
    <col min="2" max="2" width="21.88671875" style="22" bestFit="1" customWidth="1"/>
    <col min="3" max="3" width="13.21875" style="22" bestFit="1" customWidth="1"/>
    <col min="4" max="4" width="14.33203125" style="22" bestFit="1" customWidth="1"/>
    <col min="5" max="5" width="14.21875" style="22" bestFit="1" customWidth="1"/>
    <col min="6" max="16384" width="11.5546875" style="22"/>
  </cols>
  <sheetData>
    <row r="1" spans="1:6" x14ac:dyDescent="0.25">
      <c r="A1" s="367" t="s">
        <v>137</v>
      </c>
      <c r="B1" s="367"/>
      <c r="C1" s="367"/>
      <c r="D1" s="367"/>
      <c r="E1" s="367"/>
      <c r="F1" s="367"/>
    </row>
    <row r="2" spans="1:6" x14ac:dyDescent="0.25">
      <c r="A2" s="35" t="s">
        <v>0</v>
      </c>
      <c r="B2" s="23" t="s">
        <v>60</v>
      </c>
      <c r="C2" s="23" t="s">
        <v>2</v>
      </c>
      <c r="D2" s="23" t="s">
        <v>3</v>
      </c>
      <c r="E2" s="36" t="s">
        <v>1</v>
      </c>
      <c r="F2" s="52" t="s">
        <v>18</v>
      </c>
    </row>
    <row r="3" spans="1:6" x14ac:dyDescent="0.25">
      <c r="A3" s="37">
        <v>43101</v>
      </c>
      <c r="B3" s="20" t="s">
        <v>181</v>
      </c>
      <c r="C3" s="23" t="s">
        <v>4</v>
      </c>
      <c r="D3" s="159">
        <v>9620000</v>
      </c>
      <c r="E3" s="168">
        <v>42000000</v>
      </c>
      <c r="F3" s="23" t="s">
        <v>145</v>
      </c>
    </row>
    <row r="4" spans="1:6" x14ac:dyDescent="0.25">
      <c r="A4" s="37">
        <v>43101</v>
      </c>
      <c r="B4" s="23" t="s">
        <v>139</v>
      </c>
      <c r="C4" s="23" t="s">
        <v>16</v>
      </c>
      <c r="D4" s="160">
        <v>8750000</v>
      </c>
      <c r="E4" s="168">
        <v>8500000</v>
      </c>
      <c r="F4" s="23" t="s">
        <v>145</v>
      </c>
    </row>
    <row r="5" spans="1:6" x14ac:dyDescent="0.25">
      <c r="A5" s="37">
        <v>43101</v>
      </c>
      <c r="B5" s="23" t="s">
        <v>140</v>
      </c>
      <c r="C5" s="23" t="s">
        <v>16</v>
      </c>
      <c r="D5" s="160">
        <v>1800000</v>
      </c>
      <c r="E5" s="205">
        <v>8500000</v>
      </c>
      <c r="F5" s="23" t="s">
        <v>145</v>
      </c>
    </row>
    <row r="6" spans="1:6" x14ac:dyDescent="0.25">
      <c r="A6" s="37">
        <v>43101</v>
      </c>
      <c r="B6" s="23" t="s">
        <v>141</v>
      </c>
      <c r="C6" s="23" t="s">
        <v>17</v>
      </c>
      <c r="D6" s="161">
        <v>15010000</v>
      </c>
      <c r="E6" s="177"/>
      <c r="F6" s="23" t="s">
        <v>145</v>
      </c>
    </row>
    <row r="7" spans="1:6" x14ac:dyDescent="0.25">
      <c r="A7" s="37">
        <v>43101</v>
      </c>
      <c r="B7" s="23" t="s">
        <v>142</v>
      </c>
      <c r="C7" s="23" t="s">
        <v>17</v>
      </c>
      <c r="D7" s="162">
        <v>1050000</v>
      </c>
      <c r="E7" s="177"/>
      <c r="F7" s="23" t="s">
        <v>145</v>
      </c>
    </row>
    <row r="8" spans="1:6" x14ac:dyDescent="0.25">
      <c r="A8" s="37">
        <v>43132</v>
      </c>
      <c r="B8" s="20" t="s">
        <v>181</v>
      </c>
      <c r="C8" s="23" t="s">
        <v>4</v>
      </c>
      <c r="D8" s="163">
        <v>18550000</v>
      </c>
      <c r="E8" s="164">
        <v>42000000</v>
      </c>
      <c r="F8" s="23" t="s">
        <v>145</v>
      </c>
    </row>
    <row r="9" spans="1:6" x14ac:dyDescent="0.25">
      <c r="A9" s="37">
        <v>43132</v>
      </c>
      <c r="B9" s="18" t="s">
        <v>143</v>
      </c>
      <c r="C9" s="23" t="s">
        <v>16</v>
      </c>
      <c r="D9" s="165">
        <v>8450000</v>
      </c>
      <c r="E9" s="164">
        <v>8500000</v>
      </c>
      <c r="F9" s="23" t="s">
        <v>145</v>
      </c>
    </row>
    <row r="10" spans="1:6" x14ac:dyDescent="0.25">
      <c r="A10" s="37">
        <v>43132</v>
      </c>
      <c r="B10" s="18" t="s">
        <v>144</v>
      </c>
      <c r="C10" s="23" t="s">
        <v>17</v>
      </c>
      <c r="D10" s="165">
        <v>22450000</v>
      </c>
      <c r="E10" s="177"/>
      <c r="F10" s="23" t="s">
        <v>145</v>
      </c>
    </row>
    <row r="11" spans="1:6" x14ac:dyDescent="0.25">
      <c r="A11" s="37">
        <v>43132</v>
      </c>
      <c r="B11" s="29" t="s">
        <v>142</v>
      </c>
      <c r="C11" s="23" t="s">
        <v>17</v>
      </c>
      <c r="D11" s="166">
        <v>7830000</v>
      </c>
      <c r="E11" s="177"/>
      <c r="F11" s="23" t="s">
        <v>145</v>
      </c>
    </row>
    <row r="12" spans="1:6" x14ac:dyDescent="0.25">
      <c r="A12" s="37">
        <v>43160</v>
      </c>
      <c r="B12" s="20" t="s">
        <v>181</v>
      </c>
      <c r="C12" s="23" t="s">
        <v>4</v>
      </c>
      <c r="D12" s="167">
        <v>10980000</v>
      </c>
      <c r="E12" s="164">
        <v>42000000</v>
      </c>
      <c r="F12" s="23" t="s">
        <v>145</v>
      </c>
    </row>
    <row r="13" spans="1:6" x14ac:dyDescent="0.25">
      <c r="A13" s="37">
        <v>43160</v>
      </c>
      <c r="B13" s="18" t="s">
        <v>143</v>
      </c>
      <c r="C13" s="23" t="s">
        <v>16</v>
      </c>
      <c r="D13" s="165">
        <v>6200000</v>
      </c>
      <c r="E13" s="164">
        <v>8500000</v>
      </c>
      <c r="F13" s="23" t="s">
        <v>145</v>
      </c>
    </row>
    <row r="14" spans="1:6" x14ac:dyDescent="0.25">
      <c r="A14" s="37">
        <v>43160</v>
      </c>
      <c r="B14" s="18" t="s">
        <v>144</v>
      </c>
      <c r="C14" s="23" t="s">
        <v>17</v>
      </c>
      <c r="D14" s="165">
        <v>14423000</v>
      </c>
      <c r="E14" s="177"/>
      <c r="F14" s="23" t="s">
        <v>145</v>
      </c>
    </row>
    <row r="15" spans="1:6" x14ac:dyDescent="0.25">
      <c r="A15" s="37">
        <v>43160</v>
      </c>
      <c r="B15" s="29" t="s">
        <v>142</v>
      </c>
      <c r="C15" s="23" t="s">
        <v>17</v>
      </c>
      <c r="D15" s="165">
        <v>11100000</v>
      </c>
      <c r="E15" s="177"/>
      <c r="F15" s="23" t="s">
        <v>145</v>
      </c>
    </row>
    <row r="16" spans="1:6" x14ac:dyDescent="0.25">
      <c r="A16" s="37">
        <v>43191</v>
      </c>
      <c r="B16" s="20" t="s">
        <v>181</v>
      </c>
      <c r="C16" s="23" t="s">
        <v>4</v>
      </c>
      <c r="D16" s="167">
        <v>18319736</v>
      </c>
      <c r="E16" s="164">
        <v>42000000</v>
      </c>
      <c r="F16" s="23" t="s">
        <v>145</v>
      </c>
    </row>
    <row r="17" spans="1:6" x14ac:dyDescent="0.25">
      <c r="A17" s="37">
        <v>43191</v>
      </c>
      <c r="B17" s="18" t="s">
        <v>143</v>
      </c>
      <c r="C17" s="23" t="s">
        <v>16</v>
      </c>
      <c r="D17" s="165">
        <v>1200000</v>
      </c>
      <c r="E17" s="164">
        <v>8500000</v>
      </c>
      <c r="F17" s="23" t="s">
        <v>145</v>
      </c>
    </row>
    <row r="18" spans="1:6" x14ac:dyDescent="0.25">
      <c r="A18" s="37">
        <v>43191</v>
      </c>
      <c r="B18" s="18" t="s">
        <v>144</v>
      </c>
      <c r="C18" s="23" t="s">
        <v>17</v>
      </c>
      <c r="D18" s="165">
        <v>22730000</v>
      </c>
      <c r="E18" s="177"/>
      <c r="F18" s="23" t="s">
        <v>145</v>
      </c>
    </row>
    <row r="19" spans="1:6" x14ac:dyDescent="0.25">
      <c r="A19" s="37">
        <v>43191</v>
      </c>
      <c r="B19" s="29" t="s">
        <v>142</v>
      </c>
      <c r="C19" s="23" t="s">
        <v>17</v>
      </c>
      <c r="D19" s="165">
        <v>11340000</v>
      </c>
      <c r="E19" s="177"/>
      <c r="F19" s="23" t="s">
        <v>145</v>
      </c>
    </row>
    <row r="20" spans="1:6" x14ac:dyDescent="0.25">
      <c r="A20" s="37">
        <v>43221</v>
      </c>
      <c r="B20" s="20" t="s">
        <v>181</v>
      </c>
      <c r="C20" s="23" t="s">
        <v>4</v>
      </c>
      <c r="D20" s="167">
        <v>6950000</v>
      </c>
      <c r="E20" s="164">
        <v>42000000</v>
      </c>
      <c r="F20" s="23" t="s">
        <v>145</v>
      </c>
    </row>
    <row r="21" spans="1:6" x14ac:dyDescent="0.25">
      <c r="A21" s="37">
        <v>43221</v>
      </c>
      <c r="B21" s="18" t="s">
        <v>143</v>
      </c>
      <c r="C21" s="23" t="s">
        <v>16</v>
      </c>
      <c r="D21" s="165">
        <v>6950000</v>
      </c>
      <c r="E21" s="164">
        <v>8500000</v>
      </c>
      <c r="F21" s="23" t="s">
        <v>145</v>
      </c>
    </row>
    <row r="22" spans="1:6" x14ac:dyDescent="0.25">
      <c r="A22" s="37">
        <v>43221</v>
      </c>
      <c r="B22" s="18" t="s">
        <v>144</v>
      </c>
      <c r="C22" s="23" t="s">
        <v>17</v>
      </c>
      <c r="D22" s="165">
        <v>10580000</v>
      </c>
      <c r="E22" s="177"/>
      <c r="F22" s="23" t="s">
        <v>145</v>
      </c>
    </row>
    <row r="23" spans="1:6" x14ac:dyDescent="0.25">
      <c r="A23" s="37">
        <v>43221</v>
      </c>
      <c r="B23" s="18" t="s">
        <v>147</v>
      </c>
      <c r="C23" s="23" t="s">
        <v>17</v>
      </c>
      <c r="D23" s="165">
        <v>3100000</v>
      </c>
      <c r="E23" s="177"/>
      <c r="F23" s="23" t="s">
        <v>145</v>
      </c>
    </row>
    <row r="24" spans="1:6" x14ac:dyDescent="0.25">
      <c r="A24" s="37">
        <v>43221</v>
      </c>
      <c r="B24" s="29" t="s">
        <v>142</v>
      </c>
      <c r="C24" s="23" t="s">
        <v>17</v>
      </c>
      <c r="D24" s="165">
        <v>7550000</v>
      </c>
      <c r="E24" s="177"/>
      <c r="F24" s="23" t="s">
        <v>145</v>
      </c>
    </row>
    <row r="25" spans="1:6" x14ac:dyDescent="0.25">
      <c r="A25" s="37">
        <v>43252</v>
      </c>
      <c r="B25" s="20" t="s">
        <v>181</v>
      </c>
      <c r="C25" s="23" t="s">
        <v>4</v>
      </c>
      <c r="D25" s="167">
        <v>20609913</v>
      </c>
      <c r="E25" s="164">
        <v>42000000</v>
      </c>
      <c r="F25" s="23" t="s">
        <v>145</v>
      </c>
    </row>
    <row r="26" spans="1:6" x14ac:dyDescent="0.25">
      <c r="A26" s="37">
        <v>43252</v>
      </c>
      <c r="B26" s="18" t="s">
        <v>143</v>
      </c>
      <c r="C26" s="23" t="s">
        <v>16</v>
      </c>
      <c r="D26" s="165">
        <v>12670000</v>
      </c>
      <c r="E26" s="164">
        <v>8500000</v>
      </c>
      <c r="F26" s="23" t="s">
        <v>145</v>
      </c>
    </row>
    <row r="27" spans="1:6" x14ac:dyDescent="0.25">
      <c r="A27" s="37">
        <v>43252</v>
      </c>
      <c r="B27" s="18" t="s">
        <v>144</v>
      </c>
      <c r="C27" s="23" t="s">
        <v>17</v>
      </c>
      <c r="D27" s="165">
        <v>16509913</v>
      </c>
      <c r="E27" s="177"/>
      <c r="F27" s="23" t="s">
        <v>145</v>
      </c>
    </row>
    <row r="28" spans="1:6" x14ac:dyDescent="0.25">
      <c r="A28" s="37">
        <v>43252</v>
      </c>
      <c r="B28" s="18" t="s">
        <v>147</v>
      </c>
      <c r="C28" s="23" t="s">
        <v>17</v>
      </c>
      <c r="D28" s="165">
        <v>9850000</v>
      </c>
      <c r="E28" s="177"/>
      <c r="F28" s="23" t="s">
        <v>145</v>
      </c>
    </row>
    <row r="29" spans="1:6" x14ac:dyDescent="0.25">
      <c r="A29" s="37">
        <v>43252</v>
      </c>
      <c r="B29" s="29" t="s">
        <v>142</v>
      </c>
      <c r="C29" s="23" t="s">
        <v>17</v>
      </c>
      <c r="D29" s="165">
        <v>5820000</v>
      </c>
      <c r="E29" s="177"/>
      <c r="F29" s="23" t="s">
        <v>145</v>
      </c>
    </row>
    <row r="30" spans="1:6" x14ac:dyDescent="0.25">
      <c r="A30" s="37">
        <v>43282</v>
      </c>
      <c r="B30" s="20" t="s">
        <v>181</v>
      </c>
      <c r="C30" s="23" t="s">
        <v>4</v>
      </c>
      <c r="D30" s="167">
        <v>12750000</v>
      </c>
      <c r="E30" s="164">
        <v>42000000</v>
      </c>
      <c r="F30" s="23" t="s">
        <v>145</v>
      </c>
    </row>
    <row r="31" spans="1:6" x14ac:dyDescent="0.25">
      <c r="A31" s="37">
        <v>43282</v>
      </c>
      <c r="B31" s="18" t="s">
        <v>143</v>
      </c>
      <c r="C31" s="23" t="s">
        <v>16</v>
      </c>
      <c r="D31" s="165">
        <v>8850000</v>
      </c>
      <c r="E31" s="164">
        <v>8500000</v>
      </c>
      <c r="F31" s="23" t="s">
        <v>145</v>
      </c>
    </row>
    <row r="32" spans="1:6" x14ac:dyDescent="0.25">
      <c r="A32" s="37">
        <v>43282</v>
      </c>
      <c r="B32" s="18" t="s">
        <v>144</v>
      </c>
      <c r="C32" s="23" t="s">
        <v>17</v>
      </c>
      <c r="D32" s="165">
        <v>8200000</v>
      </c>
      <c r="E32" s="177"/>
      <c r="F32" s="23" t="s">
        <v>145</v>
      </c>
    </row>
    <row r="33" spans="1:6" x14ac:dyDescent="0.25">
      <c r="A33" s="37">
        <v>43282</v>
      </c>
      <c r="B33" s="18" t="s">
        <v>147</v>
      </c>
      <c r="C33" s="23" t="s">
        <v>17</v>
      </c>
      <c r="D33" s="165">
        <v>5480000</v>
      </c>
      <c r="E33" s="177"/>
      <c r="F33" s="23" t="s">
        <v>145</v>
      </c>
    </row>
    <row r="34" spans="1:6" x14ac:dyDescent="0.25">
      <c r="A34" s="37">
        <v>43282</v>
      </c>
      <c r="B34" s="29" t="s">
        <v>142</v>
      </c>
      <c r="C34" s="23" t="s">
        <v>17</v>
      </c>
      <c r="D34" s="165">
        <v>5280000</v>
      </c>
      <c r="E34" s="177"/>
      <c r="F34" s="23" t="s">
        <v>145</v>
      </c>
    </row>
    <row r="35" spans="1:6" x14ac:dyDescent="0.25">
      <c r="A35" s="37">
        <v>43313</v>
      </c>
      <c r="B35" s="20" t="s">
        <v>181</v>
      </c>
      <c r="C35" s="23" t="s">
        <v>4</v>
      </c>
      <c r="D35" s="167">
        <v>16730000</v>
      </c>
      <c r="E35" s="168">
        <v>42000000</v>
      </c>
      <c r="F35" s="23" t="s">
        <v>145</v>
      </c>
    </row>
    <row r="36" spans="1:6" x14ac:dyDescent="0.25">
      <c r="A36" s="37">
        <v>43313</v>
      </c>
      <c r="B36" s="18" t="s">
        <v>138</v>
      </c>
      <c r="C36" s="23" t="s">
        <v>16</v>
      </c>
      <c r="D36" s="165">
        <v>3350000</v>
      </c>
      <c r="E36" s="168">
        <v>8500000</v>
      </c>
      <c r="F36" s="23" t="s">
        <v>145</v>
      </c>
    </row>
    <row r="37" spans="1:6" x14ac:dyDescent="0.25">
      <c r="A37" s="37">
        <v>43313</v>
      </c>
      <c r="B37" s="18" t="s">
        <v>143</v>
      </c>
      <c r="C37" s="23" t="s">
        <v>16</v>
      </c>
      <c r="D37" s="165">
        <v>25300000</v>
      </c>
      <c r="E37" s="168">
        <v>8500000</v>
      </c>
      <c r="F37" s="23" t="s">
        <v>145</v>
      </c>
    </row>
    <row r="38" spans="1:6" x14ac:dyDescent="0.25">
      <c r="A38" s="37">
        <v>43313</v>
      </c>
      <c r="B38" s="18" t="s">
        <v>140</v>
      </c>
      <c r="C38" s="23" t="s">
        <v>16</v>
      </c>
      <c r="D38" s="165">
        <v>7300000</v>
      </c>
      <c r="E38" s="168">
        <v>8500000</v>
      </c>
      <c r="F38" s="23" t="s">
        <v>145</v>
      </c>
    </row>
    <row r="39" spans="1:6" x14ac:dyDescent="0.25">
      <c r="A39" s="37">
        <v>43313</v>
      </c>
      <c r="B39" s="18" t="s">
        <v>144</v>
      </c>
      <c r="C39" s="23" t="s">
        <v>17</v>
      </c>
      <c r="D39" s="165">
        <v>12080000</v>
      </c>
      <c r="E39" s="177"/>
      <c r="F39" s="23" t="s">
        <v>145</v>
      </c>
    </row>
    <row r="40" spans="1:6" x14ac:dyDescent="0.25">
      <c r="A40" s="37">
        <v>43313</v>
      </c>
      <c r="B40" s="18" t="s">
        <v>147</v>
      </c>
      <c r="C40" s="23" t="s">
        <v>17</v>
      </c>
      <c r="D40" s="165">
        <v>4650000</v>
      </c>
      <c r="E40" s="177"/>
      <c r="F40" s="23" t="s">
        <v>145</v>
      </c>
    </row>
    <row r="41" spans="1:6" x14ac:dyDescent="0.25">
      <c r="A41" s="37">
        <v>43313</v>
      </c>
      <c r="B41" s="29" t="s">
        <v>142</v>
      </c>
      <c r="C41" s="23" t="s">
        <v>17</v>
      </c>
      <c r="D41" s="165">
        <v>8408000</v>
      </c>
      <c r="E41" s="177"/>
      <c r="F41" s="23" t="s">
        <v>145</v>
      </c>
    </row>
    <row r="42" spans="1:6" x14ac:dyDescent="0.25">
      <c r="A42" s="37">
        <v>43344</v>
      </c>
      <c r="B42" s="20" t="s">
        <v>181</v>
      </c>
      <c r="C42" s="23" t="s">
        <v>4</v>
      </c>
      <c r="D42" s="167">
        <v>23450000</v>
      </c>
      <c r="E42" s="168">
        <v>42000000</v>
      </c>
      <c r="F42" s="23" t="s">
        <v>145</v>
      </c>
    </row>
    <row r="43" spans="1:6" x14ac:dyDescent="0.25">
      <c r="A43" s="37">
        <v>43344</v>
      </c>
      <c r="B43" s="18" t="s">
        <v>138</v>
      </c>
      <c r="C43" s="23" t="s">
        <v>16</v>
      </c>
      <c r="D43" s="165">
        <v>9550000</v>
      </c>
      <c r="E43" s="168">
        <v>8500000</v>
      </c>
      <c r="F43" s="23" t="s">
        <v>145</v>
      </c>
    </row>
    <row r="44" spans="1:6" x14ac:dyDescent="0.25">
      <c r="A44" s="37">
        <v>43344</v>
      </c>
      <c r="B44" s="18" t="s">
        <v>143</v>
      </c>
      <c r="C44" s="23" t="s">
        <v>16</v>
      </c>
      <c r="D44" s="165">
        <v>7300000</v>
      </c>
      <c r="E44" s="168">
        <v>8500000</v>
      </c>
      <c r="F44" s="23" t="s">
        <v>145</v>
      </c>
    </row>
    <row r="45" spans="1:6" x14ac:dyDescent="0.25">
      <c r="A45" s="37">
        <v>43344</v>
      </c>
      <c r="B45" s="18" t="s">
        <v>140</v>
      </c>
      <c r="C45" s="23" t="s">
        <v>16</v>
      </c>
      <c r="D45" s="165">
        <v>5600000</v>
      </c>
      <c r="E45" s="168">
        <v>8500000</v>
      </c>
      <c r="F45" s="23" t="s">
        <v>145</v>
      </c>
    </row>
    <row r="46" spans="1:6" x14ac:dyDescent="0.25">
      <c r="A46" s="37">
        <v>43344</v>
      </c>
      <c r="B46" s="18" t="s">
        <v>144</v>
      </c>
      <c r="C46" s="23" t="s">
        <v>17</v>
      </c>
      <c r="D46" s="165">
        <v>16600000</v>
      </c>
      <c r="E46" s="177"/>
      <c r="F46" s="23" t="s">
        <v>145</v>
      </c>
    </row>
    <row r="47" spans="1:6" x14ac:dyDescent="0.25">
      <c r="A47" s="37">
        <v>43344</v>
      </c>
      <c r="B47" s="18" t="s">
        <v>147</v>
      </c>
      <c r="C47" s="23" t="s">
        <v>17</v>
      </c>
      <c r="D47" s="165">
        <v>6850000</v>
      </c>
      <c r="E47" s="177"/>
      <c r="F47" s="23" t="s">
        <v>145</v>
      </c>
    </row>
    <row r="48" spans="1:6" x14ac:dyDescent="0.25">
      <c r="A48" s="37">
        <v>43344</v>
      </c>
      <c r="B48" s="29" t="s">
        <v>142</v>
      </c>
      <c r="C48" s="23" t="s">
        <v>17</v>
      </c>
      <c r="D48" s="165">
        <v>3180000</v>
      </c>
      <c r="E48" s="177"/>
      <c r="F48" s="23" t="s">
        <v>145</v>
      </c>
    </row>
    <row r="49" spans="1:6" x14ac:dyDescent="0.25">
      <c r="A49" s="37">
        <v>43374</v>
      </c>
      <c r="B49" s="20" t="s">
        <v>181</v>
      </c>
      <c r="C49" s="23" t="s">
        <v>4</v>
      </c>
      <c r="D49" s="167">
        <v>27200000</v>
      </c>
      <c r="E49" s="168">
        <v>42000000</v>
      </c>
      <c r="F49" s="23" t="s">
        <v>145</v>
      </c>
    </row>
    <row r="50" spans="1:6" x14ac:dyDescent="0.25">
      <c r="A50" s="37">
        <v>43374</v>
      </c>
      <c r="B50" s="18" t="s">
        <v>138</v>
      </c>
      <c r="C50" s="23" t="s">
        <v>16</v>
      </c>
      <c r="D50" s="165">
        <v>10750000</v>
      </c>
      <c r="E50" s="168">
        <v>8500000</v>
      </c>
      <c r="F50" s="23" t="s">
        <v>145</v>
      </c>
    </row>
    <row r="51" spans="1:6" x14ac:dyDescent="0.25">
      <c r="A51" s="37">
        <v>43374</v>
      </c>
      <c r="B51" s="18" t="s">
        <v>143</v>
      </c>
      <c r="C51" s="23" t="s">
        <v>16</v>
      </c>
      <c r="D51" s="165">
        <v>9700000</v>
      </c>
      <c r="E51" s="168">
        <v>8500000</v>
      </c>
      <c r="F51" s="23" t="s">
        <v>145</v>
      </c>
    </row>
    <row r="52" spans="1:6" x14ac:dyDescent="0.25">
      <c r="A52" s="37">
        <v>43374</v>
      </c>
      <c r="B52" s="18" t="s">
        <v>140</v>
      </c>
      <c r="C52" s="23" t="s">
        <v>16</v>
      </c>
      <c r="D52" s="165">
        <v>5650000</v>
      </c>
      <c r="E52" s="168">
        <v>8500000</v>
      </c>
      <c r="F52" s="23" t="s">
        <v>145</v>
      </c>
    </row>
    <row r="53" spans="1:6" x14ac:dyDescent="0.25">
      <c r="A53" s="37">
        <v>43374</v>
      </c>
      <c r="B53" s="18" t="s">
        <v>144</v>
      </c>
      <c r="C53" s="23" t="s">
        <v>17</v>
      </c>
      <c r="D53" s="165">
        <v>16800000</v>
      </c>
      <c r="E53" s="177"/>
      <c r="F53" s="23" t="s">
        <v>145</v>
      </c>
    </row>
    <row r="54" spans="1:6" x14ac:dyDescent="0.25">
      <c r="A54" s="37">
        <v>43374</v>
      </c>
      <c r="B54" s="18" t="s">
        <v>147</v>
      </c>
      <c r="C54" s="23" t="s">
        <v>17</v>
      </c>
      <c r="D54" s="165">
        <v>6000000</v>
      </c>
      <c r="E54" s="177"/>
      <c r="F54" s="23" t="s">
        <v>145</v>
      </c>
    </row>
    <row r="55" spans="1:6" x14ac:dyDescent="0.25">
      <c r="A55" s="37">
        <v>43374</v>
      </c>
      <c r="B55" s="29" t="s">
        <v>142</v>
      </c>
      <c r="C55" s="23" t="s">
        <v>17</v>
      </c>
      <c r="D55" s="165">
        <v>7450000</v>
      </c>
      <c r="E55" s="177"/>
      <c r="F55" s="23" t="s">
        <v>145</v>
      </c>
    </row>
    <row r="56" spans="1:6" x14ac:dyDescent="0.25">
      <c r="A56" s="206">
        <v>43405</v>
      </c>
      <c r="B56" s="20" t="s">
        <v>181</v>
      </c>
      <c r="C56" s="44" t="s">
        <v>4</v>
      </c>
      <c r="D56" s="167">
        <v>25593000</v>
      </c>
      <c r="E56" s="207">
        <v>42000000</v>
      </c>
      <c r="F56" s="23" t="s">
        <v>145</v>
      </c>
    </row>
    <row r="57" spans="1:6" x14ac:dyDescent="0.25">
      <c r="A57" s="206">
        <v>43405</v>
      </c>
      <c r="B57" s="208" t="s">
        <v>138</v>
      </c>
      <c r="C57" s="45" t="s">
        <v>16</v>
      </c>
      <c r="D57" s="165">
        <v>8583000</v>
      </c>
      <c r="E57" s="209">
        <v>8500000</v>
      </c>
      <c r="F57" s="23" t="s">
        <v>145</v>
      </c>
    </row>
    <row r="58" spans="1:6" x14ac:dyDescent="0.25">
      <c r="A58" s="206">
        <v>43405</v>
      </c>
      <c r="B58" s="208" t="s">
        <v>143</v>
      </c>
      <c r="C58" s="45" t="s">
        <v>16</v>
      </c>
      <c r="D58" s="165">
        <v>9030000</v>
      </c>
      <c r="E58" s="209">
        <v>8500000</v>
      </c>
      <c r="F58" s="23" t="s">
        <v>145</v>
      </c>
    </row>
    <row r="59" spans="1:6" x14ac:dyDescent="0.25">
      <c r="A59" s="206">
        <v>43405</v>
      </c>
      <c r="B59" s="208" t="s">
        <v>140</v>
      </c>
      <c r="C59" s="45" t="s">
        <v>16</v>
      </c>
      <c r="D59" s="165">
        <v>8200000</v>
      </c>
      <c r="E59" s="209">
        <v>8500000</v>
      </c>
      <c r="F59" s="23" t="s">
        <v>145</v>
      </c>
    </row>
    <row r="60" spans="1:6" x14ac:dyDescent="0.25">
      <c r="A60" s="206">
        <v>43405</v>
      </c>
      <c r="B60" s="208" t="s">
        <v>144</v>
      </c>
      <c r="C60" s="45" t="s">
        <v>17</v>
      </c>
      <c r="D60" s="165">
        <v>7000000</v>
      </c>
      <c r="E60" s="210"/>
      <c r="F60" s="23" t="s">
        <v>145</v>
      </c>
    </row>
    <row r="61" spans="1:6" x14ac:dyDescent="0.25">
      <c r="A61" s="206">
        <v>43405</v>
      </c>
      <c r="B61" s="208" t="s">
        <v>147</v>
      </c>
      <c r="C61" s="45" t="s">
        <v>17</v>
      </c>
      <c r="D61" s="165">
        <v>5750000</v>
      </c>
      <c r="E61" s="210"/>
      <c r="F61" s="23" t="s">
        <v>145</v>
      </c>
    </row>
    <row r="62" spans="1:6" x14ac:dyDescent="0.25">
      <c r="A62" s="206">
        <v>43405</v>
      </c>
      <c r="B62" s="208" t="s">
        <v>142</v>
      </c>
      <c r="C62" s="45" t="s">
        <v>17</v>
      </c>
      <c r="D62" s="165">
        <v>16443000</v>
      </c>
      <c r="E62" s="210"/>
      <c r="F62" s="23" t="s">
        <v>145</v>
      </c>
    </row>
    <row r="63" spans="1:6" x14ac:dyDescent="0.25">
      <c r="A63" s="206">
        <v>43435</v>
      </c>
      <c r="B63" s="20" t="s">
        <v>181</v>
      </c>
      <c r="C63" s="44" t="s">
        <v>4</v>
      </c>
      <c r="D63" s="167">
        <v>20400000</v>
      </c>
      <c r="E63" s="207">
        <v>42000000</v>
      </c>
      <c r="F63" s="23" t="s">
        <v>145</v>
      </c>
    </row>
    <row r="64" spans="1:6" x14ac:dyDescent="0.25">
      <c r="A64" s="206">
        <v>43435</v>
      </c>
      <c r="B64" s="208" t="s">
        <v>138</v>
      </c>
      <c r="C64" s="45" t="s">
        <v>16</v>
      </c>
      <c r="D64" s="165">
        <v>8850000</v>
      </c>
      <c r="E64" s="209">
        <v>8500000</v>
      </c>
      <c r="F64" s="23" t="s">
        <v>145</v>
      </c>
    </row>
    <row r="65" spans="1:6" x14ac:dyDescent="0.25">
      <c r="A65" s="206">
        <v>43435</v>
      </c>
      <c r="B65" s="208" t="s">
        <v>143</v>
      </c>
      <c r="C65" s="45" t="s">
        <v>16</v>
      </c>
      <c r="D65" s="165">
        <v>6550000</v>
      </c>
      <c r="E65" s="209">
        <v>8500000</v>
      </c>
      <c r="F65" s="23" t="s">
        <v>145</v>
      </c>
    </row>
    <row r="66" spans="1:6" x14ac:dyDescent="0.25">
      <c r="A66" s="206">
        <v>43435</v>
      </c>
      <c r="B66" s="208" t="s">
        <v>140</v>
      </c>
      <c r="C66" s="45" t="s">
        <v>16</v>
      </c>
      <c r="D66" s="165">
        <v>5000000</v>
      </c>
      <c r="E66" s="209">
        <v>8500000</v>
      </c>
      <c r="F66" s="23" t="s">
        <v>145</v>
      </c>
    </row>
    <row r="67" spans="1:6" x14ac:dyDescent="0.25">
      <c r="A67" s="206">
        <v>43435</v>
      </c>
      <c r="B67" s="208" t="s">
        <v>144</v>
      </c>
      <c r="C67" s="45" t="s">
        <v>17</v>
      </c>
      <c r="D67" s="165">
        <v>7000000</v>
      </c>
      <c r="E67" s="210"/>
      <c r="F67" s="23" t="s">
        <v>145</v>
      </c>
    </row>
    <row r="68" spans="1:6" x14ac:dyDescent="0.25">
      <c r="A68" s="206">
        <v>43435</v>
      </c>
      <c r="B68" s="208" t="s">
        <v>147</v>
      </c>
      <c r="C68" s="45" t="s">
        <v>17</v>
      </c>
      <c r="D68" s="165">
        <v>10730000</v>
      </c>
      <c r="E68" s="210"/>
      <c r="F68" s="23" t="s">
        <v>145</v>
      </c>
    </row>
    <row r="69" spans="1:6" x14ac:dyDescent="0.25">
      <c r="A69" s="206">
        <v>43435</v>
      </c>
      <c r="B69" s="208" t="s">
        <v>142</v>
      </c>
      <c r="C69" s="45" t="s">
        <v>17</v>
      </c>
      <c r="D69" s="165">
        <v>7550000</v>
      </c>
      <c r="E69" s="210"/>
      <c r="F69" s="23" t="s">
        <v>145</v>
      </c>
    </row>
    <row r="70" spans="1:6" x14ac:dyDescent="0.25">
      <c r="A70" s="206">
        <v>43466</v>
      </c>
      <c r="B70" s="54" t="s">
        <v>117</v>
      </c>
      <c r="C70" s="23" t="s">
        <v>4</v>
      </c>
      <c r="D70" s="173">
        <v>29175000</v>
      </c>
      <c r="E70" s="169">
        <v>33000000</v>
      </c>
      <c r="F70" s="23" t="s">
        <v>145</v>
      </c>
    </row>
    <row r="71" spans="1:6" x14ac:dyDescent="0.25">
      <c r="A71" s="206">
        <v>43466</v>
      </c>
      <c r="B71" s="18" t="s">
        <v>138</v>
      </c>
      <c r="C71" s="23" t="s">
        <v>16</v>
      </c>
      <c r="D71" s="173">
        <v>5175000</v>
      </c>
      <c r="E71" s="169">
        <v>11000000</v>
      </c>
      <c r="F71" s="23" t="s">
        <v>145</v>
      </c>
    </row>
    <row r="72" spans="1:6" x14ac:dyDescent="0.25">
      <c r="A72" s="206">
        <v>43466</v>
      </c>
      <c r="B72" s="18" t="s">
        <v>143</v>
      </c>
      <c r="C72" s="23" t="s">
        <v>16</v>
      </c>
      <c r="D72" s="160">
        <v>15800000</v>
      </c>
      <c r="E72" s="169">
        <v>11000000</v>
      </c>
      <c r="F72" s="23" t="s">
        <v>145</v>
      </c>
    </row>
    <row r="73" spans="1:6" x14ac:dyDescent="0.25">
      <c r="A73" s="206">
        <v>43466</v>
      </c>
      <c r="B73" s="18" t="s">
        <v>140</v>
      </c>
      <c r="C73" s="23" t="s">
        <v>16</v>
      </c>
      <c r="D73" s="173">
        <v>8200000</v>
      </c>
      <c r="E73" s="169">
        <v>11000000</v>
      </c>
      <c r="F73" s="23" t="s">
        <v>145</v>
      </c>
    </row>
    <row r="74" spans="1:6" x14ac:dyDescent="0.25">
      <c r="A74" s="206">
        <v>43466</v>
      </c>
      <c r="B74" s="18" t="s">
        <v>118</v>
      </c>
      <c r="C74" s="23" t="s">
        <v>16</v>
      </c>
      <c r="D74" s="173">
        <v>6900000</v>
      </c>
      <c r="E74" s="170">
        <v>9166667</v>
      </c>
      <c r="F74" s="23" t="s">
        <v>145</v>
      </c>
    </row>
    <row r="75" spans="1:6" x14ac:dyDescent="0.25">
      <c r="A75" s="206">
        <v>43466</v>
      </c>
      <c r="B75" s="18" t="s">
        <v>144</v>
      </c>
      <c r="C75" s="23" t="s">
        <v>17</v>
      </c>
      <c r="D75" s="174">
        <v>9100000</v>
      </c>
      <c r="E75" s="171">
        <v>8500000</v>
      </c>
      <c r="F75" s="23" t="s">
        <v>145</v>
      </c>
    </row>
    <row r="76" spans="1:6" x14ac:dyDescent="0.25">
      <c r="A76" s="206">
        <v>43466</v>
      </c>
      <c r="B76" s="18" t="s">
        <v>147</v>
      </c>
      <c r="C76" s="23" t="s">
        <v>17</v>
      </c>
      <c r="D76" s="174">
        <v>8575000</v>
      </c>
      <c r="E76" s="171">
        <v>8500000</v>
      </c>
      <c r="F76" s="23" t="s">
        <v>145</v>
      </c>
    </row>
    <row r="77" spans="1:6" x14ac:dyDescent="0.25">
      <c r="A77" s="206">
        <v>43466</v>
      </c>
      <c r="B77" s="47" t="s">
        <v>142</v>
      </c>
      <c r="C77" s="23" t="s">
        <v>17</v>
      </c>
      <c r="D77" s="175">
        <v>11500000</v>
      </c>
      <c r="E77" s="172">
        <v>8500000</v>
      </c>
      <c r="F77" s="23" t="s">
        <v>145</v>
      </c>
    </row>
    <row r="78" spans="1:6" x14ac:dyDescent="0.25">
      <c r="A78" s="37">
        <v>43497</v>
      </c>
      <c r="B78" s="54" t="s">
        <v>117</v>
      </c>
      <c r="C78" s="23" t="s">
        <v>4</v>
      </c>
      <c r="D78" s="173">
        <v>30246509</v>
      </c>
      <c r="E78" s="169">
        <v>33000000</v>
      </c>
      <c r="F78" s="23" t="s">
        <v>145</v>
      </c>
    </row>
    <row r="79" spans="1:6" x14ac:dyDescent="0.25">
      <c r="A79" s="37">
        <v>43497</v>
      </c>
      <c r="B79" s="18" t="s">
        <v>138</v>
      </c>
      <c r="C79" s="23" t="s">
        <v>16</v>
      </c>
      <c r="D79" s="160">
        <v>12350000</v>
      </c>
      <c r="E79" s="169">
        <v>11000000</v>
      </c>
      <c r="F79" s="23" t="s">
        <v>145</v>
      </c>
    </row>
    <row r="80" spans="1:6" x14ac:dyDescent="0.25">
      <c r="A80" s="37">
        <v>43497</v>
      </c>
      <c r="B80" s="18" t="s">
        <v>143</v>
      </c>
      <c r="C80" s="23" t="s">
        <v>16</v>
      </c>
      <c r="D80" s="173">
        <v>8280000</v>
      </c>
      <c r="E80" s="169">
        <v>11000000</v>
      </c>
      <c r="F80" s="23" t="s">
        <v>145</v>
      </c>
    </row>
    <row r="81" spans="1:6" x14ac:dyDescent="0.25">
      <c r="A81" s="37">
        <v>43497</v>
      </c>
      <c r="B81" s="18" t="s">
        <v>140</v>
      </c>
      <c r="C81" s="23" t="s">
        <v>16</v>
      </c>
      <c r="D81" s="173">
        <v>9616506</v>
      </c>
      <c r="E81" s="169">
        <v>11000000</v>
      </c>
      <c r="F81" s="23" t="s">
        <v>145</v>
      </c>
    </row>
    <row r="82" spans="1:6" x14ac:dyDescent="0.25">
      <c r="A82" s="37">
        <v>43497</v>
      </c>
      <c r="B82" s="18" t="s">
        <v>118</v>
      </c>
      <c r="C82" s="23" t="s">
        <v>16</v>
      </c>
      <c r="D82" s="173">
        <v>9600000</v>
      </c>
      <c r="E82" s="170">
        <v>9166667</v>
      </c>
      <c r="F82" s="23" t="s">
        <v>145</v>
      </c>
    </row>
    <row r="83" spans="1:6" x14ac:dyDescent="0.25">
      <c r="A83" s="37">
        <v>43497</v>
      </c>
      <c r="B83" s="18" t="s">
        <v>144</v>
      </c>
      <c r="C83" s="23" t="s">
        <v>17</v>
      </c>
      <c r="D83" s="174">
        <v>9950000</v>
      </c>
      <c r="E83" s="171">
        <v>8500000</v>
      </c>
      <c r="F83" s="23" t="s">
        <v>145</v>
      </c>
    </row>
    <row r="84" spans="1:6" x14ac:dyDescent="0.25">
      <c r="A84" s="37">
        <v>43497</v>
      </c>
      <c r="B84" s="18" t="s">
        <v>147</v>
      </c>
      <c r="C84" s="23" t="s">
        <v>17</v>
      </c>
      <c r="D84" s="174">
        <v>8530000</v>
      </c>
      <c r="E84" s="171">
        <v>8500000</v>
      </c>
      <c r="F84" s="23" t="s">
        <v>145</v>
      </c>
    </row>
    <row r="85" spans="1:6" x14ac:dyDescent="0.25">
      <c r="A85" s="37">
        <v>43497</v>
      </c>
      <c r="B85" s="47" t="s">
        <v>142</v>
      </c>
      <c r="C85" s="23" t="s">
        <v>17</v>
      </c>
      <c r="D85" s="175">
        <v>11766509</v>
      </c>
      <c r="E85" s="172">
        <v>8500000</v>
      </c>
      <c r="F85" s="23" t="s">
        <v>145</v>
      </c>
    </row>
    <row r="86" spans="1:6" x14ac:dyDescent="0.25">
      <c r="A86" s="37">
        <v>43525</v>
      </c>
      <c r="B86" s="54" t="s">
        <v>117</v>
      </c>
      <c r="C86" s="23" t="s">
        <v>4</v>
      </c>
      <c r="D86" s="173">
        <v>17750000</v>
      </c>
      <c r="E86" s="169">
        <v>33000000</v>
      </c>
      <c r="F86" s="23" t="s">
        <v>145</v>
      </c>
    </row>
    <row r="87" spans="1:6" x14ac:dyDescent="0.25">
      <c r="A87" s="37">
        <v>43525</v>
      </c>
      <c r="B87" s="18" t="s">
        <v>138</v>
      </c>
      <c r="C87" s="23" t="s">
        <v>16</v>
      </c>
      <c r="D87" s="173">
        <v>4850000</v>
      </c>
      <c r="E87" s="169">
        <v>11000000</v>
      </c>
      <c r="F87" s="23" t="s">
        <v>145</v>
      </c>
    </row>
    <row r="88" spans="1:6" x14ac:dyDescent="0.25">
      <c r="A88" s="37">
        <v>43525</v>
      </c>
      <c r="B88" s="18" t="s">
        <v>143</v>
      </c>
      <c r="C88" s="23" t="s">
        <v>16</v>
      </c>
      <c r="D88" s="173">
        <v>8300000</v>
      </c>
      <c r="E88" s="169">
        <v>11000000</v>
      </c>
      <c r="F88" s="23" t="s">
        <v>145</v>
      </c>
    </row>
    <row r="89" spans="1:6" x14ac:dyDescent="0.25">
      <c r="A89" s="37">
        <v>43525</v>
      </c>
      <c r="B89" s="18" t="s">
        <v>140</v>
      </c>
      <c r="C89" s="23" t="s">
        <v>16</v>
      </c>
      <c r="D89" s="173">
        <v>4600000</v>
      </c>
      <c r="E89" s="169">
        <v>11000000</v>
      </c>
      <c r="F89" s="23" t="s">
        <v>145</v>
      </c>
    </row>
    <row r="90" spans="1:6" x14ac:dyDescent="0.25">
      <c r="A90" s="37">
        <v>43525</v>
      </c>
      <c r="B90" s="18" t="s">
        <v>118</v>
      </c>
      <c r="C90" s="23" t="s">
        <v>16</v>
      </c>
      <c r="D90" s="173">
        <v>8000000</v>
      </c>
      <c r="E90" s="170">
        <v>9166667</v>
      </c>
      <c r="F90" s="23" t="s">
        <v>145</v>
      </c>
    </row>
    <row r="91" spans="1:6" x14ac:dyDescent="0.25">
      <c r="A91" s="37">
        <v>43525</v>
      </c>
      <c r="B91" s="18" t="s">
        <v>144</v>
      </c>
      <c r="C91" s="23" t="s">
        <v>17</v>
      </c>
      <c r="D91" s="174">
        <v>11100000</v>
      </c>
      <c r="E91" s="171">
        <v>8500000</v>
      </c>
      <c r="F91" s="23" t="s">
        <v>145</v>
      </c>
    </row>
    <row r="92" spans="1:6" x14ac:dyDescent="0.25">
      <c r="A92" s="37">
        <v>43525</v>
      </c>
      <c r="B92" s="18" t="s">
        <v>147</v>
      </c>
      <c r="C92" s="23" t="s">
        <v>17</v>
      </c>
      <c r="D92" s="211">
        <v>4100000</v>
      </c>
      <c r="E92" s="171">
        <v>8500000</v>
      </c>
      <c r="F92" s="23" t="s">
        <v>145</v>
      </c>
    </row>
    <row r="93" spans="1:6" x14ac:dyDescent="0.25">
      <c r="A93" s="37">
        <v>43525</v>
      </c>
      <c r="B93" s="47" t="s">
        <v>142</v>
      </c>
      <c r="C93" s="23" t="s">
        <v>17</v>
      </c>
      <c r="D93" s="180">
        <v>2550000</v>
      </c>
      <c r="E93" s="172">
        <v>8500000</v>
      </c>
      <c r="F93" s="23" t="s">
        <v>145</v>
      </c>
    </row>
    <row r="94" spans="1:6" x14ac:dyDescent="0.25">
      <c r="A94" s="37">
        <v>43556</v>
      </c>
      <c r="B94" s="54" t="s">
        <v>117</v>
      </c>
      <c r="C94" s="23" t="s">
        <v>4</v>
      </c>
      <c r="D94" s="126">
        <v>21880000</v>
      </c>
      <c r="E94" s="176">
        <v>33000000</v>
      </c>
      <c r="F94" s="23" t="s">
        <v>145</v>
      </c>
    </row>
    <row r="95" spans="1:6" x14ac:dyDescent="0.25">
      <c r="A95" s="37">
        <v>43556</v>
      </c>
      <c r="B95" s="18" t="s">
        <v>138</v>
      </c>
      <c r="C95" s="23" t="s">
        <v>16</v>
      </c>
      <c r="D95" s="177">
        <v>11580000</v>
      </c>
      <c r="E95" s="176">
        <v>11000000</v>
      </c>
      <c r="F95" s="23" t="s">
        <v>145</v>
      </c>
    </row>
    <row r="96" spans="1:6" x14ac:dyDescent="0.25">
      <c r="A96" s="37">
        <v>43556</v>
      </c>
      <c r="B96" s="18" t="s">
        <v>143</v>
      </c>
      <c r="C96" s="23" t="s">
        <v>16</v>
      </c>
      <c r="D96" s="126">
        <v>1100000</v>
      </c>
      <c r="E96" s="176">
        <v>11000000</v>
      </c>
      <c r="F96" s="23" t="s">
        <v>145</v>
      </c>
    </row>
    <row r="97" spans="1:6" x14ac:dyDescent="0.25">
      <c r="A97" s="37">
        <v>43556</v>
      </c>
      <c r="B97" s="18" t="s">
        <v>140</v>
      </c>
      <c r="C97" s="23" t="s">
        <v>16</v>
      </c>
      <c r="D97" s="126">
        <v>0</v>
      </c>
      <c r="E97" s="176">
        <v>11000000</v>
      </c>
      <c r="F97" s="23" t="s">
        <v>145</v>
      </c>
    </row>
    <row r="98" spans="1:6" x14ac:dyDescent="0.25">
      <c r="A98" s="37">
        <v>43556</v>
      </c>
      <c r="B98" s="18" t="s">
        <v>118</v>
      </c>
      <c r="C98" s="23" t="s">
        <v>16</v>
      </c>
      <c r="D98" s="126">
        <v>2300000</v>
      </c>
      <c r="E98" s="178">
        <v>9166667</v>
      </c>
      <c r="F98" s="23" t="s">
        <v>145</v>
      </c>
    </row>
    <row r="99" spans="1:6" x14ac:dyDescent="0.25">
      <c r="A99" s="37">
        <v>43556</v>
      </c>
      <c r="B99" s="18" t="s">
        <v>144</v>
      </c>
      <c r="C99" s="23" t="s">
        <v>17</v>
      </c>
      <c r="D99" s="126">
        <v>1500000</v>
      </c>
      <c r="E99" s="171">
        <v>8500000</v>
      </c>
      <c r="F99" s="23" t="s">
        <v>145</v>
      </c>
    </row>
    <row r="100" spans="1:6" x14ac:dyDescent="0.25">
      <c r="A100" s="37">
        <v>43556</v>
      </c>
      <c r="B100" s="18" t="s">
        <v>147</v>
      </c>
      <c r="C100" s="23" t="s">
        <v>17</v>
      </c>
      <c r="D100" s="126">
        <v>8430000</v>
      </c>
      <c r="E100" s="171">
        <v>8500000</v>
      </c>
      <c r="F100" s="23" t="s">
        <v>145</v>
      </c>
    </row>
    <row r="101" spans="1:6" x14ac:dyDescent="0.25">
      <c r="A101" s="37">
        <v>43556</v>
      </c>
      <c r="B101" s="47" t="s">
        <v>142</v>
      </c>
      <c r="C101" s="23" t="s">
        <v>17</v>
      </c>
      <c r="D101" s="179">
        <v>11950000</v>
      </c>
      <c r="E101" s="172">
        <v>8500000</v>
      </c>
      <c r="F101" s="23" t="s">
        <v>145</v>
      </c>
    </row>
    <row r="102" spans="1:6" x14ac:dyDescent="0.25">
      <c r="A102" s="37">
        <v>43586</v>
      </c>
      <c r="B102" s="54" t="s">
        <v>117</v>
      </c>
      <c r="C102" s="23" t="s">
        <v>4</v>
      </c>
      <c r="D102" s="173">
        <v>29070000</v>
      </c>
      <c r="E102" s="176">
        <v>33000000</v>
      </c>
      <c r="F102" s="23" t="s">
        <v>145</v>
      </c>
    </row>
    <row r="103" spans="1:6" x14ac:dyDescent="0.25">
      <c r="A103" s="37">
        <v>43586</v>
      </c>
      <c r="B103" s="18" t="s">
        <v>138</v>
      </c>
      <c r="C103" s="23" t="s">
        <v>16</v>
      </c>
      <c r="D103" s="173">
        <v>10300000</v>
      </c>
      <c r="E103" s="176">
        <v>11000000</v>
      </c>
      <c r="F103" s="23" t="s">
        <v>145</v>
      </c>
    </row>
    <row r="104" spans="1:6" x14ac:dyDescent="0.25">
      <c r="A104" s="37">
        <v>43586</v>
      </c>
      <c r="B104" s="18" t="s">
        <v>143</v>
      </c>
      <c r="C104" s="23" t="s">
        <v>16</v>
      </c>
      <c r="D104" s="173">
        <v>9230000</v>
      </c>
      <c r="E104" s="176">
        <v>11000000</v>
      </c>
      <c r="F104" s="23" t="s">
        <v>145</v>
      </c>
    </row>
    <row r="105" spans="1:6" x14ac:dyDescent="0.25">
      <c r="A105" s="37">
        <v>43586</v>
      </c>
      <c r="B105" s="181" t="s">
        <v>140</v>
      </c>
      <c r="C105" s="182" t="s">
        <v>16</v>
      </c>
      <c r="D105" s="173">
        <v>7000000</v>
      </c>
      <c r="E105" s="176">
        <v>11000000</v>
      </c>
      <c r="F105" s="23" t="s">
        <v>145</v>
      </c>
    </row>
    <row r="106" spans="1:6" x14ac:dyDescent="0.25">
      <c r="A106" s="37">
        <v>43586</v>
      </c>
      <c r="B106" s="181" t="s">
        <v>118</v>
      </c>
      <c r="C106" s="196" t="s">
        <v>16</v>
      </c>
      <c r="D106" s="197">
        <v>2540000</v>
      </c>
      <c r="E106" s="198">
        <v>9166667</v>
      </c>
      <c r="F106" s="23" t="s">
        <v>145</v>
      </c>
    </row>
    <row r="107" spans="1:6" x14ac:dyDescent="0.25">
      <c r="A107" s="37">
        <v>43586</v>
      </c>
      <c r="B107" s="192" t="s">
        <v>144</v>
      </c>
      <c r="C107" s="182" t="s">
        <v>17</v>
      </c>
      <c r="D107" s="179">
        <v>2200000</v>
      </c>
      <c r="E107" s="190">
        <v>8500000</v>
      </c>
      <c r="F107" s="23" t="s">
        <v>145</v>
      </c>
    </row>
    <row r="108" spans="1:6" x14ac:dyDescent="0.25">
      <c r="A108" s="37">
        <v>43586</v>
      </c>
      <c r="B108" s="192" t="s">
        <v>147</v>
      </c>
      <c r="C108" s="182" t="s">
        <v>17</v>
      </c>
      <c r="D108" s="126">
        <v>1300000</v>
      </c>
      <c r="E108" s="190">
        <v>8500000</v>
      </c>
      <c r="F108" s="23" t="s">
        <v>145</v>
      </c>
    </row>
    <row r="109" spans="1:6" x14ac:dyDescent="0.25">
      <c r="A109" s="37">
        <v>43586</v>
      </c>
      <c r="B109" s="193" t="s">
        <v>142</v>
      </c>
      <c r="C109" s="182" t="s">
        <v>17</v>
      </c>
      <c r="D109" s="177">
        <v>22970000</v>
      </c>
      <c r="E109" s="190">
        <v>8500000</v>
      </c>
      <c r="F109" s="23" t="s">
        <v>145</v>
      </c>
    </row>
    <row r="110" spans="1:6" x14ac:dyDescent="0.25">
      <c r="A110" s="37">
        <v>43586</v>
      </c>
      <c r="B110" s="194" t="s">
        <v>148</v>
      </c>
      <c r="C110" s="182" t="s">
        <v>17</v>
      </c>
      <c r="D110" s="177">
        <v>2600000</v>
      </c>
      <c r="E110" s="190">
        <v>8500000</v>
      </c>
      <c r="F110" s="23" t="s">
        <v>145</v>
      </c>
    </row>
    <row r="111" spans="1:6" x14ac:dyDescent="0.25">
      <c r="A111" s="37">
        <v>43617</v>
      </c>
      <c r="B111" s="195" t="s">
        <v>117</v>
      </c>
      <c r="C111" s="182" t="s">
        <v>4</v>
      </c>
      <c r="D111" s="126">
        <v>13448700</v>
      </c>
      <c r="E111" s="190">
        <v>33000000</v>
      </c>
      <c r="F111" s="23" t="s">
        <v>145</v>
      </c>
    </row>
    <row r="112" spans="1:6" x14ac:dyDescent="0.25">
      <c r="A112" s="37">
        <v>43617</v>
      </c>
      <c r="B112" s="181" t="s">
        <v>138</v>
      </c>
      <c r="C112" s="199" t="s">
        <v>16</v>
      </c>
      <c r="D112" s="200">
        <v>3170000</v>
      </c>
      <c r="E112" s="201">
        <v>11000000</v>
      </c>
      <c r="F112" s="23" t="s">
        <v>145</v>
      </c>
    </row>
    <row r="113" spans="1:6" x14ac:dyDescent="0.25">
      <c r="A113" s="37">
        <v>43617</v>
      </c>
      <c r="B113" s="181" t="s">
        <v>143</v>
      </c>
      <c r="C113" s="182" t="s">
        <v>16</v>
      </c>
      <c r="D113" s="173">
        <v>4900000</v>
      </c>
      <c r="E113" s="189">
        <v>11000000</v>
      </c>
      <c r="F113" s="23" t="s">
        <v>145</v>
      </c>
    </row>
    <row r="114" spans="1:6" x14ac:dyDescent="0.25">
      <c r="A114" s="37">
        <v>43617</v>
      </c>
      <c r="B114" s="181" t="s">
        <v>140</v>
      </c>
      <c r="C114" s="182" t="s">
        <v>16</v>
      </c>
      <c r="D114" s="186">
        <v>4028700</v>
      </c>
      <c r="E114" s="190">
        <v>11000000</v>
      </c>
      <c r="F114" s="23" t="s">
        <v>145</v>
      </c>
    </row>
    <row r="115" spans="1:6" x14ac:dyDescent="0.25">
      <c r="A115" s="37">
        <v>43617</v>
      </c>
      <c r="B115" s="181" t="s">
        <v>118</v>
      </c>
      <c r="C115" s="182" t="s">
        <v>16</v>
      </c>
      <c r="D115" s="187">
        <v>1350000</v>
      </c>
      <c r="E115" s="191">
        <v>9166667</v>
      </c>
      <c r="F115" s="23" t="s">
        <v>145</v>
      </c>
    </row>
    <row r="116" spans="1:6" x14ac:dyDescent="0.25">
      <c r="A116" s="37">
        <v>43617</v>
      </c>
      <c r="B116" s="184" t="s">
        <v>142</v>
      </c>
      <c r="C116" s="182" t="s">
        <v>17</v>
      </c>
      <c r="D116" s="188">
        <v>4220000</v>
      </c>
      <c r="E116" s="190">
        <v>8500000</v>
      </c>
      <c r="F116" s="23" t="s">
        <v>145</v>
      </c>
    </row>
    <row r="117" spans="1:6" x14ac:dyDescent="0.25">
      <c r="A117" s="37">
        <v>43617</v>
      </c>
      <c r="B117" s="184" t="s">
        <v>148</v>
      </c>
      <c r="C117" s="182" t="s">
        <v>17</v>
      </c>
      <c r="D117" s="188">
        <v>9228700</v>
      </c>
      <c r="E117" s="190">
        <v>8500000</v>
      </c>
      <c r="F117" s="23" t="s">
        <v>145</v>
      </c>
    </row>
    <row r="118" spans="1:6" x14ac:dyDescent="0.25">
      <c r="A118" s="37">
        <v>43647</v>
      </c>
      <c r="B118" s="195" t="s">
        <v>117</v>
      </c>
      <c r="C118" s="182" t="s">
        <v>4</v>
      </c>
      <c r="D118" s="60">
        <v>43240000</v>
      </c>
      <c r="E118" s="202">
        <v>33000000</v>
      </c>
      <c r="F118" s="23" t="s">
        <v>145</v>
      </c>
    </row>
    <row r="119" spans="1:6" x14ac:dyDescent="0.25">
      <c r="A119" s="37">
        <v>43647</v>
      </c>
      <c r="B119" s="181" t="s">
        <v>138</v>
      </c>
      <c r="C119" s="199" t="s">
        <v>16</v>
      </c>
      <c r="D119" s="60">
        <v>13300000</v>
      </c>
      <c r="E119" s="171">
        <v>11000000</v>
      </c>
      <c r="F119" s="23" t="s">
        <v>145</v>
      </c>
    </row>
    <row r="120" spans="1:6" x14ac:dyDescent="0.25">
      <c r="A120" s="37">
        <v>43647</v>
      </c>
      <c r="B120" s="181" t="s">
        <v>143</v>
      </c>
      <c r="C120" s="182" t="s">
        <v>16</v>
      </c>
      <c r="D120" s="60">
        <v>13480000</v>
      </c>
      <c r="E120" s="185">
        <v>11000000</v>
      </c>
      <c r="F120" s="23" t="s">
        <v>145</v>
      </c>
    </row>
    <row r="121" spans="1:6" x14ac:dyDescent="0.25">
      <c r="A121" s="37">
        <v>43647</v>
      </c>
      <c r="B121" s="181" t="s">
        <v>140</v>
      </c>
      <c r="C121" s="182" t="s">
        <v>16</v>
      </c>
      <c r="D121" s="58">
        <v>6580000</v>
      </c>
      <c r="E121" s="202">
        <v>11000000</v>
      </c>
      <c r="F121" s="23" t="s">
        <v>145</v>
      </c>
    </row>
    <row r="122" spans="1:6" x14ac:dyDescent="0.25">
      <c r="A122" s="37">
        <v>43647</v>
      </c>
      <c r="B122" s="192" t="s">
        <v>118</v>
      </c>
      <c r="C122" s="182" t="s">
        <v>16</v>
      </c>
      <c r="D122" s="203">
        <v>8220000</v>
      </c>
      <c r="E122" s="191">
        <v>9166667</v>
      </c>
      <c r="F122" s="23" t="s">
        <v>145</v>
      </c>
    </row>
    <row r="123" spans="1:6" x14ac:dyDescent="0.25">
      <c r="A123" s="37">
        <v>43647</v>
      </c>
      <c r="B123" s="204" t="s">
        <v>142</v>
      </c>
      <c r="C123" s="182" t="s">
        <v>17</v>
      </c>
      <c r="D123" s="59">
        <v>4220000</v>
      </c>
      <c r="E123" s="190">
        <v>8500000</v>
      </c>
      <c r="F123" s="23" t="s">
        <v>145</v>
      </c>
    </row>
    <row r="124" spans="1:6" x14ac:dyDescent="0.25">
      <c r="A124" s="37">
        <v>43647</v>
      </c>
      <c r="B124" s="204" t="s">
        <v>148</v>
      </c>
      <c r="C124" s="182" t="s">
        <v>17</v>
      </c>
      <c r="D124" s="59">
        <v>33860000</v>
      </c>
      <c r="E124" s="190">
        <v>8500000</v>
      </c>
      <c r="F124" s="23" t="s">
        <v>145</v>
      </c>
    </row>
    <row r="125" spans="1:6" x14ac:dyDescent="0.25">
      <c r="A125" s="37">
        <v>43678</v>
      </c>
      <c r="B125" s="195" t="s">
        <v>117</v>
      </c>
      <c r="C125" s="182" t="s">
        <v>4</v>
      </c>
      <c r="D125" s="177">
        <v>13005000</v>
      </c>
      <c r="E125" s="190">
        <v>33000000</v>
      </c>
      <c r="F125" s="23" t="s">
        <v>145</v>
      </c>
    </row>
    <row r="126" spans="1:6" x14ac:dyDescent="0.25">
      <c r="A126" s="37">
        <v>43678</v>
      </c>
      <c r="B126" s="192" t="s">
        <v>138</v>
      </c>
      <c r="C126" s="182" t="s">
        <v>16</v>
      </c>
      <c r="D126" s="179">
        <v>1000000</v>
      </c>
      <c r="E126" s="190">
        <v>11000000</v>
      </c>
      <c r="F126" s="23" t="s">
        <v>145</v>
      </c>
    </row>
    <row r="127" spans="1:6" x14ac:dyDescent="0.25">
      <c r="A127" s="37">
        <v>43678</v>
      </c>
      <c r="B127" s="192" t="s">
        <v>143</v>
      </c>
      <c r="C127" s="182" t="s">
        <v>16</v>
      </c>
      <c r="D127" s="179">
        <v>3475000</v>
      </c>
      <c r="E127" s="190">
        <v>11000000</v>
      </c>
      <c r="F127" s="23" t="s">
        <v>145</v>
      </c>
    </row>
    <row r="128" spans="1:6" x14ac:dyDescent="0.25">
      <c r="A128" s="37">
        <v>43678</v>
      </c>
      <c r="B128" s="192" t="s">
        <v>140</v>
      </c>
      <c r="C128" s="182" t="s">
        <v>16</v>
      </c>
      <c r="D128" s="179">
        <v>4280000</v>
      </c>
      <c r="E128" s="190">
        <v>11000000</v>
      </c>
      <c r="F128" s="23" t="s">
        <v>145</v>
      </c>
    </row>
    <row r="129" spans="1:6" x14ac:dyDescent="0.25">
      <c r="A129" s="37">
        <v>43678</v>
      </c>
      <c r="B129" s="192" t="s">
        <v>118</v>
      </c>
      <c r="C129" s="182" t="s">
        <v>16</v>
      </c>
      <c r="D129" s="164">
        <v>4250000</v>
      </c>
      <c r="E129" s="191">
        <v>9166667</v>
      </c>
      <c r="F129" s="23" t="s">
        <v>145</v>
      </c>
    </row>
    <row r="130" spans="1:6" x14ac:dyDescent="0.25">
      <c r="A130" s="37">
        <v>43678</v>
      </c>
      <c r="B130" s="204" t="s">
        <v>142</v>
      </c>
      <c r="C130" s="182" t="s">
        <v>17</v>
      </c>
      <c r="D130" s="177">
        <v>13005000</v>
      </c>
      <c r="E130" s="190">
        <v>8500000</v>
      </c>
      <c r="F130" s="23" t="s">
        <v>145</v>
      </c>
    </row>
    <row r="131" spans="1:6" x14ac:dyDescent="0.25">
      <c r="A131" s="37">
        <v>43709</v>
      </c>
      <c r="B131" s="195" t="s">
        <v>117</v>
      </c>
      <c r="C131" s="182" t="s">
        <v>4</v>
      </c>
      <c r="D131" s="179">
        <v>23060000</v>
      </c>
      <c r="E131" s="190">
        <v>33000000</v>
      </c>
      <c r="F131" s="23" t="s">
        <v>145</v>
      </c>
    </row>
    <row r="132" spans="1:6" x14ac:dyDescent="0.25">
      <c r="A132" s="37">
        <v>43709</v>
      </c>
      <c r="B132" s="192" t="s">
        <v>138</v>
      </c>
      <c r="C132" s="182" t="s">
        <v>16</v>
      </c>
      <c r="D132" s="179">
        <v>1000000</v>
      </c>
      <c r="E132" s="190">
        <v>11000000</v>
      </c>
      <c r="F132" s="23" t="s">
        <v>145</v>
      </c>
    </row>
    <row r="133" spans="1:6" x14ac:dyDescent="0.25">
      <c r="A133" s="37">
        <v>43709</v>
      </c>
      <c r="B133" s="192" t="s">
        <v>143</v>
      </c>
      <c r="C133" s="182" t="s">
        <v>16</v>
      </c>
      <c r="D133" s="179">
        <v>3475000</v>
      </c>
      <c r="E133" s="190">
        <v>11000000</v>
      </c>
      <c r="F133" s="23" t="s">
        <v>145</v>
      </c>
    </row>
    <row r="134" spans="1:6" x14ac:dyDescent="0.25">
      <c r="A134" s="37">
        <v>43709</v>
      </c>
      <c r="B134" s="192" t="s">
        <v>140</v>
      </c>
      <c r="C134" s="182" t="s">
        <v>16</v>
      </c>
      <c r="D134" s="179">
        <v>4280000</v>
      </c>
      <c r="E134" s="190">
        <v>11000000</v>
      </c>
      <c r="F134" s="23" t="s">
        <v>145</v>
      </c>
    </row>
    <row r="135" spans="1:6" x14ac:dyDescent="0.25">
      <c r="A135" s="37">
        <v>43709</v>
      </c>
      <c r="B135" s="192" t="s">
        <v>118</v>
      </c>
      <c r="C135" s="182" t="s">
        <v>16</v>
      </c>
      <c r="D135" s="164">
        <v>4250000</v>
      </c>
      <c r="E135" s="191">
        <v>9166667</v>
      </c>
      <c r="F135" s="23" t="s">
        <v>145</v>
      </c>
    </row>
    <row r="136" spans="1:6" x14ac:dyDescent="0.25">
      <c r="A136" s="37">
        <v>43709</v>
      </c>
      <c r="B136" s="204" t="s">
        <v>142</v>
      </c>
      <c r="C136" s="182" t="s">
        <v>17</v>
      </c>
      <c r="D136" s="177">
        <v>20260000</v>
      </c>
      <c r="E136" s="190">
        <v>8500000</v>
      </c>
      <c r="F136" s="23" t="s">
        <v>145</v>
      </c>
    </row>
    <row r="137" spans="1:6" x14ac:dyDescent="0.25">
      <c r="A137" s="37">
        <v>43739</v>
      </c>
      <c r="B137" s="212" t="s">
        <v>117</v>
      </c>
      <c r="C137" s="213" t="s">
        <v>4</v>
      </c>
      <c r="D137" s="179">
        <v>21350000</v>
      </c>
      <c r="E137" s="214">
        <v>33000000</v>
      </c>
      <c r="F137" s="23" t="s">
        <v>145</v>
      </c>
    </row>
    <row r="138" spans="1:6" x14ac:dyDescent="0.25">
      <c r="A138" s="37">
        <v>43739</v>
      </c>
      <c r="B138" s="215" t="s">
        <v>138</v>
      </c>
      <c r="C138" s="213" t="s">
        <v>16</v>
      </c>
      <c r="D138" s="179">
        <v>6650000</v>
      </c>
      <c r="E138" s="214">
        <v>11000000</v>
      </c>
      <c r="F138" s="23" t="s">
        <v>145</v>
      </c>
    </row>
    <row r="139" spans="1:6" x14ac:dyDescent="0.25">
      <c r="A139" s="37">
        <v>43739</v>
      </c>
      <c r="B139" s="215" t="s">
        <v>143</v>
      </c>
      <c r="C139" s="213" t="s">
        <v>16</v>
      </c>
      <c r="D139" s="179">
        <v>3700000</v>
      </c>
      <c r="E139" s="214">
        <v>11000000</v>
      </c>
      <c r="F139" s="23" t="s">
        <v>145</v>
      </c>
    </row>
    <row r="140" spans="1:6" x14ac:dyDescent="0.25">
      <c r="A140" s="37">
        <v>43739</v>
      </c>
      <c r="B140" s="216" t="s">
        <v>140</v>
      </c>
      <c r="C140" s="217" t="s">
        <v>16</v>
      </c>
      <c r="D140" s="179">
        <v>9550000</v>
      </c>
      <c r="E140" s="218">
        <v>11000000</v>
      </c>
      <c r="F140" s="23" t="s">
        <v>145</v>
      </c>
    </row>
    <row r="141" spans="1:6" x14ac:dyDescent="0.25">
      <c r="A141" s="37">
        <v>43739</v>
      </c>
      <c r="B141" s="216" t="s">
        <v>118</v>
      </c>
      <c r="C141" s="217" t="s">
        <v>16</v>
      </c>
      <c r="D141" s="164">
        <v>1450000</v>
      </c>
      <c r="E141" s="219">
        <v>9166667</v>
      </c>
      <c r="F141" s="23" t="s">
        <v>145</v>
      </c>
    </row>
    <row r="142" spans="1:6" x14ac:dyDescent="0.25">
      <c r="A142" s="37">
        <v>43739</v>
      </c>
      <c r="B142" s="220" t="s">
        <v>142</v>
      </c>
      <c r="C142" s="217" t="s">
        <v>17</v>
      </c>
      <c r="D142" s="177">
        <v>21350000</v>
      </c>
      <c r="E142" s="218">
        <v>8500000</v>
      </c>
      <c r="F142" s="23" t="s">
        <v>145</v>
      </c>
    </row>
    <row r="143" spans="1:6" x14ac:dyDescent="0.25">
      <c r="A143" s="37">
        <v>43770</v>
      </c>
      <c r="B143" s="212" t="s">
        <v>117</v>
      </c>
      <c r="C143" s="213" t="s">
        <v>4</v>
      </c>
      <c r="D143" s="179">
        <v>30430000</v>
      </c>
      <c r="E143" s="214">
        <v>33000000</v>
      </c>
      <c r="F143" s="23" t="s">
        <v>145</v>
      </c>
    </row>
    <row r="144" spans="1:6" x14ac:dyDescent="0.25">
      <c r="A144" s="37">
        <v>43770</v>
      </c>
      <c r="B144" s="215" t="s">
        <v>138</v>
      </c>
      <c r="C144" s="213" t="s">
        <v>16</v>
      </c>
      <c r="D144" s="179">
        <v>9280000</v>
      </c>
      <c r="E144" s="214">
        <v>11000000</v>
      </c>
      <c r="F144" s="23" t="s">
        <v>145</v>
      </c>
    </row>
    <row r="145" spans="1:6" x14ac:dyDescent="0.25">
      <c r="A145" s="37">
        <v>43770</v>
      </c>
      <c r="B145" s="215" t="s">
        <v>143</v>
      </c>
      <c r="C145" s="213" t="s">
        <v>16</v>
      </c>
      <c r="D145" s="179">
        <v>9750000</v>
      </c>
      <c r="E145" s="214">
        <v>11000000</v>
      </c>
      <c r="F145" s="23" t="s">
        <v>145</v>
      </c>
    </row>
    <row r="146" spans="1:6" x14ac:dyDescent="0.25">
      <c r="A146" s="37">
        <v>43770</v>
      </c>
      <c r="B146" s="216" t="s">
        <v>140</v>
      </c>
      <c r="C146" s="217" t="s">
        <v>16</v>
      </c>
      <c r="D146" s="179">
        <v>2950000</v>
      </c>
      <c r="E146" s="218">
        <v>11000000</v>
      </c>
      <c r="F146" s="23" t="s">
        <v>145</v>
      </c>
    </row>
    <row r="147" spans="1:6" x14ac:dyDescent="0.25">
      <c r="A147" s="37">
        <v>43770</v>
      </c>
      <c r="B147" s="216" t="s">
        <v>118</v>
      </c>
      <c r="C147" s="217" t="s">
        <v>16</v>
      </c>
      <c r="D147" s="164">
        <v>8450000</v>
      </c>
      <c r="E147" s="219">
        <v>9166667</v>
      </c>
      <c r="F147" s="23" t="s">
        <v>145</v>
      </c>
    </row>
    <row r="148" spans="1:6" x14ac:dyDescent="0.25">
      <c r="A148" s="37">
        <v>43770</v>
      </c>
      <c r="B148" s="220" t="s">
        <v>142</v>
      </c>
      <c r="C148" s="217" t="s">
        <v>17</v>
      </c>
      <c r="D148" s="177">
        <v>16900000</v>
      </c>
      <c r="E148" s="218">
        <v>8500000</v>
      </c>
      <c r="F148" s="23" t="s">
        <v>145</v>
      </c>
    </row>
    <row r="149" spans="1:6" x14ac:dyDescent="0.25">
      <c r="A149" s="37">
        <v>43800</v>
      </c>
      <c r="B149" s="212" t="s">
        <v>117</v>
      </c>
      <c r="C149" s="213" t="s">
        <v>4</v>
      </c>
      <c r="D149" s="179">
        <v>14080000</v>
      </c>
      <c r="E149" s="214">
        <v>33000000</v>
      </c>
      <c r="F149" s="23" t="s">
        <v>145</v>
      </c>
    </row>
    <row r="150" spans="1:6" x14ac:dyDescent="0.25">
      <c r="A150" s="37">
        <v>43800</v>
      </c>
      <c r="B150" s="215" t="s">
        <v>138</v>
      </c>
      <c r="C150" s="213" t="s">
        <v>16</v>
      </c>
      <c r="D150" s="179">
        <v>3850000</v>
      </c>
      <c r="E150" s="214">
        <v>11000000</v>
      </c>
      <c r="F150" s="23" t="s">
        <v>145</v>
      </c>
    </row>
    <row r="151" spans="1:6" x14ac:dyDescent="0.25">
      <c r="A151" s="37">
        <v>43800</v>
      </c>
      <c r="B151" s="215" t="s">
        <v>143</v>
      </c>
      <c r="C151" s="213" t="s">
        <v>16</v>
      </c>
      <c r="D151" s="179">
        <v>5580000</v>
      </c>
      <c r="E151" s="214">
        <v>11000000</v>
      </c>
      <c r="F151" s="23" t="s">
        <v>145</v>
      </c>
    </row>
    <row r="152" spans="1:6" x14ac:dyDescent="0.25">
      <c r="A152" s="37">
        <v>43800</v>
      </c>
      <c r="B152" s="216" t="s">
        <v>140</v>
      </c>
      <c r="C152" s="217" t="s">
        <v>16</v>
      </c>
      <c r="D152" s="179">
        <v>4650000</v>
      </c>
      <c r="E152" s="218">
        <v>11000000</v>
      </c>
      <c r="F152" s="23" t="s">
        <v>145</v>
      </c>
    </row>
    <row r="153" spans="1:6" x14ac:dyDescent="0.25">
      <c r="A153" s="37">
        <v>43800</v>
      </c>
      <c r="B153" s="216" t="s">
        <v>118</v>
      </c>
      <c r="C153" s="217" t="s">
        <v>16</v>
      </c>
      <c r="D153" s="164">
        <v>0</v>
      </c>
      <c r="E153" s="219">
        <v>9166667</v>
      </c>
      <c r="F153" s="23" t="s">
        <v>145</v>
      </c>
    </row>
    <row r="154" spans="1:6" x14ac:dyDescent="0.25">
      <c r="A154" s="37">
        <v>43800</v>
      </c>
      <c r="B154" s="220" t="s">
        <v>142</v>
      </c>
      <c r="C154" s="217" t="s">
        <v>17</v>
      </c>
      <c r="D154" s="177">
        <v>6200000</v>
      </c>
      <c r="E154" s="218">
        <v>8500000</v>
      </c>
      <c r="F154" s="23" t="s">
        <v>145</v>
      </c>
    </row>
    <row r="155" spans="1:6" x14ac:dyDescent="0.25">
      <c r="A155" s="37">
        <v>43800</v>
      </c>
      <c r="B155" s="221" t="s">
        <v>149</v>
      </c>
      <c r="C155" s="23" t="s">
        <v>17</v>
      </c>
      <c r="D155" s="222">
        <v>7880000</v>
      </c>
      <c r="E155" s="218">
        <v>8500000</v>
      </c>
      <c r="F155" s="23" t="s">
        <v>145</v>
      </c>
    </row>
    <row r="156" spans="1:6" x14ac:dyDescent="0.25">
      <c r="A156" s="37">
        <v>43831</v>
      </c>
      <c r="B156" s="20" t="s">
        <v>152</v>
      </c>
      <c r="C156" s="23" t="s">
        <v>4</v>
      </c>
      <c r="D156" s="56">
        <v>28760000</v>
      </c>
      <c r="E156" s="169">
        <v>33000000</v>
      </c>
      <c r="F156" s="23" t="s">
        <v>145</v>
      </c>
    </row>
    <row r="157" spans="1:6" x14ac:dyDescent="0.25">
      <c r="A157" s="37">
        <v>43831</v>
      </c>
      <c r="B157" s="18" t="s">
        <v>143</v>
      </c>
      <c r="C157" s="23" t="s">
        <v>16</v>
      </c>
      <c r="D157" s="53">
        <v>13970000</v>
      </c>
      <c r="E157" s="169">
        <v>10500000</v>
      </c>
      <c r="F157" s="23" t="s">
        <v>145</v>
      </c>
    </row>
    <row r="158" spans="1:6" x14ac:dyDescent="0.25">
      <c r="A158" s="37">
        <v>43831</v>
      </c>
      <c r="B158" s="40" t="s">
        <v>111</v>
      </c>
      <c r="C158" s="23" t="s">
        <v>16</v>
      </c>
      <c r="D158" s="223">
        <v>1350000</v>
      </c>
      <c r="E158" s="169">
        <v>10500000</v>
      </c>
      <c r="F158" s="23" t="s">
        <v>145</v>
      </c>
    </row>
    <row r="159" spans="1:6" x14ac:dyDescent="0.25">
      <c r="A159" s="37">
        <v>43831</v>
      </c>
      <c r="B159" s="18" t="s">
        <v>150</v>
      </c>
      <c r="C159" s="23" t="s">
        <v>16</v>
      </c>
      <c r="D159" s="55">
        <v>8900000</v>
      </c>
      <c r="E159" s="169">
        <v>10500000</v>
      </c>
      <c r="F159" s="23" t="s">
        <v>145</v>
      </c>
    </row>
    <row r="160" spans="1:6" x14ac:dyDescent="0.25">
      <c r="A160" s="37">
        <v>43831</v>
      </c>
      <c r="B160" s="26" t="s">
        <v>138</v>
      </c>
      <c r="C160" s="23" t="s">
        <v>16</v>
      </c>
      <c r="D160" s="57">
        <v>3950000</v>
      </c>
      <c r="E160" s="169">
        <v>10500000</v>
      </c>
      <c r="F160" s="23" t="s">
        <v>145</v>
      </c>
    </row>
    <row r="161" spans="1:6" x14ac:dyDescent="0.25">
      <c r="A161" s="37">
        <v>43831</v>
      </c>
      <c r="B161" s="18" t="s">
        <v>144</v>
      </c>
      <c r="C161" s="23" t="s">
        <v>17</v>
      </c>
      <c r="D161" s="55">
        <v>4850000</v>
      </c>
      <c r="E161" s="169">
        <v>15000000</v>
      </c>
      <c r="F161" s="23" t="s">
        <v>145</v>
      </c>
    </row>
    <row r="162" spans="1:6" x14ac:dyDescent="0.25">
      <c r="A162" s="37">
        <v>43831</v>
      </c>
      <c r="B162" s="18" t="s">
        <v>151</v>
      </c>
      <c r="C162" s="23" t="s">
        <v>17</v>
      </c>
      <c r="D162" s="224">
        <v>18120000</v>
      </c>
      <c r="E162" s="169">
        <v>15000000</v>
      </c>
      <c r="F162" s="23" t="s">
        <v>145</v>
      </c>
    </row>
    <row r="163" spans="1:6" x14ac:dyDescent="0.25">
      <c r="A163" s="37">
        <v>43862</v>
      </c>
      <c r="B163" s="20" t="s">
        <v>152</v>
      </c>
      <c r="C163" s="23" t="s">
        <v>4</v>
      </c>
      <c r="D163" s="160">
        <v>37820000</v>
      </c>
      <c r="E163" s="169">
        <v>33000000</v>
      </c>
      <c r="F163" s="23" t="s">
        <v>145</v>
      </c>
    </row>
    <row r="164" spans="1:6" x14ac:dyDescent="0.25">
      <c r="A164" s="37">
        <v>43862</v>
      </c>
      <c r="B164" s="18" t="s">
        <v>143</v>
      </c>
      <c r="C164" s="23" t="s">
        <v>16</v>
      </c>
      <c r="D164" s="222">
        <v>11350000</v>
      </c>
      <c r="E164" s="169">
        <v>10500000</v>
      </c>
      <c r="F164" s="23" t="s">
        <v>145</v>
      </c>
    </row>
    <row r="165" spans="1:6" x14ac:dyDescent="0.25">
      <c r="A165" s="37">
        <v>43862</v>
      </c>
      <c r="B165" s="40" t="s">
        <v>111</v>
      </c>
      <c r="C165" s="23" t="s">
        <v>16</v>
      </c>
      <c r="D165" s="222">
        <v>13020000</v>
      </c>
      <c r="E165" s="169">
        <v>10500000</v>
      </c>
      <c r="F165" s="23" t="s">
        <v>145</v>
      </c>
    </row>
    <row r="166" spans="1:6" x14ac:dyDescent="0.25">
      <c r="A166" s="37">
        <v>43862</v>
      </c>
      <c r="B166" s="18" t="s">
        <v>150</v>
      </c>
      <c r="C166" s="23" t="s">
        <v>16</v>
      </c>
      <c r="D166" s="225">
        <v>11050000</v>
      </c>
      <c r="E166" s="169">
        <v>10500000</v>
      </c>
      <c r="F166" s="23" t="s">
        <v>145</v>
      </c>
    </row>
    <row r="167" spans="1:6" x14ac:dyDescent="0.25">
      <c r="A167" s="37">
        <v>43862</v>
      </c>
      <c r="B167" s="18" t="s">
        <v>153</v>
      </c>
      <c r="C167" s="23" t="s">
        <v>16</v>
      </c>
      <c r="D167" s="226">
        <v>2400000</v>
      </c>
      <c r="E167" s="169">
        <v>10500000</v>
      </c>
      <c r="F167" s="23" t="s">
        <v>145</v>
      </c>
    </row>
    <row r="168" spans="1:6" x14ac:dyDescent="0.25">
      <c r="A168" s="37">
        <v>43862</v>
      </c>
      <c r="B168" s="18" t="s">
        <v>144</v>
      </c>
      <c r="C168" s="23" t="s">
        <v>17</v>
      </c>
      <c r="D168" s="173">
        <v>27470000</v>
      </c>
      <c r="E168" s="169">
        <v>15000000</v>
      </c>
      <c r="F168" s="23" t="s">
        <v>145</v>
      </c>
    </row>
    <row r="169" spans="1:6" x14ac:dyDescent="0.25">
      <c r="A169" s="37">
        <v>43862</v>
      </c>
      <c r="B169" s="18" t="s">
        <v>151</v>
      </c>
      <c r="C169" s="23" t="s">
        <v>17</v>
      </c>
      <c r="D169" s="173">
        <v>10350000</v>
      </c>
      <c r="E169" s="169">
        <v>15000000</v>
      </c>
      <c r="F169" s="23" t="s">
        <v>145</v>
      </c>
    </row>
    <row r="170" spans="1:6" x14ac:dyDescent="0.25">
      <c r="A170" s="227">
        <v>43891</v>
      </c>
      <c r="B170" s="228" t="s">
        <v>152</v>
      </c>
      <c r="C170" s="182" t="s">
        <v>4</v>
      </c>
      <c r="D170" s="173">
        <v>14120000</v>
      </c>
      <c r="E170" s="169">
        <v>33000000</v>
      </c>
      <c r="F170" s="182" t="s">
        <v>145</v>
      </c>
    </row>
    <row r="171" spans="1:6" x14ac:dyDescent="0.25">
      <c r="A171" s="227">
        <v>43891</v>
      </c>
      <c r="B171" s="181" t="s">
        <v>143</v>
      </c>
      <c r="C171" s="182" t="s">
        <v>16</v>
      </c>
      <c r="D171" s="173">
        <v>5420000</v>
      </c>
      <c r="E171" s="169">
        <v>10500000</v>
      </c>
      <c r="F171" s="182" t="s">
        <v>145</v>
      </c>
    </row>
    <row r="172" spans="1:6" x14ac:dyDescent="0.25">
      <c r="A172" s="227">
        <v>43891</v>
      </c>
      <c r="B172" s="183" t="s">
        <v>111</v>
      </c>
      <c r="C172" s="182" t="s">
        <v>16</v>
      </c>
      <c r="D172" s="173">
        <v>3950000</v>
      </c>
      <c r="E172" s="169">
        <v>10500000</v>
      </c>
      <c r="F172" s="182" t="s">
        <v>145</v>
      </c>
    </row>
    <row r="173" spans="1:6" x14ac:dyDescent="0.25">
      <c r="A173" s="227">
        <v>43891</v>
      </c>
      <c r="B173" s="181" t="s">
        <v>150</v>
      </c>
      <c r="C173" s="182" t="s">
        <v>16</v>
      </c>
      <c r="D173" s="173">
        <v>2300000</v>
      </c>
      <c r="E173" s="169">
        <v>10500000</v>
      </c>
      <c r="F173" s="182" t="s">
        <v>145</v>
      </c>
    </row>
    <row r="174" spans="1:6" x14ac:dyDescent="0.25">
      <c r="A174" s="227">
        <v>43891</v>
      </c>
      <c r="B174" s="18" t="s">
        <v>153</v>
      </c>
      <c r="C174" s="23" t="s">
        <v>16</v>
      </c>
      <c r="D174" s="226">
        <v>0</v>
      </c>
      <c r="E174" s="169">
        <v>10500000</v>
      </c>
      <c r="F174" s="23" t="s">
        <v>145</v>
      </c>
    </row>
    <row r="175" spans="1:6" x14ac:dyDescent="0.25">
      <c r="A175" s="227">
        <v>43891</v>
      </c>
      <c r="B175" s="181" t="s">
        <v>144</v>
      </c>
      <c r="C175" s="182" t="s">
        <v>17</v>
      </c>
      <c r="D175" s="173">
        <v>5100000</v>
      </c>
      <c r="E175" s="169">
        <v>15000000</v>
      </c>
      <c r="F175" s="182" t="s">
        <v>145</v>
      </c>
    </row>
    <row r="176" spans="1:6" x14ac:dyDescent="0.25">
      <c r="A176" s="227">
        <v>43891</v>
      </c>
      <c r="B176" s="181" t="s">
        <v>151</v>
      </c>
      <c r="C176" s="182" t="s">
        <v>17</v>
      </c>
      <c r="D176" s="173">
        <v>10836000</v>
      </c>
      <c r="E176" s="169">
        <v>15000000</v>
      </c>
      <c r="F176" s="182" t="s">
        <v>145</v>
      </c>
    </row>
    <row r="177" spans="1:6" x14ac:dyDescent="0.25">
      <c r="A177" s="227">
        <v>43922</v>
      </c>
      <c r="B177" s="228" t="s">
        <v>152</v>
      </c>
      <c r="C177" s="182" t="s">
        <v>4</v>
      </c>
      <c r="D177" s="55">
        <v>0</v>
      </c>
      <c r="E177" s="169">
        <v>33000000</v>
      </c>
      <c r="F177" s="182" t="s">
        <v>145</v>
      </c>
    </row>
    <row r="178" spans="1:6" x14ac:dyDescent="0.25">
      <c r="A178" s="227">
        <v>43922</v>
      </c>
      <c r="B178" s="181" t="s">
        <v>143</v>
      </c>
      <c r="C178" s="182" t="s">
        <v>16</v>
      </c>
      <c r="D178" s="55">
        <v>0</v>
      </c>
      <c r="E178" s="169">
        <v>10500000</v>
      </c>
      <c r="F178" s="182" t="s">
        <v>145</v>
      </c>
    </row>
    <row r="179" spans="1:6" x14ac:dyDescent="0.25">
      <c r="A179" s="227">
        <v>43922</v>
      </c>
      <c r="B179" s="183" t="s">
        <v>111</v>
      </c>
      <c r="C179" s="182" t="s">
        <v>16</v>
      </c>
      <c r="D179" s="55">
        <v>0</v>
      </c>
      <c r="E179" s="169">
        <v>10500000</v>
      </c>
      <c r="F179" s="182" t="s">
        <v>145</v>
      </c>
    </row>
    <row r="180" spans="1:6" x14ac:dyDescent="0.25">
      <c r="A180" s="227">
        <v>43922</v>
      </c>
      <c r="B180" s="181" t="s">
        <v>150</v>
      </c>
      <c r="C180" s="182" t="s">
        <v>16</v>
      </c>
      <c r="D180" s="55">
        <v>0</v>
      </c>
      <c r="E180" s="169">
        <v>10500000</v>
      </c>
      <c r="F180" s="182" t="s">
        <v>145</v>
      </c>
    </row>
    <row r="181" spans="1:6" x14ac:dyDescent="0.25">
      <c r="A181" s="227">
        <v>43922</v>
      </c>
      <c r="B181" s="18" t="s">
        <v>153</v>
      </c>
      <c r="C181" s="23" t="s">
        <v>16</v>
      </c>
      <c r="D181" s="226">
        <v>0</v>
      </c>
      <c r="E181" s="169">
        <v>10500000</v>
      </c>
      <c r="F181" s="23" t="s">
        <v>145</v>
      </c>
    </row>
    <row r="182" spans="1:6" x14ac:dyDescent="0.25">
      <c r="A182" s="227">
        <v>43922</v>
      </c>
      <c r="B182" s="181" t="s">
        <v>144</v>
      </c>
      <c r="C182" s="182" t="s">
        <v>17</v>
      </c>
      <c r="D182" s="55">
        <v>0</v>
      </c>
      <c r="E182" s="169">
        <v>15000000</v>
      </c>
      <c r="F182" s="182" t="s">
        <v>145</v>
      </c>
    </row>
    <row r="183" spans="1:6" x14ac:dyDescent="0.25">
      <c r="A183" s="227">
        <v>43922</v>
      </c>
      <c r="B183" s="181" t="s">
        <v>151</v>
      </c>
      <c r="C183" s="182" t="s">
        <v>17</v>
      </c>
      <c r="D183" s="55">
        <v>0</v>
      </c>
      <c r="E183" s="169">
        <v>15000000</v>
      </c>
      <c r="F183" s="182" t="s">
        <v>145</v>
      </c>
    </row>
    <row r="184" spans="1:6" x14ac:dyDescent="0.25">
      <c r="A184" s="37">
        <v>43952</v>
      </c>
      <c r="B184" s="20" t="s">
        <v>152</v>
      </c>
      <c r="C184" s="23" t="s">
        <v>4</v>
      </c>
      <c r="D184" s="173">
        <v>2500000</v>
      </c>
      <c r="E184" s="169">
        <v>33000000</v>
      </c>
      <c r="F184" s="23" t="s">
        <v>145</v>
      </c>
    </row>
    <row r="185" spans="1:6" x14ac:dyDescent="0.25">
      <c r="A185" s="37">
        <v>43952</v>
      </c>
      <c r="B185" s="18" t="s">
        <v>143</v>
      </c>
      <c r="C185" s="23" t="s">
        <v>16</v>
      </c>
      <c r="D185" s="173">
        <v>0</v>
      </c>
      <c r="E185" s="169">
        <v>10500000</v>
      </c>
      <c r="F185" s="23" t="s">
        <v>145</v>
      </c>
    </row>
    <row r="186" spans="1:6" x14ac:dyDescent="0.25">
      <c r="A186" s="37">
        <v>43952</v>
      </c>
      <c r="B186" s="40" t="s">
        <v>111</v>
      </c>
      <c r="C186" s="23" t="s">
        <v>16</v>
      </c>
      <c r="D186" s="173">
        <v>2500000</v>
      </c>
      <c r="E186" s="169">
        <v>10500000</v>
      </c>
      <c r="F186" s="23" t="s">
        <v>145</v>
      </c>
    </row>
    <row r="187" spans="1:6" x14ac:dyDescent="0.25">
      <c r="A187" s="37">
        <v>43952</v>
      </c>
      <c r="B187" s="18" t="s">
        <v>150</v>
      </c>
      <c r="C187" s="23" t="s">
        <v>16</v>
      </c>
      <c r="D187" s="173">
        <v>0</v>
      </c>
      <c r="E187" s="169">
        <v>10500000</v>
      </c>
      <c r="F187" s="23" t="s">
        <v>145</v>
      </c>
    </row>
    <row r="188" spans="1:6" x14ac:dyDescent="0.25">
      <c r="A188" s="37">
        <v>43952</v>
      </c>
      <c r="B188" s="18" t="s">
        <v>153</v>
      </c>
      <c r="C188" s="23" t="s">
        <v>16</v>
      </c>
      <c r="D188" s="226">
        <v>0</v>
      </c>
      <c r="E188" s="169">
        <v>10500000</v>
      </c>
      <c r="F188" s="23" t="s">
        <v>145</v>
      </c>
    </row>
    <row r="189" spans="1:6" x14ac:dyDescent="0.25">
      <c r="A189" s="37">
        <v>43952</v>
      </c>
      <c r="B189" s="18" t="s">
        <v>144</v>
      </c>
      <c r="C189" s="23" t="s">
        <v>17</v>
      </c>
      <c r="D189" s="173">
        <v>2500000</v>
      </c>
      <c r="E189" s="169">
        <v>15000000</v>
      </c>
      <c r="F189" s="23" t="s">
        <v>145</v>
      </c>
    </row>
    <row r="190" spans="1:6" x14ac:dyDescent="0.25">
      <c r="A190" s="37">
        <v>43952</v>
      </c>
      <c r="B190" s="18" t="s">
        <v>151</v>
      </c>
      <c r="C190" s="23" t="s">
        <v>17</v>
      </c>
      <c r="D190" s="173">
        <v>0</v>
      </c>
      <c r="E190" s="169">
        <v>15000000</v>
      </c>
      <c r="F190" s="23" t="s">
        <v>145</v>
      </c>
    </row>
    <row r="191" spans="1:6" x14ac:dyDescent="0.25">
      <c r="A191" s="37">
        <v>43983</v>
      </c>
      <c r="B191" s="20" t="s">
        <v>152</v>
      </c>
      <c r="C191" s="23" t="s">
        <v>4</v>
      </c>
      <c r="D191" s="56">
        <v>22100000</v>
      </c>
      <c r="E191" s="169">
        <v>33000000</v>
      </c>
      <c r="F191" s="23" t="s">
        <v>145</v>
      </c>
    </row>
    <row r="192" spans="1:6" x14ac:dyDescent="0.25">
      <c r="A192" s="37">
        <v>43983</v>
      </c>
      <c r="B192" s="18" t="s">
        <v>143</v>
      </c>
      <c r="C192" s="23" t="s">
        <v>16</v>
      </c>
      <c r="D192" s="229">
        <v>6500000</v>
      </c>
      <c r="E192" s="169">
        <v>10500000</v>
      </c>
      <c r="F192" s="23" t="s">
        <v>145</v>
      </c>
    </row>
    <row r="193" spans="1:6" x14ac:dyDescent="0.25">
      <c r="A193" s="37">
        <v>43983</v>
      </c>
      <c r="B193" s="40" t="s">
        <v>111</v>
      </c>
      <c r="C193" s="23" t="s">
        <v>16</v>
      </c>
      <c r="D193" s="57">
        <v>15600000</v>
      </c>
      <c r="E193" s="169">
        <v>10500000</v>
      </c>
      <c r="F193" s="23" t="s">
        <v>145</v>
      </c>
    </row>
    <row r="194" spans="1:6" x14ac:dyDescent="0.25">
      <c r="A194" s="37">
        <v>43983</v>
      </c>
      <c r="B194" s="18" t="s">
        <v>150</v>
      </c>
      <c r="C194" s="23" t="s">
        <v>16</v>
      </c>
      <c r="D194" s="56">
        <v>0</v>
      </c>
      <c r="E194" s="169">
        <v>10500000</v>
      </c>
      <c r="F194" s="23" t="s">
        <v>145</v>
      </c>
    </row>
    <row r="195" spans="1:6" x14ac:dyDescent="0.25">
      <c r="A195" s="37">
        <v>43983</v>
      </c>
      <c r="B195" s="18" t="s">
        <v>153</v>
      </c>
      <c r="C195" s="23" t="s">
        <v>16</v>
      </c>
      <c r="D195" s="230">
        <v>0</v>
      </c>
      <c r="E195" s="169">
        <v>10500000</v>
      </c>
      <c r="F195" s="23" t="s">
        <v>145</v>
      </c>
    </row>
    <row r="196" spans="1:6" x14ac:dyDescent="0.25">
      <c r="A196" s="37">
        <v>43983</v>
      </c>
      <c r="B196" s="18" t="s">
        <v>144</v>
      </c>
      <c r="C196" s="23" t="s">
        <v>17</v>
      </c>
      <c r="D196" s="56">
        <v>10550000</v>
      </c>
      <c r="E196" s="169">
        <v>15000000</v>
      </c>
      <c r="F196" s="23" t="s">
        <v>145</v>
      </c>
    </row>
    <row r="197" spans="1:6" x14ac:dyDescent="0.25">
      <c r="A197" s="37">
        <v>43983</v>
      </c>
      <c r="B197" s="18" t="s">
        <v>151</v>
      </c>
      <c r="C197" s="23" t="s">
        <v>17</v>
      </c>
      <c r="D197" s="56">
        <v>14050000</v>
      </c>
      <c r="E197" s="169">
        <v>15000000</v>
      </c>
      <c r="F197" s="23" t="s">
        <v>145</v>
      </c>
    </row>
    <row r="198" spans="1:6" x14ac:dyDescent="0.25">
      <c r="A198" s="37">
        <v>44013</v>
      </c>
      <c r="B198" s="20" t="s">
        <v>152</v>
      </c>
      <c r="C198" s="23" t="s">
        <v>4</v>
      </c>
      <c r="D198" s="173">
        <v>28291000</v>
      </c>
      <c r="E198" s="169">
        <v>33000000</v>
      </c>
      <c r="F198" s="23" t="s">
        <v>145</v>
      </c>
    </row>
    <row r="199" spans="1:6" x14ac:dyDescent="0.25">
      <c r="A199" s="37">
        <v>44013</v>
      </c>
      <c r="B199" s="18" t="s">
        <v>143</v>
      </c>
      <c r="C199" s="23" t="s">
        <v>16</v>
      </c>
      <c r="D199" s="160">
        <v>12850000</v>
      </c>
      <c r="E199" s="169">
        <v>10500000</v>
      </c>
      <c r="F199" s="23" t="s">
        <v>145</v>
      </c>
    </row>
    <row r="200" spans="1:6" x14ac:dyDescent="0.25">
      <c r="A200" s="37">
        <v>44013</v>
      </c>
      <c r="B200" s="40" t="s">
        <v>111</v>
      </c>
      <c r="C200" s="23" t="s">
        <v>16</v>
      </c>
      <c r="D200" s="160">
        <v>2900000</v>
      </c>
      <c r="E200" s="169">
        <v>10500000</v>
      </c>
      <c r="F200" s="23" t="s">
        <v>145</v>
      </c>
    </row>
    <row r="201" spans="1:6" x14ac:dyDescent="0.25">
      <c r="A201" s="37">
        <v>44013</v>
      </c>
      <c r="B201" s="18" t="s">
        <v>150</v>
      </c>
      <c r="C201" s="23" t="s">
        <v>16</v>
      </c>
      <c r="D201" s="160">
        <v>6131000</v>
      </c>
      <c r="E201" s="169">
        <v>10500000</v>
      </c>
      <c r="F201" s="23" t="s">
        <v>145</v>
      </c>
    </row>
    <row r="202" spans="1:6" x14ac:dyDescent="0.25">
      <c r="A202" s="37">
        <v>44013</v>
      </c>
      <c r="B202" s="18" t="s">
        <v>153</v>
      </c>
      <c r="C202" s="23" t="s">
        <v>16</v>
      </c>
      <c r="D202" s="165">
        <v>9250000</v>
      </c>
      <c r="E202" s="169">
        <v>10500000</v>
      </c>
      <c r="F202" s="23" t="s">
        <v>145</v>
      </c>
    </row>
    <row r="203" spans="1:6" x14ac:dyDescent="0.25">
      <c r="A203" s="37">
        <v>44013</v>
      </c>
      <c r="B203" s="18" t="s">
        <v>144</v>
      </c>
      <c r="C203" s="23" t="s">
        <v>17</v>
      </c>
      <c r="D203" s="173">
        <v>11950000</v>
      </c>
      <c r="E203" s="169">
        <v>15000000</v>
      </c>
      <c r="F203" s="23" t="s">
        <v>145</v>
      </c>
    </row>
    <row r="204" spans="1:6" x14ac:dyDescent="0.25">
      <c r="A204" s="37">
        <v>44013</v>
      </c>
      <c r="B204" s="18" t="s">
        <v>151</v>
      </c>
      <c r="C204" s="23" t="s">
        <v>17</v>
      </c>
      <c r="D204" s="160">
        <v>17581000</v>
      </c>
      <c r="E204" s="169">
        <v>15000000</v>
      </c>
      <c r="F204" s="23" t="s">
        <v>145</v>
      </c>
    </row>
    <row r="205" spans="1:6" x14ac:dyDescent="0.25">
      <c r="A205" s="37">
        <v>44044</v>
      </c>
      <c r="B205" s="20" t="s">
        <v>152</v>
      </c>
      <c r="C205" s="23" t="s">
        <v>4</v>
      </c>
      <c r="D205" s="56">
        <v>11030000</v>
      </c>
      <c r="E205" s="169">
        <v>33000000</v>
      </c>
      <c r="F205" s="23" t="s">
        <v>145</v>
      </c>
    </row>
    <row r="206" spans="1:6" x14ac:dyDescent="0.25">
      <c r="A206" s="37">
        <v>44044</v>
      </c>
      <c r="B206" s="18" t="s">
        <v>153</v>
      </c>
      <c r="C206" s="23" t="s">
        <v>16</v>
      </c>
      <c r="D206" s="230">
        <v>1500000</v>
      </c>
      <c r="E206" s="169">
        <v>10500000</v>
      </c>
      <c r="F206" s="23" t="s">
        <v>145</v>
      </c>
    </row>
    <row r="207" spans="1:6" x14ac:dyDescent="0.25">
      <c r="A207" s="37">
        <v>44075</v>
      </c>
      <c r="B207" s="20" t="s">
        <v>152</v>
      </c>
      <c r="C207" s="23" t="s">
        <v>4</v>
      </c>
      <c r="D207" s="231">
        <v>36650000</v>
      </c>
      <c r="E207" s="169">
        <v>33000000</v>
      </c>
      <c r="F207" s="23" t="s">
        <v>145</v>
      </c>
    </row>
    <row r="208" spans="1:6" x14ac:dyDescent="0.25">
      <c r="A208" s="37">
        <v>44075</v>
      </c>
      <c r="B208" s="20" t="s">
        <v>152</v>
      </c>
      <c r="C208" s="23" t="s">
        <v>4</v>
      </c>
      <c r="D208" s="230">
        <v>5370000</v>
      </c>
      <c r="E208" s="169">
        <v>33000000</v>
      </c>
      <c r="F208" s="23" t="s">
        <v>145</v>
      </c>
    </row>
    <row r="209" spans="1:6" x14ac:dyDescent="0.25">
      <c r="A209" s="37">
        <v>44105</v>
      </c>
      <c r="B209" s="20" t="s">
        <v>152</v>
      </c>
      <c r="C209" s="23" t="s">
        <v>4</v>
      </c>
      <c r="D209" s="232">
        <v>13280000</v>
      </c>
      <c r="E209" s="169">
        <v>33000000</v>
      </c>
      <c r="F209" s="23" t="s">
        <v>145</v>
      </c>
    </row>
    <row r="210" spans="1:6" x14ac:dyDescent="0.25">
      <c r="A210" s="37">
        <v>44136</v>
      </c>
      <c r="B210" s="20" t="s">
        <v>152</v>
      </c>
      <c r="C210" s="23" t="s">
        <v>4</v>
      </c>
      <c r="D210" s="231">
        <v>29033040</v>
      </c>
      <c r="E210" s="169">
        <v>33000000</v>
      </c>
      <c r="F210" s="23" t="s">
        <v>145</v>
      </c>
    </row>
    <row r="211" spans="1:6" x14ac:dyDescent="0.25">
      <c r="A211" s="37">
        <v>44166</v>
      </c>
      <c r="B211" s="20" t="s">
        <v>152</v>
      </c>
      <c r="C211" s="23" t="s">
        <v>4</v>
      </c>
      <c r="D211" s="232">
        <v>10525000</v>
      </c>
      <c r="E211" s="169">
        <v>33000000</v>
      </c>
      <c r="F211" s="23" t="s">
        <v>145</v>
      </c>
    </row>
    <row r="212" spans="1:6" x14ac:dyDescent="0.25">
      <c r="A212" s="37">
        <v>44197</v>
      </c>
      <c r="B212" s="234" t="s">
        <v>110</v>
      </c>
      <c r="C212" s="23" t="s">
        <v>4</v>
      </c>
      <c r="D212" s="241">
        <v>33325000</v>
      </c>
      <c r="E212" s="224">
        <v>35000000</v>
      </c>
      <c r="F212" s="23" t="s">
        <v>145</v>
      </c>
    </row>
    <row r="213" spans="1:6" x14ac:dyDescent="0.25">
      <c r="A213" s="37">
        <v>44197</v>
      </c>
      <c r="B213" s="235" t="s">
        <v>154</v>
      </c>
      <c r="C213" s="23" t="s">
        <v>16</v>
      </c>
      <c r="D213" s="222">
        <v>12325000</v>
      </c>
      <c r="E213" s="23"/>
      <c r="F213" s="23" t="s">
        <v>145</v>
      </c>
    </row>
    <row r="214" spans="1:6" x14ac:dyDescent="0.25">
      <c r="A214" s="37">
        <v>44197</v>
      </c>
      <c r="B214" s="235" t="s">
        <v>111</v>
      </c>
      <c r="C214" s="23" t="s">
        <v>16</v>
      </c>
      <c r="D214" s="222">
        <v>15300000</v>
      </c>
      <c r="E214" s="23"/>
      <c r="F214" s="23" t="s">
        <v>145</v>
      </c>
    </row>
    <row r="215" spans="1:6" x14ac:dyDescent="0.25">
      <c r="A215" s="37">
        <v>44197</v>
      </c>
      <c r="B215" s="235" t="s">
        <v>155</v>
      </c>
      <c r="C215" s="23" t="s">
        <v>16</v>
      </c>
      <c r="D215" s="222">
        <v>1450000</v>
      </c>
      <c r="E215" s="23"/>
      <c r="F215" s="23" t="s">
        <v>145</v>
      </c>
    </row>
    <row r="216" spans="1:6" x14ac:dyDescent="0.25">
      <c r="A216" s="37">
        <v>44197</v>
      </c>
      <c r="B216" s="235" t="s">
        <v>156</v>
      </c>
      <c r="C216" s="23" t="s">
        <v>16</v>
      </c>
      <c r="D216" s="222">
        <v>4250000</v>
      </c>
      <c r="E216" s="23"/>
      <c r="F216" s="23" t="s">
        <v>145</v>
      </c>
    </row>
    <row r="217" spans="1:6" x14ac:dyDescent="0.25">
      <c r="A217" s="37">
        <v>44197</v>
      </c>
      <c r="B217" s="235" t="s">
        <v>144</v>
      </c>
      <c r="C217" s="23" t="s">
        <v>17</v>
      </c>
      <c r="D217" s="222">
        <v>20650000</v>
      </c>
      <c r="E217" s="23"/>
      <c r="F217" s="23" t="s">
        <v>145</v>
      </c>
    </row>
    <row r="218" spans="1:6" x14ac:dyDescent="0.25">
      <c r="A218" s="37">
        <v>44197</v>
      </c>
      <c r="B218" s="235" t="s">
        <v>151</v>
      </c>
      <c r="C218" s="23" t="s">
        <v>17</v>
      </c>
      <c r="D218" s="222">
        <v>11125000</v>
      </c>
      <c r="E218" s="23"/>
      <c r="F218" s="23" t="s">
        <v>145</v>
      </c>
    </row>
    <row r="219" spans="1:6" x14ac:dyDescent="0.25">
      <c r="A219" s="37">
        <v>44228</v>
      </c>
      <c r="B219" s="234" t="s">
        <v>110</v>
      </c>
      <c r="C219" s="23" t="s">
        <v>4</v>
      </c>
      <c r="D219" s="241">
        <v>41550000</v>
      </c>
      <c r="E219" s="224">
        <v>35000000</v>
      </c>
      <c r="F219" s="23" t="s">
        <v>145</v>
      </c>
    </row>
    <row r="220" spans="1:6" x14ac:dyDescent="0.25">
      <c r="A220" s="37">
        <v>44228</v>
      </c>
      <c r="B220" s="235" t="s">
        <v>154</v>
      </c>
      <c r="C220" s="23" t="s">
        <v>16</v>
      </c>
      <c r="D220" s="170">
        <v>15250000</v>
      </c>
      <c r="E220" s="23"/>
      <c r="F220" s="23" t="s">
        <v>145</v>
      </c>
    </row>
    <row r="221" spans="1:6" x14ac:dyDescent="0.25">
      <c r="A221" s="37">
        <v>44228</v>
      </c>
      <c r="B221" s="235" t="s">
        <v>111</v>
      </c>
      <c r="C221" s="23" t="s">
        <v>16</v>
      </c>
      <c r="D221" s="222">
        <v>15000000</v>
      </c>
      <c r="E221" s="23"/>
      <c r="F221" s="23" t="s">
        <v>145</v>
      </c>
    </row>
    <row r="222" spans="1:6" x14ac:dyDescent="0.25">
      <c r="A222" s="37">
        <v>44228</v>
      </c>
      <c r="B222" s="235" t="s">
        <v>155</v>
      </c>
      <c r="C222" s="23" t="s">
        <v>16</v>
      </c>
      <c r="D222" s="222">
        <v>950000</v>
      </c>
      <c r="E222" s="23"/>
      <c r="F222" s="23" t="s">
        <v>145</v>
      </c>
    </row>
    <row r="223" spans="1:6" x14ac:dyDescent="0.25">
      <c r="A223" s="37">
        <v>44228</v>
      </c>
      <c r="B223" s="235" t="s">
        <v>156</v>
      </c>
      <c r="C223" s="23" t="s">
        <v>16</v>
      </c>
      <c r="D223" s="222">
        <v>6750000</v>
      </c>
      <c r="E223" s="23"/>
      <c r="F223" s="23" t="s">
        <v>145</v>
      </c>
    </row>
    <row r="224" spans="1:6" x14ac:dyDescent="0.25">
      <c r="A224" s="37">
        <v>44228</v>
      </c>
      <c r="B224" s="235" t="s">
        <v>157</v>
      </c>
      <c r="C224" s="23" t="s">
        <v>16</v>
      </c>
      <c r="D224" s="222">
        <v>3600000</v>
      </c>
      <c r="E224" s="23"/>
      <c r="F224" s="23" t="s">
        <v>145</v>
      </c>
    </row>
    <row r="225" spans="1:6" x14ac:dyDescent="0.25">
      <c r="A225" s="37">
        <v>44228</v>
      </c>
      <c r="B225" s="235" t="s">
        <v>144</v>
      </c>
      <c r="C225" s="23" t="s">
        <v>17</v>
      </c>
      <c r="D225" s="222">
        <v>10650000</v>
      </c>
      <c r="E225" s="23"/>
      <c r="F225" s="23" t="s">
        <v>145</v>
      </c>
    </row>
    <row r="226" spans="1:6" x14ac:dyDescent="0.25">
      <c r="A226" s="37">
        <v>44228</v>
      </c>
      <c r="B226" s="235" t="s">
        <v>151</v>
      </c>
      <c r="C226" s="23" t="s">
        <v>17</v>
      </c>
      <c r="D226" s="222">
        <v>26750000</v>
      </c>
      <c r="E226" s="23"/>
      <c r="F226" s="23" t="s">
        <v>145</v>
      </c>
    </row>
    <row r="227" spans="1:6" x14ac:dyDescent="0.25">
      <c r="A227" s="37">
        <v>44256</v>
      </c>
      <c r="B227" s="234" t="s">
        <v>110</v>
      </c>
      <c r="C227" s="23" t="s">
        <v>4</v>
      </c>
      <c r="D227" s="240">
        <v>37630000</v>
      </c>
      <c r="E227" s="224">
        <v>35000000</v>
      </c>
      <c r="F227" s="23" t="s">
        <v>145</v>
      </c>
    </row>
    <row r="228" spans="1:6" x14ac:dyDescent="0.25">
      <c r="A228" s="37">
        <v>44256</v>
      </c>
      <c r="B228" s="235" t="s">
        <v>154</v>
      </c>
      <c r="C228" s="23" t="s">
        <v>16</v>
      </c>
      <c r="D228" s="224">
        <v>14500000</v>
      </c>
      <c r="E228" s="23"/>
      <c r="F228" s="23" t="s">
        <v>145</v>
      </c>
    </row>
    <row r="229" spans="1:6" x14ac:dyDescent="0.25">
      <c r="A229" s="37">
        <v>44256</v>
      </c>
      <c r="B229" s="235" t="s">
        <v>111</v>
      </c>
      <c r="C229" s="23" t="s">
        <v>16</v>
      </c>
      <c r="D229" s="224">
        <v>12680000</v>
      </c>
      <c r="E229" s="23"/>
      <c r="F229" s="23" t="s">
        <v>145</v>
      </c>
    </row>
    <row r="230" spans="1:6" x14ac:dyDescent="0.25">
      <c r="A230" s="37">
        <v>44256</v>
      </c>
      <c r="B230" s="235" t="s">
        <v>155</v>
      </c>
      <c r="C230" s="23" t="s">
        <v>16</v>
      </c>
      <c r="D230" s="224">
        <v>1200000</v>
      </c>
      <c r="E230" s="23"/>
      <c r="F230" s="23" t="s">
        <v>145</v>
      </c>
    </row>
    <row r="231" spans="1:6" x14ac:dyDescent="0.25">
      <c r="A231" s="37">
        <v>44256</v>
      </c>
      <c r="B231" s="235" t="s">
        <v>156</v>
      </c>
      <c r="C231" s="23" t="s">
        <v>16</v>
      </c>
      <c r="D231" s="224">
        <v>4500000</v>
      </c>
      <c r="E231" s="23"/>
      <c r="F231" s="23" t="s">
        <v>145</v>
      </c>
    </row>
    <row r="232" spans="1:6" x14ac:dyDescent="0.25">
      <c r="A232" s="37">
        <v>44256</v>
      </c>
      <c r="B232" s="235" t="s">
        <v>157</v>
      </c>
      <c r="C232" s="23" t="s">
        <v>16</v>
      </c>
      <c r="D232" s="224">
        <v>4700000</v>
      </c>
      <c r="E232" s="23"/>
      <c r="F232" s="23" t="s">
        <v>145</v>
      </c>
    </row>
    <row r="233" spans="1:6" x14ac:dyDescent="0.25">
      <c r="A233" s="37">
        <v>44256</v>
      </c>
      <c r="B233" s="50" t="s">
        <v>151</v>
      </c>
      <c r="C233" s="23" t="s">
        <v>17</v>
      </c>
      <c r="D233" s="224">
        <v>21500000</v>
      </c>
      <c r="E233" s="23"/>
      <c r="F233" s="23" t="s">
        <v>145</v>
      </c>
    </row>
    <row r="234" spans="1:6" x14ac:dyDescent="0.25">
      <c r="A234" s="37">
        <v>44256</v>
      </c>
      <c r="B234" s="51" t="s">
        <v>158</v>
      </c>
      <c r="C234" s="23" t="s">
        <v>17</v>
      </c>
      <c r="D234" s="243">
        <v>9750000</v>
      </c>
      <c r="E234" s="23"/>
      <c r="F234" s="23" t="s">
        <v>145</v>
      </c>
    </row>
    <row r="235" spans="1:6" x14ac:dyDescent="0.25">
      <c r="A235" s="37">
        <v>44287</v>
      </c>
      <c r="B235" s="233" t="s">
        <v>110</v>
      </c>
      <c r="C235" s="23" t="s">
        <v>4</v>
      </c>
      <c r="D235" s="236">
        <v>26470000</v>
      </c>
      <c r="E235" s="224">
        <v>35000000</v>
      </c>
      <c r="F235" s="23" t="s">
        <v>145</v>
      </c>
    </row>
    <row r="236" spans="1:6" x14ac:dyDescent="0.25">
      <c r="A236" s="37">
        <v>44287</v>
      </c>
      <c r="B236" s="7" t="s">
        <v>154</v>
      </c>
      <c r="C236" s="23" t="s">
        <v>16</v>
      </c>
      <c r="D236" s="237">
        <v>4400000</v>
      </c>
      <c r="E236" s="23"/>
      <c r="F236" s="23" t="s">
        <v>145</v>
      </c>
    </row>
    <row r="237" spans="1:6" x14ac:dyDescent="0.25">
      <c r="A237" s="37">
        <v>44287</v>
      </c>
      <c r="B237" s="7" t="s">
        <v>111</v>
      </c>
      <c r="C237" s="23" t="s">
        <v>16</v>
      </c>
      <c r="D237" s="237">
        <v>7900000</v>
      </c>
      <c r="E237" s="23"/>
      <c r="F237" s="23" t="s">
        <v>145</v>
      </c>
    </row>
    <row r="238" spans="1:6" x14ac:dyDescent="0.25">
      <c r="A238" s="37">
        <v>44287</v>
      </c>
      <c r="B238" s="7" t="s">
        <v>156</v>
      </c>
      <c r="C238" s="23" t="s">
        <v>16</v>
      </c>
      <c r="D238" s="237">
        <v>4220000</v>
      </c>
      <c r="E238" s="23"/>
      <c r="F238" s="23" t="s">
        <v>145</v>
      </c>
    </row>
    <row r="239" spans="1:6" x14ac:dyDescent="0.25">
      <c r="A239" s="37">
        <v>44287</v>
      </c>
      <c r="B239" s="7" t="s">
        <v>157</v>
      </c>
      <c r="C239" s="23" t="s">
        <v>16</v>
      </c>
      <c r="D239" s="237">
        <v>9950000</v>
      </c>
      <c r="E239" s="23"/>
      <c r="F239" s="23" t="s">
        <v>145</v>
      </c>
    </row>
    <row r="240" spans="1:6" x14ac:dyDescent="0.25">
      <c r="A240" s="37">
        <v>44287</v>
      </c>
      <c r="B240" s="7" t="s">
        <v>151</v>
      </c>
      <c r="C240" s="23" t="s">
        <v>17</v>
      </c>
      <c r="D240" s="237">
        <v>0</v>
      </c>
      <c r="E240" s="23"/>
      <c r="F240" s="23" t="s">
        <v>145</v>
      </c>
    </row>
    <row r="241" spans="1:6" x14ac:dyDescent="0.25">
      <c r="A241" s="37">
        <v>44287</v>
      </c>
      <c r="B241" s="8" t="s">
        <v>158</v>
      </c>
      <c r="C241" s="23" t="s">
        <v>17</v>
      </c>
      <c r="D241" s="242">
        <v>8300000</v>
      </c>
      <c r="E241" s="23"/>
      <c r="F241" s="23" t="s">
        <v>145</v>
      </c>
    </row>
    <row r="242" spans="1:6" x14ac:dyDescent="0.25">
      <c r="A242" s="37">
        <v>44317</v>
      </c>
      <c r="B242" s="233" t="s">
        <v>110</v>
      </c>
      <c r="C242" s="23" t="s">
        <v>4</v>
      </c>
      <c r="D242" s="238">
        <v>31750000</v>
      </c>
      <c r="E242" s="224">
        <v>35000000</v>
      </c>
      <c r="F242" s="23" t="s">
        <v>145</v>
      </c>
    </row>
    <row r="243" spans="1:6" x14ac:dyDescent="0.25">
      <c r="A243" s="37">
        <v>44317</v>
      </c>
      <c r="B243" s="7" t="s">
        <v>154</v>
      </c>
      <c r="C243" s="23" t="s">
        <v>16</v>
      </c>
      <c r="D243" s="239">
        <v>12350000</v>
      </c>
      <c r="E243" s="23"/>
      <c r="F243" s="23" t="s">
        <v>145</v>
      </c>
    </row>
    <row r="244" spans="1:6" x14ac:dyDescent="0.25">
      <c r="A244" s="37">
        <v>44317</v>
      </c>
      <c r="B244" s="7" t="s">
        <v>111</v>
      </c>
      <c r="C244" s="23" t="s">
        <v>16</v>
      </c>
      <c r="D244" s="239">
        <v>10050000</v>
      </c>
      <c r="E244" s="23"/>
      <c r="F244" s="23" t="s">
        <v>145</v>
      </c>
    </row>
    <row r="245" spans="1:6" x14ac:dyDescent="0.25">
      <c r="A245" s="37">
        <v>44317</v>
      </c>
      <c r="B245" s="7" t="s">
        <v>156</v>
      </c>
      <c r="C245" s="23" t="s">
        <v>16</v>
      </c>
      <c r="D245" s="239">
        <v>4250000</v>
      </c>
      <c r="E245" s="23"/>
      <c r="F245" s="23" t="s">
        <v>145</v>
      </c>
    </row>
    <row r="246" spans="1:6" x14ac:dyDescent="0.25">
      <c r="A246" s="37">
        <v>44317</v>
      </c>
      <c r="B246" s="7" t="s">
        <v>157</v>
      </c>
      <c r="C246" s="23" t="s">
        <v>16</v>
      </c>
      <c r="D246" s="239">
        <v>5100000</v>
      </c>
      <c r="E246" s="23"/>
      <c r="F246" s="23" t="s">
        <v>145</v>
      </c>
    </row>
    <row r="247" spans="1:6" x14ac:dyDescent="0.25">
      <c r="A247" s="37">
        <v>44317</v>
      </c>
      <c r="B247" s="7" t="s">
        <v>151</v>
      </c>
      <c r="C247" s="23" t="s">
        <v>17</v>
      </c>
      <c r="D247" s="239">
        <v>19150000</v>
      </c>
      <c r="E247" s="23"/>
      <c r="F247" s="23" t="s">
        <v>145</v>
      </c>
    </row>
    <row r="248" spans="1:6" x14ac:dyDescent="0.25">
      <c r="A248" s="37">
        <v>44317</v>
      </c>
      <c r="B248" s="8" t="s">
        <v>158</v>
      </c>
      <c r="C248" s="23" t="s">
        <v>17</v>
      </c>
      <c r="D248" s="262">
        <v>8950000</v>
      </c>
      <c r="E248" s="23"/>
      <c r="F248" s="23" t="s">
        <v>145</v>
      </c>
    </row>
    <row r="249" spans="1:6" x14ac:dyDescent="0.25">
      <c r="A249" s="37">
        <v>44348</v>
      </c>
      <c r="B249" s="233" t="s">
        <v>110</v>
      </c>
      <c r="C249" s="23" t="s">
        <v>4</v>
      </c>
      <c r="D249" s="238">
        <v>23880000</v>
      </c>
      <c r="E249" s="224">
        <v>35000000</v>
      </c>
      <c r="F249" s="23" t="s">
        <v>145</v>
      </c>
    </row>
    <row r="250" spans="1:6" x14ac:dyDescent="0.25">
      <c r="A250" s="37">
        <v>44348</v>
      </c>
      <c r="B250" s="235" t="s">
        <v>154</v>
      </c>
      <c r="C250" s="23" t="s">
        <v>16</v>
      </c>
      <c r="D250" s="239">
        <v>4730000</v>
      </c>
      <c r="E250" s="23"/>
      <c r="F250" s="23" t="s">
        <v>145</v>
      </c>
    </row>
    <row r="251" spans="1:6" x14ac:dyDescent="0.25">
      <c r="A251" s="37">
        <v>44348</v>
      </c>
      <c r="B251" s="235" t="s">
        <v>111</v>
      </c>
      <c r="C251" s="23" t="s">
        <v>16</v>
      </c>
      <c r="D251" s="239">
        <v>13450000</v>
      </c>
      <c r="E251" s="23"/>
      <c r="F251" s="23" t="s">
        <v>145</v>
      </c>
    </row>
    <row r="252" spans="1:6" x14ac:dyDescent="0.25">
      <c r="A252" s="37">
        <v>44348</v>
      </c>
      <c r="B252" s="235" t="s">
        <v>156</v>
      </c>
      <c r="C252" s="23" t="s">
        <v>16</v>
      </c>
      <c r="D252" s="239">
        <v>2600000</v>
      </c>
      <c r="E252" s="23"/>
      <c r="F252" s="23" t="s">
        <v>145</v>
      </c>
    </row>
    <row r="253" spans="1:6" x14ac:dyDescent="0.25">
      <c r="A253" s="37">
        <v>44348</v>
      </c>
      <c r="B253" s="235" t="s">
        <v>157</v>
      </c>
      <c r="C253" s="23" t="s">
        <v>16</v>
      </c>
      <c r="D253" s="239">
        <v>3100000</v>
      </c>
      <c r="E253" s="23"/>
      <c r="F253" s="23" t="s">
        <v>145</v>
      </c>
    </row>
    <row r="254" spans="1:6" x14ac:dyDescent="0.25">
      <c r="A254" s="37">
        <v>44348</v>
      </c>
      <c r="B254" s="235" t="s">
        <v>151</v>
      </c>
      <c r="C254" s="23" t="s">
        <v>17</v>
      </c>
      <c r="D254" s="239">
        <v>10930000</v>
      </c>
      <c r="E254" s="23"/>
      <c r="F254" s="23" t="s">
        <v>145</v>
      </c>
    </row>
    <row r="255" spans="1:6" x14ac:dyDescent="0.25">
      <c r="A255" s="37">
        <v>44348</v>
      </c>
      <c r="B255" s="263" t="s">
        <v>158</v>
      </c>
      <c r="C255" s="23" t="s">
        <v>17</v>
      </c>
      <c r="D255" s="262">
        <v>4000000</v>
      </c>
      <c r="E255" s="23"/>
      <c r="F255" s="23" t="s">
        <v>145</v>
      </c>
    </row>
    <row r="256" spans="1:6" x14ac:dyDescent="0.25">
      <c r="A256" s="37">
        <v>44378</v>
      </c>
      <c r="B256" s="234" t="s">
        <v>110</v>
      </c>
      <c r="C256" s="23" t="s">
        <v>4</v>
      </c>
      <c r="D256" s="240">
        <v>46350000</v>
      </c>
      <c r="E256" s="224">
        <v>35000000</v>
      </c>
      <c r="F256" s="23" t="s">
        <v>145</v>
      </c>
    </row>
    <row r="257" spans="1:6" x14ac:dyDescent="0.25">
      <c r="A257" s="37">
        <v>44378</v>
      </c>
      <c r="B257" s="235" t="s">
        <v>154</v>
      </c>
      <c r="C257" s="23" t="s">
        <v>16</v>
      </c>
      <c r="D257" s="224">
        <v>15950000</v>
      </c>
      <c r="E257" s="23"/>
      <c r="F257" s="23" t="s">
        <v>145</v>
      </c>
    </row>
    <row r="258" spans="1:6" x14ac:dyDescent="0.25">
      <c r="A258" s="37">
        <v>44378</v>
      </c>
      <c r="B258" s="235" t="s">
        <v>111</v>
      </c>
      <c r="C258" s="23" t="s">
        <v>16</v>
      </c>
      <c r="D258" s="224">
        <v>24700000</v>
      </c>
      <c r="E258" s="23"/>
      <c r="F258" s="23" t="s">
        <v>145</v>
      </c>
    </row>
    <row r="259" spans="1:6" x14ac:dyDescent="0.25">
      <c r="A259" s="37">
        <v>44378</v>
      </c>
      <c r="B259" s="235" t="s">
        <v>159</v>
      </c>
      <c r="C259" s="23" t="s">
        <v>16</v>
      </c>
      <c r="D259" s="224">
        <v>5700000</v>
      </c>
      <c r="E259" s="23"/>
      <c r="F259" s="23" t="s">
        <v>145</v>
      </c>
    </row>
    <row r="260" spans="1:6" x14ac:dyDescent="0.25">
      <c r="A260" s="37">
        <v>44378</v>
      </c>
      <c r="B260" s="235" t="s">
        <v>151</v>
      </c>
      <c r="C260" s="23" t="s">
        <v>17</v>
      </c>
      <c r="D260" s="224">
        <v>35800000</v>
      </c>
      <c r="E260" s="23"/>
      <c r="F260" s="23" t="s">
        <v>145</v>
      </c>
    </row>
    <row r="261" spans="1:6" x14ac:dyDescent="0.25">
      <c r="A261" s="37">
        <v>44378</v>
      </c>
      <c r="B261" s="263" t="s">
        <v>46</v>
      </c>
      <c r="C261" s="23" t="s">
        <v>17</v>
      </c>
      <c r="D261" s="243">
        <v>10550000</v>
      </c>
      <c r="E261" s="23"/>
      <c r="F261" s="23" t="s">
        <v>145</v>
      </c>
    </row>
    <row r="262" spans="1:6" x14ac:dyDescent="0.25">
      <c r="A262" s="37">
        <v>44409</v>
      </c>
      <c r="B262" s="233" t="s">
        <v>110</v>
      </c>
      <c r="C262" s="23" t="s">
        <v>4</v>
      </c>
      <c r="D262" s="236">
        <v>23550000</v>
      </c>
      <c r="E262" s="224">
        <v>35000000</v>
      </c>
      <c r="F262" s="23" t="s">
        <v>145</v>
      </c>
    </row>
    <row r="263" spans="1:6" x14ac:dyDescent="0.25">
      <c r="A263" s="37">
        <v>44409</v>
      </c>
      <c r="B263" s="50" t="s">
        <v>154</v>
      </c>
      <c r="C263" s="23" t="s">
        <v>16</v>
      </c>
      <c r="D263" s="237">
        <v>7600000</v>
      </c>
      <c r="E263" s="23"/>
      <c r="F263" s="23" t="s">
        <v>145</v>
      </c>
    </row>
    <row r="264" spans="1:6" x14ac:dyDescent="0.25">
      <c r="A264" s="37">
        <v>44409</v>
      </c>
      <c r="B264" s="50" t="s">
        <v>159</v>
      </c>
      <c r="C264" s="23" t="s">
        <v>16</v>
      </c>
      <c r="D264" s="237">
        <v>11850000</v>
      </c>
      <c r="E264" s="23"/>
      <c r="F264" s="23" t="s">
        <v>145</v>
      </c>
    </row>
    <row r="265" spans="1:6" x14ac:dyDescent="0.25">
      <c r="A265" s="37">
        <v>44409</v>
      </c>
      <c r="B265" s="50" t="s">
        <v>160</v>
      </c>
      <c r="C265" s="23" t="s">
        <v>16</v>
      </c>
      <c r="D265" s="237">
        <v>4100000</v>
      </c>
      <c r="E265" s="23"/>
      <c r="F265" s="23" t="s">
        <v>145</v>
      </c>
    </row>
    <row r="266" spans="1:6" x14ac:dyDescent="0.25">
      <c r="A266" s="37">
        <v>44409</v>
      </c>
      <c r="B266" s="50" t="s">
        <v>151</v>
      </c>
      <c r="C266" s="23" t="s">
        <v>17</v>
      </c>
      <c r="D266" s="237">
        <v>22200000</v>
      </c>
      <c r="E266" s="23"/>
      <c r="F266" s="23" t="s">
        <v>145</v>
      </c>
    </row>
    <row r="267" spans="1:6" x14ac:dyDescent="0.25">
      <c r="A267" s="37">
        <v>44440</v>
      </c>
      <c r="B267" s="233" t="s">
        <v>110</v>
      </c>
      <c r="C267" s="23" t="s">
        <v>4</v>
      </c>
      <c r="D267" s="240">
        <v>35150000</v>
      </c>
      <c r="E267" s="224">
        <v>35000000</v>
      </c>
      <c r="F267" s="23" t="s">
        <v>145</v>
      </c>
    </row>
    <row r="268" spans="1:6" x14ac:dyDescent="0.25">
      <c r="A268" s="37">
        <v>44440</v>
      </c>
      <c r="B268" s="50" t="s">
        <v>154</v>
      </c>
      <c r="C268" s="23" t="s">
        <v>16</v>
      </c>
      <c r="D268" s="224">
        <v>13250000</v>
      </c>
      <c r="E268" s="23"/>
      <c r="F268" s="23" t="s">
        <v>145</v>
      </c>
    </row>
    <row r="269" spans="1:6" x14ac:dyDescent="0.25">
      <c r="A269" s="37">
        <v>44440</v>
      </c>
      <c r="B269" s="50" t="s">
        <v>111</v>
      </c>
      <c r="C269" s="23" t="s">
        <v>16</v>
      </c>
      <c r="D269" s="224">
        <v>15450000</v>
      </c>
      <c r="E269" s="23"/>
      <c r="F269" s="23" t="s">
        <v>145</v>
      </c>
    </row>
    <row r="270" spans="1:6" x14ac:dyDescent="0.25">
      <c r="A270" s="37">
        <v>44440</v>
      </c>
      <c r="B270" s="235" t="s">
        <v>159</v>
      </c>
      <c r="C270" s="23" t="s">
        <v>16</v>
      </c>
      <c r="D270" s="224">
        <v>6450000</v>
      </c>
      <c r="E270" s="23"/>
      <c r="F270" s="23" t="s">
        <v>145</v>
      </c>
    </row>
    <row r="271" spans="1:6" x14ac:dyDescent="0.25">
      <c r="A271" s="37">
        <v>44440</v>
      </c>
      <c r="B271" s="235" t="s">
        <v>144</v>
      </c>
      <c r="C271" s="23" t="s">
        <v>17</v>
      </c>
      <c r="D271" s="224">
        <v>19500000</v>
      </c>
      <c r="E271" s="23"/>
      <c r="F271" s="23" t="s">
        <v>145</v>
      </c>
    </row>
    <row r="272" spans="1:6" x14ac:dyDescent="0.25">
      <c r="A272" s="37">
        <v>44440</v>
      </c>
      <c r="B272" s="235" t="s">
        <v>151</v>
      </c>
      <c r="C272" s="23" t="s">
        <v>17</v>
      </c>
      <c r="D272" s="224">
        <v>14050000</v>
      </c>
      <c r="E272" s="23"/>
      <c r="F272" s="23" t="s">
        <v>145</v>
      </c>
    </row>
    <row r="273" spans="1:6" x14ac:dyDescent="0.25">
      <c r="A273" s="37">
        <v>44470</v>
      </c>
      <c r="B273" s="234" t="s">
        <v>110</v>
      </c>
      <c r="C273" s="23" t="s">
        <v>4</v>
      </c>
      <c r="D273" s="238">
        <v>51530000</v>
      </c>
      <c r="E273" s="224">
        <v>35000000</v>
      </c>
      <c r="F273" s="23" t="s">
        <v>145</v>
      </c>
    </row>
    <row r="274" spans="1:6" x14ac:dyDescent="0.25">
      <c r="A274" s="37">
        <v>44470</v>
      </c>
      <c r="B274" s="235" t="s">
        <v>154</v>
      </c>
      <c r="C274" s="23" t="s">
        <v>16</v>
      </c>
      <c r="D274" s="239">
        <v>20800000</v>
      </c>
      <c r="E274" s="23"/>
      <c r="F274" s="23" t="s">
        <v>145</v>
      </c>
    </row>
    <row r="275" spans="1:6" x14ac:dyDescent="0.25">
      <c r="A275" s="37">
        <v>44470</v>
      </c>
      <c r="B275" s="235" t="s">
        <v>111</v>
      </c>
      <c r="C275" s="23" t="s">
        <v>16</v>
      </c>
      <c r="D275" s="239">
        <v>20650000</v>
      </c>
      <c r="E275" s="23"/>
      <c r="F275" s="23" t="s">
        <v>145</v>
      </c>
    </row>
    <row r="276" spans="1:6" x14ac:dyDescent="0.25">
      <c r="A276" s="37">
        <v>44470</v>
      </c>
      <c r="B276" s="235" t="s">
        <v>159</v>
      </c>
      <c r="C276" s="23" t="s">
        <v>16</v>
      </c>
      <c r="D276" s="239">
        <v>7980000</v>
      </c>
      <c r="E276" s="23"/>
      <c r="F276" s="23" t="s">
        <v>145</v>
      </c>
    </row>
    <row r="277" spans="1:6" x14ac:dyDescent="0.25">
      <c r="A277" s="37">
        <v>44470</v>
      </c>
      <c r="B277" s="235" t="s">
        <v>144</v>
      </c>
      <c r="C277" s="23" t="s">
        <v>17</v>
      </c>
      <c r="D277" s="239">
        <v>1250000</v>
      </c>
      <c r="E277" s="23"/>
      <c r="F277" s="23" t="s">
        <v>145</v>
      </c>
    </row>
    <row r="278" spans="1:6" x14ac:dyDescent="0.25">
      <c r="A278" s="37">
        <v>44470</v>
      </c>
      <c r="B278" s="235" t="s">
        <v>151</v>
      </c>
      <c r="C278" s="23" t="s">
        <v>17</v>
      </c>
      <c r="D278" s="239">
        <v>43580000</v>
      </c>
      <c r="E278" s="23"/>
      <c r="F278" s="23" t="s">
        <v>145</v>
      </c>
    </row>
    <row r="279" spans="1:6" x14ac:dyDescent="0.25">
      <c r="A279" s="37">
        <v>44470</v>
      </c>
      <c r="B279" s="263" t="s">
        <v>161</v>
      </c>
      <c r="C279" s="23" t="s">
        <v>17</v>
      </c>
      <c r="D279" s="262">
        <v>4550000</v>
      </c>
      <c r="E279" s="23"/>
      <c r="F279" s="23" t="s">
        <v>145</v>
      </c>
    </row>
    <row r="280" spans="1:6" x14ac:dyDescent="0.25">
      <c r="A280" s="37">
        <v>44501</v>
      </c>
      <c r="B280" s="234" t="s">
        <v>110</v>
      </c>
      <c r="C280" s="23" t="s">
        <v>4</v>
      </c>
      <c r="D280" s="238">
        <v>36800000</v>
      </c>
      <c r="E280" s="224">
        <v>35000000</v>
      </c>
      <c r="F280" s="23" t="s">
        <v>145</v>
      </c>
    </row>
    <row r="281" spans="1:6" x14ac:dyDescent="0.25">
      <c r="A281" s="37">
        <v>44501</v>
      </c>
      <c r="B281" s="7" t="s">
        <v>154</v>
      </c>
      <c r="C281" s="23" t="s">
        <v>16</v>
      </c>
      <c r="D281" s="239">
        <v>16450000</v>
      </c>
      <c r="E281" s="23"/>
      <c r="F281" s="23" t="s">
        <v>145</v>
      </c>
    </row>
    <row r="282" spans="1:6" x14ac:dyDescent="0.25">
      <c r="A282" s="37">
        <v>44501</v>
      </c>
      <c r="B282" s="235" t="s">
        <v>111</v>
      </c>
      <c r="C282" s="23" t="s">
        <v>16</v>
      </c>
      <c r="D282" s="239">
        <v>20350000</v>
      </c>
      <c r="E282" s="23"/>
      <c r="F282" s="23" t="s">
        <v>145</v>
      </c>
    </row>
    <row r="283" spans="1:6" x14ac:dyDescent="0.25">
      <c r="A283" s="37">
        <v>44501</v>
      </c>
      <c r="B283" s="235" t="s">
        <v>151</v>
      </c>
      <c r="C283" s="23" t="s">
        <v>17</v>
      </c>
      <c r="D283" s="239">
        <v>17600000</v>
      </c>
      <c r="E283" s="23"/>
      <c r="F283" s="23" t="s">
        <v>145</v>
      </c>
    </row>
    <row r="284" spans="1:6" x14ac:dyDescent="0.25">
      <c r="A284" s="37">
        <v>44501</v>
      </c>
      <c r="B284" s="263" t="s">
        <v>161</v>
      </c>
      <c r="C284" s="23" t="s">
        <v>17</v>
      </c>
      <c r="D284" s="262">
        <v>1400000</v>
      </c>
      <c r="E284" s="23"/>
      <c r="F284" s="23" t="s">
        <v>145</v>
      </c>
    </row>
    <row r="285" spans="1:6" x14ac:dyDescent="0.25">
      <c r="A285" s="37">
        <v>44501</v>
      </c>
      <c r="B285" s="235" t="s">
        <v>159</v>
      </c>
      <c r="C285" s="23" t="s">
        <v>17</v>
      </c>
      <c r="D285" s="239">
        <v>17900000</v>
      </c>
      <c r="E285" s="23"/>
      <c r="F285" s="23" t="s">
        <v>145</v>
      </c>
    </row>
    <row r="286" spans="1:6" x14ac:dyDescent="0.25">
      <c r="A286" s="37">
        <v>44531</v>
      </c>
      <c r="B286" s="234" t="s">
        <v>110</v>
      </c>
      <c r="C286" s="23" t="s">
        <v>4</v>
      </c>
      <c r="D286" s="162">
        <v>19350000</v>
      </c>
      <c r="E286" s="224">
        <v>35000000</v>
      </c>
      <c r="F286" s="23" t="s">
        <v>145</v>
      </c>
    </row>
    <row r="287" spans="1:6" x14ac:dyDescent="0.25">
      <c r="A287" s="37">
        <v>44531</v>
      </c>
      <c r="B287" s="235" t="s">
        <v>154</v>
      </c>
      <c r="C287" s="23" t="s">
        <v>16</v>
      </c>
      <c r="D287" s="264">
        <v>10000000</v>
      </c>
      <c r="E287" s="23"/>
      <c r="F287" s="23" t="s">
        <v>145</v>
      </c>
    </row>
    <row r="288" spans="1:6" x14ac:dyDescent="0.25">
      <c r="A288" s="37">
        <v>44531</v>
      </c>
      <c r="B288" s="235" t="s">
        <v>111</v>
      </c>
      <c r="C288" s="23" t="s">
        <v>16</v>
      </c>
      <c r="D288" s="264">
        <v>7650000</v>
      </c>
      <c r="E288" s="23"/>
      <c r="F288" s="23" t="s">
        <v>145</v>
      </c>
    </row>
    <row r="289" spans="1:6" x14ac:dyDescent="0.25">
      <c r="A289" s="37">
        <v>44531</v>
      </c>
      <c r="B289" s="235" t="s">
        <v>159</v>
      </c>
      <c r="C289" s="23" t="s">
        <v>17</v>
      </c>
      <c r="D289" s="264">
        <v>19350000</v>
      </c>
      <c r="E289" s="23"/>
      <c r="F289" s="23" t="s">
        <v>145</v>
      </c>
    </row>
    <row r="290" spans="1:6" x14ac:dyDescent="0.25">
      <c r="A290" s="37">
        <v>44562</v>
      </c>
      <c r="B290" s="33" t="s">
        <v>162</v>
      </c>
      <c r="C290" s="23" t="s">
        <v>4</v>
      </c>
      <c r="D290" s="241">
        <v>42000000</v>
      </c>
      <c r="E290" s="238">
        <v>40000000</v>
      </c>
      <c r="F290" s="23" t="s">
        <v>145</v>
      </c>
    </row>
    <row r="291" spans="1:6" x14ac:dyDescent="0.25">
      <c r="A291" s="37">
        <v>44562</v>
      </c>
      <c r="B291" s="9" t="s">
        <v>143</v>
      </c>
      <c r="C291" s="23" t="s">
        <v>16</v>
      </c>
      <c r="D291" s="222">
        <v>22100000</v>
      </c>
      <c r="E291" s="265">
        <v>14000000</v>
      </c>
      <c r="F291" s="23" t="s">
        <v>145</v>
      </c>
    </row>
    <row r="292" spans="1:6" x14ac:dyDescent="0.25">
      <c r="A292" s="37">
        <v>44562</v>
      </c>
      <c r="B292" s="9" t="s">
        <v>111</v>
      </c>
      <c r="C292" s="23" t="s">
        <v>16</v>
      </c>
      <c r="D292" s="222">
        <v>19900000</v>
      </c>
      <c r="E292" s="265">
        <v>14000000</v>
      </c>
      <c r="F292" s="23" t="s">
        <v>145</v>
      </c>
    </row>
    <row r="293" spans="1:6" x14ac:dyDescent="0.25">
      <c r="A293" s="37">
        <v>44562</v>
      </c>
      <c r="B293" s="11" t="s">
        <v>151</v>
      </c>
      <c r="C293" s="23" t="s">
        <v>17</v>
      </c>
      <c r="D293" s="222">
        <v>30800000</v>
      </c>
      <c r="E293" s="238">
        <v>16000000</v>
      </c>
      <c r="F293" s="23" t="s">
        <v>145</v>
      </c>
    </row>
    <row r="294" spans="1:6" x14ac:dyDescent="0.25">
      <c r="A294" s="37">
        <v>44562</v>
      </c>
      <c r="B294" s="11" t="s">
        <v>159</v>
      </c>
      <c r="C294" s="23" t="s">
        <v>17</v>
      </c>
      <c r="D294" s="222">
        <v>11200000</v>
      </c>
      <c r="E294" s="238">
        <v>16000000</v>
      </c>
      <c r="F294" s="23" t="s">
        <v>145</v>
      </c>
    </row>
    <row r="295" spans="1:6" x14ac:dyDescent="0.25">
      <c r="A295" s="37">
        <v>44562</v>
      </c>
      <c r="B295" s="11" t="s">
        <v>144</v>
      </c>
      <c r="C295" s="23" t="s">
        <v>17</v>
      </c>
      <c r="D295" s="222">
        <v>4950000</v>
      </c>
      <c r="E295" s="238">
        <v>16000000</v>
      </c>
      <c r="F295" s="23" t="s">
        <v>145</v>
      </c>
    </row>
    <row r="296" spans="1:6" x14ac:dyDescent="0.25">
      <c r="A296" s="37">
        <v>44593</v>
      </c>
      <c r="B296" s="33" t="s">
        <v>162</v>
      </c>
      <c r="C296" s="23" t="s">
        <v>4</v>
      </c>
      <c r="D296" s="241">
        <v>53940000</v>
      </c>
      <c r="E296" s="241">
        <v>40000000</v>
      </c>
      <c r="F296" s="23" t="s">
        <v>145</v>
      </c>
    </row>
    <row r="297" spans="1:6" x14ac:dyDescent="0.25">
      <c r="A297" s="37">
        <v>44593</v>
      </c>
      <c r="B297" s="9" t="s">
        <v>143</v>
      </c>
      <c r="C297" s="23" t="s">
        <v>16</v>
      </c>
      <c r="D297" s="222">
        <v>25770000</v>
      </c>
      <c r="E297" s="166">
        <v>14000000</v>
      </c>
      <c r="F297" s="23" t="s">
        <v>145</v>
      </c>
    </row>
    <row r="298" spans="1:6" x14ac:dyDescent="0.25">
      <c r="A298" s="37">
        <v>44593</v>
      </c>
      <c r="B298" s="9" t="s">
        <v>111</v>
      </c>
      <c r="C298" s="23" t="s">
        <v>16</v>
      </c>
      <c r="D298" s="222">
        <v>23370000</v>
      </c>
      <c r="E298" s="166">
        <v>14000000</v>
      </c>
      <c r="F298" s="23" t="s">
        <v>145</v>
      </c>
    </row>
    <row r="299" spans="1:6" x14ac:dyDescent="0.25">
      <c r="A299" s="37">
        <v>44593</v>
      </c>
      <c r="B299" s="257" t="s">
        <v>163</v>
      </c>
      <c r="C299" s="23" t="s">
        <v>16</v>
      </c>
      <c r="D299" s="173">
        <v>3350000</v>
      </c>
      <c r="E299" s="241">
        <v>13000000</v>
      </c>
      <c r="F299" s="23" t="s">
        <v>145</v>
      </c>
    </row>
    <row r="300" spans="1:6" x14ac:dyDescent="0.25">
      <c r="A300" s="37">
        <v>44593</v>
      </c>
      <c r="B300" s="11" t="s">
        <v>151</v>
      </c>
      <c r="C300" s="42" t="s">
        <v>17</v>
      </c>
      <c r="D300" s="266">
        <v>27120000</v>
      </c>
      <c r="E300" s="268">
        <v>16000000</v>
      </c>
      <c r="F300" s="23" t="s">
        <v>145</v>
      </c>
    </row>
    <row r="301" spans="1:6" x14ac:dyDescent="0.25">
      <c r="A301" s="37">
        <v>44593</v>
      </c>
      <c r="B301" s="11" t="s">
        <v>159</v>
      </c>
      <c r="C301" s="23" t="s">
        <v>17</v>
      </c>
      <c r="D301" s="177">
        <v>20370000</v>
      </c>
      <c r="E301" s="127">
        <v>16000000</v>
      </c>
      <c r="F301" s="23" t="s">
        <v>145</v>
      </c>
    </row>
    <row r="302" spans="1:6" x14ac:dyDescent="0.25">
      <c r="A302" s="37">
        <v>44593</v>
      </c>
      <c r="B302" s="11" t="s">
        <v>144</v>
      </c>
      <c r="C302" s="23" t="s">
        <v>17</v>
      </c>
      <c r="D302" s="126">
        <v>4950000</v>
      </c>
      <c r="E302" s="127">
        <v>16000000</v>
      </c>
      <c r="F302" s="23" t="s">
        <v>145</v>
      </c>
    </row>
    <row r="303" spans="1:6" x14ac:dyDescent="0.25">
      <c r="A303" s="37">
        <v>44621</v>
      </c>
      <c r="B303" s="33" t="s">
        <v>165</v>
      </c>
      <c r="C303" s="23" t="s">
        <v>4</v>
      </c>
      <c r="D303" s="127">
        <v>72810000</v>
      </c>
      <c r="E303" s="241">
        <v>40000000</v>
      </c>
      <c r="F303" s="23" t="s">
        <v>145</v>
      </c>
    </row>
    <row r="304" spans="1:6" x14ac:dyDescent="0.25">
      <c r="A304" s="37">
        <v>44621</v>
      </c>
      <c r="B304" s="11" t="s">
        <v>143</v>
      </c>
      <c r="C304" s="23" t="s">
        <v>16</v>
      </c>
      <c r="D304" s="269">
        <v>25380000</v>
      </c>
      <c r="E304" s="166">
        <v>14000000</v>
      </c>
      <c r="F304" s="23" t="s">
        <v>145</v>
      </c>
    </row>
    <row r="305" spans="1:6" x14ac:dyDescent="0.25">
      <c r="A305" s="37">
        <v>44621</v>
      </c>
      <c r="B305" s="11" t="s">
        <v>111</v>
      </c>
      <c r="C305" s="23" t="s">
        <v>16</v>
      </c>
      <c r="D305" s="177">
        <v>19550000</v>
      </c>
      <c r="E305" s="270">
        <v>14000000</v>
      </c>
      <c r="F305" s="23" t="s">
        <v>145</v>
      </c>
    </row>
    <row r="306" spans="1:6" x14ac:dyDescent="0.25">
      <c r="A306" s="37">
        <v>44621</v>
      </c>
      <c r="B306" s="11" t="s">
        <v>164</v>
      </c>
      <c r="C306" s="23" t="s">
        <v>16</v>
      </c>
      <c r="D306" s="177">
        <v>17000000</v>
      </c>
      <c r="E306" s="127">
        <v>13000000</v>
      </c>
      <c r="F306" s="23" t="s">
        <v>145</v>
      </c>
    </row>
    <row r="307" spans="1:6" x14ac:dyDescent="0.25">
      <c r="A307" s="37">
        <v>44621</v>
      </c>
      <c r="B307" s="11" t="s">
        <v>134</v>
      </c>
      <c r="C307" s="23" t="s">
        <v>16</v>
      </c>
      <c r="D307" s="177">
        <v>7850000</v>
      </c>
      <c r="E307" s="118">
        <v>13000000</v>
      </c>
      <c r="F307" s="23" t="s">
        <v>145</v>
      </c>
    </row>
    <row r="308" spans="1:6" x14ac:dyDescent="0.25">
      <c r="A308" s="37">
        <v>44621</v>
      </c>
      <c r="B308" s="11" t="s">
        <v>151</v>
      </c>
      <c r="C308" s="23" t="s">
        <v>17</v>
      </c>
      <c r="D308" s="177">
        <v>23130000</v>
      </c>
      <c r="E308" s="127">
        <v>16000000</v>
      </c>
      <c r="F308" s="23" t="s">
        <v>145</v>
      </c>
    </row>
    <row r="309" spans="1:6" x14ac:dyDescent="0.25">
      <c r="A309" s="37">
        <v>44621</v>
      </c>
      <c r="B309" s="11" t="s">
        <v>159</v>
      </c>
      <c r="C309" s="23" t="s">
        <v>17</v>
      </c>
      <c r="D309" s="177">
        <v>24230000</v>
      </c>
      <c r="E309" s="127">
        <v>16000000</v>
      </c>
      <c r="F309" s="23" t="s">
        <v>145</v>
      </c>
    </row>
    <row r="310" spans="1:6" x14ac:dyDescent="0.25">
      <c r="A310" s="37">
        <v>44621</v>
      </c>
      <c r="B310" s="11" t="s">
        <v>144</v>
      </c>
      <c r="C310" s="253" t="s">
        <v>17</v>
      </c>
      <c r="D310" s="267">
        <v>25450000</v>
      </c>
      <c r="E310" s="127">
        <v>16000000</v>
      </c>
      <c r="F310" s="23" t="s">
        <v>145</v>
      </c>
    </row>
    <row r="311" spans="1:6" x14ac:dyDescent="0.25">
      <c r="A311" s="37">
        <v>44652</v>
      </c>
      <c r="B311" s="33" t="s">
        <v>165</v>
      </c>
      <c r="C311" s="23" t="s">
        <v>4</v>
      </c>
      <c r="D311" s="271">
        <v>65380000</v>
      </c>
      <c r="E311" s="241">
        <v>40000000</v>
      </c>
      <c r="F311" s="23" t="s">
        <v>145</v>
      </c>
    </row>
    <row r="312" spans="1:6" x14ac:dyDescent="0.25">
      <c r="A312" s="37">
        <v>44652</v>
      </c>
      <c r="B312" s="11" t="s">
        <v>143</v>
      </c>
      <c r="C312" s="23" t="s">
        <v>16</v>
      </c>
      <c r="D312" s="57">
        <v>25900000</v>
      </c>
      <c r="E312" s="166">
        <v>14000000</v>
      </c>
      <c r="F312" s="23" t="s">
        <v>145</v>
      </c>
    </row>
    <row r="313" spans="1:6" x14ac:dyDescent="0.25">
      <c r="A313" s="37">
        <v>44652</v>
      </c>
      <c r="B313" s="11" t="s">
        <v>111</v>
      </c>
      <c r="C313" s="23" t="s">
        <v>16</v>
      </c>
      <c r="D313" s="272">
        <v>16130000</v>
      </c>
      <c r="E313" s="270">
        <v>14000000</v>
      </c>
      <c r="F313" s="23" t="s">
        <v>145</v>
      </c>
    </row>
    <row r="314" spans="1:6" x14ac:dyDescent="0.25">
      <c r="A314" s="37">
        <v>44652</v>
      </c>
      <c r="B314" s="11" t="s">
        <v>164</v>
      </c>
      <c r="C314" s="23" t="s">
        <v>16</v>
      </c>
      <c r="D314" s="59">
        <v>17800000</v>
      </c>
      <c r="E314" s="127">
        <v>13000000</v>
      </c>
      <c r="F314" s="23" t="s">
        <v>145</v>
      </c>
    </row>
    <row r="315" spans="1:6" x14ac:dyDescent="0.25">
      <c r="A315" s="37">
        <v>44652</v>
      </c>
      <c r="B315" s="11" t="s">
        <v>134</v>
      </c>
      <c r="C315" s="23" t="s">
        <v>16</v>
      </c>
      <c r="D315" s="59">
        <v>5500000</v>
      </c>
      <c r="E315" s="118">
        <v>13000000</v>
      </c>
      <c r="F315" s="23" t="s">
        <v>145</v>
      </c>
    </row>
    <row r="316" spans="1:6" x14ac:dyDescent="0.25">
      <c r="A316" s="37">
        <v>44652</v>
      </c>
      <c r="B316" s="11" t="s">
        <v>151</v>
      </c>
      <c r="C316" s="23" t="s">
        <v>17</v>
      </c>
      <c r="D316" s="59">
        <v>24330000</v>
      </c>
      <c r="E316" s="127">
        <v>16000000</v>
      </c>
      <c r="F316" s="23" t="s">
        <v>145</v>
      </c>
    </row>
    <row r="317" spans="1:6" x14ac:dyDescent="0.25">
      <c r="A317" s="37">
        <v>44652</v>
      </c>
      <c r="B317" s="11" t="s">
        <v>159</v>
      </c>
      <c r="C317" s="23" t="s">
        <v>17</v>
      </c>
      <c r="D317" s="59">
        <v>25050000</v>
      </c>
      <c r="E317" s="127">
        <v>16000000</v>
      </c>
      <c r="F317" s="23" t="s">
        <v>145</v>
      </c>
    </row>
    <row r="318" spans="1:6" x14ac:dyDescent="0.25">
      <c r="A318" s="37">
        <v>44652</v>
      </c>
      <c r="B318" s="11" t="s">
        <v>144</v>
      </c>
      <c r="C318" s="23" t="s">
        <v>17</v>
      </c>
      <c r="D318" s="59">
        <v>16000000</v>
      </c>
      <c r="E318" s="127">
        <v>16000000</v>
      </c>
      <c r="F318" s="23" t="s">
        <v>145</v>
      </c>
    </row>
    <row r="319" spans="1:6" x14ac:dyDescent="0.25">
      <c r="A319" s="37">
        <v>44682</v>
      </c>
      <c r="B319" s="33" t="s">
        <v>165</v>
      </c>
      <c r="C319" s="23" t="s">
        <v>4</v>
      </c>
      <c r="D319" s="275">
        <v>73000000</v>
      </c>
      <c r="E319" s="127">
        <v>40000000</v>
      </c>
      <c r="F319" s="23" t="s">
        <v>145</v>
      </c>
    </row>
    <row r="320" spans="1:6" x14ac:dyDescent="0.25">
      <c r="A320" s="37">
        <v>44682</v>
      </c>
      <c r="B320" s="11" t="s">
        <v>143</v>
      </c>
      <c r="C320" s="23" t="s">
        <v>16</v>
      </c>
      <c r="D320" s="59">
        <v>26200000</v>
      </c>
      <c r="E320" s="127">
        <v>14000000</v>
      </c>
      <c r="F320" s="23" t="s">
        <v>145</v>
      </c>
    </row>
    <row r="321" spans="1:6" x14ac:dyDescent="0.25">
      <c r="A321" s="37">
        <v>44682</v>
      </c>
      <c r="B321" s="11" t="s">
        <v>111</v>
      </c>
      <c r="C321" s="23" t="s">
        <v>16</v>
      </c>
      <c r="D321" s="59">
        <v>11550000</v>
      </c>
      <c r="E321" s="127">
        <v>14000000</v>
      </c>
      <c r="F321" s="23" t="s">
        <v>145</v>
      </c>
    </row>
    <row r="322" spans="1:6" x14ac:dyDescent="0.25">
      <c r="A322" s="37">
        <v>44682</v>
      </c>
      <c r="B322" s="11" t="s">
        <v>164</v>
      </c>
      <c r="C322" s="23" t="s">
        <v>16</v>
      </c>
      <c r="D322" s="59">
        <v>26200000</v>
      </c>
      <c r="E322" s="127">
        <v>13000000</v>
      </c>
      <c r="F322" s="23" t="s">
        <v>145</v>
      </c>
    </row>
    <row r="323" spans="1:6" x14ac:dyDescent="0.25">
      <c r="A323" s="37">
        <v>44682</v>
      </c>
      <c r="B323" s="11" t="s">
        <v>134</v>
      </c>
      <c r="C323" s="23" t="s">
        <v>16</v>
      </c>
      <c r="D323" s="59">
        <v>7150000</v>
      </c>
      <c r="E323" s="118">
        <v>13000000</v>
      </c>
      <c r="F323" s="23" t="s">
        <v>145</v>
      </c>
    </row>
    <row r="324" spans="1:6" x14ac:dyDescent="0.25">
      <c r="A324" s="37">
        <v>44682</v>
      </c>
      <c r="B324" s="11" t="s">
        <v>151</v>
      </c>
      <c r="C324" s="23" t="s">
        <v>17</v>
      </c>
      <c r="D324" s="59">
        <v>31300000</v>
      </c>
      <c r="E324" s="127">
        <v>16000000</v>
      </c>
      <c r="F324" s="23" t="s">
        <v>145</v>
      </c>
    </row>
    <row r="325" spans="1:6" x14ac:dyDescent="0.25">
      <c r="A325" s="37">
        <v>44682</v>
      </c>
      <c r="B325" s="11" t="s">
        <v>159</v>
      </c>
      <c r="C325" s="23" t="s">
        <v>17</v>
      </c>
      <c r="D325" s="59">
        <v>17600000</v>
      </c>
      <c r="E325" s="127">
        <v>16000000</v>
      </c>
      <c r="F325" s="23" t="s">
        <v>145</v>
      </c>
    </row>
    <row r="326" spans="1:6" x14ac:dyDescent="0.25">
      <c r="A326" s="37">
        <v>44682</v>
      </c>
      <c r="B326" s="11" t="s">
        <v>144</v>
      </c>
      <c r="C326" s="253" t="s">
        <v>17</v>
      </c>
      <c r="D326" s="273">
        <v>22400000</v>
      </c>
      <c r="E326" s="274">
        <v>16000000</v>
      </c>
      <c r="F326" s="23" t="s">
        <v>145</v>
      </c>
    </row>
    <row r="327" spans="1:6" x14ac:dyDescent="0.25">
      <c r="A327" s="37">
        <v>44713</v>
      </c>
      <c r="B327" s="33" t="s">
        <v>165</v>
      </c>
      <c r="C327" s="23" t="s">
        <v>4</v>
      </c>
      <c r="D327" s="271">
        <v>66250000</v>
      </c>
      <c r="E327" s="238">
        <v>40000000</v>
      </c>
      <c r="F327" s="23" t="s">
        <v>145</v>
      </c>
    </row>
    <row r="328" spans="1:6" x14ac:dyDescent="0.25">
      <c r="A328" s="37">
        <v>44713</v>
      </c>
      <c r="B328" s="9" t="s">
        <v>143</v>
      </c>
      <c r="C328" s="23" t="s">
        <v>16</v>
      </c>
      <c r="D328" s="276">
        <v>28200000</v>
      </c>
      <c r="E328" s="265">
        <v>14000000</v>
      </c>
      <c r="F328" s="23" t="s">
        <v>145</v>
      </c>
    </row>
    <row r="329" spans="1:6" x14ac:dyDescent="0.25">
      <c r="A329" s="37">
        <v>44713</v>
      </c>
      <c r="B329" s="12" t="s">
        <v>164</v>
      </c>
      <c r="C329" s="23" t="s">
        <v>16</v>
      </c>
      <c r="D329" s="277">
        <v>17550000</v>
      </c>
      <c r="E329" s="278">
        <v>13000000</v>
      </c>
      <c r="F329" s="23" t="s">
        <v>145</v>
      </c>
    </row>
    <row r="330" spans="1:6" x14ac:dyDescent="0.25">
      <c r="A330" s="37">
        <v>44713</v>
      </c>
      <c r="B330" s="12" t="s">
        <v>166</v>
      </c>
      <c r="C330" s="23" t="s">
        <v>16</v>
      </c>
      <c r="D330" s="276">
        <v>18800000</v>
      </c>
      <c r="E330" s="279">
        <v>13000000</v>
      </c>
      <c r="F330" s="23" t="s">
        <v>145</v>
      </c>
    </row>
    <row r="331" spans="1:6" x14ac:dyDescent="0.25">
      <c r="A331" s="37">
        <v>44713</v>
      </c>
      <c r="B331" s="12" t="s">
        <v>151</v>
      </c>
      <c r="C331" s="23" t="s">
        <v>17</v>
      </c>
      <c r="D331" s="57">
        <v>23600000</v>
      </c>
      <c r="E331" s="278">
        <v>16000000</v>
      </c>
      <c r="F331" s="23" t="s">
        <v>145</v>
      </c>
    </row>
    <row r="332" spans="1:6" x14ac:dyDescent="0.25">
      <c r="A332" s="37">
        <v>44713</v>
      </c>
      <c r="B332" s="12" t="s">
        <v>159</v>
      </c>
      <c r="C332" s="23" t="s">
        <v>17</v>
      </c>
      <c r="D332" s="57">
        <v>21300000</v>
      </c>
      <c r="E332" s="278">
        <v>16000000</v>
      </c>
      <c r="F332" s="23" t="s">
        <v>145</v>
      </c>
    </row>
    <row r="333" spans="1:6" x14ac:dyDescent="0.25">
      <c r="A333" s="37">
        <v>44713</v>
      </c>
      <c r="B333" s="12" t="s">
        <v>144</v>
      </c>
      <c r="C333" s="23" t="s">
        <v>17</v>
      </c>
      <c r="D333" s="57">
        <v>21350000</v>
      </c>
      <c r="E333" s="278">
        <v>16000000</v>
      </c>
      <c r="F333" s="23" t="s">
        <v>145</v>
      </c>
    </row>
    <row r="334" spans="1:6" x14ac:dyDescent="0.25">
      <c r="A334" s="37">
        <v>44743</v>
      </c>
      <c r="B334" s="33" t="s">
        <v>165</v>
      </c>
      <c r="C334" s="23" t="s">
        <v>4</v>
      </c>
      <c r="D334" s="271">
        <v>66250000</v>
      </c>
      <c r="E334" s="268">
        <v>59850000</v>
      </c>
      <c r="F334" s="23" t="s">
        <v>145</v>
      </c>
    </row>
    <row r="335" spans="1:6" x14ac:dyDescent="0.25">
      <c r="A335" s="37">
        <v>44743</v>
      </c>
      <c r="B335" s="9" t="s">
        <v>143</v>
      </c>
      <c r="C335" s="23" t="s">
        <v>16</v>
      </c>
      <c r="D335" s="276">
        <v>28200000</v>
      </c>
      <c r="E335" s="222">
        <v>12800000</v>
      </c>
      <c r="F335" s="23" t="s">
        <v>145</v>
      </c>
    </row>
    <row r="336" spans="1:6" x14ac:dyDescent="0.25">
      <c r="A336" s="37">
        <v>44743</v>
      </c>
      <c r="B336" s="12" t="s">
        <v>164</v>
      </c>
      <c r="C336" s="23" t="s">
        <v>16</v>
      </c>
      <c r="D336" s="277">
        <v>17550000</v>
      </c>
      <c r="E336" s="222">
        <v>19650000</v>
      </c>
      <c r="F336" s="23" t="s">
        <v>145</v>
      </c>
    </row>
    <row r="337" spans="1:6" x14ac:dyDescent="0.25">
      <c r="A337" s="37">
        <v>44743</v>
      </c>
      <c r="B337" s="12" t="s">
        <v>166</v>
      </c>
      <c r="C337" s="23" t="s">
        <v>16</v>
      </c>
      <c r="D337" s="276">
        <v>18800000</v>
      </c>
      <c r="E337" s="222">
        <v>22500000</v>
      </c>
      <c r="F337" s="23" t="s">
        <v>145</v>
      </c>
    </row>
    <row r="338" spans="1:6" x14ac:dyDescent="0.25">
      <c r="A338" s="37">
        <v>44743</v>
      </c>
      <c r="B338" s="12" t="s">
        <v>151</v>
      </c>
      <c r="C338" s="23" t="s">
        <v>17</v>
      </c>
      <c r="D338" s="57">
        <v>23600000</v>
      </c>
      <c r="E338" s="222">
        <v>23500000</v>
      </c>
      <c r="F338" s="23" t="s">
        <v>145</v>
      </c>
    </row>
    <row r="339" spans="1:6" x14ac:dyDescent="0.25">
      <c r="A339" s="37">
        <v>44743</v>
      </c>
      <c r="B339" s="12" t="s">
        <v>159</v>
      </c>
      <c r="C339" s="23" t="s">
        <v>17</v>
      </c>
      <c r="D339" s="57">
        <v>21300000</v>
      </c>
      <c r="E339" s="222">
        <v>11750000</v>
      </c>
      <c r="F339" s="23" t="s">
        <v>145</v>
      </c>
    </row>
    <row r="340" spans="1:6" x14ac:dyDescent="0.25">
      <c r="A340" s="37">
        <v>44743</v>
      </c>
      <c r="B340" s="12" t="s">
        <v>144</v>
      </c>
      <c r="C340" s="23" t="s">
        <v>17</v>
      </c>
      <c r="D340" s="57">
        <v>21350000</v>
      </c>
      <c r="E340" s="222">
        <v>24600000</v>
      </c>
      <c r="F340" s="23" t="s">
        <v>145</v>
      </c>
    </row>
    <row r="341" spans="1:6" x14ac:dyDescent="0.25">
      <c r="A341" s="37">
        <v>44774</v>
      </c>
      <c r="B341" s="33" t="s">
        <v>165</v>
      </c>
      <c r="C341" s="23" t="s">
        <v>4</v>
      </c>
      <c r="D341" s="121">
        <v>89230000</v>
      </c>
      <c r="E341" s="241">
        <v>40000000</v>
      </c>
      <c r="F341" s="23" t="s">
        <v>145</v>
      </c>
    </row>
    <row r="342" spans="1:6" x14ac:dyDescent="0.25">
      <c r="A342" s="37">
        <v>44774</v>
      </c>
      <c r="B342" s="9" t="s">
        <v>143</v>
      </c>
      <c r="C342" s="23" t="s">
        <v>16</v>
      </c>
      <c r="D342" s="137">
        <v>31750000</v>
      </c>
      <c r="E342" s="166">
        <v>14000000</v>
      </c>
      <c r="F342" s="23" t="s">
        <v>145</v>
      </c>
    </row>
    <row r="343" spans="1:6" x14ac:dyDescent="0.25">
      <c r="A343" s="37">
        <v>44774</v>
      </c>
      <c r="B343" s="12" t="s">
        <v>164</v>
      </c>
      <c r="C343" s="23" t="s">
        <v>16</v>
      </c>
      <c r="D343" s="137">
        <v>30900000</v>
      </c>
      <c r="E343" s="127">
        <v>13000000</v>
      </c>
      <c r="F343" s="23" t="s">
        <v>145</v>
      </c>
    </row>
    <row r="344" spans="1:6" x14ac:dyDescent="0.25">
      <c r="A344" s="37">
        <v>44774</v>
      </c>
      <c r="B344" s="12" t="s">
        <v>166</v>
      </c>
      <c r="C344" s="23" t="s">
        <v>16</v>
      </c>
      <c r="D344" s="137">
        <v>18180000</v>
      </c>
      <c r="E344" s="118">
        <v>13000000</v>
      </c>
      <c r="F344" s="23" t="s">
        <v>145</v>
      </c>
    </row>
    <row r="345" spans="1:6" x14ac:dyDescent="0.25">
      <c r="A345" s="37">
        <v>44774</v>
      </c>
      <c r="B345" s="12" t="s">
        <v>167</v>
      </c>
      <c r="C345" s="23" t="s">
        <v>16</v>
      </c>
      <c r="D345" s="280">
        <v>6900000</v>
      </c>
      <c r="E345" s="118">
        <v>13000000</v>
      </c>
      <c r="F345" s="23" t="s">
        <v>145</v>
      </c>
    </row>
    <row r="346" spans="1:6" x14ac:dyDescent="0.25">
      <c r="A346" s="37">
        <v>44774</v>
      </c>
      <c r="B346" s="12" t="s">
        <v>151</v>
      </c>
      <c r="C346" s="23" t="s">
        <v>17</v>
      </c>
      <c r="D346" s="137">
        <v>22850000</v>
      </c>
      <c r="E346" s="127">
        <v>16000000</v>
      </c>
      <c r="F346" s="23" t="s">
        <v>145</v>
      </c>
    </row>
    <row r="347" spans="1:6" x14ac:dyDescent="0.25">
      <c r="A347" s="41">
        <v>44774</v>
      </c>
      <c r="B347" s="281" t="s">
        <v>159</v>
      </c>
      <c r="C347" s="42" t="s">
        <v>17</v>
      </c>
      <c r="D347" s="146">
        <v>36800000</v>
      </c>
      <c r="E347" s="282">
        <v>16000000</v>
      </c>
      <c r="F347" s="42" t="s">
        <v>145</v>
      </c>
    </row>
    <row r="348" spans="1:6" x14ac:dyDescent="0.25">
      <c r="A348" s="37">
        <v>44774</v>
      </c>
      <c r="B348" s="12" t="s">
        <v>144</v>
      </c>
      <c r="C348" s="23" t="s">
        <v>17</v>
      </c>
      <c r="D348" s="87">
        <v>29580000</v>
      </c>
      <c r="E348" s="127">
        <v>16000000</v>
      </c>
      <c r="F348" s="23" t="s">
        <v>145</v>
      </c>
    </row>
    <row r="349" spans="1:6" x14ac:dyDescent="0.25">
      <c r="A349" s="37">
        <v>44805</v>
      </c>
      <c r="B349" s="12" t="s">
        <v>165</v>
      </c>
      <c r="C349" s="23" t="s">
        <v>4</v>
      </c>
      <c r="D349" s="283">
        <v>64000000</v>
      </c>
      <c r="E349" s="127">
        <v>40000000</v>
      </c>
      <c r="F349" s="23" t="s">
        <v>145</v>
      </c>
    </row>
    <row r="350" spans="1:6" x14ac:dyDescent="0.25">
      <c r="A350" s="37">
        <v>44805</v>
      </c>
      <c r="B350" s="12" t="s">
        <v>143</v>
      </c>
      <c r="C350" s="23" t="s">
        <v>16</v>
      </c>
      <c r="D350" s="284">
        <v>28000000</v>
      </c>
      <c r="E350" s="127">
        <v>14000000</v>
      </c>
      <c r="F350" s="23" t="s">
        <v>145</v>
      </c>
    </row>
    <row r="351" spans="1:6" x14ac:dyDescent="0.25">
      <c r="A351" s="37">
        <v>44805</v>
      </c>
      <c r="B351" s="12" t="s">
        <v>164</v>
      </c>
      <c r="C351" s="23" t="s">
        <v>16</v>
      </c>
      <c r="D351" s="284">
        <v>18450000</v>
      </c>
      <c r="E351" s="127">
        <v>13000000</v>
      </c>
      <c r="F351" s="23" t="s">
        <v>145</v>
      </c>
    </row>
    <row r="352" spans="1:6" x14ac:dyDescent="0.25">
      <c r="A352" s="37">
        <v>44805</v>
      </c>
      <c r="B352" s="12" t="s">
        <v>166</v>
      </c>
      <c r="C352" s="23" t="s">
        <v>16</v>
      </c>
      <c r="D352" s="284">
        <v>15350000</v>
      </c>
      <c r="E352" s="118">
        <v>13000000</v>
      </c>
      <c r="F352" s="23" t="s">
        <v>145</v>
      </c>
    </row>
    <row r="353" spans="1:6" x14ac:dyDescent="0.25">
      <c r="A353" s="37">
        <v>44805</v>
      </c>
      <c r="B353" s="12" t="s">
        <v>151</v>
      </c>
      <c r="C353" s="23" t="s">
        <v>17</v>
      </c>
      <c r="D353" s="284">
        <v>19200000</v>
      </c>
      <c r="E353" s="127">
        <v>16000000</v>
      </c>
      <c r="F353" s="23" t="s">
        <v>145</v>
      </c>
    </row>
    <row r="354" spans="1:6" x14ac:dyDescent="0.25">
      <c r="A354" s="37">
        <v>44805</v>
      </c>
      <c r="B354" s="12" t="s">
        <v>159</v>
      </c>
      <c r="C354" s="23" t="s">
        <v>17</v>
      </c>
      <c r="D354" s="284">
        <v>27750000</v>
      </c>
      <c r="E354" s="127">
        <v>16000000</v>
      </c>
      <c r="F354" s="23" t="s">
        <v>145</v>
      </c>
    </row>
    <row r="355" spans="1:6" x14ac:dyDescent="0.25">
      <c r="A355" s="37">
        <v>44805</v>
      </c>
      <c r="B355" s="12" t="s">
        <v>144</v>
      </c>
      <c r="C355" s="23" t="s">
        <v>17</v>
      </c>
      <c r="D355" s="284">
        <v>14750000</v>
      </c>
      <c r="E355" s="127">
        <v>16000000</v>
      </c>
      <c r="F355" s="23" t="s">
        <v>145</v>
      </c>
    </row>
    <row r="356" spans="1:6" x14ac:dyDescent="0.25">
      <c r="A356" s="37">
        <v>44835</v>
      </c>
      <c r="B356" s="33" t="s">
        <v>165</v>
      </c>
      <c r="C356" s="23" t="s">
        <v>4</v>
      </c>
      <c r="D356" s="270">
        <v>75950000</v>
      </c>
      <c r="E356" s="241">
        <v>40000000</v>
      </c>
      <c r="F356" s="23" t="s">
        <v>145</v>
      </c>
    </row>
    <row r="357" spans="1:6" x14ac:dyDescent="0.25">
      <c r="A357" s="37">
        <v>44835</v>
      </c>
      <c r="B357" s="9" t="s">
        <v>143</v>
      </c>
      <c r="C357" s="23" t="s">
        <v>16</v>
      </c>
      <c r="D357" s="166">
        <v>24000000</v>
      </c>
      <c r="E357" s="166">
        <v>14000000</v>
      </c>
      <c r="F357" s="23" t="s">
        <v>145</v>
      </c>
    </row>
    <row r="358" spans="1:6" x14ac:dyDescent="0.25">
      <c r="A358" s="37">
        <v>44835</v>
      </c>
      <c r="B358" s="12" t="s">
        <v>164</v>
      </c>
      <c r="C358" s="23" t="s">
        <v>16</v>
      </c>
      <c r="D358" s="166">
        <v>20400000</v>
      </c>
      <c r="E358" s="127">
        <v>13000000</v>
      </c>
      <c r="F358" s="23" t="s">
        <v>145</v>
      </c>
    </row>
    <row r="359" spans="1:6" x14ac:dyDescent="0.25">
      <c r="A359" s="37">
        <v>44835</v>
      </c>
      <c r="B359" s="12" t="s">
        <v>166</v>
      </c>
      <c r="C359" s="23" t="s">
        <v>16</v>
      </c>
      <c r="D359" s="166">
        <v>22750000</v>
      </c>
      <c r="E359" s="118">
        <v>13000000</v>
      </c>
      <c r="F359" s="23" t="s">
        <v>145</v>
      </c>
    </row>
    <row r="360" spans="1:6" x14ac:dyDescent="0.25">
      <c r="A360" s="37">
        <v>44835</v>
      </c>
      <c r="B360" s="257" t="s">
        <v>225</v>
      </c>
      <c r="C360" s="23" t="s">
        <v>16</v>
      </c>
      <c r="D360" s="321">
        <v>7600000</v>
      </c>
      <c r="E360" s="241">
        <v>13000000</v>
      </c>
      <c r="F360" s="23" t="s">
        <v>145</v>
      </c>
    </row>
    <row r="361" spans="1:6" x14ac:dyDescent="0.25">
      <c r="A361" s="37">
        <v>44835</v>
      </c>
      <c r="B361" s="12" t="s">
        <v>151</v>
      </c>
      <c r="C361" s="23" t="s">
        <v>17</v>
      </c>
      <c r="D361" s="166">
        <v>21850000</v>
      </c>
      <c r="E361" s="127">
        <v>16000000</v>
      </c>
      <c r="F361" s="23" t="s">
        <v>145</v>
      </c>
    </row>
    <row r="362" spans="1:6" x14ac:dyDescent="0.25">
      <c r="A362" s="37">
        <v>44835</v>
      </c>
      <c r="B362" s="12" t="s">
        <v>159</v>
      </c>
      <c r="C362" s="23" t="s">
        <v>17</v>
      </c>
      <c r="D362" s="166">
        <v>32150000</v>
      </c>
      <c r="E362" s="127">
        <v>16000000</v>
      </c>
      <c r="F362" s="23" t="s">
        <v>145</v>
      </c>
    </row>
    <row r="363" spans="1:6" x14ac:dyDescent="0.25">
      <c r="A363" s="37">
        <v>44835</v>
      </c>
      <c r="B363" s="12" t="s">
        <v>144</v>
      </c>
      <c r="C363" s="23" t="s">
        <v>17</v>
      </c>
      <c r="D363" s="166">
        <v>21950000</v>
      </c>
      <c r="E363" s="127">
        <v>16000000</v>
      </c>
      <c r="F363" s="23" t="s">
        <v>145</v>
      </c>
    </row>
    <row r="364" spans="1:6" x14ac:dyDescent="0.25">
      <c r="A364" s="24"/>
      <c r="B364" s="24"/>
      <c r="C364" s="24"/>
      <c r="D364" s="24"/>
      <c r="E364" s="24"/>
      <c r="F364" s="24"/>
    </row>
    <row r="365" spans="1:6" x14ac:dyDescent="0.25">
      <c r="A365" s="24"/>
      <c r="B365" s="24"/>
      <c r="C365" s="24"/>
      <c r="D365" s="24"/>
      <c r="E365" s="24"/>
      <c r="F365" s="24"/>
    </row>
    <row r="366" spans="1:6" x14ac:dyDescent="0.25">
      <c r="A366" s="24"/>
      <c r="B366" s="24"/>
      <c r="C366" s="24"/>
      <c r="D366" s="24"/>
      <c r="E366" s="24"/>
      <c r="F366" s="24"/>
    </row>
    <row r="367" spans="1:6" x14ac:dyDescent="0.25">
      <c r="A367" s="24"/>
      <c r="B367" s="24"/>
      <c r="C367" s="24"/>
      <c r="D367" s="24"/>
      <c r="E367" s="24"/>
      <c r="F367" s="24"/>
    </row>
    <row r="368" spans="1:6" x14ac:dyDescent="0.25">
      <c r="A368" s="24"/>
      <c r="B368" s="24"/>
      <c r="C368" s="24"/>
      <c r="D368" s="24"/>
      <c r="E368" s="24"/>
      <c r="F368" s="24"/>
    </row>
    <row r="369" spans="1:6" x14ac:dyDescent="0.25">
      <c r="A369" s="24"/>
      <c r="B369" s="24"/>
      <c r="C369" s="24"/>
      <c r="D369" s="24"/>
      <c r="E369" s="24"/>
      <c r="F369" s="24"/>
    </row>
    <row r="370" spans="1:6" x14ac:dyDescent="0.25">
      <c r="A370" s="24"/>
      <c r="B370" s="24"/>
      <c r="C370" s="24"/>
      <c r="D370" s="24"/>
      <c r="E370" s="24"/>
      <c r="F370" s="24"/>
    </row>
    <row r="371" spans="1:6" x14ac:dyDescent="0.25">
      <c r="A371" s="24"/>
      <c r="B371" s="24"/>
      <c r="C371" s="24"/>
      <c r="D371" s="24"/>
      <c r="E371" s="24"/>
      <c r="F371" s="24"/>
    </row>
    <row r="372" spans="1:6" x14ac:dyDescent="0.25">
      <c r="A372" s="24"/>
      <c r="B372" s="24"/>
      <c r="C372" s="24"/>
      <c r="D372" s="24"/>
      <c r="E372" s="24"/>
      <c r="F372" s="24"/>
    </row>
    <row r="373" spans="1:6" x14ac:dyDescent="0.25">
      <c r="A373" s="24"/>
      <c r="B373" s="24"/>
      <c r="C373" s="24"/>
      <c r="D373" s="24"/>
      <c r="E373" s="24"/>
      <c r="F373" s="24"/>
    </row>
    <row r="374" spans="1:6" x14ac:dyDescent="0.25">
      <c r="A374" s="24"/>
      <c r="B374" s="24"/>
      <c r="C374" s="24"/>
      <c r="D374" s="24"/>
      <c r="E374" s="24"/>
      <c r="F374" s="24"/>
    </row>
    <row r="375" spans="1:6" x14ac:dyDescent="0.25">
      <c r="A375" s="24"/>
      <c r="B375" s="24"/>
      <c r="C375" s="24"/>
      <c r="D375" s="24"/>
      <c r="E375" s="24"/>
      <c r="F375" s="24"/>
    </row>
    <row r="376" spans="1:6" x14ac:dyDescent="0.25">
      <c r="A376" s="24"/>
      <c r="B376" s="24"/>
      <c r="C376" s="24"/>
      <c r="D376" s="24"/>
      <c r="E376" s="24"/>
      <c r="F376" s="24"/>
    </row>
    <row r="377" spans="1:6" x14ac:dyDescent="0.25">
      <c r="A377" s="24"/>
      <c r="B377" s="24"/>
      <c r="C377" s="24"/>
      <c r="D377" s="24"/>
      <c r="E377" s="24"/>
      <c r="F377" s="24"/>
    </row>
    <row r="378" spans="1:6" x14ac:dyDescent="0.25">
      <c r="A378" s="24"/>
      <c r="B378" s="24"/>
      <c r="C378" s="24"/>
      <c r="D378" s="24"/>
      <c r="E378" s="24"/>
      <c r="F378" s="24"/>
    </row>
    <row r="379" spans="1:6" x14ac:dyDescent="0.25">
      <c r="A379" s="24"/>
      <c r="B379" s="24"/>
      <c r="C379" s="24"/>
      <c r="D379" s="24"/>
      <c r="E379" s="24"/>
      <c r="F379" s="24"/>
    </row>
    <row r="380" spans="1:6" x14ac:dyDescent="0.25">
      <c r="A380" s="24"/>
      <c r="B380" s="24"/>
      <c r="C380" s="24"/>
      <c r="D380" s="24"/>
      <c r="E380" s="24"/>
      <c r="F380" s="24"/>
    </row>
    <row r="381" spans="1:6" x14ac:dyDescent="0.25">
      <c r="A381" s="24"/>
      <c r="B381" s="24"/>
      <c r="C381" s="24"/>
      <c r="D381" s="24"/>
      <c r="E381" s="24"/>
      <c r="F381" s="24"/>
    </row>
    <row r="382" spans="1:6" x14ac:dyDescent="0.25">
      <c r="A382" s="24"/>
      <c r="B382" s="24"/>
      <c r="C382" s="24"/>
      <c r="D382" s="24"/>
      <c r="E382" s="24"/>
      <c r="F382" s="24"/>
    </row>
    <row r="383" spans="1:6" x14ac:dyDescent="0.25">
      <c r="A383" s="24"/>
      <c r="B383" s="24"/>
      <c r="C383" s="24"/>
      <c r="D383" s="24"/>
      <c r="E383" s="24"/>
      <c r="F383" s="24"/>
    </row>
    <row r="384" spans="1:6" x14ac:dyDescent="0.25">
      <c r="A384" s="24"/>
      <c r="B384" s="24"/>
      <c r="C384" s="24"/>
      <c r="D384" s="24"/>
      <c r="E384" s="24"/>
      <c r="F384" s="24"/>
    </row>
    <row r="385" spans="1:6" x14ac:dyDescent="0.25">
      <c r="A385" s="24"/>
      <c r="B385" s="24"/>
      <c r="C385" s="24"/>
      <c r="D385" s="24"/>
      <c r="E385" s="24"/>
      <c r="F385" s="24"/>
    </row>
    <row r="386" spans="1:6" x14ac:dyDescent="0.25">
      <c r="A386" s="24"/>
      <c r="B386" s="24"/>
      <c r="C386" s="24"/>
      <c r="D386" s="24"/>
      <c r="E386" s="24"/>
      <c r="F386" s="24"/>
    </row>
    <row r="387" spans="1:6" x14ac:dyDescent="0.25">
      <c r="A387" s="24"/>
      <c r="B387" s="24"/>
      <c r="C387" s="24"/>
      <c r="D387" s="24"/>
      <c r="E387" s="24"/>
      <c r="F387" s="24"/>
    </row>
    <row r="388" spans="1:6" x14ac:dyDescent="0.25">
      <c r="A388" s="24"/>
      <c r="B388" s="24"/>
      <c r="C388" s="24"/>
      <c r="D388" s="24"/>
      <c r="E388" s="24"/>
      <c r="F388" s="24"/>
    </row>
    <row r="389" spans="1:6" x14ac:dyDescent="0.25">
      <c r="A389" s="24"/>
      <c r="B389" s="24"/>
      <c r="C389" s="24"/>
      <c r="D389" s="24"/>
      <c r="E389" s="24"/>
      <c r="F389" s="24"/>
    </row>
    <row r="390" spans="1:6" x14ac:dyDescent="0.25">
      <c r="A390" s="24"/>
      <c r="B390" s="24"/>
      <c r="C390" s="24"/>
      <c r="D390" s="24"/>
      <c r="E390" s="24"/>
      <c r="F390" s="24"/>
    </row>
    <row r="391" spans="1:6" x14ac:dyDescent="0.25">
      <c r="A391" s="24"/>
      <c r="B391" s="24"/>
      <c r="C391" s="24"/>
      <c r="D391" s="24"/>
      <c r="E391" s="24"/>
      <c r="F391" s="24"/>
    </row>
    <row r="392" spans="1:6" x14ac:dyDescent="0.25">
      <c r="A392" s="24"/>
      <c r="B392" s="24"/>
      <c r="C392" s="24"/>
      <c r="D392" s="24"/>
      <c r="E392" s="24"/>
      <c r="F392" s="24"/>
    </row>
    <row r="393" spans="1:6" x14ac:dyDescent="0.25">
      <c r="A393" s="24"/>
      <c r="B393" s="24"/>
      <c r="C393" s="24"/>
      <c r="D393" s="24"/>
      <c r="E393" s="24"/>
      <c r="F393" s="24"/>
    </row>
    <row r="394" spans="1:6" x14ac:dyDescent="0.25">
      <c r="A394" s="24"/>
      <c r="B394" s="24"/>
      <c r="C394" s="24"/>
      <c r="D394" s="24"/>
      <c r="E394" s="24"/>
      <c r="F394" s="24"/>
    </row>
    <row r="395" spans="1:6" x14ac:dyDescent="0.25">
      <c r="A395" s="24"/>
      <c r="B395" s="24"/>
      <c r="C395" s="24"/>
      <c r="D395" s="24"/>
      <c r="E395" s="24"/>
      <c r="F395" s="24"/>
    </row>
    <row r="396" spans="1:6" x14ac:dyDescent="0.25">
      <c r="A396" s="24"/>
      <c r="B396" s="24"/>
      <c r="C396" s="24"/>
      <c r="D396" s="24"/>
      <c r="E396" s="24"/>
      <c r="F396" s="24"/>
    </row>
    <row r="397" spans="1:6" x14ac:dyDescent="0.25">
      <c r="A397" s="24"/>
      <c r="B397" s="24"/>
      <c r="C397" s="24"/>
      <c r="D397" s="24"/>
      <c r="E397" s="24"/>
      <c r="F397" s="24"/>
    </row>
    <row r="398" spans="1:6" x14ac:dyDescent="0.25">
      <c r="A398" s="24"/>
      <c r="B398" s="24"/>
      <c r="C398" s="24"/>
      <c r="D398" s="24"/>
      <c r="E398" s="24"/>
      <c r="F398" s="24"/>
    </row>
    <row r="399" spans="1:6" x14ac:dyDescent="0.25">
      <c r="A399" s="24"/>
      <c r="B399" s="24"/>
      <c r="C399" s="24"/>
      <c r="D399" s="24"/>
      <c r="E399" s="24"/>
      <c r="F399" s="24"/>
    </row>
    <row r="400" spans="1:6" x14ac:dyDescent="0.25">
      <c r="A400" s="24"/>
      <c r="B400" s="24"/>
      <c r="C400" s="24"/>
      <c r="D400" s="24"/>
      <c r="E400" s="24"/>
      <c r="F400" s="24"/>
    </row>
    <row r="401" spans="1:6" x14ac:dyDescent="0.25">
      <c r="A401" s="24"/>
      <c r="B401" s="24"/>
      <c r="C401" s="24"/>
      <c r="D401" s="24"/>
      <c r="E401" s="24"/>
      <c r="F401" s="24"/>
    </row>
    <row r="402" spans="1:6" x14ac:dyDescent="0.25">
      <c r="A402" s="24"/>
      <c r="B402" s="24"/>
      <c r="C402" s="24"/>
      <c r="D402" s="24"/>
      <c r="E402" s="24"/>
      <c r="F402" s="24"/>
    </row>
    <row r="403" spans="1:6" x14ac:dyDescent="0.25">
      <c r="A403" s="24"/>
      <c r="B403" s="24"/>
      <c r="C403" s="24"/>
      <c r="D403" s="24"/>
      <c r="E403" s="24"/>
      <c r="F403" s="24"/>
    </row>
    <row r="404" spans="1:6" x14ac:dyDescent="0.25">
      <c r="A404" s="24"/>
      <c r="B404" s="24"/>
      <c r="C404" s="24"/>
      <c r="D404" s="24"/>
      <c r="E404" s="24"/>
      <c r="F404" s="24"/>
    </row>
    <row r="405" spans="1:6" x14ac:dyDescent="0.25">
      <c r="A405" s="24"/>
      <c r="B405" s="24"/>
      <c r="C405" s="24"/>
      <c r="D405" s="24"/>
      <c r="E405" s="24"/>
      <c r="F405" s="24"/>
    </row>
    <row r="406" spans="1:6" x14ac:dyDescent="0.25">
      <c r="A406" s="24"/>
      <c r="B406" s="24"/>
      <c r="C406" s="24"/>
      <c r="D406" s="24"/>
      <c r="E406" s="24"/>
      <c r="F406" s="24"/>
    </row>
    <row r="407" spans="1:6" x14ac:dyDescent="0.25">
      <c r="A407" s="24"/>
      <c r="B407" s="24"/>
      <c r="C407" s="24"/>
      <c r="D407" s="24"/>
      <c r="E407" s="24"/>
      <c r="F407" s="24"/>
    </row>
    <row r="408" spans="1:6" x14ac:dyDescent="0.25">
      <c r="A408" s="24"/>
      <c r="B408" s="24"/>
      <c r="C408" s="24"/>
      <c r="D408" s="24"/>
      <c r="E408" s="24"/>
      <c r="F408" s="24"/>
    </row>
    <row r="409" spans="1:6" x14ac:dyDescent="0.25">
      <c r="A409" s="24"/>
      <c r="B409" s="24"/>
      <c r="C409" s="24"/>
      <c r="D409" s="24"/>
      <c r="E409" s="24"/>
      <c r="F409" s="24"/>
    </row>
    <row r="410" spans="1:6" x14ac:dyDescent="0.25">
      <c r="A410" s="24"/>
      <c r="B410" s="24"/>
      <c r="C410" s="24"/>
      <c r="D410" s="24"/>
      <c r="E410" s="24"/>
      <c r="F410" s="24"/>
    </row>
    <row r="411" spans="1:6" x14ac:dyDescent="0.25">
      <c r="A411" s="24"/>
      <c r="B411" s="24"/>
      <c r="C411" s="24"/>
      <c r="D411" s="24"/>
      <c r="E411" s="24"/>
      <c r="F411" s="24"/>
    </row>
    <row r="412" spans="1:6" x14ac:dyDescent="0.25">
      <c r="A412" s="24"/>
      <c r="B412" s="24"/>
      <c r="C412" s="24"/>
      <c r="D412" s="24"/>
      <c r="E412" s="24"/>
      <c r="F412" s="24"/>
    </row>
    <row r="413" spans="1:6" x14ac:dyDescent="0.25">
      <c r="A413" s="24"/>
      <c r="B413" s="24"/>
      <c r="C413" s="24"/>
      <c r="D413" s="24"/>
      <c r="E413" s="24"/>
      <c r="F413" s="24"/>
    </row>
    <row r="414" spans="1:6" x14ac:dyDescent="0.25">
      <c r="A414" s="24"/>
      <c r="B414" s="24"/>
      <c r="C414" s="24"/>
      <c r="D414" s="24"/>
      <c r="E414" s="24"/>
      <c r="F414" s="24"/>
    </row>
    <row r="415" spans="1:6" x14ac:dyDescent="0.25">
      <c r="A415" s="24"/>
      <c r="B415" s="24"/>
      <c r="C415" s="24"/>
      <c r="D415" s="24"/>
      <c r="E415" s="24"/>
      <c r="F415" s="24"/>
    </row>
    <row r="416" spans="1:6" x14ac:dyDescent="0.25">
      <c r="A416" s="24"/>
      <c r="B416" s="24"/>
      <c r="C416" s="24"/>
      <c r="D416" s="24"/>
      <c r="E416" s="24"/>
      <c r="F416" s="24"/>
    </row>
    <row r="417" spans="1:6" x14ac:dyDescent="0.25">
      <c r="A417" s="24"/>
      <c r="B417" s="24"/>
      <c r="C417" s="24"/>
      <c r="D417" s="24"/>
      <c r="E417" s="24"/>
      <c r="F417" s="24"/>
    </row>
    <row r="418" spans="1:6" x14ac:dyDescent="0.25">
      <c r="A418" s="24"/>
      <c r="B418" s="24"/>
      <c r="C418" s="24"/>
      <c r="D418" s="24"/>
      <c r="E418" s="24"/>
      <c r="F418" s="24"/>
    </row>
    <row r="419" spans="1:6" x14ac:dyDescent="0.25">
      <c r="A419" s="24"/>
      <c r="B419" s="24"/>
      <c r="C419" s="24"/>
      <c r="D419" s="24"/>
      <c r="E419" s="24"/>
      <c r="F419" s="24"/>
    </row>
    <row r="420" spans="1:6" x14ac:dyDescent="0.25">
      <c r="A420" s="24"/>
      <c r="B420" s="24"/>
      <c r="C420" s="24"/>
      <c r="D420" s="24"/>
      <c r="E420" s="24"/>
      <c r="F420" s="24"/>
    </row>
    <row r="421" spans="1:6" x14ac:dyDescent="0.25">
      <c r="A421" s="24"/>
      <c r="B421" s="24"/>
      <c r="C421" s="24"/>
      <c r="D421" s="24"/>
      <c r="E421" s="24"/>
      <c r="F421" s="24"/>
    </row>
    <row r="422" spans="1:6" x14ac:dyDescent="0.25">
      <c r="A422" s="24"/>
      <c r="B422" s="24"/>
      <c r="C422" s="24"/>
      <c r="D422" s="24"/>
      <c r="E422" s="24"/>
      <c r="F422" s="24"/>
    </row>
    <row r="423" spans="1:6" x14ac:dyDescent="0.25">
      <c r="A423" s="24"/>
      <c r="B423" s="24"/>
      <c r="C423" s="24"/>
      <c r="D423" s="24"/>
      <c r="E423" s="24"/>
      <c r="F423" s="24"/>
    </row>
    <row r="424" spans="1:6" x14ac:dyDescent="0.25">
      <c r="A424" s="24"/>
      <c r="B424" s="24"/>
      <c r="C424" s="24"/>
      <c r="D424" s="24"/>
      <c r="E424" s="24"/>
      <c r="F424" s="24"/>
    </row>
    <row r="425" spans="1:6" x14ac:dyDescent="0.25">
      <c r="A425" s="24"/>
      <c r="B425" s="24"/>
      <c r="C425" s="24"/>
      <c r="D425" s="24"/>
      <c r="E425" s="24"/>
      <c r="F425" s="24"/>
    </row>
    <row r="426" spans="1:6" x14ac:dyDescent="0.25">
      <c r="A426" s="24"/>
      <c r="B426" s="24"/>
      <c r="C426" s="24"/>
      <c r="D426" s="24"/>
      <c r="E426" s="24"/>
      <c r="F426" s="24"/>
    </row>
    <row r="427" spans="1:6" x14ac:dyDescent="0.25">
      <c r="A427" s="24"/>
      <c r="B427" s="24"/>
      <c r="C427" s="24"/>
      <c r="D427" s="24"/>
      <c r="E427" s="24"/>
      <c r="F427" s="24"/>
    </row>
    <row r="428" spans="1:6" x14ac:dyDescent="0.25">
      <c r="A428" s="24"/>
      <c r="B428" s="24"/>
      <c r="C428" s="24"/>
      <c r="D428" s="24"/>
      <c r="E428" s="24"/>
      <c r="F428" s="24"/>
    </row>
    <row r="429" spans="1:6" x14ac:dyDescent="0.25">
      <c r="A429" s="24"/>
      <c r="B429" s="24"/>
      <c r="C429" s="24"/>
      <c r="D429" s="24"/>
      <c r="E429" s="24"/>
      <c r="F429" s="24"/>
    </row>
    <row r="430" spans="1:6" x14ac:dyDescent="0.25">
      <c r="A430" s="24"/>
      <c r="B430" s="24"/>
      <c r="C430" s="24"/>
      <c r="D430" s="24"/>
      <c r="E430" s="24"/>
      <c r="F430" s="24"/>
    </row>
    <row r="431" spans="1:6" x14ac:dyDescent="0.25">
      <c r="A431" s="24"/>
      <c r="B431" s="24"/>
      <c r="C431" s="24"/>
      <c r="D431" s="24"/>
      <c r="E431" s="24"/>
      <c r="F431" s="24"/>
    </row>
    <row r="432" spans="1:6" x14ac:dyDescent="0.25">
      <c r="A432" s="24"/>
      <c r="B432" s="24"/>
      <c r="C432" s="24"/>
      <c r="D432" s="24"/>
      <c r="E432" s="24"/>
      <c r="F432" s="24"/>
    </row>
    <row r="433" spans="1:6" x14ac:dyDescent="0.25">
      <c r="A433" s="24"/>
      <c r="B433" s="24"/>
      <c r="C433" s="24"/>
      <c r="D433" s="24"/>
      <c r="E433" s="24"/>
      <c r="F433" s="24"/>
    </row>
    <row r="434" spans="1:6" x14ac:dyDescent="0.25">
      <c r="A434" s="24"/>
      <c r="B434" s="24"/>
      <c r="C434" s="24"/>
      <c r="D434" s="24"/>
      <c r="E434" s="24"/>
      <c r="F434" s="24"/>
    </row>
    <row r="435" spans="1:6" x14ac:dyDescent="0.25">
      <c r="A435" s="24"/>
      <c r="B435" s="24"/>
      <c r="C435" s="24"/>
      <c r="D435" s="24"/>
      <c r="E435" s="24"/>
      <c r="F435" s="24"/>
    </row>
    <row r="436" spans="1:6" x14ac:dyDescent="0.25">
      <c r="A436" s="24"/>
      <c r="B436" s="24"/>
      <c r="C436" s="24"/>
      <c r="D436" s="24"/>
      <c r="E436" s="24"/>
      <c r="F436" s="24"/>
    </row>
    <row r="437" spans="1:6" x14ac:dyDescent="0.25">
      <c r="A437" s="24"/>
      <c r="B437" s="24"/>
      <c r="C437" s="24"/>
      <c r="D437" s="24"/>
      <c r="E437" s="24"/>
      <c r="F437" s="24"/>
    </row>
    <row r="438" spans="1:6" x14ac:dyDescent="0.25">
      <c r="A438" s="24"/>
      <c r="B438" s="24"/>
      <c r="C438" s="24"/>
      <c r="D438" s="24"/>
      <c r="E438" s="24"/>
      <c r="F438" s="24"/>
    </row>
    <row r="439" spans="1:6" x14ac:dyDescent="0.25">
      <c r="A439" s="24"/>
      <c r="B439" s="24"/>
      <c r="C439" s="24"/>
      <c r="D439" s="24"/>
      <c r="E439" s="24"/>
      <c r="F439" s="24"/>
    </row>
    <row r="440" spans="1:6" x14ac:dyDescent="0.25">
      <c r="A440" s="24"/>
      <c r="B440" s="24"/>
      <c r="C440" s="24"/>
      <c r="D440" s="24"/>
      <c r="E440" s="24"/>
      <c r="F440" s="24"/>
    </row>
    <row r="441" spans="1:6" x14ac:dyDescent="0.25">
      <c r="A441" s="24"/>
      <c r="B441" s="24"/>
      <c r="C441" s="24"/>
      <c r="D441" s="24"/>
      <c r="E441" s="24"/>
      <c r="F441" s="24"/>
    </row>
    <row r="442" spans="1:6" x14ac:dyDescent="0.25">
      <c r="A442" s="24"/>
      <c r="B442" s="24"/>
      <c r="C442" s="24"/>
      <c r="D442" s="24"/>
      <c r="E442" s="24"/>
      <c r="F442" s="24"/>
    </row>
    <row r="443" spans="1:6" x14ac:dyDescent="0.25">
      <c r="A443" s="24"/>
      <c r="B443" s="24"/>
      <c r="C443" s="24"/>
      <c r="D443" s="24"/>
      <c r="E443" s="24"/>
      <c r="F443" s="24"/>
    </row>
    <row r="444" spans="1:6" x14ac:dyDescent="0.25">
      <c r="A444" s="24"/>
      <c r="B444" s="24"/>
      <c r="C444" s="24"/>
      <c r="D444" s="24"/>
      <c r="E444" s="24"/>
      <c r="F444" s="24"/>
    </row>
    <row r="445" spans="1:6" x14ac:dyDescent="0.25">
      <c r="A445" s="24"/>
      <c r="B445" s="24"/>
      <c r="C445" s="24"/>
      <c r="D445" s="24"/>
      <c r="E445" s="24"/>
      <c r="F445" s="24"/>
    </row>
    <row r="446" spans="1:6" x14ac:dyDescent="0.25">
      <c r="A446" s="24"/>
      <c r="B446" s="24"/>
      <c r="C446" s="24"/>
      <c r="D446" s="24"/>
      <c r="E446" s="24"/>
      <c r="F446" s="24"/>
    </row>
    <row r="447" spans="1:6" x14ac:dyDescent="0.25">
      <c r="A447" s="24"/>
      <c r="B447" s="24"/>
      <c r="C447" s="24"/>
      <c r="D447" s="24"/>
      <c r="E447" s="24"/>
      <c r="F447" s="24"/>
    </row>
    <row r="448" spans="1:6" x14ac:dyDescent="0.25">
      <c r="A448" s="24"/>
      <c r="B448" s="24"/>
      <c r="C448" s="24"/>
      <c r="D448" s="24"/>
      <c r="E448" s="24"/>
      <c r="F448" s="24"/>
    </row>
    <row r="449" spans="1:6" x14ac:dyDescent="0.25">
      <c r="A449" s="24"/>
      <c r="B449" s="24"/>
      <c r="C449" s="24"/>
      <c r="D449" s="24"/>
      <c r="E449" s="24"/>
      <c r="F449" s="24"/>
    </row>
    <row r="450" spans="1:6" x14ac:dyDescent="0.25">
      <c r="A450" s="24"/>
      <c r="B450" s="24"/>
      <c r="C450" s="24"/>
      <c r="D450" s="24"/>
      <c r="E450" s="24"/>
      <c r="F450" s="24"/>
    </row>
    <row r="451" spans="1:6" x14ac:dyDescent="0.25">
      <c r="A451" s="24"/>
      <c r="B451" s="24"/>
      <c r="C451" s="24"/>
      <c r="D451" s="24"/>
      <c r="E451" s="24"/>
      <c r="F451" s="24"/>
    </row>
    <row r="452" spans="1:6" x14ac:dyDescent="0.25">
      <c r="A452" s="24"/>
      <c r="B452" s="24"/>
      <c r="C452" s="24"/>
      <c r="D452" s="24"/>
      <c r="E452" s="24"/>
      <c r="F452" s="24"/>
    </row>
    <row r="453" spans="1:6" x14ac:dyDescent="0.25">
      <c r="A453" s="24"/>
      <c r="B453" s="24"/>
      <c r="C453" s="24"/>
      <c r="D453" s="24"/>
      <c r="E453" s="24"/>
      <c r="F453" s="24"/>
    </row>
    <row r="454" spans="1:6" x14ac:dyDescent="0.25">
      <c r="A454" s="24"/>
      <c r="B454" s="24"/>
      <c r="C454" s="24"/>
      <c r="D454" s="24"/>
      <c r="E454" s="24"/>
      <c r="F454" s="24"/>
    </row>
    <row r="455" spans="1:6" x14ac:dyDescent="0.25">
      <c r="A455" s="24"/>
      <c r="B455" s="24"/>
      <c r="C455" s="24"/>
      <c r="D455" s="24"/>
      <c r="E455" s="24"/>
      <c r="F455" s="24"/>
    </row>
    <row r="456" spans="1:6" x14ac:dyDescent="0.25">
      <c r="A456" s="24"/>
      <c r="B456" s="24"/>
      <c r="C456" s="24"/>
      <c r="D456" s="24"/>
      <c r="E456" s="24"/>
      <c r="F456" s="24"/>
    </row>
    <row r="457" spans="1:6" x14ac:dyDescent="0.25">
      <c r="A457" s="24"/>
      <c r="B457" s="24"/>
      <c r="C457" s="24"/>
      <c r="D457" s="24"/>
      <c r="E457" s="24"/>
      <c r="F457" s="24"/>
    </row>
    <row r="458" spans="1:6" x14ac:dyDescent="0.25">
      <c r="A458" s="24"/>
      <c r="B458" s="24"/>
      <c r="C458" s="24"/>
      <c r="D458" s="24"/>
      <c r="E458" s="24"/>
      <c r="F458" s="24"/>
    </row>
    <row r="459" spans="1:6" x14ac:dyDescent="0.25">
      <c r="A459" s="24"/>
      <c r="B459" s="24"/>
      <c r="C459" s="24"/>
      <c r="D459" s="24"/>
      <c r="E459" s="24"/>
      <c r="F459" s="24"/>
    </row>
    <row r="460" spans="1:6" x14ac:dyDescent="0.25">
      <c r="A460" s="24"/>
      <c r="B460" s="24"/>
      <c r="C460" s="24"/>
      <c r="D460" s="24"/>
      <c r="E460" s="24"/>
      <c r="F460" s="24"/>
    </row>
    <row r="461" spans="1:6" x14ac:dyDescent="0.25">
      <c r="A461" s="24"/>
      <c r="B461" s="24"/>
      <c r="C461" s="24"/>
      <c r="D461" s="24"/>
      <c r="E461" s="24"/>
      <c r="F461" s="24"/>
    </row>
    <row r="462" spans="1:6" x14ac:dyDescent="0.25">
      <c r="A462" s="24"/>
      <c r="B462" s="24"/>
      <c r="C462" s="24"/>
      <c r="D462" s="24"/>
      <c r="E462" s="24"/>
      <c r="F462" s="24"/>
    </row>
    <row r="463" spans="1:6" x14ac:dyDescent="0.25">
      <c r="A463" s="24"/>
      <c r="B463" s="24"/>
      <c r="C463" s="24"/>
      <c r="D463" s="24"/>
      <c r="E463" s="24"/>
      <c r="F463" s="24"/>
    </row>
    <row r="464" spans="1:6" x14ac:dyDescent="0.25">
      <c r="A464" s="24"/>
      <c r="B464" s="24"/>
      <c r="C464" s="24"/>
      <c r="D464" s="24"/>
      <c r="E464" s="24"/>
      <c r="F464" s="24"/>
    </row>
    <row r="465" spans="1:6" x14ac:dyDescent="0.25">
      <c r="A465" s="24"/>
      <c r="B465" s="24"/>
      <c r="C465" s="24"/>
      <c r="D465" s="24"/>
      <c r="E465" s="24"/>
      <c r="F465" s="24"/>
    </row>
    <row r="466" spans="1:6" x14ac:dyDescent="0.25">
      <c r="A466" s="24"/>
      <c r="B466" s="24"/>
      <c r="C466" s="24"/>
      <c r="D466" s="24"/>
      <c r="E466" s="24"/>
      <c r="F466" s="24"/>
    </row>
    <row r="467" spans="1:6" x14ac:dyDescent="0.25">
      <c r="A467" s="24"/>
      <c r="B467" s="24"/>
      <c r="C467" s="24"/>
      <c r="D467" s="24"/>
      <c r="E467" s="24"/>
      <c r="F467" s="24"/>
    </row>
    <row r="468" spans="1:6" x14ac:dyDescent="0.25">
      <c r="A468" s="24"/>
      <c r="B468" s="24"/>
      <c r="C468" s="24"/>
      <c r="D468" s="24"/>
      <c r="E468" s="24"/>
      <c r="F468" s="24"/>
    </row>
    <row r="469" spans="1:6" x14ac:dyDescent="0.25">
      <c r="A469" s="24"/>
      <c r="B469" s="24"/>
      <c r="C469" s="24"/>
      <c r="D469" s="24"/>
      <c r="E469" s="24"/>
      <c r="F469" s="24"/>
    </row>
    <row r="470" spans="1:6" x14ac:dyDescent="0.25">
      <c r="A470" s="24"/>
      <c r="B470" s="24"/>
      <c r="C470" s="24"/>
      <c r="D470" s="24"/>
      <c r="E470" s="24"/>
      <c r="F470" s="24"/>
    </row>
    <row r="471" spans="1:6" x14ac:dyDescent="0.25">
      <c r="A471" s="24"/>
      <c r="B471" s="24"/>
      <c r="C471" s="24"/>
      <c r="D471" s="24"/>
      <c r="E471" s="24"/>
      <c r="F471" s="24"/>
    </row>
    <row r="472" spans="1:6" x14ac:dyDescent="0.25">
      <c r="A472" s="24"/>
      <c r="B472" s="24"/>
      <c r="C472" s="24"/>
      <c r="D472" s="24"/>
      <c r="E472" s="24"/>
      <c r="F472" s="24"/>
    </row>
    <row r="473" spans="1:6" x14ac:dyDescent="0.25">
      <c r="A473" s="24"/>
      <c r="B473" s="24"/>
      <c r="C473" s="24"/>
      <c r="D473" s="24"/>
      <c r="E473" s="24"/>
      <c r="F473" s="24"/>
    </row>
    <row r="474" spans="1:6" x14ac:dyDescent="0.25">
      <c r="A474" s="24"/>
      <c r="B474" s="24"/>
      <c r="C474" s="24"/>
      <c r="D474" s="24"/>
      <c r="E474" s="24"/>
      <c r="F474" s="24"/>
    </row>
    <row r="475" spans="1:6" x14ac:dyDescent="0.25">
      <c r="A475" s="24"/>
      <c r="B475" s="24"/>
      <c r="C475" s="24"/>
      <c r="D475" s="24"/>
      <c r="E475" s="24"/>
      <c r="F475" s="24"/>
    </row>
  </sheetData>
  <autoFilter ref="A2:F475" xr:uid="{4F0968B7-E8B6-40D0-8601-E7EE96FA4114}"/>
  <mergeCells count="1">
    <mergeCell ref="A1:F1"/>
  </mergeCells>
  <pageMargins left="0.7" right="0.7" top="0.75" bottom="0.75" header="0.3" footer="0.3"/>
  <pageSetup orientation="portrait" horizontalDpi="300" verticalDpi="30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9B4F1-5F3E-4776-9A29-3D799C2CD14B}">
  <dimension ref="A1:F559"/>
  <sheetViews>
    <sheetView topLeftCell="A190" workbookViewId="0">
      <selection activeCell="C202" sqref="C202"/>
    </sheetView>
  </sheetViews>
  <sheetFormatPr baseColWidth="10" defaultRowHeight="13.2" x14ac:dyDescent="0.25"/>
  <cols>
    <col min="1" max="1" width="11.5546875" style="5"/>
    <col min="2" max="2" width="25.21875" style="5" bestFit="1" customWidth="1"/>
    <col min="3" max="3" width="13.21875" style="5" bestFit="1" customWidth="1"/>
    <col min="4" max="5" width="14.21875" style="5" bestFit="1" customWidth="1"/>
    <col min="6" max="6" width="17.88671875" style="5" bestFit="1" customWidth="1"/>
    <col min="7" max="16384" width="11.5546875" style="5"/>
  </cols>
  <sheetData>
    <row r="1" spans="1:6" x14ac:dyDescent="0.25">
      <c r="A1" s="367" t="s">
        <v>169</v>
      </c>
      <c r="B1" s="367"/>
      <c r="C1" s="367"/>
      <c r="D1" s="367"/>
      <c r="E1" s="367"/>
      <c r="F1" s="367"/>
    </row>
    <row r="2" spans="1:6" x14ac:dyDescent="0.25">
      <c r="A2" s="35" t="s">
        <v>0</v>
      </c>
      <c r="B2" s="23" t="s">
        <v>60</v>
      </c>
      <c r="C2" s="23" t="s">
        <v>2</v>
      </c>
      <c r="D2" s="23" t="s">
        <v>3</v>
      </c>
      <c r="E2" s="36" t="s">
        <v>1</v>
      </c>
      <c r="F2" s="286" t="s">
        <v>18</v>
      </c>
    </row>
    <row r="3" spans="1:6" x14ac:dyDescent="0.25">
      <c r="A3" s="6">
        <v>43101</v>
      </c>
      <c r="B3" s="4" t="s">
        <v>175</v>
      </c>
      <c r="C3" s="4" t="s">
        <v>4</v>
      </c>
      <c r="D3" s="174">
        <v>6640000</v>
      </c>
      <c r="E3" s="169">
        <v>20000000</v>
      </c>
      <c r="F3" s="4" t="s">
        <v>168</v>
      </c>
    </row>
    <row r="4" spans="1:6" x14ac:dyDescent="0.25">
      <c r="A4" s="6">
        <v>43132</v>
      </c>
      <c r="B4" s="4" t="s">
        <v>175</v>
      </c>
      <c r="C4" s="4" t="s">
        <v>4</v>
      </c>
      <c r="D4" s="174">
        <v>9800000</v>
      </c>
      <c r="E4" s="169">
        <v>20000000</v>
      </c>
      <c r="F4" s="4" t="s">
        <v>168</v>
      </c>
    </row>
    <row r="5" spans="1:6" x14ac:dyDescent="0.25">
      <c r="A5" s="6">
        <v>43160</v>
      </c>
      <c r="B5" s="4" t="s">
        <v>175</v>
      </c>
      <c r="C5" s="4" t="s">
        <v>4</v>
      </c>
      <c r="D5" s="174">
        <v>5093000</v>
      </c>
      <c r="E5" s="169">
        <v>20000000</v>
      </c>
      <c r="F5" s="4" t="s">
        <v>168</v>
      </c>
    </row>
    <row r="6" spans="1:6" x14ac:dyDescent="0.25">
      <c r="A6" s="6">
        <v>43191</v>
      </c>
      <c r="B6" s="4" t="s">
        <v>175</v>
      </c>
      <c r="C6" s="4" t="s">
        <v>4</v>
      </c>
      <c r="D6" s="174">
        <v>0</v>
      </c>
      <c r="E6" s="169">
        <v>20000000</v>
      </c>
      <c r="F6" s="4" t="s">
        <v>168</v>
      </c>
    </row>
    <row r="7" spans="1:6" x14ac:dyDescent="0.25">
      <c r="A7" s="6">
        <v>43221</v>
      </c>
      <c r="B7" s="4" t="s">
        <v>175</v>
      </c>
      <c r="C7" s="4" t="s">
        <v>4</v>
      </c>
      <c r="D7" s="174">
        <v>6730000</v>
      </c>
      <c r="E7" s="169">
        <v>20000000</v>
      </c>
      <c r="F7" s="4" t="s">
        <v>168</v>
      </c>
    </row>
    <row r="8" spans="1:6" x14ac:dyDescent="0.25">
      <c r="A8" s="6">
        <v>43252</v>
      </c>
      <c r="B8" s="4" t="s">
        <v>175</v>
      </c>
      <c r="C8" s="4" t="s">
        <v>4</v>
      </c>
      <c r="D8" s="174">
        <v>7470000</v>
      </c>
      <c r="E8" s="169">
        <v>20000000</v>
      </c>
      <c r="F8" s="4" t="s">
        <v>168</v>
      </c>
    </row>
    <row r="9" spans="1:6" x14ac:dyDescent="0.25">
      <c r="A9" s="6">
        <v>43282</v>
      </c>
      <c r="B9" s="4" t="s">
        <v>175</v>
      </c>
      <c r="C9" s="4" t="s">
        <v>4</v>
      </c>
      <c r="D9" s="174">
        <v>6210000</v>
      </c>
      <c r="E9" s="169">
        <v>20000000</v>
      </c>
      <c r="F9" s="4" t="s">
        <v>168</v>
      </c>
    </row>
    <row r="10" spans="1:6" x14ac:dyDescent="0.25">
      <c r="A10" s="6">
        <v>43313</v>
      </c>
      <c r="B10" s="4" t="s">
        <v>175</v>
      </c>
      <c r="C10" s="4" t="s">
        <v>4</v>
      </c>
      <c r="D10" s="174">
        <v>8408000</v>
      </c>
      <c r="E10" s="169">
        <v>20000000</v>
      </c>
      <c r="F10" s="4" t="s">
        <v>168</v>
      </c>
    </row>
    <row r="11" spans="1:6" x14ac:dyDescent="0.25">
      <c r="A11" s="6">
        <v>43344</v>
      </c>
      <c r="B11" s="4" t="s">
        <v>175</v>
      </c>
      <c r="C11" s="4" t="s">
        <v>4</v>
      </c>
      <c r="D11" s="174">
        <v>3180000</v>
      </c>
      <c r="E11" s="169">
        <v>20000000</v>
      </c>
      <c r="F11" s="4" t="s">
        <v>168</v>
      </c>
    </row>
    <row r="12" spans="1:6" x14ac:dyDescent="0.25">
      <c r="A12" s="6">
        <v>43374</v>
      </c>
      <c r="B12" s="4" t="s">
        <v>175</v>
      </c>
      <c r="C12" s="4" t="s">
        <v>4</v>
      </c>
      <c r="D12" s="174">
        <v>3050000</v>
      </c>
      <c r="E12" s="169">
        <v>20000000</v>
      </c>
      <c r="F12" s="4" t="s">
        <v>168</v>
      </c>
    </row>
    <row r="13" spans="1:6" x14ac:dyDescent="0.25">
      <c r="A13" s="6">
        <v>43405</v>
      </c>
      <c r="B13" s="4" t="s">
        <v>175</v>
      </c>
      <c r="C13" s="4" t="s">
        <v>4</v>
      </c>
      <c r="D13" s="174">
        <v>3600000</v>
      </c>
      <c r="E13" s="169">
        <v>20000000</v>
      </c>
      <c r="F13" s="4" t="s">
        <v>168</v>
      </c>
    </row>
    <row r="14" spans="1:6" x14ac:dyDescent="0.25">
      <c r="A14" s="6">
        <v>43466</v>
      </c>
      <c r="B14" s="4" t="s">
        <v>175</v>
      </c>
      <c r="C14" s="4" t="s">
        <v>4</v>
      </c>
      <c r="D14" s="173">
        <v>6600000</v>
      </c>
      <c r="E14" s="169">
        <v>20000000</v>
      </c>
      <c r="F14" s="4" t="s">
        <v>168</v>
      </c>
    </row>
    <row r="15" spans="1:6" x14ac:dyDescent="0.25">
      <c r="A15" s="6">
        <v>43466</v>
      </c>
      <c r="B15" s="3" t="s">
        <v>170</v>
      </c>
      <c r="C15" s="4" t="s">
        <v>16</v>
      </c>
      <c r="D15" s="173">
        <v>1300000</v>
      </c>
      <c r="E15" s="169">
        <v>5000000</v>
      </c>
      <c r="F15" s="4" t="s">
        <v>168</v>
      </c>
    </row>
    <row r="16" spans="1:6" x14ac:dyDescent="0.25">
      <c r="A16" s="6">
        <v>43466</v>
      </c>
      <c r="B16" s="1" t="s">
        <v>173</v>
      </c>
      <c r="C16" s="4" t="s">
        <v>16</v>
      </c>
      <c r="D16" s="173">
        <v>850000</v>
      </c>
      <c r="E16" s="169">
        <v>5000000</v>
      </c>
      <c r="F16" s="4" t="s">
        <v>168</v>
      </c>
    </row>
    <row r="17" spans="1:6" x14ac:dyDescent="0.25">
      <c r="A17" s="6">
        <v>43466</v>
      </c>
      <c r="B17" s="1" t="s">
        <v>174</v>
      </c>
      <c r="C17" s="4" t="s">
        <v>16</v>
      </c>
      <c r="D17" s="173">
        <v>3600000</v>
      </c>
      <c r="E17" s="169">
        <v>5000000</v>
      </c>
      <c r="F17" s="4" t="s">
        <v>168</v>
      </c>
    </row>
    <row r="18" spans="1:6" x14ac:dyDescent="0.25">
      <c r="A18" s="6">
        <v>43466</v>
      </c>
      <c r="B18" s="3" t="s">
        <v>144</v>
      </c>
      <c r="C18" s="4" t="s">
        <v>17</v>
      </c>
      <c r="D18" s="173">
        <v>3250000</v>
      </c>
      <c r="E18" s="169">
        <v>5000000</v>
      </c>
      <c r="F18" s="4" t="s">
        <v>168</v>
      </c>
    </row>
    <row r="19" spans="1:6" x14ac:dyDescent="0.25">
      <c r="A19" s="6">
        <v>43466</v>
      </c>
      <c r="B19" s="3" t="s">
        <v>147</v>
      </c>
      <c r="C19" s="4" t="s">
        <v>17</v>
      </c>
      <c r="D19" s="173">
        <v>600000</v>
      </c>
      <c r="E19" s="169">
        <v>5000000</v>
      </c>
      <c r="F19" s="4" t="s">
        <v>168</v>
      </c>
    </row>
    <row r="20" spans="1:6" x14ac:dyDescent="0.25">
      <c r="A20" s="6">
        <v>43497</v>
      </c>
      <c r="B20" s="4" t="s">
        <v>175</v>
      </c>
      <c r="C20" s="4" t="s">
        <v>4</v>
      </c>
      <c r="D20" s="173">
        <v>13200000</v>
      </c>
      <c r="E20" s="169">
        <v>20000000</v>
      </c>
      <c r="F20" s="4" t="s">
        <v>168</v>
      </c>
    </row>
    <row r="21" spans="1:6" x14ac:dyDescent="0.25">
      <c r="A21" s="6">
        <v>43497</v>
      </c>
      <c r="B21" s="19" t="s">
        <v>170</v>
      </c>
      <c r="C21" s="4" t="s">
        <v>16</v>
      </c>
      <c r="D21" s="173">
        <v>4680000</v>
      </c>
      <c r="E21" s="189">
        <v>5000000</v>
      </c>
      <c r="F21" s="4" t="s">
        <v>168</v>
      </c>
    </row>
    <row r="22" spans="1:6" x14ac:dyDescent="0.25">
      <c r="A22" s="6">
        <v>43497</v>
      </c>
      <c r="B22" s="18" t="s">
        <v>173</v>
      </c>
      <c r="C22" s="4" t="s">
        <v>16</v>
      </c>
      <c r="D22" s="186">
        <v>2600000</v>
      </c>
      <c r="E22" s="190">
        <v>5000000</v>
      </c>
      <c r="F22" s="4" t="s">
        <v>168</v>
      </c>
    </row>
    <row r="23" spans="1:6" x14ac:dyDescent="0.25">
      <c r="A23" s="6">
        <v>43497</v>
      </c>
      <c r="B23" s="18" t="s">
        <v>174</v>
      </c>
      <c r="C23" s="4" t="s">
        <v>16</v>
      </c>
      <c r="D23" s="161">
        <v>5920000</v>
      </c>
      <c r="E23" s="190">
        <v>5000000</v>
      </c>
      <c r="F23" s="4" t="s">
        <v>168</v>
      </c>
    </row>
    <row r="24" spans="1:6" x14ac:dyDescent="0.25">
      <c r="A24" s="6">
        <v>43497</v>
      </c>
      <c r="B24" s="19" t="s">
        <v>144</v>
      </c>
      <c r="C24" s="4" t="s">
        <v>17</v>
      </c>
      <c r="D24" s="186">
        <v>2070000</v>
      </c>
      <c r="E24" s="190">
        <v>5000000</v>
      </c>
      <c r="F24" s="4" t="s">
        <v>168</v>
      </c>
    </row>
    <row r="25" spans="1:6" x14ac:dyDescent="0.25">
      <c r="A25" s="6">
        <v>43497</v>
      </c>
      <c r="B25" s="19" t="s">
        <v>147</v>
      </c>
      <c r="C25" s="4" t="s">
        <v>17</v>
      </c>
      <c r="D25" s="161">
        <v>8230000</v>
      </c>
      <c r="E25" s="190">
        <v>5000000</v>
      </c>
      <c r="F25" s="4" t="s">
        <v>168</v>
      </c>
    </row>
    <row r="26" spans="1:6" x14ac:dyDescent="0.25">
      <c r="A26" s="6">
        <v>43525</v>
      </c>
      <c r="B26" s="4" t="s">
        <v>175</v>
      </c>
      <c r="C26" s="4" t="s">
        <v>4</v>
      </c>
      <c r="D26" s="186">
        <v>15710000</v>
      </c>
      <c r="E26" s="190">
        <v>20000000</v>
      </c>
      <c r="F26" s="4" t="s">
        <v>168</v>
      </c>
    </row>
    <row r="27" spans="1:6" x14ac:dyDescent="0.25">
      <c r="A27" s="6">
        <v>43525</v>
      </c>
      <c r="B27" s="1" t="s">
        <v>170</v>
      </c>
      <c r="C27" s="4" t="s">
        <v>16</v>
      </c>
      <c r="D27" s="161">
        <v>2400000</v>
      </c>
      <c r="E27" s="190">
        <v>5000000</v>
      </c>
      <c r="F27" s="4" t="s">
        <v>168</v>
      </c>
    </row>
    <row r="28" spans="1:6" x14ac:dyDescent="0.25">
      <c r="A28" s="6">
        <v>43525</v>
      </c>
      <c r="B28" s="1" t="s">
        <v>173</v>
      </c>
      <c r="C28" s="4" t="s">
        <v>16</v>
      </c>
      <c r="D28" s="161">
        <v>4000000</v>
      </c>
      <c r="E28" s="190">
        <v>5000000</v>
      </c>
      <c r="F28" s="4" t="s">
        <v>168</v>
      </c>
    </row>
    <row r="29" spans="1:6" x14ac:dyDescent="0.25">
      <c r="A29" s="6">
        <v>43525</v>
      </c>
      <c r="B29" s="1" t="s">
        <v>174</v>
      </c>
      <c r="C29" s="4" t="s">
        <v>16</v>
      </c>
      <c r="D29" s="186">
        <v>4380000</v>
      </c>
      <c r="E29" s="190">
        <v>5000000</v>
      </c>
      <c r="F29" s="4" t="s">
        <v>168</v>
      </c>
    </row>
    <row r="30" spans="1:6" x14ac:dyDescent="0.25">
      <c r="A30" s="6">
        <v>43525</v>
      </c>
      <c r="B30" s="285" t="s">
        <v>115</v>
      </c>
      <c r="C30" s="4" t="s">
        <v>16</v>
      </c>
      <c r="D30" s="299">
        <v>3700000</v>
      </c>
      <c r="E30" s="190">
        <v>5000000</v>
      </c>
      <c r="F30" s="4" t="s">
        <v>168</v>
      </c>
    </row>
    <row r="31" spans="1:6" x14ac:dyDescent="0.25">
      <c r="A31" s="6">
        <v>43525</v>
      </c>
      <c r="B31" s="1" t="s">
        <v>144</v>
      </c>
      <c r="C31" s="4" t="s">
        <v>17</v>
      </c>
      <c r="D31" s="186">
        <v>2700000</v>
      </c>
      <c r="E31" s="190">
        <v>5000000</v>
      </c>
      <c r="F31" s="4" t="s">
        <v>168</v>
      </c>
    </row>
    <row r="32" spans="1:6" x14ac:dyDescent="0.25">
      <c r="A32" s="6">
        <v>43525</v>
      </c>
      <c r="B32" s="18" t="s">
        <v>147</v>
      </c>
      <c r="C32" s="4" t="s">
        <v>17</v>
      </c>
      <c r="D32" s="186">
        <v>1680000</v>
      </c>
      <c r="E32" s="190">
        <v>5000000</v>
      </c>
      <c r="F32" s="4" t="s">
        <v>168</v>
      </c>
    </row>
    <row r="33" spans="1:6" x14ac:dyDescent="0.25">
      <c r="A33" s="6">
        <v>43525</v>
      </c>
      <c r="B33" s="29" t="s">
        <v>32</v>
      </c>
      <c r="C33" s="4" t="s">
        <v>17</v>
      </c>
      <c r="D33" s="161">
        <v>6550000</v>
      </c>
      <c r="E33" s="191">
        <v>15833333</v>
      </c>
      <c r="F33" s="4" t="s">
        <v>168</v>
      </c>
    </row>
    <row r="34" spans="1:6" x14ac:dyDescent="0.25">
      <c r="A34" s="6">
        <v>43556</v>
      </c>
      <c r="B34" s="4" t="s">
        <v>175</v>
      </c>
      <c r="C34" s="4" t="s">
        <v>4</v>
      </c>
      <c r="D34" s="186">
        <v>15710000</v>
      </c>
      <c r="E34" s="190">
        <v>20000000</v>
      </c>
      <c r="F34" s="4" t="s">
        <v>168</v>
      </c>
    </row>
    <row r="35" spans="1:6" x14ac:dyDescent="0.25">
      <c r="A35" s="6">
        <v>43556</v>
      </c>
      <c r="B35" s="1" t="s">
        <v>170</v>
      </c>
      <c r="C35" s="4" t="s">
        <v>16</v>
      </c>
      <c r="D35" s="186">
        <v>2480000</v>
      </c>
      <c r="E35" s="190">
        <v>5000000</v>
      </c>
      <c r="F35" s="4" t="s">
        <v>168</v>
      </c>
    </row>
    <row r="36" spans="1:6" x14ac:dyDescent="0.25">
      <c r="A36" s="6">
        <v>43556</v>
      </c>
      <c r="B36" s="18" t="s">
        <v>173</v>
      </c>
      <c r="C36" s="4" t="s">
        <v>16</v>
      </c>
      <c r="D36" s="186">
        <v>2560000</v>
      </c>
      <c r="E36" s="190">
        <v>5000000</v>
      </c>
      <c r="F36" s="4" t="s">
        <v>168</v>
      </c>
    </row>
    <row r="37" spans="1:6" x14ac:dyDescent="0.25">
      <c r="A37" s="6">
        <v>43556</v>
      </c>
      <c r="B37" s="18" t="s">
        <v>174</v>
      </c>
      <c r="C37" s="4" t="s">
        <v>16</v>
      </c>
      <c r="D37" s="186">
        <v>620000</v>
      </c>
      <c r="E37" s="190">
        <v>5000000</v>
      </c>
      <c r="F37" s="4" t="s">
        <v>168</v>
      </c>
    </row>
    <row r="38" spans="1:6" x14ac:dyDescent="0.25">
      <c r="A38" s="6">
        <v>43556</v>
      </c>
      <c r="B38" s="38" t="s">
        <v>115</v>
      </c>
      <c r="C38" s="4" t="s">
        <v>16</v>
      </c>
      <c r="D38" s="161">
        <v>6350000</v>
      </c>
      <c r="E38" s="190">
        <v>5000000</v>
      </c>
      <c r="F38" s="4" t="s">
        <v>168</v>
      </c>
    </row>
    <row r="39" spans="1:6" x14ac:dyDescent="0.25">
      <c r="A39" s="6">
        <v>43556</v>
      </c>
      <c r="B39" s="38" t="s">
        <v>171</v>
      </c>
      <c r="C39" s="4" t="s">
        <v>16</v>
      </c>
      <c r="D39" s="186">
        <v>2950000</v>
      </c>
      <c r="E39" s="190">
        <v>5000000</v>
      </c>
      <c r="F39" s="4" t="s">
        <v>168</v>
      </c>
    </row>
    <row r="40" spans="1:6" x14ac:dyDescent="0.25">
      <c r="A40" s="6">
        <v>43556</v>
      </c>
      <c r="B40" s="18" t="s">
        <v>144</v>
      </c>
      <c r="C40" s="4" t="s">
        <v>17</v>
      </c>
      <c r="D40" s="161">
        <v>3000000</v>
      </c>
      <c r="E40" s="190">
        <v>5000000</v>
      </c>
      <c r="F40" s="4" t="s">
        <v>168</v>
      </c>
    </row>
    <row r="41" spans="1:6" x14ac:dyDescent="0.25">
      <c r="A41" s="6">
        <v>43556</v>
      </c>
      <c r="B41" s="18" t="s">
        <v>147</v>
      </c>
      <c r="C41" s="4" t="s">
        <v>17</v>
      </c>
      <c r="D41" s="161">
        <v>3500000</v>
      </c>
      <c r="E41" s="190">
        <v>5000000</v>
      </c>
      <c r="F41" s="4" t="s">
        <v>168</v>
      </c>
    </row>
    <row r="42" spans="1:6" x14ac:dyDescent="0.25">
      <c r="A42" s="6">
        <v>43556</v>
      </c>
      <c r="B42" s="29" t="s">
        <v>32</v>
      </c>
      <c r="C42" s="4" t="s">
        <v>17</v>
      </c>
      <c r="D42" s="161">
        <v>0</v>
      </c>
      <c r="E42" s="191">
        <v>15833333</v>
      </c>
      <c r="F42" s="4" t="s">
        <v>168</v>
      </c>
    </row>
    <row r="43" spans="1:6" x14ac:dyDescent="0.25">
      <c r="A43" s="6">
        <v>43586</v>
      </c>
      <c r="B43" s="4" t="s">
        <v>175</v>
      </c>
      <c r="C43" s="4" t="s">
        <v>4</v>
      </c>
      <c r="D43" s="173">
        <v>19070000</v>
      </c>
      <c r="E43" s="169">
        <v>20000000</v>
      </c>
      <c r="F43" s="4" t="s">
        <v>168</v>
      </c>
    </row>
    <row r="44" spans="1:6" x14ac:dyDescent="0.25">
      <c r="A44" s="6">
        <v>43586</v>
      </c>
      <c r="B44" s="18" t="s">
        <v>170</v>
      </c>
      <c r="C44" s="4" t="s">
        <v>16</v>
      </c>
      <c r="D44" s="173">
        <v>3750000</v>
      </c>
      <c r="E44" s="169">
        <v>5000000</v>
      </c>
      <c r="F44" s="4" t="s">
        <v>168</v>
      </c>
    </row>
    <row r="45" spans="1:6" x14ac:dyDescent="0.25">
      <c r="A45" s="6">
        <v>43586</v>
      </c>
      <c r="B45" s="18" t="s">
        <v>173</v>
      </c>
      <c r="C45" s="4" t="s">
        <v>16</v>
      </c>
      <c r="D45" s="173">
        <v>3500000</v>
      </c>
      <c r="E45" s="169">
        <v>5000000</v>
      </c>
      <c r="F45" s="4" t="s">
        <v>168</v>
      </c>
    </row>
    <row r="46" spans="1:6" x14ac:dyDescent="0.25">
      <c r="A46" s="6">
        <v>43586</v>
      </c>
      <c r="B46" s="18" t="s">
        <v>174</v>
      </c>
      <c r="C46" s="4" t="s">
        <v>16</v>
      </c>
      <c r="D46" s="197">
        <v>2200000</v>
      </c>
      <c r="E46" s="169">
        <v>5000000</v>
      </c>
      <c r="F46" s="4" t="s">
        <v>168</v>
      </c>
    </row>
    <row r="47" spans="1:6" x14ac:dyDescent="0.25">
      <c r="A47" s="6">
        <v>43586</v>
      </c>
      <c r="B47" s="38" t="s">
        <v>115</v>
      </c>
      <c r="C47" s="4" t="s">
        <v>16</v>
      </c>
      <c r="D47" s="168">
        <v>4870000</v>
      </c>
      <c r="E47" s="169">
        <v>5000000</v>
      </c>
      <c r="F47" s="4" t="s">
        <v>168</v>
      </c>
    </row>
    <row r="48" spans="1:6" x14ac:dyDescent="0.25">
      <c r="A48" s="6">
        <v>43586</v>
      </c>
      <c r="B48" s="38" t="s">
        <v>171</v>
      </c>
      <c r="C48" s="4" t="s">
        <v>16</v>
      </c>
      <c r="D48" s="173">
        <v>4750000</v>
      </c>
      <c r="E48" s="169">
        <v>5000000</v>
      </c>
      <c r="F48" s="4" t="s">
        <v>168</v>
      </c>
    </row>
    <row r="49" spans="1:6" x14ac:dyDescent="0.25">
      <c r="A49" s="6">
        <v>43586</v>
      </c>
      <c r="B49" s="18" t="s">
        <v>147</v>
      </c>
      <c r="C49" s="4" t="s">
        <v>17</v>
      </c>
      <c r="D49" s="160">
        <v>900000</v>
      </c>
      <c r="E49" s="169">
        <v>5000000</v>
      </c>
      <c r="F49" s="4" t="s">
        <v>168</v>
      </c>
    </row>
    <row r="50" spans="1:6" x14ac:dyDescent="0.25">
      <c r="A50" s="6">
        <v>43586</v>
      </c>
      <c r="B50" s="29" t="s">
        <v>32</v>
      </c>
      <c r="C50" s="4" t="s">
        <v>17</v>
      </c>
      <c r="D50" s="160">
        <v>11950000</v>
      </c>
      <c r="E50" s="170">
        <v>15833333</v>
      </c>
      <c r="F50" s="4" t="s">
        <v>168</v>
      </c>
    </row>
    <row r="51" spans="1:6" x14ac:dyDescent="0.25">
      <c r="A51" s="6">
        <v>43617</v>
      </c>
      <c r="B51" s="4" t="s">
        <v>175</v>
      </c>
      <c r="C51" s="4" t="s">
        <v>4</v>
      </c>
      <c r="D51" s="173">
        <v>16400760</v>
      </c>
      <c r="E51" s="169">
        <v>20000000</v>
      </c>
      <c r="F51" s="4" t="s">
        <v>168</v>
      </c>
    </row>
    <row r="52" spans="1:6" x14ac:dyDescent="0.25">
      <c r="A52" s="6">
        <v>43617</v>
      </c>
      <c r="B52" s="18" t="s">
        <v>170</v>
      </c>
      <c r="C52" s="4" t="s">
        <v>16</v>
      </c>
      <c r="D52" s="160">
        <v>1920000</v>
      </c>
      <c r="E52" s="169">
        <v>5000000</v>
      </c>
      <c r="F52" s="4" t="s">
        <v>168</v>
      </c>
    </row>
    <row r="53" spans="1:6" x14ac:dyDescent="0.25">
      <c r="A53" s="6">
        <v>43617</v>
      </c>
      <c r="B53" s="18" t="s">
        <v>173</v>
      </c>
      <c r="C53" s="4" t="s">
        <v>16</v>
      </c>
      <c r="D53" s="160">
        <v>4030000</v>
      </c>
      <c r="E53" s="169">
        <v>5000000</v>
      </c>
      <c r="F53" s="4" t="s">
        <v>168</v>
      </c>
    </row>
    <row r="54" spans="1:6" x14ac:dyDescent="0.25">
      <c r="A54" s="6">
        <v>43617</v>
      </c>
      <c r="B54" s="18" t="s">
        <v>174</v>
      </c>
      <c r="C54" s="4" t="s">
        <v>16</v>
      </c>
      <c r="D54" s="297">
        <v>1900000</v>
      </c>
      <c r="E54" s="169">
        <v>5000000</v>
      </c>
      <c r="F54" s="4" t="s">
        <v>168</v>
      </c>
    </row>
    <row r="55" spans="1:6" x14ac:dyDescent="0.25">
      <c r="A55" s="6">
        <v>43617</v>
      </c>
      <c r="B55" s="38" t="s">
        <v>115</v>
      </c>
      <c r="C55" s="4" t="s">
        <v>16</v>
      </c>
      <c r="D55" s="160">
        <v>3350760</v>
      </c>
      <c r="E55" s="169">
        <v>5000000</v>
      </c>
      <c r="F55" s="4" t="s">
        <v>168</v>
      </c>
    </row>
    <row r="56" spans="1:6" x14ac:dyDescent="0.25">
      <c r="A56" s="6">
        <v>43617</v>
      </c>
      <c r="B56" s="38" t="s">
        <v>171</v>
      </c>
      <c r="C56" s="4" t="s">
        <v>16</v>
      </c>
      <c r="D56" s="160">
        <v>2900000</v>
      </c>
      <c r="E56" s="169">
        <v>5000000</v>
      </c>
      <c r="F56" s="4" t="s">
        <v>168</v>
      </c>
    </row>
    <row r="57" spans="1:6" x14ac:dyDescent="0.25">
      <c r="A57" s="6">
        <v>43617</v>
      </c>
      <c r="B57" s="29" t="s">
        <v>32</v>
      </c>
      <c r="C57" s="4" t="s">
        <v>17</v>
      </c>
      <c r="D57" s="222">
        <v>8100760</v>
      </c>
      <c r="E57" s="170">
        <v>15833333</v>
      </c>
      <c r="F57" s="4" t="s">
        <v>168</v>
      </c>
    </row>
    <row r="58" spans="1:6" x14ac:dyDescent="0.25">
      <c r="A58" s="6">
        <v>43647</v>
      </c>
      <c r="B58" s="4" t="s">
        <v>175</v>
      </c>
      <c r="C58" s="4" t="s">
        <v>4</v>
      </c>
      <c r="D58" s="160">
        <v>20642496</v>
      </c>
      <c r="E58" s="169">
        <v>20000000</v>
      </c>
      <c r="F58" s="4" t="s">
        <v>168</v>
      </c>
    </row>
    <row r="59" spans="1:6" x14ac:dyDescent="0.25">
      <c r="A59" s="6">
        <v>43647</v>
      </c>
      <c r="B59" s="18" t="s">
        <v>170</v>
      </c>
      <c r="C59" s="4" t="s">
        <v>16</v>
      </c>
      <c r="D59" s="173">
        <v>6980000</v>
      </c>
      <c r="E59" s="169">
        <v>5000000</v>
      </c>
      <c r="F59" s="4" t="s">
        <v>168</v>
      </c>
    </row>
    <row r="60" spans="1:6" x14ac:dyDescent="0.25">
      <c r="A60" s="6">
        <v>43647</v>
      </c>
      <c r="B60" s="18" t="s">
        <v>173</v>
      </c>
      <c r="C60" s="4" t="s">
        <v>16</v>
      </c>
      <c r="D60" s="173">
        <v>1000000</v>
      </c>
      <c r="E60" s="169">
        <v>5000000</v>
      </c>
      <c r="F60" s="4" t="s">
        <v>168</v>
      </c>
    </row>
    <row r="61" spans="1:6" x14ac:dyDescent="0.25">
      <c r="A61" s="6">
        <v>43647</v>
      </c>
      <c r="B61" s="18" t="s">
        <v>174</v>
      </c>
      <c r="C61" s="4" t="s">
        <v>16</v>
      </c>
      <c r="D61" s="197">
        <v>1750000</v>
      </c>
      <c r="E61" s="169">
        <v>5000000</v>
      </c>
      <c r="F61" s="4" t="s">
        <v>168</v>
      </c>
    </row>
    <row r="62" spans="1:6" x14ac:dyDescent="0.25">
      <c r="A62" s="6">
        <v>43647</v>
      </c>
      <c r="B62" s="38" t="s">
        <v>115</v>
      </c>
      <c r="C62" s="4" t="s">
        <v>16</v>
      </c>
      <c r="D62" s="222">
        <v>8192040</v>
      </c>
      <c r="E62" s="169">
        <v>5000000</v>
      </c>
      <c r="F62" s="4" t="s">
        <v>168</v>
      </c>
    </row>
    <row r="63" spans="1:6" x14ac:dyDescent="0.25">
      <c r="A63" s="6">
        <v>43647</v>
      </c>
      <c r="B63" s="38" t="s">
        <v>171</v>
      </c>
      <c r="C63" s="4" t="s">
        <v>16</v>
      </c>
      <c r="D63" s="173">
        <v>1250000</v>
      </c>
      <c r="E63" s="169">
        <v>5000000</v>
      </c>
      <c r="F63" s="4" t="s">
        <v>168</v>
      </c>
    </row>
    <row r="64" spans="1:6" x14ac:dyDescent="0.25">
      <c r="A64" s="6">
        <v>43647</v>
      </c>
      <c r="B64" s="29" t="s">
        <v>32</v>
      </c>
      <c r="C64" s="4" t="s">
        <v>17</v>
      </c>
      <c r="D64" s="173">
        <v>11770456</v>
      </c>
      <c r="E64" s="170">
        <v>15833333</v>
      </c>
      <c r="F64" s="4" t="s">
        <v>168</v>
      </c>
    </row>
    <row r="65" spans="1:6" x14ac:dyDescent="0.25">
      <c r="A65" s="6">
        <v>43678</v>
      </c>
      <c r="B65" s="4" t="s">
        <v>175</v>
      </c>
      <c r="C65" s="4" t="s">
        <v>4</v>
      </c>
      <c r="D65" s="298">
        <v>19020000</v>
      </c>
      <c r="E65" s="169">
        <v>20000000</v>
      </c>
      <c r="F65" s="4" t="s">
        <v>168</v>
      </c>
    </row>
    <row r="66" spans="1:6" x14ac:dyDescent="0.25">
      <c r="A66" s="6">
        <v>43678</v>
      </c>
      <c r="B66" s="1" t="s">
        <v>170</v>
      </c>
      <c r="C66" s="4" t="s">
        <v>16</v>
      </c>
      <c r="D66" s="160">
        <v>6850000</v>
      </c>
      <c r="E66" s="169">
        <v>5000000</v>
      </c>
      <c r="F66" s="4" t="s">
        <v>168</v>
      </c>
    </row>
    <row r="67" spans="1:6" x14ac:dyDescent="0.25">
      <c r="A67" s="6">
        <v>43678</v>
      </c>
      <c r="B67" s="1" t="s">
        <v>174</v>
      </c>
      <c r="C67" s="4" t="s">
        <v>16</v>
      </c>
      <c r="D67" s="297">
        <v>4190000</v>
      </c>
      <c r="E67" s="169">
        <v>5000000</v>
      </c>
      <c r="F67" s="4" t="s">
        <v>168</v>
      </c>
    </row>
    <row r="68" spans="1:6" x14ac:dyDescent="0.25">
      <c r="A68" s="6">
        <v>43678</v>
      </c>
      <c r="B68" s="285" t="s">
        <v>115</v>
      </c>
      <c r="C68" s="4" t="s">
        <v>16</v>
      </c>
      <c r="D68" s="160">
        <v>3100000</v>
      </c>
      <c r="E68" s="169">
        <v>5000000</v>
      </c>
      <c r="F68" s="4" t="s">
        <v>168</v>
      </c>
    </row>
    <row r="69" spans="1:6" x14ac:dyDescent="0.25">
      <c r="A69" s="6">
        <v>43678</v>
      </c>
      <c r="B69" s="285" t="s">
        <v>171</v>
      </c>
      <c r="C69" s="4" t="s">
        <v>16</v>
      </c>
      <c r="D69" s="160">
        <v>4880000</v>
      </c>
      <c r="E69" s="169">
        <v>5000000</v>
      </c>
      <c r="F69" s="4" t="s">
        <v>168</v>
      </c>
    </row>
    <row r="70" spans="1:6" x14ac:dyDescent="0.25">
      <c r="A70" s="6">
        <v>43678</v>
      </c>
      <c r="B70" s="2" t="s">
        <v>32</v>
      </c>
      <c r="C70" s="4" t="s">
        <v>17</v>
      </c>
      <c r="D70" s="222">
        <v>15270000</v>
      </c>
      <c r="E70" s="170">
        <v>15833333</v>
      </c>
      <c r="F70" s="4" t="s">
        <v>168</v>
      </c>
    </row>
    <row r="71" spans="1:6" x14ac:dyDescent="0.25">
      <c r="A71" s="6">
        <v>43709</v>
      </c>
      <c r="B71" s="4" t="s">
        <v>175</v>
      </c>
      <c r="C71" s="4" t="s">
        <v>4</v>
      </c>
      <c r="D71" s="160">
        <v>21880000</v>
      </c>
      <c r="E71" s="169">
        <v>20000000</v>
      </c>
      <c r="F71" s="4" t="s">
        <v>168</v>
      </c>
    </row>
    <row r="72" spans="1:6" x14ac:dyDescent="0.25">
      <c r="A72" s="6">
        <v>43709</v>
      </c>
      <c r="B72" s="1" t="s">
        <v>170</v>
      </c>
      <c r="C72" s="4" t="s">
        <v>16</v>
      </c>
      <c r="D72" s="160">
        <v>1000000</v>
      </c>
      <c r="E72" s="169">
        <v>5000000</v>
      </c>
      <c r="F72" s="4" t="s">
        <v>168</v>
      </c>
    </row>
    <row r="73" spans="1:6" x14ac:dyDescent="0.25">
      <c r="A73" s="6">
        <v>43709</v>
      </c>
      <c r="B73" s="1" t="s">
        <v>174</v>
      </c>
      <c r="C73" s="4" t="s">
        <v>16</v>
      </c>
      <c r="D73" s="297">
        <v>2680000</v>
      </c>
      <c r="E73" s="169">
        <v>5000000</v>
      </c>
      <c r="F73" s="4" t="s">
        <v>168</v>
      </c>
    </row>
    <row r="74" spans="1:6" x14ac:dyDescent="0.25">
      <c r="A74" s="6">
        <v>43709</v>
      </c>
      <c r="B74" s="285" t="s">
        <v>115</v>
      </c>
      <c r="C74" s="4" t="s">
        <v>16</v>
      </c>
      <c r="D74" s="160">
        <v>11250000</v>
      </c>
      <c r="E74" s="169">
        <v>5000000</v>
      </c>
      <c r="F74" s="4" t="s">
        <v>168</v>
      </c>
    </row>
    <row r="75" spans="1:6" x14ac:dyDescent="0.25">
      <c r="A75" s="6">
        <v>43709</v>
      </c>
      <c r="B75" s="285" t="s">
        <v>171</v>
      </c>
      <c r="C75" s="4" t="s">
        <v>16</v>
      </c>
      <c r="D75" s="160">
        <v>4800000</v>
      </c>
      <c r="E75" s="169">
        <v>5000000</v>
      </c>
      <c r="F75" s="4" t="s">
        <v>168</v>
      </c>
    </row>
    <row r="76" spans="1:6" x14ac:dyDescent="0.25">
      <c r="A76" s="6">
        <v>43709</v>
      </c>
      <c r="B76" s="2" t="s">
        <v>32</v>
      </c>
      <c r="C76" s="4" t="s">
        <v>17</v>
      </c>
      <c r="D76" s="222">
        <v>16100000</v>
      </c>
      <c r="E76" s="170">
        <v>15833333</v>
      </c>
      <c r="F76" s="4" t="s">
        <v>168</v>
      </c>
    </row>
    <row r="77" spans="1:6" x14ac:dyDescent="0.25">
      <c r="A77" s="6">
        <v>43739</v>
      </c>
      <c r="B77" s="4" t="s">
        <v>175</v>
      </c>
      <c r="C77" s="4" t="s">
        <v>4</v>
      </c>
      <c r="D77" s="161">
        <v>27070000</v>
      </c>
      <c r="E77" s="169">
        <v>20000000</v>
      </c>
      <c r="F77" s="4" t="s">
        <v>168</v>
      </c>
    </row>
    <row r="78" spans="1:6" x14ac:dyDescent="0.25">
      <c r="A78" s="6">
        <v>43739</v>
      </c>
      <c r="B78" s="18" t="s">
        <v>170</v>
      </c>
      <c r="C78" s="4" t="s">
        <v>16</v>
      </c>
      <c r="D78" s="161">
        <v>7550000</v>
      </c>
      <c r="E78" s="169">
        <v>5000000</v>
      </c>
      <c r="F78" s="4" t="s">
        <v>168</v>
      </c>
    </row>
    <row r="79" spans="1:6" x14ac:dyDescent="0.25">
      <c r="A79" s="6">
        <v>43739</v>
      </c>
      <c r="B79" s="38" t="s">
        <v>115</v>
      </c>
      <c r="C79" s="4" t="s">
        <v>16</v>
      </c>
      <c r="D79" s="160">
        <v>8070000</v>
      </c>
      <c r="E79" s="169">
        <v>5000000</v>
      </c>
      <c r="F79" s="4" t="s">
        <v>168</v>
      </c>
    </row>
    <row r="80" spans="1:6" x14ac:dyDescent="0.25">
      <c r="A80" s="6">
        <v>43739</v>
      </c>
      <c r="B80" s="38" t="s">
        <v>171</v>
      </c>
      <c r="C80" s="4" t="s">
        <v>16</v>
      </c>
      <c r="D80" s="160">
        <v>7700000</v>
      </c>
      <c r="E80" s="169">
        <v>5000000</v>
      </c>
      <c r="F80" s="4" t="s">
        <v>168</v>
      </c>
    </row>
    <row r="81" spans="1:6" x14ac:dyDescent="0.25">
      <c r="A81" s="6">
        <v>43739</v>
      </c>
      <c r="B81" s="38" t="s">
        <v>172</v>
      </c>
      <c r="C81" s="4" t="s">
        <v>16</v>
      </c>
      <c r="D81" s="160">
        <v>2900000</v>
      </c>
      <c r="E81" s="169">
        <v>5000000</v>
      </c>
      <c r="F81" s="4" t="s">
        <v>168</v>
      </c>
    </row>
    <row r="82" spans="1:6" x14ac:dyDescent="0.25">
      <c r="A82" s="6">
        <v>43739</v>
      </c>
      <c r="B82" s="29" t="s">
        <v>32</v>
      </c>
      <c r="C82" s="4" t="s">
        <v>17</v>
      </c>
      <c r="D82" s="222">
        <v>25320000</v>
      </c>
      <c r="E82" s="170">
        <v>15833333</v>
      </c>
      <c r="F82" s="4" t="s">
        <v>168</v>
      </c>
    </row>
    <row r="83" spans="1:6" x14ac:dyDescent="0.25">
      <c r="A83" s="6">
        <v>43770</v>
      </c>
      <c r="B83" s="4" t="s">
        <v>175</v>
      </c>
      <c r="C83" s="4" t="s">
        <v>4</v>
      </c>
      <c r="D83" s="160">
        <v>24130000</v>
      </c>
      <c r="E83" s="169">
        <v>20000000</v>
      </c>
      <c r="F83" s="4" t="s">
        <v>168</v>
      </c>
    </row>
    <row r="84" spans="1:6" x14ac:dyDescent="0.25">
      <c r="A84" s="6">
        <v>43770</v>
      </c>
      <c r="B84" s="18" t="s">
        <v>170</v>
      </c>
      <c r="C84" s="4" t="s">
        <v>16</v>
      </c>
      <c r="D84" s="160">
        <v>8330000</v>
      </c>
      <c r="E84" s="169">
        <v>5000000</v>
      </c>
      <c r="F84" s="4" t="s">
        <v>168</v>
      </c>
    </row>
    <row r="85" spans="1:6" x14ac:dyDescent="0.25">
      <c r="A85" s="6">
        <v>43770</v>
      </c>
      <c r="B85" s="38" t="s">
        <v>115</v>
      </c>
      <c r="C85" s="4" t="s">
        <v>16</v>
      </c>
      <c r="D85" s="160">
        <v>6650000</v>
      </c>
      <c r="E85" s="169">
        <v>5000000</v>
      </c>
      <c r="F85" s="4" t="s">
        <v>168</v>
      </c>
    </row>
    <row r="86" spans="1:6" x14ac:dyDescent="0.25">
      <c r="A86" s="6">
        <v>43770</v>
      </c>
      <c r="B86" s="38" t="s">
        <v>171</v>
      </c>
      <c r="C86" s="4" t="s">
        <v>16</v>
      </c>
      <c r="D86" s="160">
        <v>7950000</v>
      </c>
      <c r="E86" s="169">
        <v>5000000</v>
      </c>
      <c r="F86" s="4" t="s">
        <v>168</v>
      </c>
    </row>
    <row r="87" spans="1:6" x14ac:dyDescent="0.25">
      <c r="A87" s="6">
        <v>43770</v>
      </c>
      <c r="B87" s="29" t="s">
        <v>32</v>
      </c>
      <c r="C87" s="4" t="s">
        <v>17</v>
      </c>
      <c r="D87" s="222">
        <v>18060000</v>
      </c>
      <c r="E87" s="170">
        <v>15833333</v>
      </c>
      <c r="F87" s="4" t="s">
        <v>168</v>
      </c>
    </row>
    <row r="88" spans="1:6" x14ac:dyDescent="0.25">
      <c r="A88" s="6">
        <v>43800</v>
      </c>
      <c r="B88" s="4" t="s">
        <v>175</v>
      </c>
      <c r="C88" s="4" t="s">
        <v>4</v>
      </c>
      <c r="D88" s="160">
        <v>26900000</v>
      </c>
      <c r="E88" s="169">
        <v>20000000</v>
      </c>
      <c r="F88" s="4" t="s">
        <v>168</v>
      </c>
    </row>
    <row r="89" spans="1:6" x14ac:dyDescent="0.25">
      <c r="A89" s="6">
        <v>43800</v>
      </c>
      <c r="B89" s="18" t="s">
        <v>170</v>
      </c>
      <c r="C89" s="4" t="s">
        <v>16</v>
      </c>
      <c r="D89" s="160">
        <v>4570000</v>
      </c>
      <c r="E89" s="169">
        <v>5000000</v>
      </c>
      <c r="F89" s="4" t="s">
        <v>168</v>
      </c>
    </row>
    <row r="90" spans="1:6" x14ac:dyDescent="0.25">
      <c r="A90" s="6">
        <v>43800</v>
      </c>
      <c r="B90" s="38" t="s">
        <v>115</v>
      </c>
      <c r="C90" s="4" t="s">
        <v>16</v>
      </c>
      <c r="D90" s="222">
        <v>8200000</v>
      </c>
      <c r="E90" s="169">
        <v>5000000</v>
      </c>
      <c r="F90" s="4" t="s">
        <v>168</v>
      </c>
    </row>
    <row r="91" spans="1:6" x14ac:dyDescent="0.25">
      <c r="A91" s="6">
        <v>43800</v>
      </c>
      <c r="B91" s="38" t="s">
        <v>171</v>
      </c>
      <c r="C91" s="4" t="s">
        <v>16</v>
      </c>
      <c r="D91" s="222">
        <v>5000000</v>
      </c>
      <c r="E91" s="169">
        <v>5000000</v>
      </c>
      <c r="F91" s="4" t="s">
        <v>168</v>
      </c>
    </row>
    <row r="92" spans="1:6" x14ac:dyDescent="0.25">
      <c r="A92" s="6">
        <v>43800</v>
      </c>
      <c r="B92" s="29" t="s">
        <v>32</v>
      </c>
      <c r="C92" s="4" t="s">
        <v>17</v>
      </c>
      <c r="D92" s="222">
        <v>16150000</v>
      </c>
      <c r="E92" s="170">
        <v>15833333</v>
      </c>
      <c r="F92" s="4" t="s">
        <v>168</v>
      </c>
    </row>
    <row r="93" spans="1:6" x14ac:dyDescent="0.25">
      <c r="A93" s="6">
        <v>43831</v>
      </c>
      <c r="B93" s="4" t="s">
        <v>175</v>
      </c>
      <c r="C93" s="4" t="s">
        <v>4</v>
      </c>
      <c r="D93" s="173">
        <v>26900000</v>
      </c>
      <c r="E93" s="169">
        <v>37000000</v>
      </c>
      <c r="F93" s="4" t="s">
        <v>168</v>
      </c>
    </row>
    <row r="94" spans="1:6" x14ac:dyDescent="0.25">
      <c r="A94" s="6">
        <v>43831</v>
      </c>
      <c r="B94" s="18" t="s">
        <v>115</v>
      </c>
      <c r="C94" s="4" t="s">
        <v>16</v>
      </c>
      <c r="D94" s="173">
        <v>8200000</v>
      </c>
      <c r="E94" s="169">
        <v>8500000</v>
      </c>
      <c r="F94" s="4" t="s">
        <v>168</v>
      </c>
    </row>
    <row r="95" spans="1:6" x14ac:dyDescent="0.25">
      <c r="A95" s="6">
        <v>43831</v>
      </c>
      <c r="B95" s="40" t="s">
        <v>170</v>
      </c>
      <c r="C95" s="4" t="s">
        <v>16</v>
      </c>
      <c r="D95" s="288">
        <v>4570000</v>
      </c>
      <c r="E95" s="169">
        <v>8500000</v>
      </c>
      <c r="F95" s="4" t="s">
        <v>168</v>
      </c>
    </row>
    <row r="96" spans="1:6" x14ac:dyDescent="0.25">
      <c r="A96" s="6">
        <v>43831</v>
      </c>
      <c r="B96" s="18" t="s">
        <v>86</v>
      </c>
      <c r="C96" s="4" t="s">
        <v>16</v>
      </c>
      <c r="D96" s="173">
        <v>5000000</v>
      </c>
      <c r="E96" s="169">
        <v>8500000</v>
      </c>
      <c r="F96" s="4" t="s">
        <v>168</v>
      </c>
    </row>
    <row r="97" spans="1:6" x14ac:dyDescent="0.25">
      <c r="A97" s="6">
        <v>43831</v>
      </c>
      <c r="B97" s="18" t="s">
        <v>176</v>
      </c>
      <c r="C97" s="4" t="s">
        <v>16</v>
      </c>
      <c r="D97" s="288">
        <v>8150000</v>
      </c>
      <c r="E97" s="169">
        <v>8500000</v>
      </c>
      <c r="F97" s="4" t="s">
        <v>168</v>
      </c>
    </row>
    <row r="98" spans="1:6" x14ac:dyDescent="0.25">
      <c r="A98" s="6">
        <v>43831</v>
      </c>
      <c r="B98" s="26" t="s">
        <v>179</v>
      </c>
      <c r="C98" s="4" t="s">
        <v>16</v>
      </c>
      <c r="D98" s="173">
        <v>980000</v>
      </c>
      <c r="E98" s="289">
        <v>8500000</v>
      </c>
      <c r="F98" s="4" t="s">
        <v>168</v>
      </c>
    </row>
    <row r="99" spans="1:6" x14ac:dyDescent="0.25">
      <c r="A99" s="6">
        <v>43831</v>
      </c>
      <c r="B99" s="40" t="s">
        <v>177</v>
      </c>
      <c r="C99" s="4" t="s">
        <v>17</v>
      </c>
      <c r="D99" s="222">
        <v>16150000</v>
      </c>
      <c r="E99" s="290">
        <v>15000000</v>
      </c>
      <c r="F99" s="4" t="s">
        <v>168</v>
      </c>
    </row>
    <row r="100" spans="1:6" x14ac:dyDescent="0.25">
      <c r="A100" s="6">
        <v>43831</v>
      </c>
      <c r="B100" s="50" t="s">
        <v>178</v>
      </c>
      <c r="C100" s="4" t="s">
        <v>17</v>
      </c>
      <c r="D100" s="222">
        <v>6980000</v>
      </c>
      <c r="E100" s="290">
        <v>15000000</v>
      </c>
      <c r="F100" s="4" t="s">
        <v>168</v>
      </c>
    </row>
    <row r="101" spans="1:6" x14ac:dyDescent="0.25">
      <c r="A101" s="6">
        <v>43862</v>
      </c>
      <c r="B101" s="20" t="s">
        <v>181</v>
      </c>
      <c r="C101" s="4" t="s">
        <v>4</v>
      </c>
      <c r="D101" s="173">
        <v>28974804</v>
      </c>
      <c r="E101" s="169">
        <v>37000000</v>
      </c>
      <c r="F101" s="4" t="s">
        <v>168</v>
      </c>
    </row>
    <row r="102" spans="1:6" x14ac:dyDescent="0.25">
      <c r="A102" s="6">
        <v>43862</v>
      </c>
      <c r="B102" s="18" t="s">
        <v>115</v>
      </c>
      <c r="C102" s="4" t="s">
        <v>16</v>
      </c>
      <c r="D102" s="173">
        <v>8870000</v>
      </c>
      <c r="E102" s="169">
        <v>8500000</v>
      </c>
      <c r="F102" s="4" t="s">
        <v>168</v>
      </c>
    </row>
    <row r="103" spans="1:6" x14ac:dyDescent="0.25">
      <c r="A103" s="6">
        <v>43862</v>
      </c>
      <c r="B103" s="40" t="s">
        <v>170</v>
      </c>
      <c r="C103" s="4" t="s">
        <v>16</v>
      </c>
      <c r="D103" s="173">
        <v>5300000</v>
      </c>
      <c r="E103" s="169">
        <v>8500000</v>
      </c>
      <c r="F103" s="4" t="s">
        <v>168</v>
      </c>
    </row>
    <row r="104" spans="1:6" x14ac:dyDescent="0.25">
      <c r="A104" s="6">
        <v>43862</v>
      </c>
      <c r="B104" s="18" t="s">
        <v>86</v>
      </c>
      <c r="C104" s="4" t="s">
        <v>16</v>
      </c>
      <c r="D104" s="226">
        <v>7600000</v>
      </c>
      <c r="E104" s="169">
        <v>8500000</v>
      </c>
      <c r="F104" s="4" t="s">
        <v>168</v>
      </c>
    </row>
    <row r="105" spans="1:6" x14ac:dyDescent="0.25">
      <c r="A105" s="6">
        <v>43862</v>
      </c>
      <c r="B105" s="18" t="s">
        <v>176</v>
      </c>
      <c r="C105" s="4" t="s">
        <v>16</v>
      </c>
      <c r="D105" s="226">
        <v>6400000</v>
      </c>
      <c r="E105" s="169">
        <v>8500000</v>
      </c>
      <c r="F105" s="4" t="s">
        <v>168</v>
      </c>
    </row>
    <row r="106" spans="1:6" x14ac:dyDescent="0.25">
      <c r="A106" s="6">
        <v>43862</v>
      </c>
      <c r="B106" s="287" t="s">
        <v>177</v>
      </c>
      <c r="C106" s="4" t="s">
        <v>17</v>
      </c>
      <c r="D106" s="292">
        <v>16242804</v>
      </c>
      <c r="E106" s="290">
        <v>15000000</v>
      </c>
      <c r="F106" s="4" t="s">
        <v>168</v>
      </c>
    </row>
    <row r="107" spans="1:6" x14ac:dyDescent="0.25">
      <c r="A107" s="6">
        <v>43862</v>
      </c>
      <c r="B107" s="291" t="s">
        <v>180</v>
      </c>
      <c r="C107" s="4" t="s">
        <v>17</v>
      </c>
      <c r="D107" s="173">
        <v>9600000</v>
      </c>
      <c r="E107" s="169">
        <v>15000000</v>
      </c>
      <c r="F107" s="4" t="s">
        <v>168</v>
      </c>
    </row>
    <row r="108" spans="1:6" x14ac:dyDescent="0.25">
      <c r="A108" s="6">
        <v>43891</v>
      </c>
      <c r="B108" s="20" t="s">
        <v>181</v>
      </c>
      <c r="C108" s="4" t="s">
        <v>4</v>
      </c>
      <c r="D108" s="173">
        <v>1730000</v>
      </c>
      <c r="E108" s="169">
        <v>37000000</v>
      </c>
      <c r="F108" s="4" t="s">
        <v>168</v>
      </c>
    </row>
    <row r="109" spans="1:6" x14ac:dyDescent="0.25">
      <c r="A109" s="6">
        <v>43891</v>
      </c>
      <c r="B109" s="18" t="s">
        <v>115</v>
      </c>
      <c r="C109" s="4" t="s">
        <v>16</v>
      </c>
      <c r="D109" s="173">
        <v>7320000</v>
      </c>
      <c r="E109" s="169">
        <v>8500000</v>
      </c>
      <c r="F109" s="4" t="s">
        <v>168</v>
      </c>
    </row>
    <row r="110" spans="1:6" x14ac:dyDescent="0.25">
      <c r="A110" s="6">
        <v>43891</v>
      </c>
      <c r="B110" s="40" t="s">
        <v>170</v>
      </c>
      <c r="C110" s="4" t="s">
        <v>16</v>
      </c>
      <c r="D110" s="173">
        <v>1200000</v>
      </c>
      <c r="E110" s="169">
        <v>8500000</v>
      </c>
      <c r="F110" s="4" t="s">
        <v>168</v>
      </c>
    </row>
    <row r="111" spans="1:6" x14ac:dyDescent="0.25">
      <c r="A111" s="6">
        <v>43891</v>
      </c>
      <c r="B111" s="18" t="s">
        <v>86</v>
      </c>
      <c r="C111" s="4" t="s">
        <v>16</v>
      </c>
      <c r="D111" s="173">
        <v>3050000</v>
      </c>
      <c r="E111" s="169">
        <v>8500000</v>
      </c>
      <c r="F111" s="4" t="s">
        <v>168</v>
      </c>
    </row>
    <row r="112" spans="1:6" x14ac:dyDescent="0.25">
      <c r="A112" s="6">
        <v>43891</v>
      </c>
      <c r="B112" s="18" t="s">
        <v>176</v>
      </c>
      <c r="C112" s="4" t="s">
        <v>16</v>
      </c>
      <c r="D112" s="226">
        <v>4560000</v>
      </c>
      <c r="E112" s="169">
        <v>8500000</v>
      </c>
      <c r="F112" s="4" t="s">
        <v>168</v>
      </c>
    </row>
    <row r="113" spans="1:6" x14ac:dyDescent="0.25">
      <c r="A113" s="6">
        <v>43891</v>
      </c>
      <c r="B113" s="293" t="s">
        <v>182</v>
      </c>
      <c r="C113" s="4" t="s">
        <v>16</v>
      </c>
      <c r="D113" s="292">
        <v>1100000</v>
      </c>
      <c r="E113" s="289">
        <v>8500000</v>
      </c>
      <c r="F113" s="4" t="s">
        <v>168</v>
      </c>
    </row>
    <row r="114" spans="1:6" x14ac:dyDescent="0.25">
      <c r="A114" s="6">
        <v>43891</v>
      </c>
      <c r="B114" s="40" t="s">
        <v>177</v>
      </c>
      <c r="C114" s="4" t="s">
        <v>17</v>
      </c>
      <c r="D114" s="288">
        <v>6750000</v>
      </c>
      <c r="E114" s="290">
        <v>15000000</v>
      </c>
      <c r="F114" s="4" t="s">
        <v>168</v>
      </c>
    </row>
    <row r="115" spans="1:6" x14ac:dyDescent="0.25">
      <c r="A115" s="6">
        <v>43891</v>
      </c>
      <c r="B115" s="39" t="s">
        <v>180</v>
      </c>
      <c r="C115" s="4" t="s">
        <v>17</v>
      </c>
      <c r="D115" s="173">
        <v>10570000</v>
      </c>
      <c r="E115" s="169">
        <v>15000000</v>
      </c>
      <c r="F115" s="4" t="s">
        <v>168</v>
      </c>
    </row>
    <row r="116" spans="1:6" x14ac:dyDescent="0.25">
      <c r="A116" s="6">
        <v>43922</v>
      </c>
      <c r="B116" s="20" t="s">
        <v>181</v>
      </c>
      <c r="C116" s="4" t="s">
        <v>4</v>
      </c>
      <c r="D116" s="173">
        <v>0</v>
      </c>
      <c r="E116" s="169">
        <v>37000000</v>
      </c>
      <c r="F116" s="4" t="s">
        <v>168</v>
      </c>
    </row>
    <row r="117" spans="1:6" x14ac:dyDescent="0.25">
      <c r="A117" s="6">
        <v>43922</v>
      </c>
      <c r="B117" s="1" t="s">
        <v>115</v>
      </c>
      <c r="C117" s="4" t="s">
        <v>16</v>
      </c>
      <c r="D117" s="173">
        <v>0</v>
      </c>
      <c r="E117" s="169">
        <v>8500000</v>
      </c>
      <c r="F117" s="4" t="s">
        <v>168</v>
      </c>
    </row>
    <row r="118" spans="1:6" x14ac:dyDescent="0.25">
      <c r="A118" s="6">
        <v>43922</v>
      </c>
      <c r="B118" s="287" t="s">
        <v>170</v>
      </c>
      <c r="C118" s="4" t="s">
        <v>16</v>
      </c>
      <c r="D118" s="173">
        <v>0</v>
      </c>
      <c r="E118" s="169">
        <v>8500000</v>
      </c>
      <c r="F118" s="4" t="s">
        <v>168</v>
      </c>
    </row>
    <row r="119" spans="1:6" x14ac:dyDescent="0.25">
      <c r="A119" s="6">
        <v>43922</v>
      </c>
      <c r="B119" s="1" t="s">
        <v>86</v>
      </c>
      <c r="C119" s="4" t="s">
        <v>16</v>
      </c>
      <c r="D119" s="173">
        <v>0</v>
      </c>
      <c r="E119" s="169">
        <v>8500000</v>
      </c>
      <c r="F119" s="4" t="s">
        <v>168</v>
      </c>
    </row>
    <row r="120" spans="1:6" x14ac:dyDescent="0.25">
      <c r="A120" s="6">
        <v>43922</v>
      </c>
      <c r="B120" s="18" t="s">
        <v>176</v>
      </c>
      <c r="C120" s="4" t="s">
        <v>16</v>
      </c>
      <c r="D120" s="173">
        <v>0</v>
      </c>
      <c r="E120" s="169">
        <v>8500000</v>
      </c>
      <c r="F120" s="4" t="s">
        <v>168</v>
      </c>
    </row>
    <row r="121" spans="1:6" x14ac:dyDescent="0.25">
      <c r="A121" s="6">
        <v>43922</v>
      </c>
      <c r="B121" s="39" t="s">
        <v>180</v>
      </c>
      <c r="C121" s="4" t="s">
        <v>17</v>
      </c>
      <c r="D121" s="173">
        <v>0</v>
      </c>
      <c r="E121" s="169">
        <v>15000000</v>
      </c>
      <c r="F121" s="4" t="s">
        <v>168</v>
      </c>
    </row>
    <row r="122" spans="1:6" x14ac:dyDescent="0.25">
      <c r="A122" s="6">
        <v>43952</v>
      </c>
      <c r="B122" s="20" t="s">
        <v>181</v>
      </c>
      <c r="C122" s="4" t="s">
        <v>4</v>
      </c>
      <c r="D122" s="173">
        <v>1730000</v>
      </c>
      <c r="E122" s="169">
        <v>37000000</v>
      </c>
      <c r="F122" s="4" t="s">
        <v>168</v>
      </c>
    </row>
    <row r="123" spans="1:6" x14ac:dyDescent="0.25">
      <c r="A123" s="6">
        <v>43952</v>
      </c>
      <c r="B123" s="18" t="s">
        <v>86</v>
      </c>
      <c r="C123" s="4" t="s">
        <v>16</v>
      </c>
      <c r="D123" s="173">
        <v>930000</v>
      </c>
      <c r="E123" s="169">
        <v>8500000</v>
      </c>
      <c r="F123" s="4" t="s">
        <v>168</v>
      </c>
    </row>
    <row r="124" spans="1:6" x14ac:dyDescent="0.25">
      <c r="A124" s="6">
        <v>43952</v>
      </c>
      <c r="B124" s="39" t="s">
        <v>180</v>
      </c>
      <c r="C124" s="4" t="s">
        <v>17</v>
      </c>
      <c r="D124" s="173">
        <v>1730000</v>
      </c>
      <c r="E124" s="169">
        <v>15000000</v>
      </c>
      <c r="F124" s="4" t="s">
        <v>168</v>
      </c>
    </row>
    <row r="125" spans="1:6" x14ac:dyDescent="0.25">
      <c r="A125" s="6">
        <v>44562</v>
      </c>
      <c r="B125" s="33" t="s">
        <v>188</v>
      </c>
      <c r="C125" s="4" t="s">
        <v>4</v>
      </c>
      <c r="D125" s="241">
        <v>52250000</v>
      </c>
      <c r="E125" s="241">
        <v>50000000</v>
      </c>
      <c r="F125" s="4" t="s">
        <v>168</v>
      </c>
    </row>
    <row r="126" spans="1:6" x14ac:dyDescent="0.25">
      <c r="A126" s="6">
        <v>44562</v>
      </c>
      <c r="B126" s="11" t="s">
        <v>176</v>
      </c>
      <c r="C126" s="4" t="s">
        <v>16</v>
      </c>
      <c r="D126" s="241">
        <v>22500000</v>
      </c>
      <c r="E126" s="241">
        <v>14000000</v>
      </c>
      <c r="F126" s="4" t="s">
        <v>168</v>
      </c>
    </row>
    <row r="127" spans="1:6" x14ac:dyDescent="0.25">
      <c r="A127" s="6">
        <v>44562</v>
      </c>
      <c r="B127" s="11" t="s">
        <v>183</v>
      </c>
      <c r="C127" s="4" t="s">
        <v>16</v>
      </c>
      <c r="D127" s="241">
        <v>13950000</v>
      </c>
      <c r="E127" s="241">
        <v>12000000</v>
      </c>
      <c r="F127" s="4" t="s">
        <v>168</v>
      </c>
    </row>
    <row r="128" spans="1:6" x14ac:dyDescent="0.25">
      <c r="A128" s="6">
        <v>44562</v>
      </c>
      <c r="B128" s="11" t="s">
        <v>184</v>
      </c>
      <c r="C128" s="4" t="s">
        <v>16</v>
      </c>
      <c r="D128" s="173">
        <v>9850000</v>
      </c>
      <c r="E128" s="241">
        <v>12000000</v>
      </c>
      <c r="F128" s="4" t="s">
        <v>168</v>
      </c>
    </row>
    <row r="129" spans="1:6" x14ac:dyDescent="0.25">
      <c r="A129" s="6">
        <v>44562</v>
      </c>
      <c r="B129" s="257" t="s">
        <v>185</v>
      </c>
      <c r="C129" s="4" t="s">
        <v>16</v>
      </c>
      <c r="D129" s="173">
        <v>5950000</v>
      </c>
      <c r="E129" s="241">
        <v>12000000</v>
      </c>
      <c r="F129" s="4" t="s">
        <v>168</v>
      </c>
    </row>
    <row r="130" spans="1:6" x14ac:dyDescent="0.25">
      <c r="A130" s="6">
        <v>44562</v>
      </c>
      <c r="B130" s="11" t="s">
        <v>186</v>
      </c>
      <c r="C130" s="4" t="s">
        <v>17</v>
      </c>
      <c r="D130" s="268">
        <v>12400000</v>
      </c>
      <c r="E130" s="268">
        <v>16000000</v>
      </c>
      <c r="F130" s="4" t="s">
        <v>168</v>
      </c>
    </row>
    <row r="131" spans="1:6" x14ac:dyDescent="0.25">
      <c r="A131" s="6">
        <v>44562</v>
      </c>
      <c r="B131" s="11" t="s">
        <v>89</v>
      </c>
      <c r="C131" s="4" t="s">
        <v>17</v>
      </c>
      <c r="D131" s="241">
        <v>16750000</v>
      </c>
      <c r="E131" s="268">
        <v>16000000</v>
      </c>
      <c r="F131" s="4" t="s">
        <v>168</v>
      </c>
    </row>
    <row r="132" spans="1:6" x14ac:dyDescent="0.25">
      <c r="A132" s="6">
        <v>44562</v>
      </c>
      <c r="B132" s="33" t="s">
        <v>187</v>
      </c>
      <c r="C132" s="4" t="s">
        <v>17</v>
      </c>
      <c r="D132" s="268">
        <v>23100000</v>
      </c>
      <c r="E132" s="268">
        <v>16000000</v>
      </c>
      <c r="F132" s="4" t="s">
        <v>168</v>
      </c>
    </row>
    <row r="133" spans="1:6" x14ac:dyDescent="0.25">
      <c r="A133" s="6">
        <v>44593</v>
      </c>
      <c r="B133" s="33" t="s">
        <v>188</v>
      </c>
      <c r="C133" s="4" t="s">
        <v>4</v>
      </c>
      <c r="D133" s="241">
        <v>55927845</v>
      </c>
      <c r="E133" s="241">
        <v>50000000</v>
      </c>
      <c r="F133" s="4" t="s">
        <v>168</v>
      </c>
    </row>
    <row r="134" spans="1:6" x14ac:dyDescent="0.25">
      <c r="A134" s="6">
        <v>44593</v>
      </c>
      <c r="B134" s="11" t="s">
        <v>176</v>
      </c>
      <c r="C134" s="4" t="s">
        <v>16</v>
      </c>
      <c r="D134" s="241">
        <v>19400000</v>
      </c>
      <c r="E134" s="241">
        <v>14000000</v>
      </c>
      <c r="F134" s="4" t="s">
        <v>168</v>
      </c>
    </row>
    <row r="135" spans="1:6" x14ac:dyDescent="0.25">
      <c r="A135" s="6">
        <v>44593</v>
      </c>
      <c r="B135" s="11" t="s">
        <v>183</v>
      </c>
      <c r="C135" s="4" t="s">
        <v>16</v>
      </c>
      <c r="D135" s="241">
        <v>20250000</v>
      </c>
      <c r="E135" s="241">
        <v>12000000</v>
      </c>
      <c r="F135" s="4" t="s">
        <v>168</v>
      </c>
    </row>
    <row r="136" spans="1:6" x14ac:dyDescent="0.25">
      <c r="A136" s="6">
        <v>44593</v>
      </c>
      <c r="B136" s="11" t="s">
        <v>184</v>
      </c>
      <c r="C136" s="4" t="s">
        <v>16</v>
      </c>
      <c r="D136" s="173">
        <v>4180000</v>
      </c>
      <c r="E136" s="241">
        <v>12000000</v>
      </c>
      <c r="F136" s="4" t="s">
        <v>168</v>
      </c>
    </row>
    <row r="137" spans="1:6" x14ac:dyDescent="0.25">
      <c r="A137" s="6">
        <v>44593</v>
      </c>
      <c r="B137" s="257" t="s">
        <v>185</v>
      </c>
      <c r="C137" s="4" t="s">
        <v>16</v>
      </c>
      <c r="D137" s="173">
        <v>10810000</v>
      </c>
      <c r="E137" s="241">
        <v>12000000</v>
      </c>
      <c r="F137" s="4" t="s">
        <v>168</v>
      </c>
    </row>
    <row r="138" spans="1:6" x14ac:dyDescent="0.25">
      <c r="A138" s="6">
        <v>44593</v>
      </c>
      <c r="B138" s="11" t="s">
        <v>89</v>
      </c>
      <c r="C138" s="4" t="s">
        <v>17</v>
      </c>
      <c r="D138" s="241">
        <v>26660000</v>
      </c>
      <c r="E138" s="268">
        <v>16000000</v>
      </c>
      <c r="F138" s="4" t="s">
        <v>168</v>
      </c>
    </row>
    <row r="139" spans="1:6" x14ac:dyDescent="0.25">
      <c r="A139" s="6">
        <v>44593</v>
      </c>
      <c r="B139" s="33" t="s">
        <v>187</v>
      </c>
      <c r="C139" s="4" t="s">
        <v>17</v>
      </c>
      <c r="D139" s="268">
        <v>27980000</v>
      </c>
      <c r="E139" s="268">
        <v>16000000</v>
      </c>
      <c r="F139" s="4" t="s">
        <v>168</v>
      </c>
    </row>
    <row r="140" spans="1:6" x14ac:dyDescent="0.25">
      <c r="A140" s="6">
        <v>44621</v>
      </c>
      <c r="B140" s="33" t="s">
        <v>188</v>
      </c>
      <c r="C140" s="4" t="s">
        <v>4</v>
      </c>
      <c r="D140" s="241">
        <v>46500000</v>
      </c>
      <c r="E140" s="241">
        <v>50000000</v>
      </c>
      <c r="F140" s="4" t="s">
        <v>168</v>
      </c>
    </row>
    <row r="141" spans="1:6" x14ac:dyDescent="0.25">
      <c r="A141" s="6">
        <v>44621</v>
      </c>
      <c r="B141" s="11" t="s">
        <v>176</v>
      </c>
      <c r="C141" s="4" t="s">
        <v>16</v>
      </c>
      <c r="D141" s="241">
        <v>12300000</v>
      </c>
      <c r="E141" s="241">
        <v>14000000</v>
      </c>
      <c r="F141" s="4" t="s">
        <v>168</v>
      </c>
    </row>
    <row r="142" spans="1:6" x14ac:dyDescent="0.25">
      <c r="A142" s="6">
        <v>44621</v>
      </c>
      <c r="B142" s="11" t="s">
        <v>183</v>
      </c>
      <c r="C142" s="4" t="s">
        <v>16</v>
      </c>
      <c r="D142" s="241">
        <v>21800000</v>
      </c>
      <c r="E142" s="241">
        <v>12000000</v>
      </c>
      <c r="F142" s="4" t="s">
        <v>168</v>
      </c>
    </row>
    <row r="143" spans="1:6" x14ac:dyDescent="0.25">
      <c r="A143" s="6">
        <v>44621</v>
      </c>
      <c r="B143" s="257" t="s">
        <v>185</v>
      </c>
      <c r="C143" s="4" t="s">
        <v>16</v>
      </c>
      <c r="D143" s="241">
        <v>9900000</v>
      </c>
      <c r="E143" s="241">
        <v>12000000</v>
      </c>
      <c r="F143" s="4" t="s">
        <v>168</v>
      </c>
    </row>
    <row r="144" spans="1:6" x14ac:dyDescent="0.25">
      <c r="A144" s="6">
        <v>44621</v>
      </c>
      <c r="B144" s="257" t="s">
        <v>189</v>
      </c>
      <c r="C144" s="4" t="s">
        <v>16</v>
      </c>
      <c r="D144" s="241">
        <v>2500000</v>
      </c>
      <c r="E144" s="241">
        <v>12000000</v>
      </c>
      <c r="F144" s="4" t="s">
        <v>168</v>
      </c>
    </row>
    <row r="145" spans="1:6" x14ac:dyDescent="0.25">
      <c r="A145" s="6">
        <v>44621</v>
      </c>
      <c r="B145" s="11" t="s">
        <v>89</v>
      </c>
      <c r="C145" s="4" t="s">
        <v>17</v>
      </c>
      <c r="D145" s="241">
        <v>25400000</v>
      </c>
      <c r="E145" s="268">
        <v>16000000</v>
      </c>
      <c r="F145" s="4" t="s">
        <v>168</v>
      </c>
    </row>
    <row r="146" spans="1:6" x14ac:dyDescent="0.25">
      <c r="A146" s="6">
        <v>44621</v>
      </c>
      <c r="B146" s="33" t="s">
        <v>187</v>
      </c>
      <c r="C146" s="4" t="s">
        <v>17</v>
      </c>
      <c r="D146" s="268">
        <v>21100000</v>
      </c>
      <c r="E146" s="268">
        <v>16000000</v>
      </c>
      <c r="F146" s="4" t="s">
        <v>168</v>
      </c>
    </row>
    <row r="147" spans="1:6" x14ac:dyDescent="0.25">
      <c r="A147" s="6">
        <v>44652</v>
      </c>
      <c r="B147" s="33" t="s">
        <v>188</v>
      </c>
      <c r="C147" s="4" t="s">
        <v>4</v>
      </c>
      <c r="D147" s="241">
        <v>46500000</v>
      </c>
      <c r="E147" s="241">
        <v>50000000</v>
      </c>
      <c r="F147" s="4" t="s">
        <v>168</v>
      </c>
    </row>
    <row r="148" spans="1:6" x14ac:dyDescent="0.25">
      <c r="A148" s="6">
        <v>44652</v>
      </c>
      <c r="B148" s="11" t="s">
        <v>176</v>
      </c>
      <c r="C148" s="4" t="s">
        <v>16</v>
      </c>
      <c r="D148" s="241">
        <v>14800000</v>
      </c>
      <c r="E148" s="241">
        <v>14000000</v>
      </c>
      <c r="F148" s="4" t="s">
        <v>168</v>
      </c>
    </row>
    <row r="149" spans="1:6" x14ac:dyDescent="0.25">
      <c r="A149" s="6">
        <v>44652</v>
      </c>
      <c r="B149" s="11" t="s">
        <v>183</v>
      </c>
      <c r="C149" s="4" t="s">
        <v>16</v>
      </c>
      <c r="D149" s="241">
        <v>22850000</v>
      </c>
      <c r="E149" s="241">
        <v>12000000</v>
      </c>
      <c r="F149" s="4" t="s">
        <v>168</v>
      </c>
    </row>
    <row r="150" spans="1:6" x14ac:dyDescent="0.25">
      <c r="A150" s="6">
        <v>44652</v>
      </c>
      <c r="B150" s="257" t="s">
        <v>185</v>
      </c>
      <c r="C150" s="4" t="s">
        <v>16</v>
      </c>
      <c r="D150" s="241">
        <v>10000000</v>
      </c>
      <c r="E150" s="241">
        <v>12000000</v>
      </c>
      <c r="F150" s="4" t="s">
        <v>168</v>
      </c>
    </row>
    <row r="151" spans="1:6" x14ac:dyDescent="0.25">
      <c r="A151" s="6">
        <v>44652</v>
      </c>
      <c r="B151" s="11" t="s">
        <v>89</v>
      </c>
      <c r="C151" s="4" t="s">
        <v>17</v>
      </c>
      <c r="D151" s="241">
        <v>22250000</v>
      </c>
      <c r="E151" s="268">
        <v>16000000</v>
      </c>
      <c r="F151" s="4" t="s">
        <v>168</v>
      </c>
    </row>
    <row r="152" spans="1:6" x14ac:dyDescent="0.25">
      <c r="A152" s="6">
        <v>44652</v>
      </c>
      <c r="B152" s="33" t="s">
        <v>187</v>
      </c>
      <c r="C152" s="4" t="s">
        <v>17</v>
      </c>
      <c r="D152" s="268">
        <v>25400000</v>
      </c>
      <c r="E152" s="268">
        <v>16000000</v>
      </c>
      <c r="F152" s="4" t="s">
        <v>168</v>
      </c>
    </row>
    <row r="153" spans="1:6" x14ac:dyDescent="0.25">
      <c r="A153" s="6">
        <v>44682</v>
      </c>
      <c r="B153" s="33" t="s">
        <v>188</v>
      </c>
      <c r="C153" s="4" t="s">
        <v>4</v>
      </c>
      <c r="D153" s="241">
        <v>47650000</v>
      </c>
      <c r="E153" s="241">
        <v>50000000</v>
      </c>
      <c r="F153" s="4" t="s">
        <v>168</v>
      </c>
    </row>
    <row r="154" spans="1:6" x14ac:dyDescent="0.25">
      <c r="A154" s="6">
        <v>44682</v>
      </c>
      <c r="B154" s="11" t="s">
        <v>183</v>
      </c>
      <c r="C154" s="4" t="s">
        <v>16</v>
      </c>
      <c r="D154" s="222">
        <v>16700000</v>
      </c>
      <c r="E154" s="241">
        <v>12000000</v>
      </c>
      <c r="F154" s="4" t="s">
        <v>168</v>
      </c>
    </row>
    <row r="155" spans="1:6" x14ac:dyDescent="0.25">
      <c r="A155" s="6">
        <v>44682</v>
      </c>
      <c r="B155" s="257" t="s">
        <v>185</v>
      </c>
      <c r="C155" s="4" t="s">
        <v>16</v>
      </c>
      <c r="D155" s="222">
        <v>11650000</v>
      </c>
      <c r="E155" s="241">
        <v>12000000</v>
      </c>
      <c r="F155" s="4" t="s">
        <v>168</v>
      </c>
    </row>
    <row r="156" spans="1:6" x14ac:dyDescent="0.25">
      <c r="A156" s="6">
        <v>44682</v>
      </c>
      <c r="B156" s="11" t="s">
        <v>89</v>
      </c>
      <c r="C156" s="4" t="s">
        <v>17</v>
      </c>
      <c r="D156" s="222">
        <v>13886200</v>
      </c>
      <c r="E156" s="268">
        <v>16000000</v>
      </c>
      <c r="F156" s="4" t="s">
        <v>168</v>
      </c>
    </row>
    <row r="157" spans="1:6" x14ac:dyDescent="0.25">
      <c r="A157" s="6">
        <v>44682</v>
      </c>
      <c r="B157" s="33" t="s">
        <v>187</v>
      </c>
      <c r="C157" s="4" t="s">
        <v>17</v>
      </c>
      <c r="D157" s="266">
        <v>19200000</v>
      </c>
      <c r="E157" s="268">
        <v>16000000</v>
      </c>
      <c r="F157" s="4" t="s">
        <v>168</v>
      </c>
    </row>
    <row r="158" spans="1:6" x14ac:dyDescent="0.25">
      <c r="A158" s="6">
        <v>44682</v>
      </c>
      <c r="B158" s="34" t="s">
        <v>190</v>
      </c>
      <c r="C158" s="4" t="s">
        <v>17</v>
      </c>
      <c r="D158" s="264">
        <v>12400000</v>
      </c>
      <c r="E158" s="241">
        <v>16000000</v>
      </c>
      <c r="F158" s="4" t="s">
        <v>168</v>
      </c>
    </row>
    <row r="159" spans="1:6" x14ac:dyDescent="0.25">
      <c r="A159" s="6">
        <v>44713</v>
      </c>
      <c r="B159" s="33" t="s">
        <v>188</v>
      </c>
      <c r="C159" s="4" t="s">
        <v>4</v>
      </c>
      <c r="D159" s="241">
        <v>62750000</v>
      </c>
      <c r="E159" s="241">
        <v>50000000</v>
      </c>
      <c r="F159" s="4" t="s">
        <v>168</v>
      </c>
    </row>
    <row r="160" spans="1:6" x14ac:dyDescent="0.25">
      <c r="A160" s="6">
        <v>44713</v>
      </c>
      <c r="B160" s="11" t="s">
        <v>183</v>
      </c>
      <c r="C160" s="4" t="s">
        <v>16</v>
      </c>
      <c r="D160" s="222">
        <v>22250000</v>
      </c>
      <c r="E160" s="241">
        <v>12000000</v>
      </c>
      <c r="F160" s="4" t="s">
        <v>168</v>
      </c>
    </row>
    <row r="161" spans="1:6" x14ac:dyDescent="0.25">
      <c r="A161" s="6">
        <v>44713</v>
      </c>
      <c r="B161" s="257" t="s">
        <v>185</v>
      </c>
      <c r="C161" s="4" t="s">
        <v>16</v>
      </c>
      <c r="D161" s="222">
        <v>22550000</v>
      </c>
      <c r="E161" s="241">
        <v>12000000</v>
      </c>
      <c r="F161" s="4" t="s">
        <v>168</v>
      </c>
    </row>
    <row r="162" spans="1:6" x14ac:dyDescent="0.25">
      <c r="A162" s="6">
        <v>44713</v>
      </c>
      <c r="B162" s="257" t="s">
        <v>155</v>
      </c>
      <c r="C162" s="4" t="s">
        <v>16</v>
      </c>
      <c r="D162" s="222">
        <v>8150000</v>
      </c>
      <c r="E162" s="241">
        <v>12000000</v>
      </c>
      <c r="F162" s="4" t="s">
        <v>168</v>
      </c>
    </row>
    <row r="163" spans="1:6" x14ac:dyDescent="0.25">
      <c r="A163" s="6">
        <v>44713</v>
      </c>
      <c r="B163" s="257" t="s">
        <v>191</v>
      </c>
      <c r="C163" s="4" t="s">
        <v>16</v>
      </c>
      <c r="D163" s="222">
        <v>4450000</v>
      </c>
      <c r="E163" s="241">
        <v>12000000</v>
      </c>
      <c r="F163" s="4" t="s">
        <v>168</v>
      </c>
    </row>
    <row r="164" spans="1:6" x14ac:dyDescent="0.25">
      <c r="A164" s="6">
        <v>44713</v>
      </c>
      <c r="B164" s="257" t="s">
        <v>192</v>
      </c>
      <c r="C164" s="4" t="s">
        <v>16</v>
      </c>
      <c r="D164" s="222">
        <v>900000</v>
      </c>
      <c r="E164" s="241">
        <v>12000000</v>
      </c>
      <c r="F164" s="4" t="s">
        <v>168</v>
      </c>
    </row>
    <row r="165" spans="1:6" x14ac:dyDescent="0.25">
      <c r="A165" s="6">
        <v>44713</v>
      </c>
      <c r="B165" s="257" t="s">
        <v>193</v>
      </c>
      <c r="C165" s="4" t="s">
        <v>16</v>
      </c>
      <c r="D165" s="222">
        <v>3450000</v>
      </c>
      <c r="E165" s="241">
        <v>12000000</v>
      </c>
      <c r="F165" s="4" t="s">
        <v>168</v>
      </c>
    </row>
    <row r="166" spans="1:6" x14ac:dyDescent="0.25">
      <c r="A166" s="6">
        <v>44713</v>
      </c>
      <c r="B166" s="257" t="s">
        <v>194</v>
      </c>
      <c r="C166" s="4" t="s">
        <v>16</v>
      </c>
      <c r="D166" s="222">
        <v>5100000</v>
      </c>
      <c r="E166" s="241">
        <v>12000000</v>
      </c>
      <c r="F166" s="4" t="s">
        <v>168</v>
      </c>
    </row>
    <row r="167" spans="1:6" x14ac:dyDescent="0.25">
      <c r="A167" s="6">
        <v>44713</v>
      </c>
      <c r="B167" s="11" t="s">
        <v>89</v>
      </c>
      <c r="C167" s="4" t="s">
        <v>17</v>
      </c>
      <c r="D167" s="222">
        <v>18150000</v>
      </c>
      <c r="E167" s="268">
        <v>16000000</v>
      </c>
      <c r="F167" s="4" t="s">
        <v>168</v>
      </c>
    </row>
    <row r="168" spans="1:6" x14ac:dyDescent="0.25">
      <c r="A168" s="6">
        <v>44713</v>
      </c>
      <c r="B168" s="33" t="s">
        <v>187</v>
      </c>
      <c r="C168" s="4" t="s">
        <v>17</v>
      </c>
      <c r="D168" s="266">
        <v>30350000</v>
      </c>
      <c r="E168" s="268">
        <v>16000000</v>
      </c>
      <c r="F168" s="4" t="s">
        <v>168</v>
      </c>
    </row>
    <row r="169" spans="1:6" x14ac:dyDescent="0.25">
      <c r="A169" s="6">
        <v>44713</v>
      </c>
      <c r="B169" s="34" t="s">
        <v>190</v>
      </c>
      <c r="C169" s="4" t="s">
        <v>17</v>
      </c>
      <c r="D169" s="222">
        <v>17000000</v>
      </c>
      <c r="E169" s="241">
        <v>16000000</v>
      </c>
      <c r="F169" s="4" t="s">
        <v>168</v>
      </c>
    </row>
    <row r="170" spans="1:6" x14ac:dyDescent="0.25">
      <c r="A170" s="6">
        <v>44743</v>
      </c>
      <c r="B170" s="33" t="s">
        <v>188</v>
      </c>
      <c r="C170" s="4" t="s">
        <v>4</v>
      </c>
      <c r="D170" s="241">
        <v>80120000</v>
      </c>
      <c r="E170" s="241">
        <v>50000000</v>
      </c>
      <c r="F170" s="4" t="s">
        <v>168</v>
      </c>
    </row>
    <row r="171" spans="1:6" x14ac:dyDescent="0.25">
      <c r="A171" s="6">
        <v>44743</v>
      </c>
      <c r="B171" s="11" t="s">
        <v>183</v>
      </c>
      <c r="C171" s="4" t="s">
        <v>16</v>
      </c>
      <c r="D171" s="222">
        <v>23950000</v>
      </c>
      <c r="E171" s="241">
        <v>12000000</v>
      </c>
      <c r="F171" s="4" t="s">
        <v>168</v>
      </c>
    </row>
    <row r="172" spans="1:6" x14ac:dyDescent="0.25">
      <c r="A172" s="6">
        <v>44743</v>
      </c>
      <c r="B172" s="257" t="s">
        <v>185</v>
      </c>
      <c r="C172" s="4" t="s">
        <v>16</v>
      </c>
      <c r="D172" s="222">
        <v>12700000</v>
      </c>
      <c r="E172" s="241">
        <v>12000000</v>
      </c>
      <c r="F172" s="4" t="s">
        <v>168</v>
      </c>
    </row>
    <row r="173" spans="1:6" x14ac:dyDescent="0.25">
      <c r="A173" s="6">
        <v>44743</v>
      </c>
      <c r="B173" s="257" t="s">
        <v>155</v>
      </c>
      <c r="C173" s="4" t="s">
        <v>16</v>
      </c>
      <c r="D173" s="222">
        <v>8650000</v>
      </c>
      <c r="E173" s="241">
        <v>12000000</v>
      </c>
      <c r="F173" s="4" t="s">
        <v>168</v>
      </c>
    </row>
    <row r="174" spans="1:6" x14ac:dyDescent="0.25">
      <c r="A174" s="6">
        <v>44743</v>
      </c>
      <c r="B174" s="257" t="s">
        <v>191</v>
      </c>
      <c r="C174" s="4" t="s">
        <v>16</v>
      </c>
      <c r="D174" s="222">
        <v>11550000</v>
      </c>
      <c r="E174" s="241">
        <v>12000000</v>
      </c>
      <c r="F174" s="4" t="s">
        <v>168</v>
      </c>
    </row>
    <row r="175" spans="1:6" x14ac:dyDescent="0.25">
      <c r="A175" s="6">
        <v>44743</v>
      </c>
      <c r="B175" s="257" t="s">
        <v>193</v>
      </c>
      <c r="C175" s="4" t="s">
        <v>16</v>
      </c>
      <c r="D175" s="222">
        <v>2570000</v>
      </c>
      <c r="E175" s="241">
        <v>12000000</v>
      </c>
      <c r="F175" s="4" t="s">
        <v>168</v>
      </c>
    </row>
    <row r="176" spans="1:6" x14ac:dyDescent="0.25">
      <c r="A176" s="6">
        <v>44743</v>
      </c>
      <c r="B176" s="257" t="s">
        <v>194</v>
      </c>
      <c r="C176" s="4" t="s">
        <v>16</v>
      </c>
      <c r="D176" s="222">
        <v>19500000</v>
      </c>
      <c r="E176" s="241">
        <v>12000000</v>
      </c>
      <c r="F176" s="4" t="s">
        <v>168</v>
      </c>
    </row>
    <row r="177" spans="1:6" x14ac:dyDescent="0.25">
      <c r="A177" s="6">
        <v>44743</v>
      </c>
      <c r="B177" s="11" t="s">
        <v>89</v>
      </c>
      <c r="C177" s="4" t="s">
        <v>17</v>
      </c>
      <c r="D177" s="222">
        <v>22150000</v>
      </c>
      <c r="E177" s="268">
        <v>16000000</v>
      </c>
      <c r="F177" s="4" t="s">
        <v>168</v>
      </c>
    </row>
    <row r="178" spans="1:6" x14ac:dyDescent="0.25">
      <c r="A178" s="6">
        <v>44743</v>
      </c>
      <c r="B178" s="33" t="s">
        <v>187</v>
      </c>
      <c r="C178" s="4" t="s">
        <v>17</v>
      </c>
      <c r="D178" s="266">
        <v>31100000</v>
      </c>
      <c r="E178" s="268">
        <v>16000000</v>
      </c>
      <c r="F178" s="4" t="s">
        <v>168</v>
      </c>
    </row>
    <row r="179" spans="1:6" x14ac:dyDescent="0.25">
      <c r="A179" s="6">
        <v>44743</v>
      </c>
      <c r="B179" s="34" t="s">
        <v>190</v>
      </c>
      <c r="C179" s="4" t="s">
        <v>17</v>
      </c>
      <c r="D179" s="222">
        <v>26870000</v>
      </c>
      <c r="E179" s="241">
        <v>16000000</v>
      </c>
      <c r="F179" s="4" t="s">
        <v>168</v>
      </c>
    </row>
    <row r="180" spans="1:6" x14ac:dyDescent="0.25">
      <c r="A180" s="6">
        <v>44774</v>
      </c>
      <c r="B180" s="33" t="s">
        <v>188</v>
      </c>
      <c r="C180" s="4" t="s">
        <v>4</v>
      </c>
      <c r="D180" s="173">
        <v>49250000</v>
      </c>
      <c r="E180" s="241">
        <v>50000000</v>
      </c>
      <c r="F180" s="4" t="s">
        <v>168</v>
      </c>
    </row>
    <row r="181" spans="1:6" x14ac:dyDescent="0.25">
      <c r="A181" s="6">
        <v>44774</v>
      </c>
      <c r="B181" s="11" t="s">
        <v>183</v>
      </c>
      <c r="C181" s="4" t="s">
        <v>16</v>
      </c>
      <c r="D181" s="222">
        <v>13700000</v>
      </c>
      <c r="E181" s="241">
        <v>12000000</v>
      </c>
      <c r="F181" s="4" t="s">
        <v>168</v>
      </c>
    </row>
    <row r="182" spans="1:6" x14ac:dyDescent="0.25">
      <c r="A182" s="6">
        <v>44774</v>
      </c>
      <c r="B182" s="257" t="s">
        <v>185</v>
      </c>
      <c r="C182" s="4" t="s">
        <v>16</v>
      </c>
      <c r="D182" s="222">
        <v>7550000</v>
      </c>
      <c r="E182" s="241">
        <v>12000000</v>
      </c>
      <c r="F182" s="4" t="s">
        <v>168</v>
      </c>
    </row>
    <row r="183" spans="1:6" x14ac:dyDescent="0.25">
      <c r="A183" s="6">
        <v>44774</v>
      </c>
      <c r="B183" s="257" t="s">
        <v>155</v>
      </c>
      <c r="C183" s="4" t="s">
        <v>16</v>
      </c>
      <c r="D183" s="222">
        <v>6000000</v>
      </c>
      <c r="E183" s="241">
        <v>12000000</v>
      </c>
      <c r="F183" s="4" t="s">
        <v>168</v>
      </c>
    </row>
    <row r="184" spans="1:6" x14ac:dyDescent="0.25">
      <c r="A184" s="6">
        <v>44774</v>
      </c>
      <c r="B184" s="257" t="s">
        <v>191</v>
      </c>
      <c r="C184" s="4" t="s">
        <v>16</v>
      </c>
      <c r="D184" s="222">
        <v>13650000</v>
      </c>
      <c r="E184" s="241">
        <v>12000000</v>
      </c>
      <c r="F184" s="4" t="s">
        <v>168</v>
      </c>
    </row>
    <row r="185" spans="1:6" x14ac:dyDescent="0.25">
      <c r="A185" s="6">
        <v>44774</v>
      </c>
      <c r="B185" s="257" t="s">
        <v>194</v>
      </c>
      <c r="C185" s="4" t="s">
        <v>16</v>
      </c>
      <c r="D185" s="222">
        <v>5350000</v>
      </c>
      <c r="E185" s="241">
        <v>12000000</v>
      </c>
      <c r="F185" s="4" t="s">
        <v>168</v>
      </c>
    </row>
    <row r="186" spans="1:6" x14ac:dyDescent="0.25">
      <c r="A186" s="6">
        <v>44774</v>
      </c>
      <c r="B186" s="11" t="s">
        <v>89</v>
      </c>
      <c r="C186" s="4" t="s">
        <v>17</v>
      </c>
      <c r="D186" s="222">
        <v>3500000</v>
      </c>
      <c r="E186" s="268">
        <v>16000000</v>
      </c>
      <c r="F186" s="4" t="s">
        <v>168</v>
      </c>
    </row>
    <row r="187" spans="1:6" x14ac:dyDescent="0.25">
      <c r="A187" s="6">
        <v>44774</v>
      </c>
      <c r="B187" s="33" t="s">
        <v>187</v>
      </c>
      <c r="C187" s="4" t="s">
        <v>17</v>
      </c>
      <c r="D187" s="266">
        <v>30250000</v>
      </c>
      <c r="E187" s="268">
        <v>16000000</v>
      </c>
      <c r="F187" s="4" t="s">
        <v>168</v>
      </c>
    </row>
    <row r="188" spans="1:6" x14ac:dyDescent="0.25">
      <c r="A188" s="6">
        <v>44774</v>
      </c>
      <c r="B188" s="34" t="s">
        <v>190</v>
      </c>
      <c r="C188" s="4" t="s">
        <v>17</v>
      </c>
      <c r="D188" s="222">
        <v>15500000</v>
      </c>
      <c r="E188" s="241">
        <v>16000000</v>
      </c>
      <c r="F188" s="4" t="s">
        <v>168</v>
      </c>
    </row>
    <row r="189" spans="1:6" x14ac:dyDescent="0.25">
      <c r="A189" s="294">
        <v>44805</v>
      </c>
      <c r="B189" s="33" t="s">
        <v>188</v>
      </c>
      <c r="C189" s="295" t="s">
        <v>4</v>
      </c>
      <c r="D189" s="268">
        <v>60630000</v>
      </c>
      <c r="E189" s="268">
        <v>50000000</v>
      </c>
      <c r="F189" s="295" t="s">
        <v>168</v>
      </c>
    </row>
    <row r="190" spans="1:6" x14ac:dyDescent="0.25">
      <c r="A190" s="6">
        <v>44805</v>
      </c>
      <c r="B190" s="12" t="s">
        <v>183</v>
      </c>
      <c r="C190" s="4" t="s">
        <v>16</v>
      </c>
      <c r="D190" s="177">
        <v>24400000</v>
      </c>
      <c r="E190" s="127">
        <v>12000000</v>
      </c>
      <c r="F190" s="4" t="s">
        <v>168</v>
      </c>
    </row>
    <row r="191" spans="1:6" x14ac:dyDescent="0.25">
      <c r="A191" s="6">
        <v>44805</v>
      </c>
      <c r="B191" s="12" t="s">
        <v>185</v>
      </c>
      <c r="C191" s="4" t="s">
        <v>16</v>
      </c>
      <c r="D191" s="177">
        <v>7630000</v>
      </c>
      <c r="E191" s="127">
        <v>12000000</v>
      </c>
      <c r="F191" s="4" t="s">
        <v>168</v>
      </c>
    </row>
    <row r="192" spans="1:6" x14ac:dyDescent="0.25">
      <c r="A192" s="6">
        <v>44805</v>
      </c>
      <c r="B192" s="12" t="s">
        <v>155</v>
      </c>
      <c r="C192" s="4" t="s">
        <v>16</v>
      </c>
      <c r="D192" s="177">
        <v>12500000</v>
      </c>
      <c r="E192" s="127">
        <v>12000000</v>
      </c>
      <c r="F192" s="4" t="s">
        <v>168</v>
      </c>
    </row>
    <row r="193" spans="1:6" x14ac:dyDescent="0.25">
      <c r="A193" s="6">
        <v>44805</v>
      </c>
      <c r="B193" s="12" t="s">
        <v>191</v>
      </c>
      <c r="C193" s="4" t="s">
        <v>16</v>
      </c>
      <c r="D193" s="177">
        <v>10450000</v>
      </c>
      <c r="E193" s="127">
        <v>12000000</v>
      </c>
      <c r="F193" s="4" t="s">
        <v>168</v>
      </c>
    </row>
    <row r="194" spans="1:6" x14ac:dyDescent="0.25">
      <c r="A194" s="6">
        <v>44805</v>
      </c>
      <c r="B194" s="12" t="s">
        <v>194</v>
      </c>
      <c r="C194" s="4" t="s">
        <v>16</v>
      </c>
      <c r="D194" s="177">
        <v>5650000</v>
      </c>
      <c r="E194" s="127">
        <v>12000000</v>
      </c>
      <c r="F194" s="4" t="s">
        <v>168</v>
      </c>
    </row>
    <row r="195" spans="1:6" x14ac:dyDescent="0.25">
      <c r="A195" s="6">
        <v>44805</v>
      </c>
      <c r="B195" s="12" t="s">
        <v>89</v>
      </c>
      <c r="C195" s="4" t="s">
        <v>17</v>
      </c>
      <c r="D195" s="177">
        <v>21850000</v>
      </c>
      <c r="E195" s="127">
        <v>16000000</v>
      </c>
      <c r="F195" s="4" t="s">
        <v>168</v>
      </c>
    </row>
    <row r="196" spans="1:6" x14ac:dyDescent="0.25">
      <c r="A196" s="6">
        <v>44805</v>
      </c>
      <c r="B196" s="12" t="s">
        <v>187</v>
      </c>
      <c r="C196" s="4" t="s">
        <v>17</v>
      </c>
      <c r="D196" s="177">
        <v>17230000</v>
      </c>
      <c r="E196" s="127">
        <v>16000000</v>
      </c>
      <c r="F196" s="4" t="s">
        <v>168</v>
      </c>
    </row>
    <row r="197" spans="1:6" x14ac:dyDescent="0.25">
      <c r="A197" s="6">
        <v>44805</v>
      </c>
      <c r="B197" s="261" t="s">
        <v>190</v>
      </c>
      <c r="C197" s="4" t="s">
        <v>17</v>
      </c>
      <c r="D197" s="177">
        <v>21550000</v>
      </c>
      <c r="E197" s="127">
        <v>16000000</v>
      </c>
      <c r="F197" s="4" t="s">
        <v>168</v>
      </c>
    </row>
    <row r="198" spans="1:6" x14ac:dyDescent="0.25">
      <c r="A198" s="6">
        <v>44835</v>
      </c>
      <c r="B198" s="12" t="s">
        <v>188</v>
      </c>
      <c r="C198" s="4" t="s">
        <v>4</v>
      </c>
      <c r="D198" s="241">
        <v>67350000</v>
      </c>
      <c r="E198" s="241">
        <v>50000000</v>
      </c>
      <c r="F198" s="4" t="s">
        <v>168</v>
      </c>
    </row>
    <row r="199" spans="1:6" x14ac:dyDescent="0.25">
      <c r="A199" s="6">
        <v>44835</v>
      </c>
      <c r="B199" s="12" t="s">
        <v>183</v>
      </c>
      <c r="C199" s="4" t="s">
        <v>16</v>
      </c>
      <c r="D199" s="241">
        <v>19750000</v>
      </c>
      <c r="E199" s="241">
        <v>12000000</v>
      </c>
      <c r="F199" s="4" t="s">
        <v>168</v>
      </c>
    </row>
    <row r="200" spans="1:6" x14ac:dyDescent="0.25">
      <c r="A200" s="6">
        <v>44835</v>
      </c>
      <c r="B200" s="12" t="s">
        <v>185</v>
      </c>
      <c r="C200" s="4" t="s">
        <v>16</v>
      </c>
      <c r="D200" s="241">
        <v>14000000</v>
      </c>
      <c r="E200" s="241">
        <v>12000000</v>
      </c>
      <c r="F200" s="4" t="s">
        <v>168</v>
      </c>
    </row>
    <row r="201" spans="1:6" x14ac:dyDescent="0.25">
      <c r="A201" s="6">
        <v>44835</v>
      </c>
      <c r="B201" s="12" t="s">
        <v>155</v>
      </c>
      <c r="C201" s="4" t="s">
        <v>16</v>
      </c>
      <c r="D201" s="241">
        <v>11700000</v>
      </c>
      <c r="E201" s="241">
        <v>12000000</v>
      </c>
      <c r="F201" s="4" t="s">
        <v>168</v>
      </c>
    </row>
    <row r="202" spans="1:6" x14ac:dyDescent="0.25">
      <c r="A202" s="6">
        <v>44835</v>
      </c>
      <c r="B202" s="12" t="s">
        <v>191</v>
      </c>
      <c r="C202" s="4" t="s">
        <v>16</v>
      </c>
      <c r="D202" s="241">
        <v>9400000</v>
      </c>
      <c r="E202" s="241">
        <v>12000000</v>
      </c>
      <c r="F202" s="4" t="s">
        <v>168</v>
      </c>
    </row>
    <row r="203" spans="1:6" x14ac:dyDescent="0.25">
      <c r="A203" s="6">
        <v>44835</v>
      </c>
      <c r="B203" s="12" t="s">
        <v>193</v>
      </c>
      <c r="C203" s="4" t="s">
        <v>16</v>
      </c>
      <c r="D203" s="241">
        <v>1050000</v>
      </c>
      <c r="E203" s="241">
        <v>12000000</v>
      </c>
      <c r="F203" s="4" t="s">
        <v>168</v>
      </c>
    </row>
    <row r="204" spans="1:6" x14ac:dyDescent="0.25">
      <c r="A204" s="6">
        <v>44835</v>
      </c>
      <c r="B204" s="12" t="s">
        <v>194</v>
      </c>
      <c r="C204" s="4" t="s">
        <v>16</v>
      </c>
      <c r="D204" s="241">
        <v>11450000</v>
      </c>
      <c r="E204" s="241">
        <v>12000000</v>
      </c>
      <c r="F204" s="4" t="s">
        <v>168</v>
      </c>
    </row>
    <row r="205" spans="1:6" x14ac:dyDescent="0.25">
      <c r="A205" s="6">
        <v>44835</v>
      </c>
      <c r="B205" s="12" t="s">
        <v>89</v>
      </c>
      <c r="C205" s="4" t="s">
        <v>17</v>
      </c>
      <c r="D205" s="241">
        <v>26950000</v>
      </c>
      <c r="E205" s="268">
        <v>16000000</v>
      </c>
      <c r="F205" s="4" t="s">
        <v>168</v>
      </c>
    </row>
    <row r="206" spans="1:6" x14ac:dyDescent="0.25">
      <c r="A206" s="6">
        <v>44835</v>
      </c>
      <c r="B206" s="12" t="s">
        <v>187</v>
      </c>
      <c r="C206" s="4" t="s">
        <v>17</v>
      </c>
      <c r="D206" s="268">
        <v>16650000</v>
      </c>
      <c r="E206" s="268">
        <v>16000000</v>
      </c>
      <c r="F206" s="4" t="s">
        <v>168</v>
      </c>
    </row>
    <row r="207" spans="1:6" x14ac:dyDescent="0.25">
      <c r="A207" s="6">
        <v>44835</v>
      </c>
      <c r="B207" s="261" t="s">
        <v>190</v>
      </c>
      <c r="C207" s="4" t="s">
        <v>17</v>
      </c>
      <c r="D207" s="241">
        <v>22650000</v>
      </c>
      <c r="E207" s="241">
        <v>16000000</v>
      </c>
      <c r="F207" s="4" t="s">
        <v>168</v>
      </c>
    </row>
    <row r="208" spans="1:6" x14ac:dyDescent="0.25">
      <c r="A208" s="296"/>
      <c r="B208" s="296"/>
      <c r="C208" s="296"/>
      <c r="D208" s="296"/>
      <c r="E208" s="296"/>
      <c r="F208" s="296"/>
    </row>
    <row r="209" spans="1:6" x14ac:dyDescent="0.25">
      <c r="A209" s="296"/>
      <c r="B209" s="296"/>
      <c r="C209" s="296"/>
      <c r="D209" s="296"/>
      <c r="E209" s="296"/>
      <c r="F209" s="296"/>
    </row>
    <row r="210" spans="1:6" x14ac:dyDescent="0.25">
      <c r="A210" s="296"/>
      <c r="B210" s="296"/>
      <c r="C210" s="296"/>
      <c r="D210" s="296"/>
      <c r="E210" s="296"/>
      <c r="F210" s="296"/>
    </row>
    <row r="211" spans="1:6" x14ac:dyDescent="0.25">
      <c r="A211" s="296"/>
      <c r="B211" s="296"/>
      <c r="C211" s="296"/>
      <c r="D211" s="296"/>
      <c r="E211" s="296"/>
      <c r="F211" s="296"/>
    </row>
    <row r="212" spans="1:6" x14ac:dyDescent="0.25">
      <c r="A212" s="296"/>
      <c r="B212" s="296"/>
      <c r="C212" s="296"/>
      <c r="D212" s="296"/>
      <c r="E212" s="296"/>
      <c r="F212" s="296"/>
    </row>
    <row r="213" spans="1:6" x14ac:dyDescent="0.25">
      <c r="A213" s="296"/>
      <c r="B213" s="296"/>
      <c r="C213" s="296"/>
      <c r="D213" s="296"/>
      <c r="E213" s="296"/>
      <c r="F213" s="296"/>
    </row>
    <row r="214" spans="1:6" x14ac:dyDescent="0.25">
      <c r="A214" s="296"/>
      <c r="B214" s="296"/>
      <c r="C214" s="296"/>
      <c r="D214" s="296"/>
      <c r="E214" s="296"/>
      <c r="F214" s="296"/>
    </row>
    <row r="215" spans="1:6" x14ac:dyDescent="0.25">
      <c r="A215" s="296"/>
      <c r="B215" s="296"/>
      <c r="C215" s="296"/>
      <c r="D215" s="296"/>
      <c r="E215" s="296"/>
      <c r="F215" s="296"/>
    </row>
    <row r="216" spans="1:6" x14ac:dyDescent="0.25">
      <c r="A216" s="296"/>
      <c r="B216" s="296"/>
      <c r="C216" s="296"/>
      <c r="D216" s="296"/>
      <c r="E216" s="296"/>
      <c r="F216" s="296"/>
    </row>
    <row r="217" spans="1:6" x14ac:dyDescent="0.25">
      <c r="A217" s="296"/>
      <c r="B217" s="296"/>
      <c r="C217" s="296"/>
      <c r="D217" s="296"/>
      <c r="E217" s="296"/>
      <c r="F217" s="296"/>
    </row>
    <row r="218" spans="1:6" x14ac:dyDescent="0.25">
      <c r="A218" s="296"/>
      <c r="B218" s="296"/>
      <c r="C218" s="296"/>
      <c r="D218" s="296"/>
      <c r="E218" s="296"/>
      <c r="F218" s="296"/>
    </row>
    <row r="219" spans="1:6" x14ac:dyDescent="0.25">
      <c r="A219" s="296"/>
      <c r="B219" s="296"/>
      <c r="C219" s="296"/>
      <c r="D219" s="296"/>
      <c r="E219" s="296"/>
      <c r="F219" s="296"/>
    </row>
    <row r="220" spans="1:6" x14ac:dyDescent="0.25">
      <c r="A220" s="296"/>
      <c r="B220" s="296"/>
      <c r="C220" s="296"/>
      <c r="D220" s="296"/>
      <c r="E220" s="296"/>
      <c r="F220" s="296"/>
    </row>
    <row r="221" spans="1:6" x14ac:dyDescent="0.25">
      <c r="A221" s="296"/>
      <c r="B221" s="296"/>
      <c r="C221" s="296"/>
      <c r="D221" s="296"/>
      <c r="E221" s="296"/>
      <c r="F221" s="296"/>
    </row>
    <row r="222" spans="1:6" x14ac:dyDescent="0.25">
      <c r="A222" s="296"/>
      <c r="B222" s="296"/>
      <c r="C222" s="296"/>
      <c r="D222" s="296"/>
      <c r="E222" s="296"/>
      <c r="F222" s="296"/>
    </row>
    <row r="223" spans="1:6" x14ac:dyDescent="0.25">
      <c r="A223" s="296"/>
      <c r="B223" s="296"/>
      <c r="C223" s="296"/>
      <c r="D223" s="296"/>
      <c r="E223" s="296"/>
      <c r="F223" s="296"/>
    </row>
    <row r="224" spans="1:6" x14ac:dyDescent="0.25">
      <c r="A224" s="296"/>
      <c r="B224" s="296"/>
      <c r="C224" s="296"/>
      <c r="D224" s="296"/>
      <c r="E224" s="296"/>
      <c r="F224" s="296"/>
    </row>
    <row r="225" spans="1:6" x14ac:dyDescent="0.25">
      <c r="A225" s="296"/>
      <c r="B225" s="296"/>
      <c r="C225" s="296"/>
      <c r="D225" s="296"/>
      <c r="E225" s="296"/>
      <c r="F225" s="296"/>
    </row>
    <row r="226" spans="1:6" x14ac:dyDescent="0.25">
      <c r="A226" s="296"/>
      <c r="B226" s="296"/>
      <c r="C226" s="296"/>
      <c r="D226" s="296"/>
      <c r="E226" s="296"/>
      <c r="F226" s="296"/>
    </row>
    <row r="227" spans="1:6" x14ac:dyDescent="0.25">
      <c r="A227" s="296"/>
      <c r="B227" s="296"/>
      <c r="C227" s="296"/>
      <c r="D227" s="296"/>
      <c r="E227" s="296"/>
      <c r="F227" s="296"/>
    </row>
    <row r="228" spans="1:6" x14ac:dyDescent="0.25">
      <c r="A228" s="296"/>
      <c r="B228" s="296"/>
      <c r="C228" s="296"/>
      <c r="D228" s="296"/>
      <c r="E228" s="296"/>
      <c r="F228" s="296"/>
    </row>
    <row r="229" spans="1:6" x14ac:dyDescent="0.25">
      <c r="A229" s="296"/>
      <c r="B229" s="296"/>
      <c r="C229" s="296"/>
      <c r="D229" s="296"/>
      <c r="E229" s="296"/>
      <c r="F229" s="296"/>
    </row>
    <row r="230" spans="1:6" x14ac:dyDescent="0.25">
      <c r="A230" s="296"/>
      <c r="B230" s="296"/>
      <c r="C230" s="296"/>
      <c r="D230" s="296"/>
      <c r="E230" s="296"/>
      <c r="F230" s="296"/>
    </row>
    <row r="231" spans="1:6" x14ac:dyDescent="0.25">
      <c r="A231" s="296"/>
      <c r="B231" s="296"/>
      <c r="C231" s="296"/>
      <c r="D231" s="296"/>
      <c r="E231" s="296"/>
      <c r="F231" s="296"/>
    </row>
    <row r="232" spans="1:6" x14ac:dyDescent="0.25">
      <c r="A232" s="296"/>
      <c r="B232" s="296"/>
      <c r="C232" s="296"/>
      <c r="D232" s="296"/>
      <c r="E232" s="296"/>
      <c r="F232" s="296"/>
    </row>
    <row r="233" spans="1:6" x14ac:dyDescent="0.25">
      <c r="A233" s="296"/>
      <c r="B233" s="296"/>
      <c r="C233" s="296"/>
      <c r="D233" s="296"/>
      <c r="E233" s="296"/>
      <c r="F233" s="296"/>
    </row>
    <row r="234" spans="1:6" x14ac:dyDescent="0.25">
      <c r="A234" s="296"/>
      <c r="B234" s="296"/>
      <c r="C234" s="296"/>
      <c r="D234" s="296"/>
      <c r="E234" s="296"/>
      <c r="F234" s="296"/>
    </row>
    <row r="235" spans="1:6" x14ac:dyDescent="0.25">
      <c r="A235" s="296"/>
      <c r="B235" s="296"/>
      <c r="C235" s="296"/>
      <c r="D235" s="296"/>
      <c r="E235" s="296"/>
      <c r="F235" s="296"/>
    </row>
    <row r="236" spans="1:6" x14ac:dyDescent="0.25">
      <c r="A236" s="296"/>
      <c r="B236" s="296"/>
      <c r="C236" s="296"/>
      <c r="D236" s="296"/>
      <c r="E236" s="296"/>
      <c r="F236" s="296"/>
    </row>
    <row r="237" spans="1:6" x14ac:dyDescent="0.25">
      <c r="A237" s="296"/>
      <c r="B237" s="296"/>
      <c r="C237" s="296"/>
      <c r="D237" s="296"/>
      <c r="E237" s="296"/>
      <c r="F237" s="296"/>
    </row>
    <row r="238" spans="1:6" x14ac:dyDescent="0.25">
      <c r="A238" s="296"/>
      <c r="B238" s="296"/>
      <c r="C238" s="296"/>
      <c r="D238" s="296"/>
      <c r="E238" s="296"/>
      <c r="F238" s="296"/>
    </row>
    <row r="239" spans="1:6" x14ac:dyDescent="0.25">
      <c r="A239" s="296"/>
      <c r="B239" s="296"/>
      <c r="C239" s="296"/>
      <c r="D239" s="296"/>
      <c r="E239" s="296"/>
      <c r="F239" s="296"/>
    </row>
    <row r="240" spans="1:6" x14ac:dyDescent="0.25">
      <c r="A240" s="296"/>
      <c r="B240" s="296"/>
      <c r="C240" s="296"/>
      <c r="D240" s="296"/>
      <c r="E240" s="296"/>
      <c r="F240" s="296"/>
    </row>
    <row r="241" spans="1:6" x14ac:dyDescent="0.25">
      <c r="A241" s="296"/>
      <c r="B241" s="296"/>
      <c r="C241" s="296"/>
      <c r="D241" s="296"/>
      <c r="E241" s="296"/>
      <c r="F241" s="296"/>
    </row>
    <row r="242" spans="1:6" x14ac:dyDescent="0.25">
      <c r="A242" s="296"/>
      <c r="B242" s="296"/>
      <c r="C242" s="296"/>
      <c r="D242" s="296"/>
      <c r="E242" s="296"/>
      <c r="F242" s="296"/>
    </row>
    <row r="243" spans="1:6" x14ac:dyDescent="0.25">
      <c r="A243" s="296"/>
      <c r="B243" s="296"/>
      <c r="C243" s="296"/>
      <c r="D243" s="296"/>
      <c r="E243" s="296"/>
      <c r="F243" s="296"/>
    </row>
    <row r="244" spans="1:6" x14ac:dyDescent="0.25">
      <c r="A244" s="296"/>
      <c r="B244" s="296"/>
      <c r="C244" s="296"/>
      <c r="D244" s="296"/>
      <c r="E244" s="296"/>
      <c r="F244" s="296"/>
    </row>
    <row r="245" spans="1:6" x14ac:dyDescent="0.25">
      <c r="A245" s="296"/>
      <c r="B245" s="296"/>
      <c r="C245" s="296"/>
      <c r="D245" s="296"/>
      <c r="E245" s="296"/>
      <c r="F245" s="296"/>
    </row>
    <row r="246" spans="1:6" x14ac:dyDescent="0.25">
      <c r="A246" s="296"/>
      <c r="B246" s="296"/>
      <c r="C246" s="296"/>
      <c r="D246" s="296"/>
      <c r="E246" s="296"/>
      <c r="F246" s="296"/>
    </row>
    <row r="247" spans="1:6" x14ac:dyDescent="0.25">
      <c r="A247" s="296"/>
      <c r="B247" s="296"/>
      <c r="C247" s="296"/>
      <c r="D247" s="296"/>
      <c r="E247" s="296"/>
      <c r="F247" s="296"/>
    </row>
    <row r="248" spans="1:6" x14ac:dyDescent="0.25">
      <c r="A248" s="296"/>
      <c r="B248" s="296"/>
      <c r="C248" s="296"/>
      <c r="D248" s="296"/>
      <c r="E248" s="296"/>
      <c r="F248" s="296"/>
    </row>
    <row r="249" spans="1:6" x14ac:dyDescent="0.25">
      <c r="A249" s="296"/>
      <c r="B249" s="296"/>
      <c r="C249" s="296"/>
      <c r="D249" s="296"/>
      <c r="E249" s="296"/>
      <c r="F249" s="296"/>
    </row>
    <row r="250" spans="1:6" x14ac:dyDescent="0.25">
      <c r="A250" s="296"/>
      <c r="B250" s="296"/>
      <c r="C250" s="296"/>
      <c r="D250" s="296"/>
      <c r="E250" s="296"/>
      <c r="F250" s="296"/>
    </row>
    <row r="251" spans="1:6" x14ac:dyDescent="0.25">
      <c r="A251" s="296"/>
      <c r="B251" s="296"/>
      <c r="C251" s="296"/>
      <c r="D251" s="296"/>
      <c r="E251" s="296"/>
      <c r="F251" s="296"/>
    </row>
    <row r="252" spans="1:6" x14ac:dyDescent="0.25">
      <c r="A252" s="296"/>
      <c r="B252" s="296"/>
      <c r="C252" s="296"/>
      <c r="D252" s="296"/>
      <c r="E252" s="296"/>
      <c r="F252" s="296"/>
    </row>
    <row r="253" spans="1:6" x14ac:dyDescent="0.25">
      <c r="A253" s="296"/>
      <c r="B253" s="296"/>
      <c r="C253" s="296"/>
      <c r="D253" s="296"/>
      <c r="E253" s="296"/>
      <c r="F253" s="296"/>
    </row>
    <row r="254" spans="1:6" x14ac:dyDescent="0.25">
      <c r="A254" s="296"/>
      <c r="B254" s="296"/>
      <c r="C254" s="296"/>
      <c r="D254" s="296"/>
      <c r="E254" s="296"/>
      <c r="F254" s="296"/>
    </row>
    <row r="255" spans="1:6" x14ac:dyDescent="0.25">
      <c r="A255" s="296"/>
      <c r="B255" s="296"/>
      <c r="C255" s="296"/>
      <c r="D255" s="296"/>
      <c r="E255" s="296"/>
      <c r="F255" s="296"/>
    </row>
    <row r="256" spans="1:6" x14ac:dyDescent="0.25">
      <c r="A256" s="296"/>
      <c r="B256" s="296"/>
      <c r="C256" s="296"/>
      <c r="D256" s="296"/>
      <c r="E256" s="296"/>
      <c r="F256" s="296"/>
    </row>
    <row r="257" spans="1:6" x14ac:dyDescent="0.25">
      <c r="A257" s="296"/>
      <c r="B257" s="296"/>
      <c r="C257" s="296"/>
      <c r="D257" s="296"/>
      <c r="E257" s="296"/>
      <c r="F257" s="296"/>
    </row>
    <row r="258" spans="1:6" x14ac:dyDescent="0.25">
      <c r="A258" s="296"/>
      <c r="B258" s="296"/>
      <c r="C258" s="296"/>
      <c r="D258" s="296"/>
      <c r="E258" s="296"/>
      <c r="F258" s="296"/>
    </row>
    <row r="259" spans="1:6" x14ac:dyDescent="0.25">
      <c r="A259" s="296"/>
      <c r="B259" s="296"/>
      <c r="C259" s="296"/>
      <c r="D259" s="296"/>
      <c r="E259" s="296"/>
      <c r="F259" s="296"/>
    </row>
    <row r="260" spans="1:6" x14ac:dyDescent="0.25">
      <c r="A260" s="296"/>
      <c r="B260" s="296"/>
      <c r="C260" s="296"/>
      <c r="D260" s="296"/>
      <c r="E260" s="296"/>
      <c r="F260" s="296"/>
    </row>
    <row r="261" spans="1:6" x14ac:dyDescent="0.25">
      <c r="A261" s="296"/>
      <c r="B261" s="296"/>
      <c r="C261" s="296"/>
      <c r="D261" s="296"/>
      <c r="E261" s="296"/>
      <c r="F261" s="296"/>
    </row>
    <row r="262" spans="1:6" x14ac:dyDescent="0.25">
      <c r="A262" s="296"/>
      <c r="B262" s="296"/>
      <c r="C262" s="296"/>
      <c r="D262" s="296"/>
      <c r="E262" s="296"/>
      <c r="F262" s="296"/>
    </row>
    <row r="263" spans="1:6" x14ac:dyDescent="0.25">
      <c r="A263" s="296"/>
      <c r="B263" s="296"/>
      <c r="C263" s="296"/>
      <c r="D263" s="296"/>
      <c r="E263" s="296"/>
      <c r="F263" s="296"/>
    </row>
    <row r="264" spans="1:6" x14ac:dyDescent="0.25">
      <c r="A264" s="296"/>
      <c r="B264" s="296"/>
      <c r="C264" s="296"/>
      <c r="D264" s="296"/>
      <c r="E264" s="296"/>
      <c r="F264" s="296"/>
    </row>
    <row r="265" spans="1:6" x14ac:dyDescent="0.25">
      <c r="A265" s="296"/>
      <c r="B265" s="296"/>
      <c r="C265" s="296"/>
      <c r="D265" s="296"/>
      <c r="E265" s="296"/>
      <c r="F265" s="296"/>
    </row>
    <row r="266" spans="1:6" x14ac:dyDescent="0.25">
      <c r="A266" s="296"/>
      <c r="B266" s="296"/>
      <c r="C266" s="296"/>
      <c r="D266" s="296"/>
      <c r="E266" s="296"/>
      <c r="F266" s="296"/>
    </row>
    <row r="267" spans="1:6" x14ac:dyDescent="0.25">
      <c r="A267" s="296"/>
      <c r="B267" s="296"/>
      <c r="C267" s="296"/>
      <c r="D267" s="296"/>
      <c r="E267" s="296"/>
      <c r="F267" s="296"/>
    </row>
    <row r="268" spans="1:6" x14ac:dyDescent="0.25">
      <c r="A268" s="296"/>
      <c r="B268" s="296"/>
      <c r="C268" s="296"/>
      <c r="D268" s="296"/>
      <c r="E268" s="296"/>
      <c r="F268" s="296"/>
    </row>
    <row r="269" spans="1:6" x14ac:dyDescent="0.25">
      <c r="A269" s="296"/>
      <c r="B269" s="296"/>
      <c r="C269" s="296"/>
      <c r="D269" s="296"/>
      <c r="E269" s="296"/>
      <c r="F269" s="296"/>
    </row>
    <row r="270" spans="1:6" x14ac:dyDescent="0.25">
      <c r="A270" s="296"/>
      <c r="B270" s="296"/>
      <c r="C270" s="296"/>
      <c r="D270" s="296"/>
      <c r="E270" s="296"/>
      <c r="F270" s="296"/>
    </row>
    <row r="271" spans="1:6" x14ac:dyDescent="0.25">
      <c r="A271" s="296"/>
      <c r="B271" s="296"/>
      <c r="C271" s="296"/>
      <c r="D271" s="296"/>
      <c r="E271" s="296"/>
      <c r="F271" s="296"/>
    </row>
    <row r="272" spans="1:6" x14ac:dyDescent="0.25">
      <c r="A272" s="296"/>
      <c r="B272" s="296"/>
      <c r="C272" s="296"/>
      <c r="D272" s="296"/>
      <c r="E272" s="296"/>
      <c r="F272" s="296"/>
    </row>
    <row r="273" spans="1:6" x14ac:dyDescent="0.25">
      <c r="A273" s="296"/>
      <c r="B273" s="296"/>
      <c r="C273" s="296"/>
      <c r="D273" s="296"/>
      <c r="E273" s="296"/>
      <c r="F273" s="296"/>
    </row>
    <row r="274" spans="1:6" x14ac:dyDescent="0.25">
      <c r="A274" s="296"/>
      <c r="B274" s="296"/>
      <c r="C274" s="296"/>
      <c r="D274" s="296"/>
      <c r="E274" s="296"/>
      <c r="F274" s="296"/>
    </row>
    <row r="275" spans="1:6" x14ac:dyDescent="0.25">
      <c r="A275" s="296"/>
      <c r="B275" s="296"/>
      <c r="C275" s="296"/>
      <c r="D275" s="296"/>
      <c r="E275" s="296"/>
      <c r="F275" s="296"/>
    </row>
    <row r="276" spans="1:6" x14ac:dyDescent="0.25">
      <c r="A276" s="296"/>
      <c r="B276" s="296"/>
      <c r="C276" s="296"/>
      <c r="D276" s="296"/>
      <c r="E276" s="296"/>
      <c r="F276" s="296"/>
    </row>
    <row r="277" spans="1:6" x14ac:dyDescent="0.25">
      <c r="A277" s="296"/>
      <c r="B277" s="296"/>
      <c r="C277" s="296"/>
      <c r="D277" s="296"/>
      <c r="E277" s="296"/>
      <c r="F277" s="296"/>
    </row>
    <row r="278" spans="1:6" x14ac:dyDescent="0.25">
      <c r="A278" s="296"/>
      <c r="B278" s="296"/>
      <c r="C278" s="296"/>
      <c r="D278" s="296"/>
      <c r="E278" s="296"/>
      <c r="F278" s="296"/>
    </row>
    <row r="279" spans="1:6" x14ac:dyDescent="0.25">
      <c r="A279" s="296"/>
      <c r="B279" s="296"/>
      <c r="C279" s="296"/>
      <c r="D279" s="296"/>
      <c r="E279" s="296"/>
      <c r="F279" s="296"/>
    </row>
    <row r="280" spans="1:6" x14ac:dyDescent="0.25">
      <c r="A280" s="296"/>
      <c r="B280" s="296"/>
      <c r="C280" s="296"/>
      <c r="D280" s="296"/>
      <c r="E280" s="296"/>
      <c r="F280" s="296"/>
    </row>
    <row r="281" spans="1:6" x14ac:dyDescent="0.25">
      <c r="A281" s="296"/>
      <c r="B281" s="296"/>
      <c r="C281" s="296"/>
      <c r="D281" s="296"/>
      <c r="E281" s="296"/>
      <c r="F281" s="296"/>
    </row>
    <row r="282" spans="1:6" x14ac:dyDescent="0.25">
      <c r="A282" s="296"/>
      <c r="B282" s="296"/>
      <c r="C282" s="296"/>
      <c r="D282" s="296"/>
      <c r="E282" s="296"/>
      <c r="F282" s="296"/>
    </row>
    <row r="283" spans="1:6" x14ac:dyDescent="0.25">
      <c r="A283" s="296"/>
      <c r="B283" s="296"/>
      <c r="C283" s="296"/>
      <c r="D283" s="296"/>
      <c r="E283" s="296"/>
      <c r="F283" s="296"/>
    </row>
    <row r="284" spans="1:6" x14ac:dyDescent="0.25">
      <c r="A284" s="296"/>
      <c r="B284" s="296"/>
      <c r="C284" s="296"/>
      <c r="D284" s="296"/>
      <c r="E284" s="296"/>
      <c r="F284" s="296"/>
    </row>
    <row r="285" spans="1:6" x14ac:dyDescent="0.25">
      <c r="A285" s="296"/>
      <c r="B285" s="296"/>
      <c r="C285" s="296"/>
      <c r="D285" s="296"/>
      <c r="E285" s="296"/>
      <c r="F285" s="296"/>
    </row>
    <row r="286" spans="1:6" x14ac:dyDescent="0.25">
      <c r="A286" s="296"/>
      <c r="B286" s="296"/>
      <c r="C286" s="296"/>
      <c r="D286" s="296"/>
      <c r="E286" s="296"/>
      <c r="F286" s="296"/>
    </row>
    <row r="287" spans="1:6" x14ac:dyDescent="0.25">
      <c r="A287" s="296"/>
      <c r="B287" s="296"/>
      <c r="C287" s="296"/>
      <c r="D287" s="296"/>
      <c r="E287" s="296"/>
      <c r="F287" s="296"/>
    </row>
    <row r="288" spans="1:6" x14ac:dyDescent="0.25">
      <c r="A288" s="296"/>
      <c r="B288" s="296"/>
      <c r="C288" s="296"/>
      <c r="D288" s="296"/>
      <c r="E288" s="296"/>
      <c r="F288" s="296"/>
    </row>
    <row r="289" spans="1:6" x14ac:dyDescent="0.25">
      <c r="A289" s="296"/>
      <c r="B289" s="296"/>
      <c r="C289" s="296"/>
      <c r="D289" s="296"/>
      <c r="E289" s="296"/>
      <c r="F289" s="296"/>
    </row>
    <row r="290" spans="1:6" x14ac:dyDescent="0.25">
      <c r="A290" s="296"/>
      <c r="B290" s="296"/>
      <c r="C290" s="296"/>
      <c r="D290" s="296"/>
      <c r="E290" s="296"/>
      <c r="F290" s="296"/>
    </row>
    <row r="291" spans="1:6" x14ac:dyDescent="0.25">
      <c r="A291" s="296"/>
      <c r="B291" s="296"/>
      <c r="C291" s="296"/>
      <c r="D291" s="296"/>
      <c r="E291" s="296"/>
      <c r="F291" s="296"/>
    </row>
    <row r="292" spans="1:6" x14ac:dyDescent="0.25">
      <c r="A292" s="296"/>
      <c r="B292" s="296"/>
      <c r="C292" s="296"/>
      <c r="D292" s="296"/>
      <c r="E292" s="296"/>
      <c r="F292" s="296"/>
    </row>
    <row r="293" spans="1:6" x14ac:dyDescent="0.25">
      <c r="A293" s="296"/>
      <c r="B293" s="296"/>
      <c r="C293" s="296"/>
      <c r="D293" s="296"/>
      <c r="E293" s="296"/>
      <c r="F293" s="296"/>
    </row>
    <row r="294" spans="1:6" x14ac:dyDescent="0.25">
      <c r="A294" s="296"/>
      <c r="B294" s="296"/>
      <c r="C294" s="296"/>
      <c r="D294" s="296"/>
      <c r="E294" s="296"/>
      <c r="F294" s="296"/>
    </row>
    <row r="295" spans="1:6" x14ac:dyDescent="0.25">
      <c r="A295" s="296"/>
      <c r="B295" s="296"/>
      <c r="C295" s="296"/>
      <c r="D295" s="296"/>
      <c r="E295" s="296"/>
      <c r="F295" s="296"/>
    </row>
    <row r="296" spans="1:6" x14ac:dyDescent="0.25">
      <c r="A296" s="296"/>
      <c r="B296" s="296"/>
      <c r="C296" s="296"/>
      <c r="D296" s="296"/>
      <c r="E296" s="296"/>
      <c r="F296" s="296"/>
    </row>
    <row r="297" spans="1:6" x14ac:dyDescent="0.25">
      <c r="A297" s="296"/>
      <c r="B297" s="296"/>
      <c r="C297" s="296"/>
      <c r="D297" s="296"/>
      <c r="E297" s="296"/>
      <c r="F297" s="296"/>
    </row>
    <row r="298" spans="1:6" x14ac:dyDescent="0.25">
      <c r="A298" s="296"/>
      <c r="B298" s="296"/>
      <c r="C298" s="296"/>
      <c r="D298" s="296"/>
      <c r="E298" s="296"/>
      <c r="F298" s="296"/>
    </row>
    <row r="299" spans="1:6" x14ac:dyDescent="0.25">
      <c r="A299" s="296"/>
      <c r="B299" s="296"/>
      <c r="C299" s="296"/>
      <c r="D299" s="296"/>
      <c r="E299" s="296"/>
      <c r="F299" s="296"/>
    </row>
    <row r="300" spans="1:6" x14ac:dyDescent="0.25">
      <c r="A300" s="296"/>
      <c r="B300" s="296"/>
      <c r="C300" s="296"/>
      <c r="D300" s="296"/>
      <c r="E300" s="296"/>
      <c r="F300" s="296"/>
    </row>
    <row r="301" spans="1:6" x14ac:dyDescent="0.25">
      <c r="A301" s="296"/>
      <c r="B301" s="296"/>
      <c r="C301" s="296"/>
      <c r="D301" s="296"/>
      <c r="E301" s="296"/>
      <c r="F301" s="296"/>
    </row>
    <row r="302" spans="1:6" x14ac:dyDescent="0.25">
      <c r="A302" s="296"/>
      <c r="B302" s="296"/>
      <c r="C302" s="296"/>
      <c r="D302" s="296"/>
      <c r="E302" s="296"/>
      <c r="F302" s="296"/>
    </row>
    <row r="303" spans="1:6" x14ac:dyDescent="0.25">
      <c r="A303" s="296"/>
      <c r="B303" s="296"/>
      <c r="C303" s="296"/>
      <c r="D303" s="296"/>
      <c r="E303" s="296"/>
      <c r="F303" s="296"/>
    </row>
    <row r="304" spans="1:6" x14ac:dyDescent="0.25">
      <c r="A304" s="296"/>
      <c r="B304" s="296"/>
      <c r="C304" s="296"/>
      <c r="D304" s="296"/>
      <c r="E304" s="296"/>
      <c r="F304" s="296"/>
    </row>
    <row r="305" spans="1:6" x14ac:dyDescent="0.25">
      <c r="A305" s="296"/>
      <c r="B305" s="296"/>
      <c r="C305" s="296"/>
      <c r="D305" s="296"/>
      <c r="E305" s="296"/>
      <c r="F305" s="296"/>
    </row>
    <row r="306" spans="1:6" x14ac:dyDescent="0.25">
      <c r="A306" s="296"/>
      <c r="B306" s="296"/>
      <c r="C306" s="296"/>
      <c r="D306" s="296"/>
      <c r="E306" s="296"/>
      <c r="F306" s="296"/>
    </row>
    <row r="307" spans="1:6" x14ac:dyDescent="0.25">
      <c r="A307" s="296"/>
      <c r="B307" s="296"/>
      <c r="C307" s="296"/>
      <c r="D307" s="296"/>
      <c r="E307" s="296"/>
      <c r="F307" s="296"/>
    </row>
    <row r="308" spans="1:6" x14ac:dyDescent="0.25">
      <c r="A308" s="296"/>
      <c r="B308" s="296"/>
      <c r="C308" s="296"/>
      <c r="D308" s="296"/>
      <c r="E308" s="296"/>
      <c r="F308" s="296"/>
    </row>
    <row r="309" spans="1:6" x14ac:dyDescent="0.25">
      <c r="A309" s="296"/>
      <c r="B309" s="296"/>
      <c r="C309" s="296"/>
      <c r="D309" s="296"/>
      <c r="E309" s="296"/>
      <c r="F309" s="296"/>
    </row>
    <row r="310" spans="1:6" x14ac:dyDescent="0.25">
      <c r="A310" s="296"/>
      <c r="B310" s="296"/>
      <c r="C310" s="296"/>
      <c r="D310" s="296"/>
      <c r="E310" s="296"/>
      <c r="F310" s="296"/>
    </row>
    <row r="311" spans="1:6" x14ac:dyDescent="0.25">
      <c r="A311" s="296"/>
      <c r="B311" s="296"/>
      <c r="C311" s="296"/>
      <c r="D311" s="296"/>
      <c r="E311" s="296"/>
      <c r="F311" s="296"/>
    </row>
    <row r="312" spans="1:6" x14ac:dyDescent="0.25">
      <c r="A312" s="296"/>
      <c r="B312" s="296"/>
      <c r="C312" s="296"/>
      <c r="D312" s="296"/>
      <c r="E312" s="296"/>
      <c r="F312" s="296"/>
    </row>
    <row r="313" spans="1:6" x14ac:dyDescent="0.25">
      <c r="A313" s="296"/>
      <c r="B313" s="296"/>
      <c r="C313" s="296"/>
      <c r="D313" s="296"/>
      <c r="E313" s="296"/>
      <c r="F313" s="296"/>
    </row>
    <row r="314" spans="1:6" x14ac:dyDescent="0.25">
      <c r="A314" s="296"/>
      <c r="B314" s="296"/>
      <c r="C314" s="296"/>
      <c r="D314" s="296"/>
      <c r="E314" s="296"/>
      <c r="F314" s="296"/>
    </row>
    <row r="315" spans="1:6" x14ac:dyDescent="0.25">
      <c r="A315" s="296"/>
      <c r="B315" s="296"/>
      <c r="C315" s="296"/>
      <c r="D315" s="296"/>
      <c r="E315" s="296"/>
      <c r="F315" s="296"/>
    </row>
    <row r="316" spans="1:6" x14ac:dyDescent="0.25">
      <c r="A316" s="296"/>
      <c r="B316" s="296"/>
      <c r="C316" s="296"/>
      <c r="D316" s="296"/>
      <c r="E316" s="296"/>
      <c r="F316" s="296"/>
    </row>
    <row r="317" spans="1:6" x14ac:dyDescent="0.25">
      <c r="A317" s="296"/>
      <c r="B317" s="296"/>
      <c r="C317" s="296"/>
      <c r="D317" s="296"/>
      <c r="E317" s="296"/>
      <c r="F317" s="296"/>
    </row>
    <row r="318" spans="1:6" x14ac:dyDescent="0.25">
      <c r="A318" s="296"/>
      <c r="B318" s="296"/>
      <c r="C318" s="296"/>
      <c r="D318" s="296"/>
      <c r="E318" s="296"/>
      <c r="F318" s="296"/>
    </row>
    <row r="319" spans="1:6" x14ac:dyDescent="0.25">
      <c r="A319" s="296"/>
      <c r="B319" s="296"/>
      <c r="C319" s="296"/>
      <c r="D319" s="296"/>
      <c r="E319" s="296"/>
      <c r="F319" s="296"/>
    </row>
    <row r="320" spans="1:6" x14ac:dyDescent="0.25">
      <c r="A320" s="296"/>
      <c r="B320" s="296"/>
      <c r="C320" s="296"/>
      <c r="D320" s="296"/>
      <c r="E320" s="296"/>
      <c r="F320" s="296"/>
    </row>
    <row r="321" spans="1:6" x14ac:dyDescent="0.25">
      <c r="A321" s="296"/>
      <c r="B321" s="296"/>
      <c r="C321" s="296"/>
      <c r="D321" s="296"/>
      <c r="E321" s="296"/>
      <c r="F321" s="296"/>
    </row>
    <row r="322" spans="1:6" x14ac:dyDescent="0.25">
      <c r="A322" s="296"/>
      <c r="B322" s="296"/>
      <c r="C322" s="296"/>
      <c r="D322" s="296"/>
      <c r="E322" s="296"/>
      <c r="F322" s="296"/>
    </row>
    <row r="323" spans="1:6" x14ac:dyDescent="0.25">
      <c r="A323" s="296"/>
      <c r="B323" s="296"/>
      <c r="C323" s="296"/>
      <c r="D323" s="296"/>
      <c r="E323" s="296"/>
      <c r="F323" s="296"/>
    </row>
    <row r="324" spans="1:6" x14ac:dyDescent="0.25">
      <c r="A324" s="296"/>
      <c r="B324" s="296"/>
      <c r="C324" s="296"/>
      <c r="D324" s="296"/>
      <c r="E324" s="296"/>
      <c r="F324" s="296"/>
    </row>
    <row r="325" spans="1:6" x14ac:dyDescent="0.25">
      <c r="A325" s="296"/>
      <c r="B325" s="296"/>
      <c r="C325" s="296"/>
      <c r="D325" s="296"/>
      <c r="E325" s="296"/>
      <c r="F325" s="296"/>
    </row>
    <row r="326" spans="1:6" x14ac:dyDescent="0.25">
      <c r="A326" s="296"/>
      <c r="B326" s="296"/>
      <c r="C326" s="296"/>
      <c r="D326" s="296"/>
      <c r="E326" s="296"/>
      <c r="F326" s="296"/>
    </row>
    <row r="327" spans="1:6" x14ac:dyDescent="0.25">
      <c r="A327" s="296"/>
      <c r="B327" s="296"/>
      <c r="C327" s="296"/>
      <c r="D327" s="296"/>
      <c r="E327" s="296"/>
      <c r="F327" s="296"/>
    </row>
    <row r="328" spans="1:6" x14ac:dyDescent="0.25">
      <c r="A328" s="296"/>
      <c r="B328" s="296"/>
      <c r="C328" s="296"/>
      <c r="D328" s="296"/>
      <c r="E328" s="296"/>
      <c r="F328" s="296"/>
    </row>
    <row r="329" spans="1:6" x14ac:dyDescent="0.25">
      <c r="A329" s="296"/>
      <c r="B329" s="296"/>
      <c r="C329" s="296"/>
      <c r="D329" s="296"/>
      <c r="E329" s="296"/>
      <c r="F329" s="296"/>
    </row>
    <row r="330" spans="1:6" x14ac:dyDescent="0.25">
      <c r="A330" s="296"/>
      <c r="B330" s="296"/>
      <c r="C330" s="296"/>
      <c r="D330" s="296"/>
      <c r="E330" s="296"/>
      <c r="F330" s="296"/>
    </row>
    <row r="331" spans="1:6" x14ac:dyDescent="0.25">
      <c r="A331" s="296"/>
      <c r="B331" s="296"/>
      <c r="C331" s="296"/>
      <c r="D331" s="296"/>
      <c r="E331" s="296"/>
      <c r="F331" s="296"/>
    </row>
    <row r="332" spans="1:6" x14ac:dyDescent="0.25">
      <c r="A332" s="296"/>
      <c r="B332" s="296"/>
      <c r="C332" s="296"/>
      <c r="D332" s="296"/>
      <c r="E332" s="296"/>
      <c r="F332" s="296"/>
    </row>
    <row r="333" spans="1:6" x14ac:dyDescent="0.25">
      <c r="A333" s="296"/>
      <c r="B333" s="296"/>
      <c r="C333" s="296"/>
      <c r="D333" s="296"/>
      <c r="E333" s="296"/>
      <c r="F333" s="296"/>
    </row>
    <row r="334" spans="1:6" x14ac:dyDescent="0.25">
      <c r="A334" s="296"/>
      <c r="B334" s="296"/>
      <c r="C334" s="296"/>
      <c r="D334" s="296"/>
      <c r="E334" s="296"/>
      <c r="F334" s="296"/>
    </row>
    <row r="335" spans="1:6" x14ac:dyDescent="0.25">
      <c r="A335" s="296"/>
      <c r="B335" s="296"/>
      <c r="C335" s="296"/>
      <c r="D335" s="296"/>
      <c r="E335" s="296"/>
      <c r="F335" s="296"/>
    </row>
    <row r="336" spans="1:6" x14ac:dyDescent="0.25">
      <c r="A336" s="296"/>
      <c r="B336" s="296"/>
      <c r="C336" s="296"/>
      <c r="D336" s="296"/>
      <c r="E336" s="296"/>
      <c r="F336" s="296"/>
    </row>
    <row r="337" spans="1:6" x14ac:dyDescent="0.25">
      <c r="A337" s="296"/>
      <c r="B337" s="296"/>
      <c r="C337" s="296"/>
      <c r="D337" s="296"/>
      <c r="E337" s="296"/>
      <c r="F337" s="296"/>
    </row>
    <row r="338" spans="1:6" x14ac:dyDescent="0.25">
      <c r="A338" s="296"/>
      <c r="B338" s="296"/>
      <c r="C338" s="296"/>
      <c r="D338" s="296"/>
      <c r="E338" s="296"/>
      <c r="F338" s="296"/>
    </row>
    <row r="339" spans="1:6" x14ac:dyDescent="0.25">
      <c r="A339" s="296"/>
      <c r="B339" s="296"/>
      <c r="C339" s="296"/>
      <c r="D339" s="296"/>
      <c r="E339" s="296"/>
      <c r="F339" s="296"/>
    </row>
    <row r="340" spans="1:6" x14ac:dyDescent="0.25">
      <c r="A340" s="296"/>
      <c r="B340" s="296"/>
      <c r="C340" s="296"/>
      <c r="D340" s="296"/>
      <c r="E340" s="296"/>
      <c r="F340" s="296"/>
    </row>
    <row r="341" spans="1:6" x14ac:dyDescent="0.25">
      <c r="A341" s="296"/>
      <c r="B341" s="296"/>
      <c r="C341" s="296"/>
      <c r="D341" s="296"/>
      <c r="E341" s="296"/>
      <c r="F341" s="296"/>
    </row>
    <row r="342" spans="1:6" x14ac:dyDescent="0.25">
      <c r="A342" s="296"/>
      <c r="B342" s="296"/>
      <c r="C342" s="296"/>
      <c r="D342" s="296"/>
      <c r="E342" s="296"/>
      <c r="F342" s="296"/>
    </row>
    <row r="343" spans="1:6" x14ac:dyDescent="0.25">
      <c r="A343" s="296"/>
      <c r="B343" s="296"/>
      <c r="C343" s="296"/>
      <c r="D343" s="296"/>
      <c r="E343" s="296"/>
      <c r="F343" s="296"/>
    </row>
    <row r="344" spans="1:6" x14ac:dyDescent="0.25">
      <c r="A344" s="296"/>
      <c r="B344" s="296"/>
      <c r="C344" s="296"/>
      <c r="D344" s="296"/>
      <c r="E344" s="296"/>
      <c r="F344" s="296"/>
    </row>
    <row r="345" spans="1:6" x14ac:dyDescent="0.25">
      <c r="A345" s="296"/>
      <c r="B345" s="296"/>
      <c r="C345" s="296"/>
      <c r="D345" s="296"/>
      <c r="E345" s="296"/>
      <c r="F345" s="296"/>
    </row>
    <row r="346" spans="1:6" x14ac:dyDescent="0.25">
      <c r="A346" s="296"/>
      <c r="B346" s="296"/>
      <c r="C346" s="296"/>
      <c r="D346" s="296"/>
      <c r="E346" s="296"/>
      <c r="F346" s="296"/>
    </row>
    <row r="347" spans="1:6" x14ac:dyDescent="0.25">
      <c r="A347" s="296"/>
      <c r="B347" s="296"/>
      <c r="C347" s="296"/>
      <c r="D347" s="296"/>
      <c r="E347" s="296"/>
      <c r="F347" s="296"/>
    </row>
    <row r="348" spans="1:6" x14ac:dyDescent="0.25">
      <c r="A348" s="296"/>
      <c r="B348" s="296"/>
      <c r="C348" s="296"/>
      <c r="D348" s="296"/>
      <c r="E348" s="296"/>
      <c r="F348" s="296"/>
    </row>
    <row r="349" spans="1:6" x14ac:dyDescent="0.25">
      <c r="A349" s="296"/>
      <c r="B349" s="296"/>
      <c r="C349" s="296"/>
      <c r="D349" s="296"/>
      <c r="E349" s="296"/>
      <c r="F349" s="296"/>
    </row>
    <row r="350" spans="1:6" x14ac:dyDescent="0.25">
      <c r="A350" s="296"/>
      <c r="B350" s="296"/>
      <c r="C350" s="296"/>
      <c r="D350" s="296"/>
      <c r="E350" s="296"/>
      <c r="F350" s="296"/>
    </row>
    <row r="351" spans="1:6" x14ac:dyDescent="0.25">
      <c r="A351" s="296"/>
      <c r="B351" s="296"/>
      <c r="C351" s="296"/>
      <c r="D351" s="296"/>
      <c r="E351" s="296"/>
      <c r="F351" s="296"/>
    </row>
    <row r="352" spans="1:6" x14ac:dyDescent="0.25">
      <c r="A352" s="296"/>
      <c r="B352" s="296"/>
      <c r="C352" s="296"/>
      <c r="D352" s="296"/>
      <c r="E352" s="296"/>
      <c r="F352" s="296"/>
    </row>
    <row r="353" spans="1:6" x14ac:dyDescent="0.25">
      <c r="A353" s="296"/>
      <c r="B353" s="296"/>
      <c r="C353" s="296"/>
      <c r="D353" s="296"/>
      <c r="E353" s="296"/>
      <c r="F353" s="296"/>
    </row>
    <row r="354" spans="1:6" x14ac:dyDescent="0.25">
      <c r="A354" s="296"/>
      <c r="B354" s="296"/>
      <c r="C354" s="296"/>
      <c r="D354" s="296"/>
      <c r="E354" s="296"/>
      <c r="F354" s="296"/>
    </row>
    <row r="355" spans="1:6" x14ac:dyDescent="0.25">
      <c r="A355" s="296"/>
      <c r="B355" s="296"/>
      <c r="C355" s="296"/>
      <c r="D355" s="296"/>
      <c r="E355" s="296"/>
      <c r="F355" s="296"/>
    </row>
    <row r="356" spans="1:6" x14ac:dyDescent="0.25">
      <c r="A356" s="296"/>
      <c r="B356" s="296"/>
      <c r="C356" s="296"/>
      <c r="D356" s="296"/>
      <c r="E356" s="296"/>
      <c r="F356" s="296"/>
    </row>
    <row r="357" spans="1:6" x14ac:dyDescent="0.25">
      <c r="A357" s="296"/>
      <c r="B357" s="296"/>
      <c r="C357" s="296"/>
      <c r="D357" s="296"/>
      <c r="E357" s="296"/>
      <c r="F357" s="296"/>
    </row>
    <row r="358" spans="1:6" x14ac:dyDescent="0.25">
      <c r="A358" s="296"/>
      <c r="B358" s="296"/>
      <c r="C358" s="296"/>
      <c r="D358" s="296"/>
      <c r="E358" s="296"/>
      <c r="F358" s="296"/>
    </row>
    <row r="359" spans="1:6" x14ac:dyDescent="0.25">
      <c r="A359" s="296"/>
      <c r="B359" s="296"/>
      <c r="C359" s="296"/>
      <c r="D359" s="296"/>
      <c r="E359" s="296"/>
      <c r="F359" s="296"/>
    </row>
    <row r="360" spans="1:6" x14ac:dyDescent="0.25">
      <c r="A360" s="296"/>
      <c r="B360" s="296"/>
      <c r="C360" s="296"/>
      <c r="D360" s="296"/>
      <c r="E360" s="296"/>
      <c r="F360" s="296"/>
    </row>
    <row r="361" spans="1:6" x14ac:dyDescent="0.25">
      <c r="A361" s="296"/>
      <c r="B361" s="296"/>
      <c r="C361" s="296"/>
      <c r="D361" s="296"/>
      <c r="E361" s="296"/>
      <c r="F361" s="296"/>
    </row>
    <row r="362" spans="1:6" x14ac:dyDescent="0.25">
      <c r="A362" s="296"/>
      <c r="B362" s="296"/>
      <c r="C362" s="296"/>
      <c r="D362" s="296"/>
      <c r="E362" s="296"/>
      <c r="F362" s="296"/>
    </row>
    <row r="363" spans="1:6" x14ac:dyDescent="0.25">
      <c r="A363" s="296"/>
      <c r="B363" s="296"/>
      <c r="C363" s="296"/>
      <c r="D363" s="296"/>
      <c r="E363" s="296"/>
      <c r="F363" s="296"/>
    </row>
    <row r="364" spans="1:6" x14ac:dyDescent="0.25">
      <c r="A364" s="296"/>
      <c r="B364" s="296"/>
      <c r="C364" s="296"/>
      <c r="D364" s="296"/>
      <c r="E364" s="296"/>
      <c r="F364" s="296"/>
    </row>
    <row r="365" spans="1:6" x14ac:dyDescent="0.25">
      <c r="A365" s="296"/>
      <c r="B365" s="296"/>
      <c r="C365" s="296"/>
      <c r="D365" s="296"/>
      <c r="E365" s="296"/>
      <c r="F365" s="296"/>
    </row>
    <row r="366" spans="1:6" x14ac:dyDescent="0.25">
      <c r="A366" s="296"/>
      <c r="B366" s="296"/>
      <c r="C366" s="296"/>
      <c r="D366" s="296"/>
      <c r="E366" s="296"/>
      <c r="F366" s="296"/>
    </row>
    <row r="367" spans="1:6" x14ac:dyDescent="0.25">
      <c r="A367" s="296"/>
      <c r="B367" s="296"/>
      <c r="C367" s="296"/>
      <c r="D367" s="296"/>
      <c r="E367" s="296"/>
      <c r="F367" s="296"/>
    </row>
    <row r="368" spans="1:6" x14ac:dyDescent="0.25">
      <c r="A368" s="296"/>
      <c r="B368" s="296"/>
      <c r="C368" s="296"/>
      <c r="D368" s="296"/>
      <c r="E368" s="296"/>
      <c r="F368" s="296"/>
    </row>
    <row r="369" spans="1:6" x14ac:dyDescent="0.25">
      <c r="A369" s="296"/>
      <c r="B369" s="296"/>
      <c r="C369" s="296"/>
      <c r="D369" s="296"/>
      <c r="E369" s="296"/>
      <c r="F369" s="296"/>
    </row>
    <row r="370" spans="1:6" x14ac:dyDescent="0.25">
      <c r="A370" s="296"/>
      <c r="B370" s="296"/>
      <c r="C370" s="296"/>
      <c r="D370" s="296"/>
      <c r="E370" s="296"/>
      <c r="F370" s="296"/>
    </row>
    <row r="371" spans="1:6" x14ac:dyDescent="0.25">
      <c r="A371" s="296"/>
      <c r="B371" s="296"/>
      <c r="C371" s="296"/>
      <c r="D371" s="296"/>
      <c r="E371" s="296"/>
      <c r="F371" s="296"/>
    </row>
    <row r="372" spans="1:6" x14ac:dyDescent="0.25">
      <c r="A372" s="296"/>
      <c r="B372" s="296"/>
      <c r="C372" s="296"/>
      <c r="D372" s="296"/>
      <c r="E372" s="296"/>
      <c r="F372" s="296"/>
    </row>
    <row r="373" spans="1:6" x14ac:dyDescent="0.25">
      <c r="A373" s="296"/>
      <c r="B373" s="296"/>
      <c r="C373" s="296"/>
      <c r="D373" s="296"/>
      <c r="E373" s="296"/>
      <c r="F373" s="296"/>
    </row>
    <row r="374" spans="1:6" x14ac:dyDescent="0.25">
      <c r="A374" s="296"/>
      <c r="B374" s="296"/>
      <c r="C374" s="296"/>
      <c r="D374" s="296"/>
      <c r="E374" s="296"/>
      <c r="F374" s="296"/>
    </row>
    <row r="375" spans="1:6" x14ac:dyDescent="0.25">
      <c r="A375" s="296"/>
      <c r="B375" s="296"/>
      <c r="C375" s="296"/>
      <c r="D375" s="296"/>
      <c r="E375" s="296"/>
      <c r="F375" s="296"/>
    </row>
    <row r="376" spans="1:6" x14ac:dyDescent="0.25">
      <c r="A376" s="296"/>
      <c r="B376" s="296"/>
      <c r="C376" s="296"/>
      <c r="D376" s="296"/>
      <c r="E376" s="296"/>
      <c r="F376" s="296"/>
    </row>
    <row r="377" spans="1:6" x14ac:dyDescent="0.25">
      <c r="A377" s="296"/>
      <c r="B377" s="296"/>
      <c r="C377" s="296"/>
      <c r="D377" s="296"/>
      <c r="E377" s="296"/>
      <c r="F377" s="296"/>
    </row>
    <row r="378" spans="1:6" x14ac:dyDescent="0.25">
      <c r="A378" s="296"/>
      <c r="B378" s="296"/>
      <c r="C378" s="296"/>
      <c r="D378" s="296"/>
      <c r="E378" s="296"/>
      <c r="F378" s="296"/>
    </row>
    <row r="379" spans="1:6" x14ac:dyDescent="0.25">
      <c r="A379" s="296"/>
      <c r="B379" s="296"/>
      <c r="C379" s="296"/>
      <c r="D379" s="296"/>
      <c r="E379" s="296"/>
      <c r="F379" s="296"/>
    </row>
    <row r="380" spans="1:6" x14ac:dyDescent="0.25">
      <c r="A380" s="296"/>
      <c r="B380" s="296"/>
      <c r="C380" s="296"/>
      <c r="D380" s="296"/>
      <c r="E380" s="296"/>
      <c r="F380" s="296"/>
    </row>
    <row r="381" spans="1:6" x14ac:dyDescent="0.25">
      <c r="A381" s="296"/>
      <c r="B381" s="296"/>
      <c r="C381" s="296"/>
      <c r="D381" s="296"/>
      <c r="E381" s="296"/>
      <c r="F381" s="296"/>
    </row>
    <row r="382" spans="1:6" x14ac:dyDescent="0.25">
      <c r="A382" s="296"/>
      <c r="B382" s="296"/>
      <c r="C382" s="296"/>
      <c r="D382" s="296"/>
      <c r="E382" s="296"/>
      <c r="F382" s="296"/>
    </row>
    <row r="383" spans="1:6" x14ac:dyDescent="0.25">
      <c r="A383" s="296"/>
      <c r="B383" s="296"/>
      <c r="C383" s="296"/>
      <c r="D383" s="296"/>
      <c r="E383" s="296"/>
      <c r="F383" s="296"/>
    </row>
    <row r="384" spans="1:6" x14ac:dyDescent="0.25">
      <c r="A384" s="296"/>
      <c r="B384" s="296"/>
      <c r="C384" s="296"/>
      <c r="D384" s="296"/>
      <c r="E384" s="296"/>
      <c r="F384" s="296"/>
    </row>
    <row r="385" spans="1:6" x14ac:dyDescent="0.25">
      <c r="A385" s="296"/>
      <c r="B385" s="296"/>
      <c r="C385" s="296"/>
      <c r="D385" s="296"/>
      <c r="E385" s="296"/>
      <c r="F385" s="296"/>
    </row>
    <row r="386" spans="1:6" x14ac:dyDescent="0.25">
      <c r="A386" s="296"/>
      <c r="B386" s="296"/>
      <c r="C386" s="296"/>
      <c r="D386" s="296"/>
      <c r="E386" s="296"/>
      <c r="F386" s="296"/>
    </row>
    <row r="387" spans="1:6" x14ac:dyDescent="0.25">
      <c r="A387" s="296"/>
      <c r="B387" s="296"/>
      <c r="C387" s="296"/>
      <c r="D387" s="296"/>
      <c r="E387" s="296"/>
      <c r="F387" s="296"/>
    </row>
    <row r="388" spans="1:6" x14ac:dyDescent="0.25">
      <c r="A388" s="296"/>
      <c r="B388" s="296"/>
      <c r="C388" s="296"/>
      <c r="D388" s="296"/>
      <c r="E388" s="296"/>
      <c r="F388" s="296"/>
    </row>
    <row r="389" spans="1:6" x14ac:dyDescent="0.25">
      <c r="A389" s="296"/>
      <c r="B389" s="296"/>
      <c r="C389" s="296"/>
      <c r="D389" s="296"/>
      <c r="E389" s="296"/>
      <c r="F389" s="296"/>
    </row>
    <row r="390" spans="1:6" x14ac:dyDescent="0.25">
      <c r="A390" s="296"/>
      <c r="B390" s="296"/>
      <c r="C390" s="296"/>
      <c r="D390" s="296"/>
      <c r="E390" s="296"/>
      <c r="F390" s="296"/>
    </row>
    <row r="391" spans="1:6" x14ac:dyDescent="0.25">
      <c r="A391" s="296"/>
      <c r="B391" s="296"/>
      <c r="C391" s="296"/>
      <c r="D391" s="296"/>
      <c r="E391" s="296"/>
      <c r="F391" s="296"/>
    </row>
    <row r="392" spans="1:6" x14ac:dyDescent="0.25">
      <c r="A392" s="296"/>
      <c r="B392" s="296"/>
      <c r="C392" s="296"/>
      <c r="D392" s="296"/>
      <c r="E392" s="296"/>
      <c r="F392" s="296"/>
    </row>
    <row r="393" spans="1:6" x14ac:dyDescent="0.25">
      <c r="A393" s="296"/>
      <c r="B393" s="296"/>
      <c r="C393" s="296"/>
      <c r="D393" s="296"/>
      <c r="E393" s="296"/>
      <c r="F393" s="296"/>
    </row>
    <row r="394" spans="1:6" x14ac:dyDescent="0.25">
      <c r="A394" s="296"/>
      <c r="B394" s="296"/>
      <c r="C394" s="296"/>
      <c r="D394" s="296"/>
      <c r="E394" s="296"/>
      <c r="F394" s="296"/>
    </row>
    <row r="395" spans="1:6" x14ac:dyDescent="0.25">
      <c r="A395" s="296"/>
      <c r="B395" s="296"/>
      <c r="C395" s="296"/>
      <c r="D395" s="296"/>
      <c r="E395" s="296"/>
      <c r="F395" s="296"/>
    </row>
    <row r="396" spans="1:6" x14ac:dyDescent="0.25">
      <c r="A396" s="296"/>
      <c r="B396" s="296"/>
      <c r="C396" s="296"/>
      <c r="D396" s="296"/>
      <c r="E396" s="296"/>
      <c r="F396" s="296"/>
    </row>
    <row r="397" spans="1:6" x14ac:dyDescent="0.25">
      <c r="A397" s="296"/>
      <c r="B397" s="296"/>
      <c r="C397" s="296"/>
      <c r="D397" s="296"/>
      <c r="E397" s="296"/>
      <c r="F397" s="296"/>
    </row>
    <row r="398" spans="1:6" x14ac:dyDescent="0.25">
      <c r="A398" s="296"/>
      <c r="B398" s="296"/>
      <c r="C398" s="296"/>
      <c r="D398" s="296"/>
      <c r="E398" s="296"/>
      <c r="F398" s="296"/>
    </row>
    <row r="399" spans="1:6" x14ac:dyDescent="0.25">
      <c r="A399" s="296"/>
      <c r="B399" s="296"/>
      <c r="C399" s="296"/>
      <c r="D399" s="296"/>
      <c r="E399" s="296"/>
      <c r="F399" s="296"/>
    </row>
    <row r="400" spans="1:6" x14ac:dyDescent="0.25">
      <c r="A400" s="296"/>
      <c r="B400" s="296"/>
      <c r="C400" s="296"/>
      <c r="D400" s="296"/>
      <c r="E400" s="296"/>
      <c r="F400" s="296"/>
    </row>
    <row r="401" spans="1:6" x14ac:dyDescent="0.25">
      <c r="A401" s="296"/>
      <c r="B401" s="296"/>
      <c r="C401" s="296"/>
      <c r="D401" s="296"/>
      <c r="E401" s="296"/>
      <c r="F401" s="296"/>
    </row>
    <row r="402" spans="1:6" x14ac:dyDescent="0.25">
      <c r="A402" s="296"/>
      <c r="B402" s="296"/>
      <c r="C402" s="296"/>
      <c r="D402" s="296"/>
      <c r="E402" s="296"/>
      <c r="F402" s="296"/>
    </row>
    <row r="403" spans="1:6" x14ac:dyDescent="0.25">
      <c r="A403" s="296"/>
      <c r="B403" s="296"/>
      <c r="C403" s="296"/>
      <c r="D403" s="296"/>
      <c r="E403" s="296"/>
      <c r="F403" s="296"/>
    </row>
    <row r="404" spans="1:6" x14ac:dyDescent="0.25">
      <c r="A404" s="296"/>
      <c r="B404" s="296"/>
      <c r="C404" s="296"/>
      <c r="D404" s="296"/>
      <c r="E404" s="296"/>
      <c r="F404" s="296"/>
    </row>
    <row r="405" spans="1:6" x14ac:dyDescent="0.25">
      <c r="A405" s="296"/>
      <c r="B405" s="296"/>
      <c r="C405" s="296"/>
      <c r="D405" s="296"/>
      <c r="E405" s="296"/>
      <c r="F405" s="296"/>
    </row>
    <row r="406" spans="1:6" x14ac:dyDescent="0.25">
      <c r="A406" s="296"/>
      <c r="B406" s="296"/>
      <c r="C406" s="296"/>
      <c r="D406" s="296"/>
      <c r="E406" s="296"/>
      <c r="F406" s="296"/>
    </row>
    <row r="407" spans="1:6" x14ac:dyDescent="0.25">
      <c r="A407" s="296"/>
      <c r="B407" s="296"/>
      <c r="C407" s="296"/>
      <c r="D407" s="296"/>
      <c r="E407" s="296"/>
      <c r="F407" s="296"/>
    </row>
    <row r="408" spans="1:6" x14ac:dyDescent="0.25">
      <c r="A408" s="296"/>
      <c r="B408" s="296"/>
      <c r="C408" s="296"/>
      <c r="D408" s="296"/>
      <c r="E408" s="296"/>
      <c r="F408" s="296"/>
    </row>
    <row r="409" spans="1:6" x14ac:dyDescent="0.25">
      <c r="A409" s="296"/>
      <c r="B409" s="296"/>
      <c r="C409" s="296"/>
      <c r="D409" s="296"/>
      <c r="E409" s="296"/>
      <c r="F409" s="296"/>
    </row>
    <row r="410" spans="1:6" x14ac:dyDescent="0.25">
      <c r="A410" s="296"/>
      <c r="B410" s="296"/>
      <c r="C410" s="296"/>
      <c r="D410" s="296"/>
      <c r="E410" s="296"/>
      <c r="F410" s="296"/>
    </row>
    <row r="411" spans="1:6" x14ac:dyDescent="0.25">
      <c r="A411" s="296"/>
      <c r="B411" s="296"/>
      <c r="C411" s="296"/>
      <c r="D411" s="296"/>
      <c r="E411" s="296"/>
      <c r="F411" s="296"/>
    </row>
    <row r="412" spans="1:6" x14ac:dyDescent="0.25">
      <c r="A412" s="296"/>
      <c r="B412" s="296"/>
      <c r="C412" s="296"/>
      <c r="D412" s="296"/>
      <c r="E412" s="296"/>
      <c r="F412" s="296"/>
    </row>
    <row r="413" spans="1:6" x14ac:dyDescent="0.25">
      <c r="A413" s="296"/>
      <c r="B413" s="296"/>
      <c r="C413" s="296"/>
      <c r="D413" s="296"/>
      <c r="E413" s="296"/>
      <c r="F413" s="296"/>
    </row>
    <row r="414" spans="1:6" x14ac:dyDescent="0.25">
      <c r="A414" s="296"/>
      <c r="B414" s="296"/>
      <c r="C414" s="296"/>
      <c r="D414" s="296"/>
      <c r="E414" s="296"/>
      <c r="F414" s="296"/>
    </row>
    <row r="415" spans="1:6" x14ac:dyDescent="0.25">
      <c r="A415" s="296"/>
      <c r="B415" s="296"/>
      <c r="C415" s="296"/>
      <c r="D415" s="296"/>
      <c r="E415" s="296"/>
      <c r="F415" s="296"/>
    </row>
    <row r="416" spans="1:6" x14ac:dyDescent="0.25">
      <c r="A416" s="296"/>
      <c r="B416" s="296"/>
      <c r="C416" s="296"/>
      <c r="D416" s="296"/>
      <c r="E416" s="296"/>
      <c r="F416" s="296"/>
    </row>
    <row r="417" spans="1:6" x14ac:dyDescent="0.25">
      <c r="A417" s="296"/>
      <c r="B417" s="296"/>
      <c r="C417" s="296"/>
      <c r="D417" s="296"/>
      <c r="E417" s="296"/>
      <c r="F417" s="296"/>
    </row>
    <row r="418" spans="1:6" x14ac:dyDescent="0.25">
      <c r="A418" s="296"/>
      <c r="B418" s="296"/>
      <c r="C418" s="296"/>
      <c r="D418" s="296"/>
      <c r="E418" s="296"/>
      <c r="F418" s="296"/>
    </row>
    <row r="419" spans="1:6" x14ac:dyDescent="0.25">
      <c r="A419" s="296"/>
      <c r="B419" s="296"/>
      <c r="C419" s="296"/>
      <c r="D419" s="296"/>
      <c r="E419" s="296"/>
      <c r="F419" s="296"/>
    </row>
    <row r="420" spans="1:6" x14ac:dyDescent="0.25">
      <c r="A420" s="296"/>
      <c r="B420" s="296"/>
      <c r="C420" s="296"/>
      <c r="D420" s="296"/>
      <c r="E420" s="296"/>
      <c r="F420" s="296"/>
    </row>
    <row r="421" spans="1:6" x14ac:dyDescent="0.25">
      <c r="A421" s="296"/>
      <c r="B421" s="296"/>
      <c r="C421" s="296"/>
      <c r="D421" s="296"/>
      <c r="E421" s="296"/>
      <c r="F421" s="296"/>
    </row>
    <row r="422" spans="1:6" x14ac:dyDescent="0.25">
      <c r="A422" s="296"/>
      <c r="B422" s="296"/>
      <c r="C422" s="296"/>
      <c r="D422" s="296"/>
      <c r="E422" s="296"/>
      <c r="F422" s="296"/>
    </row>
    <row r="423" spans="1:6" x14ac:dyDescent="0.25">
      <c r="A423" s="296"/>
      <c r="B423" s="296"/>
      <c r="C423" s="296"/>
      <c r="D423" s="296"/>
      <c r="E423" s="296"/>
      <c r="F423" s="296"/>
    </row>
    <row r="424" spans="1:6" x14ac:dyDescent="0.25">
      <c r="A424" s="296"/>
      <c r="B424" s="296"/>
      <c r="C424" s="296"/>
      <c r="D424" s="296"/>
      <c r="E424" s="296"/>
      <c r="F424" s="296"/>
    </row>
    <row r="425" spans="1:6" x14ac:dyDescent="0.25">
      <c r="A425" s="296"/>
      <c r="B425" s="296"/>
      <c r="C425" s="296"/>
      <c r="D425" s="296"/>
      <c r="E425" s="296"/>
      <c r="F425" s="296"/>
    </row>
    <row r="426" spans="1:6" x14ac:dyDescent="0.25">
      <c r="A426" s="296"/>
      <c r="B426" s="296"/>
      <c r="C426" s="296"/>
      <c r="D426" s="296"/>
      <c r="E426" s="296"/>
      <c r="F426" s="296"/>
    </row>
    <row r="427" spans="1:6" x14ac:dyDescent="0.25">
      <c r="A427" s="296"/>
      <c r="B427" s="296"/>
      <c r="C427" s="296"/>
      <c r="D427" s="296"/>
      <c r="E427" s="296"/>
      <c r="F427" s="296"/>
    </row>
    <row r="428" spans="1:6" x14ac:dyDescent="0.25">
      <c r="A428" s="296"/>
      <c r="B428" s="296"/>
      <c r="C428" s="296"/>
      <c r="D428" s="296"/>
      <c r="E428" s="296"/>
      <c r="F428" s="296"/>
    </row>
    <row r="429" spans="1:6" x14ac:dyDescent="0.25">
      <c r="A429" s="296"/>
      <c r="B429" s="296"/>
      <c r="C429" s="296"/>
      <c r="D429" s="296"/>
      <c r="E429" s="296"/>
      <c r="F429" s="296"/>
    </row>
    <row r="430" spans="1:6" x14ac:dyDescent="0.25">
      <c r="A430" s="296"/>
      <c r="B430" s="296"/>
      <c r="C430" s="296"/>
      <c r="D430" s="296"/>
      <c r="E430" s="296"/>
      <c r="F430" s="296"/>
    </row>
    <row r="431" spans="1:6" x14ac:dyDescent="0.25">
      <c r="A431" s="296"/>
      <c r="B431" s="296"/>
      <c r="C431" s="296"/>
      <c r="D431" s="296"/>
      <c r="E431" s="296"/>
      <c r="F431" s="296"/>
    </row>
    <row r="432" spans="1:6" x14ac:dyDescent="0.25">
      <c r="A432" s="296"/>
      <c r="B432" s="296"/>
      <c r="C432" s="296"/>
      <c r="D432" s="296"/>
      <c r="E432" s="296"/>
      <c r="F432" s="296"/>
    </row>
    <row r="433" spans="1:6" x14ac:dyDescent="0.25">
      <c r="A433" s="296"/>
      <c r="B433" s="296"/>
      <c r="C433" s="296"/>
      <c r="D433" s="296"/>
      <c r="E433" s="296"/>
      <c r="F433" s="296"/>
    </row>
    <row r="434" spans="1:6" x14ac:dyDescent="0.25">
      <c r="A434" s="296"/>
      <c r="B434" s="296"/>
      <c r="C434" s="296"/>
      <c r="D434" s="296"/>
      <c r="E434" s="296"/>
      <c r="F434" s="296"/>
    </row>
    <row r="435" spans="1:6" x14ac:dyDescent="0.25">
      <c r="A435" s="296"/>
      <c r="B435" s="296"/>
      <c r="C435" s="296"/>
      <c r="D435" s="296"/>
      <c r="E435" s="296"/>
      <c r="F435" s="296"/>
    </row>
    <row r="436" spans="1:6" x14ac:dyDescent="0.25">
      <c r="A436" s="296"/>
      <c r="B436" s="296"/>
      <c r="C436" s="296"/>
      <c r="D436" s="296"/>
      <c r="E436" s="296"/>
      <c r="F436" s="296"/>
    </row>
    <row r="437" spans="1:6" x14ac:dyDescent="0.25">
      <c r="A437" s="296"/>
      <c r="B437" s="296"/>
      <c r="C437" s="296"/>
      <c r="D437" s="296"/>
      <c r="E437" s="296"/>
      <c r="F437" s="296"/>
    </row>
    <row r="438" spans="1:6" x14ac:dyDescent="0.25">
      <c r="A438" s="296"/>
      <c r="B438" s="296"/>
      <c r="C438" s="296"/>
      <c r="D438" s="296"/>
      <c r="E438" s="296"/>
      <c r="F438" s="296"/>
    </row>
    <row r="439" spans="1:6" x14ac:dyDescent="0.25">
      <c r="A439" s="296"/>
      <c r="B439" s="296"/>
      <c r="C439" s="296"/>
      <c r="D439" s="296"/>
      <c r="E439" s="296"/>
      <c r="F439" s="296"/>
    </row>
    <row r="440" spans="1:6" x14ac:dyDescent="0.25">
      <c r="A440" s="296"/>
      <c r="B440" s="296"/>
      <c r="C440" s="296"/>
      <c r="D440" s="296"/>
      <c r="E440" s="296"/>
      <c r="F440" s="296"/>
    </row>
    <row r="441" spans="1:6" x14ac:dyDescent="0.25">
      <c r="A441" s="296"/>
      <c r="B441" s="296"/>
      <c r="C441" s="296"/>
      <c r="D441" s="296"/>
      <c r="E441" s="296"/>
      <c r="F441" s="296"/>
    </row>
    <row r="442" spans="1:6" x14ac:dyDescent="0.25">
      <c r="A442" s="296"/>
      <c r="B442" s="296"/>
      <c r="C442" s="296"/>
      <c r="D442" s="296"/>
      <c r="E442" s="296"/>
      <c r="F442" s="296"/>
    </row>
    <row r="443" spans="1:6" x14ac:dyDescent="0.25">
      <c r="A443" s="296"/>
      <c r="B443" s="296"/>
      <c r="C443" s="296"/>
      <c r="D443" s="296"/>
      <c r="E443" s="296"/>
      <c r="F443" s="296"/>
    </row>
    <row r="444" spans="1:6" x14ac:dyDescent="0.25">
      <c r="A444" s="296"/>
      <c r="B444" s="296"/>
      <c r="C444" s="296"/>
      <c r="D444" s="296"/>
      <c r="E444" s="296"/>
      <c r="F444" s="296"/>
    </row>
    <row r="445" spans="1:6" x14ac:dyDescent="0.25">
      <c r="A445" s="296"/>
      <c r="B445" s="296"/>
      <c r="C445" s="296"/>
      <c r="D445" s="296"/>
      <c r="E445" s="296"/>
      <c r="F445" s="296"/>
    </row>
    <row r="446" spans="1:6" x14ac:dyDescent="0.25">
      <c r="A446" s="296"/>
      <c r="B446" s="296"/>
      <c r="C446" s="296"/>
      <c r="D446" s="296"/>
      <c r="E446" s="296"/>
      <c r="F446" s="296"/>
    </row>
    <row r="447" spans="1:6" x14ac:dyDescent="0.25">
      <c r="A447" s="296"/>
      <c r="B447" s="296"/>
      <c r="C447" s="296"/>
      <c r="D447" s="296"/>
      <c r="E447" s="296"/>
      <c r="F447" s="296"/>
    </row>
    <row r="448" spans="1:6" x14ac:dyDescent="0.25">
      <c r="A448" s="296"/>
      <c r="B448" s="296"/>
      <c r="C448" s="296"/>
      <c r="D448" s="296"/>
      <c r="E448" s="296"/>
      <c r="F448" s="296"/>
    </row>
    <row r="449" spans="1:6" x14ac:dyDescent="0.25">
      <c r="A449" s="296"/>
      <c r="B449" s="296"/>
      <c r="C449" s="296"/>
      <c r="D449" s="296"/>
      <c r="E449" s="296"/>
      <c r="F449" s="296"/>
    </row>
    <row r="450" spans="1:6" x14ac:dyDescent="0.25">
      <c r="A450" s="296"/>
      <c r="B450" s="296"/>
      <c r="C450" s="296"/>
      <c r="D450" s="296"/>
      <c r="E450" s="296"/>
      <c r="F450" s="296"/>
    </row>
    <row r="451" spans="1:6" x14ac:dyDescent="0.25">
      <c r="A451" s="296"/>
      <c r="B451" s="296"/>
      <c r="C451" s="296"/>
      <c r="D451" s="296"/>
      <c r="E451" s="296"/>
      <c r="F451" s="296"/>
    </row>
    <row r="452" spans="1:6" x14ac:dyDescent="0.25">
      <c r="A452" s="296"/>
      <c r="B452" s="296"/>
      <c r="C452" s="296"/>
      <c r="D452" s="296"/>
      <c r="E452" s="296"/>
      <c r="F452" s="296"/>
    </row>
    <row r="453" spans="1:6" x14ac:dyDescent="0.25">
      <c r="A453" s="296"/>
      <c r="B453" s="296"/>
      <c r="C453" s="296"/>
      <c r="D453" s="296"/>
      <c r="E453" s="296"/>
      <c r="F453" s="296"/>
    </row>
    <row r="454" spans="1:6" x14ac:dyDescent="0.25">
      <c r="A454" s="296"/>
      <c r="B454" s="296"/>
      <c r="C454" s="296"/>
      <c r="D454" s="296"/>
      <c r="E454" s="296"/>
      <c r="F454" s="296"/>
    </row>
    <row r="455" spans="1:6" x14ac:dyDescent="0.25">
      <c r="A455" s="296"/>
      <c r="B455" s="296"/>
      <c r="C455" s="296"/>
      <c r="D455" s="296"/>
      <c r="E455" s="296"/>
      <c r="F455" s="296"/>
    </row>
    <row r="456" spans="1:6" x14ac:dyDescent="0.25">
      <c r="A456" s="296"/>
      <c r="B456" s="296"/>
      <c r="C456" s="296"/>
      <c r="D456" s="296"/>
      <c r="E456" s="296"/>
      <c r="F456" s="296"/>
    </row>
    <row r="457" spans="1:6" x14ac:dyDescent="0.25">
      <c r="A457" s="296"/>
      <c r="B457" s="296"/>
      <c r="C457" s="296"/>
      <c r="D457" s="296"/>
      <c r="E457" s="296"/>
      <c r="F457" s="296"/>
    </row>
    <row r="458" spans="1:6" x14ac:dyDescent="0.25">
      <c r="A458" s="296"/>
      <c r="B458" s="296"/>
      <c r="C458" s="296"/>
      <c r="D458" s="296"/>
      <c r="E458" s="296"/>
      <c r="F458" s="296"/>
    </row>
    <row r="459" spans="1:6" x14ac:dyDescent="0.25">
      <c r="A459" s="296"/>
      <c r="B459" s="296"/>
      <c r="C459" s="296"/>
      <c r="D459" s="296"/>
      <c r="E459" s="296"/>
      <c r="F459" s="296"/>
    </row>
    <row r="460" spans="1:6" x14ac:dyDescent="0.25">
      <c r="A460" s="296"/>
      <c r="B460" s="296"/>
      <c r="C460" s="296"/>
      <c r="D460" s="296"/>
      <c r="E460" s="296"/>
      <c r="F460" s="296"/>
    </row>
    <row r="461" spans="1:6" x14ac:dyDescent="0.25">
      <c r="A461" s="296"/>
      <c r="B461" s="296"/>
      <c r="C461" s="296"/>
      <c r="D461" s="296"/>
      <c r="E461" s="296"/>
      <c r="F461" s="296"/>
    </row>
    <row r="462" spans="1:6" x14ac:dyDescent="0.25">
      <c r="A462" s="296"/>
      <c r="B462" s="296"/>
      <c r="C462" s="296"/>
      <c r="D462" s="296"/>
      <c r="E462" s="296"/>
      <c r="F462" s="296"/>
    </row>
    <row r="463" spans="1:6" x14ac:dyDescent="0.25">
      <c r="A463" s="296"/>
      <c r="B463" s="296"/>
      <c r="C463" s="296"/>
      <c r="D463" s="296"/>
      <c r="E463" s="296"/>
      <c r="F463" s="296"/>
    </row>
    <row r="464" spans="1:6" x14ac:dyDescent="0.25">
      <c r="A464" s="296"/>
      <c r="B464" s="296"/>
      <c r="C464" s="296"/>
      <c r="D464" s="296"/>
      <c r="E464" s="296"/>
      <c r="F464" s="296"/>
    </row>
    <row r="465" spans="1:6" x14ac:dyDescent="0.25">
      <c r="A465" s="296"/>
      <c r="B465" s="296"/>
      <c r="C465" s="296"/>
      <c r="D465" s="296"/>
      <c r="E465" s="296"/>
      <c r="F465" s="296"/>
    </row>
    <row r="466" spans="1:6" x14ac:dyDescent="0.25">
      <c r="A466" s="296"/>
      <c r="B466" s="296"/>
      <c r="C466" s="296"/>
      <c r="D466" s="296"/>
      <c r="E466" s="296"/>
      <c r="F466" s="296"/>
    </row>
    <row r="467" spans="1:6" x14ac:dyDescent="0.25">
      <c r="A467" s="296"/>
      <c r="B467" s="296"/>
      <c r="C467" s="296"/>
      <c r="D467" s="296"/>
      <c r="E467" s="296"/>
      <c r="F467" s="296"/>
    </row>
    <row r="468" spans="1:6" x14ac:dyDescent="0.25">
      <c r="A468" s="296"/>
      <c r="B468" s="296"/>
      <c r="C468" s="296"/>
      <c r="D468" s="296"/>
      <c r="E468" s="296"/>
      <c r="F468" s="296"/>
    </row>
    <row r="469" spans="1:6" x14ac:dyDescent="0.25">
      <c r="A469" s="296"/>
      <c r="B469" s="296"/>
      <c r="C469" s="296"/>
      <c r="D469" s="296"/>
      <c r="E469" s="296"/>
      <c r="F469" s="296"/>
    </row>
    <row r="470" spans="1:6" x14ac:dyDescent="0.25">
      <c r="A470" s="296"/>
      <c r="B470" s="296"/>
      <c r="C470" s="296"/>
      <c r="D470" s="296"/>
      <c r="E470" s="296"/>
      <c r="F470" s="296"/>
    </row>
    <row r="471" spans="1:6" x14ac:dyDescent="0.25">
      <c r="A471" s="296"/>
      <c r="B471" s="296"/>
      <c r="C471" s="296"/>
      <c r="D471" s="296"/>
      <c r="E471" s="296"/>
      <c r="F471" s="296"/>
    </row>
    <row r="472" spans="1:6" x14ac:dyDescent="0.25">
      <c r="A472" s="296"/>
      <c r="B472" s="296"/>
      <c r="C472" s="296"/>
      <c r="D472" s="296"/>
      <c r="E472" s="296"/>
      <c r="F472" s="296"/>
    </row>
    <row r="473" spans="1:6" x14ac:dyDescent="0.25">
      <c r="A473" s="296"/>
      <c r="B473" s="296"/>
      <c r="C473" s="296"/>
      <c r="D473" s="296"/>
      <c r="E473" s="296"/>
      <c r="F473" s="296"/>
    </row>
    <row r="474" spans="1:6" x14ac:dyDescent="0.25">
      <c r="A474" s="296"/>
      <c r="B474" s="296"/>
      <c r="C474" s="296"/>
      <c r="D474" s="296"/>
      <c r="E474" s="296"/>
      <c r="F474" s="296"/>
    </row>
    <row r="475" spans="1:6" x14ac:dyDescent="0.25">
      <c r="A475" s="296"/>
      <c r="B475" s="296"/>
      <c r="C475" s="296"/>
      <c r="D475" s="296"/>
      <c r="E475" s="296"/>
      <c r="F475" s="296"/>
    </row>
    <row r="476" spans="1:6" x14ac:dyDescent="0.25">
      <c r="A476" s="296"/>
      <c r="B476" s="296"/>
      <c r="C476" s="296"/>
      <c r="D476" s="296"/>
      <c r="E476" s="296"/>
      <c r="F476" s="296"/>
    </row>
    <row r="477" spans="1:6" x14ac:dyDescent="0.25">
      <c r="A477" s="296"/>
      <c r="B477" s="296"/>
      <c r="C477" s="296"/>
      <c r="D477" s="296"/>
      <c r="E477" s="296"/>
      <c r="F477" s="296"/>
    </row>
    <row r="478" spans="1:6" x14ac:dyDescent="0.25">
      <c r="A478" s="296"/>
      <c r="B478" s="296"/>
      <c r="C478" s="296"/>
      <c r="D478" s="296"/>
      <c r="E478" s="296"/>
      <c r="F478" s="296"/>
    </row>
    <row r="479" spans="1:6" x14ac:dyDescent="0.25">
      <c r="A479" s="296"/>
      <c r="B479" s="296"/>
      <c r="C479" s="296"/>
      <c r="D479" s="296"/>
      <c r="E479" s="296"/>
      <c r="F479" s="296"/>
    </row>
    <row r="480" spans="1:6" x14ac:dyDescent="0.25">
      <c r="A480" s="296"/>
      <c r="B480" s="296"/>
      <c r="C480" s="296"/>
      <c r="D480" s="296"/>
      <c r="E480" s="296"/>
      <c r="F480" s="296"/>
    </row>
    <row r="481" spans="1:6" x14ac:dyDescent="0.25">
      <c r="A481" s="296"/>
      <c r="B481" s="296"/>
      <c r="C481" s="296"/>
      <c r="D481" s="296"/>
      <c r="E481" s="296"/>
      <c r="F481" s="296"/>
    </row>
    <row r="482" spans="1:6" x14ac:dyDescent="0.25">
      <c r="A482" s="296"/>
      <c r="B482" s="296"/>
      <c r="C482" s="296"/>
      <c r="D482" s="296"/>
      <c r="E482" s="296"/>
      <c r="F482" s="296"/>
    </row>
    <row r="483" spans="1:6" x14ac:dyDescent="0.25">
      <c r="A483" s="296"/>
      <c r="B483" s="296"/>
      <c r="C483" s="296"/>
      <c r="D483" s="296"/>
      <c r="E483" s="296"/>
      <c r="F483" s="296"/>
    </row>
    <row r="484" spans="1:6" x14ac:dyDescent="0.25">
      <c r="A484" s="296"/>
      <c r="B484" s="296"/>
      <c r="C484" s="296"/>
      <c r="D484" s="296"/>
      <c r="E484" s="296"/>
      <c r="F484" s="296"/>
    </row>
    <row r="485" spans="1:6" x14ac:dyDescent="0.25">
      <c r="A485" s="296"/>
      <c r="B485" s="296"/>
      <c r="C485" s="296"/>
      <c r="D485" s="296"/>
      <c r="E485" s="296"/>
      <c r="F485" s="296"/>
    </row>
    <row r="486" spans="1:6" x14ac:dyDescent="0.25">
      <c r="A486" s="296"/>
      <c r="B486" s="296"/>
      <c r="C486" s="296"/>
      <c r="D486" s="296"/>
      <c r="E486" s="296"/>
      <c r="F486" s="296"/>
    </row>
    <row r="487" spans="1:6" x14ac:dyDescent="0.25">
      <c r="A487" s="296"/>
      <c r="B487" s="296"/>
      <c r="C487" s="296"/>
      <c r="D487" s="296"/>
      <c r="E487" s="296"/>
      <c r="F487" s="296"/>
    </row>
    <row r="488" spans="1:6" x14ac:dyDescent="0.25">
      <c r="A488" s="296"/>
      <c r="B488" s="296"/>
      <c r="C488" s="296"/>
      <c r="D488" s="296"/>
      <c r="E488" s="296"/>
      <c r="F488" s="296"/>
    </row>
    <row r="489" spans="1:6" x14ac:dyDescent="0.25">
      <c r="A489" s="296"/>
      <c r="B489" s="296"/>
      <c r="C489" s="296"/>
      <c r="D489" s="296"/>
      <c r="E489" s="296"/>
      <c r="F489" s="296"/>
    </row>
    <row r="490" spans="1:6" x14ac:dyDescent="0.25">
      <c r="A490" s="296"/>
      <c r="B490" s="296"/>
      <c r="C490" s="296"/>
      <c r="D490" s="296"/>
      <c r="E490" s="296"/>
      <c r="F490" s="296"/>
    </row>
    <row r="491" spans="1:6" x14ac:dyDescent="0.25">
      <c r="A491" s="296"/>
      <c r="B491" s="296"/>
      <c r="C491" s="296"/>
      <c r="D491" s="296"/>
      <c r="E491" s="296"/>
      <c r="F491" s="296"/>
    </row>
    <row r="492" spans="1:6" x14ac:dyDescent="0.25">
      <c r="A492" s="296"/>
      <c r="B492" s="296"/>
      <c r="C492" s="296"/>
      <c r="D492" s="296"/>
      <c r="E492" s="296"/>
      <c r="F492" s="296"/>
    </row>
    <row r="493" spans="1:6" x14ac:dyDescent="0.25">
      <c r="A493" s="296"/>
      <c r="B493" s="296"/>
      <c r="C493" s="296"/>
      <c r="D493" s="296"/>
      <c r="E493" s="296"/>
      <c r="F493" s="296"/>
    </row>
    <row r="494" spans="1:6" x14ac:dyDescent="0.25">
      <c r="A494" s="296"/>
      <c r="B494" s="296"/>
      <c r="C494" s="296"/>
      <c r="D494" s="296"/>
      <c r="E494" s="296"/>
      <c r="F494" s="296"/>
    </row>
    <row r="495" spans="1:6" x14ac:dyDescent="0.25">
      <c r="A495" s="296"/>
      <c r="B495" s="296"/>
      <c r="C495" s="296"/>
      <c r="D495" s="296"/>
      <c r="E495" s="296"/>
      <c r="F495" s="296"/>
    </row>
    <row r="496" spans="1:6" x14ac:dyDescent="0.25">
      <c r="A496" s="296"/>
      <c r="B496" s="296"/>
      <c r="C496" s="296"/>
      <c r="D496" s="296"/>
      <c r="E496" s="296"/>
      <c r="F496" s="296"/>
    </row>
    <row r="497" spans="1:6" x14ac:dyDescent="0.25">
      <c r="A497" s="296"/>
      <c r="B497" s="296"/>
      <c r="C497" s="296"/>
      <c r="D497" s="296"/>
      <c r="E497" s="296"/>
      <c r="F497" s="296"/>
    </row>
    <row r="498" spans="1:6" x14ac:dyDescent="0.25">
      <c r="A498" s="296"/>
      <c r="B498" s="296"/>
      <c r="C498" s="296"/>
      <c r="D498" s="296"/>
      <c r="E498" s="296"/>
      <c r="F498" s="296"/>
    </row>
    <row r="499" spans="1:6" x14ac:dyDescent="0.25">
      <c r="A499" s="296"/>
      <c r="B499" s="296"/>
      <c r="C499" s="296"/>
      <c r="D499" s="296"/>
      <c r="E499" s="296"/>
      <c r="F499" s="296"/>
    </row>
    <row r="500" spans="1:6" x14ac:dyDescent="0.25">
      <c r="A500" s="296"/>
      <c r="B500" s="296"/>
      <c r="C500" s="296"/>
      <c r="D500" s="296"/>
      <c r="E500" s="296"/>
      <c r="F500" s="296"/>
    </row>
    <row r="501" spans="1:6" x14ac:dyDescent="0.25">
      <c r="A501" s="296"/>
      <c r="B501" s="296"/>
      <c r="C501" s="296"/>
      <c r="D501" s="296"/>
      <c r="E501" s="296"/>
      <c r="F501" s="296"/>
    </row>
    <row r="502" spans="1:6" x14ac:dyDescent="0.25">
      <c r="A502" s="296"/>
      <c r="B502" s="296"/>
      <c r="C502" s="296"/>
      <c r="D502" s="296"/>
      <c r="E502" s="296"/>
      <c r="F502" s="296"/>
    </row>
    <row r="503" spans="1:6" x14ac:dyDescent="0.25">
      <c r="A503" s="296"/>
      <c r="B503" s="296"/>
      <c r="C503" s="296"/>
      <c r="D503" s="296"/>
      <c r="E503" s="296"/>
      <c r="F503" s="296"/>
    </row>
    <row r="504" spans="1:6" x14ac:dyDescent="0.25">
      <c r="A504" s="296"/>
      <c r="B504" s="296"/>
      <c r="C504" s="296"/>
      <c r="D504" s="296"/>
      <c r="E504" s="296"/>
      <c r="F504" s="296"/>
    </row>
    <row r="505" spans="1:6" x14ac:dyDescent="0.25">
      <c r="A505" s="296"/>
      <c r="B505" s="296"/>
      <c r="C505" s="296"/>
      <c r="D505" s="296"/>
      <c r="E505" s="296"/>
      <c r="F505" s="296"/>
    </row>
    <row r="506" spans="1:6" x14ac:dyDescent="0.25">
      <c r="A506" s="296"/>
      <c r="B506" s="296"/>
      <c r="C506" s="296"/>
      <c r="D506" s="296"/>
      <c r="E506" s="296"/>
      <c r="F506" s="296"/>
    </row>
    <row r="507" spans="1:6" x14ac:dyDescent="0.25">
      <c r="A507" s="296"/>
      <c r="B507" s="296"/>
      <c r="C507" s="296"/>
      <c r="D507" s="296"/>
      <c r="E507" s="296"/>
      <c r="F507" s="296"/>
    </row>
    <row r="508" spans="1:6" x14ac:dyDescent="0.25">
      <c r="A508" s="296"/>
      <c r="B508" s="296"/>
      <c r="C508" s="296"/>
      <c r="D508" s="296"/>
      <c r="E508" s="296"/>
      <c r="F508" s="296"/>
    </row>
    <row r="509" spans="1:6" x14ac:dyDescent="0.25">
      <c r="A509" s="296"/>
      <c r="B509" s="296"/>
      <c r="C509" s="296"/>
      <c r="D509" s="296"/>
      <c r="E509" s="296"/>
      <c r="F509" s="296"/>
    </row>
    <row r="510" spans="1:6" x14ac:dyDescent="0.25">
      <c r="A510" s="296"/>
      <c r="B510" s="296"/>
      <c r="C510" s="296"/>
      <c r="D510" s="296"/>
      <c r="E510" s="296"/>
      <c r="F510" s="296"/>
    </row>
    <row r="511" spans="1:6" x14ac:dyDescent="0.25">
      <c r="A511" s="296"/>
      <c r="B511" s="296"/>
      <c r="C511" s="296"/>
      <c r="D511" s="296"/>
      <c r="E511" s="296"/>
      <c r="F511" s="296"/>
    </row>
    <row r="512" spans="1:6" x14ac:dyDescent="0.25">
      <c r="A512" s="296"/>
      <c r="B512" s="296"/>
      <c r="C512" s="296"/>
      <c r="D512" s="296"/>
      <c r="E512" s="296"/>
      <c r="F512" s="296"/>
    </row>
    <row r="513" spans="1:6" x14ac:dyDescent="0.25">
      <c r="A513" s="296"/>
      <c r="B513" s="296"/>
      <c r="C513" s="296"/>
      <c r="D513" s="296"/>
      <c r="E513" s="296"/>
      <c r="F513" s="296"/>
    </row>
    <row r="514" spans="1:6" x14ac:dyDescent="0.25">
      <c r="A514" s="296"/>
      <c r="B514" s="296"/>
      <c r="C514" s="296"/>
      <c r="D514" s="296"/>
      <c r="E514" s="296"/>
      <c r="F514" s="296"/>
    </row>
    <row r="515" spans="1:6" x14ac:dyDescent="0.25">
      <c r="A515" s="296"/>
      <c r="B515" s="296"/>
      <c r="C515" s="296"/>
      <c r="D515" s="296"/>
      <c r="E515" s="296"/>
      <c r="F515" s="296"/>
    </row>
    <row r="516" spans="1:6" x14ac:dyDescent="0.25">
      <c r="A516" s="296"/>
      <c r="B516" s="296"/>
      <c r="C516" s="296"/>
      <c r="D516" s="296"/>
      <c r="E516" s="296"/>
      <c r="F516" s="296"/>
    </row>
    <row r="517" spans="1:6" x14ac:dyDescent="0.25">
      <c r="A517" s="296"/>
      <c r="B517" s="296"/>
      <c r="C517" s="296"/>
      <c r="D517" s="296"/>
      <c r="E517" s="296"/>
      <c r="F517" s="296"/>
    </row>
    <row r="518" spans="1:6" x14ac:dyDescent="0.25">
      <c r="A518" s="296"/>
      <c r="B518" s="296"/>
      <c r="C518" s="296"/>
      <c r="D518" s="296"/>
      <c r="E518" s="296"/>
      <c r="F518" s="296"/>
    </row>
    <row r="519" spans="1:6" x14ac:dyDescent="0.25">
      <c r="A519" s="296"/>
      <c r="B519" s="296"/>
      <c r="C519" s="296"/>
      <c r="D519" s="296"/>
      <c r="E519" s="296"/>
      <c r="F519" s="296"/>
    </row>
    <row r="520" spans="1:6" x14ac:dyDescent="0.25">
      <c r="A520" s="296"/>
      <c r="B520" s="296"/>
      <c r="C520" s="296"/>
      <c r="D520" s="296"/>
      <c r="E520" s="296"/>
      <c r="F520" s="296"/>
    </row>
    <row r="521" spans="1:6" x14ac:dyDescent="0.25">
      <c r="A521" s="296"/>
      <c r="B521" s="296"/>
      <c r="C521" s="296"/>
      <c r="D521" s="296"/>
      <c r="E521" s="296"/>
      <c r="F521" s="296"/>
    </row>
    <row r="522" spans="1:6" x14ac:dyDescent="0.25">
      <c r="A522" s="296"/>
      <c r="B522" s="296"/>
      <c r="C522" s="296"/>
      <c r="D522" s="296"/>
      <c r="E522" s="296"/>
      <c r="F522" s="296"/>
    </row>
    <row r="523" spans="1:6" x14ac:dyDescent="0.25">
      <c r="A523" s="296"/>
      <c r="B523" s="296"/>
      <c r="C523" s="296"/>
      <c r="D523" s="296"/>
      <c r="E523" s="296"/>
      <c r="F523" s="296"/>
    </row>
    <row r="524" spans="1:6" x14ac:dyDescent="0.25">
      <c r="A524" s="296"/>
      <c r="B524" s="296"/>
      <c r="C524" s="296"/>
      <c r="D524" s="296"/>
      <c r="E524" s="296"/>
      <c r="F524" s="296"/>
    </row>
    <row r="525" spans="1:6" x14ac:dyDescent="0.25">
      <c r="A525" s="296"/>
      <c r="B525" s="296"/>
      <c r="C525" s="296"/>
      <c r="D525" s="296"/>
      <c r="E525" s="296"/>
      <c r="F525" s="296"/>
    </row>
    <row r="526" spans="1:6" x14ac:dyDescent="0.25">
      <c r="A526" s="296"/>
      <c r="B526" s="296"/>
      <c r="C526" s="296"/>
      <c r="D526" s="296"/>
      <c r="E526" s="296"/>
      <c r="F526" s="296"/>
    </row>
    <row r="527" spans="1:6" x14ac:dyDescent="0.25">
      <c r="A527" s="296"/>
      <c r="B527" s="296"/>
      <c r="C527" s="296"/>
      <c r="D527" s="296"/>
      <c r="E527" s="296"/>
      <c r="F527" s="296"/>
    </row>
    <row r="528" spans="1:6" x14ac:dyDescent="0.25">
      <c r="A528" s="296"/>
      <c r="B528" s="296"/>
      <c r="C528" s="296"/>
      <c r="D528" s="296"/>
      <c r="E528" s="296"/>
      <c r="F528" s="296"/>
    </row>
    <row r="529" spans="1:6" x14ac:dyDescent="0.25">
      <c r="A529" s="296"/>
      <c r="B529" s="296"/>
      <c r="C529" s="296"/>
      <c r="D529" s="296"/>
      <c r="E529" s="296"/>
      <c r="F529" s="296"/>
    </row>
    <row r="530" spans="1:6" x14ac:dyDescent="0.25">
      <c r="A530" s="296"/>
      <c r="B530" s="296"/>
      <c r="C530" s="296"/>
      <c r="D530" s="296"/>
      <c r="E530" s="296"/>
      <c r="F530" s="296"/>
    </row>
    <row r="531" spans="1:6" x14ac:dyDescent="0.25">
      <c r="A531" s="296"/>
      <c r="B531" s="296"/>
      <c r="C531" s="296"/>
      <c r="D531" s="296"/>
      <c r="E531" s="296"/>
      <c r="F531" s="296"/>
    </row>
    <row r="532" spans="1:6" x14ac:dyDescent="0.25">
      <c r="A532" s="296"/>
      <c r="B532" s="296"/>
      <c r="C532" s="296"/>
      <c r="D532" s="296"/>
      <c r="E532" s="296"/>
      <c r="F532" s="296"/>
    </row>
    <row r="533" spans="1:6" x14ac:dyDescent="0.25">
      <c r="A533" s="296"/>
      <c r="B533" s="296"/>
      <c r="C533" s="296"/>
      <c r="D533" s="296"/>
      <c r="E533" s="296"/>
      <c r="F533" s="296"/>
    </row>
    <row r="534" spans="1:6" x14ac:dyDescent="0.25">
      <c r="A534" s="296"/>
      <c r="B534" s="296"/>
      <c r="C534" s="296"/>
      <c r="D534" s="296"/>
      <c r="E534" s="296"/>
      <c r="F534" s="296"/>
    </row>
    <row r="535" spans="1:6" x14ac:dyDescent="0.25">
      <c r="A535" s="296"/>
      <c r="B535" s="296"/>
      <c r="C535" s="296"/>
      <c r="D535" s="296"/>
      <c r="E535" s="296"/>
      <c r="F535" s="296"/>
    </row>
    <row r="536" spans="1:6" x14ac:dyDescent="0.25">
      <c r="A536" s="296"/>
      <c r="B536" s="296"/>
      <c r="C536" s="296"/>
      <c r="D536" s="296"/>
      <c r="E536" s="296"/>
      <c r="F536" s="296"/>
    </row>
    <row r="537" spans="1:6" x14ac:dyDescent="0.25">
      <c r="A537" s="296"/>
      <c r="B537" s="296"/>
      <c r="C537" s="296"/>
      <c r="D537" s="296"/>
      <c r="E537" s="296"/>
      <c r="F537" s="296"/>
    </row>
    <row r="538" spans="1:6" x14ac:dyDescent="0.25">
      <c r="A538" s="296"/>
      <c r="B538" s="296"/>
      <c r="C538" s="296"/>
      <c r="D538" s="296"/>
      <c r="E538" s="296"/>
      <c r="F538" s="296"/>
    </row>
    <row r="539" spans="1:6" x14ac:dyDescent="0.25">
      <c r="A539" s="296"/>
      <c r="B539" s="296"/>
      <c r="C539" s="296"/>
      <c r="D539" s="296"/>
      <c r="E539" s="296"/>
      <c r="F539" s="296"/>
    </row>
    <row r="540" spans="1:6" x14ac:dyDescent="0.25">
      <c r="A540" s="296"/>
      <c r="B540" s="296"/>
      <c r="C540" s="296"/>
      <c r="D540" s="296"/>
      <c r="E540" s="296"/>
      <c r="F540" s="296"/>
    </row>
    <row r="541" spans="1:6" x14ac:dyDescent="0.25">
      <c r="A541" s="296"/>
      <c r="B541" s="296"/>
      <c r="C541" s="296"/>
      <c r="D541" s="296"/>
      <c r="E541" s="296"/>
      <c r="F541" s="296"/>
    </row>
    <row r="542" spans="1:6" x14ac:dyDescent="0.25">
      <c r="A542" s="296"/>
      <c r="B542" s="296"/>
      <c r="C542" s="296"/>
      <c r="D542" s="296"/>
      <c r="E542" s="296"/>
      <c r="F542" s="296"/>
    </row>
    <row r="543" spans="1:6" x14ac:dyDescent="0.25">
      <c r="A543" s="296"/>
      <c r="B543" s="296"/>
      <c r="C543" s="296"/>
      <c r="D543" s="296"/>
      <c r="E543" s="296"/>
      <c r="F543" s="296"/>
    </row>
    <row r="544" spans="1:6" x14ac:dyDescent="0.25">
      <c r="A544" s="296"/>
      <c r="B544" s="296"/>
      <c r="C544" s="296"/>
      <c r="D544" s="296"/>
      <c r="E544" s="296"/>
      <c r="F544" s="296"/>
    </row>
    <row r="545" spans="1:6" x14ac:dyDescent="0.25">
      <c r="A545" s="296"/>
      <c r="B545" s="296"/>
      <c r="C545" s="296"/>
      <c r="D545" s="296"/>
      <c r="E545" s="296"/>
      <c r="F545" s="296"/>
    </row>
    <row r="546" spans="1:6" x14ac:dyDescent="0.25">
      <c r="A546" s="296"/>
      <c r="B546" s="296"/>
      <c r="C546" s="296"/>
      <c r="D546" s="296"/>
      <c r="E546" s="296"/>
      <c r="F546" s="296"/>
    </row>
    <row r="547" spans="1:6" x14ac:dyDescent="0.25">
      <c r="A547" s="296"/>
      <c r="B547" s="296"/>
      <c r="C547" s="296"/>
      <c r="D547" s="296"/>
      <c r="E547" s="296"/>
      <c r="F547" s="296"/>
    </row>
    <row r="548" spans="1:6" x14ac:dyDescent="0.25">
      <c r="A548" s="296"/>
      <c r="B548" s="296"/>
      <c r="C548" s="296"/>
      <c r="D548" s="296"/>
      <c r="E548" s="296"/>
      <c r="F548" s="296"/>
    </row>
    <row r="549" spans="1:6" x14ac:dyDescent="0.25">
      <c r="A549" s="296"/>
      <c r="B549" s="296"/>
      <c r="C549" s="296"/>
      <c r="D549" s="296"/>
      <c r="E549" s="296"/>
      <c r="F549" s="296"/>
    </row>
    <row r="550" spans="1:6" x14ac:dyDescent="0.25">
      <c r="A550" s="296"/>
      <c r="B550" s="296"/>
      <c r="C550" s="296"/>
      <c r="D550" s="296"/>
      <c r="E550" s="296"/>
      <c r="F550" s="296"/>
    </row>
    <row r="551" spans="1:6" x14ac:dyDescent="0.25">
      <c r="A551" s="296"/>
      <c r="B551" s="296"/>
      <c r="C551" s="296"/>
      <c r="D551" s="296"/>
      <c r="E551" s="296"/>
      <c r="F551" s="296"/>
    </row>
    <row r="552" spans="1:6" x14ac:dyDescent="0.25">
      <c r="A552" s="296"/>
      <c r="B552" s="296"/>
      <c r="C552" s="296"/>
      <c r="D552" s="296"/>
      <c r="E552" s="296"/>
      <c r="F552" s="296"/>
    </row>
    <row r="553" spans="1:6" x14ac:dyDescent="0.25">
      <c r="A553" s="296"/>
      <c r="B553" s="296"/>
      <c r="C553" s="296"/>
      <c r="D553" s="296"/>
      <c r="E553" s="296"/>
      <c r="F553" s="296"/>
    </row>
    <row r="554" spans="1:6" x14ac:dyDescent="0.25">
      <c r="A554" s="296"/>
      <c r="B554" s="296"/>
      <c r="C554" s="296"/>
      <c r="D554" s="296"/>
      <c r="E554" s="296"/>
      <c r="F554" s="296"/>
    </row>
    <row r="555" spans="1:6" x14ac:dyDescent="0.25">
      <c r="A555" s="296"/>
      <c r="B555" s="296"/>
      <c r="C555" s="296"/>
      <c r="D555" s="296"/>
      <c r="E555" s="296"/>
      <c r="F555" s="296"/>
    </row>
    <row r="556" spans="1:6" x14ac:dyDescent="0.25">
      <c r="A556" s="296"/>
      <c r="B556" s="296"/>
      <c r="C556" s="296"/>
      <c r="D556" s="296"/>
      <c r="E556" s="296"/>
      <c r="F556" s="296"/>
    </row>
    <row r="557" spans="1:6" x14ac:dyDescent="0.25">
      <c r="A557" s="296"/>
      <c r="B557" s="296"/>
      <c r="C557" s="296"/>
      <c r="D557" s="296"/>
      <c r="E557" s="296"/>
      <c r="F557" s="296"/>
    </row>
    <row r="558" spans="1:6" x14ac:dyDescent="0.25">
      <c r="A558" s="296"/>
      <c r="B558" s="296"/>
      <c r="C558" s="296"/>
      <c r="D558" s="296"/>
      <c r="E558" s="296"/>
      <c r="F558" s="296"/>
    </row>
    <row r="559" spans="1:6" x14ac:dyDescent="0.25">
      <c r="A559" s="296"/>
      <c r="B559" s="296"/>
      <c r="C559" s="296"/>
      <c r="D559" s="296"/>
      <c r="E559" s="296"/>
      <c r="F559" s="296"/>
    </row>
  </sheetData>
  <autoFilter ref="A2:F124" xr:uid="{96D9B4F1-5F3E-4776-9A29-3D799C2CD14B}"/>
  <mergeCells count="1">
    <mergeCell ref="A1:F1"/>
  </mergeCells>
  <pageMargins left="0.7" right="0.7" top="0.75" bottom="0.75" header="0.3" footer="0.3"/>
  <pageSetup orientation="portrait" horizontalDpi="300" verticalDpi="300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B4C74-FEE4-4603-BEC2-7001BAB46555}">
  <sheetPr filterMode="1"/>
  <dimension ref="A1:G386"/>
  <sheetViews>
    <sheetView topLeftCell="A305" workbookViewId="0">
      <selection activeCell="E316" sqref="E316:E322"/>
    </sheetView>
  </sheetViews>
  <sheetFormatPr baseColWidth="10" defaultRowHeight="14.4" x14ac:dyDescent="0.3"/>
  <cols>
    <col min="2" max="2" width="25.21875" bestFit="1" customWidth="1"/>
    <col min="3" max="3" width="13.21875" bestFit="1" customWidth="1"/>
    <col min="4" max="4" width="15.44140625" bestFit="1" customWidth="1"/>
    <col min="5" max="5" width="14.21875" bestFit="1" customWidth="1"/>
  </cols>
  <sheetData>
    <row r="1" spans="1:6" x14ac:dyDescent="0.3">
      <c r="A1" s="367" t="s">
        <v>195</v>
      </c>
      <c r="B1" s="367"/>
      <c r="C1" s="367"/>
      <c r="D1" s="367"/>
      <c r="E1" s="367"/>
      <c r="F1" s="367"/>
    </row>
    <row r="2" spans="1:6" x14ac:dyDescent="0.3">
      <c r="A2" s="35" t="s">
        <v>0</v>
      </c>
      <c r="B2" s="23" t="s">
        <v>60</v>
      </c>
      <c r="C2" s="23" t="s">
        <v>2</v>
      </c>
      <c r="D2" s="23" t="s">
        <v>3</v>
      </c>
      <c r="E2" s="36" t="s">
        <v>1</v>
      </c>
      <c r="F2" s="286" t="s">
        <v>18</v>
      </c>
    </row>
    <row r="3" spans="1:6" x14ac:dyDescent="0.3">
      <c r="A3" s="6">
        <v>43101</v>
      </c>
      <c r="B3" s="33" t="s">
        <v>214</v>
      </c>
      <c r="C3" s="4" t="s">
        <v>198</v>
      </c>
      <c r="D3" s="173">
        <v>28650000</v>
      </c>
      <c r="E3" s="170">
        <v>42500000</v>
      </c>
      <c r="F3" s="4" t="s">
        <v>199</v>
      </c>
    </row>
    <row r="4" spans="1:6" hidden="1" x14ac:dyDescent="0.3">
      <c r="A4" s="6">
        <v>43101</v>
      </c>
      <c r="B4" s="18" t="s">
        <v>196</v>
      </c>
      <c r="C4" s="4" t="s">
        <v>16</v>
      </c>
      <c r="D4" s="241">
        <v>12250000</v>
      </c>
      <c r="E4" s="170">
        <v>10500000</v>
      </c>
      <c r="F4" s="4" t="s">
        <v>199</v>
      </c>
    </row>
    <row r="5" spans="1:6" hidden="1" x14ac:dyDescent="0.3">
      <c r="A5" s="6">
        <v>43101</v>
      </c>
      <c r="B5" s="18" t="s">
        <v>197</v>
      </c>
      <c r="C5" s="4" t="s">
        <v>16</v>
      </c>
      <c r="D5" s="173">
        <v>9550000</v>
      </c>
      <c r="E5" s="170">
        <v>10500000</v>
      </c>
      <c r="F5" s="4" t="s">
        <v>199</v>
      </c>
    </row>
    <row r="6" spans="1:6" hidden="1" x14ac:dyDescent="0.3">
      <c r="A6" s="6">
        <v>43101</v>
      </c>
      <c r="B6" s="18" t="s">
        <v>118</v>
      </c>
      <c r="C6" s="4" t="s">
        <v>16</v>
      </c>
      <c r="D6" s="173">
        <v>3850000</v>
      </c>
      <c r="E6" s="170">
        <v>10500000</v>
      </c>
      <c r="F6" s="4" t="s">
        <v>199</v>
      </c>
    </row>
    <row r="7" spans="1:6" hidden="1" x14ac:dyDescent="0.3">
      <c r="A7" s="6">
        <v>43101</v>
      </c>
      <c r="B7" s="18" t="s">
        <v>77</v>
      </c>
      <c r="C7" s="4" t="s">
        <v>17</v>
      </c>
      <c r="D7" s="211">
        <v>12650000</v>
      </c>
      <c r="E7" s="300">
        <v>13500000</v>
      </c>
      <c r="F7" s="4" t="s">
        <v>199</v>
      </c>
    </row>
    <row r="8" spans="1:6" x14ac:dyDescent="0.3">
      <c r="A8" s="6">
        <v>43132</v>
      </c>
      <c r="B8" s="33" t="s">
        <v>214</v>
      </c>
      <c r="C8" s="4" t="s">
        <v>198</v>
      </c>
      <c r="D8" s="173">
        <v>24250000</v>
      </c>
      <c r="E8" s="170">
        <v>42500000</v>
      </c>
      <c r="F8" s="4" t="s">
        <v>199</v>
      </c>
    </row>
    <row r="9" spans="1:6" hidden="1" x14ac:dyDescent="0.3">
      <c r="A9" s="6">
        <v>43132</v>
      </c>
      <c r="B9" s="18" t="s">
        <v>196</v>
      </c>
      <c r="C9" s="4" t="s">
        <v>16</v>
      </c>
      <c r="D9" s="173">
        <v>6200000</v>
      </c>
      <c r="E9" s="170">
        <v>10500000</v>
      </c>
      <c r="F9" s="4" t="s">
        <v>199</v>
      </c>
    </row>
    <row r="10" spans="1:6" hidden="1" x14ac:dyDescent="0.3">
      <c r="A10" s="6">
        <v>43132</v>
      </c>
      <c r="B10" s="18" t="s">
        <v>197</v>
      </c>
      <c r="C10" s="4" t="s">
        <v>16</v>
      </c>
      <c r="D10" s="173">
        <v>5600000</v>
      </c>
      <c r="E10" s="170">
        <v>10500000</v>
      </c>
      <c r="F10" s="4" t="s">
        <v>199</v>
      </c>
    </row>
    <row r="11" spans="1:6" hidden="1" x14ac:dyDescent="0.3">
      <c r="A11" s="6">
        <v>43132</v>
      </c>
      <c r="B11" s="18" t="s">
        <v>118</v>
      </c>
      <c r="C11" s="4" t="s">
        <v>16</v>
      </c>
      <c r="D11" s="241">
        <v>12450000</v>
      </c>
      <c r="E11" s="170">
        <v>10500000</v>
      </c>
      <c r="F11" s="4" t="s">
        <v>199</v>
      </c>
    </row>
    <row r="12" spans="1:6" hidden="1" x14ac:dyDescent="0.3">
      <c r="A12" s="6">
        <v>43132</v>
      </c>
      <c r="B12" s="18" t="s">
        <v>77</v>
      </c>
      <c r="C12" s="4" t="s">
        <v>17</v>
      </c>
      <c r="D12" s="174">
        <v>17530000</v>
      </c>
      <c r="E12" s="300">
        <v>13500000</v>
      </c>
      <c r="F12" s="4" t="s">
        <v>199</v>
      </c>
    </row>
    <row r="13" spans="1:6" x14ac:dyDescent="0.3">
      <c r="A13" s="6">
        <v>43160</v>
      </c>
      <c r="B13" s="33" t="s">
        <v>214</v>
      </c>
      <c r="C13" s="4" t="s">
        <v>198</v>
      </c>
      <c r="D13" s="173">
        <v>17450000</v>
      </c>
      <c r="E13" s="170">
        <v>42500000</v>
      </c>
      <c r="F13" s="4" t="s">
        <v>199</v>
      </c>
    </row>
    <row r="14" spans="1:6" hidden="1" x14ac:dyDescent="0.3">
      <c r="A14" s="6">
        <v>43160</v>
      </c>
      <c r="B14" s="18" t="s">
        <v>196</v>
      </c>
      <c r="C14" s="4" t="s">
        <v>16</v>
      </c>
      <c r="D14" s="173">
        <v>6150000</v>
      </c>
      <c r="E14" s="170">
        <v>10500000</v>
      </c>
      <c r="F14" s="4" t="s">
        <v>199</v>
      </c>
    </row>
    <row r="15" spans="1:6" hidden="1" x14ac:dyDescent="0.3">
      <c r="A15" s="6">
        <v>43160</v>
      </c>
      <c r="B15" s="18" t="s">
        <v>197</v>
      </c>
      <c r="C15" s="4" t="s">
        <v>16</v>
      </c>
      <c r="D15" s="173">
        <v>4300000</v>
      </c>
      <c r="E15" s="170">
        <v>10500000</v>
      </c>
      <c r="F15" s="4" t="s">
        <v>199</v>
      </c>
    </row>
    <row r="16" spans="1:6" hidden="1" x14ac:dyDescent="0.3">
      <c r="A16" s="6">
        <v>43160</v>
      </c>
      <c r="B16" s="18" t="s">
        <v>118</v>
      </c>
      <c r="C16" s="4" t="s">
        <v>16</v>
      </c>
      <c r="D16" s="173">
        <v>700000</v>
      </c>
      <c r="E16" s="170">
        <v>10500000</v>
      </c>
      <c r="F16" s="4" t="s">
        <v>199</v>
      </c>
    </row>
    <row r="17" spans="1:6" hidden="1" x14ac:dyDescent="0.3">
      <c r="A17" s="6">
        <v>43160</v>
      </c>
      <c r="B17" s="18" t="s">
        <v>77</v>
      </c>
      <c r="C17" s="4" t="s">
        <v>17</v>
      </c>
      <c r="D17" s="174">
        <v>13500000</v>
      </c>
      <c r="E17" s="300">
        <v>13500000</v>
      </c>
      <c r="F17" s="4" t="s">
        <v>199</v>
      </c>
    </row>
    <row r="18" spans="1:6" x14ac:dyDescent="0.3">
      <c r="A18" s="6">
        <v>43191</v>
      </c>
      <c r="B18" s="33" t="s">
        <v>214</v>
      </c>
      <c r="C18" s="4" t="s">
        <v>198</v>
      </c>
      <c r="D18" s="173">
        <v>28800000</v>
      </c>
      <c r="E18" s="170">
        <v>42500000</v>
      </c>
      <c r="F18" s="4" t="s">
        <v>199</v>
      </c>
    </row>
    <row r="19" spans="1:6" hidden="1" x14ac:dyDescent="0.3">
      <c r="A19" s="6">
        <v>43191</v>
      </c>
      <c r="B19" s="18" t="s">
        <v>196</v>
      </c>
      <c r="C19" s="4" t="s">
        <v>16</v>
      </c>
      <c r="D19" s="160">
        <v>12450000</v>
      </c>
      <c r="E19" s="170">
        <v>10500000</v>
      </c>
      <c r="F19" s="4" t="s">
        <v>199</v>
      </c>
    </row>
    <row r="20" spans="1:6" hidden="1" x14ac:dyDescent="0.3">
      <c r="A20" s="6">
        <v>43191</v>
      </c>
      <c r="B20" s="18" t="s">
        <v>197</v>
      </c>
      <c r="C20" s="4" t="s">
        <v>16</v>
      </c>
      <c r="D20" s="160">
        <v>8900000</v>
      </c>
      <c r="E20" s="170">
        <v>10500000</v>
      </c>
      <c r="F20" s="4" t="s">
        <v>199</v>
      </c>
    </row>
    <row r="21" spans="1:6" hidden="1" x14ac:dyDescent="0.3">
      <c r="A21" s="6">
        <v>43191</v>
      </c>
      <c r="B21" s="18" t="s">
        <v>118</v>
      </c>
      <c r="C21" s="4" t="s">
        <v>16</v>
      </c>
      <c r="D21" s="160">
        <v>7450000</v>
      </c>
      <c r="E21" s="170">
        <v>10500000</v>
      </c>
      <c r="F21" s="4" t="s">
        <v>199</v>
      </c>
    </row>
    <row r="22" spans="1:6" hidden="1" x14ac:dyDescent="0.3">
      <c r="A22" s="6">
        <v>43191</v>
      </c>
      <c r="B22" s="18" t="s">
        <v>77</v>
      </c>
      <c r="C22" s="4" t="s">
        <v>17</v>
      </c>
      <c r="D22" s="174">
        <v>18239730</v>
      </c>
      <c r="E22" s="300">
        <v>13500000</v>
      </c>
      <c r="F22" s="4" t="s">
        <v>199</v>
      </c>
    </row>
    <row r="23" spans="1:6" x14ac:dyDescent="0.3">
      <c r="A23" s="6">
        <v>43221</v>
      </c>
      <c r="B23" s="33" t="s">
        <v>214</v>
      </c>
      <c r="C23" s="4" t="s">
        <v>198</v>
      </c>
      <c r="D23" s="173">
        <v>34820000</v>
      </c>
      <c r="E23" s="170">
        <v>42500000</v>
      </c>
      <c r="F23" s="4" t="s">
        <v>199</v>
      </c>
    </row>
    <row r="24" spans="1:6" hidden="1" x14ac:dyDescent="0.3">
      <c r="A24" s="6">
        <v>43221</v>
      </c>
      <c r="B24" s="18" t="s">
        <v>196</v>
      </c>
      <c r="C24" s="4" t="s">
        <v>16</v>
      </c>
      <c r="D24" s="160">
        <v>17020000</v>
      </c>
      <c r="E24" s="170">
        <v>10500000</v>
      </c>
      <c r="F24" s="4" t="s">
        <v>199</v>
      </c>
    </row>
    <row r="25" spans="1:6" hidden="1" x14ac:dyDescent="0.3">
      <c r="A25" s="6">
        <v>43221</v>
      </c>
      <c r="B25" s="18" t="s">
        <v>197</v>
      </c>
      <c r="C25" s="4" t="s">
        <v>16</v>
      </c>
      <c r="D25" s="160">
        <v>9300000</v>
      </c>
      <c r="E25" s="170">
        <v>10500000</v>
      </c>
      <c r="F25" s="4" t="s">
        <v>199</v>
      </c>
    </row>
    <row r="26" spans="1:6" hidden="1" x14ac:dyDescent="0.3">
      <c r="A26" s="6">
        <v>43221</v>
      </c>
      <c r="B26" s="18" t="s">
        <v>118</v>
      </c>
      <c r="C26" s="4" t="s">
        <v>16</v>
      </c>
      <c r="D26" s="160">
        <v>8500000</v>
      </c>
      <c r="E26" s="170">
        <v>10500000</v>
      </c>
      <c r="F26" s="4" t="s">
        <v>199</v>
      </c>
    </row>
    <row r="27" spans="1:6" hidden="1" x14ac:dyDescent="0.3">
      <c r="A27" s="6">
        <v>43221</v>
      </c>
      <c r="B27" s="18" t="s">
        <v>77</v>
      </c>
      <c r="C27" s="295" t="s">
        <v>17</v>
      </c>
      <c r="D27" s="175">
        <v>25220000</v>
      </c>
      <c r="E27" s="302">
        <v>13500000</v>
      </c>
      <c r="F27" s="4" t="s">
        <v>199</v>
      </c>
    </row>
    <row r="28" spans="1:6" x14ac:dyDescent="0.3">
      <c r="A28" s="6">
        <v>43466</v>
      </c>
      <c r="B28" s="33" t="s">
        <v>214</v>
      </c>
      <c r="C28" s="4" t="s">
        <v>198</v>
      </c>
      <c r="D28" s="126">
        <v>41090000</v>
      </c>
      <c r="E28" s="191">
        <v>42500000</v>
      </c>
      <c r="F28" s="4" t="s">
        <v>199</v>
      </c>
    </row>
    <row r="29" spans="1:6" hidden="1" x14ac:dyDescent="0.3">
      <c r="A29" s="6">
        <v>43466</v>
      </c>
      <c r="B29" s="31" t="s">
        <v>196</v>
      </c>
      <c r="C29" s="4" t="s">
        <v>16</v>
      </c>
      <c r="D29" s="179">
        <v>20120000</v>
      </c>
      <c r="E29" s="191">
        <v>9166667</v>
      </c>
      <c r="F29" s="4" t="s">
        <v>199</v>
      </c>
    </row>
    <row r="30" spans="1:6" hidden="1" x14ac:dyDescent="0.3">
      <c r="A30" s="6">
        <v>43466</v>
      </c>
      <c r="B30" s="301" t="s">
        <v>184</v>
      </c>
      <c r="C30" s="4" t="s">
        <v>16</v>
      </c>
      <c r="D30" s="164">
        <v>8470500</v>
      </c>
      <c r="E30" s="191">
        <v>7500000</v>
      </c>
      <c r="F30" s="4" t="s">
        <v>199</v>
      </c>
    </row>
    <row r="31" spans="1:6" hidden="1" x14ac:dyDescent="0.3">
      <c r="A31" s="6">
        <v>43466</v>
      </c>
      <c r="B31" s="301" t="s">
        <v>200</v>
      </c>
      <c r="C31" s="4" t="s">
        <v>16</v>
      </c>
      <c r="D31" s="304">
        <v>5600000</v>
      </c>
      <c r="E31" s="191">
        <v>7500000</v>
      </c>
      <c r="F31" s="4" t="s">
        <v>199</v>
      </c>
    </row>
    <row r="32" spans="1:6" hidden="1" x14ac:dyDescent="0.3">
      <c r="A32" s="6">
        <v>43466</v>
      </c>
      <c r="B32" s="31" t="s">
        <v>131</v>
      </c>
      <c r="C32" s="4" t="s">
        <v>17</v>
      </c>
      <c r="D32" s="126">
        <v>12870000</v>
      </c>
      <c r="E32" s="191">
        <v>15833333</v>
      </c>
      <c r="F32" s="4" t="s">
        <v>199</v>
      </c>
    </row>
    <row r="33" spans="1:6" hidden="1" x14ac:dyDescent="0.3">
      <c r="A33" s="6">
        <v>43466</v>
      </c>
      <c r="B33" s="31" t="s">
        <v>77</v>
      </c>
      <c r="C33" s="4" t="s">
        <v>17</v>
      </c>
      <c r="D33" s="179">
        <v>28220500</v>
      </c>
      <c r="E33" s="191">
        <v>15833333</v>
      </c>
      <c r="F33" s="4" t="s">
        <v>199</v>
      </c>
    </row>
    <row r="34" spans="1:6" x14ac:dyDescent="0.3">
      <c r="A34" s="6">
        <v>43497</v>
      </c>
      <c r="B34" s="33" t="s">
        <v>214</v>
      </c>
      <c r="C34" s="4" t="s">
        <v>198</v>
      </c>
      <c r="D34" s="173">
        <v>31850000</v>
      </c>
      <c r="E34" s="170">
        <v>42500000</v>
      </c>
      <c r="F34" s="4" t="s">
        <v>199</v>
      </c>
    </row>
    <row r="35" spans="1:6" hidden="1" x14ac:dyDescent="0.3">
      <c r="A35" s="6">
        <v>43497</v>
      </c>
      <c r="B35" s="181" t="s">
        <v>196</v>
      </c>
      <c r="C35" s="4" t="s">
        <v>16</v>
      </c>
      <c r="D35" s="173">
        <v>5550000</v>
      </c>
      <c r="E35" s="170">
        <v>9166667</v>
      </c>
      <c r="F35" s="4" t="s">
        <v>199</v>
      </c>
    </row>
    <row r="36" spans="1:6" hidden="1" x14ac:dyDescent="0.3">
      <c r="A36" s="6">
        <v>43497</v>
      </c>
      <c r="B36" s="181" t="s">
        <v>197</v>
      </c>
      <c r="C36" s="4" t="s">
        <v>16</v>
      </c>
      <c r="D36" s="160">
        <v>11050000</v>
      </c>
      <c r="E36" s="170">
        <v>9166667</v>
      </c>
      <c r="F36" s="4" t="s">
        <v>199</v>
      </c>
    </row>
    <row r="37" spans="1:6" hidden="1" x14ac:dyDescent="0.3">
      <c r="A37" s="6">
        <v>43497</v>
      </c>
      <c r="B37" s="303" t="s">
        <v>184</v>
      </c>
      <c r="C37" s="4" t="s">
        <v>16</v>
      </c>
      <c r="D37" s="305">
        <v>5650000</v>
      </c>
      <c r="E37" s="170">
        <v>7500000</v>
      </c>
      <c r="F37" s="4" t="s">
        <v>199</v>
      </c>
    </row>
    <row r="38" spans="1:6" hidden="1" x14ac:dyDescent="0.3">
      <c r="A38" s="6">
        <v>43497</v>
      </c>
      <c r="B38" s="181" t="s">
        <v>131</v>
      </c>
      <c r="C38" s="4" t="s">
        <v>17</v>
      </c>
      <c r="D38" s="175">
        <v>17850000</v>
      </c>
      <c r="E38" s="300">
        <v>15833333</v>
      </c>
      <c r="F38" s="4" t="s">
        <v>199</v>
      </c>
    </row>
    <row r="39" spans="1:6" hidden="1" x14ac:dyDescent="0.3">
      <c r="A39" s="6">
        <v>43497</v>
      </c>
      <c r="B39" s="181" t="s">
        <v>77</v>
      </c>
      <c r="C39" s="295" t="s">
        <v>17</v>
      </c>
      <c r="D39" s="288">
        <v>14000000</v>
      </c>
      <c r="E39" s="302">
        <v>15833333</v>
      </c>
      <c r="F39" s="4" t="s">
        <v>199</v>
      </c>
    </row>
    <row r="40" spans="1:6" x14ac:dyDescent="0.3">
      <c r="A40" s="6">
        <v>43525</v>
      </c>
      <c r="B40" s="33" t="s">
        <v>214</v>
      </c>
      <c r="C40" s="4" t="s">
        <v>198</v>
      </c>
      <c r="D40" s="179">
        <v>43498700</v>
      </c>
      <c r="E40" s="191">
        <v>42500000</v>
      </c>
      <c r="F40" s="4" t="s">
        <v>199</v>
      </c>
    </row>
    <row r="41" spans="1:6" hidden="1" x14ac:dyDescent="0.3">
      <c r="A41" s="6">
        <v>43525</v>
      </c>
      <c r="B41" s="192" t="s">
        <v>196</v>
      </c>
      <c r="C41" s="4" t="s">
        <v>16</v>
      </c>
      <c r="D41" s="179">
        <v>17198700</v>
      </c>
      <c r="E41" s="191">
        <v>9166667</v>
      </c>
      <c r="F41" s="4" t="s">
        <v>199</v>
      </c>
    </row>
    <row r="42" spans="1:6" hidden="1" x14ac:dyDescent="0.3">
      <c r="A42" s="6">
        <v>43525</v>
      </c>
      <c r="B42" s="192" t="s">
        <v>197</v>
      </c>
      <c r="C42" s="4" t="s">
        <v>16</v>
      </c>
      <c r="D42" s="126">
        <v>6400000</v>
      </c>
      <c r="E42" s="191">
        <v>9166667</v>
      </c>
      <c r="F42" s="4" t="s">
        <v>199</v>
      </c>
    </row>
    <row r="43" spans="1:6" hidden="1" x14ac:dyDescent="0.3">
      <c r="A43" s="6">
        <v>43525</v>
      </c>
      <c r="B43" s="306" t="s">
        <v>184</v>
      </c>
      <c r="C43" s="4" t="s">
        <v>16</v>
      </c>
      <c r="D43" s="304">
        <v>5600000</v>
      </c>
      <c r="E43" s="191">
        <v>7500000</v>
      </c>
      <c r="F43" s="4" t="s">
        <v>199</v>
      </c>
    </row>
    <row r="44" spans="1:6" hidden="1" x14ac:dyDescent="0.3">
      <c r="A44" s="6">
        <v>43525</v>
      </c>
      <c r="B44" s="306" t="s">
        <v>200</v>
      </c>
      <c r="C44" s="4" t="s">
        <v>16</v>
      </c>
      <c r="D44" s="164">
        <v>6300000</v>
      </c>
      <c r="E44" s="191">
        <v>7500000</v>
      </c>
      <c r="F44" s="4" t="s">
        <v>199</v>
      </c>
    </row>
    <row r="45" spans="1:6" hidden="1" x14ac:dyDescent="0.3">
      <c r="A45" s="6">
        <v>43525</v>
      </c>
      <c r="B45" s="192" t="s">
        <v>131</v>
      </c>
      <c r="C45" s="4" t="s">
        <v>17</v>
      </c>
      <c r="D45" s="179">
        <v>26548700</v>
      </c>
      <c r="E45" s="191">
        <v>15833333</v>
      </c>
      <c r="F45" s="4" t="s">
        <v>199</v>
      </c>
    </row>
    <row r="46" spans="1:6" hidden="1" x14ac:dyDescent="0.3">
      <c r="A46" s="6">
        <v>43525</v>
      </c>
      <c r="B46" s="192" t="s">
        <v>77</v>
      </c>
      <c r="C46" s="4" t="s">
        <v>17</v>
      </c>
      <c r="D46" s="179">
        <v>7500000</v>
      </c>
      <c r="E46" s="191">
        <v>15833333</v>
      </c>
      <c r="F46" s="4" t="s">
        <v>199</v>
      </c>
    </row>
    <row r="47" spans="1:6" hidden="1" x14ac:dyDescent="0.3">
      <c r="A47" s="6">
        <v>43525</v>
      </c>
      <c r="B47" s="193" t="s">
        <v>201</v>
      </c>
      <c r="C47" s="4" t="s">
        <v>17</v>
      </c>
      <c r="D47" s="179">
        <v>6550000</v>
      </c>
      <c r="E47" s="191">
        <v>15833333</v>
      </c>
      <c r="F47" s="4" t="s">
        <v>199</v>
      </c>
    </row>
    <row r="48" spans="1:6" x14ac:dyDescent="0.3">
      <c r="A48" s="6">
        <v>43556</v>
      </c>
      <c r="B48" s="33" t="s">
        <v>214</v>
      </c>
      <c r="C48" s="4" t="s">
        <v>198</v>
      </c>
      <c r="D48" s="126">
        <v>20900000</v>
      </c>
      <c r="E48" s="191">
        <v>42500000</v>
      </c>
      <c r="F48" s="4" t="s">
        <v>199</v>
      </c>
    </row>
    <row r="49" spans="1:6" hidden="1" x14ac:dyDescent="0.3">
      <c r="A49" s="6">
        <v>43556</v>
      </c>
      <c r="B49" s="31" t="s">
        <v>196</v>
      </c>
      <c r="C49" s="4" t="s">
        <v>16</v>
      </c>
      <c r="D49" s="179">
        <v>11300000</v>
      </c>
      <c r="E49" s="191">
        <v>9166667</v>
      </c>
      <c r="F49" s="4" t="s">
        <v>199</v>
      </c>
    </row>
    <row r="50" spans="1:6" hidden="1" x14ac:dyDescent="0.3">
      <c r="A50" s="6">
        <v>43556</v>
      </c>
      <c r="B50" s="31" t="s">
        <v>197</v>
      </c>
      <c r="C50" s="4" t="s">
        <v>16</v>
      </c>
      <c r="D50" s="126">
        <v>7000000</v>
      </c>
      <c r="E50" s="191">
        <v>9166667</v>
      </c>
      <c r="F50" s="4" t="s">
        <v>199</v>
      </c>
    </row>
    <row r="51" spans="1:6" hidden="1" x14ac:dyDescent="0.3">
      <c r="A51" s="6">
        <v>43556</v>
      </c>
      <c r="B51" s="301" t="s">
        <v>184</v>
      </c>
      <c r="C51" s="4" t="s">
        <v>16</v>
      </c>
      <c r="D51" s="126">
        <v>2600000</v>
      </c>
      <c r="E51" s="191">
        <v>7500000</v>
      </c>
      <c r="F51" s="4" t="s">
        <v>199</v>
      </c>
    </row>
    <row r="52" spans="1:6" hidden="1" x14ac:dyDescent="0.3">
      <c r="A52" s="6">
        <v>43556</v>
      </c>
      <c r="B52" s="31" t="s">
        <v>131</v>
      </c>
      <c r="C52" s="4" t="s">
        <v>17</v>
      </c>
      <c r="D52" s="126">
        <v>13200000</v>
      </c>
      <c r="E52" s="191">
        <v>15833333</v>
      </c>
      <c r="F52" s="4" t="s">
        <v>199</v>
      </c>
    </row>
    <row r="53" spans="1:6" hidden="1" x14ac:dyDescent="0.3">
      <c r="A53" s="6">
        <v>43556</v>
      </c>
      <c r="B53" s="31" t="s">
        <v>77</v>
      </c>
      <c r="C53" s="4" t="s">
        <v>17</v>
      </c>
      <c r="D53" s="179">
        <v>7700000</v>
      </c>
      <c r="E53" s="191">
        <v>15833333</v>
      </c>
      <c r="F53" s="4" t="s">
        <v>199</v>
      </c>
    </row>
    <row r="54" spans="1:6" hidden="1" x14ac:dyDescent="0.3">
      <c r="A54" s="6">
        <v>43556</v>
      </c>
      <c r="B54" s="29" t="s">
        <v>202</v>
      </c>
      <c r="C54" s="307" t="s">
        <v>17</v>
      </c>
      <c r="D54" s="200">
        <v>7700000</v>
      </c>
      <c r="E54" s="300">
        <v>15833333</v>
      </c>
      <c r="F54" s="4" t="s">
        <v>199</v>
      </c>
    </row>
    <row r="55" spans="1:6" x14ac:dyDescent="0.3">
      <c r="A55" s="6">
        <v>43586</v>
      </c>
      <c r="B55" s="33" t="s">
        <v>214</v>
      </c>
      <c r="C55" s="4" t="s">
        <v>198</v>
      </c>
      <c r="D55" s="211">
        <v>35000000</v>
      </c>
      <c r="E55" s="170">
        <v>42500000</v>
      </c>
      <c r="F55" s="4" t="s">
        <v>199</v>
      </c>
    </row>
    <row r="56" spans="1:6" hidden="1" x14ac:dyDescent="0.3">
      <c r="A56" s="6">
        <v>43586</v>
      </c>
      <c r="B56" s="18" t="s">
        <v>196</v>
      </c>
      <c r="C56" s="4" t="s">
        <v>16</v>
      </c>
      <c r="D56" s="174">
        <v>11500000</v>
      </c>
      <c r="E56" s="170">
        <v>9166667</v>
      </c>
      <c r="F56" s="4" t="s">
        <v>199</v>
      </c>
    </row>
    <row r="57" spans="1:6" hidden="1" x14ac:dyDescent="0.3">
      <c r="A57" s="6">
        <v>43586</v>
      </c>
      <c r="B57" s="18" t="s">
        <v>197</v>
      </c>
      <c r="C57" s="4" t="s">
        <v>16</v>
      </c>
      <c r="D57" s="174">
        <v>14900000</v>
      </c>
      <c r="E57" s="170">
        <v>9166667</v>
      </c>
      <c r="F57" s="4" t="s">
        <v>199</v>
      </c>
    </row>
    <row r="58" spans="1:6" hidden="1" x14ac:dyDescent="0.3">
      <c r="A58" s="6">
        <v>43586</v>
      </c>
      <c r="B58" s="38" t="s">
        <v>184</v>
      </c>
      <c r="C58" s="4" t="s">
        <v>16</v>
      </c>
      <c r="D58" s="174">
        <v>8600000</v>
      </c>
      <c r="E58" s="170">
        <v>7500000</v>
      </c>
      <c r="F58" s="4" t="s">
        <v>199</v>
      </c>
    </row>
    <row r="59" spans="1:6" hidden="1" x14ac:dyDescent="0.3">
      <c r="A59" s="6">
        <v>43586</v>
      </c>
      <c r="B59" s="38" t="s">
        <v>200</v>
      </c>
      <c r="C59" s="4" t="s">
        <v>16</v>
      </c>
      <c r="D59" s="174">
        <v>20900000</v>
      </c>
      <c r="E59" s="170">
        <v>7500000</v>
      </c>
      <c r="F59" s="4" t="s">
        <v>199</v>
      </c>
    </row>
    <row r="60" spans="1:6" hidden="1" x14ac:dyDescent="0.3">
      <c r="A60" s="6">
        <v>43586</v>
      </c>
      <c r="B60" s="18" t="s">
        <v>131</v>
      </c>
      <c r="C60" s="4" t="s">
        <v>17</v>
      </c>
      <c r="D60" s="174">
        <v>18050000</v>
      </c>
      <c r="E60" s="300">
        <v>15833333</v>
      </c>
      <c r="F60" s="4" t="s">
        <v>199</v>
      </c>
    </row>
    <row r="61" spans="1:6" hidden="1" x14ac:dyDescent="0.3">
      <c r="A61" s="6">
        <v>43586</v>
      </c>
      <c r="B61" s="29" t="s">
        <v>202</v>
      </c>
      <c r="C61" s="4" t="s">
        <v>17</v>
      </c>
      <c r="D61" s="174">
        <v>16950000</v>
      </c>
      <c r="E61" s="300">
        <v>15833333</v>
      </c>
      <c r="F61" s="4" t="s">
        <v>199</v>
      </c>
    </row>
    <row r="62" spans="1:6" x14ac:dyDescent="0.3">
      <c r="A62" s="6">
        <v>43617</v>
      </c>
      <c r="B62" s="33" t="s">
        <v>214</v>
      </c>
      <c r="C62" s="4" t="s">
        <v>198</v>
      </c>
      <c r="D62" s="160">
        <v>46000000</v>
      </c>
      <c r="E62" s="170">
        <v>42500000</v>
      </c>
      <c r="F62" s="4" t="s">
        <v>199</v>
      </c>
    </row>
    <row r="63" spans="1:6" hidden="1" x14ac:dyDescent="0.3">
      <c r="A63" s="6">
        <v>43617</v>
      </c>
      <c r="B63" s="18" t="s">
        <v>196</v>
      </c>
      <c r="C63" s="4" t="s">
        <v>16</v>
      </c>
      <c r="D63" s="160">
        <v>16300000</v>
      </c>
      <c r="E63" s="170">
        <v>9166667</v>
      </c>
      <c r="F63" s="4" t="s">
        <v>199</v>
      </c>
    </row>
    <row r="64" spans="1:6" hidden="1" x14ac:dyDescent="0.3">
      <c r="A64" s="6">
        <v>43617</v>
      </c>
      <c r="B64" s="18" t="s">
        <v>197</v>
      </c>
      <c r="C64" s="4" t="s">
        <v>16</v>
      </c>
      <c r="D64" s="160">
        <v>15970000</v>
      </c>
      <c r="E64" s="170">
        <v>9166667</v>
      </c>
      <c r="F64" s="4" t="s">
        <v>199</v>
      </c>
    </row>
    <row r="65" spans="1:6" hidden="1" x14ac:dyDescent="0.3">
      <c r="A65" s="6">
        <v>43617</v>
      </c>
      <c r="B65" s="38" t="s">
        <v>184</v>
      </c>
      <c r="C65" s="4" t="s">
        <v>16</v>
      </c>
      <c r="D65" s="207">
        <v>12080000</v>
      </c>
      <c r="E65" s="170">
        <v>7500000</v>
      </c>
      <c r="F65" s="4" t="s">
        <v>199</v>
      </c>
    </row>
    <row r="66" spans="1:6" hidden="1" x14ac:dyDescent="0.3">
      <c r="A66" s="6">
        <v>43617</v>
      </c>
      <c r="B66" s="18" t="s">
        <v>131</v>
      </c>
      <c r="C66" s="4" t="s">
        <v>17</v>
      </c>
      <c r="D66" s="174">
        <v>17680000</v>
      </c>
      <c r="E66" s="300">
        <v>15833333</v>
      </c>
      <c r="F66" s="4" t="s">
        <v>199</v>
      </c>
    </row>
    <row r="67" spans="1:6" hidden="1" x14ac:dyDescent="0.3">
      <c r="A67" s="6">
        <v>43617</v>
      </c>
      <c r="B67" s="29" t="s">
        <v>202</v>
      </c>
      <c r="C67" s="4" t="s">
        <v>17</v>
      </c>
      <c r="D67" s="174">
        <v>21820000</v>
      </c>
      <c r="E67" s="300">
        <v>15833333</v>
      </c>
      <c r="F67" s="4" t="s">
        <v>199</v>
      </c>
    </row>
    <row r="68" spans="1:6" x14ac:dyDescent="0.3">
      <c r="A68" s="6">
        <v>43647</v>
      </c>
      <c r="B68" s="33" t="s">
        <v>214</v>
      </c>
      <c r="C68" s="4" t="s">
        <v>198</v>
      </c>
      <c r="D68" s="160">
        <v>46850000</v>
      </c>
      <c r="E68" s="170">
        <v>42500000</v>
      </c>
      <c r="F68" s="4" t="s">
        <v>199</v>
      </c>
    </row>
    <row r="69" spans="1:6" hidden="1" x14ac:dyDescent="0.3">
      <c r="A69" s="6">
        <v>43647</v>
      </c>
      <c r="B69" s="18" t="s">
        <v>196</v>
      </c>
      <c r="C69" s="4" t="s">
        <v>16</v>
      </c>
      <c r="D69" s="160">
        <v>16050000</v>
      </c>
      <c r="E69" s="170">
        <v>9166667</v>
      </c>
      <c r="F69" s="4" t="s">
        <v>199</v>
      </c>
    </row>
    <row r="70" spans="1:6" hidden="1" x14ac:dyDescent="0.3">
      <c r="A70" s="6">
        <v>43647</v>
      </c>
      <c r="B70" s="18" t="s">
        <v>197</v>
      </c>
      <c r="C70" s="4" t="s">
        <v>16</v>
      </c>
      <c r="D70" s="160">
        <v>25030000</v>
      </c>
      <c r="E70" s="170">
        <v>9166667</v>
      </c>
      <c r="F70" s="4" t="s">
        <v>199</v>
      </c>
    </row>
    <row r="71" spans="1:6" hidden="1" x14ac:dyDescent="0.3">
      <c r="A71" s="6">
        <v>43647</v>
      </c>
      <c r="B71" s="38" t="s">
        <v>184</v>
      </c>
      <c r="C71" s="4" t="s">
        <v>16</v>
      </c>
      <c r="D71" s="207">
        <v>5770000</v>
      </c>
      <c r="E71" s="170">
        <v>7500000</v>
      </c>
      <c r="F71" s="4" t="s">
        <v>199</v>
      </c>
    </row>
    <row r="72" spans="1:6" hidden="1" x14ac:dyDescent="0.3">
      <c r="A72" s="6">
        <v>43647</v>
      </c>
      <c r="B72" s="18" t="s">
        <v>131</v>
      </c>
      <c r="C72" s="4" t="s">
        <v>17</v>
      </c>
      <c r="D72" s="174">
        <v>25550000</v>
      </c>
      <c r="E72" s="300">
        <v>15833333</v>
      </c>
      <c r="F72" s="4" t="s">
        <v>199</v>
      </c>
    </row>
    <row r="73" spans="1:6" hidden="1" x14ac:dyDescent="0.3">
      <c r="A73" s="6">
        <v>43647</v>
      </c>
      <c r="B73" s="29" t="s">
        <v>202</v>
      </c>
      <c r="C73" s="4" t="s">
        <v>17</v>
      </c>
      <c r="D73" s="174">
        <v>21350000</v>
      </c>
      <c r="E73" s="300">
        <v>15833333</v>
      </c>
      <c r="F73" s="4" t="s">
        <v>199</v>
      </c>
    </row>
    <row r="74" spans="1:6" x14ac:dyDescent="0.3">
      <c r="A74" s="6">
        <v>43678</v>
      </c>
      <c r="B74" s="33" t="s">
        <v>214</v>
      </c>
      <c r="C74" s="4" t="s">
        <v>198</v>
      </c>
      <c r="D74" s="173">
        <v>33850000</v>
      </c>
      <c r="E74" s="170">
        <v>42500000</v>
      </c>
      <c r="F74" s="4" t="s">
        <v>199</v>
      </c>
    </row>
    <row r="75" spans="1:6" hidden="1" x14ac:dyDescent="0.3">
      <c r="A75" s="6">
        <v>43678</v>
      </c>
      <c r="B75" s="18" t="s">
        <v>196</v>
      </c>
      <c r="C75" s="4" t="s">
        <v>16</v>
      </c>
      <c r="D75" s="160">
        <v>9300000</v>
      </c>
      <c r="E75" s="170">
        <v>9166667</v>
      </c>
      <c r="F75" s="4" t="s">
        <v>199</v>
      </c>
    </row>
    <row r="76" spans="1:6" hidden="1" x14ac:dyDescent="0.3">
      <c r="A76" s="6">
        <v>43678</v>
      </c>
      <c r="B76" s="18" t="s">
        <v>197</v>
      </c>
      <c r="C76" s="4" t="s">
        <v>16</v>
      </c>
      <c r="D76" s="209">
        <v>12950000</v>
      </c>
      <c r="E76" s="170">
        <v>9166667</v>
      </c>
      <c r="F76" s="4" t="s">
        <v>199</v>
      </c>
    </row>
    <row r="77" spans="1:6" hidden="1" x14ac:dyDescent="0.3">
      <c r="A77" s="6">
        <v>43678</v>
      </c>
      <c r="B77" s="38" t="s">
        <v>184</v>
      </c>
      <c r="C77" s="4" t="s">
        <v>16</v>
      </c>
      <c r="D77" s="207">
        <v>11600000</v>
      </c>
      <c r="E77" s="170">
        <v>7500000</v>
      </c>
      <c r="F77" s="4" t="s">
        <v>199</v>
      </c>
    </row>
    <row r="78" spans="1:6" hidden="1" x14ac:dyDescent="0.3">
      <c r="A78" s="6">
        <v>43678</v>
      </c>
      <c r="B78" s="18" t="s">
        <v>131</v>
      </c>
      <c r="C78" s="4" t="s">
        <v>17</v>
      </c>
      <c r="D78" s="174">
        <v>17250000</v>
      </c>
      <c r="E78" s="300">
        <v>15833333</v>
      </c>
      <c r="F78" s="4" t="s">
        <v>199</v>
      </c>
    </row>
    <row r="79" spans="1:6" hidden="1" x14ac:dyDescent="0.3">
      <c r="A79" s="6">
        <v>43678</v>
      </c>
      <c r="B79" s="29" t="s">
        <v>202</v>
      </c>
      <c r="C79" s="4" t="s">
        <v>17</v>
      </c>
      <c r="D79" s="174">
        <v>13100000</v>
      </c>
      <c r="E79" s="300">
        <v>15833333</v>
      </c>
      <c r="F79" s="4" t="s">
        <v>199</v>
      </c>
    </row>
    <row r="80" spans="1:6" hidden="1" x14ac:dyDescent="0.3">
      <c r="A80" s="6">
        <v>43678</v>
      </c>
      <c r="B80" s="26" t="s">
        <v>203</v>
      </c>
      <c r="C80" s="4" t="s">
        <v>17</v>
      </c>
      <c r="D80" s="222">
        <v>4800000</v>
      </c>
      <c r="E80" s="302">
        <v>15833333</v>
      </c>
      <c r="F80" s="4" t="s">
        <v>199</v>
      </c>
    </row>
    <row r="81" spans="1:6" x14ac:dyDescent="0.3">
      <c r="A81" s="6">
        <v>43709</v>
      </c>
      <c r="B81" s="33" t="s">
        <v>214</v>
      </c>
      <c r="C81" s="4" t="s">
        <v>198</v>
      </c>
      <c r="D81" s="160">
        <v>23550000</v>
      </c>
      <c r="E81" s="170">
        <v>42500000</v>
      </c>
      <c r="F81" s="4" t="s">
        <v>199</v>
      </c>
    </row>
    <row r="82" spans="1:6" hidden="1" x14ac:dyDescent="0.3">
      <c r="A82" s="6">
        <v>43709</v>
      </c>
      <c r="B82" s="18" t="s">
        <v>196</v>
      </c>
      <c r="C82" s="4" t="s">
        <v>16</v>
      </c>
      <c r="D82" s="160">
        <v>12200000</v>
      </c>
      <c r="E82" s="170">
        <v>9166667</v>
      </c>
      <c r="F82" s="4" t="s">
        <v>199</v>
      </c>
    </row>
    <row r="83" spans="1:6" hidden="1" x14ac:dyDescent="0.3">
      <c r="A83" s="6">
        <v>43709</v>
      </c>
      <c r="B83" s="18" t="s">
        <v>197</v>
      </c>
      <c r="C83" s="4" t="s">
        <v>16</v>
      </c>
      <c r="D83" s="160">
        <v>10555000</v>
      </c>
      <c r="E83" s="170">
        <v>9166667</v>
      </c>
      <c r="F83" s="4" t="s">
        <v>199</v>
      </c>
    </row>
    <row r="84" spans="1:6" hidden="1" x14ac:dyDescent="0.3">
      <c r="A84" s="6">
        <v>43709</v>
      </c>
      <c r="B84" s="18" t="s">
        <v>131</v>
      </c>
      <c r="C84" s="4" t="s">
        <v>17</v>
      </c>
      <c r="D84" s="174">
        <v>8950000</v>
      </c>
      <c r="E84" s="300">
        <v>15833333</v>
      </c>
      <c r="F84" s="4" t="s">
        <v>199</v>
      </c>
    </row>
    <row r="85" spans="1:6" hidden="1" x14ac:dyDescent="0.3">
      <c r="A85" s="6">
        <v>43709</v>
      </c>
      <c r="B85" s="29" t="s">
        <v>202</v>
      </c>
      <c r="C85" s="4" t="s">
        <v>17</v>
      </c>
      <c r="D85" s="174">
        <v>8900000</v>
      </c>
      <c r="E85" s="300">
        <v>15833333</v>
      </c>
      <c r="F85" s="4" t="s">
        <v>199</v>
      </c>
    </row>
    <row r="86" spans="1:6" x14ac:dyDescent="0.3">
      <c r="A86" s="6">
        <v>43739</v>
      </c>
      <c r="B86" s="33" t="s">
        <v>214</v>
      </c>
      <c r="C86" s="4" t="s">
        <v>198</v>
      </c>
      <c r="D86" s="160">
        <v>29000000</v>
      </c>
      <c r="E86" s="170">
        <v>42500000</v>
      </c>
      <c r="F86" s="4" t="s">
        <v>199</v>
      </c>
    </row>
    <row r="87" spans="1:6" hidden="1" x14ac:dyDescent="0.3">
      <c r="A87" s="6">
        <v>43739</v>
      </c>
      <c r="B87" s="18" t="s">
        <v>196</v>
      </c>
      <c r="C87" s="4" t="s">
        <v>16</v>
      </c>
      <c r="D87" s="160">
        <v>6300000</v>
      </c>
      <c r="E87" s="170">
        <v>9166667</v>
      </c>
      <c r="F87" s="4" t="s">
        <v>199</v>
      </c>
    </row>
    <row r="88" spans="1:6" hidden="1" x14ac:dyDescent="0.3">
      <c r="A88" s="6">
        <v>43739</v>
      </c>
      <c r="B88" s="18" t="s">
        <v>197</v>
      </c>
      <c r="C88" s="4" t="s">
        <v>16</v>
      </c>
      <c r="D88" s="160">
        <v>15200000</v>
      </c>
      <c r="E88" s="170">
        <v>9166667</v>
      </c>
      <c r="F88" s="4" t="s">
        <v>199</v>
      </c>
    </row>
    <row r="89" spans="1:6" hidden="1" x14ac:dyDescent="0.3">
      <c r="A89" s="6">
        <v>43739</v>
      </c>
      <c r="B89" s="38" t="s">
        <v>184</v>
      </c>
      <c r="C89" s="4" t="s">
        <v>16</v>
      </c>
      <c r="D89" s="207">
        <v>7500000</v>
      </c>
      <c r="E89" s="170">
        <v>7500000</v>
      </c>
      <c r="F89" s="4" t="s">
        <v>199</v>
      </c>
    </row>
    <row r="90" spans="1:6" hidden="1" x14ac:dyDescent="0.3">
      <c r="A90" s="6">
        <v>43739</v>
      </c>
      <c r="B90" s="18" t="s">
        <v>131</v>
      </c>
      <c r="C90" s="4" t="s">
        <v>17</v>
      </c>
      <c r="D90" s="174">
        <v>7150000</v>
      </c>
      <c r="E90" s="300">
        <v>15833333</v>
      </c>
      <c r="F90" s="4" t="s">
        <v>199</v>
      </c>
    </row>
    <row r="91" spans="1:6" hidden="1" x14ac:dyDescent="0.3">
      <c r="A91" s="6">
        <v>43739</v>
      </c>
      <c r="B91" s="29" t="s">
        <v>202</v>
      </c>
      <c r="C91" s="4" t="s">
        <v>17</v>
      </c>
      <c r="D91" s="174">
        <v>21850000</v>
      </c>
      <c r="E91" s="300">
        <v>15833333</v>
      </c>
      <c r="F91" s="4" t="s">
        <v>199</v>
      </c>
    </row>
    <row r="92" spans="1:6" x14ac:dyDescent="0.3">
      <c r="A92" s="6">
        <v>43770</v>
      </c>
      <c r="B92" s="33" t="s">
        <v>214</v>
      </c>
      <c r="C92" s="4" t="s">
        <v>198</v>
      </c>
      <c r="D92" s="170">
        <v>42500000</v>
      </c>
      <c r="E92" s="170">
        <v>42500000</v>
      </c>
      <c r="F92" s="4" t="s">
        <v>199</v>
      </c>
    </row>
    <row r="93" spans="1:6" hidden="1" x14ac:dyDescent="0.3">
      <c r="A93" s="6">
        <v>43770</v>
      </c>
      <c r="B93" s="18" t="s">
        <v>196</v>
      </c>
      <c r="C93" s="4" t="s">
        <v>16</v>
      </c>
      <c r="D93" s="170">
        <v>9166667</v>
      </c>
      <c r="E93" s="170">
        <v>9166667</v>
      </c>
      <c r="F93" s="4" t="s">
        <v>199</v>
      </c>
    </row>
    <row r="94" spans="1:6" hidden="1" x14ac:dyDescent="0.3">
      <c r="A94" s="6">
        <v>43770</v>
      </c>
      <c r="B94" s="18" t="s">
        <v>197</v>
      </c>
      <c r="C94" s="4" t="s">
        <v>16</v>
      </c>
      <c r="D94" s="170">
        <v>9166667</v>
      </c>
      <c r="E94" s="170">
        <v>9166667</v>
      </c>
      <c r="F94" s="4" t="s">
        <v>199</v>
      </c>
    </row>
    <row r="95" spans="1:6" hidden="1" x14ac:dyDescent="0.3">
      <c r="A95" s="6">
        <v>43770</v>
      </c>
      <c r="B95" s="38" t="s">
        <v>184</v>
      </c>
      <c r="C95" s="4" t="s">
        <v>16</v>
      </c>
      <c r="D95" s="170">
        <v>7500000</v>
      </c>
      <c r="E95" s="170">
        <v>7500000</v>
      </c>
      <c r="F95" s="4" t="s">
        <v>199</v>
      </c>
    </row>
    <row r="96" spans="1:6" hidden="1" x14ac:dyDescent="0.3">
      <c r="A96" s="6">
        <v>43770</v>
      </c>
      <c r="B96" s="18" t="s">
        <v>131</v>
      </c>
      <c r="C96" s="4" t="s">
        <v>17</v>
      </c>
      <c r="D96" s="300">
        <v>15833333</v>
      </c>
      <c r="E96" s="300">
        <v>15833333</v>
      </c>
      <c r="F96" s="4" t="s">
        <v>199</v>
      </c>
    </row>
    <row r="97" spans="1:6" hidden="1" x14ac:dyDescent="0.3">
      <c r="A97" s="6">
        <v>43770</v>
      </c>
      <c r="B97" s="29" t="s">
        <v>202</v>
      </c>
      <c r="C97" s="4" t="s">
        <v>17</v>
      </c>
      <c r="D97" s="300">
        <v>15833333</v>
      </c>
      <c r="E97" s="300">
        <v>15833333</v>
      </c>
      <c r="F97" s="4" t="s">
        <v>199</v>
      </c>
    </row>
    <row r="98" spans="1:6" x14ac:dyDescent="0.3">
      <c r="A98" s="6">
        <v>43800</v>
      </c>
      <c r="B98" s="33" t="s">
        <v>214</v>
      </c>
      <c r="C98" s="4" t="s">
        <v>198</v>
      </c>
      <c r="D98" s="160">
        <v>30560000</v>
      </c>
      <c r="E98" s="170">
        <v>42500000</v>
      </c>
      <c r="F98" s="4" t="s">
        <v>199</v>
      </c>
    </row>
    <row r="99" spans="1:6" hidden="1" x14ac:dyDescent="0.3">
      <c r="A99" s="6">
        <v>43800</v>
      </c>
      <c r="B99" s="18" t="s">
        <v>196</v>
      </c>
      <c r="C99" s="4" t="s">
        <v>16</v>
      </c>
      <c r="D99" s="160">
        <v>5660000</v>
      </c>
      <c r="E99" s="170">
        <v>9166667</v>
      </c>
      <c r="F99" s="4" t="s">
        <v>199</v>
      </c>
    </row>
    <row r="100" spans="1:6" hidden="1" x14ac:dyDescent="0.3">
      <c r="A100" s="6">
        <v>43800</v>
      </c>
      <c r="B100" s="18" t="s">
        <v>197</v>
      </c>
      <c r="C100" s="4" t="s">
        <v>16</v>
      </c>
      <c r="D100" s="160">
        <v>17900000</v>
      </c>
      <c r="E100" s="170">
        <v>9166667</v>
      </c>
      <c r="F100" s="4" t="s">
        <v>199</v>
      </c>
    </row>
    <row r="101" spans="1:6" hidden="1" x14ac:dyDescent="0.3">
      <c r="A101" s="6">
        <v>43800</v>
      </c>
      <c r="B101" s="38" t="s">
        <v>184</v>
      </c>
      <c r="C101" s="4" t="s">
        <v>16</v>
      </c>
      <c r="D101" s="207">
        <v>7000000</v>
      </c>
      <c r="E101" s="170">
        <v>7500000</v>
      </c>
      <c r="F101" s="4" t="s">
        <v>199</v>
      </c>
    </row>
    <row r="102" spans="1:6" hidden="1" x14ac:dyDescent="0.3">
      <c r="A102" s="6">
        <v>43800</v>
      </c>
      <c r="B102" s="18" t="s">
        <v>131</v>
      </c>
      <c r="C102" s="4" t="s">
        <v>17</v>
      </c>
      <c r="D102" s="175">
        <v>17710000</v>
      </c>
      <c r="E102" s="300">
        <v>15833333</v>
      </c>
      <c r="F102" s="4" t="s">
        <v>199</v>
      </c>
    </row>
    <row r="103" spans="1:6" hidden="1" x14ac:dyDescent="0.3">
      <c r="A103" s="6">
        <v>43800</v>
      </c>
      <c r="B103" s="29" t="s">
        <v>202</v>
      </c>
      <c r="C103" s="4" t="s">
        <v>17</v>
      </c>
      <c r="D103" s="222">
        <v>12850000</v>
      </c>
      <c r="E103" s="300">
        <v>15833333</v>
      </c>
      <c r="F103" s="4" t="s">
        <v>199</v>
      </c>
    </row>
    <row r="104" spans="1:6" x14ac:dyDescent="0.3">
      <c r="A104" s="6">
        <v>43831</v>
      </c>
      <c r="B104" s="33" t="s">
        <v>214</v>
      </c>
      <c r="C104" s="4" t="s">
        <v>198</v>
      </c>
      <c r="D104" s="173">
        <v>36750000</v>
      </c>
      <c r="E104" s="169">
        <v>45000000</v>
      </c>
      <c r="F104" s="4" t="s">
        <v>199</v>
      </c>
    </row>
    <row r="105" spans="1:6" hidden="1" x14ac:dyDescent="0.3">
      <c r="A105" s="6">
        <v>43831</v>
      </c>
      <c r="B105" s="18" t="s">
        <v>196</v>
      </c>
      <c r="C105" s="4" t="s">
        <v>16</v>
      </c>
      <c r="D105" s="222">
        <v>13300000</v>
      </c>
      <c r="E105" s="169">
        <v>13000000</v>
      </c>
      <c r="F105" s="4" t="s">
        <v>199</v>
      </c>
    </row>
    <row r="106" spans="1:6" hidden="1" x14ac:dyDescent="0.3">
      <c r="A106" s="6">
        <v>43831</v>
      </c>
      <c r="B106" s="40" t="s">
        <v>197</v>
      </c>
      <c r="C106" s="4" t="s">
        <v>16</v>
      </c>
      <c r="D106" s="266">
        <v>14950000</v>
      </c>
      <c r="E106" s="169">
        <v>13000000</v>
      </c>
      <c r="F106" s="4" t="s">
        <v>199</v>
      </c>
    </row>
    <row r="107" spans="1:6" hidden="1" x14ac:dyDescent="0.3">
      <c r="A107" s="6">
        <v>43831</v>
      </c>
      <c r="B107" s="18" t="s">
        <v>184</v>
      </c>
      <c r="C107" s="4" t="s">
        <v>16</v>
      </c>
      <c r="D107" s="173">
        <v>6850000</v>
      </c>
      <c r="E107" s="169">
        <v>9000000</v>
      </c>
      <c r="F107" s="4" t="s">
        <v>199</v>
      </c>
    </row>
    <row r="108" spans="1:6" hidden="1" x14ac:dyDescent="0.3">
      <c r="A108" s="6">
        <v>43831</v>
      </c>
      <c r="B108" s="18" t="s">
        <v>204</v>
      </c>
      <c r="C108" s="4" t="s">
        <v>16</v>
      </c>
      <c r="D108" s="173">
        <v>1650000</v>
      </c>
      <c r="E108" s="169">
        <v>13000000</v>
      </c>
      <c r="F108" s="4" t="s">
        <v>199</v>
      </c>
    </row>
    <row r="109" spans="1:6" hidden="1" x14ac:dyDescent="0.3">
      <c r="A109" s="6">
        <v>43831</v>
      </c>
      <c r="B109" s="18" t="s">
        <v>131</v>
      </c>
      <c r="C109" s="4" t="s">
        <v>17</v>
      </c>
      <c r="D109" s="222">
        <v>16900000</v>
      </c>
      <c r="E109" s="169">
        <v>15000000</v>
      </c>
      <c r="F109" s="4" t="s">
        <v>199</v>
      </c>
    </row>
    <row r="110" spans="1:6" hidden="1" x14ac:dyDescent="0.3">
      <c r="A110" s="6">
        <v>43831</v>
      </c>
      <c r="B110" s="18" t="s">
        <v>202</v>
      </c>
      <c r="C110" s="4" t="s">
        <v>17</v>
      </c>
      <c r="D110" s="222">
        <v>19850000</v>
      </c>
      <c r="E110" s="169">
        <v>15000000</v>
      </c>
      <c r="F110" s="4" t="s">
        <v>199</v>
      </c>
    </row>
    <row r="111" spans="1:6" x14ac:dyDescent="0.3">
      <c r="A111" s="6">
        <v>43862</v>
      </c>
      <c r="B111" s="33" t="s">
        <v>214</v>
      </c>
      <c r="C111" s="4" t="s">
        <v>198</v>
      </c>
      <c r="D111" s="173">
        <v>29110000</v>
      </c>
      <c r="E111" s="169">
        <v>45000000</v>
      </c>
      <c r="F111" s="4" t="s">
        <v>199</v>
      </c>
    </row>
    <row r="112" spans="1:6" hidden="1" x14ac:dyDescent="0.3">
      <c r="A112" s="6">
        <v>43862</v>
      </c>
      <c r="B112" s="18" t="s">
        <v>196</v>
      </c>
      <c r="C112" s="4" t="s">
        <v>16</v>
      </c>
      <c r="D112" s="222">
        <v>14130000</v>
      </c>
      <c r="E112" s="169">
        <v>13000000</v>
      </c>
      <c r="F112" s="4" t="s">
        <v>199</v>
      </c>
    </row>
    <row r="113" spans="1:6" hidden="1" x14ac:dyDescent="0.3">
      <c r="A113" s="6">
        <v>43862</v>
      </c>
      <c r="B113" s="40" t="s">
        <v>197</v>
      </c>
      <c r="C113" s="4" t="s">
        <v>16</v>
      </c>
      <c r="D113" s="173">
        <v>10330000</v>
      </c>
      <c r="E113" s="169">
        <v>13000000</v>
      </c>
      <c r="F113" s="4" t="s">
        <v>199</v>
      </c>
    </row>
    <row r="114" spans="1:6" hidden="1" x14ac:dyDescent="0.3">
      <c r="A114" s="6">
        <v>43862</v>
      </c>
      <c r="B114" s="18" t="s">
        <v>184</v>
      </c>
      <c r="C114" s="4" t="s">
        <v>16</v>
      </c>
      <c r="D114" s="226">
        <v>4650000</v>
      </c>
      <c r="E114" s="169">
        <v>9000000</v>
      </c>
      <c r="F114" s="4" t="s">
        <v>199</v>
      </c>
    </row>
    <row r="115" spans="1:6" hidden="1" x14ac:dyDescent="0.3">
      <c r="A115" s="6">
        <v>43862</v>
      </c>
      <c r="B115" s="18" t="s">
        <v>131</v>
      </c>
      <c r="C115" s="4" t="s">
        <v>17</v>
      </c>
      <c r="D115" s="173">
        <v>20530000</v>
      </c>
      <c r="E115" s="169">
        <v>15000000</v>
      </c>
      <c r="F115" s="4" t="s">
        <v>199</v>
      </c>
    </row>
    <row r="116" spans="1:6" hidden="1" x14ac:dyDescent="0.3">
      <c r="A116" s="6">
        <v>43862</v>
      </c>
      <c r="B116" s="18" t="s">
        <v>202</v>
      </c>
      <c r="C116" s="4" t="s">
        <v>17</v>
      </c>
      <c r="D116" s="173">
        <v>4300000</v>
      </c>
      <c r="E116" s="169">
        <v>15000000</v>
      </c>
      <c r="F116" s="4" t="s">
        <v>199</v>
      </c>
    </row>
    <row r="117" spans="1:6" hidden="1" x14ac:dyDescent="0.3">
      <c r="A117" s="6">
        <v>43862</v>
      </c>
      <c r="B117" s="308" t="s">
        <v>205</v>
      </c>
      <c r="C117" s="4" t="s">
        <v>17</v>
      </c>
      <c r="D117" s="173">
        <v>4280000</v>
      </c>
      <c r="E117" s="169">
        <v>15000000</v>
      </c>
      <c r="F117" s="4" t="s">
        <v>199</v>
      </c>
    </row>
    <row r="118" spans="1:6" x14ac:dyDescent="0.3">
      <c r="A118" s="6">
        <v>43891</v>
      </c>
      <c r="B118" s="33" t="s">
        <v>214</v>
      </c>
      <c r="C118" s="4" t="s">
        <v>198</v>
      </c>
      <c r="D118" s="173">
        <v>28516000</v>
      </c>
      <c r="E118" s="169">
        <v>45000000</v>
      </c>
      <c r="F118" s="4" t="s">
        <v>199</v>
      </c>
    </row>
    <row r="119" spans="1:6" hidden="1" x14ac:dyDescent="0.3">
      <c r="A119" s="6">
        <v>43891</v>
      </c>
      <c r="B119" s="18" t="s">
        <v>196</v>
      </c>
      <c r="C119" s="4" t="s">
        <v>16</v>
      </c>
      <c r="D119" s="173">
        <v>15150000</v>
      </c>
      <c r="E119" s="169">
        <v>13000000</v>
      </c>
      <c r="F119" s="4" t="s">
        <v>199</v>
      </c>
    </row>
    <row r="120" spans="1:6" hidden="1" x14ac:dyDescent="0.3">
      <c r="A120" s="6">
        <v>43891</v>
      </c>
      <c r="B120" s="40" t="s">
        <v>197</v>
      </c>
      <c r="C120" s="4" t="s">
        <v>16</v>
      </c>
      <c r="D120" s="173">
        <v>6650000</v>
      </c>
      <c r="E120" s="169">
        <v>13000000</v>
      </c>
      <c r="F120" s="4" t="s">
        <v>199</v>
      </c>
    </row>
    <row r="121" spans="1:6" hidden="1" x14ac:dyDescent="0.3">
      <c r="A121" s="6">
        <v>43891</v>
      </c>
      <c r="B121" s="18" t="s">
        <v>184</v>
      </c>
      <c r="C121" s="4" t="s">
        <v>16</v>
      </c>
      <c r="D121" s="173">
        <v>3700000</v>
      </c>
      <c r="E121" s="169">
        <v>9000000</v>
      </c>
      <c r="F121" s="4" t="s">
        <v>199</v>
      </c>
    </row>
    <row r="122" spans="1:6" hidden="1" x14ac:dyDescent="0.3">
      <c r="A122" s="6">
        <v>43891</v>
      </c>
      <c r="B122" s="18" t="s">
        <v>131</v>
      </c>
      <c r="C122" s="4" t="s">
        <v>17</v>
      </c>
      <c r="D122" s="173">
        <v>8750000</v>
      </c>
      <c r="E122" s="169">
        <v>15000000</v>
      </c>
      <c r="F122" s="4" t="s">
        <v>199</v>
      </c>
    </row>
    <row r="123" spans="1:6" hidden="1" x14ac:dyDescent="0.3">
      <c r="A123" s="6">
        <v>43891</v>
      </c>
      <c r="B123" s="18" t="s">
        <v>202</v>
      </c>
      <c r="C123" s="4" t="s">
        <v>17</v>
      </c>
      <c r="D123" s="173">
        <v>11500000</v>
      </c>
      <c r="E123" s="169">
        <v>15000000</v>
      </c>
      <c r="F123" s="4" t="s">
        <v>199</v>
      </c>
    </row>
    <row r="124" spans="1:6" hidden="1" x14ac:dyDescent="0.3">
      <c r="A124" s="6">
        <v>43891</v>
      </c>
      <c r="B124" s="308" t="s">
        <v>205</v>
      </c>
      <c r="C124" s="4" t="s">
        <v>17</v>
      </c>
      <c r="D124" s="173">
        <v>4550000</v>
      </c>
      <c r="E124" s="169">
        <v>15000000</v>
      </c>
      <c r="F124" s="4" t="s">
        <v>199</v>
      </c>
    </row>
    <row r="125" spans="1:6" x14ac:dyDescent="0.3">
      <c r="A125" s="6">
        <v>43922</v>
      </c>
      <c r="B125" s="33" t="s">
        <v>214</v>
      </c>
      <c r="C125" s="4" t="s">
        <v>198</v>
      </c>
      <c r="D125" s="173">
        <v>0</v>
      </c>
      <c r="E125" s="169">
        <v>45000000</v>
      </c>
      <c r="F125" s="4" t="s">
        <v>199</v>
      </c>
    </row>
    <row r="126" spans="1:6" hidden="1" x14ac:dyDescent="0.3">
      <c r="A126" s="6">
        <v>43922</v>
      </c>
      <c r="B126" s="18" t="s">
        <v>196</v>
      </c>
      <c r="C126" s="4" t="s">
        <v>16</v>
      </c>
      <c r="D126" s="173">
        <v>0</v>
      </c>
      <c r="E126" s="169">
        <v>13000000</v>
      </c>
      <c r="F126" s="4" t="s">
        <v>199</v>
      </c>
    </row>
    <row r="127" spans="1:6" hidden="1" x14ac:dyDescent="0.3">
      <c r="A127" s="6">
        <v>43922</v>
      </c>
      <c r="B127" s="40" t="s">
        <v>197</v>
      </c>
      <c r="C127" s="4" t="s">
        <v>16</v>
      </c>
      <c r="D127" s="173">
        <v>0</v>
      </c>
      <c r="E127" s="169">
        <v>13000000</v>
      </c>
      <c r="F127" s="4" t="s">
        <v>199</v>
      </c>
    </row>
    <row r="128" spans="1:6" hidden="1" x14ac:dyDescent="0.3">
      <c r="A128" s="6">
        <v>43922</v>
      </c>
      <c r="B128" s="18" t="s">
        <v>184</v>
      </c>
      <c r="C128" s="4" t="s">
        <v>16</v>
      </c>
      <c r="D128" s="173">
        <v>0</v>
      </c>
      <c r="E128" s="169">
        <v>9000000</v>
      </c>
      <c r="F128" s="4" t="s">
        <v>199</v>
      </c>
    </row>
    <row r="129" spans="1:6" hidden="1" x14ac:dyDescent="0.3">
      <c r="A129" s="6">
        <v>43922</v>
      </c>
      <c r="B129" s="18" t="s">
        <v>131</v>
      </c>
      <c r="C129" s="4" t="s">
        <v>17</v>
      </c>
      <c r="D129" s="226">
        <v>0</v>
      </c>
      <c r="E129" s="169">
        <v>15000000</v>
      </c>
      <c r="F129" s="4" t="s">
        <v>199</v>
      </c>
    </row>
    <row r="130" spans="1:6" hidden="1" x14ac:dyDescent="0.3">
      <c r="A130" s="6">
        <v>43922</v>
      </c>
      <c r="B130" s="18" t="s">
        <v>202</v>
      </c>
      <c r="C130" s="4" t="s">
        <v>17</v>
      </c>
      <c r="D130" s="173">
        <v>0</v>
      </c>
      <c r="E130" s="169">
        <v>15000000</v>
      </c>
      <c r="F130" s="4" t="s">
        <v>199</v>
      </c>
    </row>
    <row r="131" spans="1:6" hidden="1" x14ac:dyDescent="0.3">
      <c r="A131" s="6">
        <v>43922</v>
      </c>
      <c r="B131" s="308" t="s">
        <v>205</v>
      </c>
      <c r="C131" s="4" t="s">
        <v>17</v>
      </c>
      <c r="D131" s="173">
        <v>0</v>
      </c>
      <c r="E131" s="169">
        <v>15000000</v>
      </c>
      <c r="F131" s="4" t="s">
        <v>199</v>
      </c>
    </row>
    <row r="132" spans="1:6" x14ac:dyDescent="0.3">
      <c r="A132" s="6">
        <v>43952</v>
      </c>
      <c r="B132" s="33" t="s">
        <v>214</v>
      </c>
      <c r="C132" s="4" t="s">
        <v>198</v>
      </c>
      <c r="D132" s="173">
        <v>6960000</v>
      </c>
      <c r="E132" s="169">
        <v>45000000</v>
      </c>
      <c r="F132" s="4" t="s">
        <v>199</v>
      </c>
    </row>
    <row r="133" spans="1:6" hidden="1" x14ac:dyDescent="0.3">
      <c r="A133" s="6">
        <v>43952</v>
      </c>
      <c r="B133" s="18" t="s">
        <v>196</v>
      </c>
      <c r="C133" s="4" t="s">
        <v>16</v>
      </c>
      <c r="D133" s="173">
        <v>0</v>
      </c>
      <c r="E133" s="169">
        <v>13000000</v>
      </c>
      <c r="F133" s="4" t="s">
        <v>199</v>
      </c>
    </row>
    <row r="134" spans="1:6" hidden="1" x14ac:dyDescent="0.3">
      <c r="A134" s="6">
        <v>43952</v>
      </c>
      <c r="B134" s="40" t="s">
        <v>197</v>
      </c>
      <c r="C134" s="4" t="s">
        <v>16</v>
      </c>
      <c r="D134" s="173">
        <v>5300000</v>
      </c>
      <c r="E134" s="169">
        <v>13000000</v>
      </c>
      <c r="F134" s="4" t="s">
        <v>199</v>
      </c>
    </row>
    <row r="135" spans="1:6" hidden="1" x14ac:dyDescent="0.3">
      <c r="A135" s="6">
        <v>43952</v>
      </c>
      <c r="B135" s="18" t="s">
        <v>184</v>
      </c>
      <c r="C135" s="4" t="s">
        <v>16</v>
      </c>
      <c r="D135" s="173">
        <v>0</v>
      </c>
      <c r="E135" s="169">
        <v>9000000</v>
      </c>
      <c r="F135" s="4" t="s">
        <v>199</v>
      </c>
    </row>
    <row r="136" spans="1:6" hidden="1" x14ac:dyDescent="0.3">
      <c r="A136" s="6">
        <v>43952</v>
      </c>
      <c r="B136" s="18" t="s">
        <v>131</v>
      </c>
      <c r="C136" s="4" t="s">
        <v>17</v>
      </c>
      <c r="D136" s="173">
        <v>6960000</v>
      </c>
      <c r="E136" s="169">
        <v>15000000</v>
      </c>
      <c r="F136" s="4" t="s">
        <v>199</v>
      </c>
    </row>
    <row r="137" spans="1:6" hidden="1" x14ac:dyDescent="0.3">
      <c r="A137" s="6">
        <v>43952</v>
      </c>
      <c r="B137" s="18" t="s">
        <v>202</v>
      </c>
      <c r="C137" s="4" t="s">
        <v>17</v>
      </c>
      <c r="D137" s="173">
        <v>0</v>
      </c>
      <c r="E137" s="169">
        <v>15000000</v>
      </c>
      <c r="F137" s="4" t="s">
        <v>199</v>
      </c>
    </row>
    <row r="138" spans="1:6" hidden="1" x14ac:dyDescent="0.3">
      <c r="A138" s="6">
        <v>43952</v>
      </c>
      <c r="B138" s="26" t="s">
        <v>205</v>
      </c>
      <c r="C138" s="4" t="s">
        <v>17</v>
      </c>
      <c r="D138" s="173">
        <v>0</v>
      </c>
      <c r="E138" s="169">
        <v>15000000</v>
      </c>
      <c r="F138" s="4" t="s">
        <v>199</v>
      </c>
    </row>
    <row r="139" spans="1:6" x14ac:dyDescent="0.3">
      <c r="A139" s="6">
        <v>43983</v>
      </c>
      <c r="B139" s="33" t="s">
        <v>214</v>
      </c>
      <c r="C139" s="4" t="s">
        <v>198</v>
      </c>
      <c r="D139" s="173">
        <v>35820000</v>
      </c>
      <c r="E139" s="169">
        <v>45000000</v>
      </c>
      <c r="F139" s="4" t="s">
        <v>199</v>
      </c>
    </row>
    <row r="140" spans="1:6" hidden="1" x14ac:dyDescent="0.3">
      <c r="A140" s="6">
        <v>43983</v>
      </c>
      <c r="B140" s="18" t="s">
        <v>196</v>
      </c>
      <c r="C140" s="4" t="s">
        <v>16</v>
      </c>
      <c r="D140" s="311">
        <v>12330000</v>
      </c>
      <c r="E140" s="169">
        <v>13000000</v>
      </c>
      <c r="F140" s="4" t="s">
        <v>199</v>
      </c>
    </row>
    <row r="141" spans="1:6" hidden="1" x14ac:dyDescent="0.3">
      <c r="A141" s="6">
        <v>43983</v>
      </c>
      <c r="B141" s="287" t="s">
        <v>197</v>
      </c>
      <c r="C141" s="4" t="s">
        <v>16</v>
      </c>
      <c r="D141" s="222">
        <v>15700000</v>
      </c>
      <c r="E141" s="169">
        <v>13000000</v>
      </c>
      <c r="F141" s="4" t="s">
        <v>199</v>
      </c>
    </row>
    <row r="142" spans="1:6" hidden="1" x14ac:dyDescent="0.3">
      <c r="A142" s="6">
        <v>43983</v>
      </c>
      <c r="B142" s="1" t="s">
        <v>184</v>
      </c>
      <c r="C142" s="4" t="s">
        <v>16</v>
      </c>
      <c r="D142" s="173">
        <v>3720000</v>
      </c>
      <c r="E142" s="169">
        <v>9000000</v>
      </c>
      <c r="F142" s="4" t="s">
        <v>199</v>
      </c>
    </row>
    <row r="143" spans="1:6" hidden="1" x14ac:dyDescent="0.3">
      <c r="A143" s="6">
        <v>43983</v>
      </c>
      <c r="B143" s="1" t="s">
        <v>204</v>
      </c>
      <c r="C143" s="4" t="s">
        <v>16</v>
      </c>
      <c r="D143" s="226">
        <v>2200000</v>
      </c>
      <c r="E143" s="169">
        <v>13000000</v>
      </c>
      <c r="F143" s="4" t="s">
        <v>199</v>
      </c>
    </row>
    <row r="144" spans="1:6" hidden="1" x14ac:dyDescent="0.3">
      <c r="A144" s="6">
        <v>43983</v>
      </c>
      <c r="B144" s="1" t="s">
        <v>202</v>
      </c>
      <c r="C144" s="4" t="s">
        <v>17</v>
      </c>
      <c r="D144" s="160">
        <v>16620000</v>
      </c>
      <c r="E144" s="169">
        <v>15000000</v>
      </c>
      <c r="F144" s="4" t="s">
        <v>199</v>
      </c>
    </row>
    <row r="145" spans="1:6" hidden="1" x14ac:dyDescent="0.3">
      <c r="A145" s="6">
        <v>43983</v>
      </c>
      <c r="B145" s="308" t="s">
        <v>205</v>
      </c>
      <c r="C145" s="4" t="s">
        <v>17</v>
      </c>
      <c r="D145" s="173">
        <v>14200000</v>
      </c>
      <c r="E145" s="169">
        <v>15000000</v>
      </c>
      <c r="F145" s="4" t="s">
        <v>199</v>
      </c>
    </row>
    <row r="146" spans="1:6" x14ac:dyDescent="0.3">
      <c r="A146" s="6">
        <v>44013</v>
      </c>
      <c r="B146" s="33" t="s">
        <v>214</v>
      </c>
      <c r="C146" s="4" t="s">
        <v>198</v>
      </c>
      <c r="D146" s="222">
        <v>47310000</v>
      </c>
      <c r="E146" s="169">
        <v>45000000</v>
      </c>
      <c r="F146" s="4" t="s">
        <v>199</v>
      </c>
    </row>
    <row r="147" spans="1:6" hidden="1" x14ac:dyDescent="0.3">
      <c r="A147" s="6">
        <v>44013</v>
      </c>
      <c r="B147" s="18" t="s">
        <v>196</v>
      </c>
      <c r="C147" s="4" t="s">
        <v>16</v>
      </c>
      <c r="D147" s="160">
        <v>14160000</v>
      </c>
      <c r="E147" s="169">
        <v>13000000</v>
      </c>
      <c r="F147" s="4" t="s">
        <v>199</v>
      </c>
    </row>
    <row r="148" spans="1:6" hidden="1" x14ac:dyDescent="0.3">
      <c r="A148" s="6">
        <v>44013</v>
      </c>
      <c r="B148" s="287" t="s">
        <v>197</v>
      </c>
      <c r="C148" s="4" t="s">
        <v>16</v>
      </c>
      <c r="D148" s="160">
        <v>21850000</v>
      </c>
      <c r="E148" s="169">
        <v>13000000</v>
      </c>
      <c r="F148" s="4" t="s">
        <v>199</v>
      </c>
    </row>
    <row r="149" spans="1:6" hidden="1" x14ac:dyDescent="0.3">
      <c r="A149" s="6">
        <v>44013</v>
      </c>
      <c r="B149" s="1" t="s">
        <v>184</v>
      </c>
      <c r="C149" s="4" t="s">
        <v>16</v>
      </c>
      <c r="D149" s="160">
        <v>5300000</v>
      </c>
      <c r="E149" s="169">
        <v>9000000</v>
      </c>
      <c r="F149" s="4" t="s">
        <v>199</v>
      </c>
    </row>
    <row r="150" spans="1:6" hidden="1" x14ac:dyDescent="0.3">
      <c r="A150" s="6">
        <v>44013</v>
      </c>
      <c r="B150" s="1" t="s">
        <v>204</v>
      </c>
      <c r="C150" s="4" t="s">
        <v>16</v>
      </c>
      <c r="D150" s="165">
        <v>4000000</v>
      </c>
      <c r="E150" s="169">
        <v>13000000</v>
      </c>
      <c r="F150" s="4" t="s">
        <v>199</v>
      </c>
    </row>
    <row r="151" spans="1:6" hidden="1" x14ac:dyDescent="0.3">
      <c r="A151" s="6">
        <v>44013</v>
      </c>
      <c r="B151" s="1" t="s">
        <v>202</v>
      </c>
      <c r="C151" s="4" t="s">
        <v>17</v>
      </c>
      <c r="D151" s="160">
        <v>32150000</v>
      </c>
      <c r="E151" s="169">
        <v>15000000</v>
      </c>
      <c r="F151" s="4" t="s">
        <v>199</v>
      </c>
    </row>
    <row r="152" spans="1:6" hidden="1" x14ac:dyDescent="0.3">
      <c r="A152" s="6">
        <v>44013</v>
      </c>
      <c r="B152" s="308" t="s">
        <v>205</v>
      </c>
      <c r="C152" s="4" t="s">
        <v>17</v>
      </c>
      <c r="D152" s="222">
        <v>15160000</v>
      </c>
      <c r="E152" s="169">
        <v>15000000</v>
      </c>
      <c r="F152" s="4" t="s">
        <v>199</v>
      </c>
    </row>
    <row r="153" spans="1:6" hidden="1" x14ac:dyDescent="0.3">
      <c r="A153" s="6">
        <v>44044</v>
      </c>
      <c r="B153" s="1" t="s">
        <v>196</v>
      </c>
      <c r="C153" s="4" t="s">
        <v>16</v>
      </c>
      <c r="D153" s="173">
        <v>11600000</v>
      </c>
      <c r="E153" s="169">
        <v>13000000</v>
      </c>
      <c r="F153" s="4" t="s">
        <v>199</v>
      </c>
    </row>
    <row r="154" spans="1:6" hidden="1" x14ac:dyDescent="0.3">
      <c r="A154" s="6">
        <v>44075</v>
      </c>
      <c r="B154" s="1" t="s">
        <v>196</v>
      </c>
      <c r="C154" s="4" t="s">
        <v>16</v>
      </c>
      <c r="D154" s="160">
        <v>20740000</v>
      </c>
      <c r="E154" s="169">
        <v>13000000</v>
      </c>
      <c r="F154" s="4" t="s">
        <v>199</v>
      </c>
    </row>
    <row r="155" spans="1:6" hidden="1" x14ac:dyDescent="0.3">
      <c r="A155" s="6">
        <v>44105</v>
      </c>
      <c r="B155" s="1" t="s">
        <v>196</v>
      </c>
      <c r="C155" s="4" t="s">
        <v>16</v>
      </c>
      <c r="D155" s="160">
        <v>13250000</v>
      </c>
      <c r="E155" s="169">
        <v>13000000</v>
      </c>
      <c r="F155" s="4" t="s">
        <v>199</v>
      </c>
    </row>
    <row r="156" spans="1:6" hidden="1" x14ac:dyDescent="0.3">
      <c r="A156" s="6">
        <v>44136</v>
      </c>
      <c r="B156" s="1" t="s">
        <v>196</v>
      </c>
      <c r="C156" s="4" t="s">
        <v>16</v>
      </c>
      <c r="D156" s="160">
        <v>23600000</v>
      </c>
      <c r="E156" s="169">
        <v>13000000</v>
      </c>
      <c r="F156" s="4" t="s">
        <v>199</v>
      </c>
    </row>
    <row r="157" spans="1:6" x14ac:dyDescent="0.3">
      <c r="A157" s="6">
        <v>44197</v>
      </c>
      <c r="B157" s="33" t="s">
        <v>214</v>
      </c>
      <c r="C157" s="4" t="s">
        <v>198</v>
      </c>
      <c r="D157" s="241">
        <v>31750000</v>
      </c>
      <c r="E157" s="110">
        <v>50000000</v>
      </c>
      <c r="F157" s="4" t="s">
        <v>199</v>
      </c>
    </row>
    <row r="158" spans="1:6" hidden="1" x14ac:dyDescent="0.3">
      <c r="A158" s="6">
        <v>44197</v>
      </c>
      <c r="B158" s="235" t="s">
        <v>210</v>
      </c>
      <c r="C158" s="4" t="s">
        <v>16</v>
      </c>
      <c r="D158" s="310">
        <v>10550000</v>
      </c>
      <c r="E158" s="110">
        <v>15000000</v>
      </c>
      <c r="F158" s="4" t="s">
        <v>199</v>
      </c>
    </row>
    <row r="159" spans="1:6" hidden="1" x14ac:dyDescent="0.3">
      <c r="A159" s="6">
        <v>44197</v>
      </c>
      <c r="B159" s="235" t="s">
        <v>207</v>
      </c>
      <c r="C159" s="4" t="s">
        <v>16</v>
      </c>
      <c r="D159" s="310">
        <v>17700000</v>
      </c>
      <c r="E159" s="110">
        <v>15000000</v>
      </c>
      <c r="F159" s="4" t="s">
        <v>199</v>
      </c>
    </row>
    <row r="160" spans="1:6" hidden="1" x14ac:dyDescent="0.3">
      <c r="A160" s="6">
        <v>44197</v>
      </c>
      <c r="B160" s="235" t="s">
        <v>208</v>
      </c>
      <c r="C160" s="4" t="s">
        <v>16</v>
      </c>
      <c r="D160" s="222">
        <v>3500000</v>
      </c>
      <c r="E160" s="110">
        <v>15000000</v>
      </c>
      <c r="F160" s="4" t="s">
        <v>199</v>
      </c>
    </row>
    <row r="161" spans="1:6" hidden="1" x14ac:dyDescent="0.3">
      <c r="A161" s="6">
        <v>44197</v>
      </c>
      <c r="B161" s="234" t="s">
        <v>118</v>
      </c>
      <c r="C161" s="4" t="s">
        <v>16</v>
      </c>
      <c r="D161" s="160">
        <v>6600000</v>
      </c>
      <c r="E161" s="110">
        <v>15000000</v>
      </c>
      <c r="F161" s="4" t="s">
        <v>199</v>
      </c>
    </row>
    <row r="162" spans="1:6" hidden="1" x14ac:dyDescent="0.3">
      <c r="A162" s="6">
        <v>44197</v>
      </c>
      <c r="B162" s="235" t="s">
        <v>209</v>
      </c>
      <c r="C162" s="4" t="s">
        <v>17</v>
      </c>
      <c r="D162" s="222">
        <v>13950000</v>
      </c>
      <c r="E162" s="182"/>
      <c r="F162" s="4" t="s">
        <v>199</v>
      </c>
    </row>
    <row r="163" spans="1:6" hidden="1" x14ac:dyDescent="0.3">
      <c r="A163" s="6">
        <v>44197</v>
      </c>
      <c r="B163" s="235" t="s">
        <v>202</v>
      </c>
      <c r="C163" s="4" t="s">
        <v>17</v>
      </c>
      <c r="D163" s="222">
        <v>10800000</v>
      </c>
      <c r="E163" s="182"/>
      <c r="F163" s="4" t="s">
        <v>199</v>
      </c>
    </row>
    <row r="164" spans="1:6" x14ac:dyDescent="0.3">
      <c r="A164" s="6">
        <v>44228</v>
      </c>
      <c r="B164" s="33" t="s">
        <v>214</v>
      </c>
      <c r="C164" s="4" t="s">
        <v>198</v>
      </c>
      <c r="D164" s="241">
        <v>43360000</v>
      </c>
      <c r="E164" s="110">
        <v>50000000</v>
      </c>
      <c r="F164" s="4" t="s">
        <v>199</v>
      </c>
    </row>
    <row r="165" spans="1:6" hidden="1" x14ac:dyDescent="0.3">
      <c r="A165" s="6">
        <v>44228</v>
      </c>
      <c r="B165" s="235" t="s">
        <v>210</v>
      </c>
      <c r="C165" s="4" t="s">
        <v>16</v>
      </c>
      <c r="D165" s="222">
        <v>25700000</v>
      </c>
      <c r="E165" s="110">
        <v>15000000</v>
      </c>
      <c r="F165" s="4" t="s">
        <v>199</v>
      </c>
    </row>
    <row r="166" spans="1:6" hidden="1" x14ac:dyDescent="0.3">
      <c r="A166" s="6">
        <v>44228</v>
      </c>
      <c r="B166" s="235" t="s">
        <v>207</v>
      </c>
      <c r="C166" s="4" t="s">
        <v>16</v>
      </c>
      <c r="D166" s="222">
        <v>17660000</v>
      </c>
      <c r="E166" s="110">
        <v>15000000</v>
      </c>
      <c r="F166" s="4" t="s">
        <v>199</v>
      </c>
    </row>
    <row r="167" spans="1:6" hidden="1" x14ac:dyDescent="0.3">
      <c r="A167" s="6">
        <v>44228</v>
      </c>
      <c r="B167" s="234" t="s">
        <v>118</v>
      </c>
      <c r="C167" s="4" t="s">
        <v>16</v>
      </c>
      <c r="D167" s="222">
        <v>10650000</v>
      </c>
      <c r="E167" s="110">
        <v>15000000</v>
      </c>
      <c r="F167" s="4" t="s">
        <v>199</v>
      </c>
    </row>
    <row r="168" spans="1:6" hidden="1" x14ac:dyDescent="0.3">
      <c r="A168" s="6">
        <v>44228</v>
      </c>
      <c r="B168" s="235" t="s">
        <v>209</v>
      </c>
      <c r="C168" s="4" t="s">
        <v>17</v>
      </c>
      <c r="D168" s="222">
        <v>19950000</v>
      </c>
      <c r="E168" s="182"/>
      <c r="F168" s="4" t="s">
        <v>199</v>
      </c>
    </row>
    <row r="169" spans="1:6" hidden="1" x14ac:dyDescent="0.3">
      <c r="A169" s="6">
        <v>44228</v>
      </c>
      <c r="B169" s="235" t="s">
        <v>182</v>
      </c>
      <c r="C169" s="4" t="s">
        <v>17</v>
      </c>
      <c r="D169" s="222">
        <v>6910000</v>
      </c>
      <c r="E169" s="182"/>
      <c r="F169" s="4" t="s">
        <v>199</v>
      </c>
    </row>
    <row r="170" spans="1:6" x14ac:dyDescent="0.3">
      <c r="A170" s="6">
        <v>44256</v>
      </c>
      <c r="B170" s="33" t="s">
        <v>214</v>
      </c>
      <c r="C170" s="4" t="s">
        <v>198</v>
      </c>
      <c r="D170" s="241">
        <v>45920000</v>
      </c>
      <c r="E170" s="110">
        <v>50000000</v>
      </c>
      <c r="F170" s="4" t="s">
        <v>199</v>
      </c>
    </row>
    <row r="171" spans="1:6" hidden="1" x14ac:dyDescent="0.3">
      <c r="A171" s="6">
        <v>44256</v>
      </c>
      <c r="B171" s="50" t="s">
        <v>206</v>
      </c>
      <c r="C171" s="4" t="s">
        <v>16</v>
      </c>
      <c r="D171" s="222">
        <v>19200000</v>
      </c>
      <c r="E171" s="110">
        <v>15000000</v>
      </c>
      <c r="F171" s="4" t="s">
        <v>199</v>
      </c>
    </row>
    <row r="172" spans="1:6" hidden="1" x14ac:dyDescent="0.3">
      <c r="A172" s="6">
        <v>44256</v>
      </c>
      <c r="B172" s="235" t="s">
        <v>207</v>
      </c>
      <c r="C172" s="4" t="s">
        <v>16</v>
      </c>
      <c r="D172" s="222">
        <v>21870000</v>
      </c>
      <c r="E172" s="110">
        <v>15000000</v>
      </c>
      <c r="F172" s="4" t="s">
        <v>199</v>
      </c>
    </row>
    <row r="173" spans="1:6" hidden="1" x14ac:dyDescent="0.3">
      <c r="A173" s="6">
        <v>44256</v>
      </c>
      <c r="B173" s="235" t="s">
        <v>208</v>
      </c>
      <c r="C173" s="4" t="s">
        <v>16</v>
      </c>
      <c r="D173" s="222">
        <v>1400000</v>
      </c>
      <c r="E173" s="110">
        <v>15000000</v>
      </c>
      <c r="F173" s="4" t="s">
        <v>199</v>
      </c>
    </row>
    <row r="174" spans="1:6" hidden="1" x14ac:dyDescent="0.3">
      <c r="A174" s="6">
        <v>44256</v>
      </c>
      <c r="B174" s="234" t="s">
        <v>118</v>
      </c>
      <c r="C174" s="4" t="s">
        <v>16</v>
      </c>
      <c r="D174" s="173">
        <v>1570000</v>
      </c>
      <c r="E174" s="110">
        <v>15000000</v>
      </c>
      <c r="F174" s="4" t="s">
        <v>199</v>
      </c>
    </row>
    <row r="175" spans="1:6" hidden="1" x14ac:dyDescent="0.3">
      <c r="A175" s="6">
        <v>44256</v>
      </c>
      <c r="B175" s="235" t="s">
        <v>209</v>
      </c>
      <c r="C175" s="4" t="s">
        <v>17</v>
      </c>
      <c r="D175" s="222">
        <v>28970000</v>
      </c>
      <c r="E175" s="182"/>
      <c r="F175" s="4" t="s">
        <v>199</v>
      </c>
    </row>
    <row r="176" spans="1:6" hidden="1" x14ac:dyDescent="0.3">
      <c r="A176" s="6">
        <v>44256</v>
      </c>
      <c r="B176" s="235" t="s">
        <v>42</v>
      </c>
      <c r="C176" s="4" t="s">
        <v>17</v>
      </c>
      <c r="D176" s="222">
        <v>4550000</v>
      </c>
      <c r="E176" s="182"/>
      <c r="F176" s="4" t="s">
        <v>199</v>
      </c>
    </row>
    <row r="177" spans="1:6" x14ac:dyDescent="0.3">
      <c r="A177" s="6">
        <v>44287</v>
      </c>
      <c r="B177" s="33" t="s">
        <v>214</v>
      </c>
      <c r="C177" s="4" t="s">
        <v>198</v>
      </c>
      <c r="D177" s="241">
        <v>32700000</v>
      </c>
      <c r="E177" s="110">
        <v>50000000</v>
      </c>
      <c r="F177" s="4" t="s">
        <v>199</v>
      </c>
    </row>
    <row r="178" spans="1:6" x14ac:dyDescent="0.3">
      <c r="A178" s="6">
        <v>44287</v>
      </c>
      <c r="B178" s="235" t="s">
        <v>206</v>
      </c>
      <c r="C178" s="4" t="s">
        <v>16</v>
      </c>
      <c r="D178" s="222">
        <v>12300000</v>
      </c>
      <c r="E178" s="110">
        <v>15000000</v>
      </c>
      <c r="F178" s="4" t="s">
        <v>199</v>
      </c>
    </row>
    <row r="179" spans="1:6" x14ac:dyDescent="0.3">
      <c r="A179" s="6">
        <v>44287</v>
      </c>
      <c r="B179" s="235" t="s">
        <v>207</v>
      </c>
      <c r="C179" s="4" t="s">
        <v>16</v>
      </c>
      <c r="D179" s="222">
        <v>14200000</v>
      </c>
      <c r="E179" s="110">
        <v>15000000</v>
      </c>
      <c r="F179" s="4" t="s">
        <v>199</v>
      </c>
    </row>
    <row r="180" spans="1:6" x14ac:dyDescent="0.3">
      <c r="A180" s="6">
        <v>44287</v>
      </c>
      <c r="B180" s="234" t="s">
        <v>118</v>
      </c>
      <c r="C180" s="4" t="s">
        <v>16</v>
      </c>
      <c r="D180" s="222">
        <v>4300000</v>
      </c>
      <c r="E180" s="110">
        <v>15000000</v>
      </c>
      <c r="F180" s="4" t="s">
        <v>199</v>
      </c>
    </row>
    <row r="181" spans="1:6" x14ac:dyDescent="0.3">
      <c r="A181" s="6">
        <v>44287</v>
      </c>
      <c r="B181" s="235" t="s">
        <v>209</v>
      </c>
      <c r="C181" s="4" t="s">
        <v>17</v>
      </c>
      <c r="D181" s="222">
        <v>2100000</v>
      </c>
      <c r="E181" s="110">
        <v>15000000</v>
      </c>
      <c r="F181" s="4" t="s">
        <v>199</v>
      </c>
    </row>
    <row r="182" spans="1:6" x14ac:dyDescent="0.3">
      <c r="A182" s="6">
        <v>44287</v>
      </c>
      <c r="B182" s="235" t="s">
        <v>42</v>
      </c>
      <c r="C182" s="4" t="s">
        <v>17</v>
      </c>
      <c r="D182" s="222">
        <v>14950000</v>
      </c>
      <c r="E182" s="177"/>
      <c r="F182" s="4" t="s">
        <v>199</v>
      </c>
    </row>
    <row r="183" spans="1:6" x14ac:dyDescent="0.3">
      <c r="A183" s="6">
        <v>44317</v>
      </c>
      <c r="B183" s="33" t="s">
        <v>214</v>
      </c>
      <c r="C183" s="4" t="s">
        <v>198</v>
      </c>
      <c r="D183" s="241">
        <v>48700000</v>
      </c>
      <c r="E183" s="110">
        <v>50000000</v>
      </c>
      <c r="F183" s="4" t="s">
        <v>199</v>
      </c>
    </row>
    <row r="184" spans="1:6" x14ac:dyDescent="0.3">
      <c r="A184" s="37">
        <v>44317</v>
      </c>
      <c r="B184" s="51" t="s">
        <v>206</v>
      </c>
      <c r="C184" s="4" t="s">
        <v>16</v>
      </c>
      <c r="D184" s="222">
        <v>13900000</v>
      </c>
      <c r="E184" s="110">
        <v>15000000</v>
      </c>
      <c r="F184" s="4" t="s">
        <v>199</v>
      </c>
    </row>
    <row r="185" spans="1:6" x14ac:dyDescent="0.3">
      <c r="A185" s="37">
        <v>44317</v>
      </c>
      <c r="B185" s="182" t="s">
        <v>207</v>
      </c>
      <c r="C185" s="4" t="s">
        <v>16</v>
      </c>
      <c r="D185" s="222">
        <v>25800000</v>
      </c>
      <c r="E185" s="110">
        <v>15000000</v>
      </c>
      <c r="F185" s="4" t="s">
        <v>199</v>
      </c>
    </row>
    <row r="186" spans="1:6" x14ac:dyDescent="0.3">
      <c r="A186" s="37">
        <v>44317</v>
      </c>
      <c r="B186" s="309" t="s">
        <v>118</v>
      </c>
      <c r="C186" s="4" t="s">
        <v>16</v>
      </c>
      <c r="D186" s="222">
        <v>9000000</v>
      </c>
      <c r="E186" s="110">
        <v>15000000</v>
      </c>
      <c r="F186" s="4" t="s">
        <v>199</v>
      </c>
    </row>
    <row r="187" spans="1:6" x14ac:dyDescent="0.3">
      <c r="A187" s="37">
        <v>44317</v>
      </c>
      <c r="B187" s="182" t="s">
        <v>209</v>
      </c>
      <c r="C187" s="4" t="s">
        <v>17</v>
      </c>
      <c r="D187" s="222">
        <v>17700000</v>
      </c>
      <c r="E187" s="110">
        <v>15000000</v>
      </c>
      <c r="F187" s="4" t="s">
        <v>199</v>
      </c>
    </row>
    <row r="188" spans="1:6" x14ac:dyDescent="0.3">
      <c r="A188" s="37">
        <v>44317</v>
      </c>
      <c r="B188" s="182" t="s">
        <v>130</v>
      </c>
      <c r="C188" s="4" t="s">
        <v>17</v>
      </c>
      <c r="D188" s="266">
        <v>14600000</v>
      </c>
      <c r="E188" s="177"/>
      <c r="F188" s="4" t="s">
        <v>199</v>
      </c>
    </row>
    <row r="189" spans="1:6" x14ac:dyDescent="0.3">
      <c r="A189" s="37">
        <v>44348</v>
      </c>
      <c r="B189" s="33" t="s">
        <v>214</v>
      </c>
      <c r="C189" s="4" t="s">
        <v>198</v>
      </c>
      <c r="D189" s="241">
        <v>35700000</v>
      </c>
      <c r="E189" s="110">
        <v>50000000</v>
      </c>
      <c r="F189" s="4" t="s">
        <v>199</v>
      </c>
    </row>
    <row r="190" spans="1:6" hidden="1" x14ac:dyDescent="0.3">
      <c r="A190" s="37">
        <v>44348</v>
      </c>
      <c r="B190" s="182" t="s">
        <v>206</v>
      </c>
      <c r="C190" s="4" t="s">
        <v>16</v>
      </c>
      <c r="D190" s="222">
        <v>16450000</v>
      </c>
      <c r="E190" s="110">
        <v>15000000</v>
      </c>
      <c r="F190" s="4" t="s">
        <v>199</v>
      </c>
    </row>
    <row r="191" spans="1:6" hidden="1" x14ac:dyDescent="0.3">
      <c r="A191" s="37">
        <v>44348</v>
      </c>
      <c r="B191" s="182" t="s">
        <v>207</v>
      </c>
      <c r="C191" s="4" t="s">
        <v>16</v>
      </c>
      <c r="D191" s="222">
        <v>11050000</v>
      </c>
      <c r="E191" s="110">
        <v>15000000</v>
      </c>
      <c r="F191" s="4" t="s">
        <v>199</v>
      </c>
    </row>
    <row r="192" spans="1:6" hidden="1" x14ac:dyDescent="0.3">
      <c r="A192" s="37">
        <v>44348</v>
      </c>
      <c r="B192" s="309" t="s">
        <v>118</v>
      </c>
      <c r="C192" s="4" t="s">
        <v>16</v>
      </c>
      <c r="D192" s="222">
        <v>8200000</v>
      </c>
      <c r="E192" s="110">
        <v>15000000</v>
      </c>
      <c r="F192" s="4" t="s">
        <v>199</v>
      </c>
    </row>
    <row r="193" spans="1:6" hidden="1" x14ac:dyDescent="0.3">
      <c r="A193" s="37">
        <v>44348</v>
      </c>
      <c r="B193" s="182" t="s">
        <v>209</v>
      </c>
      <c r="C193" s="4" t="s">
        <v>17</v>
      </c>
      <c r="D193" s="222">
        <v>18100000</v>
      </c>
      <c r="E193" s="110"/>
      <c r="F193" s="4" t="s">
        <v>199</v>
      </c>
    </row>
    <row r="194" spans="1:6" hidden="1" x14ac:dyDescent="0.3">
      <c r="A194" s="37">
        <v>44348</v>
      </c>
      <c r="B194" s="182" t="s">
        <v>130</v>
      </c>
      <c r="C194" s="4" t="s">
        <v>17</v>
      </c>
      <c r="D194" s="266">
        <v>17600000</v>
      </c>
      <c r="E194" s="182"/>
      <c r="F194" s="4" t="s">
        <v>199</v>
      </c>
    </row>
    <row r="195" spans="1:6" x14ac:dyDescent="0.3">
      <c r="A195" s="37">
        <v>44378</v>
      </c>
      <c r="B195" s="33" t="s">
        <v>214</v>
      </c>
      <c r="C195" s="4" t="s">
        <v>198</v>
      </c>
      <c r="D195" s="241">
        <v>45556000</v>
      </c>
      <c r="E195" s="110">
        <v>50000000</v>
      </c>
      <c r="F195" s="4" t="s">
        <v>199</v>
      </c>
    </row>
    <row r="196" spans="1:6" hidden="1" x14ac:dyDescent="0.3">
      <c r="A196" s="37">
        <v>44378</v>
      </c>
      <c r="B196" s="50" t="s">
        <v>206</v>
      </c>
      <c r="C196" s="4" t="s">
        <v>16</v>
      </c>
      <c r="D196" s="222">
        <v>2500000</v>
      </c>
      <c r="E196" s="110">
        <v>15000000</v>
      </c>
      <c r="F196" s="4" t="s">
        <v>199</v>
      </c>
    </row>
    <row r="197" spans="1:6" hidden="1" x14ac:dyDescent="0.3">
      <c r="A197" s="37">
        <v>44378</v>
      </c>
      <c r="B197" s="50" t="s">
        <v>207</v>
      </c>
      <c r="C197" s="4" t="s">
        <v>16</v>
      </c>
      <c r="D197" s="222">
        <v>18850000</v>
      </c>
      <c r="E197" s="110">
        <v>15000000</v>
      </c>
      <c r="F197" s="4" t="s">
        <v>199</v>
      </c>
    </row>
    <row r="198" spans="1:6" hidden="1" x14ac:dyDescent="0.3">
      <c r="A198" s="37">
        <v>44378</v>
      </c>
      <c r="B198" s="233" t="s">
        <v>118</v>
      </c>
      <c r="C198" s="4" t="s">
        <v>16</v>
      </c>
      <c r="D198" s="222">
        <v>1050000</v>
      </c>
      <c r="E198" s="110">
        <v>15000000</v>
      </c>
      <c r="F198" s="4" t="s">
        <v>199</v>
      </c>
    </row>
    <row r="199" spans="1:6" hidden="1" x14ac:dyDescent="0.3">
      <c r="A199" s="37">
        <v>44378</v>
      </c>
      <c r="B199" s="50" t="s">
        <v>211</v>
      </c>
      <c r="C199" s="4" t="s">
        <v>16</v>
      </c>
      <c r="D199" s="222">
        <v>12506000</v>
      </c>
      <c r="E199" s="110">
        <v>15000000</v>
      </c>
      <c r="F199" s="4" t="s">
        <v>199</v>
      </c>
    </row>
    <row r="200" spans="1:6" hidden="1" x14ac:dyDescent="0.3">
      <c r="A200" s="37">
        <v>44378</v>
      </c>
      <c r="B200" s="50" t="s">
        <v>209</v>
      </c>
      <c r="C200" s="4" t="s">
        <v>17</v>
      </c>
      <c r="D200" s="222">
        <v>29456000</v>
      </c>
      <c r="E200" s="182"/>
      <c r="F200" s="4" t="s">
        <v>199</v>
      </c>
    </row>
    <row r="201" spans="1:6" hidden="1" x14ac:dyDescent="0.3">
      <c r="A201" s="37">
        <v>44378</v>
      </c>
      <c r="B201" s="263" t="s">
        <v>130</v>
      </c>
      <c r="C201" s="4" t="s">
        <v>17</v>
      </c>
      <c r="D201" s="266">
        <v>8800000</v>
      </c>
      <c r="E201" s="182"/>
      <c r="F201" s="4" t="s">
        <v>199</v>
      </c>
    </row>
    <row r="202" spans="1:6" x14ac:dyDescent="0.3">
      <c r="A202" s="37">
        <v>44409</v>
      </c>
      <c r="B202" s="33" t="s">
        <v>214</v>
      </c>
      <c r="C202" s="4" t="s">
        <v>198</v>
      </c>
      <c r="D202" s="241">
        <v>63440000</v>
      </c>
      <c r="E202" s="110">
        <v>50000000</v>
      </c>
      <c r="F202" s="4" t="s">
        <v>199</v>
      </c>
    </row>
    <row r="203" spans="1:6" hidden="1" x14ac:dyDescent="0.3">
      <c r="A203" s="37">
        <v>44409</v>
      </c>
      <c r="B203" s="235" t="s">
        <v>206</v>
      </c>
      <c r="C203" s="4" t="s">
        <v>16</v>
      </c>
      <c r="D203" s="222">
        <v>26200000</v>
      </c>
      <c r="E203" s="110">
        <v>15000000</v>
      </c>
      <c r="F203" s="4" t="s">
        <v>199</v>
      </c>
    </row>
    <row r="204" spans="1:6" hidden="1" x14ac:dyDescent="0.3">
      <c r="A204" s="37">
        <v>44409</v>
      </c>
      <c r="B204" s="235" t="s">
        <v>207</v>
      </c>
      <c r="C204" s="4" t="s">
        <v>16</v>
      </c>
      <c r="D204" s="222">
        <v>8370000</v>
      </c>
      <c r="E204" s="110">
        <v>15000000</v>
      </c>
      <c r="F204" s="4" t="s">
        <v>199</v>
      </c>
    </row>
    <row r="205" spans="1:6" hidden="1" x14ac:dyDescent="0.3">
      <c r="A205" s="37">
        <v>44409</v>
      </c>
      <c r="B205" s="234" t="s">
        <v>118</v>
      </c>
      <c r="C205" s="4" t="s">
        <v>16</v>
      </c>
      <c r="D205" s="222">
        <v>6300000</v>
      </c>
      <c r="E205" s="110">
        <v>15000000</v>
      </c>
      <c r="F205" s="4" t="s">
        <v>199</v>
      </c>
    </row>
    <row r="206" spans="1:6" hidden="1" x14ac:dyDescent="0.3">
      <c r="A206" s="37">
        <v>44409</v>
      </c>
      <c r="B206" s="235" t="s">
        <v>211</v>
      </c>
      <c r="C206" s="4" t="s">
        <v>16</v>
      </c>
      <c r="D206" s="222">
        <v>22570000</v>
      </c>
      <c r="E206" s="110">
        <v>15000000</v>
      </c>
      <c r="F206" s="4" t="s">
        <v>199</v>
      </c>
    </row>
    <row r="207" spans="1:6" hidden="1" x14ac:dyDescent="0.3">
      <c r="A207" s="37">
        <v>44409</v>
      </c>
      <c r="B207" s="235" t="s">
        <v>209</v>
      </c>
      <c r="C207" s="4" t="s">
        <v>17</v>
      </c>
      <c r="D207" s="222">
        <v>33400000</v>
      </c>
      <c r="E207" s="182"/>
      <c r="F207" s="4" t="s">
        <v>199</v>
      </c>
    </row>
    <row r="208" spans="1:6" hidden="1" x14ac:dyDescent="0.3">
      <c r="A208" s="37">
        <v>44409</v>
      </c>
      <c r="B208" s="263" t="s">
        <v>130</v>
      </c>
      <c r="C208" s="4" t="s">
        <v>17</v>
      </c>
      <c r="D208" s="266">
        <v>30040000</v>
      </c>
      <c r="E208" s="182"/>
      <c r="F208" s="4" t="s">
        <v>199</v>
      </c>
    </row>
    <row r="209" spans="1:6" x14ac:dyDescent="0.3">
      <c r="A209" s="37">
        <v>44440</v>
      </c>
      <c r="B209" s="33" t="s">
        <v>214</v>
      </c>
      <c r="C209" s="4" t="s">
        <v>198</v>
      </c>
      <c r="D209" s="241">
        <v>79300000</v>
      </c>
      <c r="E209" s="110">
        <v>50000000</v>
      </c>
      <c r="F209" s="4" t="s">
        <v>199</v>
      </c>
    </row>
    <row r="210" spans="1:6" x14ac:dyDescent="0.3">
      <c r="A210" s="37">
        <v>44440</v>
      </c>
      <c r="B210" s="235" t="s">
        <v>206</v>
      </c>
      <c r="C210" s="4" t="s">
        <v>16</v>
      </c>
      <c r="D210" s="222">
        <v>17900000</v>
      </c>
      <c r="E210" s="110">
        <v>15000000</v>
      </c>
      <c r="F210" s="4" t="s">
        <v>199</v>
      </c>
    </row>
    <row r="211" spans="1:6" x14ac:dyDescent="0.3">
      <c r="A211" s="37">
        <v>44440</v>
      </c>
      <c r="B211" s="235" t="s">
        <v>207</v>
      </c>
      <c r="C211" s="4" t="s">
        <v>16</v>
      </c>
      <c r="D211" s="222">
        <v>29600000</v>
      </c>
      <c r="E211" s="110">
        <v>15000000</v>
      </c>
      <c r="F211" s="4" t="s">
        <v>199</v>
      </c>
    </row>
    <row r="212" spans="1:6" x14ac:dyDescent="0.3">
      <c r="A212" s="37">
        <v>44440</v>
      </c>
      <c r="B212" s="234" t="s">
        <v>118</v>
      </c>
      <c r="C212" s="4" t="s">
        <v>16</v>
      </c>
      <c r="D212" s="222">
        <v>14700000</v>
      </c>
      <c r="E212" s="110">
        <v>15000000</v>
      </c>
      <c r="F212" s="4" t="s">
        <v>199</v>
      </c>
    </row>
    <row r="213" spans="1:6" x14ac:dyDescent="0.3">
      <c r="A213" s="37">
        <v>44440</v>
      </c>
      <c r="B213" s="235" t="s">
        <v>211</v>
      </c>
      <c r="C213" s="4" t="s">
        <v>16</v>
      </c>
      <c r="D213" s="222">
        <v>17100000</v>
      </c>
      <c r="E213" s="110">
        <v>15000000</v>
      </c>
      <c r="F213" s="4" t="s">
        <v>199</v>
      </c>
    </row>
    <row r="214" spans="1:6" x14ac:dyDescent="0.3">
      <c r="A214" s="37">
        <v>44440</v>
      </c>
      <c r="B214" s="235" t="s">
        <v>209</v>
      </c>
      <c r="C214" s="4" t="s">
        <v>17</v>
      </c>
      <c r="D214" s="222">
        <v>30750000</v>
      </c>
      <c r="E214" s="177"/>
      <c r="F214" s="4" t="s">
        <v>199</v>
      </c>
    </row>
    <row r="215" spans="1:6" x14ac:dyDescent="0.3">
      <c r="A215" s="37">
        <v>44440</v>
      </c>
      <c r="B215" s="263" t="s">
        <v>130</v>
      </c>
      <c r="C215" s="4" t="s">
        <v>17</v>
      </c>
      <c r="D215" s="266">
        <v>25050000</v>
      </c>
      <c r="E215" s="177"/>
      <c r="F215" s="4" t="s">
        <v>199</v>
      </c>
    </row>
    <row r="216" spans="1:6" x14ac:dyDescent="0.3">
      <c r="A216" s="37">
        <v>44440</v>
      </c>
      <c r="B216" s="263" t="s">
        <v>212</v>
      </c>
      <c r="C216" s="4" t="s">
        <v>17</v>
      </c>
      <c r="D216" s="266">
        <v>23500000</v>
      </c>
      <c r="E216" s="177"/>
      <c r="F216" s="4" t="s">
        <v>199</v>
      </c>
    </row>
    <row r="217" spans="1:6" x14ac:dyDescent="0.3">
      <c r="A217" s="37">
        <v>44470</v>
      </c>
      <c r="B217" s="33" t="s">
        <v>214</v>
      </c>
      <c r="C217" s="4" t="s">
        <v>198</v>
      </c>
      <c r="D217" s="241">
        <v>43380000</v>
      </c>
      <c r="E217" s="110">
        <v>50000000</v>
      </c>
      <c r="F217" s="4" t="s">
        <v>199</v>
      </c>
    </row>
    <row r="218" spans="1:6" hidden="1" x14ac:dyDescent="0.3">
      <c r="A218" s="37">
        <v>44470</v>
      </c>
      <c r="B218" s="50" t="s">
        <v>206</v>
      </c>
      <c r="C218" s="4" t="s">
        <v>16</v>
      </c>
      <c r="D218" s="222">
        <v>4350000</v>
      </c>
      <c r="E218" s="110">
        <v>15000000</v>
      </c>
      <c r="F218" s="4" t="s">
        <v>199</v>
      </c>
    </row>
    <row r="219" spans="1:6" hidden="1" x14ac:dyDescent="0.3">
      <c r="A219" s="37">
        <v>44470</v>
      </c>
      <c r="B219" s="50" t="s">
        <v>207</v>
      </c>
      <c r="C219" s="4" t="s">
        <v>16</v>
      </c>
      <c r="D219" s="222">
        <v>14000000</v>
      </c>
      <c r="E219" s="110">
        <v>15000000</v>
      </c>
      <c r="F219" s="4" t="s">
        <v>199</v>
      </c>
    </row>
    <row r="220" spans="1:6" hidden="1" x14ac:dyDescent="0.3">
      <c r="A220" s="37">
        <v>44470</v>
      </c>
      <c r="B220" s="233" t="s">
        <v>118</v>
      </c>
      <c r="C220" s="4" t="s">
        <v>16</v>
      </c>
      <c r="D220" s="222">
        <v>14700000</v>
      </c>
      <c r="E220" s="110">
        <v>15000000</v>
      </c>
      <c r="F220" s="4" t="s">
        <v>199</v>
      </c>
    </row>
    <row r="221" spans="1:6" hidden="1" x14ac:dyDescent="0.3">
      <c r="A221" s="37">
        <v>44470</v>
      </c>
      <c r="B221" s="50" t="s">
        <v>211</v>
      </c>
      <c r="C221" s="4" t="s">
        <v>16</v>
      </c>
      <c r="D221" s="222">
        <v>15330000</v>
      </c>
      <c r="E221" s="110">
        <v>15000000</v>
      </c>
      <c r="F221" s="4" t="s">
        <v>199</v>
      </c>
    </row>
    <row r="222" spans="1:6" hidden="1" x14ac:dyDescent="0.3">
      <c r="A222" s="37">
        <v>44470</v>
      </c>
      <c r="B222" s="50" t="s">
        <v>209</v>
      </c>
      <c r="C222" s="4" t="s">
        <v>17</v>
      </c>
      <c r="D222" s="222">
        <v>12100000</v>
      </c>
      <c r="E222" s="182"/>
      <c r="F222" s="4" t="s">
        <v>199</v>
      </c>
    </row>
    <row r="223" spans="1:6" hidden="1" x14ac:dyDescent="0.3">
      <c r="A223" s="37">
        <v>44470</v>
      </c>
      <c r="B223" s="51" t="s">
        <v>130</v>
      </c>
      <c r="C223" s="4" t="s">
        <v>17</v>
      </c>
      <c r="D223" s="266">
        <v>31180000</v>
      </c>
      <c r="E223" s="182"/>
      <c r="F223" s="4" t="s">
        <v>199</v>
      </c>
    </row>
    <row r="224" spans="1:6" hidden="1" x14ac:dyDescent="0.3">
      <c r="A224" s="37">
        <v>44470</v>
      </c>
      <c r="B224" s="25" t="s">
        <v>212</v>
      </c>
      <c r="C224" s="4" t="s">
        <v>17</v>
      </c>
      <c r="D224" s="266">
        <v>5100000</v>
      </c>
      <c r="E224" s="182"/>
      <c r="F224" s="4" t="s">
        <v>199</v>
      </c>
    </row>
    <row r="225" spans="1:6" x14ac:dyDescent="0.3">
      <c r="A225" s="37">
        <v>44501</v>
      </c>
      <c r="B225" s="33" t="s">
        <v>214</v>
      </c>
      <c r="C225" s="4" t="s">
        <v>198</v>
      </c>
      <c r="D225" s="241">
        <v>67107000</v>
      </c>
      <c r="E225" s="110">
        <v>50000000</v>
      </c>
      <c r="F225" s="4" t="s">
        <v>199</v>
      </c>
    </row>
    <row r="226" spans="1:6" hidden="1" x14ac:dyDescent="0.3">
      <c r="A226" s="37">
        <v>44501</v>
      </c>
      <c r="B226" s="50" t="s">
        <v>206</v>
      </c>
      <c r="C226" s="4" t="s">
        <v>16</v>
      </c>
      <c r="D226" s="222">
        <v>17050000</v>
      </c>
      <c r="E226" s="110">
        <v>15000000</v>
      </c>
      <c r="F226" s="4" t="s">
        <v>199</v>
      </c>
    </row>
    <row r="227" spans="1:6" hidden="1" x14ac:dyDescent="0.3">
      <c r="A227" s="37">
        <v>44501</v>
      </c>
      <c r="B227" s="50" t="s">
        <v>207</v>
      </c>
      <c r="C227" s="4" t="s">
        <v>16</v>
      </c>
      <c r="D227" s="222">
        <v>17130000</v>
      </c>
      <c r="E227" s="110">
        <v>15000000</v>
      </c>
      <c r="F227" s="4" t="s">
        <v>199</v>
      </c>
    </row>
    <row r="228" spans="1:6" hidden="1" x14ac:dyDescent="0.3">
      <c r="A228" s="37">
        <v>44501</v>
      </c>
      <c r="B228" s="233" t="s">
        <v>118</v>
      </c>
      <c r="C228" s="4" t="s">
        <v>16</v>
      </c>
      <c r="D228" s="222">
        <v>12700000</v>
      </c>
      <c r="E228" s="110">
        <v>15000000</v>
      </c>
      <c r="F228" s="4" t="s">
        <v>199</v>
      </c>
    </row>
    <row r="229" spans="1:6" hidden="1" x14ac:dyDescent="0.3">
      <c r="A229" s="37">
        <v>44501</v>
      </c>
      <c r="B229" s="235" t="s">
        <v>211</v>
      </c>
      <c r="C229" s="4" t="s">
        <v>16</v>
      </c>
      <c r="D229" s="222">
        <v>16027000</v>
      </c>
      <c r="E229" s="110">
        <v>15000000</v>
      </c>
      <c r="F229" s="4" t="s">
        <v>199</v>
      </c>
    </row>
    <row r="230" spans="1:6" hidden="1" x14ac:dyDescent="0.3">
      <c r="A230" s="37">
        <v>44501</v>
      </c>
      <c r="B230" s="235" t="s">
        <v>209</v>
      </c>
      <c r="C230" s="4" t="s">
        <v>17</v>
      </c>
      <c r="D230" s="222">
        <v>30627000</v>
      </c>
      <c r="E230" s="182"/>
      <c r="F230" s="4" t="s">
        <v>199</v>
      </c>
    </row>
    <row r="231" spans="1:6" hidden="1" x14ac:dyDescent="0.3">
      <c r="A231" s="37">
        <v>44501</v>
      </c>
      <c r="B231" s="263" t="s">
        <v>130</v>
      </c>
      <c r="C231" s="4" t="s">
        <v>17</v>
      </c>
      <c r="D231" s="266">
        <v>22530000</v>
      </c>
      <c r="E231" s="182"/>
      <c r="F231" s="4" t="s">
        <v>199</v>
      </c>
    </row>
    <row r="232" spans="1:6" hidden="1" x14ac:dyDescent="0.3">
      <c r="A232" s="37">
        <v>44501</v>
      </c>
      <c r="B232" s="235" t="s">
        <v>213</v>
      </c>
      <c r="C232" s="4" t="s">
        <v>17</v>
      </c>
      <c r="D232" s="222">
        <v>9750000</v>
      </c>
      <c r="E232" s="182"/>
      <c r="F232" s="4" t="s">
        <v>199</v>
      </c>
    </row>
    <row r="233" spans="1:6" x14ac:dyDescent="0.3">
      <c r="A233" s="37">
        <v>44531</v>
      </c>
      <c r="B233" s="33" t="s">
        <v>214</v>
      </c>
      <c r="C233" s="4" t="s">
        <v>198</v>
      </c>
      <c r="D233" s="241">
        <v>62645000</v>
      </c>
      <c r="E233" s="110">
        <v>50000000</v>
      </c>
      <c r="F233" s="4" t="s">
        <v>199</v>
      </c>
    </row>
    <row r="234" spans="1:6" x14ac:dyDescent="0.3">
      <c r="A234" s="37">
        <v>44531</v>
      </c>
      <c r="B234" s="235" t="s">
        <v>206</v>
      </c>
      <c r="C234" s="4" t="s">
        <v>16</v>
      </c>
      <c r="D234" s="222">
        <v>14550000</v>
      </c>
      <c r="E234" s="110">
        <v>15000000</v>
      </c>
      <c r="F234" s="4" t="s">
        <v>199</v>
      </c>
    </row>
    <row r="235" spans="1:6" x14ac:dyDescent="0.3">
      <c r="A235" s="37">
        <v>44531</v>
      </c>
      <c r="B235" s="235" t="s">
        <v>207</v>
      </c>
      <c r="C235" s="4" t="s">
        <v>16</v>
      </c>
      <c r="D235" s="222">
        <v>18870000</v>
      </c>
      <c r="E235" s="110">
        <v>15000000</v>
      </c>
      <c r="F235" s="4" t="s">
        <v>199</v>
      </c>
    </row>
    <row r="236" spans="1:6" x14ac:dyDescent="0.3">
      <c r="A236" s="37">
        <v>44531</v>
      </c>
      <c r="B236" s="234" t="s">
        <v>118</v>
      </c>
      <c r="C236" s="4" t="s">
        <v>16</v>
      </c>
      <c r="D236" s="222">
        <v>4600000</v>
      </c>
      <c r="E236" s="110">
        <v>15000000</v>
      </c>
      <c r="F236" s="4" t="s">
        <v>199</v>
      </c>
    </row>
    <row r="237" spans="1:6" x14ac:dyDescent="0.3">
      <c r="A237" s="37">
        <v>44531</v>
      </c>
      <c r="B237" s="235" t="s">
        <v>211</v>
      </c>
      <c r="C237" s="4" t="s">
        <v>16</v>
      </c>
      <c r="D237" s="222">
        <v>22275000</v>
      </c>
      <c r="E237" s="110">
        <v>15000000</v>
      </c>
      <c r="F237" s="4" t="s">
        <v>199</v>
      </c>
    </row>
    <row r="238" spans="1:6" x14ac:dyDescent="0.3">
      <c r="A238" s="37">
        <v>44531</v>
      </c>
      <c r="B238" s="235" t="s">
        <v>209</v>
      </c>
      <c r="C238" s="4" t="s">
        <v>17</v>
      </c>
      <c r="D238" s="222">
        <v>19350000</v>
      </c>
      <c r="E238" s="177"/>
      <c r="F238" s="4" t="s">
        <v>199</v>
      </c>
    </row>
    <row r="239" spans="1:6" x14ac:dyDescent="0.3">
      <c r="A239" s="37">
        <v>44531</v>
      </c>
      <c r="B239" s="263" t="s">
        <v>130</v>
      </c>
      <c r="C239" s="4" t="s">
        <v>17</v>
      </c>
      <c r="D239" s="266">
        <v>29125000</v>
      </c>
      <c r="E239" s="177"/>
      <c r="F239" s="4" t="s">
        <v>199</v>
      </c>
    </row>
    <row r="240" spans="1:6" x14ac:dyDescent="0.3">
      <c r="A240" s="37">
        <v>44531</v>
      </c>
      <c r="B240" s="235" t="s">
        <v>213</v>
      </c>
      <c r="C240" s="4" t="s">
        <v>17</v>
      </c>
      <c r="D240" s="222">
        <v>11820000</v>
      </c>
      <c r="E240" s="177"/>
      <c r="F240" s="4" t="s">
        <v>199</v>
      </c>
    </row>
    <row r="241" spans="1:6" x14ac:dyDescent="0.3">
      <c r="A241" s="37">
        <v>44562</v>
      </c>
      <c r="B241" s="33" t="s">
        <v>214</v>
      </c>
      <c r="C241" s="4" t="s">
        <v>198</v>
      </c>
      <c r="D241" s="241">
        <v>71000000</v>
      </c>
      <c r="E241" s="241">
        <v>60000000</v>
      </c>
      <c r="F241" s="4" t="s">
        <v>199</v>
      </c>
    </row>
    <row r="242" spans="1:6" x14ac:dyDescent="0.3">
      <c r="A242" s="37">
        <v>44562</v>
      </c>
      <c r="B242" s="11" t="s">
        <v>196</v>
      </c>
      <c r="C242" s="4" t="s">
        <v>16</v>
      </c>
      <c r="D242" s="222">
        <v>32250000</v>
      </c>
      <c r="E242" s="241">
        <v>16000000</v>
      </c>
      <c r="F242" s="4" t="s">
        <v>199</v>
      </c>
    </row>
    <row r="243" spans="1:6" x14ac:dyDescent="0.3">
      <c r="A243" s="37">
        <v>44562</v>
      </c>
      <c r="B243" s="11" t="s">
        <v>207</v>
      </c>
      <c r="C243" s="4" t="s">
        <v>16</v>
      </c>
      <c r="D243" s="173">
        <v>3450000</v>
      </c>
      <c r="E243" s="241">
        <v>16000000</v>
      </c>
      <c r="F243" s="4" t="s">
        <v>199</v>
      </c>
    </row>
    <row r="244" spans="1:6" x14ac:dyDescent="0.3">
      <c r="A244" s="37">
        <v>44562</v>
      </c>
      <c r="B244" s="11" t="s">
        <v>118</v>
      </c>
      <c r="C244" s="4" t="s">
        <v>16</v>
      </c>
      <c r="D244" s="173">
        <v>5900000</v>
      </c>
      <c r="E244" s="241">
        <v>13000000</v>
      </c>
      <c r="F244" s="4" t="s">
        <v>199</v>
      </c>
    </row>
    <row r="245" spans="1:6" x14ac:dyDescent="0.3">
      <c r="A245" s="37">
        <v>44562</v>
      </c>
      <c r="B245" s="257" t="s">
        <v>211</v>
      </c>
      <c r="C245" s="4" t="s">
        <v>16</v>
      </c>
      <c r="D245" s="222">
        <v>29400000</v>
      </c>
      <c r="E245" s="241">
        <v>13000000</v>
      </c>
      <c r="F245" s="4" t="s">
        <v>199</v>
      </c>
    </row>
    <row r="246" spans="1:6" x14ac:dyDescent="0.3">
      <c r="A246" s="37">
        <v>44562</v>
      </c>
      <c r="B246" s="11" t="s">
        <v>209</v>
      </c>
      <c r="C246" s="4" t="s">
        <v>17</v>
      </c>
      <c r="D246" s="222">
        <v>31750000</v>
      </c>
      <c r="E246" s="241">
        <v>18000000</v>
      </c>
      <c r="F246" s="4" t="s">
        <v>199</v>
      </c>
    </row>
    <row r="247" spans="1:6" x14ac:dyDescent="0.3">
      <c r="A247" s="37">
        <v>44562</v>
      </c>
      <c r="B247" s="11" t="s">
        <v>130</v>
      </c>
      <c r="C247" s="4" t="s">
        <v>17</v>
      </c>
      <c r="D247" s="222">
        <v>31750000</v>
      </c>
      <c r="E247" s="241">
        <v>18000000</v>
      </c>
      <c r="F247" s="4" t="s">
        <v>199</v>
      </c>
    </row>
    <row r="248" spans="1:6" x14ac:dyDescent="0.3">
      <c r="A248" s="37">
        <v>44562</v>
      </c>
      <c r="B248" s="33" t="s">
        <v>213</v>
      </c>
      <c r="C248" s="4" t="s">
        <v>17</v>
      </c>
      <c r="D248" s="288">
        <v>7500000</v>
      </c>
      <c r="E248" s="268">
        <v>18000000</v>
      </c>
      <c r="F248" s="4" t="s">
        <v>199</v>
      </c>
    </row>
    <row r="249" spans="1:6" x14ac:dyDescent="0.3">
      <c r="A249" s="37">
        <v>44593</v>
      </c>
      <c r="B249" s="33" t="s">
        <v>214</v>
      </c>
      <c r="C249" s="4" t="s">
        <v>198</v>
      </c>
      <c r="D249" s="241">
        <v>80680000</v>
      </c>
      <c r="E249" s="241">
        <v>60000000</v>
      </c>
      <c r="F249" s="4" t="s">
        <v>199</v>
      </c>
    </row>
    <row r="250" spans="1:6" x14ac:dyDescent="0.3">
      <c r="A250" s="37">
        <v>44593</v>
      </c>
      <c r="B250" s="11" t="s">
        <v>196</v>
      </c>
      <c r="C250" s="4" t="s">
        <v>16</v>
      </c>
      <c r="D250" s="222">
        <v>20150000</v>
      </c>
      <c r="E250" s="241">
        <v>16000000</v>
      </c>
      <c r="F250" s="4" t="s">
        <v>199</v>
      </c>
    </row>
    <row r="251" spans="1:6" x14ac:dyDescent="0.3">
      <c r="A251" s="37">
        <v>44593</v>
      </c>
      <c r="B251" s="11" t="s">
        <v>207</v>
      </c>
      <c r="C251" s="4" t="s">
        <v>16</v>
      </c>
      <c r="D251" s="222">
        <v>28220000</v>
      </c>
      <c r="E251" s="241">
        <v>16000000</v>
      </c>
      <c r="F251" s="4" t="s">
        <v>199</v>
      </c>
    </row>
    <row r="252" spans="1:6" x14ac:dyDescent="0.3">
      <c r="A252" s="37">
        <v>44593</v>
      </c>
      <c r="B252" s="11" t="s">
        <v>118</v>
      </c>
      <c r="C252" s="4" t="s">
        <v>16</v>
      </c>
      <c r="D252" s="222">
        <v>13400000</v>
      </c>
      <c r="E252" s="241">
        <v>13000000</v>
      </c>
      <c r="F252" s="4" t="s">
        <v>199</v>
      </c>
    </row>
    <row r="253" spans="1:6" x14ac:dyDescent="0.3">
      <c r="A253" s="37">
        <v>44593</v>
      </c>
      <c r="B253" s="257" t="s">
        <v>211</v>
      </c>
      <c r="C253" s="4" t="s">
        <v>16</v>
      </c>
      <c r="D253" s="222">
        <v>17300000</v>
      </c>
      <c r="E253" s="241">
        <v>13000000</v>
      </c>
      <c r="F253" s="4" t="s">
        <v>199</v>
      </c>
    </row>
    <row r="254" spans="1:6" x14ac:dyDescent="0.3">
      <c r="A254" s="37">
        <v>44593</v>
      </c>
      <c r="B254" s="11" t="s">
        <v>209</v>
      </c>
      <c r="C254" s="4" t="s">
        <v>17</v>
      </c>
      <c r="D254" s="222">
        <v>27100000</v>
      </c>
      <c r="E254" s="241">
        <v>18000000</v>
      </c>
      <c r="F254" s="4" t="s">
        <v>199</v>
      </c>
    </row>
    <row r="255" spans="1:6" x14ac:dyDescent="0.3">
      <c r="A255" s="37">
        <v>44593</v>
      </c>
      <c r="B255" s="11" t="s">
        <v>130</v>
      </c>
      <c r="C255" s="4" t="s">
        <v>17</v>
      </c>
      <c r="D255" s="222">
        <v>26750000</v>
      </c>
      <c r="E255" s="241">
        <v>18000000</v>
      </c>
      <c r="F255" s="4" t="s">
        <v>199</v>
      </c>
    </row>
    <row r="256" spans="1:6" x14ac:dyDescent="0.3">
      <c r="A256" s="37">
        <v>44593</v>
      </c>
      <c r="B256" s="33" t="s">
        <v>213</v>
      </c>
      <c r="C256" s="4" t="s">
        <v>17</v>
      </c>
      <c r="D256" s="266">
        <v>25220000</v>
      </c>
      <c r="E256" s="268">
        <v>18000000</v>
      </c>
      <c r="F256" s="4" t="s">
        <v>199</v>
      </c>
    </row>
    <row r="257" spans="1:6" x14ac:dyDescent="0.3">
      <c r="A257" s="37">
        <v>44621</v>
      </c>
      <c r="B257" s="33" t="s">
        <v>214</v>
      </c>
      <c r="C257" s="4" t="s">
        <v>198</v>
      </c>
      <c r="D257" s="241">
        <v>75247175</v>
      </c>
      <c r="E257" s="241">
        <v>60000000</v>
      </c>
      <c r="F257" s="4" t="s">
        <v>199</v>
      </c>
    </row>
    <row r="258" spans="1:6" x14ac:dyDescent="0.3">
      <c r="A258" s="37">
        <v>44621</v>
      </c>
      <c r="B258" s="11" t="s">
        <v>196</v>
      </c>
      <c r="C258" s="4" t="s">
        <v>16</v>
      </c>
      <c r="D258" s="222">
        <v>14650000</v>
      </c>
      <c r="E258" s="241">
        <v>16000000</v>
      </c>
      <c r="F258" s="4" t="s">
        <v>199</v>
      </c>
    </row>
    <row r="259" spans="1:6" x14ac:dyDescent="0.3">
      <c r="A259" s="37">
        <v>44621</v>
      </c>
      <c r="B259" s="11" t="s">
        <v>207</v>
      </c>
      <c r="C259" s="4" t="s">
        <v>16</v>
      </c>
      <c r="D259" s="222">
        <v>20004000</v>
      </c>
      <c r="E259" s="241">
        <v>16000000</v>
      </c>
      <c r="F259" s="4" t="s">
        <v>199</v>
      </c>
    </row>
    <row r="260" spans="1:6" x14ac:dyDescent="0.3">
      <c r="A260" s="37">
        <v>44621</v>
      </c>
      <c r="B260" s="11" t="s">
        <v>118</v>
      </c>
      <c r="C260" s="4" t="s">
        <v>16</v>
      </c>
      <c r="D260" s="222">
        <v>7580000</v>
      </c>
      <c r="E260" s="241">
        <v>13000000</v>
      </c>
      <c r="F260" s="4" t="s">
        <v>199</v>
      </c>
    </row>
    <row r="261" spans="1:6" x14ac:dyDescent="0.3">
      <c r="A261" s="37">
        <v>44621</v>
      </c>
      <c r="B261" s="257" t="s">
        <v>211</v>
      </c>
      <c r="C261" s="4" t="s">
        <v>16</v>
      </c>
      <c r="D261" s="222">
        <v>29450000</v>
      </c>
      <c r="E261" s="241">
        <v>13000000</v>
      </c>
      <c r="F261" s="4" t="s">
        <v>199</v>
      </c>
    </row>
    <row r="262" spans="1:6" x14ac:dyDescent="0.3">
      <c r="A262" s="37">
        <v>44621</v>
      </c>
      <c r="B262" s="11" t="s">
        <v>209</v>
      </c>
      <c r="C262" s="4" t="s">
        <v>17</v>
      </c>
      <c r="D262" s="222">
        <v>20334000</v>
      </c>
      <c r="E262" s="241">
        <v>18000000</v>
      </c>
      <c r="F262" s="4" t="s">
        <v>199</v>
      </c>
    </row>
    <row r="263" spans="1:6" x14ac:dyDescent="0.3">
      <c r="A263" s="37">
        <v>44621</v>
      </c>
      <c r="B263" s="11" t="s">
        <v>130</v>
      </c>
      <c r="C263" s="4" t="s">
        <v>17</v>
      </c>
      <c r="D263" s="222">
        <v>25513175</v>
      </c>
      <c r="E263" s="241">
        <v>18000000</v>
      </c>
      <c r="F263" s="4" t="s">
        <v>199</v>
      </c>
    </row>
    <row r="264" spans="1:6" x14ac:dyDescent="0.3">
      <c r="A264" s="37">
        <v>44621</v>
      </c>
      <c r="B264" s="33" t="s">
        <v>213</v>
      </c>
      <c r="C264" s="4" t="s">
        <v>17</v>
      </c>
      <c r="D264" s="266">
        <v>29400000</v>
      </c>
      <c r="E264" s="268">
        <v>18000000</v>
      </c>
      <c r="F264" s="4" t="s">
        <v>199</v>
      </c>
    </row>
    <row r="265" spans="1:6" x14ac:dyDescent="0.3">
      <c r="A265" s="37">
        <v>44621</v>
      </c>
      <c r="B265" s="33" t="s">
        <v>214</v>
      </c>
      <c r="C265" s="4" t="s">
        <v>198</v>
      </c>
      <c r="D265" s="241">
        <v>75247175</v>
      </c>
      <c r="E265" s="241">
        <v>60000000</v>
      </c>
      <c r="F265" s="4" t="s">
        <v>199</v>
      </c>
    </row>
    <row r="266" spans="1:6" x14ac:dyDescent="0.3">
      <c r="A266" s="37">
        <v>44621</v>
      </c>
      <c r="B266" s="11" t="s">
        <v>196</v>
      </c>
      <c r="C266" s="4" t="s">
        <v>16</v>
      </c>
      <c r="D266" s="222">
        <v>14650000</v>
      </c>
      <c r="E266" s="241">
        <v>16000000</v>
      </c>
      <c r="F266" s="4" t="s">
        <v>199</v>
      </c>
    </row>
    <row r="267" spans="1:6" x14ac:dyDescent="0.3">
      <c r="A267" s="37">
        <v>44621</v>
      </c>
      <c r="B267" s="11" t="s">
        <v>207</v>
      </c>
      <c r="C267" s="4" t="s">
        <v>16</v>
      </c>
      <c r="D267" s="222">
        <v>20004000</v>
      </c>
      <c r="E267" s="241">
        <v>16000000</v>
      </c>
      <c r="F267" s="4" t="s">
        <v>199</v>
      </c>
    </row>
    <row r="268" spans="1:6" x14ac:dyDescent="0.3">
      <c r="A268" s="37">
        <v>44621</v>
      </c>
      <c r="B268" s="11" t="s">
        <v>118</v>
      </c>
      <c r="C268" s="4" t="s">
        <v>16</v>
      </c>
      <c r="D268" s="222">
        <v>7580000</v>
      </c>
      <c r="E268" s="241">
        <v>13000000</v>
      </c>
      <c r="F268" s="4" t="s">
        <v>199</v>
      </c>
    </row>
    <row r="269" spans="1:6" x14ac:dyDescent="0.3">
      <c r="A269" s="37">
        <v>44621</v>
      </c>
      <c r="B269" s="257" t="s">
        <v>211</v>
      </c>
      <c r="C269" s="4" t="s">
        <v>16</v>
      </c>
      <c r="D269" s="222">
        <v>29450000</v>
      </c>
      <c r="E269" s="241">
        <v>13000000</v>
      </c>
      <c r="F269" s="4" t="s">
        <v>199</v>
      </c>
    </row>
    <row r="270" spans="1:6" x14ac:dyDescent="0.3">
      <c r="A270" s="37">
        <v>44621</v>
      </c>
      <c r="B270" s="11" t="s">
        <v>209</v>
      </c>
      <c r="C270" s="4" t="s">
        <v>17</v>
      </c>
      <c r="D270" s="222">
        <v>20334000</v>
      </c>
      <c r="E270" s="241">
        <v>18000000</v>
      </c>
      <c r="F270" s="4" t="s">
        <v>199</v>
      </c>
    </row>
    <row r="271" spans="1:6" x14ac:dyDescent="0.3">
      <c r="A271" s="37">
        <v>44621</v>
      </c>
      <c r="B271" s="11" t="s">
        <v>130</v>
      </c>
      <c r="C271" s="4" t="s">
        <v>17</v>
      </c>
      <c r="D271" s="222">
        <v>25513175</v>
      </c>
      <c r="E271" s="241">
        <v>18000000</v>
      </c>
      <c r="F271" s="4" t="s">
        <v>199</v>
      </c>
    </row>
    <row r="272" spans="1:6" x14ac:dyDescent="0.3">
      <c r="A272" s="37">
        <v>44621</v>
      </c>
      <c r="B272" s="33" t="s">
        <v>213</v>
      </c>
      <c r="C272" s="4" t="s">
        <v>17</v>
      </c>
      <c r="D272" s="266">
        <v>29400000</v>
      </c>
      <c r="E272" s="268">
        <v>18000000</v>
      </c>
      <c r="F272" s="4" t="s">
        <v>199</v>
      </c>
    </row>
    <row r="273" spans="1:6" x14ac:dyDescent="0.3">
      <c r="A273" s="37">
        <v>44652</v>
      </c>
      <c r="B273" s="33" t="s">
        <v>214</v>
      </c>
      <c r="C273" s="4" t="s">
        <v>198</v>
      </c>
      <c r="D273" s="173">
        <v>37600000</v>
      </c>
      <c r="E273" s="241">
        <v>60000000</v>
      </c>
      <c r="F273" s="4" t="s">
        <v>199</v>
      </c>
    </row>
    <row r="274" spans="1:6" x14ac:dyDescent="0.3">
      <c r="A274" s="37">
        <v>44652</v>
      </c>
      <c r="B274" s="11" t="s">
        <v>196</v>
      </c>
      <c r="C274" s="4" t="s">
        <v>16</v>
      </c>
      <c r="D274" s="222">
        <v>6600000</v>
      </c>
      <c r="E274" s="241">
        <v>16000000</v>
      </c>
      <c r="F274" s="4" t="s">
        <v>199</v>
      </c>
    </row>
    <row r="275" spans="1:6" x14ac:dyDescent="0.3">
      <c r="A275" s="37">
        <v>44652</v>
      </c>
      <c r="B275" s="11" t="s">
        <v>207</v>
      </c>
      <c r="C275" s="4" t="s">
        <v>16</v>
      </c>
      <c r="D275" s="222">
        <v>15750000</v>
      </c>
      <c r="E275" s="241">
        <v>16000000</v>
      </c>
      <c r="F275" s="4" t="s">
        <v>199</v>
      </c>
    </row>
    <row r="276" spans="1:6" x14ac:dyDescent="0.3">
      <c r="A276" s="37">
        <v>44652</v>
      </c>
      <c r="B276" s="257" t="s">
        <v>211</v>
      </c>
      <c r="C276" s="4" t="s">
        <v>16</v>
      </c>
      <c r="D276" s="222">
        <v>13050000</v>
      </c>
      <c r="E276" s="241">
        <v>13000000</v>
      </c>
      <c r="F276" s="4" t="s">
        <v>199</v>
      </c>
    </row>
    <row r="277" spans="1:6" x14ac:dyDescent="0.3">
      <c r="A277" s="37">
        <v>44652</v>
      </c>
      <c r="B277" s="11" t="s">
        <v>130</v>
      </c>
      <c r="C277" s="4" t="s">
        <v>17</v>
      </c>
      <c r="D277" s="222">
        <v>16800000</v>
      </c>
      <c r="E277" s="241">
        <v>18000000</v>
      </c>
      <c r="F277" s="4" t="s">
        <v>199</v>
      </c>
    </row>
    <row r="278" spans="1:6" x14ac:dyDescent="0.3">
      <c r="A278" s="37">
        <v>44652</v>
      </c>
      <c r="B278" s="33" t="s">
        <v>213</v>
      </c>
      <c r="C278" s="4" t="s">
        <v>17</v>
      </c>
      <c r="D278" s="266">
        <v>20800000</v>
      </c>
      <c r="E278" s="268">
        <v>18000000</v>
      </c>
      <c r="F278" s="4" t="s">
        <v>199</v>
      </c>
    </row>
    <row r="279" spans="1:6" x14ac:dyDescent="0.3">
      <c r="A279" s="37">
        <v>44682</v>
      </c>
      <c r="B279" s="33" t="s">
        <v>214</v>
      </c>
      <c r="C279" s="4" t="s">
        <v>198</v>
      </c>
      <c r="D279" s="241">
        <v>65764300</v>
      </c>
      <c r="E279" s="241">
        <v>60000000</v>
      </c>
      <c r="F279" s="4" t="s">
        <v>199</v>
      </c>
    </row>
    <row r="280" spans="1:6" x14ac:dyDescent="0.3">
      <c r="A280" s="37">
        <v>44682</v>
      </c>
      <c r="B280" s="11" t="s">
        <v>196</v>
      </c>
      <c r="C280" s="4" t="s">
        <v>16</v>
      </c>
      <c r="D280" s="222">
        <v>23450000</v>
      </c>
      <c r="E280" s="241">
        <v>16000000</v>
      </c>
      <c r="F280" s="4" t="s">
        <v>199</v>
      </c>
    </row>
    <row r="281" spans="1:6" x14ac:dyDescent="0.3">
      <c r="A281" s="37">
        <v>44682</v>
      </c>
      <c r="B281" s="11" t="s">
        <v>207</v>
      </c>
      <c r="C281" s="4" t="s">
        <v>16</v>
      </c>
      <c r="D281" s="222">
        <v>18220000</v>
      </c>
      <c r="E281" s="241">
        <v>16000000</v>
      </c>
      <c r="F281" s="4" t="s">
        <v>199</v>
      </c>
    </row>
    <row r="282" spans="1:6" x14ac:dyDescent="0.3">
      <c r="A282" s="37">
        <v>44682</v>
      </c>
      <c r="B282" s="11" t="s">
        <v>118</v>
      </c>
      <c r="C282" s="4" t="s">
        <v>16</v>
      </c>
      <c r="D282" s="222">
        <v>2300000</v>
      </c>
      <c r="E282" s="241">
        <v>13000000</v>
      </c>
      <c r="F282" s="4" t="s">
        <v>199</v>
      </c>
    </row>
    <row r="283" spans="1:6" x14ac:dyDescent="0.3">
      <c r="A283" s="37">
        <v>44682</v>
      </c>
      <c r="B283" s="257" t="s">
        <v>211</v>
      </c>
      <c r="C283" s="4" t="s">
        <v>16</v>
      </c>
      <c r="D283" s="222">
        <v>21795300</v>
      </c>
      <c r="E283" s="241">
        <v>13000000</v>
      </c>
      <c r="F283" s="4" t="s">
        <v>199</v>
      </c>
    </row>
    <row r="284" spans="1:6" x14ac:dyDescent="0.3">
      <c r="A284" s="37">
        <v>44682</v>
      </c>
      <c r="B284" s="11" t="s">
        <v>209</v>
      </c>
      <c r="C284" s="4" t="s">
        <v>17</v>
      </c>
      <c r="D284" s="222">
        <v>23450000</v>
      </c>
      <c r="E284" s="241">
        <v>18000000</v>
      </c>
      <c r="F284" s="4" t="s">
        <v>199</v>
      </c>
    </row>
    <row r="285" spans="1:6" x14ac:dyDescent="0.3">
      <c r="A285" s="37">
        <v>44682</v>
      </c>
      <c r="B285" s="33" t="s">
        <v>213</v>
      </c>
      <c r="C285" s="4" t="s">
        <v>17</v>
      </c>
      <c r="D285" s="266">
        <v>25220000</v>
      </c>
      <c r="E285" s="268">
        <v>18000000</v>
      </c>
      <c r="F285" s="4" t="s">
        <v>199</v>
      </c>
    </row>
    <row r="286" spans="1:6" x14ac:dyDescent="0.3">
      <c r="A286" s="37">
        <v>44713</v>
      </c>
      <c r="B286" s="33" t="s">
        <v>214</v>
      </c>
      <c r="C286" s="4" t="s">
        <v>198</v>
      </c>
      <c r="D286" s="241">
        <v>60800000</v>
      </c>
      <c r="E286" s="241">
        <v>60000000</v>
      </c>
      <c r="F286" s="4" t="s">
        <v>199</v>
      </c>
    </row>
    <row r="287" spans="1:6" x14ac:dyDescent="0.3">
      <c r="A287" s="37">
        <v>44713</v>
      </c>
      <c r="B287" s="11" t="s">
        <v>196</v>
      </c>
      <c r="C287" s="4" t="s">
        <v>16</v>
      </c>
      <c r="D287" s="312">
        <v>29800000</v>
      </c>
      <c r="E287" s="241">
        <v>16000000</v>
      </c>
      <c r="F287" s="4" t="s">
        <v>199</v>
      </c>
    </row>
    <row r="288" spans="1:6" x14ac:dyDescent="0.3">
      <c r="A288" s="37">
        <v>44713</v>
      </c>
      <c r="B288" s="11" t="s">
        <v>207</v>
      </c>
      <c r="C288" s="4" t="s">
        <v>16</v>
      </c>
      <c r="D288" s="312">
        <v>16100000</v>
      </c>
      <c r="E288" s="241">
        <v>16000000</v>
      </c>
      <c r="F288" s="4" t="s">
        <v>199</v>
      </c>
    </row>
    <row r="289" spans="1:6" x14ac:dyDescent="0.3">
      <c r="A289" s="37">
        <v>44713</v>
      </c>
      <c r="B289" s="11" t="s">
        <v>118</v>
      </c>
      <c r="C289" s="4" t="s">
        <v>16</v>
      </c>
      <c r="D289" s="312">
        <v>4650000</v>
      </c>
      <c r="E289" s="241">
        <v>13000000</v>
      </c>
      <c r="F289" s="4" t="s">
        <v>199</v>
      </c>
    </row>
    <row r="290" spans="1:6" x14ac:dyDescent="0.3">
      <c r="A290" s="37">
        <v>44713</v>
      </c>
      <c r="B290" s="257" t="s">
        <v>211</v>
      </c>
      <c r="C290" s="4" t="s">
        <v>16</v>
      </c>
      <c r="D290" s="312">
        <v>4200000</v>
      </c>
      <c r="E290" s="241">
        <v>13000000</v>
      </c>
      <c r="F290" s="4" t="s">
        <v>199</v>
      </c>
    </row>
    <row r="291" spans="1:6" x14ac:dyDescent="0.3">
      <c r="A291" s="37">
        <v>44713</v>
      </c>
      <c r="B291" s="11" t="s">
        <v>209</v>
      </c>
      <c r="C291" s="4" t="s">
        <v>17</v>
      </c>
      <c r="D291" s="222">
        <v>24600000</v>
      </c>
      <c r="E291" s="241">
        <v>18000000</v>
      </c>
      <c r="F291" s="4" t="s">
        <v>199</v>
      </c>
    </row>
    <row r="292" spans="1:6" x14ac:dyDescent="0.3">
      <c r="A292" s="37">
        <v>44713</v>
      </c>
      <c r="B292" s="33" t="s">
        <v>213</v>
      </c>
      <c r="C292" s="4" t="s">
        <v>17</v>
      </c>
      <c r="D292" s="266">
        <v>20600000</v>
      </c>
      <c r="E292" s="268">
        <v>18000000</v>
      </c>
      <c r="F292" s="4" t="s">
        <v>199</v>
      </c>
    </row>
    <row r="293" spans="1:6" x14ac:dyDescent="0.3">
      <c r="A293" s="37">
        <v>44713</v>
      </c>
      <c r="B293" s="34" t="s">
        <v>129</v>
      </c>
      <c r="C293" s="4" t="s">
        <v>17</v>
      </c>
      <c r="D293" s="222">
        <v>13950000</v>
      </c>
      <c r="E293" s="241">
        <v>18000000</v>
      </c>
      <c r="F293" s="4" t="s">
        <v>199</v>
      </c>
    </row>
    <row r="294" spans="1:6" x14ac:dyDescent="0.3">
      <c r="A294" s="37">
        <v>44743</v>
      </c>
      <c r="B294" s="33" t="s">
        <v>214</v>
      </c>
      <c r="C294" s="4" t="s">
        <v>198</v>
      </c>
      <c r="D294" s="241">
        <v>76850000</v>
      </c>
      <c r="E294" s="241">
        <v>60000000</v>
      </c>
      <c r="F294" s="4" t="s">
        <v>199</v>
      </c>
    </row>
    <row r="295" spans="1:6" x14ac:dyDescent="0.3">
      <c r="A295" s="37">
        <v>44743</v>
      </c>
      <c r="B295" s="11" t="s">
        <v>196</v>
      </c>
      <c r="C295" s="4" t="s">
        <v>16</v>
      </c>
      <c r="D295" s="222">
        <v>23800000</v>
      </c>
      <c r="E295" s="241">
        <v>16000000</v>
      </c>
      <c r="F295" s="4" t="s">
        <v>199</v>
      </c>
    </row>
    <row r="296" spans="1:6" x14ac:dyDescent="0.3">
      <c r="A296" s="37">
        <v>44743</v>
      </c>
      <c r="B296" s="11" t="s">
        <v>207</v>
      </c>
      <c r="C296" s="4" t="s">
        <v>16</v>
      </c>
      <c r="D296" s="222">
        <v>26850000</v>
      </c>
      <c r="E296" s="241">
        <v>16000000</v>
      </c>
      <c r="F296" s="4" t="s">
        <v>199</v>
      </c>
    </row>
    <row r="297" spans="1:6" x14ac:dyDescent="0.3">
      <c r="A297" s="37">
        <v>44743</v>
      </c>
      <c r="B297" s="11" t="s">
        <v>215</v>
      </c>
      <c r="C297" s="4" t="s">
        <v>16</v>
      </c>
      <c r="D297" s="222">
        <v>8500000</v>
      </c>
      <c r="E297" s="241">
        <v>16000000</v>
      </c>
      <c r="F297" s="4" t="s">
        <v>199</v>
      </c>
    </row>
    <row r="298" spans="1:6" x14ac:dyDescent="0.3">
      <c r="A298" s="37">
        <v>44743</v>
      </c>
      <c r="B298" s="257" t="s">
        <v>63</v>
      </c>
      <c r="C298" s="4" t="s">
        <v>16</v>
      </c>
      <c r="D298" s="222">
        <v>11400000</v>
      </c>
      <c r="E298" s="241">
        <v>13000000</v>
      </c>
      <c r="F298" s="4" t="s">
        <v>199</v>
      </c>
    </row>
    <row r="299" spans="1:6" x14ac:dyDescent="0.3">
      <c r="A299" s="37">
        <v>44743</v>
      </c>
      <c r="B299" s="11" t="s">
        <v>209</v>
      </c>
      <c r="C299" s="4" t="s">
        <v>17</v>
      </c>
      <c r="D299" s="222">
        <v>27900000</v>
      </c>
      <c r="E299" s="241">
        <v>18000000</v>
      </c>
      <c r="F299" s="4" t="s">
        <v>199</v>
      </c>
    </row>
    <row r="300" spans="1:6" x14ac:dyDescent="0.3">
      <c r="A300" s="37">
        <v>44743</v>
      </c>
      <c r="B300" s="33" t="s">
        <v>213</v>
      </c>
      <c r="C300" s="4" t="s">
        <v>17</v>
      </c>
      <c r="D300" s="266">
        <v>29850000</v>
      </c>
      <c r="E300" s="268">
        <v>18000000</v>
      </c>
      <c r="F300" s="4" t="s">
        <v>199</v>
      </c>
    </row>
    <row r="301" spans="1:6" x14ac:dyDescent="0.3">
      <c r="A301" s="37">
        <v>44743</v>
      </c>
      <c r="B301" s="34" t="s">
        <v>129</v>
      </c>
      <c r="C301" s="4" t="s">
        <v>17</v>
      </c>
      <c r="D301" s="222">
        <v>14300000</v>
      </c>
      <c r="E301" s="241">
        <v>18000000</v>
      </c>
      <c r="F301" s="4" t="s">
        <v>199</v>
      </c>
    </row>
    <row r="302" spans="1:6" x14ac:dyDescent="0.3">
      <c r="A302" s="6">
        <v>44774</v>
      </c>
      <c r="B302" s="33" t="s">
        <v>214</v>
      </c>
      <c r="C302" s="4" t="s">
        <v>198</v>
      </c>
      <c r="D302" s="173">
        <v>49250000</v>
      </c>
      <c r="E302" s="241">
        <v>60000000</v>
      </c>
      <c r="F302" s="4" t="s">
        <v>199</v>
      </c>
    </row>
    <row r="303" spans="1:6" x14ac:dyDescent="0.3">
      <c r="A303" s="6">
        <v>44774</v>
      </c>
      <c r="B303" s="11" t="s">
        <v>196</v>
      </c>
      <c r="C303" s="4" t="s">
        <v>16</v>
      </c>
      <c r="D303" s="222">
        <v>13850000</v>
      </c>
      <c r="E303" s="241">
        <v>16000000</v>
      </c>
      <c r="F303" s="4" t="s">
        <v>199</v>
      </c>
    </row>
    <row r="304" spans="1:6" x14ac:dyDescent="0.3">
      <c r="A304" s="6">
        <v>44774</v>
      </c>
      <c r="B304" s="11" t="s">
        <v>207</v>
      </c>
      <c r="C304" s="4" t="s">
        <v>16</v>
      </c>
      <c r="D304" s="222">
        <v>20000000</v>
      </c>
      <c r="E304" s="241">
        <v>16000000</v>
      </c>
      <c r="F304" s="4" t="s">
        <v>199</v>
      </c>
    </row>
    <row r="305" spans="1:7" x14ac:dyDescent="0.3">
      <c r="A305" s="6">
        <v>44774</v>
      </c>
      <c r="B305" s="257" t="s">
        <v>63</v>
      </c>
      <c r="C305" s="4" t="s">
        <v>16</v>
      </c>
      <c r="D305" s="222">
        <v>5300000</v>
      </c>
      <c r="E305" s="241">
        <v>13000000</v>
      </c>
      <c r="F305" s="4" t="s">
        <v>199</v>
      </c>
    </row>
    <row r="306" spans="1:7" x14ac:dyDescent="0.3">
      <c r="A306" s="294">
        <v>44774</v>
      </c>
      <c r="B306" s="33" t="s">
        <v>209</v>
      </c>
      <c r="C306" s="295" t="s">
        <v>17</v>
      </c>
      <c r="D306" s="266">
        <v>23300000</v>
      </c>
      <c r="E306" s="268">
        <v>18000000</v>
      </c>
      <c r="F306" s="295" t="s">
        <v>199</v>
      </c>
    </row>
    <row r="307" spans="1:7" x14ac:dyDescent="0.3">
      <c r="A307" s="6">
        <v>44774</v>
      </c>
      <c r="B307" s="12" t="s">
        <v>130</v>
      </c>
      <c r="C307" s="4" t="s">
        <v>17</v>
      </c>
      <c r="D307" s="177">
        <v>14500000</v>
      </c>
      <c r="E307" s="127">
        <v>18000000</v>
      </c>
      <c r="F307" s="4" t="s">
        <v>199</v>
      </c>
    </row>
    <row r="308" spans="1:7" x14ac:dyDescent="0.3">
      <c r="A308" s="6">
        <v>44774</v>
      </c>
      <c r="B308" s="12" t="s">
        <v>213</v>
      </c>
      <c r="C308" s="4" t="s">
        <v>17</v>
      </c>
      <c r="D308" s="177">
        <v>20400000</v>
      </c>
      <c r="E308" s="127">
        <v>18000000</v>
      </c>
      <c r="F308" s="4" t="s">
        <v>199</v>
      </c>
    </row>
    <row r="309" spans="1:7" x14ac:dyDescent="0.3">
      <c r="A309" s="6">
        <v>44774</v>
      </c>
      <c r="B309" s="261" t="s">
        <v>129</v>
      </c>
      <c r="C309" s="4" t="s">
        <v>17</v>
      </c>
      <c r="D309" s="177">
        <v>28250000</v>
      </c>
      <c r="E309" s="127">
        <v>18000000</v>
      </c>
      <c r="F309" s="4" t="s">
        <v>199</v>
      </c>
    </row>
    <row r="310" spans="1:7" x14ac:dyDescent="0.3">
      <c r="A310" s="6">
        <v>44805</v>
      </c>
      <c r="B310" s="12" t="s">
        <v>214</v>
      </c>
      <c r="C310" s="4" t="s">
        <v>198</v>
      </c>
      <c r="D310" s="127">
        <v>85475000</v>
      </c>
      <c r="E310" s="127">
        <v>60000000</v>
      </c>
      <c r="F310" s="4" t="s">
        <v>199</v>
      </c>
    </row>
    <row r="311" spans="1:7" x14ac:dyDescent="0.3">
      <c r="A311" s="6">
        <v>44805</v>
      </c>
      <c r="B311" s="12" t="s">
        <v>196</v>
      </c>
      <c r="C311" s="4" t="s">
        <v>16</v>
      </c>
      <c r="D311" s="177">
        <v>28350000</v>
      </c>
      <c r="E311" s="127">
        <v>16000000</v>
      </c>
      <c r="F311" s="4" t="s">
        <v>199</v>
      </c>
    </row>
    <row r="312" spans="1:7" x14ac:dyDescent="0.3">
      <c r="A312" s="6">
        <v>44805</v>
      </c>
      <c r="B312" s="12" t="s">
        <v>207</v>
      </c>
      <c r="C312" s="4" t="s">
        <v>16</v>
      </c>
      <c r="D312" s="177">
        <v>23625000</v>
      </c>
      <c r="E312" s="127">
        <v>16000000</v>
      </c>
      <c r="F312" s="4" t="s">
        <v>199</v>
      </c>
    </row>
    <row r="313" spans="1:7" x14ac:dyDescent="0.3">
      <c r="A313" s="6">
        <v>44805</v>
      </c>
      <c r="B313" s="12" t="s">
        <v>63</v>
      </c>
      <c r="C313" s="4" t="s">
        <v>16</v>
      </c>
      <c r="D313" s="177">
        <v>22200000</v>
      </c>
      <c r="E313" s="127">
        <v>13000000</v>
      </c>
      <c r="F313" s="4" t="s">
        <v>199</v>
      </c>
    </row>
    <row r="314" spans="1:7" x14ac:dyDescent="0.3">
      <c r="A314" s="6">
        <v>44805</v>
      </c>
      <c r="B314" s="12" t="s">
        <v>209</v>
      </c>
      <c r="C314" s="4" t="s">
        <v>17</v>
      </c>
      <c r="D314" s="177">
        <v>35500000</v>
      </c>
      <c r="E314" s="127">
        <v>18000000</v>
      </c>
      <c r="F314" s="4" t="s">
        <v>199</v>
      </c>
    </row>
    <row r="315" spans="1:7" x14ac:dyDescent="0.3">
      <c r="A315" s="6">
        <v>44805</v>
      </c>
      <c r="B315" s="12" t="s">
        <v>213</v>
      </c>
      <c r="C315" s="4" t="s">
        <v>17</v>
      </c>
      <c r="D315" s="177">
        <v>37900000</v>
      </c>
      <c r="E315" s="127">
        <v>18000000</v>
      </c>
      <c r="F315" s="4" t="s">
        <v>199</v>
      </c>
    </row>
    <row r="316" spans="1:7" x14ac:dyDescent="0.3">
      <c r="A316" s="6">
        <v>44835</v>
      </c>
      <c r="B316" s="335" t="s">
        <v>214</v>
      </c>
      <c r="C316" s="4" t="s">
        <v>198</v>
      </c>
      <c r="D316" s="241">
        <v>66050000</v>
      </c>
      <c r="E316" s="241">
        <v>60000000</v>
      </c>
      <c r="F316" s="4" t="s">
        <v>199</v>
      </c>
      <c r="G316" s="313"/>
    </row>
    <row r="317" spans="1:7" x14ac:dyDescent="0.3">
      <c r="A317" s="6">
        <v>44835</v>
      </c>
      <c r="B317" s="336" t="s">
        <v>196</v>
      </c>
      <c r="C317" s="4" t="s">
        <v>16</v>
      </c>
      <c r="D317" s="222">
        <v>17900000</v>
      </c>
      <c r="E317" s="241">
        <v>16000000</v>
      </c>
      <c r="F317" s="4" t="s">
        <v>199</v>
      </c>
      <c r="G317" s="313"/>
    </row>
    <row r="318" spans="1:7" x14ac:dyDescent="0.3">
      <c r="A318" s="6">
        <v>44835</v>
      </c>
      <c r="B318" s="336" t="s">
        <v>207</v>
      </c>
      <c r="C318" s="4" t="s">
        <v>16</v>
      </c>
      <c r="D318" s="222">
        <v>20550000</v>
      </c>
      <c r="E318" s="241">
        <v>16000000</v>
      </c>
      <c r="F318" s="4" t="s">
        <v>199</v>
      </c>
      <c r="G318" s="313"/>
    </row>
    <row r="319" spans="1:7" x14ac:dyDescent="0.3">
      <c r="A319" s="6">
        <v>44835</v>
      </c>
      <c r="B319" s="337" t="s">
        <v>63</v>
      </c>
      <c r="C319" s="4" t="s">
        <v>16</v>
      </c>
      <c r="D319" s="222">
        <v>24100000</v>
      </c>
      <c r="E319" s="241">
        <v>13000000</v>
      </c>
      <c r="F319" s="4" t="s">
        <v>199</v>
      </c>
      <c r="G319" s="313"/>
    </row>
    <row r="320" spans="1:7" x14ac:dyDescent="0.3">
      <c r="A320" s="6">
        <v>44835</v>
      </c>
      <c r="B320" s="336" t="s">
        <v>209</v>
      </c>
      <c r="C320" s="4" t="s">
        <v>17</v>
      </c>
      <c r="D320" s="222">
        <v>30450000</v>
      </c>
      <c r="E320" s="241">
        <v>18000000</v>
      </c>
      <c r="F320" s="4" t="s">
        <v>199</v>
      </c>
      <c r="G320" s="313"/>
    </row>
    <row r="321" spans="1:7" x14ac:dyDescent="0.3">
      <c r="A321" s="6">
        <v>44835</v>
      </c>
      <c r="B321" s="335" t="s">
        <v>213</v>
      </c>
      <c r="C321" s="4" t="s">
        <v>17</v>
      </c>
      <c r="D321" s="266">
        <v>30100000</v>
      </c>
      <c r="E321" s="268">
        <v>18000000</v>
      </c>
      <c r="F321" s="4" t="s">
        <v>199</v>
      </c>
      <c r="G321" s="313"/>
    </row>
    <row r="322" spans="1:7" x14ac:dyDescent="0.3">
      <c r="A322" s="6">
        <v>44835</v>
      </c>
      <c r="B322" s="334" t="s">
        <v>226</v>
      </c>
      <c r="C322" s="4" t="s">
        <v>17</v>
      </c>
      <c r="D322" s="222">
        <v>6300000</v>
      </c>
      <c r="E322" s="241">
        <v>18000000</v>
      </c>
      <c r="F322" s="4" t="s">
        <v>199</v>
      </c>
      <c r="G322" s="313"/>
    </row>
    <row r="323" spans="1:7" x14ac:dyDescent="0.3">
      <c r="A323" s="296"/>
      <c r="B323" s="296"/>
      <c r="C323" s="296"/>
      <c r="D323" s="296"/>
      <c r="E323" s="296"/>
      <c r="F323" s="296"/>
      <c r="G323" s="313"/>
    </row>
    <row r="324" spans="1:7" x14ac:dyDescent="0.3">
      <c r="A324" s="296"/>
      <c r="B324" s="296"/>
      <c r="C324" s="296"/>
      <c r="D324" s="296"/>
      <c r="E324" s="296"/>
      <c r="F324" s="296"/>
      <c r="G324" s="313"/>
    </row>
    <row r="325" spans="1:7" x14ac:dyDescent="0.3">
      <c r="A325" s="296"/>
      <c r="B325" s="296"/>
      <c r="C325" s="296"/>
      <c r="D325" s="296"/>
      <c r="E325" s="296"/>
      <c r="F325" s="296"/>
      <c r="G325" s="313"/>
    </row>
    <row r="326" spans="1:7" x14ac:dyDescent="0.3">
      <c r="A326" s="296"/>
      <c r="B326" s="296"/>
      <c r="C326" s="296"/>
      <c r="D326" s="296"/>
      <c r="E326" s="296"/>
      <c r="F326" s="296"/>
      <c r="G326" s="313"/>
    </row>
    <row r="327" spans="1:7" x14ac:dyDescent="0.3">
      <c r="A327" s="296"/>
      <c r="B327" s="296"/>
      <c r="C327" s="296"/>
      <c r="D327" s="296"/>
      <c r="E327" s="296"/>
      <c r="F327" s="296"/>
      <c r="G327" s="313"/>
    </row>
    <row r="328" spans="1:7" x14ac:dyDescent="0.3">
      <c r="A328" s="296"/>
      <c r="B328" s="296"/>
      <c r="C328" s="296"/>
      <c r="D328" s="296"/>
      <c r="E328" s="296"/>
      <c r="F328" s="296"/>
      <c r="G328" s="313"/>
    </row>
    <row r="329" spans="1:7" x14ac:dyDescent="0.3">
      <c r="A329" s="296"/>
      <c r="B329" s="296"/>
      <c r="C329" s="296"/>
      <c r="D329" s="296"/>
      <c r="E329" s="296"/>
      <c r="F329" s="296"/>
      <c r="G329" s="313"/>
    </row>
    <row r="330" spans="1:7" x14ac:dyDescent="0.3">
      <c r="A330" s="296"/>
      <c r="B330" s="296"/>
      <c r="C330" s="296"/>
      <c r="D330" s="296"/>
      <c r="E330" s="296"/>
      <c r="F330" s="296"/>
      <c r="G330" s="313"/>
    </row>
    <row r="331" spans="1:7" x14ac:dyDescent="0.3">
      <c r="A331" s="296"/>
      <c r="B331" s="296"/>
      <c r="C331" s="296"/>
      <c r="D331" s="296"/>
      <c r="E331" s="296"/>
      <c r="F331" s="296"/>
      <c r="G331" s="313"/>
    </row>
    <row r="332" spans="1:7" x14ac:dyDescent="0.3">
      <c r="A332" s="296"/>
      <c r="B332" s="296"/>
      <c r="C332" s="296"/>
      <c r="D332" s="296"/>
      <c r="E332" s="296"/>
      <c r="F332" s="296"/>
      <c r="G332" s="313"/>
    </row>
    <row r="333" spans="1:7" x14ac:dyDescent="0.3">
      <c r="A333" s="296"/>
      <c r="B333" s="296"/>
      <c r="C333" s="296"/>
      <c r="D333" s="296"/>
      <c r="E333" s="296"/>
      <c r="F333" s="296"/>
      <c r="G333" s="313"/>
    </row>
    <row r="334" spans="1:7" x14ac:dyDescent="0.3">
      <c r="A334" s="296"/>
      <c r="B334" s="296"/>
      <c r="C334" s="296"/>
      <c r="D334" s="296"/>
      <c r="E334" s="296"/>
      <c r="F334" s="296"/>
      <c r="G334" s="313"/>
    </row>
    <row r="335" spans="1:7" x14ac:dyDescent="0.3">
      <c r="A335" s="296"/>
      <c r="B335" s="296"/>
      <c r="C335" s="296"/>
      <c r="D335" s="296"/>
      <c r="E335" s="296"/>
      <c r="F335" s="296"/>
      <c r="G335" s="313"/>
    </row>
    <row r="336" spans="1:7" x14ac:dyDescent="0.3">
      <c r="A336" s="296"/>
      <c r="B336" s="296"/>
      <c r="C336" s="296"/>
      <c r="D336" s="296"/>
      <c r="E336" s="296"/>
      <c r="F336" s="296"/>
      <c r="G336" s="313"/>
    </row>
    <row r="337" spans="1:7" x14ac:dyDescent="0.3">
      <c r="A337" s="296"/>
      <c r="B337" s="296"/>
      <c r="C337" s="296"/>
      <c r="D337" s="296"/>
      <c r="E337" s="296"/>
      <c r="F337" s="296"/>
      <c r="G337" s="313"/>
    </row>
    <row r="338" spans="1:7" x14ac:dyDescent="0.3">
      <c r="A338" s="296"/>
      <c r="B338" s="296"/>
      <c r="C338" s="296"/>
      <c r="D338" s="296"/>
      <c r="E338" s="296"/>
      <c r="F338" s="296"/>
      <c r="G338" s="313"/>
    </row>
    <row r="339" spans="1:7" x14ac:dyDescent="0.3">
      <c r="A339" s="296"/>
      <c r="B339" s="296"/>
      <c r="C339" s="296"/>
      <c r="D339" s="296"/>
      <c r="E339" s="296"/>
      <c r="F339" s="296"/>
      <c r="G339" s="313"/>
    </row>
    <row r="340" spans="1:7" x14ac:dyDescent="0.3">
      <c r="A340" s="296"/>
      <c r="B340" s="296"/>
      <c r="C340" s="296"/>
      <c r="D340" s="296"/>
      <c r="E340" s="296"/>
      <c r="F340" s="296"/>
      <c r="G340" s="313"/>
    </row>
    <row r="341" spans="1:7" x14ac:dyDescent="0.3">
      <c r="A341" s="296"/>
      <c r="B341" s="296"/>
      <c r="C341" s="296"/>
      <c r="D341" s="296"/>
      <c r="E341" s="296"/>
      <c r="F341" s="296"/>
      <c r="G341" s="313"/>
    </row>
    <row r="342" spans="1:7" x14ac:dyDescent="0.3">
      <c r="A342" s="296"/>
      <c r="B342" s="296"/>
      <c r="C342" s="296"/>
      <c r="D342" s="296"/>
      <c r="E342" s="296"/>
      <c r="F342" s="296"/>
      <c r="G342" s="313"/>
    </row>
    <row r="343" spans="1:7" x14ac:dyDescent="0.3">
      <c r="A343" s="296"/>
      <c r="B343" s="296"/>
      <c r="C343" s="296"/>
      <c r="D343" s="296"/>
      <c r="E343" s="296"/>
      <c r="F343" s="296"/>
      <c r="G343" s="313"/>
    </row>
    <row r="344" spans="1:7" x14ac:dyDescent="0.3">
      <c r="A344" s="296"/>
      <c r="B344" s="296"/>
      <c r="C344" s="296"/>
      <c r="D344" s="296"/>
      <c r="E344" s="296"/>
      <c r="F344" s="296"/>
      <c r="G344" s="313"/>
    </row>
    <row r="345" spans="1:7" x14ac:dyDescent="0.3">
      <c r="A345" s="296"/>
      <c r="B345" s="296"/>
      <c r="C345" s="296"/>
      <c r="D345" s="296"/>
      <c r="E345" s="296"/>
      <c r="F345" s="296"/>
      <c r="G345" s="313"/>
    </row>
    <row r="346" spans="1:7" x14ac:dyDescent="0.3">
      <c r="A346" s="296"/>
      <c r="B346" s="296"/>
      <c r="C346" s="296"/>
      <c r="D346" s="296"/>
      <c r="E346" s="296"/>
      <c r="F346" s="296"/>
      <c r="G346" s="313"/>
    </row>
    <row r="347" spans="1:7" x14ac:dyDescent="0.3">
      <c r="A347" s="296"/>
      <c r="B347" s="296"/>
      <c r="C347" s="296"/>
      <c r="D347" s="296"/>
      <c r="E347" s="296"/>
      <c r="F347" s="296"/>
      <c r="G347" s="313"/>
    </row>
    <row r="348" spans="1:7" x14ac:dyDescent="0.3">
      <c r="A348" s="296"/>
      <c r="B348" s="296"/>
      <c r="C348" s="296"/>
      <c r="D348" s="296"/>
      <c r="E348" s="296"/>
      <c r="F348" s="296"/>
      <c r="G348" s="313"/>
    </row>
    <row r="349" spans="1:7" x14ac:dyDescent="0.3">
      <c r="A349" s="296"/>
      <c r="B349" s="296"/>
      <c r="C349" s="296"/>
      <c r="D349" s="296"/>
      <c r="E349" s="296"/>
      <c r="F349" s="296"/>
      <c r="G349" s="313"/>
    </row>
    <row r="350" spans="1:7" x14ac:dyDescent="0.3">
      <c r="A350" s="296"/>
      <c r="B350" s="296"/>
      <c r="C350" s="296"/>
      <c r="D350" s="296"/>
      <c r="E350" s="296"/>
      <c r="F350" s="296"/>
      <c r="G350" s="313"/>
    </row>
    <row r="351" spans="1:7" x14ac:dyDescent="0.3">
      <c r="A351" s="296"/>
      <c r="B351" s="296"/>
      <c r="C351" s="296"/>
      <c r="D351" s="296"/>
      <c r="E351" s="296"/>
      <c r="F351" s="296"/>
      <c r="G351" s="313"/>
    </row>
    <row r="352" spans="1:7" x14ac:dyDescent="0.3">
      <c r="A352" s="296"/>
      <c r="B352" s="296"/>
      <c r="C352" s="296"/>
      <c r="D352" s="296"/>
      <c r="E352" s="296"/>
      <c r="F352" s="296"/>
      <c r="G352" s="313"/>
    </row>
    <row r="353" spans="1:7" x14ac:dyDescent="0.3">
      <c r="A353" s="296"/>
      <c r="B353" s="296"/>
      <c r="C353" s="296"/>
      <c r="D353" s="296"/>
      <c r="E353" s="296"/>
      <c r="F353" s="296"/>
      <c r="G353" s="313"/>
    </row>
    <row r="354" spans="1:7" x14ac:dyDescent="0.3">
      <c r="A354" s="296"/>
      <c r="B354" s="296"/>
      <c r="C354" s="296"/>
      <c r="D354" s="296"/>
      <c r="E354" s="296"/>
      <c r="F354" s="296"/>
      <c r="G354" s="313"/>
    </row>
    <row r="355" spans="1:7" x14ac:dyDescent="0.3">
      <c r="A355" s="296"/>
      <c r="B355" s="296"/>
      <c r="C355" s="296"/>
      <c r="D355" s="296"/>
      <c r="E355" s="296"/>
      <c r="F355" s="296"/>
      <c r="G355" s="313"/>
    </row>
    <row r="356" spans="1:7" x14ac:dyDescent="0.3">
      <c r="A356" s="296"/>
      <c r="B356" s="296"/>
      <c r="C356" s="296"/>
      <c r="D356" s="296"/>
      <c r="E356" s="296"/>
      <c r="F356" s="296"/>
      <c r="G356" s="313"/>
    </row>
    <row r="357" spans="1:7" x14ac:dyDescent="0.3">
      <c r="A357" s="296"/>
      <c r="B357" s="296"/>
      <c r="C357" s="296"/>
      <c r="D357" s="296"/>
      <c r="E357" s="296"/>
      <c r="F357" s="296"/>
      <c r="G357" s="313"/>
    </row>
    <row r="358" spans="1:7" x14ac:dyDescent="0.3">
      <c r="A358" s="296"/>
      <c r="B358" s="296"/>
      <c r="C358" s="296"/>
      <c r="D358" s="296"/>
      <c r="E358" s="296"/>
      <c r="F358" s="296"/>
      <c r="G358" s="313"/>
    </row>
    <row r="359" spans="1:7" x14ac:dyDescent="0.3">
      <c r="A359" s="296"/>
      <c r="B359" s="296"/>
      <c r="C359" s="296"/>
      <c r="D359" s="296"/>
      <c r="E359" s="296"/>
      <c r="F359" s="296"/>
      <c r="G359" s="313"/>
    </row>
    <row r="360" spans="1:7" x14ac:dyDescent="0.3">
      <c r="A360" s="296"/>
      <c r="B360" s="296"/>
      <c r="C360" s="296"/>
      <c r="D360" s="296"/>
      <c r="E360" s="296"/>
      <c r="F360" s="296"/>
      <c r="G360" s="313"/>
    </row>
    <row r="361" spans="1:7" x14ac:dyDescent="0.3">
      <c r="A361" s="296"/>
      <c r="B361" s="296"/>
      <c r="C361" s="296"/>
      <c r="D361" s="296"/>
      <c r="E361" s="296"/>
      <c r="F361" s="296"/>
      <c r="G361" s="313"/>
    </row>
    <row r="362" spans="1:7" x14ac:dyDescent="0.3">
      <c r="A362" s="296"/>
      <c r="B362" s="296"/>
      <c r="C362" s="296"/>
      <c r="D362" s="296"/>
      <c r="E362" s="296"/>
      <c r="F362" s="296"/>
      <c r="G362" s="313"/>
    </row>
    <row r="363" spans="1:7" x14ac:dyDescent="0.3">
      <c r="A363" s="296"/>
      <c r="B363" s="296"/>
      <c r="C363" s="296"/>
      <c r="D363" s="296"/>
      <c r="E363" s="296"/>
      <c r="F363" s="296"/>
      <c r="G363" s="313"/>
    </row>
    <row r="364" spans="1:7" x14ac:dyDescent="0.3">
      <c r="A364" s="296"/>
      <c r="B364" s="296"/>
      <c r="C364" s="296"/>
      <c r="D364" s="296"/>
      <c r="E364" s="296"/>
      <c r="F364" s="296"/>
      <c r="G364" s="313"/>
    </row>
    <row r="365" spans="1:7" x14ac:dyDescent="0.3">
      <c r="A365" s="296"/>
      <c r="B365" s="296"/>
      <c r="C365" s="296"/>
      <c r="D365" s="296"/>
      <c r="E365" s="296"/>
      <c r="F365" s="296"/>
      <c r="G365" s="313"/>
    </row>
    <row r="366" spans="1:7" x14ac:dyDescent="0.3">
      <c r="A366" s="296"/>
      <c r="B366" s="296"/>
      <c r="C366" s="296"/>
      <c r="D366" s="296"/>
      <c r="E366" s="296"/>
      <c r="F366" s="296"/>
      <c r="G366" s="313"/>
    </row>
    <row r="367" spans="1:7" x14ac:dyDescent="0.3">
      <c r="A367" s="296"/>
      <c r="B367" s="296"/>
      <c r="C367" s="296"/>
      <c r="D367" s="296"/>
      <c r="E367" s="296"/>
      <c r="F367" s="296"/>
      <c r="G367" s="313"/>
    </row>
    <row r="368" spans="1:7" x14ac:dyDescent="0.3">
      <c r="A368" s="296"/>
      <c r="B368" s="296"/>
      <c r="C368" s="296"/>
      <c r="D368" s="296"/>
      <c r="E368" s="296"/>
      <c r="F368" s="296"/>
      <c r="G368" s="313"/>
    </row>
    <row r="369" spans="1:7" x14ac:dyDescent="0.3">
      <c r="A369" s="296"/>
      <c r="B369" s="296"/>
      <c r="C369" s="296"/>
      <c r="D369" s="296"/>
      <c r="E369" s="296"/>
      <c r="F369" s="296"/>
      <c r="G369" s="313"/>
    </row>
    <row r="370" spans="1:7" x14ac:dyDescent="0.3">
      <c r="A370" s="296"/>
      <c r="B370" s="296"/>
      <c r="C370" s="296"/>
      <c r="D370" s="296"/>
      <c r="E370" s="296"/>
      <c r="F370" s="296"/>
      <c r="G370" s="313"/>
    </row>
    <row r="371" spans="1:7" x14ac:dyDescent="0.3">
      <c r="A371" s="296"/>
      <c r="B371" s="296"/>
      <c r="C371" s="296"/>
      <c r="D371" s="296"/>
      <c r="E371" s="296"/>
      <c r="F371" s="296"/>
      <c r="G371" s="313"/>
    </row>
    <row r="372" spans="1:7" x14ac:dyDescent="0.3">
      <c r="A372" s="296"/>
      <c r="B372" s="296"/>
      <c r="C372" s="296"/>
      <c r="D372" s="296"/>
      <c r="E372" s="296"/>
      <c r="F372" s="296"/>
      <c r="G372" s="313"/>
    </row>
    <row r="373" spans="1:7" x14ac:dyDescent="0.3">
      <c r="A373" s="296"/>
      <c r="B373" s="296"/>
      <c r="C373" s="296"/>
      <c r="D373" s="296"/>
      <c r="E373" s="296"/>
      <c r="F373" s="296"/>
      <c r="G373" s="313"/>
    </row>
    <row r="374" spans="1:7" x14ac:dyDescent="0.3">
      <c r="A374" s="296"/>
      <c r="B374" s="296"/>
      <c r="C374" s="296"/>
      <c r="D374" s="296"/>
      <c r="E374" s="296"/>
      <c r="F374" s="296"/>
      <c r="G374" s="313"/>
    </row>
    <row r="375" spans="1:7" x14ac:dyDescent="0.3">
      <c r="A375" s="296"/>
      <c r="B375" s="296"/>
      <c r="C375" s="296"/>
      <c r="D375" s="296"/>
      <c r="E375" s="296"/>
      <c r="F375" s="296"/>
      <c r="G375" s="313"/>
    </row>
    <row r="376" spans="1:7" x14ac:dyDescent="0.3">
      <c r="A376" s="296"/>
      <c r="B376" s="296"/>
      <c r="C376" s="296"/>
      <c r="D376" s="296"/>
      <c r="E376" s="296"/>
      <c r="F376" s="296"/>
      <c r="G376" s="313"/>
    </row>
    <row r="377" spans="1:7" x14ac:dyDescent="0.3">
      <c r="A377" s="296"/>
      <c r="B377" s="296"/>
      <c r="C377" s="296"/>
      <c r="D377" s="296"/>
      <c r="E377" s="296"/>
      <c r="F377" s="296"/>
      <c r="G377" s="313"/>
    </row>
    <row r="378" spans="1:7" x14ac:dyDescent="0.3">
      <c r="A378" s="296"/>
      <c r="B378" s="296"/>
      <c r="C378" s="296"/>
      <c r="D378" s="296"/>
      <c r="E378" s="296"/>
      <c r="F378" s="296"/>
      <c r="G378" s="313"/>
    </row>
    <row r="379" spans="1:7" x14ac:dyDescent="0.3">
      <c r="A379" s="296"/>
      <c r="B379" s="296"/>
      <c r="C379" s="296"/>
      <c r="D379" s="296"/>
      <c r="E379" s="296"/>
      <c r="F379" s="296"/>
      <c r="G379" s="313"/>
    </row>
    <row r="380" spans="1:7" x14ac:dyDescent="0.3">
      <c r="A380" s="296"/>
      <c r="B380" s="296"/>
      <c r="C380" s="296"/>
      <c r="D380" s="296"/>
      <c r="E380" s="296"/>
      <c r="F380" s="296"/>
      <c r="G380" s="313"/>
    </row>
    <row r="381" spans="1:7" x14ac:dyDescent="0.3">
      <c r="A381" s="296"/>
      <c r="B381" s="296"/>
      <c r="C381" s="296"/>
      <c r="D381" s="296"/>
      <c r="E381" s="296"/>
      <c r="F381" s="296"/>
      <c r="G381" s="313"/>
    </row>
    <row r="382" spans="1:7" x14ac:dyDescent="0.3">
      <c r="A382" s="296"/>
      <c r="B382" s="296"/>
      <c r="C382" s="296"/>
      <c r="D382" s="296"/>
      <c r="E382" s="296"/>
      <c r="F382" s="296"/>
      <c r="G382" s="313"/>
    </row>
    <row r="383" spans="1:7" x14ac:dyDescent="0.3">
      <c r="A383" s="296"/>
      <c r="B383" s="296"/>
      <c r="C383" s="296"/>
      <c r="D383" s="296"/>
      <c r="E383" s="296"/>
      <c r="F383" s="296"/>
      <c r="G383" s="313"/>
    </row>
    <row r="384" spans="1:7" x14ac:dyDescent="0.3">
      <c r="A384" s="296"/>
      <c r="B384" s="296"/>
      <c r="C384" s="296"/>
      <c r="D384" s="296"/>
      <c r="E384" s="296"/>
      <c r="F384" s="296"/>
      <c r="G384" s="313"/>
    </row>
    <row r="385" spans="1:7" x14ac:dyDescent="0.3">
      <c r="A385" s="313"/>
      <c r="B385" s="313"/>
      <c r="C385" s="313"/>
      <c r="D385" s="313"/>
      <c r="E385" s="313"/>
      <c r="F385" s="313"/>
      <c r="G385" s="313"/>
    </row>
    <row r="386" spans="1:7" x14ac:dyDescent="0.3">
      <c r="A386" s="313"/>
      <c r="B386" s="313"/>
      <c r="C386" s="313"/>
      <c r="D386" s="313"/>
      <c r="E386" s="313"/>
      <c r="F386" s="313"/>
      <c r="G386" s="313"/>
    </row>
  </sheetData>
  <autoFilter ref="A2:F248" xr:uid="{07FB4C74-FEE4-4603-BEC2-7001BAB46555}">
    <filterColumn colId="1">
      <filters>
        <filter val="ADMINISTRADOR  BIVIANA"/>
        <filter val="BIVIANA SALAZAR"/>
      </filters>
    </filterColumn>
  </autoFilter>
  <mergeCells count="1">
    <mergeCell ref="A1:F1"/>
  </mergeCell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B070B-805A-4C85-B4B5-40BA07A01FF9}">
  <dimension ref="A1:F402"/>
  <sheetViews>
    <sheetView workbookViewId="0">
      <selection activeCell="B62" sqref="B62"/>
    </sheetView>
  </sheetViews>
  <sheetFormatPr baseColWidth="10" defaultRowHeight="14.4" x14ac:dyDescent="0.3"/>
  <cols>
    <col min="2" max="2" width="24.5546875" bestFit="1" customWidth="1"/>
    <col min="3" max="3" width="13.21875" bestFit="1" customWidth="1"/>
    <col min="4" max="4" width="15.44140625" bestFit="1" customWidth="1"/>
    <col min="5" max="5" width="14.21875" bestFit="1" customWidth="1"/>
  </cols>
  <sheetData>
    <row r="1" spans="1:6" x14ac:dyDescent="0.3">
      <c r="A1" s="367" t="s">
        <v>195</v>
      </c>
      <c r="B1" s="367"/>
      <c r="C1" s="367"/>
      <c r="D1" s="367"/>
      <c r="E1" s="367"/>
      <c r="F1" s="367"/>
    </row>
    <row r="2" spans="1:6" x14ac:dyDescent="0.3">
      <c r="A2" s="35" t="s">
        <v>0</v>
      </c>
      <c r="B2" s="23" t="s">
        <v>60</v>
      </c>
      <c r="C2" s="23" t="s">
        <v>2</v>
      </c>
      <c r="D2" s="23" t="s">
        <v>3</v>
      </c>
      <c r="E2" s="36" t="s">
        <v>1</v>
      </c>
      <c r="F2" s="286" t="s">
        <v>18</v>
      </c>
    </row>
    <row r="3" spans="1:6" x14ac:dyDescent="0.3">
      <c r="A3" s="37">
        <v>44562</v>
      </c>
      <c r="B3" s="33" t="s">
        <v>116</v>
      </c>
      <c r="C3" s="23" t="s">
        <v>198</v>
      </c>
      <c r="D3" s="241">
        <v>45000000</v>
      </c>
      <c r="E3" s="241">
        <v>45000000</v>
      </c>
      <c r="F3" s="23" t="s">
        <v>220</v>
      </c>
    </row>
    <row r="4" spans="1:6" x14ac:dyDescent="0.3">
      <c r="A4" s="37">
        <v>44562</v>
      </c>
      <c r="B4" s="11" t="s">
        <v>153</v>
      </c>
      <c r="C4" s="23" t="s">
        <v>16</v>
      </c>
      <c r="D4" s="222">
        <v>9850000</v>
      </c>
      <c r="E4" s="241">
        <v>10000000</v>
      </c>
      <c r="F4" s="23" t="s">
        <v>220</v>
      </c>
    </row>
    <row r="5" spans="1:6" x14ac:dyDescent="0.3">
      <c r="A5" s="37">
        <v>44562</v>
      </c>
      <c r="B5" s="11" t="s">
        <v>216</v>
      </c>
      <c r="C5" s="23" t="s">
        <v>16</v>
      </c>
      <c r="D5" s="222">
        <v>9130000</v>
      </c>
      <c r="E5" s="241">
        <v>10000000</v>
      </c>
      <c r="F5" s="23" t="s">
        <v>220</v>
      </c>
    </row>
    <row r="6" spans="1:6" x14ac:dyDescent="0.3">
      <c r="A6" s="37">
        <v>44562</v>
      </c>
      <c r="B6" s="11" t="s">
        <v>217</v>
      </c>
      <c r="C6" s="23" t="s">
        <v>16</v>
      </c>
      <c r="D6" s="222">
        <v>11800000</v>
      </c>
      <c r="E6" s="241">
        <v>10000000</v>
      </c>
      <c r="F6" s="23" t="s">
        <v>220</v>
      </c>
    </row>
    <row r="7" spans="1:6" x14ac:dyDescent="0.3">
      <c r="A7" s="37">
        <v>44562</v>
      </c>
      <c r="B7" s="257" t="s">
        <v>218</v>
      </c>
      <c r="C7" s="23" t="s">
        <v>16</v>
      </c>
      <c r="D7" s="222">
        <v>14100000</v>
      </c>
      <c r="E7" s="241">
        <v>10000000</v>
      </c>
      <c r="F7" s="23" t="s">
        <v>220</v>
      </c>
    </row>
    <row r="8" spans="1:6" x14ac:dyDescent="0.3">
      <c r="A8" s="37">
        <v>44562</v>
      </c>
      <c r="B8" s="9" t="s">
        <v>219</v>
      </c>
      <c r="C8" s="23" t="s">
        <v>17</v>
      </c>
      <c r="D8" s="222">
        <v>18800000</v>
      </c>
      <c r="E8" s="241">
        <v>13000000</v>
      </c>
      <c r="F8" s="23" t="s">
        <v>220</v>
      </c>
    </row>
    <row r="9" spans="1:6" x14ac:dyDescent="0.3">
      <c r="A9" s="37">
        <v>44593</v>
      </c>
      <c r="B9" s="33" t="s">
        <v>116</v>
      </c>
      <c r="C9" s="23" t="s">
        <v>198</v>
      </c>
      <c r="D9" s="241">
        <v>45000000</v>
      </c>
      <c r="E9" s="241">
        <v>45000000</v>
      </c>
      <c r="F9" s="23" t="s">
        <v>220</v>
      </c>
    </row>
    <row r="10" spans="1:6" x14ac:dyDescent="0.3">
      <c r="A10" s="37">
        <v>44593</v>
      </c>
      <c r="B10" s="11" t="s">
        <v>153</v>
      </c>
      <c r="C10" s="23" t="s">
        <v>16</v>
      </c>
      <c r="D10" s="222">
        <v>13000000</v>
      </c>
      <c r="E10" s="241">
        <v>10000000</v>
      </c>
      <c r="F10" s="23" t="s">
        <v>220</v>
      </c>
    </row>
    <row r="11" spans="1:6" x14ac:dyDescent="0.3">
      <c r="A11" s="37">
        <v>44593</v>
      </c>
      <c r="B11" s="11" t="s">
        <v>216</v>
      </c>
      <c r="C11" s="23" t="s">
        <v>16</v>
      </c>
      <c r="D11" s="222">
        <v>9800000</v>
      </c>
      <c r="E11" s="241">
        <v>10000000</v>
      </c>
      <c r="F11" s="23" t="s">
        <v>220</v>
      </c>
    </row>
    <row r="12" spans="1:6" x14ac:dyDescent="0.3">
      <c r="A12" s="37">
        <v>44593</v>
      </c>
      <c r="B12" s="11" t="s">
        <v>217</v>
      </c>
      <c r="C12" s="23" t="s">
        <v>16</v>
      </c>
      <c r="D12" s="222">
        <v>10100000</v>
      </c>
      <c r="E12" s="241">
        <v>10000000</v>
      </c>
      <c r="F12" s="23" t="s">
        <v>220</v>
      </c>
    </row>
    <row r="13" spans="1:6" x14ac:dyDescent="0.3">
      <c r="A13" s="37">
        <v>44593</v>
      </c>
      <c r="B13" s="257" t="s">
        <v>218</v>
      </c>
      <c r="C13" s="23" t="s">
        <v>16</v>
      </c>
      <c r="D13" s="222">
        <v>6550000</v>
      </c>
      <c r="E13" s="241">
        <v>10000000</v>
      </c>
      <c r="F13" s="23" t="s">
        <v>220</v>
      </c>
    </row>
    <row r="14" spans="1:6" x14ac:dyDescent="0.3">
      <c r="A14" s="37">
        <v>44593</v>
      </c>
      <c r="B14" s="9" t="s">
        <v>219</v>
      </c>
      <c r="C14" s="23" t="s">
        <v>17</v>
      </c>
      <c r="D14" s="222">
        <v>21290000</v>
      </c>
      <c r="E14" s="241">
        <v>13000000</v>
      </c>
      <c r="F14" s="23" t="s">
        <v>220</v>
      </c>
    </row>
    <row r="15" spans="1:6" x14ac:dyDescent="0.3">
      <c r="A15" s="37">
        <v>44621</v>
      </c>
      <c r="B15" s="314" t="s">
        <v>116</v>
      </c>
      <c r="C15" s="315" t="s">
        <v>198</v>
      </c>
      <c r="D15" s="222">
        <v>53400000</v>
      </c>
      <c r="E15" s="166">
        <v>45000000</v>
      </c>
      <c r="F15" s="23" t="s">
        <v>220</v>
      </c>
    </row>
    <row r="16" spans="1:6" x14ac:dyDescent="0.3">
      <c r="A16" s="37">
        <v>44621</v>
      </c>
      <c r="B16" s="316" t="s">
        <v>153</v>
      </c>
      <c r="C16" s="317" t="s">
        <v>16</v>
      </c>
      <c r="D16" s="222">
        <v>18750000</v>
      </c>
      <c r="E16" s="321">
        <v>10000000</v>
      </c>
      <c r="F16" s="23" t="s">
        <v>220</v>
      </c>
    </row>
    <row r="17" spans="1:6" x14ac:dyDescent="0.3">
      <c r="A17" s="37">
        <v>44621</v>
      </c>
      <c r="B17" s="318" t="s">
        <v>216</v>
      </c>
      <c r="C17" s="317" t="s">
        <v>16</v>
      </c>
      <c r="D17" s="222">
        <v>6450000</v>
      </c>
      <c r="E17" s="321">
        <v>10000000</v>
      </c>
      <c r="F17" s="23" t="s">
        <v>220</v>
      </c>
    </row>
    <row r="18" spans="1:6" x14ac:dyDescent="0.3">
      <c r="A18" s="37">
        <v>44621</v>
      </c>
      <c r="B18" s="318" t="s">
        <v>217</v>
      </c>
      <c r="C18" s="317" t="s">
        <v>16</v>
      </c>
      <c r="D18" s="222">
        <v>11550000</v>
      </c>
      <c r="E18" s="321">
        <v>10000000</v>
      </c>
      <c r="F18" s="23" t="s">
        <v>220</v>
      </c>
    </row>
    <row r="19" spans="1:6" x14ac:dyDescent="0.3">
      <c r="A19" s="37">
        <v>44621</v>
      </c>
      <c r="B19" s="318" t="s">
        <v>218</v>
      </c>
      <c r="C19" s="317" t="s">
        <v>16</v>
      </c>
      <c r="D19" s="222">
        <v>11800000</v>
      </c>
      <c r="E19" s="321">
        <v>10000000</v>
      </c>
      <c r="F19" s="23" t="s">
        <v>220</v>
      </c>
    </row>
    <row r="20" spans="1:6" x14ac:dyDescent="0.3">
      <c r="A20" s="37">
        <v>44621</v>
      </c>
      <c r="B20" s="319" t="s">
        <v>219</v>
      </c>
      <c r="C20" s="320" t="s">
        <v>17</v>
      </c>
      <c r="D20" s="222">
        <v>21000000</v>
      </c>
      <c r="E20" s="321">
        <v>13000000</v>
      </c>
      <c r="F20" s="23" t="s">
        <v>220</v>
      </c>
    </row>
    <row r="21" spans="1:6" x14ac:dyDescent="0.3">
      <c r="A21" s="37">
        <v>44652</v>
      </c>
      <c r="B21" s="314" t="s">
        <v>116</v>
      </c>
      <c r="C21" s="315" t="s">
        <v>198</v>
      </c>
      <c r="D21" s="222">
        <v>45580000</v>
      </c>
      <c r="E21" s="166">
        <v>45000000</v>
      </c>
      <c r="F21" s="23" t="s">
        <v>220</v>
      </c>
    </row>
    <row r="22" spans="1:6" x14ac:dyDescent="0.3">
      <c r="A22" s="37">
        <v>44652</v>
      </c>
      <c r="B22" s="316" t="s">
        <v>153</v>
      </c>
      <c r="C22" s="317" t="s">
        <v>16</v>
      </c>
      <c r="D22" s="222">
        <v>7500000</v>
      </c>
      <c r="E22" s="321">
        <v>10000000</v>
      </c>
      <c r="F22" s="23" t="s">
        <v>220</v>
      </c>
    </row>
    <row r="23" spans="1:6" x14ac:dyDescent="0.3">
      <c r="A23" s="37">
        <v>44652</v>
      </c>
      <c r="B23" s="318" t="s">
        <v>216</v>
      </c>
      <c r="C23" s="317" t="s">
        <v>16</v>
      </c>
      <c r="D23" s="222">
        <v>16360000</v>
      </c>
      <c r="E23" s="321">
        <v>10000000</v>
      </c>
      <c r="F23" s="23" t="s">
        <v>220</v>
      </c>
    </row>
    <row r="24" spans="1:6" x14ac:dyDescent="0.3">
      <c r="A24" s="37">
        <v>44652</v>
      </c>
      <c r="B24" s="318" t="s">
        <v>217</v>
      </c>
      <c r="C24" s="317" t="s">
        <v>16</v>
      </c>
      <c r="D24" s="222">
        <v>10120000</v>
      </c>
      <c r="E24" s="321">
        <v>10000000</v>
      </c>
      <c r="F24" s="23" t="s">
        <v>220</v>
      </c>
    </row>
    <row r="25" spans="1:6" x14ac:dyDescent="0.3">
      <c r="A25" s="37">
        <v>44652</v>
      </c>
      <c r="B25" s="318" t="s">
        <v>218</v>
      </c>
      <c r="C25" s="317" t="s">
        <v>16</v>
      </c>
      <c r="D25" s="222">
        <v>14600000</v>
      </c>
      <c r="E25" s="321">
        <v>10000000</v>
      </c>
      <c r="F25" s="23" t="s">
        <v>220</v>
      </c>
    </row>
    <row r="26" spans="1:6" x14ac:dyDescent="0.3">
      <c r="A26" s="37">
        <v>44652</v>
      </c>
      <c r="B26" s="319" t="s">
        <v>219</v>
      </c>
      <c r="C26" s="320" t="s">
        <v>17</v>
      </c>
      <c r="D26" s="222">
        <v>18800000</v>
      </c>
      <c r="E26" s="321">
        <v>13000000</v>
      </c>
      <c r="F26" s="23" t="s">
        <v>220</v>
      </c>
    </row>
    <row r="27" spans="1:6" x14ac:dyDescent="0.3">
      <c r="A27" s="37">
        <v>44682</v>
      </c>
      <c r="B27" s="314" t="s">
        <v>116</v>
      </c>
      <c r="C27" s="315" t="s">
        <v>198</v>
      </c>
      <c r="D27" s="173">
        <v>33250000</v>
      </c>
      <c r="E27" s="166">
        <v>45000000</v>
      </c>
      <c r="F27" s="23" t="s">
        <v>220</v>
      </c>
    </row>
    <row r="28" spans="1:6" x14ac:dyDescent="0.3">
      <c r="A28" s="37">
        <v>44682</v>
      </c>
      <c r="B28" s="316" t="s">
        <v>153</v>
      </c>
      <c r="C28" s="317" t="s">
        <v>16</v>
      </c>
      <c r="D28" s="222">
        <v>2950000</v>
      </c>
      <c r="E28" s="321">
        <v>10000000</v>
      </c>
      <c r="F28" s="23" t="s">
        <v>220</v>
      </c>
    </row>
    <row r="29" spans="1:6" x14ac:dyDescent="0.3">
      <c r="A29" s="37">
        <v>44682</v>
      </c>
      <c r="B29" s="318" t="s">
        <v>216</v>
      </c>
      <c r="C29" s="317" t="s">
        <v>16</v>
      </c>
      <c r="D29" s="222">
        <v>5150000</v>
      </c>
      <c r="E29" s="321">
        <v>10000000</v>
      </c>
      <c r="F29" s="23" t="s">
        <v>220</v>
      </c>
    </row>
    <row r="30" spans="1:6" x14ac:dyDescent="0.3">
      <c r="A30" s="37">
        <v>44682</v>
      </c>
      <c r="B30" s="322" t="s">
        <v>217</v>
      </c>
      <c r="C30" s="317" t="s">
        <v>16</v>
      </c>
      <c r="D30" s="222">
        <v>15250000</v>
      </c>
      <c r="E30" s="321">
        <v>10000000</v>
      </c>
      <c r="F30" s="23" t="s">
        <v>220</v>
      </c>
    </row>
    <row r="31" spans="1:6" x14ac:dyDescent="0.3">
      <c r="A31" s="37">
        <v>44682</v>
      </c>
      <c r="B31" s="322" t="s">
        <v>218</v>
      </c>
      <c r="C31" s="317" t="s">
        <v>16</v>
      </c>
      <c r="D31" s="222">
        <v>9900000</v>
      </c>
      <c r="E31" s="321">
        <v>10000000</v>
      </c>
      <c r="F31" s="23" t="s">
        <v>220</v>
      </c>
    </row>
    <row r="32" spans="1:6" x14ac:dyDescent="0.3">
      <c r="A32" s="37">
        <v>44682</v>
      </c>
      <c r="B32" s="323" t="s">
        <v>219</v>
      </c>
      <c r="C32" s="320" t="s">
        <v>17</v>
      </c>
      <c r="D32" s="222">
        <v>18800000</v>
      </c>
      <c r="E32" s="321">
        <v>13000000</v>
      </c>
      <c r="F32" s="23" t="s">
        <v>220</v>
      </c>
    </row>
    <row r="33" spans="1:6" x14ac:dyDescent="0.3">
      <c r="A33" s="37">
        <v>44713</v>
      </c>
      <c r="B33" s="33" t="s">
        <v>116</v>
      </c>
      <c r="C33" s="23" t="s">
        <v>198</v>
      </c>
      <c r="D33" s="173">
        <v>29966177</v>
      </c>
      <c r="E33" s="241">
        <v>45000000</v>
      </c>
      <c r="F33" s="23" t="s">
        <v>220</v>
      </c>
    </row>
    <row r="34" spans="1:6" x14ac:dyDescent="0.3">
      <c r="A34" s="37">
        <v>44713</v>
      </c>
      <c r="B34" s="11" t="s">
        <v>216</v>
      </c>
      <c r="C34" s="23" t="s">
        <v>16</v>
      </c>
      <c r="D34" s="222">
        <v>12925000</v>
      </c>
      <c r="E34" s="241">
        <v>10000000</v>
      </c>
      <c r="F34" s="23" t="s">
        <v>220</v>
      </c>
    </row>
    <row r="35" spans="1:6" x14ac:dyDescent="0.3">
      <c r="A35" s="37">
        <v>44713</v>
      </c>
      <c r="B35" s="11" t="s">
        <v>217</v>
      </c>
      <c r="C35" s="23" t="s">
        <v>16</v>
      </c>
      <c r="D35" s="222">
        <v>7600000</v>
      </c>
      <c r="E35" s="241">
        <v>10000000</v>
      </c>
      <c r="F35" s="23" t="s">
        <v>220</v>
      </c>
    </row>
    <row r="36" spans="1:6" x14ac:dyDescent="0.3">
      <c r="A36" s="37">
        <v>44713</v>
      </c>
      <c r="B36" s="257" t="s">
        <v>218</v>
      </c>
      <c r="C36" s="23" t="s">
        <v>16</v>
      </c>
      <c r="D36" s="222">
        <v>9441177</v>
      </c>
      <c r="E36" s="241">
        <v>10000000</v>
      </c>
      <c r="F36" s="23" t="s">
        <v>220</v>
      </c>
    </row>
    <row r="37" spans="1:6" x14ac:dyDescent="0.3">
      <c r="A37" s="37">
        <v>44713</v>
      </c>
      <c r="B37" s="9" t="s">
        <v>219</v>
      </c>
      <c r="C37" s="23" t="s">
        <v>17</v>
      </c>
      <c r="D37" s="222">
        <v>23136177</v>
      </c>
      <c r="E37" s="241">
        <v>13000000</v>
      </c>
      <c r="F37" s="23" t="s">
        <v>220</v>
      </c>
    </row>
    <row r="38" spans="1:6" x14ac:dyDescent="0.3">
      <c r="A38" s="37">
        <v>44743</v>
      </c>
      <c r="B38" s="33" t="s">
        <v>116</v>
      </c>
      <c r="C38" s="23" t="s">
        <v>198</v>
      </c>
      <c r="D38" s="241">
        <v>50710000</v>
      </c>
      <c r="E38" s="241">
        <v>45000000</v>
      </c>
      <c r="F38" s="23" t="s">
        <v>220</v>
      </c>
    </row>
    <row r="39" spans="1:6" x14ac:dyDescent="0.3">
      <c r="A39" s="37">
        <v>44743</v>
      </c>
      <c r="B39" s="11" t="s">
        <v>216</v>
      </c>
      <c r="C39" s="23" t="s">
        <v>16</v>
      </c>
      <c r="D39" s="222">
        <v>18800000</v>
      </c>
      <c r="E39" s="241">
        <v>10000000</v>
      </c>
      <c r="F39" s="23" t="s">
        <v>220</v>
      </c>
    </row>
    <row r="40" spans="1:6" x14ac:dyDescent="0.3">
      <c r="A40" s="37">
        <v>44743</v>
      </c>
      <c r="B40" s="11" t="s">
        <v>217</v>
      </c>
      <c r="C40" s="23" t="s">
        <v>16</v>
      </c>
      <c r="D40" s="222">
        <v>9000000</v>
      </c>
      <c r="E40" s="241">
        <v>10000000</v>
      </c>
      <c r="F40" s="23" t="s">
        <v>220</v>
      </c>
    </row>
    <row r="41" spans="1:6" x14ac:dyDescent="0.3">
      <c r="A41" s="37">
        <v>44743</v>
      </c>
      <c r="B41" s="257" t="s">
        <v>218</v>
      </c>
      <c r="C41" s="23" t="s">
        <v>16</v>
      </c>
      <c r="D41" s="222">
        <v>16910000</v>
      </c>
      <c r="E41" s="241">
        <v>10000000</v>
      </c>
      <c r="F41" s="23" t="s">
        <v>220</v>
      </c>
    </row>
    <row r="42" spans="1:6" x14ac:dyDescent="0.3">
      <c r="A42" s="37">
        <v>44743</v>
      </c>
      <c r="B42" s="9" t="s">
        <v>219</v>
      </c>
      <c r="C42" s="23" t="s">
        <v>17</v>
      </c>
      <c r="D42" s="222">
        <v>32500000</v>
      </c>
      <c r="E42" s="241">
        <v>13000000</v>
      </c>
      <c r="F42" s="23" t="s">
        <v>220</v>
      </c>
    </row>
    <row r="43" spans="1:6" x14ac:dyDescent="0.3">
      <c r="A43" s="37">
        <v>44774</v>
      </c>
      <c r="B43" s="33" t="s">
        <v>116</v>
      </c>
      <c r="C43" s="23" t="s">
        <v>198</v>
      </c>
      <c r="D43" s="271">
        <v>50710000</v>
      </c>
      <c r="E43" s="238">
        <v>45000000</v>
      </c>
      <c r="F43" s="23" t="s">
        <v>220</v>
      </c>
    </row>
    <row r="44" spans="1:6" x14ac:dyDescent="0.3">
      <c r="A44" s="37">
        <v>44774</v>
      </c>
      <c r="B44" s="11" t="s">
        <v>216</v>
      </c>
      <c r="C44" s="23" t="s">
        <v>16</v>
      </c>
      <c r="D44" s="276">
        <v>14850000</v>
      </c>
      <c r="E44" s="238">
        <v>10000000</v>
      </c>
      <c r="F44" s="23" t="s">
        <v>220</v>
      </c>
    </row>
    <row r="45" spans="1:6" x14ac:dyDescent="0.3">
      <c r="A45" s="37">
        <v>44774</v>
      </c>
      <c r="B45" s="11" t="s">
        <v>217</v>
      </c>
      <c r="C45" s="23" t="s">
        <v>16</v>
      </c>
      <c r="D45" s="276">
        <v>22950000</v>
      </c>
      <c r="E45" s="238">
        <v>10000000</v>
      </c>
      <c r="F45" s="23" t="s">
        <v>220</v>
      </c>
    </row>
    <row r="46" spans="1:6" x14ac:dyDescent="0.3">
      <c r="A46" s="37">
        <v>44774</v>
      </c>
      <c r="B46" s="257" t="s">
        <v>218</v>
      </c>
      <c r="C46" s="23" t="s">
        <v>16</v>
      </c>
      <c r="D46" s="276">
        <v>10160000</v>
      </c>
      <c r="E46" s="238">
        <v>10000000</v>
      </c>
      <c r="F46" s="23" t="s">
        <v>220</v>
      </c>
    </row>
    <row r="47" spans="1:6" x14ac:dyDescent="0.3">
      <c r="A47" s="37">
        <v>44774</v>
      </c>
      <c r="B47" s="257" t="s">
        <v>221</v>
      </c>
      <c r="C47" s="23" t="s">
        <v>16</v>
      </c>
      <c r="D47" s="264">
        <v>11400000</v>
      </c>
      <c r="E47" s="241">
        <v>10000000</v>
      </c>
      <c r="F47" s="23" t="s">
        <v>220</v>
      </c>
    </row>
    <row r="48" spans="1:6" x14ac:dyDescent="0.3">
      <c r="A48" s="37">
        <v>44774</v>
      </c>
      <c r="B48" s="9" t="s">
        <v>219</v>
      </c>
      <c r="C48" s="23" t="s">
        <v>17</v>
      </c>
      <c r="D48" s="264">
        <v>18250000</v>
      </c>
      <c r="E48" s="241">
        <v>13000000</v>
      </c>
      <c r="F48" s="23" t="s">
        <v>220</v>
      </c>
    </row>
    <row r="49" spans="1:6" x14ac:dyDescent="0.3">
      <c r="A49" s="37">
        <v>44805</v>
      </c>
      <c r="B49" s="33" t="s">
        <v>116</v>
      </c>
      <c r="C49" s="23" t="s">
        <v>198</v>
      </c>
      <c r="D49" s="241">
        <v>50710000</v>
      </c>
      <c r="E49" s="241">
        <v>45000000</v>
      </c>
      <c r="F49" s="23" t="s">
        <v>220</v>
      </c>
    </row>
    <row r="50" spans="1:6" x14ac:dyDescent="0.3">
      <c r="A50" s="41">
        <v>44805</v>
      </c>
      <c r="B50" s="33" t="s">
        <v>216</v>
      </c>
      <c r="C50" s="42" t="s">
        <v>16</v>
      </c>
      <c r="D50" s="266">
        <v>23810000</v>
      </c>
      <c r="E50" s="268">
        <v>10000000</v>
      </c>
      <c r="F50" s="42" t="s">
        <v>220</v>
      </c>
    </row>
    <row r="51" spans="1:6" x14ac:dyDescent="0.3">
      <c r="A51" s="37">
        <v>44805</v>
      </c>
      <c r="B51" s="12" t="s">
        <v>217</v>
      </c>
      <c r="C51" s="23" t="s">
        <v>16</v>
      </c>
      <c r="D51" s="177">
        <v>13100000</v>
      </c>
      <c r="E51" s="127">
        <v>10000000</v>
      </c>
      <c r="F51" s="23" t="s">
        <v>220</v>
      </c>
    </row>
    <row r="52" spans="1:6" x14ac:dyDescent="0.3">
      <c r="A52" s="37">
        <v>44805</v>
      </c>
      <c r="B52" s="12" t="s">
        <v>218</v>
      </c>
      <c r="C52" s="23" t="s">
        <v>16</v>
      </c>
      <c r="D52" s="177">
        <v>16710000</v>
      </c>
      <c r="E52" s="127">
        <v>10000000</v>
      </c>
      <c r="F52" s="23" t="s">
        <v>220</v>
      </c>
    </row>
    <row r="53" spans="1:6" x14ac:dyDescent="0.3">
      <c r="A53" s="37">
        <v>44805</v>
      </c>
      <c r="B53" s="12" t="s">
        <v>221</v>
      </c>
      <c r="C53" s="23" t="s">
        <v>16</v>
      </c>
      <c r="D53" s="177">
        <v>15400000</v>
      </c>
      <c r="E53" s="127">
        <v>10000000</v>
      </c>
      <c r="F53" s="23" t="s">
        <v>220</v>
      </c>
    </row>
    <row r="54" spans="1:6" x14ac:dyDescent="0.3">
      <c r="A54" s="37">
        <v>44805</v>
      </c>
      <c r="B54" s="12" t="s">
        <v>219</v>
      </c>
      <c r="C54" s="23" t="s">
        <v>17</v>
      </c>
      <c r="D54" s="177">
        <v>32500000</v>
      </c>
      <c r="E54" s="127">
        <v>13000000</v>
      </c>
      <c r="F54" s="23" t="s">
        <v>220</v>
      </c>
    </row>
    <row r="55" spans="1:6" x14ac:dyDescent="0.3">
      <c r="A55" s="37">
        <v>44805</v>
      </c>
      <c r="B55" s="12" t="s">
        <v>91</v>
      </c>
      <c r="C55" s="23" t="s">
        <v>17</v>
      </c>
      <c r="D55" s="177">
        <v>37720000</v>
      </c>
      <c r="E55" s="127">
        <v>13000000</v>
      </c>
      <c r="F55" s="23" t="s">
        <v>220</v>
      </c>
    </row>
    <row r="56" spans="1:6" x14ac:dyDescent="0.3">
      <c r="A56" s="37">
        <v>44835</v>
      </c>
      <c r="B56" s="33" t="s">
        <v>116</v>
      </c>
      <c r="C56" s="23" t="s">
        <v>198</v>
      </c>
      <c r="D56" s="241">
        <v>50900000</v>
      </c>
      <c r="E56" s="241">
        <v>45000000</v>
      </c>
      <c r="F56" s="23" t="s">
        <v>220</v>
      </c>
    </row>
    <row r="57" spans="1:6" x14ac:dyDescent="0.3">
      <c r="A57" s="37">
        <v>44835</v>
      </c>
      <c r="B57" s="33" t="s">
        <v>216</v>
      </c>
      <c r="C57" s="42" t="s">
        <v>16</v>
      </c>
      <c r="D57" s="166">
        <v>11800000</v>
      </c>
      <c r="E57" s="268">
        <v>10000000</v>
      </c>
      <c r="F57" s="42" t="s">
        <v>220</v>
      </c>
    </row>
    <row r="58" spans="1:6" x14ac:dyDescent="0.3">
      <c r="A58" s="37">
        <v>44835</v>
      </c>
      <c r="B58" s="12" t="s">
        <v>217</v>
      </c>
      <c r="C58" s="23" t="s">
        <v>16</v>
      </c>
      <c r="D58" s="166">
        <v>21250000</v>
      </c>
      <c r="E58" s="127">
        <v>10000000</v>
      </c>
      <c r="F58" s="23" t="s">
        <v>220</v>
      </c>
    </row>
    <row r="59" spans="1:6" x14ac:dyDescent="0.3">
      <c r="A59" s="37">
        <v>44835</v>
      </c>
      <c r="B59" s="12" t="s">
        <v>218</v>
      </c>
      <c r="C59" s="23" t="s">
        <v>16</v>
      </c>
      <c r="D59" s="166">
        <v>8100000</v>
      </c>
      <c r="E59" s="127">
        <v>10000000</v>
      </c>
      <c r="F59" s="23" t="s">
        <v>220</v>
      </c>
    </row>
    <row r="60" spans="1:6" x14ac:dyDescent="0.3">
      <c r="A60" s="37">
        <v>44835</v>
      </c>
      <c r="B60" s="12" t="s">
        <v>221</v>
      </c>
      <c r="C60" s="23" t="s">
        <v>16</v>
      </c>
      <c r="D60" s="338">
        <v>8050000</v>
      </c>
      <c r="E60" s="127">
        <v>10000000</v>
      </c>
      <c r="F60" s="23" t="s">
        <v>220</v>
      </c>
    </row>
    <row r="61" spans="1:6" x14ac:dyDescent="0.3">
      <c r="A61" s="37">
        <v>44835</v>
      </c>
      <c r="B61" s="12" t="s">
        <v>219</v>
      </c>
      <c r="C61" s="23" t="s">
        <v>17</v>
      </c>
      <c r="D61" s="166">
        <v>21700000</v>
      </c>
      <c r="E61" s="127">
        <v>13000000</v>
      </c>
      <c r="F61" s="23" t="s">
        <v>220</v>
      </c>
    </row>
    <row r="62" spans="1:6" x14ac:dyDescent="0.3">
      <c r="A62" s="37">
        <v>44835</v>
      </c>
      <c r="B62" s="12" t="s">
        <v>91</v>
      </c>
      <c r="C62" s="23" t="s">
        <v>17</v>
      </c>
      <c r="D62" s="241">
        <v>23300000</v>
      </c>
      <c r="E62" s="127">
        <v>13000000</v>
      </c>
      <c r="F62" s="23" t="s">
        <v>220</v>
      </c>
    </row>
    <row r="63" spans="1:6" x14ac:dyDescent="0.3">
      <c r="A63" s="24"/>
      <c r="B63" s="24"/>
      <c r="C63" s="24"/>
      <c r="D63" s="24"/>
      <c r="E63" s="24"/>
      <c r="F63" s="24"/>
    </row>
    <row r="64" spans="1:6" x14ac:dyDescent="0.3">
      <c r="A64" s="24"/>
      <c r="B64" s="24"/>
      <c r="C64" s="24"/>
      <c r="D64" s="24"/>
      <c r="E64" s="24"/>
      <c r="F64" s="24"/>
    </row>
    <row r="65" spans="1:6" x14ac:dyDescent="0.3">
      <c r="A65" s="24"/>
      <c r="B65" s="24"/>
      <c r="C65" s="24"/>
      <c r="D65" s="24"/>
      <c r="E65" s="24"/>
      <c r="F65" s="24"/>
    </row>
    <row r="66" spans="1:6" x14ac:dyDescent="0.3">
      <c r="A66" s="24"/>
      <c r="B66" s="24"/>
      <c r="C66" s="24"/>
      <c r="D66" s="24"/>
      <c r="E66" s="24"/>
      <c r="F66" s="24"/>
    </row>
    <row r="67" spans="1:6" x14ac:dyDescent="0.3">
      <c r="A67" s="24"/>
      <c r="B67" s="24"/>
      <c r="C67" s="24"/>
      <c r="D67" s="24"/>
      <c r="E67" s="24"/>
      <c r="F67" s="24"/>
    </row>
    <row r="68" spans="1:6" x14ac:dyDescent="0.3">
      <c r="A68" s="24"/>
      <c r="B68" s="24"/>
      <c r="C68" s="24"/>
      <c r="D68" s="24"/>
      <c r="E68" s="24"/>
      <c r="F68" s="24"/>
    </row>
    <row r="69" spans="1:6" x14ac:dyDescent="0.3">
      <c r="A69" s="24"/>
      <c r="B69" s="24"/>
      <c r="C69" s="24"/>
      <c r="D69" s="24"/>
      <c r="E69" s="24"/>
      <c r="F69" s="24"/>
    </row>
    <row r="70" spans="1:6" x14ac:dyDescent="0.3">
      <c r="A70" s="24"/>
      <c r="B70" s="24"/>
      <c r="C70" s="24"/>
      <c r="D70" s="24"/>
      <c r="E70" s="24"/>
      <c r="F70" s="24"/>
    </row>
    <row r="71" spans="1:6" x14ac:dyDescent="0.3">
      <c r="A71" s="24"/>
      <c r="B71" s="24"/>
      <c r="C71" s="24"/>
      <c r="D71" s="24"/>
      <c r="E71" s="24"/>
      <c r="F71" s="24"/>
    </row>
    <row r="72" spans="1:6" x14ac:dyDescent="0.3">
      <c r="A72" s="24"/>
      <c r="B72" s="24"/>
      <c r="C72" s="24"/>
      <c r="D72" s="24"/>
      <c r="E72" s="24"/>
      <c r="F72" s="24"/>
    </row>
    <row r="73" spans="1:6" x14ac:dyDescent="0.3">
      <c r="A73" s="24"/>
      <c r="B73" s="24"/>
      <c r="C73" s="24"/>
      <c r="D73" s="24"/>
      <c r="E73" s="24"/>
      <c r="F73" s="24"/>
    </row>
    <row r="74" spans="1:6" x14ac:dyDescent="0.3">
      <c r="A74" s="24"/>
      <c r="B74" s="24"/>
      <c r="C74" s="24"/>
      <c r="D74" s="24"/>
      <c r="E74" s="24"/>
      <c r="F74" s="24"/>
    </row>
    <row r="75" spans="1:6" x14ac:dyDescent="0.3">
      <c r="A75" s="24"/>
      <c r="B75" s="24"/>
      <c r="C75" s="24"/>
      <c r="D75" s="24"/>
      <c r="E75" s="24"/>
      <c r="F75" s="24"/>
    </row>
    <row r="76" spans="1:6" x14ac:dyDescent="0.3">
      <c r="A76" s="24"/>
      <c r="B76" s="24"/>
      <c r="C76" s="24"/>
      <c r="D76" s="24"/>
      <c r="E76" s="24"/>
      <c r="F76" s="24"/>
    </row>
    <row r="77" spans="1:6" x14ac:dyDescent="0.3">
      <c r="A77" s="24"/>
      <c r="B77" s="24"/>
      <c r="C77" s="24"/>
      <c r="D77" s="24"/>
      <c r="E77" s="24"/>
      <c r="F77" s="24"/>
    </row>
    <row r="78" spans="1:6" x14ac:dyDescent="0.3">
      <c r="A78" s="24"/>
      <c r="B78" s="24"/>
      <c r="C78" s="24"/>
      <c r="D78" s="24"/>
      <c r="E78" s="24"/>
      <c r="F78" s="24"/>
    </row>
    <row r="79" spans="1:6" x14ac:dyDescent="0.3">
      <c r="A79" s="24"/>
      <c r="B79" s="24"/>
      <c r="C79" s="24"/>
      <c r="D79" s="24"/>
      <c r="E79" s="24"/>
      <c r="F79" s="24"/>
    </row>
    <row r="80" spans="1:6" x14ac:dyDescent="0.3">
      <c r="A80" s="24"/>
      <c r="B80" s="24"/>
      <c r="C80" s="24"/>
      <c r="D80" s="24"/>
      <c r="E80" s="24"/>
      <c r="F80" s="24"/>
    </row>
    <row r="81" spans="1:6" x14ac:dyDescent="0.3">
      <c r="A81" s="24"/>
      <c r="B81" s="24"/>
      <c r="C81" s="24"/>
      <c r="D81" s="24"/>
      <c r="E81" s="24"/>
      <c r="F81" s="24"/>
    </row>
    <row r="82" spans="1:6" x14ac:dyDescent="0.3">
      <c r="A82" s="24"/>
      <c r="B82" s="24"/>
      <c r="C82" s="24"/>
      <c r="D82" s="24"/>
      <c r="E82" s="24"/>
      <c r="F82" s="24"/>
    </row>
    <row r="83" spans="1:6" x14ac:dyDescent="0.3">
      <c r="A83" s="24"/>
      <c r="B83" s="24"/>
      <c r="C83" s="24"/>
      <c r="D83" s="24"/>
      <c r="E83" s="24"/>
      <c r="F83" s="24"/>
    </row>
    <row r="84" spans="1:6" x14ac:dyDescent="0.3">
      <c r="A84" s="24"/>
      <c r="B84" s="24"/>
      <c r="C84" s="24"/>
      <c r="D84" s="24"/>
      <c r="E84" s="24"/>
      <c r="F84" s="24"/>
    </row>
    <row r="85" spans="1:6" x14ac:dyDescent="0.3">
      <c r="A85" s="24"/>
      <c r="B85" s="24"/>
      <c r="C85" s="24"/>
      <c r="D85" s="24"/>
      <c r="E85" s="24"/>
      <c r="F85" s="24"/>
    </row>
    <row r="86" spans="1:6" x14ac:dyDescent="0.3">
      <c r="A86" s="24"/>
      <c r="B86" s="24"/>
      <c r="C86" s="24"/>
      <c r="D86" s="24"/>
      <c r="E86" s="24"/>
      <c r="F86" s="24"/>
    </row>
    <row r="87" spans="1:6" x14ac:dyDescent="0.3">
      <c r="A87" s="24"/>
      <c r="B87" s="24"/>
      <c r="C87" s="24"/>
      <c r="D87" s="24"/>
      <c r="E87" s="24"/>
      <c r="F87" s="24"/>
    </row>
    <row r="88" spans="1:6" x14ac:dyDescent="0.3">
      <c r="A88" s="24"/>
      <c r="B88" s="24"/>
      <c r="C88" s="24"/>
      <c r="D88" s="24"/>
      <c r="E88" s="24"/>
      <c r="F88" s="24"/>
    </row>
    <row r="89" spans="1:6" x14ac:dyDescent="0.3">
      <c r="A89" s="24"/>
      <c r="B89" s="24"/>
      <c r="C89" s="24"/>
      <c r="D89" s="24"/>
      <c r="E89" s="24"/>
      <c r="F89" s="24"/>
    </row>
    <row r="90" spans="1:6" x14ac:dyDescent="0.3">
      <c r="A90" s="24"/>
      <c r="B90" s="24"/>
      <c r="C90" s="24"/>
      <c r="D90" s="24"/>
      <c r="E90" s="24"/>
      <c r="F90" s="24"/>
    </row>
    <row r="91" spans="1:6" x14ac:dyDescent="0.3">
      <c r="A91" s="24"/>
      <c r="B91" s="24"/>
      <c r="C91" s="24"/>
      <c r="D91" s="24"/>
      <c r="E91" s="24"/>
      <c r="F91" s="24"/>
    </row>
    <row r="92" spans="1:6" x14ac:dyDescent="0.3">
      <c r="A92" s="24"/>
      <c r="B92" s="24"/>
      <c r="C92" s="24"/>
      <c r="D92" s="24"/>
      <c r="E92" s="24"/>
      <c r="F92" s="24"/>
    </row>
    <row r="93" spans="1:6" x14ac:dyDescent="0.3">
      <c r="A93" s="24"/>
      <c r="B93" s="24"/>
      <c r="C93" s="24"/>
      <c r="D93" s="24"/>
      <c r="E93" s="24"/>
      <c r="F93" s="24"/>
    </row>
    <row r="94" spans="1:6" x14ac:dyDescent="0.3">
      <c r="A94" s="24"/>
      <c r="B94" s="24"/>
      <c r="C94" s="24"/>
      <c r="D94" s="24"/>
      <c r="E94" s="24"/>
      <c r="F94" s="24"/>
    </row>
    <row r="95" spans="1:6" x14ac:dyDescent="0.3">
      <c r="A95" s="24"/>
      <c r="B95" s="24"/>
      <c r="C95" s="24"/>
      <c r="D95" s="24"/>
      <c r="E95" s="24"/>
      <c r="F95" s="24"/>
    </row>
    <row r="96" spans="1:6" x14ac:dyDescent="0.3">
      <c r="A96" s="24"/>
      <c r="B96" s="24"/>
      <c r="C96" s="24"/>
      <c r="D96" s="24"/>
      <c r="E96" s="24"/>
      <c r="F96" s="24"/>
    </row>
    <row r="97" spans="1:6" x14ac:dyDescent="0.3">
      <c r="A97" s="24"/>
      <c r="B97" s="24"/>
      <c r="C97" s="24"/>
      <c r="D97" s="24"/>
      <c r="E97" s="24"/>
      <c r="F97" s="24"/>
    </row>
    <row r="98" spans="1:6" x14ac:dyDescent="0.3">
      <c r="A98" s="24"/>
      <c r="B98" s="24"/>
      <c r="C98" s="24"/>
      <c r="D98" s="24"/>
      <c r="E98" s="24"/>
      <c r="F98" s="24"/>
    </row>
    <row r="99" spans="1:6" x14ac:dyDescent="0.3">
      <c r="A99" s="24"/>
      <c r="B99" s="24"/>
      <c r="C99" s="24"/>
      <c r="D99" s="24"/>
      <c r="E99" s="24"/>
      <c r="F99" s="24"/>
    </row>
    <row r="100" spans="1:6" x14ac:dyDescent="0.3">
      <c r="A100" s="24"/>
      <c r="B100" s="24"/>
      <c r="C100" s="24"/>
      <c r="D100" s="24"/>
      <c r="E100" s="24"/>
      <c r="F100" s="24"/>
    </row>
    <row r="101" spans="1:6" x14ac:dyDescent="0.3">
      <c r="A101" s="24"/>
      <c r="B101" s="24"/>
      <c r="C101" s="24"/>
      <c r="D101" s="24"/>
      <c r="E101" s="24"/>
      <c r="F101" s="24"/>
    </row>
    <row r="102" spans="1:6" x14ac:dyDescent="0.3">
      <c r="A102" s="24"/>
      <c r="B102" s="24"/>
      <c r="C102" s="24"/>
      <c r="D102" s="24"/>
      <c r="E102" s="24"/>
      <c r="F102" s="24"/>
    </row>
    <row r="103" spans="1:6" x14ac:dyDescent="0.3">
      <c r="A103" s="24"/>
      <c r="B103" s="24"/>
      <c r="C103" s="24"/>
      <c r="D103" s="24"/>
      <c r="E103" s="24"/>
      <c r="F103" s="24"/>
    </row>
    <row r="104" spans="1:6" x14ac:dyDescent="0.3">
      <c r="A104" s="24"/>
      <c r="B104" s="24"/>
      <c r="C104" s="24"/>
      <c r="D104" s="24"/>
      <c r="E104" s="24"/>
      <c r="F104" s="24"/>
    </row>
    <row r="105" spans="1:6" x14ac:dyDescent="0.3">
      <c r="A105" s="24"/>
      <c r="B105" s="24"/>
      <c r="C105" s="24"/>
      <c r="D105" s="24"/>
      <c r="E105" s="24"/>
      <c r="F105" s="24"/>
    </row>
    <row r="106" spans="1:6" x14ac:dyDescent="0.3">
      <c r="A106" s="24"/>
      <c r="B106" s="24"/>
      <c r="C106" s="24"/>
      <c r="D106" s="24"/>
      <c r="E106" s="24"/>
      <c r="F106" s="24"/>
    </row>
    <row r="107" spans="1:6" x14ac:dyDescent="0.3">
      <c r="A107" s="24"/>
      <c r="B107" s="24"/>
      <c r="C107" s="24"/>
      <c r="D107" s="24"/>
      <c r="E107" s="24"/>
      <c r="F107" s="24"/>
    </row>
    <row r="108" spans="1:6" x14ac:dyDescent="0.3">
      <c r="A108" s="24"/>
      <c r="B108" s="24"/>
      <c r="C108" s="24"/>
      <c r="D108" s="24"/>
      <c r="E108" s="24"/>
      <c r="F108" s="24"/>
    </row>
    <row r="109" spans="1:6" x14ac:dyDescent="0.3">
      <c r="A109" s="24"/>
      <c r="B109" s="24"/>
      <c r="C109" s="24"/>
      <c r="D109" s="24"/>
      <c r="E109" s="24"/>
      <c r="F109" s="24"/>
    </row>
    <row r="110" spans="1:6" x14ac:dyDescent="0.3">
      <c r="A110" s="24"/>
      <c r="B110" s="24"/>
      <c r="C110" s="24"/>
      <c r="D110" s="24"/>
      <c r="E110" s="24"/>
      <c r="F110" s="24"/>
    </row>
    <row r="111" spans="1:6" x14ac:dyDescent="0.3">
      <c r="A111" s="24"/>
      <c r="B111" s="24"/>
      <c r="C111" s="24"/>
      <c r="D111" s="24"/>
      <c r="E111" s="24"/>
      <c r="F111" s="24"/>
    </row>
    <row r="112" spans="1:6" x14ac:dyDescent="0.3">
      <c r="A112" s="24"/>
      <c r="B112" s="24"/>
      <c r="C112" s="24"/>
      <c r="D112" s="24"/>
      <c r="E112" s="24"/>
      <c r="F112" s="24"/>
    </row>
    <row r="113" spans="1:6" x14ac:dyDescent="0.3">
      <c r="A113" s="24"/>
      <c r="B113" s="24"/>
      <c r="C113" s="24"/>
      <c r="D113" s="24"/>
      <c r="E113" s="24"/>
      <c r="F113" s="24"/>
    </row>
    <row r="114" spans="1:6" x14ac:dyDescent="0.3">
      <c r="A114" s="24"/>
      <c r="B114" s="24"/>
      <c r="C114" s="24"/>
      <c r="D114" s="24"/>
      <c r="E114" s="24"/>
      <c r="F114" s="24"/>
    </row>
    <row r="115" spans="1:6" x14ac:dyDescent="0.3">
      <c r="A115" s="24"/>
      <c r="B115" s="24"/>
      <c r="C115" s="24"/>
      <c r="D115" s="24"/>
      <c r="E115" s="24"/>
      <c r="F115" s="24"/>
    </row>
    <row r="116" spans="1:6" x14ac:dyDescent="0.3">
      <c r="A116" s="24"/>
      <c r="B116" s="24"/>
      <c r="C116" s="24"/>
      <c r="D116" s="24"/>
      <c r="E116" s="24"/>
      <c r="F116" s="24"/>
    </row>
    <row r="117" spans="1:6" x14ac:dyDescent="0.3">
      <c r="A117" s="24"/>
      <c r="B117" s="24"/>
      <c r="C117" s="24"/>
      <c r="D117" s="24"/>
      <c r="E117" s="24"/>
      <c r="F117" s="24"/>
    </row>
    <row r="118" spans="1:6" x14ac:dyDescent="0.3">
      <c r="A118" s="24"/>
      <c r="B118" s="24"/>
      <c r="C118" s="24"/>
      <c r="D118" s="24"/>
      <c r="E118" s="24"/>
      <c r="F118" s="24"/>
    </row>
    <row r="119" spans="1:6" x14ac:dyDescent="0.3">
      <c r="A119" s="24"/>
      <c r="B119" s="24"/>
      <c r="C119" s="24"/>
      <c r="D119" s="24"/>
      <c r="E119" s="24"/>
      <c r="F119" s="24"/>
    </row>
    <row r="120" spans="1:6" x14ac:dyDescent="0.3">
      <c r="A120" s="24"/>
      <c r="B120" s="24"/>
      <c r="C120" s="24"/>
      <c r="D120" s="24"/>
      <c r="E120" s="24"/>
      <c r="F120" s="24"/>
    </row>
    <row r="121" spans="1:6" x14ac:dyDescent="0.3">
      <c r="A121" s="24"/>
      <c r="B121" s="24"/>
      <c r="C121" s="24"/>
      <c r="D121" s="24"/>
      <c r="E121" s="24"/>
      <c r="F121" s="24"/>
    </row>
    <row r="122" spans="1:6" x14ac:dyDescent="0.3">
      <c r="A122" s="24"/>
      <c r="B122" s="24"/>
      <c r="C122" s="24"/>
      <c r="D122" s="24"/>
      <c r="E122" s="24"/>
      <c r="F122" s="24"/>
    </row>
    <row r="123" spans="1:6" x14ac:dyDescent="0.3">
      <c r="A123" s="24"/>
      <c r="B123" s="24"/>
      <c r="C123" s="24"/>
      <c r="D123" s="24"/>
      <c r="E123" s="24"/>
      <c r="F123" s="24"/>
    </row>
    <row r="124" spans="1:6" x14ac:dyDescent="0.3">
      <c r="A124" s="24"/>
      <c r="B124" s="24"/>
      <c r="C124" s="24"/>
      <c r="D124" s="24"/>
      <c r="E124" s="24"/>
      <c r="F124" s="24"/>
    </row>
    <row r="125" spans="1:6" x14ac:dyDescent="0.3">
      <c r="A125" s="24"/>
      <c r="B125" s="24"/>
      <c r="C125" s="24"/>
      <c r="D125" s="24"/>
      <c r="E125" s="24"/>
      <c r="F125" s="24"/>
    </row>
    <row r="126" spans="1:6" x14ac:dyDescent="0.3">
      <c r="A126" s="24"/>
      <c r="B126" s="24"/>
      <c r="C126" s="24"/>
      <c r="D126" s="24"/>
      <c r="E126" s="24"/>
      <c r="F126" s="24"/>
    </row>
    <row r="127" spans="1:6" x14ac:dyDescent="0.3">
      <c r="A127" s="24"/>
      <c r="B127" s="24"/>
      <c r="C127" s="24"/>
      <c r="D127" s="24"/>
      <c r="E127" s="24"/>
      <c r="F127" s="24"/>
    </row>
    <row r="128" spans="1:6" x14ac:dyDescent="0.3">
      <c r="A128" s="24"/>
      <c r="B128" s="24"/>
      <c r="C128" s="24"/>
      <c r="D128" s="24"/>
      <c r="E128" s="24"/>
      <c r="F128" s="24"/>
    </row>
    <row r="129" spans="1:6" x14ac:dyDescent="0.3">
      <c r="A129" s="24"/>
      <c r="B129" s="24"/>
      <c r="C129" s="24"/>
      <c r="D129" s="24"/>
      <c r="E129" s="24"/>
      <c r="F129" s="24"/>
    </row>
    <row r="130" spans="1:6" x14ac:dyDescent="0.3">
      <c r="A130" s="24"/>
      <c r="B130" s="24"/>
      <c r="C130" s="24"/>
      <c r="D130" s="24"/>
      <c r="E130" s="24"/>
      <c r="F130" s="24"/>
    </row>
    <row r="131" spans="1:6" x14ac:dyDescent="0.3">
      <c r="A131" s="24"/>
      <c r="B131" s="24"/>
      <c r="C131" s="24"/>
      <c r="D131" s="24"/>
      <c r="E131" s="24"/>
      <c r="F131" s="24"/>
    </row>
    <row r="132" spans="1:6" x14ac:dyDescent="0.3">
      <c r="A132" s="24"/>
      <c r="B132" s="24"/>
      <c r="C132" s="24"/>
      <c r="D132" s="24"/>
      <c r="E132" s="24"/>
      <c r="F132" s="24"/>
    </row>
    <row r="133" spans="1:6" x14ac:dyDescent="0.3">
      <c r="A133" s="24"/>
      <c r="B133" s="24"/>
      <c r="C133" s="24"/>
      <c r="D133" s="24"/>
      <c r="E133" s="24"/>
      <c r="F133" s="24"/>
    </row>
    <row r="134" spans="1:6" x14ac:dyDescent="0.3">
      <c r="A134" s="24"/>
      <c r="B134" s="24"/>
      <c r="C134" s="24"/>
      <c r="D134" s="24"/>
      <c r="E134" s="24"/>
      <c r="F134" s="24"/>
    </row>
    <row r="135" spans="1:6" x14ac:dyDescent="0.3">
      <c r="A135" s="24"/>
      <c r="B135" s="24"/>
      <c r="C135" s="24"/>
      <c r="D135" s="24"/>
      <c r="E135" s="24"/>
      <c r="F135" s="24"/>
    </row>
    <row r="136" spans="1:6" x14ac:dyDescent="0.3">
      <c r="A136" s="24"/>
      <c r="B136" s="24"/>
      <c r="C136" s="24"/>
      <c r="D136" s="24"/>
      <c r="E136" s="24"/>
      <c r="F136" s="24"/>
    </row>
    <row r="137" spans="1:6" x14ac:dyDescent="0.3">
      <c r="A137" s="24"/>
      <c r="B137" s="24"/>
      <c r="C137" s="24"/>
      <c r="D137" s="24"/>
      <c r="E137" s="24"/>
      <c r="F137" s="24"/>
    </row>
    <row r="138" spans="1:6" x14ac:dyDescent="0.3">
      <c r="A138" s="24"/>
      <c r="B138" s="24"/>
      <c r="C138" s="24"/>
      <c r="D138" s="24"/>
      <c r="E138" s="24"/>
      <c r="F138" s="24"/>
    </row>
    <row r="139" spans="1:6" x14ac:dyDescent="0.3">
      <c r="A139" s="24"/>
      <c r="B139" s="24"/>
      <c r="C139" s="24"/>
      <c r="D139" s="24"/>
      <c r="E139" s="24"/>
      <c r="F139" s="24"/>
    </row>
    <row r="140" spans="1:6" x14ac:dyDescent="0.3">
      <c r="A140" s="24"/>
      <c r="B140" s="24"/>
      <c r="C140" s="24"/>
      <c r="D140" s="24"/>
      <c r="E140" s="24"/>
      <c r="F140" s="24"/>
    </row>
    <row r="141" spans="1:6" x14ac:dyDescent="0.3">
      <c r="A141" s="24"/>
      <c r="B141" s="24"/>
      <c r="C141" s="24"/>
      <c r="D141" s="24"/>
      <c r="E141" s="24"/>
      <c r="F141" s="24"/>
    </row>
    <row r="142" spans="1:6" x14ac:dyDescent="0.3">
      <c r="A142" s="24"/>
      <c r="B142" s="24"/>
      <c r="C142" s="24"/>
      <c r="D142" s="24"/>
      <c r="E142" s="24"/>
      <c r="F142" s="24"/>
    </row>
    <row r="143" spans="1:6" x14ac:dyDescent="0.3">
      <c r="A143" s="24"/>
      <c r="B143" s="24"/>
      <c r="C143" s="24"/>
      <c r="D143" s="24"/>
      <c r="E143" s="24"/>
      <c r="F143" s="24"/>
    </row>
    <row r="144" spans="1:6" x14ac:dyDescent="0.3">
      <c r="A144" s="24"/>
      <c r="B144" s="24"/>
      <c r="C144" s="24"/>
      <c r="D144" s="24"/>
      <c r="E144" s="24"/>
      <c r="F144" s="24"/>
    </row>
    <row r="145" spans="1:6" x14ac:dyDescent="0.3">
      <c r="A145" s="24"/>
      <c r="B145" s="24"/>
      <c r="C145" s="24"/>
      <c r="D145" s="24"/>
      <c r="E145" s="24"/>
      <c r="F145" s="24"/>
    </row>
    <row r="146" spans="1:6" x14ac:dyDescent="0.3">
      <c r="A146" s="24"/>
      <c r="B146" s="24"/>
      <c r="C146" s="24"/>
      <c r="D146" s="24"/>
      <c r="E146" s="24"/>
      <c r="F146" s="24"/>
    </row>
    <row r="147" spans="1:6" x14ac:dyDescent="0.3">
      <c r="A147" s="24"/>
      <c r="B147" s="24"/>
      <c r="C147" s="24"/>
      <c r="D147" s="24"/>
      <c r="E147" s="24"/>
      <c r="F147" s="24"/>
    </row>
    <row r="148" spans="1:6" x14ac:dyDescent="0.3">
      <c r="A148" s="24"/>
      <c r="B148" s="24"/>
      <c r="C148" s="24"/>
      <c r="D148" s="24"/>
      <c r="E148" s="24"/>
      <c r="F148" s="24"/>
    </row>
    <row r="149" spans="1:6" x14ac:dyDescent="0.3">
      <c r="A149" s="24"/>
      <c r="B149" s="24"/>
      <c r="C149" s="24"/>
      <c r="D149" s="24"/>
      <c r="E149" s="24"/>
      <c r="F149" s="24"/>
    </row>
    <row r="150" spans="1:6" x14ac:dyDescent="0.3">
      <c r="A150" s="24"/>
      <c r="B150" s="24"/>
      <c r="C150" s="24"/>
      <c r="D150" s="24"/>
      <c r="E150" s="24"/>
      <c r="F150" s="24"/>
    </row>
    <row r="151" spans="1:6" x14ac:dyDescent="0.3">
      <c r="A151" s="24"/>
      <c r="B151" s="24"/>
      <c r="C151" s="24"/>
      <c r="D151" s="24"/>
      <c r="E151" s="24"/>
      <c r="F151" s="24"/>
    </row>
    <row r="152" spans="1:6" x14ac:dyDescent="0.3">
      <c r="A152" s="24"/>
      <c r="B152" s="24"/>
      <c r="C152" s="24"/>
      <c r="D152" s="24"/>
      <c r="E152" s="24"/>
      <c r="F152" s="24"/>
    </row>
    <row r="153" spans="1:6" x14ac:dyDescent="0.3">
      <c r="A153" s="24"/>
      <c r="B153" s="24"/>
      <c r="C153" s="24"/>
      <c r="D153" s="24"/>
      <c r="E153" s="24"/>
      <c r="F153" s="24"/>
    </row>
    <row r="154" spans="1:6" x14ac:dyDescent="0.3">
      <c r="A154" s="24"/>
      <c r="B154" s="24"/>
      <c r="C154" s="24"/>
      <c r="D154" s="24"/>
      <c r="E154" s="24"/>
      <c r="F154" s="24"/>
    </row>
    <row r="155" spans="1:6" x14ac:dyDescent="0.3">
      <c r="A155" s="24"/>
      <c r="B155" s="24"/>
      <c r="C155" s="24"/>
      <c r="D155" s="24"/>
      <c r="E155" s="24"/>
      <c r="F155" s="24"/>
    </row>
    <row r="156" spans="1:6" x14ac:dyDescent="0.3">
      <c r="A156" s="24"/>
      <c r="B156" s="24"/>
      <c r="C156" s="24"/>
      <c r="D156" s="24"/>
      <c r="E156" s="24"/>
      <c r="F156" s="24"/>
    </row>
    <row r="157" spans="1:6" x14ac:dyDescent="0.3">
      <c r="A157" s="24"/>
      <c r="B157" s="24"/>
      <c r="C157" s="24"/>
      <c r="D157" s="24"/>
      <c r="E157" s="24"/>
      <c r="F157" s="24"/>
    </row>
    <row r="158" spans="1:6" x14ac:dyDescent="0.3">
      <c r="A158" s="24"/>
      <c r="B158" s="24"/>
      <c r="C158" s="24"/>
      <c r="D158" s="24"/>
      <c r="E158" s="24"/>
      <c r="F158" s="24"/>
    </row>
    <row r="159" spans="1:6" x14ac:dyDescent="0.3">
      <c r="A159" s="24"/>
      <c r="B159" s="24"/>
      <c r="C159" s="24"/>
      <c r="D159" s="24"/>
      <c r="E159" s="24"/>
      <c r="F159" s="24"/>
    </row>
    <row r="160" spans="1:6" x14ac:dyDescent="0.3">
      <c r="A160" s="24"/>
      <c r="B160" s="24"/>
      <c r="C160" s="24"/>
      <c r="D160" s="24"/>
      <c r="E160" s="24"/>
      <c r="F160" s="24"/>
    </row>
    <row r="161" spans="1:6" x14ac:dyDescent="0.3">
      <c r="A161" s="24"/>
      <c r="B161" s="24"/>
      <c r="C161" s="24"/>
      <c r="D161" s="24"/>
      <c r="E161" s="24"/>
      <c r="F161" s="24"/>
    </row>
    <row r="162" spans="1:6" x14ac:dyDescent="0.3">
      <c r="A162" s="24"/>
      <c r="B162" s="24"/>
      <c r="C162" s="24"/>
      <c r="D162" s="24"/>
      <c r="E162" s="24"/>
      <c r="F162" s="24"/>
    </row>
    <row r="163" spans="1:6" x14ac:dyDescent="0.3">
      <c r="A163" s="24"/>
      <c r="B163" s="24"/>
      <c r="C163" s="24"/>
      <c r="D163" s="24"/>
      <c r="E163" s="24"/>
      <c r="F163" s="24"/>
    </row>
    <row r="164" spans="1:6" x14ac:dyDescent="0.3">
      <c r="A164" s="24"/>
      <c r="B164" s="24"/>
      <c r="C164" s="24"/>
      <c r="D164" s="24"/>
      <c r="E164" s="24"/>
      <c r="F164" s="24"/>
    </row>
    <row r="165" spans="1:6" x14ac:dyDescent="0.3">
      <c r="A165" s="24"/>
      <c r="B165" s="24"/>
      <c r="C165" s="24"/>
      <c r="D165" s="24"/>
      <c r="E165" s="24"/>
      <c r="F165" s="24"/>
    </row>
    <row r="166" spans="1:6" x14ac:dyDescent="0.3">
      <c r="A166" s="24"/>
      <c r="B166" s="24"/>
      <c r="C166" s="24"/>
      <c r="D166" s="24"/>
      <c r="E166" s="24"/>
      <c r="F166" s="24"/>
    </row>
    <row r="167" spans="1:6" x14ac:dyDescent="0.3">
      <c r="A167" s="24"/>
      <c r="B167" s="24"/>
      <c r="C167" s="24"/>
      <c r="D167" s="24"/>
      <c r="E167" s="24"/>
      <c r="F167" s="24"/>
    </row>
    <row r="168" spans="1:6" x14ac:dyDescent="0.3">
      <c r="A168" s="24"/>
      <c r="B168" s="24"/>
      <c r="C168" s="24"/>
      <c r="D168" s="24"/>
      <c r="E168" s="24"/>
      <c r="F168" s="24"/>
    </row>
    <row r="169" spans="1:6" x14ac:dyDescent="0.3">
      <c r="A169" s="24"/>
      <c r="B169" s="24"/>
      <c r="C169" s="24"/>
      <c r="D169" s="24"/>
      <c r="E169" s="24"/>
      <c r="F169" s="24"/>
    </row>
    <row r="170" spans="1:6" x14ac:dyDescent="0.3">
      <c r="A170" s="24"/>
      <c r="B170" s="24"/>
      <c r="C170" s="24"/>
      <c r="D170" s="24"/>
      <c r="E170" s="24"/>
      <c r="F170" s="24"/>
    </row>
    <row r="171" spans="1:6" x14ac:dyDescent="0.3">
      <c r="A171" s="24"/>
      <c r="B171" s="24"/>
      <c r="C171" s="24"/>
      <c r="D171" s="24"/>
      <c r="E171" s="24"/>
      <c r="F171" s="24"/>
    </row>
    <row r="172" spans="1:6" x14ac:dyDescent="0.3">
      <c r="A172" s="24"/>
      <c r="B172" s="24"/>
      <c r="C172" s="24"/>
      <c r="D172" s="24"/>
      <c r="E172" s="24"/>
      <c r="F172" s="24"/>
    </row>
    <row r="173" spans="1:6" x14ac:dyDescent="0.3">
      <c r="A173" s="24"/>
      <c r="B173" s="24"/>
      <c r="C173" s="24"/>
      <c r="D173" s="24"/>
      <c r="E173" s="24"/>
      <c r="F173" s="24"/>
    </row>
    <row r="174" spans="1:6" x14ac:dyDescent="0.3">
      <c r="A174" s="24"/>
      <c r="B174" s="24"/>
      <c r="C174" s="24"/>
      <c r="D174" s="24"/>
      <c r="E174" s="24"/>
      <c r="F174" s="24"/>
    </row>
    <row r="175" spans="1:6" x14ac:dyDescent="0.3">
      <c r="A175" s="24"/>
      <c r="B175" s="24"/>
      <c r="C175" s="24"/>
      <c r="D175" s="24"/>
      <c r="E175" s="24"/>
      <c r="F175" s="24"/>
    </row>
    <row r="176" spans="1:6" x14ac:dyDescent="0.3">
      <c r="A176" s="24"/>
      <c r="B176" s="24"/>
      <c r="C176" s="24"/>
      <c r="D176" s="24"/>
      <c r="E176" s="24"/>
      <c r="F176" s="24"/>
    </row>
    <row r="177" spans="1:6" x14ac:dyDescent="0.3">
      <c r="A177" s="24"/>
      <c r="B177" s="24"/>
      <c r="C177" s="24"/>
      <c r="D177" s="24"/>
      <c r="E177" s="24"/>
      <c r="F177" s="24"/>
    </row>
    <row r="178" spans="1:6" x14ac:dyDescent="0.3">
      <c r="A178" s="24"/>
      <c r="B178" s="24"/>
      <c r="C178" s="24"/>
      <c r="D178" s="24"/>
      <c r="E178" s="24"/>
      <c r="F178" s="24"/>
    </row>
    <row r="179" spans="1:6" x14ac:dyDescent="0.3">
      <c r="A179" s="24"/>
      <c r="B179" s="24"/>
      <c r="C179" s="24"/>
      <c r="D179" s="24"/>
      <c r="E179" s="24"/>
      <c r="F179" s="24"/>
    </row>
    <row r="180" spans="1:6" x14ac:dyDescent="0.3">
      <c r="A180" s="24"/>
      <c r="B180" s="24"/>
      <c r="C180" s="24"/>
      <c r="D180" s="24"/>
      <c r="E180" s="24"/>
      <c r="F180" s="24"/>
    </row>
    <row r="181" spans="1:6" x14ac:dyDescent="0.3">
      <c r="A181" s="24"/>
      <c r="B181" s="24"/>
      <c r="C181" s="24"/>
      <c r="D181" s="24"/>
      <c r="E181" s="24"/>
      <c r="F181" s="24"/>
    </row>
    <row r="182" spans="1:6" x14ac:dyDescent="0.3">
      <c r="A182" s="24"/>
      <c r="B182" s="24"/>
      <c r="C182" s="24"/>
      <c r="D182" s="24"/>
      <c r="E182" s="24"/>
      <c r="F182" s="24"/>
    </row>
    <row r="183" spans="1:6" x14ac:dyDescent="0.3">
      <c r="A183" s="24"/>
      <c r="B183" s="24"/>
      <c r="C183" s="24"/>
      <c r="D183" s="24"/>
      <c r="E183" s="24"/>
      <c r="F183" s="24"/>
    </row>
    <row r="184" spans="1:6" x14ac:dyDescent="0.3">
      <c r="A184" s="24"/>
      <c r="B184" s="24"/>
      <c r="C184" s="24"/>
      <c r="D184" s="24"/>
      <c r="E184" s="24"/>
      <c r="F184" s="24"/>
    </row>
    <row r="185" spans="1:6" x14ac:dyDescent="0.3">
      <c r="A185" s="24"/>
      <c r="B185" s="24"/>
      <c r="C185" s="24"/>
      <c r="D185" s="24"/>
      <c r="E185" s="24"/>
      <c r="F185" s="24"/>
    </row>
    <row r="186" spans="1:6" x14ac:dyDescent="0.3">
      <c r="A186" s="24"/>
      <c r="B186" s="24"/>
      <c r="C186" s="24"/>
      <c r="D186" s="24"/>
      <c r="E186" s="24"/>
      <c r="F186" s="24"/>
    </row>
    <row r="187" spans="1:6" x14ac:dyDescent="0.3">
      <c r="A187" s="24"/>
      <c r="B187" s="24"/>
      <c r="C187" s="24"/>
      <c r="D187" s="24"/>
      <c r="E187" s="24"/>
      <c r="F187" s="24"/>
    </row>
    <row r="188" spans="1:6" x14ac:dyDescent="0.3">
      <c r="A188" s="24"/>
      <c r="B188" s="24"/>
      <c r="C188" s="24"/>
      <c r="D188" s="24"/>
      <c r="E188" s="24"/>
      <c r="F188" s="24"/>
    </row>
    <row r="189" spans="1:6" x14ac:dyDescent="0.3">
      <c r="A189" s="24"/>
      <c r="B189" s="24"/>
      <c r="C189" s="24"/>
      <c r="D189" s="24"/>
      <c r="E189" s="24"/>
      <c r="F189" s="24"/>
    </row>
    <row r="190" spans="1:6" x14ac:dyDescent="0.3">
      <c r="A190" s="24"/>
      <c r="B190" s="24"/>
      <c r="C190" s="24"/>
      <c r="D190" s="24"/>
      <c r="E190" s="24"/>
      <c r="F190" s="24"/>
    </row>
    <row r="191" spans="1:6" x14ac:dyDescent="0.3">
      <c r="A191" s="24"/>
      <c r="B191" s="24"/>
      <c r="C191" s="24"/>
      <c r="D191" s="24"/>
      <c r="E191" s="24"/>
      <c r="F191" s="24"/>
    </row>
    <row r="192" spans="1:6" x14ac:dyDescent="0.3">
      <c r="A192" s="24"/>
      <c r="B192" s="24"/>
      <c r="C192" s="24"/>
      <c r="D192" s="24"/>
      <c r="E192" s="24"/>
      <c r="F192" s="24"/>
    </row>
    <row r="193" spans="1:6" x14ac:dyDescent="0.3">
      <c r="A193" s="24"/>
      <c r="B193" s="24"/>
      <c r="C193" s="24"/>
      <c r="D193" s="24"/>
      <c r="E193" s="24"/>
      <c r="F193" s="24"/>
    </row>
    <row r="194" spans="1:6" x14ac:dyDescent="0.3">
      <c r="A194" s="24"/>
      <c r="B194" s="24"/>
      <c r="C194" s="24"/>
      <c r="D194" s="24"/>
      <c r="E194" s="24"/>
      <c r="F194" s="24"/>
    </row>
    <row r="195" spans="1:6" x14ac:dyDescent="0.3">
      <c r="A195" s="24"/>
      <c r="B195" s="24"/>
      <c r="C195" s="24"/>
      <c r="D195" s="24"/>
      <c r="E195" s="24"/>
      <c r="F195" s="24"/>
    </row>
    <row r="196" spans="1:6" x14ac:dyDescent="0.3">
      <c r="A196" s="24"/>
      <c r="B196" s="24"/>
      <c r="C196" s="24"/>
      <c r="D196" s="24"/>
      <c r="E196" s="24"/>
      <c r="F196" s="24"/>
    </row>
    <row r="197" spans="1:6" x14ac:dyDescent="0.3">
      <c r="A197" s="24"/>
      <c r="B197" s="24"/>
      <c r="C197" s="24"/>
      <c r="D197" s="24"/>
      <c r="E197" s="24"/>
      <c r="F197" s="24"/>
    </row>
    <row r="198" spans="1:6" x14ac:dyDescent="0.3">
      <c r="A198" s="24"/>
      <c r="B198" s="24"/>
      <c r="C198" s="24"/>
      <c r="D198" s="24"/>
      <c r="E198" s="24"/>
      <c r="F198" s="24"/>
    </row>
    <row r="199" spans="1:6" x14ac:dyDescent="0.3">
      <c r="A199" s="24"/>
      <c r="B199" s="24"/>
      <c r="C199" s="24"/>
      <c r="D199" s="24"/>
      <c r="E199" s="24"/>
      <c r="F199" s="24"/>
    </row>
    <row r="200" spans="1:6" x14ac:dyDescent="0.3">
      <c r="A200" s="24"/>
      <c r="B200" s="24"/>
      <c r="C200" s="24"/>
      <c r="D200" s="24"/>
      <c r="E200" s="24"/>
      <c r="F200" s="24"/>
    </row>
    <row r="201" spans="1:6" x14ac:dyDescent="0.3">
      <c r="A201" s="24"/>
      <c r="B201" s="24"/>
      <c r="C201" s="24"/>
      <c r="D201" s="24"/>
      <c r="E201" s="24"/>
      <c r="F201" s="24"/>
    </row>
    <row r="202" spans="1:6" x14ac:dyDescent="0.3">
      <c r="A202" s="24"/>
      <c r="B202" s="24"/>
      <c r="C202" s="24"/>
      <c r="D202" s="24"/>
      <c r="E202" s="24"/>
      <c r="F202" s="24"/>
    </row>
    <row r="203" spans="1:6" x14ac:dyDescent="0.3">
      <c r="A203" s="24"/>
      <c r="B203" s="24"/>
      <c r="C203" s="24"/>
      <c r="D203" s="24"/>
      <c r="E203" s="24"/>
      <c r="F203" s="24"/>
    </row>
    <row r="204" spans="1:6" x14ac:dyDescent="0.3">
      <c r="A204" s="24"/>
      <c r="B204" s="24"/>
      <c r="C204" s="24"/>
      <c r="D204" s="24"/>
      <c r="E204" s="24"/>
      <c r="F204" s="24"/>
    </row>
    <row r="205" spans="1:6" x14ac:dyDescent="0.3">
      <c r="A205" s="24"/>
      <c r="B205" s="24"/>
      <c r="C205" s="24"/>
      <c r="D205" s="24"/>
      <c r="E205" s="24"/>
      <c r="F205" s="24"/>
    </row>
    <row r="206" spans="1:6" x14ac:dyDescent="0.3">
      <c r="A206" s="24"/>
      <c r="B206" s="24"/>
      <c r="C206" s="24"/>
      <c r="D206" s="24"/>
      <c r="E206" s="24"/>
      <c r="F206" s="24"/>
    </row>
    <row r="207" spans="1:6" x14ac:dyDescent="0.3">
      <c r="A207" s="24"/>
      <c r="B207" s="24"/>
      <c r="C207" s="24"/>
      <c r="D207" s="24"/>
      <c r="E207" s="24"/>
      <c r="F207" s="24"/>
    </row>
    <row r="208" spans="1:6" x14ac:dyDescent="0.3">
      <c r="A208" s="24"/>
      <c r="B208" s="24"/>
      <c r="C208" s="24"/>
      <c r="D208" s="24"/>
      <c r="E208" s="24"/>
      <c r="F208" s="24"/>
    </row>
    <row r="209" spans="1:6" x14ac:dyDescent="0.3">
      <c r="A209" s="24"/>
      <c r="B209" s="24"/>
      <c r="C209" s="24"/>
      <c r="D209" s="24"/>
      <c r="E209" s="24"/>
      <c r="F209" s="24"/>
    </row>
    <row r="210" spans="1:6" x14ac:dyDescent="0.3">
      <c r="A210" s="24"/>
      <c r="B210" s="24"/>
      <c r="C210" s="24"/>
      <c r="D210" s="24"/>
      <c r="E210" s="24"/>
      <c r="F210" s="24"/>
    </row>
    <row r="211" spans="1:6" x14ac:dyDescent="0.3">
      <c r="A211" s="24"/>
      <c r="B211" s="24"/>
      <c r="C211" s="24"/>
      <c r="D211" s="24"/>
      <c r="E211" s="24"/>
      <c r="F211" s="24"/>
    </row>
    <row r="212" spans="1:6" x14ac:dyDescent="0.3">
      <c r="A212" s="24"/>
      <c r="B212" s="24"/>
      <c r="C212" s="24"/>
      <c r="D212" s="24"/>
      <c r="E212" s="24"/>
      <c r="F212" s="24"/>
    </row>
    <row r="213" spans="1:6" x14ac:dyDescent="0.3">
      <c r="A213" s="24"/>
      <c r="B213" s="24"/>
      <c r="C213" s="24"/>
      <c r="D213" s="24"/>
      <c r="E213" s="24"/>
      <c r="F213" s="24"/>
    </row>
    <row r="214" spans="1:6" x14ac:dyDescent="0.3">
      <c r="A214" s="24"/>
      <c r="B214" s="24"/>
      <c r="C214" s="24"/>
      <c r="D214" s="24"/>
      <c r="E214" s="24"/>
      <c r="F214" s="24"/>
    </row>
    <row r="215" spans="1:6" x14ac:dyDescent="0.3">
      <c r="A215" s="24"/>
      <c r="B215" s="24"/>
      <c r="C215" s="24"/>
      <c r="D215" s="24"/>
      <c r="E215" s="24"/>
      <c r="F215" s="24"/>
    </row>
    <row r="216" spans="1:6" x14ac:dyDescent="0.3">
      <c r="A216" s="24"/>
      <c r="B216" s="24"/>
      <c r="C216" s="24"/>
      <c r="D216" s="24"/>
      <c r="E216" s="24"/>
      <c r="F216" s="24"/>
    </row>
    <row r="217" spans="1:6" x14ac:dyDescent="0.3">
      <c r="A217" s="24"/>
      <c r="B217" s="24"/>
      <c r="C217" s="24"/>
      <c r="D217" s="24"/>
      <c r="E217" s="24"/>
      <c r="F217" s="24"/>
    </row>
    <row r="218" spans="1:6" x14ac:dyDescent="0.3">
      <c r="A218" s="24"/>
      <c r="B218" s="24"/>
      <c r="C218" s="24"/>
      <c r="D218" s="24"/>
      <c r="E218" s="24"/>
      <c r="F218" s="24"/>
    </row>
    <row r="219" spans="1:6" x14ac:dyDescent="0.3">
      <c r="A219" s="24"/>
      <c r="B219" s="24"/>
      <c r="C219" s="24"/>
      <c r="D219" s="24"/>
      <c r="E219" s="24"/>
      <c r="F219" s="24"/>
    </row>
    <row r="220" spans="1:6" x14ac:dyDescent="0.3">
      <c r="A220" s="24"/>
      <c r="B220" s="24"/>
      <c r="C220" s="24"/>
      <c r="D220" s="24"/>
      <c r="E220" s="24"/>
      <c r="F220" s="24"/>
    </row>
    <row r="221" spans="1:6" x14ac:dyDescent="0.3">
      <c r="A221" s="24"/>
      <c r="B221" s="24"/>
      <c r="C221" s="24"/>
      <c r="D221" s="24"/>
      <c r="E221" s="24"/>
      <c r="F221" s="24"/>
    </row>
    <row r="222" spans="1:6" x14ac:dyDescent="0.3">
      <c r="A222" s="24"/>
      <c r="B222" s="24"/>
      <c r="C222" s="24"/>
      <c r="D222" s="24"/>
      <c r="E222" s="24"/>
      <c r="F222" s="24"/>
    </row>
    <row r="223" spans="1:6" x14ac:dyDescent="0.3">
      <c r="A223" s="24"/>
      <c r="B223" s="24"/>
      <c r="C223" s="24"/>
      <c r="D223" s="24"/>
      <c r="E223" s="24"/>
      <c r="F223" s="24"/>
    </row>
    <row r="224" spans="1:6" x14ac:dyDescent="0.3">
      <c r="A224" s="24"/>
      <c r="B224" s="24"/>
      <c r="C224" s="24"/>
      <c r="D224" s="24"/>
      <c r="E224" s="24"/>
      <c r="F224" s="24"/>
    </row>
    <row r="225" spans="1:6" x14ac:dyDescent="0.3">
      <c r="A225" s="24"/>
      <c r="B225" s="24"/>
      <c r="C225" s="24"/>
      <c r="D225" s="24"/>
      <c r="E225" s="24"/>
      <c r="F225" s="24"/>
    </row>
    <row r="226" spans="1:6" x14ac:dyDescent="0.3">
      <c r="A226" s="24"/>
      <c r="B226" s="24"/>
      <c r="C226" s="24"/>
      <c r="D226" s="24"/>
      <c r="E226" s="24"/>
      <c r="F226" s="24"/>
    </row>
    <row r="227" spans="1:6" x14ac:dyDescent="0.3">
      <c r="A227" s="24"/>
      <c r="B227" s="24"/>
      <c r="C227" s="24"/>
      <c r="D227" s="24"/>
      <c r="E227" s="24"/>
      <c r="F227" s="24"/>
    </row>
    <row r="228" spans="1:6" x14ac:dyDescent="0.3">
      <c r="A228" s="24"/>
      <c r="B228" s="24"/>
      <c r="C228" s="24"/>
      <c r="D228" s="24"/>
      <c r="E228" s="24"/>
      <c r="F228" s="24"/>
    </row>
    <row r="229" spans="1:6" x14ac:dyDescent="0.3">
      <c r="A229" s="24"/>
      <c r="B229" s="24"/>
      <c r="C229" s="24"/>
      <c r="D229" s="24"/>
      <c r="E229" s="24"/>
      <c r="F229" s="24"/>
    </row>
    <row r="230" spans="1:6" x14ac:dyDescent="0.3">
      <c r="A230" s="24"/>
      <c r="B230" s="24"/>
      <c r="C230" s="24"/>
      <c r="D230" s="24"/>
      <c r="E230" s="24"/>
      <c r="F230" s="24"/>
    </row>
    <row r="231" spans="1:6" x14ac:dyDescent="0.3">
      <c r="A231" s="24"/>
      <c r="B231" s="24"/>
      <c r="C231" s="24"/>
      <c r="D231" s="24"/>
      <c r="E231" s="24"/>
      <c r="F231" s="24"/>
    </row>
    <row r="232" spans="1:6" x14ac:dyDescent="0.3">
      <c r="A232" s="24"/>
      <c r="B232" s="24"/>
      <c r="C232" s="24"/>
      <c r="D232" s="24"/>
      <c r="E232" s="24"/>
      <c r="F232" s="24"/>
    </row>
    <row r="233" spans="1:6" x14ac:dyDescent="0.3">
      <c r="A233" s="24"/>
      <c r="B233" s="24"/>
      <c r="C233" s="24"/>
      <c r="D233" s="24"/>
      <c r="E233" s="24"/>
      <c r="F233" s="24"/>
    </row>
    <row r="234" spans="1:6" x14ac:dyDescent="0.3">
      <c r="A234" s="24"/>
      <c r="B234" s="24"/>
      <c r="C234" s="24"/>
      <c r="D234" s="24"/>
      <c r="E234" s="24"/>
      <c r="F234" s="24"/>
    </row>
    <row r="235" spans="1:6" x14ac:dyDescent="0.3">
      <c r="A235" s="24"/>
      <c r="B235" s="24"/>
      <c r="C235" s="24"/>
      <c r="D235" s="24"/>
      <c r="E235" s="24"/>
      <c r="F235" s="24"/>
    </row>
    <row r="236" spans="1:6" x14ac:dyDescent="0.3">
      <c r="A236" s="24"/>
      <c r="B236" s="24"/>
      <c r="C236" s="24"/>
      <c r="D236" s="24"/>
      <c r="E236" s="24"/>
      <c r="F236" s="24"/>
    </row>
    <row r="237" spans="1:6" x14ac:dyDescent="0.3">
      <c r="A237" s="24"/>
      <c r="B237" s="24"/>
      <c r="C237" s="24"/>
      <c r="D237" s="24"/>
      <c r="E237" s="24"/>
      <c r="F237" s="24"/>
    </row>
    <row r="238" spans="1:6" x14ac:dyDescent="0.3">
      <c r="A238" s="24"/>
      <c r="B238" s="24"/>
      <c r="C238" s="24"/>
      <c r="D238" s="24"/>
      <c r="E238" s="24"/>
      <c r="F238" s="24"/>
    </row>
    <row r="239" spans="1:6" x14ac:dyDescent="0.3">
      <c r="A239" s="24"/>
      <c r="B239" s="24"/>
      <c r="C239" s="24"/>
      <c r="D239" s="24"/>
      <c r="E239" s="24"/>
      <c r="F239" s="24"/>
    </row>
    <row r="240" spans="1:6" x14ac:dyDescent="0.3">
      <c r="A240" s="24"/>
      <c r="B240" s="24"/>
      <c r="C240" s="24"/>
      <c r="D240" s="24"/>
      <c r="E240" s="24"/>
      <c r="F240" s="24"/>
    </row>
    <row r="241" spans="1:6" x14ac:dyDescent="0.3">
      <c r="A241" s="24"/>
      <c r="B241" s="24"/>
      <c r="C241" s="24"/>
      <c r="D241" s="24"/>
      <c r="E241" s="24"/>
      <c r="F241" s="24"/>
    </row>
    <row r="242" spans="1:6" x14ac:dyDescent="0.3">
      <c r="A242" s="24"/>
      <c r="B242" s="24"/>
      <c r="C242" s="24"/>
      <c r="D242" s="24"/>
      <c r="E242" s="24"/>
      <c r="F242" s="24"/>
    </row>
    <row r="243" spans="1:6" x14ac:dyDescent="0.3">
      <c r="A243" s="24"/>
      <c r="B243" s="24"/>
      <c r="C243" s="24"/>
      <c r="D243" s="24"/>
      <c r="E243" s="24"/>
      <c r="F243" s="24"/>
    </row>
    <row r="244" spans="1:6" x14ac:dyDescent="0.3">
      <c r="A244" s="24"/>
      <c r="B244" s="24"/>
      <c r="C244" s="24"/>
      <c r="D244" s="24"/>
      <c r="E244" s="24"/>
      <c r="F244" s="24"/>
    </row>
    <row r="245" spans="1:6" x14ac:dyDescent="0.3">
      <c r="A245" s="24"/>
      <c r="B245" s="24"/>
      <c r="C245" s="24"/>
      <c r="D245" s="24"/>
      <c r="E245" s="24"/>
      <c r="F245" s="24"/>
    </row>
    <row r="246" spans="1:6" x14ac:dyDescent="0.3">
      <c r="A246" s="24"/>
      <c r="B246" s="24"/>
      <c r="C246" s="24"/>
      <c r="D246" s="24"/>
      <c r="E246" s="24"/>
      <c r="F246" s="24"/>
    </row>
    <row r="247" spans="1:6" x14ac:dyDescent="0.3">
      <c r="A247" s="24"/>
      <c r="B247" s="24"/>
      <c r="C247" s="24"/>
      <c r="D247" s="24"/>
      <c r="E247" s="24"/>
      <c r="F247" s="24"/>
    </row>
    <row r="248" spans="1:6" x14ac:dyDescent="0.3">
      <c r="A248" s="24"/>
      <c r="B248" s="24"/>
      <c r="C248" s="24"/>
      <c r="D248" s="24"/>
      <c r="E248" s="24"/>
      <c r="F248" s="24"/>
    </row>
    <row r="249" spans="1:6" x14ac:dyDescent="0.3">
      <c r="A249" s="24"/>
      <c r="B249" s="24"/>
      <c r="C249" s="24"/>
      <c r="D249" s="24"/>
      <c r="E249" s="24"/>
      <c r="F249" s="24"/>
    </row>
    <row r="250" spans="1:6" x14ac:dyDescent="0.3">
      <c r="A250" s="24"/>
      <c r="B250" s="24"/>
      <c r="C250" s="24"/>
      <c r="D250" s="24"/>
      <c r="E250" s="24"/>
      <c r="F250" s="24"/>
    </row>
    <row r="251" spans="1:6" x14ac:dyDescent="0.3">
      <c r="A251" s="24"/>
      <c r="B251" s="24"/>
      <c r="C251" s="24"/>
      <c r="D251" s="24"/>
      <c r="E251" s="24"/>
      <c r="F251" s="24"/>
    </row>
    <row r="252" spans="1:6" x14ac:dyDescent="0.3">
      <c r="A252" s="24"/>
      <c r="B252" s="24"/>
      <c r="C252" s="24"/>
      <c r="D252" s="24"/>
      <c r="E252" s="24"/>
      <c r="F252" s="24"/>
    </row>
    <row r="253" spans="1:6" x14ac:dyDescent="0.3">
      <c r="A253" s="24"/>
      <c r="B253" s="24"/>
      <c r="C253" s="24"/>
      <c r="D253" s="24"/>
      <c r="E253" s="24"/>
      <c r="F253" s="24"/>
    </row>
    <row r="254" spans="1:6" x14ac:dyDescent="0.3">
      <c r="A254" s="24"/>
      <c r="B254" s="24"/>
      <c r="C254" s="24"/>
      <c r="D254" s="24"/>
      <c r="E254" s="24"/>
      <c r="F254" s="24"/>
    </row>
    <row r="255" spans="1:6" x14ac:dyDescent="0.3">
      <c r="A255" s="24"/>
      <c r="B255" s="24"/>
      <c r="C255" s="24"/>
      <c r="D255" s="24"/>
      <c r="E255" s="24"/>
      <c r="F255" s="24"/>
    </row>
    <row r="256" spans="1:6" x14ac:dyDescent="0.3">
      <c r="A256" s="24"/>
      <c r="B256" s="24"/>
      <c r="C256" s="24"/>
      <c r="D256" s="24"/>
      <c r="E256" s="24"/>
      <c r="F256" s="24"/>
    </row>
    <row r="257" spans="1:6" x14ac:dyDescent="0.3">
      <c r="A257" s="24"/>
      <c r="B257" s="24"/>
      <c r="C257" s="24"/>
      <c r="D257" s="24"/>
      <c r="E257" s="24"/>
      <c r="F257" s="24"/>
    </row>
    <row r="258" spans="1:6" x14ac:dyDescent="0.3">
      <c r="A258" s="24"/>
      <c r="B258" s="24"/>
      <c r="C258" s="24"/>
      <c r="D258" s="24"/>
      <c r="E258" s="24"/>
      <c r="F258" s="24"/>
    </row>
    <row r="259" spans="1:6" x14ac:dyDescent="0.3">
      <c r="A259" s="24"/>
      <c r="B259" s="24"/>
      <c r="C259" s="24"/>
      <c r="D259" s="24"/>
      <c r="E259" s="24"/>
      <c r="F259" s="24"/>
    </row>
    <row r="260" spans="1:6" x14ac:dyDescent="0.3">
      <c r="A260" s="24"/>
      <c r="B260" s="24"/>
      <c r="C260" s="24"/>
      <c r="D260" s="24"/>
      <c r="E260" s="24"/>
      <c r="F260" s="24"/>
    </row>
    <row r="261" spans="1:6" x14ac:dyDescent="0.3">
      <c r="A261" s="24"/>
      <c r="B261" s="24"/>
      <c r="C261" s="24"/>
      <c r="D261" s="24"/>
      <c r="E261" s="24"/>
      <c r="F261" s="24"/>
    </row>
    <row r="262" spans="1:6" x14ac:dyDescent="0.3">
      <c r="A262" s="24"/>
      <c r="B262" s="24"/>
      <c r="C262" s="24"/>
      <c r="D262" s="24"/>
      <c r="E262" s="24"/>
      <c r="F262" s="24"/>
    </row>
    <row r="263" spans="1:6" x14ac:dyDescent="0.3">
      <c r="A263" s="24"/>
      <c r="B263" s="24"/>
      <c r="C263" s="24"/>
      <c r="D263" s="24"/>
      <c r="E263" s="24"/>
      <c r="F263" s="24"/>
    </row>
    <row r="264" spans="1:6" x14ac:dyDescent="0.3">
      <c r="A264" s="24"/>
      <c r="B264" s="24"/>
      <c r="C264" s="24"/>
      <c r="D264" s="24"/>
      <c r="E264" s="24"/>
      <c r="F264" s="24"/>
    </row>
    <row r="265" spans="1:6" x14ac:dyDescent="0.3">
      <c r="A265" s="24"/>
      <c r="B265" s="24"/>
      <c r="C265" s="24"/>
      <c r="D265" s="24"/>
      <c r="E265" s="24"/>
      <c r="F265" s="24"/>
    </row>
    <row r="266" spans="1:6" x14ac:dyDescent="0.3">
      <c r="A266" s="24"/>
      <c r="B266" s="24"/>
      <c r="C266" s="24"/>
      <c r="D266" s="24"/>
      <c r="E266" s="24"/>
      <c r="F266" s="24"/>
    </row>
    <row r="267" spans="1:6" x14ac:dyDescent="0.3">
      <c r="A267" s="24"/>
      <c r="B267" s="24"/>
      <c r="C267" s="24"/>
      <c r="D267" s="24"/>
      <c r="E267" s="24"/>
      <c r="F267" s="24"/>
    </row>
    <row r="268" spans="1:6" x14ac:dyDescent="0.3">
      <c r="A268" s="24"/>
      <c r="B268" s="24"/>
      <c r="C268" s="24"/>
      <c r="D268" s="24"/>
      <c r="E268" s="24"/>
      <c r="F268" s="24"/>
    </row>
    <row r="269" spans="1:6" x14ac:dyDescent="0.3">
      <c r="A269" s="24"/>
      <c r="B269" s="24"/>
      <c r="C269" s="24"/>
      <c r="D269" s="24"/>
      <c r="E269" s="24"/>
      <c r="F269" s="24"/>
    </row>
    <row r="270" spans="1:6" x14ac:dyDescent="0.3">
      <c r="A270" s="24"/>
      <c r="B270" s="24"/>
      <c r="C270" s="24"/>
      <c r="D270" s="24"/>
      <c r="E270" s="24"/>
      <c r="F270" s="24"/>
    </row>
    <row r="271" spans="1:6" x14ac:dyDescent="0.3">
      <c r="A271" s="24"/>
      <c r="B271" s="24"/>
      <c r="C271" s="24"/>
      <c r="D271" s="24"/>
      <c r="E271" s="24"/>
      <c r="F271" s="24"/>
    </row>
    <row r="272" spans="1:6" x14ac:dyDescent="0.3">
      <c r="A272" s="24"/>
      <c r="B272" s="24"/>
      <c r="C272" s="24"/>
      <c r="D272" s="24"/>
      <c r="E272" s="24"/>
      <c r="F272" s="24"/>
    </row>
    <row r="273" spans="1:6" x14ac:dyDescent="0.3">
      <c r="A273" s="24"/>
      <c r="B273" s="24"/>
      <c r="C273" s="24"/>
      <c r="D273" s="24"/>
      <c r="E273" s="24"/>
      <c r="F273" s="24"/>
    </row>
    <row r="274" spans="1:6" x14ac:dyDescent="0.3">
      <c r="A274" s="24"/>
      <c r="B274" s="24"/>
      <c r="C274" s="24"/>
      <c r="D274" s="24"/>
      <c r="E274" s="24"/>
      <c r="F274" s="24"/>
    </row>
    <row r="275" spans="1:6" x14ac:dyDescent="0.3">
      <c r="A275" s="24"/>
      <c r="B275" s="24"/>
      <c r="C275" s="24"/>
      <c r="D275" s="24"/>
      <c r="E275" s="24"/>
      <c r="F275" s="24"/>
    </row>
    <row r="276" spans="1:6" x14ac:dyDescent="0.3">
      <c r="A276" s="24"/>
      <c r="B276" s="24"/>
      <c r="C276" s="24"/>
      <c r="D276" s="24"/>
      <c r="E276" s="24"/>
      <c r="F276" s="24"/>
    </row>
    <row r="277" spans="1:6" x14ac:dyDescent="0.3">
      <c r="A277" s="24"/>
      <c r="B277" s="24"/>
      <c r="C277" s="24"/>
      <c r="D277" s="24"/>
      <c r="E277" s="24"/>
      <c r="F277" s="24"/>
    </row>
    <row r="278" spans="1:6" x14ac:dyDescent="0.3">
      <c r="A278" s="24"/>
      <c r="B278" s="24"/>
      <c r="C278" s="24"/>
      <c r="D278" s="24"/>
      <c r="E278" s="24"/>
      <c r="F278" s="24"/>
    </row>
    <row r="279" spans="1:6" x14ac:dyDescent="0.3">
      <c r="A279" s="24"/>
      <c r="B279" s="24"/>
      <c r="C279" s="24"/>
      <c r="D279" s="24"/>
      <c r="E279" s="24"/>
      <c r="F279" s="24"/>
    </row>
    <row r="280" spans="1:6" x14ac:dyDescent="0.3">
      <c r="A280" s="24"/>
      <c r="B280" s="24"/>
      <c r="C280" s="24"/>
      <c r="D280" s="24"/>
      <c r="E280" s="24"/>
      <c r="F280" s="24"/>
    </row>
    <row r="281" spans="1:6" x14ac:dyDescent="0.3">
      <c r="A281" s="24"/>
      <c r="B281" s="24"/>
      <c r="C281" s="24"/>
      <c r="D281" s="24"/>
      <c r="E281" s="24"/>
      <c r="F281" s="24"/>
    </row>
    <row r="282" spans="1:6" x14ac:dyDescent="0.3">
      <c r="A282" s="24"/>
      <c r="B282" s="24"/>
      <c r="C282" s="24"/>
      <c r="D282" s="24"/>
      <c r="E282" s="24"/>
      <c r="F282" s="24"/>
    </row>
    <row r="283" spans="1:6" x14ac:dyDescent="0.3">
      <c r="A283" s="24"/>
      <c r="B283" s="24"/>
      <c r="C283" s="24"/>
      <c r="D283" s="24"/>
      <c r="E283" s="24"/>
      <c r="F283" s="24"/>
    </row>
    <row r="284" spans="1:6" x14ac:dyDescent="0.3">
      <c r="A284" s="24"/>
      <c r="B284" s="24"/>
      <c r="C284" s="24"/>
      <c r="D284" s="24"/>
      <c r="E284" s="24"/>
      <c r="F284" s="24"/>
    </row>
    <row r="285" spans="1:6" x14ac:dyDescent="0.3">
      <c r="A285" s="24"/>
      <c r="B285" s="24"/>
      <c r="C285" s="24"/>
      <c r="D285" s="24"/>
      <c r="E285" s="24"/>
      <c r="F285" s="24"/>
    </row>
    <row r="286" spans="1:6" x14ac:dyDescent="0.3">
      <c r="A286" s="24"/>
      <c r="B286" s="24"/>
      <c r="C286" s="24"/>
      <c r="D286" s="24"/>
      <c r="E286" s="24"/>
      <c r="F286" s="24"/>
    </row>
    <row r="287" spans="1:6" x14ac:dyDescent="0.3">
      <c r="A287" s="24"/>
      <c r="B287" s="24"/>
      <c r="C287" s="24"/>
      <c r="D287" s="24"/>
      <c r="E287" s="24"/>
      <c r="F287" s="24"/>
    </row>
    <row r="288" spans="1:6" x14ac:dyDescent="0.3">
      <c r="A288" s="24"/>
      <c r="B288" s="24"/>
      <c r="C288" s="24"/>
      <c r="D288" s="24"/>
      <c r="E288" s="24"/>
      <c r="F288" s="24"/>
    </row>
    <row r="289" spans="1:6" x14ac:dyDescent="0.3">
      <c r="A289" s="24"/>
      <c r="B289" s="24"/>
      <c r="C289" s="24"/>
      <c r="D289" s="24"/>
      <c r="E289" s="24"/>
      <c r="F289" s="24"/>
    </row>
    <row r="290" spans="1:6" x14ac:dyDescent="0.3">
      <c r="A290" s="24"/>
      <c r="B290" s="24"/>
      <c r="C290" s="24"/>
      <c r="D290" s="24"/>
      <c r="E290" s="24"/>
      <c r="F290" s="24"/>
    </row>
    <row r="291" spans="1:6" x14ac:dyDescent="0.3">
      <c r="A291" s="24"/>
      <c r="B291" s="24"/>
      <c r="C291" s="24"/>
      <c r="D291" s="24"/>
      <c r="E291" s="24"/>
      <c r="F291" s="24"/>
    </row>
    <row r="292" spans="1:6" x14ac:dyDescent="0.3">
      <c r="A292" s="24"/>
      <c r="B292" s="24"/>
      <c r="C292" s="24"/>
      <c r="D292" s="24"/>
      <c r="E292" s="24"/>
      <c r="F292" s="24"/>
    </row>
    <row r="293" spans="1:6" x14ac:dyDescent="0.3">
      <c r="A293" s="24"/>
      <c r="B293" s="24"/>
      <c r="C293" s="24"/>
      <c r="D293" s="24"/>
      <c r="E293" s="24"/>
      <c r="F293" s="24"/>
    </row>
    <row r="294" spans="1:6" x14ac:dyDescent="0.3">
      <c r="A294" s="24"/>
      <c r="B294" s="24"/>
      <c r="C294" s="24"/>
      <c r="D294" s="24"/>
      <c r="E294" s="24"/>
      <c r="F294" s="24"/>
    </row>
    <row r="295" spans="1:6" x14ac:dyDescent="0.3">
      <c r="A295" s="24"/>
      <c r="B295" s="24"/>
      <c r="C295" s="24"/>
      <c r="D295" s="24"/>
      <c r="E295" s="24"/>
      <c r="F295" s="24"/>
    </row>
    <row r="296" spans="1:6" x14ac:dyDescent="0.3">
      <c r="A296" s="24"/>
      <c r="B296" s="24"/>
      <c r="C296" s="24"/>
      <c r="D296" s="24"/>
      <c r="E296" s="24"/>
      <c r="F296" s="24"/>
    </row>
    <row r="297" spans="1:6" x14ac:dyDescent="0.3">
      <c r="A297" s="24"/>
      <c r="B297" s="24"/>
      <c r="C297" s="24"/>
      <c r="D297" s="24"/>
      <c r="E297" s="24"/>
      <c r="F297" s="24"/>
    </row>
    <row r="298" spans="1:6" x14ac:dyDescent="0.3">
      <c r="A298" s="24"/>
      <c r="B298" s="24"/>
      <c r="C298" s="24"/>
      <c r="D298" s="24"/>
      <c r="E298" s="24"/>
      <c r="F298" s="24"/>
    </row>
    <row r="299" spans="1:6" x14ac:dyDescent="0.3">
      <c r="A299" s="24"/>
      <c r="B299" s="24"/>
      <c r="C299" s="24"/>
      <c r="D299" s="24"/>
      <c r="E299" s="24"/>
      <c r="F299" s="24"/>
    </row>
    <row r="300" spans="1:6" x14ac:dyDescent="0.3">
      <c r="A300" s="24"/>
      <c r="B300" s="24"/>
      <c r="C300" s="24"/>
      <c r="D300" s="24"/>
      <c r="E300" s="24"/>
      <c r="F300" s="24"/>
    </row>
    <row r="301" spans="1:6" x14ac:dyDescent="0.3">
      <c r="A301" s="24"/>
      <c r="B301" s="24"/>
      <c r="C301" s="24"/>
      <c r="D301" s="24"/>
      <c r="E301" s="24"/>
      <c r="F301" s="24"/>
    </row>
    <row r="302" spans="1:6" x14ac:dyDescent="0.3">
      <c r="A302" s="24"/>
      <c r="B302" s="24"/>
      <c r="C302" s="24"/>
      <c r="D302" s="24"/>
      <c r="E302" s="24"/>
      <c r="F302" s="24"/>
    </row>
    <row r="303" spans="1:6" x14ac:dyDescent="0.3">
      <c r="A303" s="24"/>
      <c r="B303" s="24"/>
      <c r="C303" s="24"/>
      <c r="D303" s="24"/>
      <c r="E303" s="24"/>
      <c r="F303" s="24"/>
    </row>
    <row r="304" spans="1:6" x14ac:dyDescent="0.3">
      <c r="A304" s="24"/>
      <c r="B304" s="24"/>
      <c r="C304" s="24"/>
      <c r="D304" s="24"/>
      <c r="E304" s="24"/>
      <c r="F304" s="24"/>
    </row>
    <row r="305" spans="1:6" x14ac:dyDescent="0.3">
      <c r="A305" s="24"/>
      <c r="B305" s="24"/>
      <c r="C305" s="24"/>
      <c r="D305" s="24"/>
      <c r="E305" s="24"/>
      <c r="F305" s="24"/>
    </row>
    <row r="306" spans="1:6" x14ac:dyDescent="0.3">
      <c r="A306" s="24"/>
      <c r="B306" s="24"/>
      <c r="C306" s="24"/>
      <c r="D306" s="24"/>
      <c r="E306" s="24"/>
      <c r="F306" s="24"/>
    </row>
    <row r="307" spans="1:6" x14ac:dyDescent="0.3">
      <c r="A307" s="24"/>
      <c r="B307" s="24"/>
      <c r="C307" s="24"/>
      <c r="D307" s="24"/>
      <c r="E307" s="24"/>
      <c r="F307" s="24"/>
    </row>
    <row r="308" spans="1:6" x14ac:dyDescent="0.3">
      <c r="A308" s="24"/>
      <c r="B308" s="24"/>
      <c r="C308" s="24"/>
      <c r="D308" s="24"/>
      <c r="E308" s="24"/>
      <c r="F308" s="24"/>
    </row>
    <row r="309" spans="1:6" x14ac:dyDescent="0.3">
      <c r="A309" s="24"/>
      <c r="B309" s="24"/>
      <c r="C309" s="24"/>
      <c r="D309" s="24"/>
      <c r="E309" s="24"/>
      <c r="F309" s="24"/>
    </row>
    <row r="310" spans="1:6" x14ac:dyDescent="0.3">
      <c r="A310" s="24"/>
      <c r="B310" s="24"/>
      <c r="C310" s="24"/>
      <c r="D310" s="24"/>
      <c r="E310" s="24"/>
      <c r="F310" s="24"/>
    </row>
    <row r="311" spans="1:6" x14ac:dyDescent="0.3">
      <c r="A311" s="24"/>
      <c r="B311" s="24"/>
      <c r="C311" s="24"/>
      <c r="D311" s="24"/>
      <c r="E311" s="24"/>
      <c r="F311" s="24"/>
    </row>
    <row r="312" spans="1:6" x14ac:dyDescent="0.3">
      <c r="A312" s="24"/>
      <c r="B312" s="24"/>
      <c r="C312" s="24"/>
      <c r="D312" s="24"/>
      <c r="E312" s="24"/>
      <c r="F312" s="24"/>
    </row>
    <row r="313" spans="1:6" x14ac:dyDescent="0.3">
      <c r="A313" s="24"/>
      <c r="B313" s="24"/>
      <c r="C313" s="24"/>
      <c r="D313" s="24"/>
      <c r="E313" s="24"/>
      <c r="F313" s="24"/>
    </row>
    <row r="314" spans="1:6" x14ac:dyDescent="0.3">
      <c r="A314" s="24"/>
      <c r="B314" s="24"/>
      <c r="C314" s="24"/>
      <c r="D314" s="24"/>
      <c r="E314" s="24"/>
      <c r="F314" s="24"/>
    </row>
    <row r="315" spans="1:6" x14ac:dyDescent="0.3">
      <c r="A315" s="24"/>
      <c r="B315" s="24"/>
      <c r="C315" s="24"/>
      <c r="D315" s="24"/>
      <c r="E315" s="24"/>
      <c r="F315" s="24"/>
    </row>
    <row r="316" spans="1:6" x14ac:dyDescent="0.3">
      <c r="A316" s="24"/>
      <c r="B316" s="24"/>
      <c r="C316" s="24"/>
      <c r="D316" s="24"/>
      <c r="E316" s="24"/>
      <c r="F316" s="24"/>
    </row>
    <row r="317" spans="1:6" x14ac:dyDescent="0.3">
      <c r="A317" s="24"/>
      <c r="B317" s="24"/>
      <c r="C317" s="24"/>
      <c r="D317" s="24"/>
      <c r="E317" s="24"/>
      <c r="F317" s="24"/>
    </row>
    <row r="318" spans="1:6" x14ac:dyDescent="0.3">
      <c r="A318" s="24"/>
      <c r="B318" s="24"/>
      <c r="C318" s="24"/>
      <c r="D318" s="24"/>
      <c r="E318" s="24"/>
      <c r="F318" s="24"/>
    </row>
    <row r="319" spans="1:6" x14ac:dyDescent="0.3">
      <c r="A319" s="24"/>
      <c r="B319" s="24"/>
      <c r="C319" s="24"/>
      <c r="D319" s="24"/>
      <c r="E319" s="24"/>
      <c r="F319" s="24"/>
    </row>
    <row r="320" spans="1:6" x14ac:dyDescent="0.3">
      <c r="A320" s="24"/>
      <c r="B320" s="24"/>
      <c r="C320" s="24"/>
      <c r="D320" s="24"/>
      <c r="E320" s="24"/>
      <c r="F320" s="24"/>
    </row>
    <row r="321" spans="1:6" x14ac:dyDescent="0.3">
      <c r="A321" s="24"/>
      <c r="B321" s="24"/>
      <c r="C321" s="24"/>
      <c r="D321" s="24"/>
      <c r="E321" s="24"/>
      <c r="F321" s="24"/>
    </row>
    <row r="322" spans="1:6" x14ac:dyDescent="0.3">
      <c r="A322" s="24"/>
      <c r="B322" s="24"/>
      <c r="C322" s="24"/>
      <c r="D322" s="24"/>
      <c r="E322" s="24"/>
      <c r="F322" s="24"/>
    </row>
    <row r="323" spans="1:6" x14ac:dyDescent="0.3">
      <c r="A323" s="24"/>
      <c r="B323" s="24"/>
      <c r="C323" s="24"/>
      <c r="D323" s="24"/>
      <c r="E323" s="24"/>
      <c r="F323" s="24"/>
    </row>
    <row r="324" spans="1:6" x14ac:dyDescent="0.3">
      <c r="A324" s="24"/>
      <c r="B324" s="24"/>
      <c r="C324" s="24"/>
      <c r="D324" s="24"/>
      <c r="E324" s="24"/>
      <c r="F324" s="24"/>
    </row>
    <row r="325" spans="1:6" x14ac:dyDescent="0.3">
      <c r="A325" s="24"/>
      <c r="B325" s="24"/>
      <c r="C325" s="24"/>
      <c r="D325" s="24"/>
      <c r="E325" s="24"/>
      <c r="F325" s="24"/>
    </row>
    <row r="326" spans="1:6" x14ac:dyDescent="0.3">
      <c r="A326" s="24"/>
      <c r="B326" s="24"/>
      <c r="C326" s="24"/>
      <c r="D326" s="24"/>
      <c r="E326" s="24"/>
      <c r="F326" s="24"/>
    </row>
    <row r="327" spans="1:6" x14ac:dyDescent="0.3">
      <c r="A327" s="24"/>
      <c r="B327" s="24"/>
      <c r="C327" s="24"/>
      <c r="D327" s="24"/>
      <c r="E327" s="24"/>
      <c r="F327" s="24"/>
    </row>
    <row r="328" spans="1:6" x14ac:dyDescent="0.3">
      <c r="A328" s="24"/>
      <c r="B328" s="24"/>
      <c r="C328" s="24"/>
      <c r="D328" s="24"/>
      <c r="E328" s="24"/>
      <c r="F328" s="24"/>
    </row>
    <row r="329" spans="1:6" x14ac:dyDescent="0.3">
      <c r="A329" s="24"/>
      <c r="B329" s="24"/>
      <c r="C329" s="24"/>
      <c r="D329" s="24"/>
      <c r="E329" s="24"/>
      <c r="F329" s="24"/>
    </row>
    <row r="330" spans="1:6" x14ac:dyDescent="0.3">
      <c r="A330" s="24"/>
      <c r="B330" s="24"/>
      <c r="C330" s="24"/>
      <c r="D330" s="24"/>
      <c r="E330" s="24"/>
      <c r="F330" s="24"/>
    </row>
    <row r="331" spans="1:6" x14ac:dyDescent="0.3">
      <c r="A331" s="24"/>
      <c r="B331" s="24"/>
      <c r="C331" s="24"/>
      <c r="D331" s="24"/>
      <c r="E331" s="24"/>
      <c r="F331" s="24"/>
    </row>
    <row r="332" spans="1:6" x14ac:dyDescent="0.3">
      <c r="A332" s="24"/>
      <c r="B332" s="24"/>
      <c r="C332" s="24"/>
      <c r="D332" s="24"/>
      <c r="E332" s="24"/>
      <c r="F332" s="24"/>
    </row>
    <row r="333" spans="1:6" x14ac:dyDescent="0.3">
      <c r="A333" s="24"/>
      <c r="B333" s="24"/>
      <c r="C333" s="24"/>
      <c r="D333" s="24"/>
      <c r="E333" s="24"/>
      <c r="F333" s="24"/>
    </row>
    <row r="334" spans="1:6" x14ac:dyDescent="0.3">
      <c r="A334" s="24"/>
      <c r="B334" s="24"/>
      <c r="C334" s="24"/>
      <c r="D334" s="24"/>
      <c r="E334" s="24"/>
      <c r="F334" s="24"/>
    </row>
    <row r="335" spans="1:6" x14ac:dyDescent="0.3">
      <c r="A335" s="24"/>
      <c r="B335" s="24"/>
      <c r="C335" s="24"/>
      <c r="D335" s="24"/>
      <c r="E335" s="24"/>
      <c r="F335" s="24"/>
    </row>
    <row r="336" spans="1:6" x14ac:dyDescent="0.3">
      <c r="A336" s="24"/>
      <c r="B336" s="24"/>
      <c r="C336" s="24"/>
      <c r="D336" s="24"/>
      <c r="E336" s="24"/>
      <c r="F336" s="24"/>
    </row>
    <row r="337" spans="1:6" x14ac:dyDescent="0.3">
      <c r="A337" s="24"/>
      <c r="B337" s="24"/>
      <c r="C337" s="24"/>
      <c r="D337" s="24"/>
      <c r="E337" s="24"/>
      <c r="F337" s="24"/>
    </row>
    <row r="338" spans="1:6" x14ac:dyDescent="0.3">
      <c r="A338" s="24"/>
      <c r="B338" s="24"/>
      <c r="C338" s="24"/>
      <c r="D338" s="24"/>
      <c r="E338" s="24"/>
      <c r="F338" s="24"/>
    </row>
    <row r="339" spans="1:6" x14ac:dyDescent="0.3">
      <c r="A339" s="24"/>
      <c r="B339" s="24"/>
      <c r="C339" s="24"/>
      <c r="D339" s="24"/>
      <c r="E339" s="24"/>
      <c r="F339" s="24"/>
    </row>
    <row r="340" spans="1:6" x14ac:dyDescent="0.3">
      <c r="A340" s="24"/>
      <c r="B340" s="24"/>
      <c r="C340" s="24"/>
      <c r="D340" s="24"/>
      <c r="E340" s="24"/>
      <c r="F340" s="24"/>
    </row>
    <row r="341" spans="1:6" x14ac:dyDescent="0.3">
      <c r="A341" s="24"/>
      <c r="B341" s="24"/>
      <c r="C341" s="24"/>
      <c r="D341" s="24"/>
      <c r="E341" s="24"/>
      <c r="F341" s="24"/>
    </row>
    <row r="342" spans="1:6" x14ac:dyDescent="0.3">
      <c r="A342" s="24"/>
      <c r="B342" s="24"/>
      <c r="C342" s="24"/>
      <c r="D342" s="24"/>
      <c r="E342" s="24"/>
      <c r="F342" s="24"/>
    </row>
    <row r="343" spans="1:6" x14ac:dyDescent="0.3">
      <c r="A343" s="24"/>
      <c r="B343" s="24"/>
      <c r="C343" s="24"/>
      <c r="D343" s="24"/>
      <c r="E343" s="24"/>
      <c r="F343" s="24"/>
    </row>
    <row r="344" spans="1:6" x14ac:dyDescent="0.3">
      <c r="A344" s="24"/>
      <c r="B344" s="24"/>
      <c r="C344" s="24"/>
      <c r="D344" s="24"/>
      <c r="E344" s="24"/>
      <c r="F344" s="24"/>
    </row>
    <row r="345" spans="1:6" x14ac:dyDescent="0.3">
      <c r="A345" s="24"/>
      <c r="B345" s="24"/>
      <c r="C345" s="24"/>
      <c r="D345" s="24"/>
      <c r="E345" s="24"/>
      <c r="F345" s="24"/>
    </row>
    <row r="346" spans="1:6" x14ac:dyDescent="0.3">
      <c r="A346" s="24"/>
      <c r="B346" s="24"/>
      <c r="C346" s="24"/>
      <c r="D346" s="24"/>
      <c r="E346" s="24"/>
      <c r="F346" s="24"/>
    </row>
    <row r="347" spans="1:6" x14ac:dyDescent="0.3">
      <c r="A347" s="24"/>
      <c r="B347" s="24"/>
      <c r="C347" s="24"/>
      <c r="D347" s="24"/>
      <c r="E347" s="24"/>
      <c r="F347" s="24"/>
    </row>
    <row r="348" spans="1:6" x14ac:dyDescent="0.3">
      <c r="A348" s="24"/>
      <c r="B348" s="24"/>
      <c r="C348" s="24"/>
      <c r="D348" s="24"/>
      <c r="E348" s="24"/>
      <c r="F348" s="24"/>
    </row>
    <row r="349" spans="1:6" x14ac:dyDescent="0.3">
      <c r="A349" s="24"/>
      <c r="B349" s="24"/>
      <c r="C349" s="24"/>
      <c r="D349" s="24"/>
      <c r="E349" s="24"/>
      <c r="F349" s="24"/>
    </row>
    <row r="350" spans="1:6" x14ac:dyDescent="0.3">
      <c r="A350" s="24"/>
      <c r="B350" s="24"/>
      <c r="C350" s="24"/>
      <c r="D350" s="24"/>
      <c r="E350" s="24"/>
      <c r="F350" s="24"/>
    </row>
    <row r="351" spans="1:6" x14ac:dyDescent="0.3">
      <c r="A351" s="24"/>
      <c r="B351" s="24"/>
      <c r="C351" s="24"/>
      <c r="D351" s="24"/>
      <c r="E351" s="24"/>
      <c r="F351" s="24"/>
    </row>
    <row r="352" spans="1:6" x14ac:dyDescent="0.3">
      <c r="A352" s="24"/>
      <c r="B352" s="24"/>
      <c r="C352" s="24"/>
      <c r="D352" s="24"/>
      <c r="E352" s="24"/>
      <c r="F352" s="24"/>
    </row>
    <row r="353" spans="1:6" x14ac:dyDescent="0.3">
      <c r="A353" s="24"/>
      <c r="B353" s="24"/>
      <c r="C353" s="24"/>
      <c r="D353" s="24"/>
      <c r="E353" s="24"/>
      <c r="F353" s="24"/>
    </row>
    <row r="354" spans="1:6" x14ac:dyDescent="0.3">
      <c r="A354" s="24"/>
      <c r="B354" s="24"/>
      <c r="C354" s="24"/>
      <c r="D354" s="24"/>
      <c r="E354" s="24"/>
      <c r="F354" s="24"/>
    </row>
    <row r="355" spans="1:6" x14ac:dyDescent="0.3">
      <c r="A355" s="24"/>
      <c r="B355" s="24"/>
      <c r="C355" s="24"/>
      <c r="D355" s="24"/>
      <c r="E355" s="24"/>
      <c r="F355" s="24"/>
    </row>
    <row r="356" spans="1:6" x14ac:dyDescent="0.3">
      <c r="A356" s="24"/>
      <c r="B356" s="24"/>
      <c r="C356" s="24"/>
      <c r="D356" s="24"/>
      <c r="E356" s="24"/>
      <c r="F356" s="24"/>
    </row>
    <row r="357" spans="1:6" x14ac:dyDescent="0.3">
      <c r="A357" s="24"/>
      <c r="B357" s="24"/>
      <c r="C357" s="24"/>
      <c r="D357" s="24"/>
      <c r="E357" s="24"/>
      <c r="F357" s="24"/>
    </row>
    <row r="358" spans="1:6" x14ac:dyDescent="0.3">
      <c r="A358" s="24"/>
      <c r="B358" s="24"/>
      <c r="C358" s="24"/>
      <c r="D358" s="24"/>
      <c r="E358" s="24"/>
      <c r="F358" s="24"/>
    </row>
    <row r="359" spans="1:6" x14ac:dyDescent="0.3">
      <c r="A359" s="24"/>
      <c r="B359" s="24"/>
      <c r="C359" s="24"/>
      <c r="D359" s="24"/>
      <c r="E359" s="24"/>
      <c r="F359" s="24"/>
    </row>
    <row r="360" spans="1:6" x14ac:dyDescent="0.3">
      <c r="A360" s="24"/>
      <c r="B360" s="24"/>
      <c r="C360" s="24"/>
      <c r="D360" s="24"/>
      <c r="E360" s="24"/>
      <c r="F360" s="24"/>
    </row>
    <row r="361" spans="1:6" x14ac:dyDescent="0.3">
      <c r="A361" s="24"/>
      <c r="B361" s="24"/>
      <c r="C361" s="24"/>
      <c r="D361" s="24"/>
      <c r="E361" s="24"/>
      <c r="F361" s="24"/>
    </row>
    <row r="362" spans="1:6" x14ac:dyDescent="0.3">
      <c r="A362" s="24"/>
      <c r="B362" s="24"/>
      <c r="C362" s="24"/>
      <c r="D362" s="24"/>
      <c r="E362" s="24"/>
      <c r="F362" s="24"/>
    </row>
    <row r="363" spans="1:6" x14ac:dyDescent="0.3">
      <c r="A363" s="24"/>
      <c r="B363" s="24"/>
      <c r="C363" s="24"/>
      <c r="D363" s="24"/>
      <c r="E363" s="24"/>
      <c r="F363" s="24"/>
    </row>
    <row r="364" spans="1:6" x14ac:dyDescent="0.3">
      <c r="A364" s="24"/>
      <c r="B364" s="24"/>
      <c r="C364" s="24"/>
      <c r="D364" s="24"/>
      <c r="E364" s="24"/>
      <c r="F364" s="24"/>
    </row>
    <row r="365" spans="1:6" x14ac:dyDescent="0.3">
      <c r="A365" s="24"/>
      <c r="B365" s="24"/>
      <c r="C365" s="24"/>
      <c r="D365" s="24"/>
      <c r="E365" s="24"/>
      <c r="F365" s="24"/>
    </row>
    <row r="366" spans="1:6" x14ac:dyDescent="0.3">
      <c r="A366" s="24"/>
      <c r="B366" s="24"/>
      <c r="C366" s="24"/>
      <c r="D366" s="24"/>
      <c r="E366" s="24"/>
      <c r="F366" s="24"/>
    </row>
    <row r="367" spans="1:6" x14ac:dyDescent="0.3">
      <c r="A367" s="24"/>
      <c r="B367" s="24"/>
      <c r="C367" s="24"/>
      <c r="D367" s="24"/>
      <c r="E367" s="24"/>
      <c r="F367" s="24"/>
    </row>
    <row r="368" spans="1:6" x14ac:dyDescent="0.3">
      <c r="A368" s="24"/>
      <c r="B368" s="24"/>
      <c r="C368" s="24"/>
      <c r="D368" s="24"/>
      <c r="E368" s="24"/>
      <c r="F368" s="24"/>
    </row>
    <row r="369" spans="1:6" x14ac:dyDescent="0.3">
      <c r="A369" s="24"/>
      <c r="B369" s="24"/>
      <c r="C369" s="24"/>
      <c r="D369" s="24"/>
      <c r="E369" s="24"/>
      <c r="F369" s="24"/>
    </row>
    <row r="370" spans="1:6" x14ac:dyDescent="0.3">
      <c r="A370" s="24"/>
      <c r="B370" s="24"/>
      <c r="C370" s="24"/>
      <c r="D370" s="24"/>
      <c r="E370" s="24"/>
      <c r="F370" s="24"/>
    </row>
    <row r="371" spans="1:6" x14ac:dyDescent="0.3">
      <c r="A371" s="24"/>
      <c r="B371" s="24"/>
      <c r="C371" s="24"/>
      <c r="D371" s="24"/>
      <c r="E371" s="24"/>
      <c r="F371" s="24"/>
    </row>
    <row r="372" spans="1:6" x14ac:dyDescent="0.3">
      <c r="A372" s="24"/>
      <c r="B372" s="24"/>
      <c r="C372" s="24"/>
      <c r="D372" s="24"/>
      <c r="E372" s="24"/>
      <c r="F372" s="24"/>
    </row>
    <row r="373" spans="1:6" x14ac:dyDescent="0.3">
      <c r="A373" s="24"/>
      <c r="B373" s="24"/>
      <c r="C373" s="24"/>
      <c r="D373" s="24"/>
      <c r="E373" s="24"/>
      <c r="F373" s="24"/>
    </row>
    <row r="374" spans="1:6" x14ac:dyDescent="0.3">
      <c r="A374" s="24"/>
      <c r="B374" s="24"/>
      <c r="C374" s="24"/>
      <c r="D374" s="24"/>
      <c r="E374" s="24"/>
      <c r="F374" s="24"/>
    </row>
    <row r="375" spans="1:6" x14ac:dyDescent="0.3">
      <c r="A375" s="24"/>
      <c r="B375" s="24"/>
      <c r="C375" s="24"/>
      <c r="D375" s="24"/>
      <c r="E375" s="24"/>
      <c r="F375" s="24"/>
    </row>
    <row r="376" spans="1:6" x14ac:dyDescent="0.3">
      <c r="A376" s="24"/>
      <c r="B376" s="24"/>
      <c r="C376" s="24"/>
      <c r="D376" s="24"/>
      <c r="E376" s="24"/>
      <c r="F376" s="24"/>
    </row>
    <row r="377" spans="1:6" x14ac:dyDescent="0.3">
      <c r="A377" s="24"/>
      <c r="B377" s="24"/>
      <c r="C377" s="24"/>
      <c r="D377" s="24"/>
      <c r="E377" s="24"/>
      <c r="F377" s="24"/>
    </row>
    <row r="378" spans="1:6" x14ac:dyDescent="0.3">
      <c r="A378" s="24"/>
      <c r="B378" s="24"/>
      <c r="C378" s="24"/>
      <c r="D378" s="24"/>
      <c r="E378" s="24"/>
      <c r="F378" s="24"/>
    </row>
    <row r="379" spans="1:6" x14ac:dyDescent="0.3">
      <c r="A379" s="24"/>
      <c r="B379" s="24"/>
      <c r="C379" s="24"/>
      <c r="D379" s="24"/>
      <c r="E379" s="24"/>
      <c r="F379" s="24"/>
    </row>
    <row r="380" spans="1:6" x14ac:dyDescent="0.3">
      <c r="A380" s="24"/>
      <c r="B380" s="24"/>
      <c r="C380" s="24"/>
      <c r="D380" s="24"/>
      <c r="E380" s="24"/>
      <c r="F380" s="24"/>
    </row>
    <row r="381" spans="1:6" x14ac:dyDescent="0.3">
      <c r="A381" s="24"/>
      <c r="B381" s="24"/>
      <c r="C381" s="24"/>
      <c r="D381" s="24"/>
      <c r="E381" s="24"/>
      <c r="F381" s="24"/>
    </row>
    <row r="382" spans="1:6" x14ac:dyDescent="0.3">
      <c r="A382" s="24"/>
      <c r="B382" s="24"/>
      <c r="C382" s="24"/>
      <c r="D382" s="24"/>
      <c r="E382" s="24"/>
      <c r="F382" s="24"/>
    </row>
    <row r="383" spans="1:6" x14ac:dyDescent="0.3">
      <c r="A383" s="24"/>
      <c r="B383" s="24"/>
      <c r="C383" s="24"/>
      <c r="D383" s="24"/>
      <c r="E383" s="24"/>
      <c r="F383" s="24"/>
    </row>
    <row r="384" spans="1:6" x14ac:dyDescent="0.3">
      <c r="A384" s="24"/>
      <c r="B384" s="24"/>
      <c r="C384" s="24"/>
      <c r="D384" s="24"/>
      <c r="E384" s="24"/>
      <c r="F384" s="24"/>
    </row>
    <row r="385" spans="1:6" x14ac:dyDescent="0.3">
      <c r="A385" s="24"/>
      <c r="B385" s="24"/>
      <c r="C385" s="24"/>
      <c r="D385" s="24"/>
      <c r="E385" s="24"/>
      <c r="F385" s="24"/>
    </row>
    <row r="386" spans="1:6" x14ac:dyDescent="0.3">
      <c r="A386" s="24"/>
      <c r="B386" s="24"/>
      <c r="C386" s="24"/>
      <c r="D386" s="24"/>
      <c r="E386" s="24"/>
      <c r="F386" s="24"/>
    </row>
    <row r="387" spans="1:6" x14ac:dyDescent="0.3">
      <c r="A387" s="24"/>
      <c r="B387" s="24"/>
      <c r="C387" s="24"/>
      <c r="D387" s="24"/>
      <c r="E387" s="24"/>
      <c r="F387" s="24"/>
    </row>
    <row r="388" spans="1:6" x14ac:dyDescent="0.3">
      <c r="A388" s="24"/>
      <c r="B388" s="24"/>
      <c r="C388" s="24"/>
      <c r="D388" s="24"/>
      <c r="E388" s="24"/>
      <c r="F388" s="24"/>
    </row>
    <row r="389" spans="1:6" x14ac:dyDescent="0.3">
      <c r="A389" s="24"/>
      <c r="B389" s="24"/>
      <c r="C389" s="24"/>
      <c r="D389" s="24"/>
      <c r="E389" s="24"/>
      <c r="F389" s="24"/>
    </row>
    <row r="390" spans="1:6" x14ac:dyDescent="0.3">
      <c r="A390" s="24"/>
      <c r="B390" s="24"/>
      <c r="C390" s="24"/>
      <c r="D390" s="24"/>
      <c r="E390" s="24"/>
      <c r="F390" s="24"/>
    </row>
    <row r="391" spans="1:6" x14ac:dyDescent="0.3">
      <c r="A391" s="24"/>
      <c r="B391" s="24"/>
      <c r="C391" s="24"/>
      <c r="D391" s="24"/>
      <c r="E391" s="24"/>
      <c r="F391" s="24"/>
    </row>
    <row r="392" spans="1:6" x14ac:dyDescent="0.3">
      <c r="A392" s="24"/>
      <c r="B392" s="24"/>
      <c r="C392" s="24"/>
      <c r="D392" s="24"/>
      <c r="E392" s="24"/>
      <c r="F392" s="24"/>
    </row>
    <row r="393" spans="1:6" x14ac:dyDescent="0.3">
      <c r="A393" s="24"/>
      <c r="B393" s="24"/>
      <c r="C393" s="24"/>
      <c r="D393" s="24"/>
      <c r="E393" s="24"/>
      <c r="F393" s="24"/>
    </row>
    <row r="394" spans="1:6" x14ac:dyDescent="0.3">
      <c r="A394" s="24"/>
      <c r="B394" s="24"/>
      <c r="C394" s="24"/>
      <c r="D394" s="24"/>
      <c r="E394" s="24"/>
      <c r="F394" s="24"/>
    </row>
    <row r="395" spans="1:6" x14ac:dyDescent="0.3">
      <c r="A395" s="24"/>
      <c r="B395" s="24"/>
      <c r="C395" s="24"/>
      <c r="D395" s="24"/>
      <c r="E395" s="24"/>
      <c r="F395" s="24"/>
    </row>
    <row r="396" spans="1:6" x14ac:dyDescent="0.3">
      <c r="A396" s="24"/>
      <c r="B396" s="24"/>
      <c r="C396" s="24"/>
      <c r="D396" s="24"/>
      <c r="E396" s="24"/>
      <c r="F396" s="24"/>
    </row>
    <row r="397" spans="1:6" x14ac:dyDescent="0.3">
      <c r="A397" s="24"/>
      <c r="B397" s="24"/>
      <c r="C397" s="24"/>
      <c r="D397" s="24"/>
      <c r="E397" s="24"/>
      <c r="F397" s="24"/>
    </row>
    <row r="398" spans="1:6" x14ac:dyDescent="0.3">
      <c r="A398" s="24"/>
      <c r="B398" s="24"/>
      <c r="C398" s="24"/>
      <c r="D398" s="24"/>
      <c r="E398" s="24"/>
      <c r="F398" s="24"/>
    </row>
    <row r="399" spans="1:6" x14ac:dyDescent="0.3">
      <c r="A399" s="24"/>
      <c r="B399" s="24"/>
      <c r="C399" s="24"/>
      <c r="D399" s="24"/>
      <c r="E399" s="24"/>
      <c r="F399" s="24"/>
    </row>
    <row r="400" spans="1:6" x14ac:dyDescent="0.3">
      <c r="A400" s="24"/>
      <c r="B400" s="24"/>
      <c r="C400" s="24"/>
      <c r="D400" s="24"/>
      <c r="E400" s="24"/>
      <c r="F400" s="24"/>
    </row>
    <row r="401" spans="1:6" x14ac:dyDescent="0.3">
      <c r="A401" s="313"/>
      <c r="B401" s="313"/>
      <c r="C401" s="313"/>
      <c r="D401" s="313"/>
      <c r="E401" s="313"/>
      <c r="F401" s="313"/>
    </row>
    <row r="402" spans="1:6" x14ac:dyDescent="0.3">
      <c r="A402" s="313"/>
      <c r="B402" s="313"/>
      <c r="C402" s="313"/>
      <c r="D402" s="313"/>
      <c r="E402" s="313"/>
      <c r="F402" s="313"/>
    </row>
  </sheetData>
  <mergeCells count="1">
    <mergeCell ref="A1:F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E1EA5-CEB5-42C7-A988-59AFD89D446B}">
  <dimension ref="A1:F527"/>
  <sheetViews>
    <sheetView topLeftCell="A103" workbookViewId="0">
      <selection activeCell="E310" sqref="E310"/>
    </sheetView>
  </sheetViews>
  <sheetFormatPr baseColWidth="10" defaultRowHeight="14.4" x14ac:dyDescent="0.3"/>
  <cols>
    <col min="2" max="2" width="16.77734375" bestFit="1" customWidth="1"/>
    <col min="3" max="3" width="14.21875" bestFit="1" customWidth="1"/>
    <col min="4" max="4" width="15.33203125" customWidth="1"/>
    <col min="5" max="5" width="25" bestFit="1" customWidth="1"/>
    <col min="6" max="6" width="12.6640625" customWidth="1"/>
  </cols>
  <sheetData>
    <row r="1" spans="1:6" x14ac:dyDescent="0.3">
      <c r="A1" s="368" t="s">
        <v>227</v>
      </c>
      <c r="B1" s="368"/>
      <c r="C1" s="368"/>
      <c r="D1" s="368"/>
      <c r="E1" s="368"/>
      <c r="F1" s="339"/>
    </row>
    <row r="2" spans="1:6" x14ac:dyDescent="0.3">
      <c r="A2" s="4" t="s">
        <v>230</v>
      </c>
      <c r="B2" s="4" t="s">
        <v>228</v>
      </c>
      <c r="C2" s="333" t="s">
        <v>231</v>
      </c>
      <c r="D2" s="4" t="s">
        <v>229</v>
      </c>
      <c r="E2" s="4" t="s">
        <v>232</v>
      </c>
      <c r="F2" s="313"/>
    </row>
    <row r="3" spans="1:6" x14ac:dyDescent="0.3">
      <c r="A3" s="6">
        <v>43101</v>
      </c>
      <c r="B3" s="4" t="s">
        <v>146</v>
      </c>
      <c r="C3" s="174">
        <v>47160000</v>
      </c>
      <c r="D3" s="177"/>
      <c r="E3" s="177">
        <f>C3-D3</f>
        <v>47160000</v>
      </c>
    </row>
    <row r="4" spans="1:6" x14ac:dyDescent="0.3">
      <c r="A4" s="6">
        <v>43101</v>
      </c>
      <c r="B4" s="4" t="s">
        <v>74</v>
      </c>
      <c r="C4" s="211">
        <v>22970000</v>
      </c>
      <c r="D4" s="168">
        <v>42000000</v>
      </c>
      <c r="E4" s="177">
        <f t="shared" ref="E4:E67" si="0">C4-D4</f>
        <v>-19030000</v>
      </c>
    </row>
    <row r="5" spans="1:6" x14ac:dyDescent="0.3">
      <c r="A5" s="6">
        <v>43101</v>
      </c>
      <c r="B5" s="4" t="s">
        <v>108</v>
      </c>
      <c r="C5" s="180">
        <v>11950000</v>
      </c>
      <c r="D5" s="358">
        <v>30000000</v>
      </c>
      <c r="E5" s="177">
        <f t="shared" si="0"/>
        <v>-18050000</v>
      </c>
    </row>
    <row r="6" spans="1:6" x14ac:dyDescent="0.3">
      <c r="A6" s="6">
        <v>43101</v>
      </c>
      <c r="B6" s="4" t="s">
        <v>145</v>
      </c>
      <c r="C6" s="126">
        <v>9620000</v>
      </c>
      <c r="D6" s="164">
        <v>42000000</v>
      </c>
      <c r="E6" s="177">
        <f t="shared" si="0"/>
        <v>-32380000</v>
      </c>
    </row>
    <row r="7" spans="1:6" x14ac:dyDescent="0.3">
      <c r="A7" s="6">
        <v>43101</v>
      </c>
      <c r="B7" s="4" t="s">
        <v>233</v>
      </c>
      <c r="C7" s="174">
        <v>6640000</v>
      </c>
      <c r="D7" s="359"/>
      <c r="E7" s="177">
        <f t="shared" si="0"/>
        <v>6640000</v>
      </c>
    </row>
    <row r="8" spans="1:6" x14ac:dyDescent="0.3">
      <c r="A8" s="6">
        <v>43101</v>
      </c>
      <c r="B8" s="4" t="s">
        <v>199</v>
      </c>
      <c r="C8" s="174">
        <v>28650000</v>
      </c>
      <c r="D8" s="170">
        <v>42500000</v>
      </c>
      <c r="E8" s="177">
        <f t="shared" si="0"/>
        <v>-13850000</v>
      </c>
    </row>
    <row r="9" spans="1:6" x14ac:dyDescent="0.3">
      <c r="A9" s="6">
        <v>43132</v>
      </c>
      <c r="B9" s="4" t="s">
        <v>146</v>
      </c>
      <c r="C9" s="174">
        <v>30270000</v>
      </c>
      <c r="D9" s="177"/>
      <c r="E9" s="177">
        <f t="shared" si="0"/>
        <v>30270000</v>
      </c>
    </row>
    <row r="10" spans="1:6" x14ac:dyDescent="0.3">
      <c r="A10" s="6">
        <v>43132</v>
      </c>
      <c r="B10" s="4" t="s">
        <v>74</v>
      </c>
      <c r="C10" s="174">
        <v>38565000</v>
      </c>
      <c r="D10" s="168">
        <v>42000000</v>
      </c>
      <c r="E10" s="177">
        <f t="shared" si="0"/>
        <v>-3435000</v>
      </c>
    </row>
    <row r="11" spans="1:6" x14ac:dyDescent="0.3">
      <c r="A11" s="6">
        <v>43132</v>
      </c>
      <c r="B11" s="4" t="s">
        <v>108</v>
      </c>
      <c r="C11" s="175">
        <v>16680000</v>
      </c>
      <c r="D11" s="358">
        <v>30000000</v>
      </c>
      <c r="E11" s="177">
        <f t="shared" si="0"/>
        <v>-13320000</v>
      </c>
    </row>
    <row r="12" spans="1:6" x14ac:dyDescent="0.3">
      <c r="A12" s="6">
        <v>43132</v>
      </c>
      <c r="B12" s="4" t="s">
        <v>145</v>
      </c>
      <c r="C12" s="179">
        <v>18550000</v>
      </c>
      <c r="D12" s="164">
        <v>42000000</v>
      </c>
      <c r="E12" s="177">
        <f t="shared" si="0"/>
        <v>-23450000</v>
      </c>
    </row>
    <row r="13" spans="1:6" x14ac:dyDescent="0.3">
      <c r="A13" s="6">
        <v>43132</v>
      </c>
      <c r="B13" s="4" t="s">
        <v>233</v>
      </c>
      <c r="C13" s="174">
        <v>9800000</v>
      </c>
      <c r="D13" s="359"/>
      <c r="E13" s="177">
        <f t="shared" si="0"/>
        <v>9800000</v>
      </c>
    </row>
    <row r="14" spans="1:6" x14ac:dyDescent="0.3">
      <c r="A14" s="6">
        <v>43132</v>
      </c>
      <c r="B14" s="4" t="s">
        <v>199</v>
      </c>
      <c r="C14" s="174">
        <v>24250000</v>
      </c>
      <c r="D14" s="170">
        <v>42500000</v>
      </c>
      <c r="E14" s="177">
        <f t="shared" si="0"/>
        <v>-18250000</v>
      </c>
    </row>
    <row r="15" spans="1:6" x14ac:dyDescent="0.3">
      <c r="A15" s="6">
        <v>43160</v>
      </c>
      <c r="B15" s="4" t="s">
        <v>146</v>
      </c>
      <c r="C15" s="174">
        <v>37350000</v>
      </c>
      <c r="D15" s="177"/>
      <c r="E15" s="177">
        <f t="shared" si="0"/>
        <v>37350000</v>
      </c>
    </row>
    <row r="16" spans="1:6" x14ac:dyDescent="0.3">
      <c r="A16" s="6">
        <v>43160</v>
      </c>
      <c r="B16" s="4" t="s">
        <v>74</v>
      </c>
      <c r="C16" s="174">
        <v>25245000</v>
      </c>
      <c r="D16" s="168">
        <v>42000000</v>
      </c>
      <c r="E16" s="177">
        <f t="shared" si="0"/>
        <v>-16755000</v>
      </c>
    </row>
    <row r="17" spans="1:5" x14ac:dyDescent="0.3">
      <c r="A17" s="6">
        <v>43160</v>
      </c>
      <c r="B17" s="4" t="s">
        <v>108</v>
      </c>
      <c r="C17" s="175">
        <v>20430030</v>
      </c>
      <c r="D17" s="358">
        <v>30000000</v>
      </c>
      <c r="E17" s="177">
        <f t="shared" si="0"/>
        <v>-9569970</v>
      </c>
    </row>
    <row r="18" spans="1:5" x14ac:dyDescent="0.3">
      <c r="A18" s="6">
        <v>43160</v>
      </c>
      <c r="B18" s="4" t="s">
        <v>145</v>
      </c>
      <c r="C18" s="126">
        <v>10980000</v>
      </c>
      <c r="D18" s="164">
        <v>42000000</v>
      </c>
      <c r="E18" s="177">
        <f t="shared" si="0"/>
        <v>-31020000</v>
      </c>
    </row>
    <row r="19" spans="1:5" x14ac:dyDescent="0.3">
      <c r="A19" s="6">
        <v>43160</v>
      </c>
      <c r="B19" s="4" t="s">
        <v>233</v>
      </c>
      <c r="C19" s="174">
        <v>5093000</v>
      </c>
      <c r="D19" s="359"/>
      <c r="E19" s="177">
        <f t="shared" si="0"/>
        <v>5093000</v>
      </c>
    </row>
    <row r="20" spans="1:5" x14ac:dyDescent="0.3">
      <c r="A20" s="6">
        <v>43160</v>
      </c>
      <c r="B20" s="4" t="s">
        <v>199</v>
      </c>
      <c r="C20" s="211">
        <v>17450000</v>
      </c>
      <c r="D20" s="170">
        <v>42500000</v>
      </c>
      <c r="E20" s="177">
        <f t="shared" si="0"/>
        <v>-25050000</v>
      </c>
    </row>
    <row r="21" spans="1:5" x14ac:dyDescent="0.3">
      <c r="A21" s="6">
        <v>43191</v>
      </c>
      <c r="B21" s="4" t="s">
        <v>146</v>
      </c>
      <c r="C21" s="174">
        <v>41115000</v>
      </c>
      <c r="D21" s="177"/>
      <c r="E21" s="177">
        <f t="shared" si="0"/>
        <v>41115000</v>
      </c>
    </row>
    <row r="22" spans="1:5" x14ac:dyDescent="0.3">
      <c r="A22" s="6">
        <v>43191</v>
      </c>
      <c r="B22" s="4" t="s">
        <v>74</v>
      </c>
      <c r="C22" s="321">
        <v>31350600</v>
      </c>
      <c r="D22" s="168">
        <v>42000000</v>
      </c>
      <c r="E22" s="177">
        <f t="shared" si="0"/>
        <v>-10649400</v>
      </c>
    </row>
    <row r="23" spans="1:5" x14ac:dyDescent="0.3">
      <c r="A23" s="6">
        <v>43191</v>
      </c>
      <c r="B23" s="4" t="s">
        <v>108</v>
      </c>
      <c r="C23" s="175">
        <v>24705000</v>
      </c>
      <c r="D23" s="358">
        <v>30000000</v>
      </c>
      <c r="E23" s="177">
        <f t="shared" si="0"/>
        <v>-5295000</v>
      </c>
    </row>
    <row r="24" spans="1:5" x14ac:dyDescent="0.3">
      <c r="A24" s="6">
        <v>43191</v>
      </c>
      <c r="B24" s="4" t="s">
        <v>145</v>
      </c>
      <c r="C24" s="179">
        <v>18319736</v>
      </c>
      <c r="D24" s="164">
        <v>42000000</v>
      </c>
      <c r="E24" s="177">
        <f t="shared" si="0"/>
        <v>-23680264</v>
      </c>
    </row>
    <row r="25" spans="1:5" x14ac:dyDescent="0.3">
      <c r="A25" s="6">
        <v>43191</v>
      </c>
      <c r="B25" s="4" t="s">
        <v>233</v>
      </c>
      <c r="C25" s="211">
        <v>0</v>
      </c>
      <c r="D25" s="359"/>
      <c r="E25" s="177">
        <f t="shared" si="0"/>
        <v>0</v>
      </c>
    </row>
    <row r="26" spans="1:5" x14ac:dyDescent="0.3">
      <c r="A26" s="6">
        <v>43191</v>
      </c>
      <c r="B26" s="4" t="s">
        <v>199</v>
      </c>
      <c r="C26" s="174">
        <v>28800000</v>
      </c>
      <c r="D26" s="170">
        <v>42500000</v>
      </c>
      <c r="E26" s="177">
        <f t="shared" si="0"/>
        <v>-13700000</v>
      </c>
    </row>
    <row r="27" spans="1:5" x14ac:dyDescent="0.3">
      <c r="A27" s="6">
        <v>43221</v>
      </c>
      <c r="B27" s="4" t="s">
        <v>146</v>
      </c>
      <c r="C27" s="174">
        <v>31990000</v>
      </c>
      <c r="D27" s="177"/>
      <c r="E27" s="177">
        <f t="shared" si="0"/>
        <v>31990000</v>
      </c>
    </row>
    <row r="28" spans="1:5" x14ac:dyDescent="0.3">
      <c r="A28" s="6">
        <v>43221</v>
      </c>
      <c r="B28" s="4" t="s">
        <v>74</v>
      </c>
      <c r="C28" s="174">
        <v>21968300</v>
      </c>
      <c r="D28" s="168">
        <v>42000000</v>
      </c>
      <c r="E28" s="177">
        <f t="shared" si="0"/>
        <v>-20031700</v>
      </c>
    </row>
    <row r="29" spans="1:5" x14ac:dyDescent="0.3">
      <c r="A29" s="6">
        <v>43221</v>
      </c>
      <c r="B29" s="4" t="s">
        <v>108</v>
      </c>
      <c r="C29" s="175">
        <v>21970000</v>
      </c>
      <c r="D29" s="358">
        <v>30000000</v>
      </c>
      <c r="E29" s="177">
        <f t="shared" si="0"/>
        <v>-8030000</v>
      </c>
    </row>
    <row r="30" spans="1:5" x14ac:dyDescent="0.3">
      <c r="A30" s="6">
        <v>43221</v>
      </c>
      <c r="B30" s="4" t="s">
        <v>145</v>
      </c>
      <c r="C30" s="126">
        <v>6950000</v>
      </c>
      <c r="D30" s="164">
        <v>42000000</v>
      </c>
      <c r="E30" s="177">
        <f t="shared" si="0"/>
        <v>-35050000</v>
      </c>
    </row>
    <row r="31" spans="1:5" x14ac:dyDescent="0.3">
      <c r="A31" s="6">
        <v>43221</v>
      </c>
      <c r="B31" s="4" t="s">
        <v>233</v>
      </c>
      <c r="C31" s="174">
        <v>6730000</v>
      </c>
      <c r="D31" s="359"/>
      <c r="E31" s="177">
        <f t="shared" si="0"/>
        <v>6730000</v>
      </c>
    </row>
    <row r="32" spans="1:5" x14ac:dyDescent="0.3">
      <c r="A32" s="6">
        <v>43221</v>
      </c>
      <c r="B32" s="4" t="s">
        <v>199</v>
      </c>
      <c r="C32" s="174">
        <v>34820000</v>
      </c>
      <c r="D32" s="170">
        <v>42500000</v>
      </c>
      <c r="E32" s="177">
        <f t="shared" si="0"/>
        <v>-7680000</v>
      </c>
    </row>
    <row r="33" spans="1:5" x14ac:dyDescent="0.3">
      <c r="A33" s="6">
        <v>43252</v>
      </c>
      <c r="B33" s="4" t="s">
        <v>146</v>
      </c>
      <c r="C33" s="174">
        <v>31370000</v>
      </c>
      <c r="D33" s="177"/>
      <c r="E33" s="177">
        <f t="shared" si="0"/>
        <v>31370000</v>
      </c>
    </row>
    <row r="34" spans="1:5" x14ac:dyDescent="0.3">
      <c r="A34" s="6">
        <v>43252</v>
      </c>
      <c r="B34" s="4" t="s">
        <v>74</v>
      </c>
      <c r="C34" s="174">
        <v>32676240</v>
      </c>
      <c r="D34" s="168">
        <v>42000000</v>
      </c>
      <c r="E34" s="177">
        <f t="shared" si="0"/>
        <v>-9323760</v>
      </c>
    </row>
    <row r="35" spans="1:5" x14ac:dyDescent="0.3">
      <c r="A35" s="6">
        <v>43252</v>
      </c>
      <c r="B35" s="4" t="s">
        <v>108</v>
      </c>
      <c r="C35" s="175">
        <v>18070000</v>
      </c>
      <c r="D35" s="358">
        <v>30000000</v>
      </c>
      <c r="E35" s="177">
        <f t="shared" si="0"/>
        <v>-11930000</v>
      </c>
    </row>
    <row r="36" spans="1:5" x14ac:dyDescent="0.3">
      <c r="A36" s="6">
        <v>43252</v>
      </c>
      <c r="B36" s="4" t="s">
        <v>145</v>
      </c>
      <c r="C36" s="179">
        <v>20609913</v>
      </c>
      <c r="D36" s="164">
        <v>42000000</v>
      </c>
      <c r="E36" s="177">
        <f t="shared" si="0"/>
        <v>-21390087</v>
      </c>
    </row>
    <row r="37" spans="1:5" x14ac:dyDescent="0.3">
      <c r="A37" s="6">
        <v>43252</v>
      </c>
      <c r="B37" s="4" t="s">
        <v>233</v>
      </c>
      <c r="C37" s="174">
        <v>7470000</v>
      </c>
      <c r="D37" s="359"/>
      <c r="E37" s="177">
        <f t="shared" si="0"/>
        <v>7470000</v>
      </c>
    </row>
    <row r="38" spans="1:5" x14ac:dyDescent="0.3">
      <c r="A38" s="6">
        <v>43252</v>
      </c>
      <c r="B38" s="4" t="s">
        <v>199</v>
      </c>
      <c r="C38" s="174">
        <v>21380000</v>
      </c>
      <c r="D38" s="170">
        <v>42500000</v>
      </c>
      <c r="E38" s="177">
        <f t="shared" si="0"/>
        <v>-21120000</v>
      </c>
    </row>
    <row r="39" spans="1:5" x14ac:dyDescent="0.3">
      <c r="A39" s="6">
        <v>43282</v>
      </c>
      <c r="B39" s="4" t="s">
        <v>146</v>
      </c>
      <c r="C39" s="174">
        <v>42050000</v>
      </c>
      <c r="D39" s="177"/>
      <c r="E39" s="177">
        <f t="shared" si="0"/>
        <v>42050000</v>
      </c>
    </row>
    <row r="40" spans="1:5" x14ac:dyDescent="0.3">
      <c r="A40" s="6">
        <v>43282</v>
      </c>
      <c r="B40" s="4" t="s">
        <v>74</v>
      </c>
      <c r="C40" s="174">
        <v>26780000</v>
      </c>
      <c r="D40" s="168">
        <v>42000000</v>
      </c>
      <c r="E40" s="177">
        <f t="shared" si="0"/>
        <v>-15220000</v>
      </c>
    </row>
    <row r="41" spans="1:5" x14ac:dyDescent="0.3">
      <c r="A41" s="6">
        <v>43282</v>
      </c>
      <c r="B41" s="4" t="s">
        <v>108</v>
      </c>
      <c r="C41" s="175">
        <v>17550000</v>
      </c>
      <c r="D41" s="358">
        <v>30000000</v>
      </c>
      <c r="E41" s="177">
        <f t="shared" si="0"/>
        <v>-12450000</v>
      </c>
    </row>
    <row r="42" spans="1:5" x14ac:dyDescent="0.3">
      <c r="A42" s="6">
        <v>43282</v>
      </c>
      <c r="B42" s="4" t="s">
        <v>145</v>
      </c>
      <c r="C42" s="126">
        <v>12750000</v>
      </c>
      <c r="D42" s="164">
        <v>42000000</v>
      </c>
      <c r="E42" s="177">
        <f t="shared" si="0"/>
        <v>-29250000</v>
      </c>
    </row>
    <row r="43" spans="1:5" x14ac:dyDescent="0.3">
      <c r="A43" s="6">
        <v>43282</v>
      </c>
      <c r="B43" s="4" t="s">
        <v>233</v>
      </c>
      <c r="C43" s="174">
        <v>6210000</v>
      </c>
      <c r="D43" s="359"/>
      <c r="E43" s="177">
        <f t="shared" si="0"/>
        <v>6210000</v>
      </c>
    </row>
    <row r="44" spans="1:5" x14ac:dyDescent="0.3">
      <c r="A44" s="6">
        <v>43282</v>
      </c>
      <c r="B44" s="4" t="s">
        <v>199</v>
      </c>
      <c r="C44" s="174">
        <v>27200000</v>
      </c>
      <c r="D44" s="170">
        <v>42500000</v>
      </c>
      <c r="E44" s="177">
        <f t="shared" si="0"/>
        <v>-15300000</v>
      </c>
    </row>
    <row r="45" spans="1:5" x14ac:dyDescent="0.3">
      <c r="A45" s="6">
        <v>43313</v>
      </c>
      <c r="B45" s="4" t="s">
        <v>146</v>
      </c>
      <c r="C45" s="174">
        <v>41580000</v>
      </c>
      <c r="D45" s="177"/>
      <c r="E45" s="177">
        <f t="shared" si="0"/>
        <v>41580000</v>
      </c>
    </row>
    <row r="46" spans="1:5" x14ac:dyDescent="0.3">
      <c r="A46" s="6">
        <v>43313</v>
      </c>
      <c r="B46" s="4" t="s">
        <v>74</v>
      </c>
      <c r="C46" s="174">
        <v>43910000</v>
      </c>
      <c r="D46" s="168">
        <v>42000000</v>
      </c>
      <c r="E46" s="177">
        <f t="shared" si="0"/>
        <v>1910000</v>
      </c>
    </row>
    <row r="47" spans="1:5" x14ac:dyDescent="0.3">
      <c r="A47" s="6">
        <v>43313</v>
      </c>
      <c r="B47" s="4" t="s">
        <v>108</v>
      </c>
      <c r="C47" s="175">
        <v>23109076</v>
      </c>
      <c r="D47" s="358">
        <v>30000000</v>
      </c>
      <c r="E47" s="177">
        <f t="shared" si="0"/>
        <v>-6890924</v>
      </c>
    </row>
    <row r="48" spans="1:5" x14ac:dyDescent="0.3">
      <c r="A48" s="6">
        <v>43313</v>
      </c>
      <c r="B48" s="4" t="s">
        <v>145</v>
      </c>
      <c r="C48" s="179">
        <v>16730000</v>
      </c>
      <c r="D48" s="164">
        <v>42000000</v>
      </c>
      <c r="E48" s="177">
        <f t="shared" si="0"/>
        <v>-25270000</v>
      </c>
    </row>
    <row r="49" spans="1:5" x14ac:dyDescent="0.3">
      <c r="A49" s="6">
        <v>43313</v>
      </c>
      <c r="B49" s="4" t="s">
        <v>233</v>
      </c>
      <c r="C49" s="174">
        <v>8408000</v>
      </c>
      <c r="D49" s="359"/>
      <c r="E49" s="177">
        <f t="shared" si="0"/>
        <v>8408000</v>
      </c>
    </row>
    <row r="50" spans="1:5" x14ac:dyDescent="0.3">
      <c r="A50" s="6">
        <v>43313</v>
      </c>
      <c r="B50" s="4" t="s">
        <v>199</v>
      </c>
      <c r="C50" s="211">
        <v>18780000</v>
      </c>
      <c r="D50" s="170">
        <v>42500000</v>
      </c>
      <c r="E50" s="177">
        <f t="shared" si="0"/>
        <v>-23720000</v>
      </c>
    </row>
    <row r="51" spans="1:5" x14ac:dyDescent="0.3">
      <c r="A51" s="6">
        <v>43344</v>
      </c>
      <c r="B51" s="4" t="s">
        <v>146</v>
      </c>
      <c r="C51" s="174">
        <v>28950000</v>
      </c>
      <c r="D51" s="177"/>
      <c r="E51" s="177">
        <f t="shared" si="0"/>
        <v>28950000</v>
      </c>
    </row>
    <row r="52" spans="1:5" x14ac:dyDescent="0.3">
      <c r="A52" s="6">
        <v>43344</v>
      </c>
      <c r="B52" s="4" t="s">
        <v>74</v>
      </c>
      <c r="C52" s="174">
        <v>33140000</v>
      </c>
      <c r="D52" s="168">
        <v>42000000</v>
      </c>
      <c r="E52" s="177">
        <f t="shared" si="0"/>
        <v>-8860000</v>
      </c>
    </row>
    <row r="53" spans="1:5" x14ac:dyDescent="0.3">
      <c r="A53" s="6">
        <v>43344</v>
      </c>
      <c r="B53" s="4" t="s">
        <v>108</v>
      </c>
      <c r="C53" s="180">
        <v>11100000</v>
      </c>
      <c r="D53" s="358">
        <v>30000000</v>
      </c>
      <c r="E53" s="177">
        <f t="shared" si="0"/>
        <v>-18900000</v>
      </c>
    </row>
    <row r="54" spans="1:5" x14ac:dyDescent="0.3">
      <c r="A54" s="6">
        <v>43344</v>
      </c>
      <c r="B54" s="4" t="s">
        <v>145</v>
      </c>
      <c r="C54" s="179">
        <v>23450000</v>
      </c>
      <c r="D54" s="164">
        <v>42000000</v>
      </c>
      <c r="E54" s="177">
        <f t="shared" si="0"/>
        <v>-18550000</v>
      </c>
    </row>
    <row r="55" spans="1:5" x14ac:dyDescent="0.3">
      <c r="A55" s="6">
        <v>43344</v>
      </c>
      <c r="B55" s="4" t="s">
        <v>233</v>
      </c>
      <c r="C55" s="211">
        <v>3180000</v>
      </c>
      <c r="D55" s="359"/>
      <c r="E55" s="177">
        <f t="shared" si="0"/>
        <v>3180000</v>
      </c>
    </row>
    <row r="56" spans="1:5" x14ac:dyDescent="0.3">
      <c r="A56" s="6">
        <v>43344</v>
      </c>
      <c r="B56" s="4" t="s">
        <v>199</v>
      </c>
      <c r="C56" s="174">
        <v>21570000</v>
      </c>
      <c r="D56" s="170">
        <v>42500000</v>
      </c>
      <c r="E56" s="177">
        <f t="shared" si="0"/>
        <v>-20930000</v>
      </c>
    </row>
    <row r="57" spans="1:5" x14ac:dyDescent="0.3">
      <c r="A57" s="6">
        <v>43374</v>
      </c>
      <c r="B57" s="4" t="s">
        <v>146</v>
      </c>
      <c r="C57" s="175">
        <v>45972040</v>
      </c>
      <c r="D57" s="177"/>
      <c r="E57" s="177">
        <f t="shared" si="0"/>
        <v>45972040</v>
      </c>
    </row>
    <row r="58" spans="1:5" x14ac:dyDescent="0.3">
      <c r="A58" s="6">
        <v>43374</v>
      </c>
      <c r="B58" s="4" t="s">
        <v>74</v>
      </c>
      <c r="C58" s="179">
        <v>32632000</v>
      </c>
      <c r="D58" s="207">
        <v>42000000</v>
      </c>
      <c r="E58" s="177">
        <f t="shared" si="0"/>
        <v>-9368000</v>
      </c>
    </row>
    <row r="59" spans="1:5" x14ac:dyDescent="0.3">
      <c r="A59" s="6">
        <v>43374</v>
      </c>
      <c r="B59" s="4" t="s">
        <v>108</v>
      </c>
      <c r="C59" s="175">
        <v>21530000</v>
      </c>
      <c r="D59" s="358">
        <v>30000000</v>
      </c>
      <c r="E59" s="177">
        <f t="shared" si="0"/>
        <v>-8470000</v>
      </c>
    </row>
    <row r="60" spans="1:5" x14ac:dyDescent="0.3">
      <c r="A60" s="6">
        <v>43374</v>
      </c>
      <c r="B60" s="4" t="s">
        <v>145</v>
      </c>
      <c r="C60" s="179">
        <v>27200000</v>
      </c>
      <c r="D60" s="164">
        <v>42000000</v>
      </c>
      <c r="E60" s="177">
        <f t="shared" si="0"/>
        <v>-14800000</v>
      </c>
    </row>
    <row r="61" spans="1:5" x14ac:dyDescent="0.3">
      <c r="A61" s="6">
        <v>43374</v>
      </c>
      <c r="B61" s="4" t="s">
        <v>233</v>
      </c>
      <c r="C61" s="211">
        <v>3050000</v>
      </c>
      <c r="D61" s="359"/>
      <c r="E61" s="177">
        <f t="shared" si="0"/>
        <v>3050000</v>
      </c>
    </row>
    <row r="62" spans="1:5" x14ac:dyDescent="0.3">
      <c r="A62" s="6">
        <v>43374</v>
      </c>
      <c r="B62" s="4" t="s">
        <v>199</v>
      </c>
      <c r="C62" s="340">
        <v>21070000</v>
      </c>
      <c r="D62" s="170">
        <v>42500000</v>
      </c>
      <c r="E62" s="177">
        <f t="shared" si="0"/>
        <v>-21430000</v>
      </c>
    </row>
    <row r="63" spans="1:5" x14ac:dyDescent="0.3">
      <c r="A63" s="6">
        <v>43405</v>
      </c>
      <c r="B63" s="4" t="s">
        <v>146</v>
      </c>
      <c r="C63" s="174">
        <v>53860000</v>
      </c>
      <c r="D63" s="177"/>
      <c r="E63" s="177">
        <f t="shared" si="0"/>
        <v>53860000</v>
      </c>
    </row>
    <row r="64" spans="1:5" x14ac:dyDescent="0.3">
      <c r="A64" s="6">
        <v>43405</v>
      </c>
      <c r="B64" s="4" t="s">
        <v>74</v>
      </c>
      <c r="C64" s="174">
        <v>24136000</v>
      </c>
      <c r="D64" s="168">
        <v>42000000</v>
      </c>
      <c r="E64" s="177">
        <f t="shared" si="0"/>
        <v>-17864000</v>
      </c>
    </row>
    <row r="65" spans="1:5" x14ac:dyDescent="0.3">
      <c r="A65" s="6">
        <v>43405</v>
      </c>
      <c r="B65" s="4" t="s">
        <v>108</v>
      </c>
      <c r="C65" s="175">
        <v>22270000</v>
      </c>
      <c r="D65" s="358">
        <v>30000000</v>
      </c>
      <c r="E65" s="177">
        <f t="shared" si="0"/>
        <v>-7730000</v>
      </c>
    </row>
    <row r="66" spans="1:5" x14ac:dyDescent="0.3">
      <c r="A66" s="6">
        <v>43405</v>
      </c>
      <c r="B66" s="4" t="s">
        <v>145</v>
      </c>
      <c r="C66" s="179">
        <v>25593000</v>
      </c>
      <c r="D66" s="164">
        <v>42000000</v>
      </c>
      <c r="E66" s="177">
        <f t="shared" si="0"/>
        <v>-16407000</v>
      </c>
    </row>
    <row r="67" spans="1:5" x14ac:dyDescent="0.3">
      <c r="A67" s="6">
        <v>43405</v>
      </c>
      <c r="B67" s="4" t="s">
        <v>233</v>
      </c>
      <c r="C67" s="211">
        <v>3600000</v>
      </c>
      <c r="D67" s="359"/>
      <c r="E67" s="177">
        <f t="shared" si="0"/>
        <v>3600000</v>
      </c>
    </row>
    <row r="68" spans="1:5" x14ac:dyDescent="0.3">
      <c r="A68" s="6">
        <v>43405</v>
      </c>
      <c r="B68" s="4" t="s">
        <v>199</v>
      </c>
      <c r="C68" s="340">
        <v>30197400</v>
      </c>
      <c r="D68" s="170">
        <v>42500000</v>
      </c>
      <c r="E68" s="177">
        <f t="shared" ref="E68:E74" si="1">C68-D68</f>
        <v>-12302600</v>
      </c>
    </row>
    <row r="69" spans="1:5" x14ac:dyDescent="0.3">
      <c r="A69" s="6">
        <v>43435</v>
      </c>
      <c r="B69" s="4" t="s">
        <v>146</v>
      </c>
      <c r="C69" s="174">
        <v>24250000</v>
      </c>
      <c r="D69" s="177"/>
      <c r="E69" s="177">
        <f t="shared" si="1"/>
        <v>24250000</v>
      </c>
    </row>
    <row r="70" spans="1:5" x14ac:dyDescent="0.3">
      <c r="A70" s="6">
        <v>43435</v>
      </c>
      <c r="B70" s="4" t="s">
        <v>74</v>
      </c>
      <c r="C70" s="174">
        <v>22026000</v>
      </c>
      <c r="D70" s="168">
        <v>42000000</v>
      </c>
      <c r="E70" s="177">
        <f t="shared" si="1"/>
        <v>-19974000</v>
      </c>
    </row>
    <row r="71" spans="1:5" x14ac:dyDescent="0.3">
      <c r="A71" s="6">
        <v>43435</v>
      </c>
      <c r="B71" s="4" t="s">
        <v>108</v>
      </c>
      <c r="C71" s="180">
        <v>7800000</v>
      </c>
      <c r="D71" s="358">
        <v>30000000</v>
      </c>
      <c r="E71" s="177">
        <f t="shared" si="1"/>
        <v>-22200000</v>
      </c>
    </row>
    <row r="72" spans="1:5" x14ac:dyDescent="0.3">
      <c r="A72" s="294">
        <v>43435</v>
      </c>
      <c r="B72" s="295" t="s">
        <v>145</v>
      </c>
      <c r="C72" s="179">
        <v>20400000</v>
      </c>
      <c r="D72" s="164">
        <v>42000000</v>
      </c>
      <c r="E72" s="347">
        <f t="shared" si="1"/>
        <v>-21600000</v>
      </c>
    </row>
    <row r="73" spans="1:5" x14ac:dyDescent="0.3">
      <c r="A73" s="6">
        <v>43435</v>
      </c>
      <c r="B73" s="4" t="s">
        <v>233</v>
      </c>
      <c r="C73" s="344">
        <v>44880000</v>
      </c>
      <c r="D73" s="359"/>
      <c r="E73" s="177">
        <f t="shared" si="1"/>
        <v>44880000</v>
      </c>
    </row>
    <row r="74" spans="1:5" x14ac:dyDescent="0.3">
      <c r="A74" s="351">
        <v>43435</v>
      </c>
      <c r="B74" s="307" t="s">
        <v>199</v>
      </c>
      <c r="C74" s="340">
        <v>20130000</v>
      </c>
      <c r="D74" s="352">
        <v>42500000</v>
      </c>
      <c r="E74" s="359">
        <f t="shared" si="1"/>
        <v>-22370000</v>
      </c>
    </row>
    <row r="75" spans="1:5" x14ac:dyDescent="0.3">
      <c r="A75" s="6">
        <v>43466</v>
      </c>
      <c r="B75" s="4" t="s">
        <v>146</v>
      </c>
      <c r="C75" s="174">
        <v>64310000</v>
      </c>
      <c r="D75" s="169">
        <v>47500000</v>
      </c>
      <c r="E75" s="177">
        <f>C75-D75</f>
        <v>16810000</v>
      </c>
    </row>
    <row r="76" spans="1:5" x14ac:dyDescent="0.3">
      <c r="A76" s="6">
        <v>43466</v>
      </c>
      <c r="B76" s="4" t="s">
        <v>74</v>
      </c>
      <c r="C76" s="211">
        <v>28600000</v>
      </c>
      <c r="D76" s="169">
        <v>42000000</v>
      </c>
      <c r="E76" s="177">
        <f t="shared" ref="E76:E139" si="2">C76-D76</f>
        <v>-13400000</v>
      </c>
    </row>
    <row r="77" spans="1:5" x14ac:dyDescent="0.3">
      <c r="A77" s="6">
        <v>43466</v>
      </c>
      <c r="B77" s="4" t="s">
        <v>108</v>
      </c>
      <c r="C77" s="180">
        <v>21975000</v>
      </c>
      <c r="D77" s="189">
        <v>30000000</v>
      </c>
      <c r="E77" s="177">
        <f t="shared" si="2"/>
        <v>-8025000</v>
      </c>
    </row>
    <row r="78" spans="1:5" x14ac:dyDescent="0.3">
      <c r="A78" s="6">
        <v>43466</v>
      </c>
      <c r="B78" s="4" t="s">
        <v>145</v>
      </c>
      <c r="C78" s="126">
        <v>29175000</v>
      </c>
      <c r="D78" s="190">
        <v>33000000</v>
      </c>
      <c r="E78" s="177">
        <f t="shared" si="2"/>
        <v>-3825000</v>
      </c>
    </row>
    <row r="79" spans="1:5" x14ac:dyDescent="0.3">
      <c r="A79" s="6">
        <v>43466</v>
      </c>
      <c r="B79" s="4" t="s">
        <v>233</v>
      </c>
      <c r="C79" s="211">
        <v>6600000</v>
      </c>
      <c r="D79" s="201">
        <v>20000000</v>
      </c>
      <c r="E79" s="177">
        <f t="shared" si="2"/>
        <v>-13400000</v>
      </c>
    </row>
    <row r="80" spans="1:5" x14ac:dyDescent="0.3">
      <c r="A80" s="6">
        <v>43466</v>
      </c>
      <c r="B80" s="4" t="s">
        <v>199</v>
      </c>
      <c r="C80" s="340">
        <v>41090000</v>
      </c>
      <c r="D80" s="170">
        <v>42500000</v>
      </c>
      <c r="E80" s="177">
        <f t="shared" si="2"/>
        <v>-1410000</v>
      </c>
    </row>
    <row r="81" spans="1:5" x14ac:dyDescent="0.3">
      <c r="A81" s="6">
        <v>43497</v>
      </c>
      <c r="B81" s="4" t="s">
        <v>146</v>
      </c>
      <c r="C81" s="174">
        <v>49440000</v>
      </c>
      <c r="D81" s="169">
        <v>47500000</v>
      </c>
      <c r="E81" s="177">
        <f t="shared" si="2"/>
        <v>1940000</v>
      </c>
    </row>
    <row r="82" spans="1:5" x14ac:dyDescent="0.3">
      <c r="A82" s="6">
        <v>43497</v>
      </c>
      <c r="B82" s="4" t="s">
        <v>74</v>
      </c>
      <c r="C82" s="211">
        <v>39540000</v>
      </c>
      <c r="D82" s="169">
        <v>42000000</v>
      </c>
      <c r="E82" s="177">
        <f t="shared" si="2"/>
        <v>-2460000</v>
      </c>
    </row>
    <row r="83" spans="1:5" x14ac:dyDescent="0.3">
      <c r="A83" s="6">
        <v>43497</v>
      </c>
      <c r="B83" s="4" t="s">
        <v>108</v>
      </c>
      <c r="C83" s="180">
        <v>16670000</v>
      </c>
      <c r="D83" s="189">
        <v>30000000</v>
      </c>
      <c r="E83" s="177">
        <f t="shared" si="2"/>
        <v>-13330000</v>
      </c>
    </row>
    <row r="84" spans="1:5" x14ac:dyDescent="0.3">
      <c r="A84" s="6">
        <v>43497</v>
      </c>
      <c r="B84" s="4" t="s">
        <v>145</v>
      </c>
      <c r="C84" s="179">
        <v>30246509</v>
      </c>
      <c r="D84" s="190">
        <v>33000000</v>
      </c>
      <c r="E84" s="177">
        <f t="shared" si="2"/>
        <v>-2753491</v>
      </c>
    </row>
    <row r="85" spans="1:5" x14ac:dyDescent="0.3">
      <c r="A85" s="6">
        <v>43497</v>
      </c>
      <c r="B85" s="4" t="s">
        <v>233</v>
      </c>
      <c r="C85" s="211">
        <v>13200000</v>
      </c>
      <c r="D85" s="201">
        <v>20000000</v>
      </c>
      <c r="E85" s="177">
        <f t="shared" si="2"/>
        <v>-6800000</v>
      </c>
    </row>
    <row r="86" spans="1:5" x14ac:dyDescent="0.3">
      <c r="A86" s="6">
        <v>43497</v>
      </c>
      <c r="B86" s="4" t="s">
        <v>199</v>
      </c>
      <c r="C86" s="211">
        <v>31850000</v>
      </c>
      <c r="D86" s="170">
        <v>42500000</v>
      </c>
      <c r="E86" s="177">
        <f t="shared" si="2"/>
        <v>-10650000</v>
      </c>
    </row>
    <row r="87" spans="1:5" x14ac:dyDescent="0.3">
      <c r="A87" s="6">
        <v>43525</v>
      </c>
      <c r="B87" s="4" t="s">
        <v>146</v>
      </c>
      <c r="C87" s="211">
        <v>45770000</v>
      </c>
      <c r="D87" s="169">
        <v>47500000</v>
      </c>
      <c r="E87" s="177">
        <f t="shared" si="2"/>
        <v>-1730000</v>
      </c>
    </row>
    <row r="88" spans="1:5" x14ac:dyDescent="0.3">
      <c r="A88" s="6">
        <v>43525</v>
      </c>
      <c r="B88" s="4" t="s">
        <v>74</v>
      </c>
      <c r="C88" s="211">
        <v>36751000</v>
      </c>
      <c r="D88" s="169">
        <v>42000000</v>
      </c>
      <c r="E88" s="177">
        <f t="shared" si="2"/>
        <v>-5249000</v>
      </c>
    </row>
    <row r="89" spans="1:5" x14ac:dyDescent="0.3">
      <c r="A89" s="6">
        <v>43525</v>
      </c>
      <c r="B89" s="4" t="s">
        <v>108</v>
      </c>
      <c r="C89" s="175">
        <v>27420000</v>
      </c>
      <c r="D89" s="189">
        <v>30000000</v>
      </c>
      <c r="E89" s="177">
        <f t="shared" si="2"/>
        <v>-2580000</v>
      </c>
    </row>
    <row r="90" spans="1:5" x14ac:dyDescent="0.3">
      <c r="A90" s="6">
        <v>43525</v>
      </c>
      <c r="B90" s="4" t="s">
        <v>145</v>
      </c>
      <c r="C90" s="179">
        <v>17750000</v>
      </c>
      <c r="D90" s="190">
        <v>33000000</v>
      </c>
      <c r="E90" s="177">
        <f t="shared" si="2"/>
        <v>-15250000</v>
      </c>
    </row>
    <row r="91" spans="1:5" x14ac:dyDescent="0.3">
      <c r="A91" s="6">
        <v>43525</v>
      </c>
      <c r="B91" s="4" t="s">
        <v>233</v>
      </c>
      <c r="C91" s="180">
        <v>15750000</v>
      </c>
      <c r="D91" s="201">
        <v>20000000</v>
      </c>
      <c r="E91" s="177">
        <f t="shared" si="2"/>
        <v>-4250000</v>
      </c>
    </row>
    <row r="92" spans="1:5" x14ac:dyDescent="0.3">
      <c r="A92" s="6">
        <v>43525</v>
      </c>
      <c r="B92" s="4" t="s">
        <v>199</v>
      </c>
      <c r="C92" s="174">
        <v>43498700</v>
      </c>
      <c r="D92" s="170">
        <v>42500000</v>
      </c>
      <c r="E92" s="177">
        <f t="shared" si="2"/>
        <v>998700</v>
      </c>
    </row>
    <row r="93" spans="1:5" x14ac:dyDescent="0.3">
      <c r="A93" s="6">
        <v>43556</v>
      </c>
      <c r="B93" s="4" t="s">
        <v>146</v>
      </c>
      <c r="C93" s="211">
        <v>40950000</v>
      </c>
      <c r="D93" s="169">
        <v>47500000</v>
      </c>
      <c r="E93" s="177">
        <f t="shared" si="2"/>
        <v>-6550000</v>
      </c>
    </row>
    <row r="94" spans="1:5" x14ac:dyDescent="0.3">
      <c r="A94" s="6">
        <v>43556</v>
      </c>
      <c r="B94" s="4" t="s">
        <v>74</v>
      </c>
      <c r="C94" s="211">
        <v>22140000</v>
      </c>
      <c r="D94" s="169">
        <v>42000000</v>
      </c>
      <c r="E94" s="177">
        <f t="shared" si="2"/>
        <v>-19860000</v>
      </c>
    </row>
    <row r="95" spans="1:5" x14ac:dyDescent="0.3">
      <c r="A95" s="6">
        <v>43556</v>
      </c>
      <c r="B95" s="4" t="s">
        <v>108</v>
      </c>
      <c r="C95" s="175">
        <v>32816600</v>
      </c>
      <c r="D95" s="189">
        <v>30000000</v>
      </c>
      <c r="E95" s="177">
        <f t="shared" si="2"/>
        <v>2816600</v>
      </c>
    </row>
    <row r="96" spans="1:5" x14ac:dyDescent="0.3">
      <c r="A96" s="6">
        <v>43556</v>
      </c>
      <c r="B96" s="4" t="s">
        <v>145</v>
      </c>
      <c r="C96" s="126">
        <v>21880000</v>
      </c>
      <c r="D96" s="190">
        <v>33000000</v>
      </c>
      <c r="E96" s="177">
        <f t="shared" si="2"/>
        <v>-11120000</v>
      </c>
    </row>
    <row r="97" spans="1:5" x14ac:dyDescent="0.3">
      <c r="A97" s="6">
        <v>43556</v>
      </c>
      <c r="B97" s="4" t="s">
        <v>233</v>
      </c>
      <c r="C97" s="200">
        <v>14960000</v>
      </c>
      <c r="D97" s="201">
        <v>20000000</v>
      </c>
      <c r="E97" s="177">
        <f t="shared" si="2"/>
        <v>-5040000</v>
      </c>
    </row>
    <row r="98" spans="1:5" x14ac:dyDescent="0.3">
      <c r="A98" s="6">
        <v>43556</v>
      </c>
      <c r="B98" s="4" t="s">
        <v>199</v>
      </c>
      <c r="C98" s="211">
        <v>20900000</v>
      </c>
      <c r="D98" s="170">
        <v>42500000</v>
      </c>
      <c r="E98" s="177">
        <f t="shared" si="2"/>
        <v>-21600000</v>
      </c>
    </row>
    <row r="99" spans="1:5" x14ac:dyDescent="0.3">
      <c r="A99" s="6">
        <v>43586</v>
      </c>
      <c r="B99" s="4" t="s">
        <v>146</v>
      </c>
      <c r="C99" s="321">
        <v>50875000</v>
      </c>
      <c r="D99" s="169">
        <v>47500000</v>
      </c>
      <c r="E99" s="177">
        <f t="shared" si="2"/>
        <v>3375000</v>
      </c>
    </row>
    <row r="100" spans="1:5" x14ac:dyDescent="0.3">
      <c r="A100" s="6">
        <v>43586</v>
      </c>
      <c r="B100" s="4" t="s">
        <v>74</v>
      </c>
      <c r="C100" s="211">
        <v>39840000</v>
      </c>
      <c r="D100" s="169">
        <v>42000000</v>
      </c>
      <c r="E100" s="177">
        <f t="shared" si="2"/>
        <v>-2160000</v>
      </c>
    </row>
    <row r="101" spans="1:5" x14ac:dyDescent="0.3">
      <c r="A101" s="6">
        <v>43586</v>
      </c>
      <c r="B101" s="4" t="s">
        <v>108</v>
      </c>
      <c r="C101" s="175">
        <v>14100000</v>
      </c>
      <c r="D101" s="189">
        <v>30000000</v>
      </c>
      <c r="E101" s="177">
        <f t="shared" si="2"/>
        <v>-15900000</v>
      </c>
    </row>
    <row r="102" spans="1:5" x14ac:dyDescent="0.3">
      <c r="A102" s="6">
        <v>43586</v>
      </c>
      <c r="B102" s="4" t="s">
        <v>145</v>
      </c>
      <c r="C102" s="126">
        <v>29070000</v>
      </c>
      <c r="D102" s="190">
        <v>33000000</v>
      </c>
      <c r="E102" s="177">
        <f t="shared" si="2"/>
        <v>-3930000</v>
      </c>
    </row>
    <row r="103" spans="1:5" x14ac:dyDescent="0.3">
      <c r="A103" s="6">
        <v>43586</v>
      </c>
      <c r="B103" s="4" t="s">
        <v>233</v>
      </c>
      <c r="C103" s="200">
        <v>19070000</v>
      </c>
      <c r="D103" s="201">
        <v>20000000</v>
      </c>
      <c r="E103" s="177">
        <f t="shared" si="2"/>
        <v>-930000</v>
      </c>
    </row>
    <row r="104" spans="1:5" x14ac:dyDescent="0.3">
      <c r="A104" s="6">
        <v>43586</v>
      </c>
      <c r="B104" s="4" t="s">
        <v>199</v>
      </c>
      <c r="C104" s="211">
        <v>35000000</v>
      </c>
      <c r="D104" s="170">
        <v>42500000</v>
      </c>
      <c r="E104" s="177">
        <f t="shared" si="2"/>
        <v>-7500000</v>
      </c>
    </row>
    <row r="105" spans="1:5" x14ac:dyDescent="0.3">
      <c r="A105" s="6">
        <v>43617</v>
      </c>
      <c r="B105" s="4" t="s">
        <v>146</v>
      </c>
      <c r="C105" s="174">
        <v>35610000</v>
      </c>
      <c r="D105" s="169">
        <v>47500000</v>
      </c>
      <c r="E105" s="177">
        <f t="shared" si="2"/>
        <v>-11890000</v>
      </c>
    </row>
    <row r="106" spans="1:5" x14ac:dyDescent="0.3">
      <c r="A106" s="6">
        <v>43617</v>
      </c>
      <c r="B106" s="4" t="s">
        <v>74</v>
      </c>
      <c r="C106" s="174">
        <v>35070000</v>
      </c>
      <c r="D106" s="169">
        <v>42000000</v>
      </c>
      <c r="E106" s="177">
        <f t="shared" si="2"/>
        <v>-6930000</v>
      </c>
    </row>
    <row r="107" spans="1:5" x14ac:dyDescent="0.3">
      <c r="A107" s="6">
        <v>43617</v>
      </c>
      <c r="B107" s="4" t="s">
        <v>108</v>
      </c>
      <c r="C107" s="175">
        <v>26900000</v>
      </c>
      <c r="D107" s="189">
        <v>30000000</v>
      </c>
      <c r="E107" s="177">
        <f t="shared" si="2"/>
        <v>-3100000</v>
      </c>
    </row>
    <row r="108" spans="1:5" x14ac:dyDescent="0.3">
      <c r="A108" s="6">
        <v>43617</v>
      </c>
      <c r="B108" s="4" t="s">
        <v>145</v>
      </c>
      <c r="C108" s="179">
        <v>13448700</v>
      </c>
      <c r="D108" s="190">
        <v>33000000</v>
      </c>
      <c r="E108" s="177">
        <f t="shared" si="2"/>
        <v>-19551300</v>
      </c>
    </row>
    <row r="109" spans="1:5" x14ac:dyDescent="0.3">
      <c r="A109" s="6">
        <v>43617</v>
      </c>
      <c r="B109" s="4" t="s">
        <v>233</v>
      </c>
      <c r="C109" s="344">
        <v>20642496</v>
      </c>
      <c r="D109" s="171">
        <v>20000000</v>
      </c>
      <c r="E109" s="177">
        <f t="shared" si="2"/>
        <v>642496</v>
      </c>
    </row>
    <row r="110" spans="1:5" x14ac:dyDescent="0.3">
      <c r="A110" s="6">
        <v>43617</v>
      </c>
      <c r="B110" s="4" t="s">
        <v>199</v>
      </c>
      <c r="C110" s="175">
        <v>46000000</v>
      </c>
      <c r="D110" s="170">
        <v>42500000</v>
      </c>
      <c r="E110" s="177">
        <f t="shared" si="2"/>
        <v>3500000</v>
      </c>
    </row>
    <row r="111" spans="1:5" x14ac:dyDescent="0.3">
      <c r="A111" s="6">
        <v>43647</v>
      </c>
      <c r="B111" s="4" t="s">
        <v>146</v>
      </c>
      <c r="C111" s="174">
        <v>69320000</v>
      </c>
      <c r="D111" s="169">
        <v>47500000</v>
      </c>
      <c r="E111" s="177">
        <f t="shared" si="2"/>
        <v>21820000</v>
      </c>
    </row>
    <row r="112" spans="1:5" x14ac:dyDescent="0.3">
      <c r="A112" s="6">
        <v>43647</v>
      </c>
      <c r="B112" s="4" t="s">
        <v>74</v>
      </c>
      <c r="C112" s="174">
        <v>37770000</v>
      </c>
      <c r="D112" s="169">
        <v>42000000</v>
      </c>
      <c r="E112" s="177">
        <f t="shared" si="2"/>
        <v>-4230000</v>
      </c>
    </row>
    <row r="113" spans="1:5" x14ac:dyDescent="0.3">
      <c r="A113" s="6">
        <v>43647</v>
      </c>
      <c r="B113" s="4" t="s">
        <v>108</v>
      </c>
      <c r="C113" s="175">
        <v>9100000</v>
      </c>
      <c r="D113" s="189">
        <v>30000000</v>
      </c>
      <c r="E113" s="177">
        <f t="shared" si="2"/>
        <v>-20900000</v>
      </c>
    </row>
    <row r="114" spans="1:5" x14ac:dyDescent="0.3">
      <c r="A114" s="6">
        <v>43647</v>
      </c>
      <c r="B114" s="4" t="s">
        <v>145</v>
      </c>
      <c r="C114" s="179">
        <v>43240000</v>
      </c>
      <c r="D114" s="190">
        <v>33000000</v>
      </c>
      <c r="E114" s="177">
        <f t="shared" si="2"/>
        <v>10240000</v>
      </c>
    </row>
    <row r="115" spans="1:5" x14ac:dyDescent="0.3">
      <c r="A115" s="6">
        <v>43647</v>
      </c>
      <c r="B115" s="4" t="s">
        <v>233</v>
      </c>
      <c r="C115" s="344">
        <v>19020000</v>
      </c>
      <c r="D115" s="201">
        <v>20000000</v>
      </c>
      <c r="E115" s="177">
        <f t="shared" si="2"/>
        <v>-980000</v>
      </c>
    </row>
    <row r="116" spans="1:5" x14ac:dyDescent="0.3">
      <c r="A116" s="6">
        <v>43647</v>
      </c>
      <c r="B116" s="4" t="s">
        <v>199</v>
      </c>
      <c r="C116" s="179">
        <v>46850000</v>
      </c>
      <c r="D116" s="170">
        <v>42500000</v>
      </c>
      <c r="E116" s="177">
        <f t="shared" si="2"/>
        <v>4350000</v>
      </c>
    </row>
    <row r="117" spans="1:5" x14ac:dyDescent="0.3">
      <c r="A117" s="6">
        <v>43678</v>
      </c>
      <c r="B117" s="4" t="s">
        <v>146</v>
      </c>
      <c r="C117" s="174">
        <v>36694680</v>
      </c>
      <c r="D117" s="169">
        <v>47500000</v>
      </c>
      <c r="E117" s="177">
        <f t="shared" si="2"/>
        <v>-10805320</v>
      </c>
    </row>
    <row r="118" spans="1:5" x14ac:dyDescent="0.3">
      <c r="A118" s="6">
        <v>43678</v>
      </c>
      <c r="B118" s="4" t="s">
        <v>74</v>
      </c>
      <c r="C118" s="174">
        <v>34340000</v>
      </c>
      <c r="D118" s="169">
        <v>42000000</v>
      </c>
      <c r="E118" s="177">
        <f t="shared" si="2"/>
        <v>-7660000</v>
      </c>
    </row>
    <row r="119" spans="1:5" x14ac:dyDescent="0.3">
      <c r="A119" s="6">
        <v>43678</v>
      </c>
      <c r="B119" s="4" t="s">
        <v>108</v>
      </c>
      <c r="C119" s="175">
        <v>18960000</v>
      </c>
      <c r="D119" s="189">
        <v>30000000</v>
      </c>
      <c r="E119" s="177">
        <f t="shared" si="2"/>
        <v>-11040000</v>
      </c>
    </row>
    <row r="120" spans="1:5" x14ac:dyDescent="0.3">
      <c r="A120" s="6">
        <v>43678</v>
      </c>
      <c r="B120" s="4" t="s">
        <v>145</v>
      </c>
      <c r="C120" s="179">
        <v>13000500</v>
      </c>
      <c r="D120" s="190">
        <v>33000000</v>
      </c>
      <c r="E120" s="177">
        <f t="shared" si="2"/>
        <v>-19999500</v>
      </c>
    </row>
    <row r="121" spans="1:5" x14ac:dyDescent="0.3">
      <c r="A121" s="6">
        <v>43678</v>
      </c>
      <c r="B121" s="4" t="s">
        <v>233</v>
      </c>
      <c r="C121" s="344">
        <v>21880000</v>
      </c>
      <c r="D121" s="171">
        <v>20000000</v>
      </c>
      <c r="E121" s="177">
        <f t="shared" si="2"/>
        <v>1880000</v>
      </c>
    </row>
    <row r="122" spans="1:5" x14ac:dyDescent="0.3">
      <c r="A122" s="6">
        <v>43678</v>
      </c>
      <c r="B122" s="4" t="s">
        <v>199</v>
      </c>
      <c r="C122" s="344">
        <v>33850000</v>
      </c>
      <c r="D122" s="170">
        <v>42500000</v>
      </c>
      <c r="E122" s="177">
        <f t="shared" si="2"/>
        <v>-8650000</v>
      </c>
    </row>
    <row r="123" spans="1:5" x14ac:dyDescent="0.3">
      <c r="A123" s="6">
        <v>43709</v>
      </c>
      <c r="B123" s="4" t="s">
        <v>146</v>
      </c>
      <c r="C123" s="160">
        <v>49830000</v>
      </c>
      <c r="D123" s="169">
        <v>47500000</v>
      </c>
      <c r="E123" s="177">
        <f t="shared" si="2"/>
        <v>2330000</v>
      </c>
    </row>
    <row r="124" spans="1:5" x14ac:dyDescent="0.3">
      <c r="A124" s="6">
        <v>43709</v>
      </c>
      <c r="B124" s="4" t="s">
        <v>74</v>
      </c>
      <c r="C124" s="174">
        <v>39513000</v>
      </c>
      <c r="D124" s="169">
        <v>42000000</v>
      </c>
      <c r="E124" s="177">
        <f t="shared" si="2"/>
        <v>-2487000</v>
      </c>
    </row>
    <row r="125" spans="1:5" x14ac:dyDescent="0.3">
      <c r="A125" s="6">
        <v>43709</v>
      </c>
      <c r="B125" s="4" t="s">
        <v>108</v>
      </c>
      <c r="C125" s="175">
        <v>20235000</v>
      </c>
      <c r="D125" s="189">
        <v>30000000</v>
      </c>
      <c r="E125" s="177">
        <f t="shared" si="2"/>
        <v>-9765000</v>
      </c>
    </row>
    <row r="126" spans="1:5" x14ac:dyDescent="0.3">
      <c r="A126" s="6">
        <v>43709</v>
      </c>
      <c r="B126" s="4" t="s">
        <v>145</v>
      </c>
      <c r="C126" s="179">
        <v>23060000</v>
      </c>
      <c r="D126" s="190">
        <v>33000000</v>
      </c>
      <c r="E126" s="177">
        <f t="shared" si="2"/>
        <v>-9940000</v>
      </c>
    </row>
    <row r="127" spans="1:5" x14ac:dyDescent="0.3">
      <c r="A127" s="6">
        <v>43709</v>
      </c>
      <c r="B127" s="4" t="s">
        <v>233</v>
      </c>
      <c r="C127" s="344">
        <v>27070000</v>
      </c>
      <c r="D127" s="201">
        <v>20000000</v>
      </c>
      <c r="E127" s="177">
        <f t="shared" si="2"/>
        <v>7070000</v>
      </c>
    </row>
    <row r="128" spans="1:5" x14ac:dyDescent="0.3">
      <c r="A128" s="6">
        <v>43709</v>
      </c>
      <c r="B128" s="4" t="s">
        <v>199</v>
      </c>
      <c r="C128" s="179">
        <v>23550000</v>
      </c>
      <c r="D128" s="170">
        <v>42500000</v>
      </c>
      <c r="E128" s="177">
        <f t="shared" si="2"/>
        <v>-18950000</v>
      </c>
    </row>
    <row r="129" spans="1:5" x14ac:dyDescent="0.3">
      <c r="A129" s="6">
        <v>43739</v>
      </c>
      <c r="B129" s="4" t="s">
        <v>146</v>
      </c>
      <c r="C129" s="268">
        <v>51500000</v>
      </c>
      <c r="D129" s="169">
        <v>47500000</v>
      </c>
      <c r="E129" s="177">
        <f t="shared" si="2"/>
        <v>4000000</v>
      </c>
    </row>
    <row r="130" spans="1:5" x14ac:dyDescent="0.3">
      <c r="A130" s="6">
        <v>43739</v>
      </c>
      <c r="B130" s="4" t="s">
        <v>74</v>
      </c>
      <c r="C130" s="179">
        <v>35700000</v>
      </c>
      <c r="D130" s="176">
        <v>42000000</v>
      </c>
      <c r="E130" s="177">
        <f t="shared" si="2"/>
        <v>-6300000</v>
      </c>
    </row>
    <row r="131" spans="1:5" x14ac:dyDescent="0.3">
      <c r="A131" s="6">
        <v>43739</v>
      </c>
      <c r="B131" s="4" t="s">
        <v>108</v>
      </c>
      <c r="C131" s="175">
        <v>13600000</v>
      </c>
      <c r="D131" s="189">
        <v>30000000</v>
      </c>
      <c r="E131" s="177">
        <f t="shared" si="2"/>
        <v>-16400000</v>
      </c>
    </row>
    <row r="132" spans="1:5" x14ac:dyDescent="0.3">
      <c r="A132" s="6">
        <v>43739</v>
      </c>
      <c r="B132" s="4" t="s">
        <v>145</v>
      </c>
      <c r="C132" s="179">
        <v>21350000</v>
      </c>
      <c r="D132" s="190">
        <v>33000000</v>
      </c>
      <c r="E132" s="177">
        <f t="shared" si="2"/>
        <v>-11650000</v>
      </c>
    </row>
    <row r="133" spans="1:5" x14ac:dyDescent="0.3">
      <c r="A133" s="6">
        <v>43739</v>
      </c>
      <c r="B133" s="4" t="s">
        <v>233</v>
      </c>
      <c r="C133" s="274">
        <v>24130000</v>
      </c>
      <c r="D133" s="201">
        <v>20000000</v>
      </c>
      <c r="E133" s="177">
        <f t="shared" si="2"/>
        <v>4130000</v>
      </c>
    </row>
    <row r="134" spans="1:5" x14ac:dyDescent="0.3">
      <c r="A134" s="6">
        <v>43739</v>
      </c>
      <c r="B134" s="4" t="s">
        <v>199</v>
      </c>
      <c r="C134" s="179">
        <v>29000000</v>
      </c>
      <c r="D134" s="170">
        <v>42500000</v>
      </c>
      <c r="E134" s="177">
        <f t="shared" si="2"/>
        <v>-13500000</v>
      </c>
    </row>
    <row r="135" spans="1:5" x14ac:dyDescent="0.3">
      <c r="A135" s="6">
        <v>43770</v>
      </c>
      <c r="B135" s="4" t="s">
        <v>146</v>
      </c>
      <c r="C135" s="160">
        <v>33750000</v>
      </c>
      <c r="D135" s="169">
        <v>47500000</v>
      </c>
      <c r="E135" s="177">
        <f t="shared" si="2"/>
        <v>-13750000</v>
      </c>
    </row>
    <row r="136" spans="1:5" x14ac:dyDescent="0.3">
      <c r="A136" s="6">
        <v>43770</v>
      </c>
      <c r="B136" s="4" t="s">
        <v>74</v>
      </c>
      <c r="C136" s="174">
        <v>29761000</v>
      </c>
      <c r="D136" s="169">
        <v>42000000</v>
      </c>
      <c r="E136" s="177">
        <f t="shared" si="2"/>
        <v>-12239000</v>
      </c>
    </row>
    <row r="137" spans="1:5" x14ac:dyDescent="0.3">
      <c r="A137" s="6">
        <v>43770</v>
      </c>
      <c r="B137" s="4" t="s">
        <v>108</v>
      </c>
      <c r="C137" s="175">
        <v>13900000</v>
      </c>
      <c r="D137" s="189">
        <v>30000000</v>
      </c>
      <c r="E137" s="177">
        <f t="shared" si="2"/>
        <v>-16100000</v>
      </c>
    </row>
    <row r="138" spans="1:5" x14ac:dyDescent="0.3">
      <c r="A138" s="6">
        <v>43770</v>
      </c>
      <c r="B138" s="4" t="s">
        <v>145</v>
      </c>
      <c r="C138" s="179">
        <v>30430000</v>
      </c>
      <c r="D138" s="190">
        <v>33000000</v>
      </c>
      <c r="E138" s="177">
        <f t="shared" si="2"/>
        <v>-2570000</v>
      </c>
    </row>
    <row r="139" spans="1:5" x14ac:dyDescent="0.3">
      <c r="A139" s="6">
        <v>43770</v>
      </c>
      <c r="B139" s="4" t="s">
        <v>233</v>
      </c>
      <c r="C139" s="344">
        <v>32080000</v>
      </c>
      <c r="D139" s="201">
        <v>20000000</v>
      </c>
      <c r="E139" s="177">
        <f t="shared" si="2"/>
        <v>12080000</v>
      </c>
    </row>
    <row r="140" spans="1:5" x14ac:dyDescent="0.3">
      <c r="A140" s="6">
        <v>43770</v>
      </c>
      <c r="B140" s="4" t="s">
        <v>199</v>
      </c>
      <c r="C140" s="179">
        <v>37050000</v>
      </c>
      <c r="D140" s="170">
        <v>42500000</v>
      </c>
      <c r="E140" s="177">
        <f t="shared" ref="E140:E203" si="3">C140-D140</f>
        <v>-5450000</v>
      </c>
    </row>
    <row r="141" spans="1:5" x14ac:dyDescent="0.3">
      <c r="A141" s="6">
        <v>43800</v>
      </c>
      <c r="B141" s="4" t="s">
        <v>146</v>
      </c>
      <c r="C141" s="174">
        <v>35310000</v>
      </c>
      <c r="D141" s="169">
        <v>47500000</v>
      </c>
      <c r="E141" s="177">
        <f t="shared" si="3"/>
        <v>-12190000</v>
      </c>
    </row>
    <row r="142" spans="1:5" x14ac:dyDescent="0.3">
      <c r="A142" s="6">
        <v>43800</v>
      </c>
      <c r="B142" s="4" t="s">
        <v>74</v>
      </c>
      <c r="C142" s="174">
        <v>25880000</v>
      </c>
      <c r="D142" s="169">
        <v>42000000</v>
      </c>
      <c r="E142" s="177">
        <f t="shared" si="3"/>
        <v>-16120000</v>
      </c>
    </row>
    <row r="143" spans="1:5" x14ac:dyDescent="0.3">
      <c r="A143" s="294">
        <v>43800</v>
      </c>
      <c r="B143" s="295" t="s">
        <v>108</v>
      </c>
      <c r="C143" s="175">
        <v>10118908</v>
      </c>
      <c r="D143" s="189">
        <v>30000000</v>
      </c>
      <c r="E143" s="347">
        <f t="shared" si="3"/>
        <v>-19881092</v>
      </c>
    </row>
    <row r="144" spans="1:5" x14ac:dyDescent="0.3">
      <c r="A144" s="294">
        <v>43800</v>
      </c>
      <c r="B144" s="295" t="s">
        <v>145</v>
      </c>
      <c r="C144" s="179">
        <v>14080000</v>
      </c>
      <c r="D144" s="190">
        <v>33000000</v>
      </c>
      <c r="E144" s="347">
        <f t="shared" si="3"/>
        <v>-18920000</v>
      </c>
    </row>
    <row r="145" spans="1:5" x14ac:dyDescent="0.3">
      <c r="A145" s="6">
        <v>43800</v>
      </c>
      <c r="B145" s="4" t="s">
        <v>233</v>
      </c>
      <c r="C145" s="344">
        <v>26900000</v>
      </c>
      <c r="D145" s="355">
        <v>20000000</v>
      </c>
      <c r="E145" s="177">
        <f t="shared" si="3"/>
        <v>6900000</v>
      </c>
    </row>
    <row r="146" spans="1:5" x14ac:dyDescent="0.3">
      <c r="A146" s="351">
        <v>43800</v>
      </c>
      <c r="B146" s="307" t="s">
        <v>199</v>
      </c>
      <c r="C146" s="344">
        <v>30560000</v>
      </c>
      <c r="D146" s="353">
        <v>42500000</v>
      </c>
      <c r="E146" s="359">
        <f t="shared" si="3"/>
        <v>-11940000</v>
      </c>
    </row>
    <row r="147" spans="1:5" x14ac:dyDescent="0.3">
      <c r="A147" s="6">
        <v>43831</v>
      </c>
      <c r="B147" s="4" t="s">
        <v>146</v>
      </c>
      <c r="C147" s="179">
        <v>61209750</v>
      </c>
      <c r="D147" s="169">
        <v>60000000</v>
      </c>
      <c r="E147" s="177">
        <f t="shared" si="3"/>
        <v>1209750</v>
      </c>
    </row>
    <row r="148" spans="1:5" x14ac:dyDescent="0.3">
      <c r="A148" s="6">
        <v>43831</v>
      </c>
      <c r="B148" s="4" t="s">
        <v>74</v>
      </c>
      <c r="C148" s="304">
        <v>40375000</v>
      </c>
      <c r="D148" s="169">
        <v>42000000</v>
      </c>
      <c r="E148" s="177">
        <f t="shared" si="3"/>
        <v>-1625000</v>
      </c>
    </row>
    <row r="149" spans="1:5" x14ac:dyDescent="0.3">
      <c r="A149" s="6">
        <v>43831</v>
      </c>
      <c r="B149" s="4" t="s">
        <v>108</v>
      </c>
      <c r="C149" s="180">
        <v>15030000</v>
      </c>
      <c r="D149" s="189">
        <v>30000000</v>
      </c>
      <c r="E149" s="177">
        <f t="shared" si="3"/>
        <v>-14970000</v>
      </c>
    </row>
    <row r="150" spans="1:5" x14ac:dyDescent="0.3">
      <c r="A150" s="6">
        <v>43831</v>
      </c>
      <c r="B150" s="4" t="s">
        <v>145</v>
      </c>
      <c r="C150" s="126">
        <v>28270000</v>
      </c>
      <c r="D150" s="190">
        <v>33000000</v>
      </c>
      <c r="E150" s="177">
        <f t="shared" si="3"/>
        <v>-4730000</v>
      </c>
    </row>
    <row r="151" spans="1:5" x14ac:dyDescent="0.3">
      <c r="A151" s="6">
        <v>43831</v>
      </c>
      <c r="B151" s="4" t="s">
        <v>233</v>
      </c>
      <c r="C151" s="211">
        <v>26900000</v>
      </c>
      <c r="D151" s="201">
        <v>37000000</v>
      </c>
      <c r="E151" s="177">
        <f t="shared" si="3"/>
        <v>-10100000</v>
      </c>
    </row>
    <row r="152" spans="1:5" x14ac:dyDescent="0.3">
      <c r="A152" s="6">
        <v>43831</v>
      </c>
      <c r="B152" s="4" t="s">
        <v>199</v>
      </c>
      <c r="C152" s="211">
        <v>36750000</v>
      </c>
      <c r="D152" s="169">
        <v>45000000</v>
      </c>
      <c r="E152" s="177">
        <f t="shared" si="3"/>
        <v>-8250000</v>
      </c>
    </row>
    <row r="153" spans="1:5" x14ac:dyDescent="0.3">
      <c r="A153" s="6">
        <v>43862</v>
      </c>
      <c r="B153" s="4" t="s">
        <v>146</v>
      </c>
      <c r="C153" s="127">
        <v>81890000</v>
      </c>
      <c r="D153" s="169">
        <v>60000000</v>
      </c>
      <c r="E153" s="177">
        <f t="shared" si="3"/>
        <v>21890000</v>
      </c>
    </row>
    <row r="154" spans="1:5" x14ac:dyDescent="0.3">
      <c r="A154" s="6">
        <v>43862</v>
      </c>
      <c r="B154" s="4" t="s">
        <v>74</v>
      </c>
      <c r="C154" s="127">
        <v>50835000</v>
      </c>
      <c r="D154" s="169">
        <v>42000000</v>
      </c>
      <c r="E154" s="177">
        <f t="shared" si="3"/>
        <v>8835000</v>
      </c>
    </row>
    <row r="155" spans="1:5" x14ac:dyDescent="0.3">
      <c r="A155" s="6">
        <v>43862</v>
      </c>
      <c r="B155" s="4" t="s">
        <v>108</v>
      </c>
      <c r="C155" s="346">
        <v>16350000</v>
      </c>
      <c r="D155" s="189">
        <v>30000000</v>
      </c>
      <c r="E155" s="177">
        <f t="shared" si="3"/>
        <v>-13650000</v>
      </c>
    </row>
    <row r="156" spans="1:5" x14ac:dyDescent="0.3">
      <c r="A156" s="6">
        <v>43862</v>
      </c>
      <c r="B156" s="4" t="s">
        <v>145</v>
      </c>
      <c r="C156" s="179">
        <v>37820000</v>
      </c>
      <c r="D156" s="190">
        <v>33000000</v>
      </c>
      <c r="E156" s="177">
        <f t="shared" si="3"/>
        <v>4820000</v>
      </c>
    </row>
    <row r="157" spans="1:5" x14ac:dyDescent="0.3">
      <c r="A157" s="6">
        <v>43862</v>
      </c>
      <c r="B157" s="4" t="s">
        <v>233</v>
      </c>
      <c r="C157" s="345">
        <v>28974804</v>
      </c>
      <c r="D157" s="201">
        <v>37000000</v>
      </c>
      <c r="E157" s="177">
        <f t="shared" si="3"/>
        <v>-8025196</v>
      </c>
    </row>
    <row r="158" spans="1:5" x14ac:dyDescent="0.3">
      <c r="A158" s="6">
        <v>43862</v>
      </c>
      <c r="B158" s="4" t="s">
        <v>199</v>
      </c>
      <c r="C158" s="126">
        <v>29110000</v>
      </c>
      <c r="D158" s="169">
        <v>45000000</v>
      </c>
      <c r="E158" s="177">
        <f t="shared" si="3"/>
        <v>-15890000</v>
      </c>
    </row>
    <row r="159" spans="1:5" x14ac:dyDescent="0.3">
      <c r="A159" s="6">
        <v>43891</v>
      </c>
      <c r="B159" s="4" t="s">
        <v>146</v>
      </c>
      <c r="C159" s="126">
        <v>30020000</v>
      </c>
      <c r="D159" s="169">
        <v>60000000</v>
      </c>
      <c r="E159" s="177">
        <f t="shared" si="3"/>
        <v>-29980000</v>
      </c>
    </row>
    <row r="160" spans="1:5" x14ac:dyDescent="0.3">
      <c r="A160" s="6">
        <v>43891</v>
      </c>
      <c r="B160" s="4" t="s">
        <v>74</v>
      </c>
      <c r="C160" s="126">
        <v>22877000</v>
      </c>
      <c r="D160" s="169">
        <v>42000000</v>
      </c>
      <c r="E160" s="177">
        <f t="shared" si="3"/>
        <v>-19123000</v>
      </c>
    </row>
    <row r="161" spans="1:5" x14ac:dyDescent="0.3">
      <c r="A161" s="6">
        <v>43891</v>
      </c>
      <c r="B161" s="4" t="s">
        <v>108</v>
      </c>
      <c r="C161" s="346">
        <v>13050000</v>
      </c>
      <c r="D161" s="189">
        <v>30000000</v>
      </c>
      <c r="E161" s="177">
        <f t="shared" si="3"/>
        <v>-16950000</v>
      </c>
    </row>
    <row r="162" spans="1:5" x14ac:dyDescent="0.3">
      <c r="A162" s="6">
        <v>43891</v>
      </c>
      <c r="B162" s="4" t="s">
        <v>145</v>
      </c>
      <c r="C162" s="126">
        <v>14120000</v>
      </c>
      <c r="D162" s="190">
        <v>33000000</v>
      </c>
      <c r="E162" s="177">
        <f t="shared" si="3"/>
        <v>-18880000</v>
      </c>
    </row>
    <row r="163" spans="1:5" x14ac:dyDescent="0.3">
      <c r="A163" s="6">
        <v>43891</v>
      </c>
      <c r="B163" s="4" t="s">
        <v>233</v>
      </c>
      <c r="C163" s="345">
        <v>17320000</v>
      </c>
      <c r="D163" s="201">
        <v>37000000</v>
      </c>
      <c r="E163" s="177">
        <f t="shared" si="3"/>
        <v>-19680000</v>
      </c>
    </row>
    <row r="164" spans="1:5" x14ac:dyDescent="0.3">
      <c r="A164" s="6">
        <v>43891</v>
      </c>
      <c r="B164" s="4" t="s">
        <v>199</v>
      </c>
      <c r="C164" s="126">
        <v>28516000</v>
      </c>
      <c r="D164" s="169">
        <v>45000000</v>
      </c>
      <c r="E164" s="177">
        <f t="shared" si="3"/>
        <v>-16484000</v>
      </c>
    </row>
    <row r="165" spans="1:5" x14ac:dyDescent="0.3">
      <c r="A165" s="6">
        <v>43922</v>
      </c>
      <c r="B165" s="4" t="s">
        <v>146</v>
      </c>
      <c r="C165" s="126">
        <v>0</v>
      </c>
      <c r="D165" s="169">
        <v>60000000</v>
      </c>
      <c r="E165" s="177">
        <f t="shared" si="3"/>
        <v>-60000000</v>
      </c>
    </row>
    <row r="166" spans="1:5" x14ac:dyDescent="0.3">
      <c r="A166" s="6">
        <v>43922</v>
      </c>
      <c r="B166" s="4" t="s">
        <v>74</v>
      </c>
      <c r="C166" s="126">
        <v>0</v>
      </c>
      <c r="D166" s="169">
        <v>42000000</v>
      </c>
      <c r="E166" s="177">
        <f t="shared" si="3"/>
        <v>-42000000</v>
      </c>
    </row>
    <row r="167" spans="1:5" x14ac:dyDescent="0.3">
      <c r="A167" s="6">
        <v>43922</v>
      </c>
      <c r="B167" s="4" t="s">
        <v>108</v>
      </c>
      <c r="C167" s="346">
        <v>0</v>
      </c>
      <c r="D167" s="185">
        <v>30000000</v>
      </c>
      <c r="E167" s="177">
        <f t="shared" si="3"/>
        <v>-30000000</v>
      </c>
    </row>
    <row r="168" spans="1:5" x14ac:dyDescent="0.3">
      <c r="A168" s="6">
        <v>43922</v>
      </c>
      <c r="B168" s="4" t="s">
        <v>145</v>
      </c>
      <c r="C168" s="126">
        <v>0</v>
      </c>
      <c r="D168" s="190">
        <v>33000000</v>
      </c>
      <c r="E168" s="177">
        <f t="shared" si="3"/>
        <v>-33000000</v>
      </c>
    </row>
    <row r="169" spans="1:5" x14ac:dyDescent="0.3">
      <c r="A169" s="6">
        <v>43922</v>
      </c>
      <c r="B169" s="4" t="s">
        <v>233</v>
      </c>
      <c r="C169" s="345">
        <v>0</v>
      </c>
      <c r="D169" s="201">
        <v>37000000</v>
      </c>
      <c r="E169" s="177">
        <f t="shared" si="3"/>
        <v>-37000000</v>
      </c>
    </row>
    <row r="170" spans="1:5" x14ac:dyDescent="0.3">
      <c r="A170" s="6">
        <v>43922</v>
      </c>
      <c r="B170" s="4" t="s">
        <v>199</v>
      </c>
      <c r="C170" s="126">
        <v>0</v>
      </c>
      <c r="D170" s="169">
        <v>45000000</v>
      </c>
      <c r="E170" s="177">
        <f t="shared" si="3"/>
        <v>-45000000</v>
      </c>
    </row>
    <row r="171" spans="1:5" x14ac:dyDescent="0.3">
      <c r="A171" s="6">
        <v>43952</v>
      </c>
      <c r="B171" s="4" t="s">
        <v>146</v>
      </c>
      <c r="C171" s="126">
        <v>6200000</v>
      </c>
      <c r="D171" s="169">
        <v>60000000</v>
      </c>
      <c r="E171" s="177">
        <f t="shared" si="3"/>
        <v>-53800000</v>
      </c>
    </row>
    <row r="172" spans="1:5" x14ac:dyDescent="0.3">
      <c r="A172" s="6">
        <v>43952</v>
      </c>
      <c r="B172" s="4" t="s">
        <v>74</v>
      </c>
      <c r="C172" s="126">
        <v>0</v>
      </c>
      <c r="D172" s="169">
        <v>42000000</v>
      </c>
      <c r="E172" s="177">
        <f t="shared" si="3"/>
        <v>-42000000</v>
      </c>
    </row>
    <row r="173" spans="1:5" x14ac:dyDescent="0.3">
      <c r="A173" s="6">
        <v>43952</v>
      </c>
      <c r="B173" s="4" t="s">
        <v>108</v>
      </c>
      <c r="C173" s="346">
        <v>0</v>
      </c>
      <c r="D173" s="185">
        <v>30000000</v>
      </c>
      <c r="E173" s="177">
        <f t="shared" si="3"/>
        <v>-30000000</v>
      </c>
    </row>
    <row r="174" spans="1:5" x14ac:dyDescent="0.3">
      <c r="A174" s="6">
        <v>43952</v>
      </c>
      <c r="B174" s="4" t="s">
        <v>145</v>
      </c>
      <c r="C174" s="126">
        <v>2500000</v>
      </c>
      <c r="D174" s="190">
        <v>33000000</v>
      </c>
      <c r="E174" s="177">
        <f t="shared" si="3"/>
        <v>-30500000</v>
      </c>
    </row>
    <row r="175" spans="1:5" x14ac:dyDescent="0.3">
      <c r="A175" s="6">
        <v>43952</v>
      </c>
      <c r="B175" s="4" t="s">
        <v>233</v>
      </c>
      <c r="C175" s="345">
        <v>1730000</v>
      </c>
      <c r="D175" s="201">
        <v>37000000</v>
      </c>
      <c r="E175" s="177">
        <f t="shared" si="3"/>
        <v>-35270000</v>
      </c>
    </row>
    <row r="176" spans="1:5" x14ac:dyDescent="0.3">
      <c r="A176" s="6">
        <v>43952</v>
      </c>
      <c r="B176" s="4" t="s">
        <v>199</v>
      </c>
      <c r="C176" s="211">
        <v>6960000</v>
      </c>
      <c r="D176" s="169">
        <v>45000000</v>
      </c>
      <c r="E176" s="177">
        <f t="shared" si="3"/>
        <v>-38040000</v>
      </c>
    </row>
    <row r="177" spans="1:5" x14ac:dyDescent="0.3">
      <c r="A177" s="6">
        <v>43983</v>
      </c>
      <c r="B177" s="4" t="s">
        <v>146</v>
      </c>
      <c r="C177" s="126">
        <v>18270000</v>
      </c>
      <c r="D177" s="169">
        <v>60000000</v>
      </c>
      <c r="E177" s="177">
        <f t="shared" si="3"/>
        <v>-41730000</v>
      </c>
    </row>
    <row r="178" spans="1:5" x14ac:dyDescent="0.3">
      <c r="A178" s="6">
        <v>43983</v>
      </c>
      <c r="B178" s="4" t="s">
        <v>74</v>
      </c>
      <c r="C178" s="127">
        <v>21650000</v>
      </c>
      <c r="D178" s="169">
        <v>42000000</v>
      </c>
      <c r="E178" s="177">
        <f t="shared" si="3"/>
        <v>-20350000</v>
      </c>
    </row>
    <row r="179" spans="1:5" x14ac:dyDescent="0.3">
      <c r="A179" s="6">
        <v>43983</v>
      </c>
      <c r="B179" s="4" t="s">
        <v>108</v>
      </c>
      <c r="C179" s="346">
        <v>15266680</v>
      </c>
      <c r="D179" s="185">
        <v>30000000</v>
      </c>
      <c r="E179" s="177">
        <f t="shared" si="3"/>
        <v>-14733320</v>
      </c>
    </row>
    <row r="180" spans="1:5" x14ac:dyDescent="0.3">
      <c r="A180" s="6">
        <v>43983</v>
      </c>
      <c r="B180" s="4" t="s">
        <v>145</v>
      </c>
      <c r="C180" s="126">
        <v>22100000</v>
      </c>
      <c r="D180" s="190">
        <v>33000000</v>
      </c>
      <c r="E180" s="177">
        <f t="shared" si="3"/>
        <v>-10900000</v>
      </c>
    </row>
    <row r="181" spans="1:5" x14ac:dyDescent="0.3">
      <c r="A181" s="6">
        <v>43983</v>
      </c>
      <c r="B181" s="4" t="s">
        <v>233</v>
      </c>
      <c r="C181" s="345">
        <v>3300000</v>
      </c>
      <c r="D181" s="171">
        <v>37000000</v>
      </c>
      <c r="E181" s="177">
        <f t="shared" si="3"/>
        <v>-33700000</v>
      </c>
    </row>
    <row r="182" spans="1:5" x14ac:dyDescent="0.3">
      <c r="A182" s="6">
        <v>43983</v>
      </c>
      <c r="B182" s="4" t="s">
        <v>199</v>
      </c>
      <c r="C182" s="344">
        <v>35820000</v>
      </c>
      <c r="D182" s="169">
        <v>45000000</v>
      </c>
      <c r="E182" s="177">
        <f t="shared" si="3"/>
        <v>-9180000</v>
      </c>
    </row>
    <row r="183" spans="1:5" x14ac:dyDescent="0.3">
      <c r="A183" s="6">
        <v>44013</v>
      </c>
      <c r="B183" s="4" t="s">
        <v>146</v>
      </c>
      <c r="C183" s="126">
        <v>35933600</v>
      </c>
      <c r="D183" s="169">
        <v>60000000</v>
      </c>
      <c r="E183" s="177">
        <f t="shared" si="3"/>
        <v>-24066400</v>
      </c>
    </row>
    <row r="184" spans="1:5" x14ac:dyDescent="0.3">
      <c r="A184" s="6">
        <v>44013</v>
      </c>
      <c r="B184" s="4" t="s">
        <v>74</v>
      </c>
      <c r="C184" s="127">
        <v>47398760</v>
      </c>
      <c r="D184" s="169">
        <v>42000000</v>
      </c>
      <c r="E184" s="177">
        <f t="shared" si="3"/>
        <v>5398760</v>
      </c>
    </row>
    <row r="185" spans="1:5" x14ac:dyDescent="0.3">
      <c r="A185" s="6">
        <v>44013</v>
      </c>
      <c r="B185" s="4" t="s">
        <v>108</v>
      </c>
      <c r="C185" s="346">
        <v>18200000</v>
      </c>
      <c r="D185" s="185">
        <v>30000000</v>
      </c>
      <c r="E185" s="177">
        <f t="shared" si="3"/>
        <v>-11800000</v>
      </c>
    </row>
    <row r="186" spans="1:5" x14ac:dyDescent="0.3">
      <c r="A186" s="6">
        <v>44013</v>
      </c>
      <c r="B186" s="4" t="s">
        <v>145</v>
      </c>
      <c r="C186" s="126">
        <v>28391000</v>
      </c>
      <c r="D186" s="190">
        <v>33000000</v>
      </c>
      <c r="E186" s="177">
        <f t="shared" si="3"/>
        <v>-4609000</v>
      </c>
    </row>
    <row r="187" spans="1:5" x14ac:dyDescent="0.3">
      <c r="A187" s="6">
        <v>44013</v>
      </c>
      <c r="B187" s="4" t="s">
        <v>233</v>
      </c>
      <c r="C187" s="211">
        <v>13910000</v>
      </c>
      <c r="D187" s="201">
        <v>37000000</v>
      </c>
      <c r="E187" s="177">
        <f t="shared" si="3"/>
        <v>-23090000</v>
      </c>
    </row>
    <row r="188" spans="1:5" x14ac:dyDescent="0.3">
      <c r="A188" s="6">
        <v>44013</v>
      </c>
      <c r="B188" s="4" t="s">
        <v>199</v>
      </c>
      <c r="C188" s="160">
        <v>47310000</v>
      </c>
      <c r="D188" s="169">
        <v>45000000</v>
      </c>
      <c r="E188" s="177">
        <f t="shared" si="3"/>
        <v>2310000</v>
      </c>
    </row>
    <row r="189" spans="1:5" x14ac:dyDescent="0.3">
      <c r="A189" s="6">
        <v>44044</v>
      </c>
      <c r="B189" s="4" t="s">
        <v>146</v>
      </c>
      <c r="C189" s="126">
        <v>44010000</v>
      </c>
      <c r="D189" s="169">
        <v>60000000</v>
      </c>
      <c r="E189" s="177">
        <f t="shared" si="3"/>
        <v>-15990000</v>
      </c>
    </row>
    <row r="190" spans="1:5" x14ac:dyDescent="0.3">
      <c r="A190" s="6">
        <v>44044</v>
      </c>
      <c r="B190" s="4" t="s">
        <v>74</v>
      </c>
      <c r="C190" s="343">
        <v>17005000</v>
      </c>
      <c r="D190" s="169">
        <v>42000000</v>
      </c>
      <c r="E190" s="177">
        <f t="shared" si="3"/>
        <v>-24995000</v>
      </c>
    </row>
    <row r="191" spans="1:5" x14ac:dyDescent="0.3">
      <c r="A191" s="6">
        <v>44044</v>
      </c>
      <c r="B191" s="4" t="s">
        <v>108</v>
      </c>
      <c r="C191" s="346">
        <v>19460000</v>
      </c>
      <c r="D191" s="185">
        <v>30000000</v>
      </c>
      <c r="E191" s="177">
        <f t="shared" si="3"/>
        <v>-10540000</v>
      </c>
    </row>
    <row r="192" spans="1:5" x14ac:dyDescent="0.3">
      <c r="A192" s="6">
        <v>44044</v>
      </c>
      <c r="B192" s="307" t="s">
        <v>145</v>
      </c>
      <c r="C192" s="126">
        <v>11030000</v>
      </c>
      <c r="D192" s="190">
        <v>33000000</v>
      </c>
      <c r="E192" s="177">
        <f t="shared" si="3"/>
        <v>-21970000</v>
      </c>
    </row>
    <row r="193" spans="1:5" x14ac:dyDescent="0.3">
      <c r="A193" s="6">
        <v>44044</v>
      </c>
      <c r="B193" s="4" t="s">
        <v>233</v>
      </c>
      <c r="C193" s="345">
        <v>7010000</v>
      </c>
      <c r="D193" s="171">
        <v>37000000</v>
      </c>
      <c r="E193" s="177">
        <f t="shared" si="3"/>
        <v>-29990000</v>
      </c>
    </row>
    <row r="194" spans="1:5" x14ac:dyDescent="0.3">
      <c r="A194" s="6">
        <v>44044</v>
      </c>
      <c r="B194" s="4" t="s">
        <v>199</v>
      </c>
      <c r="C194" s="349">
        <v>27620000</v>
      </c>
      <c r="D194" s="169">
        <v>45000000</v>
      </c>
      <c r="E194" s="177">
        <f t="shared" si="3"/>
        <v>-17380000</v>
      </c>
    </row>
    <row r="195" spans="1:5" x14ac:dyDescent="0.3">
      <c r="A195" s="6">
        <v>44075</v>
      </c>
      <c r="B195" s="4" t="s">
        <v>146</v>
      </c>
      <c r="C195" s="179">
        <v>60045000</v>
      </c>
      <c r="D195" s="169">
        <v>60000000</v>
      </c>
      <c r="E195" s="177">
        <f t="shared" si="3"/>
        <v>45000</v>
      </c>
    </row>
    <row r="196" spans="1:5" x14ac:dyDescent="0.3">
      <c r="A196" s="6">
        <v>44075</v>
      </c>
      <c r="B196" s="4" t="s">
        <v>74</v>
      </c>
      <c r="C196" s="343">
        <v>31960980</v>
      </c>
      <c r="D196" s="176">
        <v>42000000</v>
      </c>
      <c r="E196" s="177">
        <f t="shared" si="3"/>
        <v>-10039020</v>
      </c>
    </row>
    <row r="197" spans="1:5" x14ac:dyDescent="0.3">
      <c r="A197" s="6">
        <v>44075</v>
      </c>
      <c r="B197" s="4" t="s">
        <v>108</v>
      </c>
      <c r="C197" s="346">
        <v>18400000</v>
      </c>
      <c r="D197" s="185">
        <v>30000000</v>
      </c>
      <c r="E197" s="177">
        <f t="shared" si="3"/>
        <v>-11600000</v>
      </c>
    </row>
    <row r="198" spans="1:5" x14ac:dyDescent="0.3">
      <c r="A198" s="6">
        <v>44075</v>
      </c>
      <c r="B198" s="307" t="s">
        <v>145</v>
      </c>
      <c r="C198" s="179">
        <v>36650000</v>
      </c>
      <c r="D198" s="190">
        <v>33000000</v>
      </c>
      <c r="E198" s="177">
        <f t="shared" si="3"/>
        <v>3650000</v>
      </c>
    </row>
    <row r="199" spans="1:5" x14ac:dyDescent="0.3">
      <c r="A199" s="6">
        <v>44075</v>
      </c>
      <c r="B199" s="4" t="s">
        <v>233</v>
      </c>
      <c r="C199" s="345">
        <v>24490000</v>
      </c>
      <c r="D199" s="201">
        <v>37000000</v>
      </c>
      <c r="E199" s="177">
        <f t="shared" si="3"/>
        <v>-12510000</v>
      </c>
    </row>
    <row r="200" spans="1:5" x14ac:dyDescent="0.3">
      <c r="A200" s="6">
        <v>44075</v>
      </c>
      <c r="B200" s="4" t="s">
        <v>199</v>
      </c>
      <c r="C200" s="179">
        <v>41920000</v>
      </c>
      <c r="D200" s="169">
        <v>45000000</v>
      </c>
      <c r="E200" s="177">
        <f t="shared" si="3"/>
        <v>-3080000</v>
      </c>
    </row>
    <row r="201" spans="1:5" x14ac:dyDescent="0.3">
      <c r="A201" s="6">
        <v>44105</v>
      </c>
      <c r="B201" s="4" t="s">
        <v>146</v>
      </c>
      <c r="C201" s="346">
        <v>29320000</v>
      </c>
      <c r="D201" s="169">
        <v>60000000</v>
      </c>
      <c r="E201" s="177">
        <f t="shared" si="3"/>
        <v>-30680000</v>
      </c>
    </row>
    <row r="202" spans="1:5" x14ac:dyDescent="0.3">
      <c r="A202" s="6">
        <v>44105</v>
      </c>
      <c r="B202" s="4" t="s">
        <v>74</v>
      </c>
      <c r="C202" s="343">
        <v>30350980</v>
      </c>
      <c r="D202" s="176">
        <v>42000000</v>
      </c>
      <c r="E202" s="177">
        <f t="shared" si="3"/>
        <v>-11649020</v>
      </c>
    </row>
    <row r="203" spans="1:5" x14ac:dyDescent="0.3">
      <c r="A203" s="6">
        <v>44105</v>
      </c>
      <c r="B203" s="4" t="s">
        <v>108</v>
      </c>
      <c r="C203" s="346">
        <v>5200000</v>
      </c>
      <c r="D203" s="185">
        <v>30000000</v>
      </c>
      <c r="E203" s="177">
        <f t="shared" si="3"/>
        <v>-24800000</v>
      </c>
    </row>
    <row r="204" spans="1:5" x14ac:dyDescent="0.3">
      <c r="A204" s="6">
        <v>44105</v>
      </c>
      <c r="B204" s="307" t="s">
        <v>145</v>
      </c>
      <c r="C204" s="126">
        <v>13280000</v>
      </c>
      <c r="D204" s="190">
        <v>33000000</v>
      </c>
      <c r="E204" s="177">
        <f t="shared" ref="E204:E272" si="4">C204-D204</f>
        <v>-19720000</v>
      </c>
    </row>
    <row r="205" spans="1:5" x14ac:dyDescent="0.3">
      <c r="A205" s="6">
        <v>44105</v>
      </c>
      <c r="B205" s="4" t="s">
        <v>233</v>
      </c>
      <c r="C205" s="345">
        <v>18820000</v>
      </c>
      <c r="D205" s="201">
        <v>37000000</v>
      </c>
      <c r="E205" s="177">
        <f t="shared" si="4"/>
        <v>-18180000</v>
      </c>
    </row>
    <row r="206" spans="1:5" x14ac:dyDescent="0.3">
      <c r="A206" s="6">
        <v>44105</v>
      </c>
      <c r="B206" s="4" t="s">
        <v>199</v>
      </c>
      <c r="C206" s="179">
        <v>29050000</v>
      </c>
      <c r="D206" s="169">
        <v>45000000</v>
      </c>
      <c r="E206" s="177">
        <f t="shared" si="4"/>
        <v>-15950000</v>
      </c>
    </row>
    <row r="207" spans="1:5" x14ac:dyDescent="0.3">
      <c r="A207" s="6">
        <v>44136</v>
      </c>
      <c r="B207" s="4" t="s">
        <v>146</v>
      </c>
      <c r="C207" s="179">
        <v>60410000</v>
      </c>
      <c r="D207" s="169">
        <v>60000000</v>
      </c>
      <c r="E207" s="177">
        <f t="shared" si="4"/>
        <v>410000</v>
      </c>
    </row>
    <row r="208" spans="1:5" x14ac:dyDescent="0.3">
      <c r="A208" s="6">
        <v>44136</v>
      </c>
      <c r="B208" s="4" t="s">
        <v>74</v>
      </c>
      <c r="C208" s="343">
        <v>37440000</v>
      </c>
      <c r="D208" s="169">
        <v>42000000</v>
      </c>
      <c r="E208" s="177">
        <f t="shared" si="4"/>
        <v>-4560000</v>
      </c>
    </row>
    <row r="209" spans="1:5" x14ac:dyDescent="0.3">
      <c r="A209" s="6">
        <v>44136</v>
      </c>
      <c r="B209" s="4" t="s">
        <v>108</v>
      </c>
      <c r="C209" s="343">
        <v>32750000</v>
      </c>
      <c r="D209" s="185">
        <v>30000000</v>
      </c>
      <c r="E209" s="177">
        <f t="shared" si="4"/>
        <v>2750000</v>
      </c>
    </row>
    <row r="210" spans="1:5" x14ac:dyDescent="0.3">
      <c r="A210" s="6">
        <v>44136</v>
      </c>
      <c r="B210" s="307" t="s">
        <v>145</v>
      </c>
      <c r="C210" s="126">
        <v>29033040</v>
      </c>
      <c r="D210" s="190">
        <v>33000000</v>
      </c>
      <c r="E210" s="177">
        <f t="shared" si="4"/>
        <v>-3966960</v>
      </c>
    </row>
    <row r="211" spans="1:5" x14ac:dyDescent="0.3">
      <c r="A211" s="6">
        <v>44136</v>
      </c>
      <c r="B211" s="4" t="s">
        <v>233</v>
      </c>
      <c r="C211" s="345">
        <v>14080000</v>
      </c>
      <c r="D211" s="201">
        <v>37000000</v>
      </c>
      <c r="E211" s="177">
        <f t="shared" si="4"/>
        <v>-22920000</v>
      </c>
    </row>
    <row r="212" spans="1:5" x14ac:dyDescent="0.3">
      <c r="A212" s="6">
        <v>44136</v>
      </c>
      <c r="B212" s="4" t="s">
        <v>199</v>
      </c>
      <c r="C212" s="179">
        <v>35100000</v>
      </c>
      <c r="D212" s="169">
        <v>45000000</v>
      </c>
      <c r="E212" s="177">
        <f t="shared" si="4"/>
        <v>-9900000</v>
      </c>
    </row>
    <row r="213" spans="1:5" x14ac:dyDescent="0.3">
      <c r="A213" s="6">
        <v>44166</v>
      </c>
      <c r="B213" s="4" t="s">
        <v>146</v>
      </c>
      <c r="C213" s="126">
        <v>39510000</v>
      </c>
      <c r="D213" s="169">
        <v>60000000</v>
      </c>
      <c r="E213" s="177">
        <f t="shared" si="4"/>
        <v>-20490000</v>
      </c>
    </row>
    <row r="214" spans="1:5" x14ac:dyDescent="0.3">
      <c r="A214" s="6">
        <v>44166</v>
      </c>
      <c r="B214" s="4" t="s">
        <v>74</v>
      </c>
      <c r="C214" s="347">
        <v>23875000</v>
      </c>
      <c r="D214" s="169">
        <v>42000000</v>
      </c>
      <c r="E214" s="177">
        <f t="shared" si="4"/>
        <v>-18125000</v>
      </c>
    </row>
    <row r="215" spans="1:5" x14ac:dyDescent="0.3">
      <c r="A215" s="6">
        <v>44166</v>
      </c>
      <c r="B215" s="4" t="s">
        <v>108</v>
      </c>
      <c r="C215" s="347">
        <v>20150000</v>
      </c>
      <c r="D215" s="185">
        <v>30000000</v>
      </c>
      <c r="E215" s="177">
        <f t="shared" si="4"/>
        <v>-9850000</v>
      </c>
    </row>
    <row r="216" spans="1:5" x14ac:dyDescent="0.3">
      <c r="A216" s="294">
        <v>44166</v>
      </c>
      <c r="B216" s="350" t="s">
        <v>145</v>
      </c>
      <c r="C216" s="177">
        <v>10525000</v>
      </c>
      <c r="D216" s="190">
        <v>33000000</v>
      </c>
      <c r="E216" s="347">
        <f t="shared" si="4"/>
        <v>-22475000</v>
      </c>
    </row>
    <row r="217" spans="1:5" x14ac:dyDescent="0.3">
      <c r="A217" s="6">
        <v>44166</v>
      </c>
      <c r="B217" s="4" t="s">
        <v>233</v>
      </c>
      <c r="C217" s="344"/>
      <c r="D217" s="355">
        <v>37000000</v>
      </c>
      <c r="E217" s="177">
        <f t="shared" si="4"/>
        <v>-37000000</v>
      </c>
    </row>
    <row r="218" spans="1:5" x14ac:dyDescent="0.3">
      <c r="A218" s="351">
        <v>44166</v>
      </c>
      <c r="B218" s="307" t="s">
        <v>199</v>
      </c>
      <c r="C218" s="344"/>
      <c r="D218" s="354">
        <v>45000000</v>
      </c>
      <c r="E218" s="177">
        <f t="shared" si="4"/>
        <v>-45000000</v>
      </c>
    </row>
    <row r="219" spans="1:5" x14ac:dyDescent="0.3">
      <c r="A219" s="6">
        <v>44197</v>
      </c>
      <c r="B219" s="4" t="s">
        <v>146</v>
      </c>
      <c r="C219" s="222">
        <f>(C3+C75+C147)/3</f>
        <v>57559916.666666664</v>
      </c>
      <c r="D219" s="160">
        <v>66000000</v>
      </c>
      <c r="E219" s="177">
        <f>C219-D219</f>
        <v>-8440083.3333333358</v>
      </c>
    </row>
    <row r="220" spans="1:5" x14ac:dyDescent="0.3">
      <c r="A220" s="6">
        <v>44197</v>
      </c>
      <c r="B220" s="4" t="s">
        <v>74</v>
      </c>
      <c r="C220" s="288">
        <v>29750000</v>
      </c>
      <c r="D220" s="169">
        <v>45000000</v>
      </c>
      <c r="E220" s="177">
        <f t="shared" ref="E220" si="5">C220-D220</f>
        <v>-15250000</v>
      </c>
    </row>
    <row r="221" spans="1:5" x14ac:dyDescent="0.3">
      <c r="A221" s="6">
        <v>44197</v>
      </c>
      <c r="B221" s="4" t="s">
        <v>108</v>
      </c>
      <c r="C221" s="288">
        <v>29450000</v>
      </c>
      <c r="D221" s="185">
        <v>30000000</v>
      </c>
      <c r="E221" s="177">
        <f t="shared" si="4"/>
        <v>-550000</v>
      </c>
    </row>
    <row r="222" spans="1:5" x14ac:dyDescent="0.3">
      <c r="A222" s="6">
        <v>44197</v>
      </c>
      <c r="B222" s="4" t="s">
        <v>145</v>
      </c>
      <c r="C222" s="127">
        <v>33325000</v>
      </c>
      <c r="D222" s="177">
        <v>35000000</v>
      </c>
      <c r="E222" s="177">
        <f t="shared" si="4"/>
        <v>-1675000</v>
      </c>
    </row>
    <row r="223" spans="1:5" x14ac:dyDescent="0.3">
      <c r="A223" s="6">
        <v>44197</v>
      </c>
      <c r="B223" s="4" t="s">
        <v>233</v>
      </c>
      <c r="C223" s="211">
        <f>(C7+C79+C151)/3</f>
        <v>13380000</v>
      </c>
      <c r="D223" s="201"/>
      <c r="E223" s="177"/>
    </row>
    <row r="224" spans="1:5" x14ac:dyDescent="0.3">
      <c r="A224" s="6">
        <v>44197</v>
      </c>
      <c r="B224" s="4" t="s">
        <v>199</v>
      </c>
      <c r="C224" s="241">
        <v>31750000</v>
      </c>
      <c r="D224" s="110">
        <v>50000000</v>
      </c>
      <c r="E224" s="177">
        <f t="shared" si="4"/>
        <v>-18250000</v>
      </c>
    </row>
    <row r="225" spans="1:5" x14ac:dyDescent="0.3">
      <c r="A225" s="6">
        <v>44228</v>
      </c>
      <c r="B225" s="4" t="s">
        <v>146</v>
      </c>
      <c r="C225" s="127">
        <f>(C9+C81+C153)/3</f>
        <v>53866666.666666664</v>
      </c>
      <c r="D225" s="160">
        <v>66000000</v>
      </c>
      <c r="E225" s="177">
        <f>C225-D225</f>
        <v>-12133333.333333336</v>
      </c>
    </row>
    <row r="226" spans="1:5" x14ac:dyDescent="0.3">
      <c r="A226" s="6">
        <v>44228</v>
      </c>
      <c r="B226" s="4" t="s">
        <v>74</v>
      </c>
      <c r="C226" s="342">
        <v>52200000</v>
      </c>
      <c r="D226" s="169">
        <v>45000000</v>
      </c>
      <c r="E226" s="177">
        <f t="shared" ref="E226" si="6">C226-D226</f>
        <v>7200000</v>
      </c>
    </row>
    <row r="227" spans="1:5" x14ac:dyDescent="0.3">
      <c r="A227" s="6">
        <v>44228</v>
      </c>
      <c r="B227" s="4" t="s">
        <v>108</v>
      </c>
      <c r="C227" s="342">
        <v>38675000</v>
      </c>
      <c r="D227" s="185">
        <v>30000000</v>
      </c>
      <c r="E227" s="177">
        <f t="shared" si="4"/>
        <v>8675000</v>
      </c>
    </row>
    <row r="228" spans="1:5" x14ac:dyDescent="0.3">
      <c r="A228" s="6">
        <v>44228</v>
      </c>
      <c r="B228" s="4" t="s">
        <v>145</v>
      </c>
      <c r="C228" s="127">
        <v>41550000</v>
      </c>
      <c r="D228" s="177">
        <v>35000000</v>
      </c>
      <c r="E228" s="177">
        <f t="shared" si="4"/>
        <v>6550000</v>
      </c>
    </row>
    <row r="229" spans="1:5" x14ac:dyDescent="0.3">
      <c r="A229" s="6">
        <v>44228</v>
      </c>
      <c r="B229" s="4" t="s">
        <v>233</v>
      </c>
      <c r="C229" s="345">
        <f>(C13+C85+C157)/3</f>
        <v>17324934.666666668</v>
      </c>
      <c r="D229" s="201"/>
      <c r="E229" s="177"/>
    </row>
    <row r="230" spans="1:5" x14ac:dyDescent="0.3">
      <c r="A230" s="6">
        <v>44228</v>
      </c>
      <c r="B230" s="4" t="s">
        <v>199</v>
      </c>
      <c r="C230" s="241">
        <v>43360000</v>
      </c>
      <c r="D230" s="110">
        <v>50000000</v>
      </c>
      <c r="E230" s="177">
        <f t="shared" si="4"/>
        <v>-6640000</v>
      </c>
    </row>
    <row r="231" spans="1:5" x14ac:dyDescent="0.3">
      <c r="A231" s="6">
        <v>44256</v>
      </c>
      <c r="B231" s="4" t="s">
        <v>146</v>
      </c>
      <c r="C231" s="177">
        <f>(C15+C87+C159)/3</f>
        <v>37713333.333333336</v>
      </c>
      <c r="D231" s="160">
        <v>66000000</v>
      </c>
      <c r="E231" s="177">
        <f>C231-D231</f>
        <v>-28286666.666666664</v>
      </c>
    </row>
    <row r="232" spans="1:5" x14ac:dyDescent="0.3">
      <c r="A232" s="6">
        <v>44256</v>
      </c>
      <c r="B232" s="4" t="s">
        <v>74</v>
      </c>
      <c r="C232" s="268">
        <v>49208897</v>
      </c>
      <c r="D232" s="169">
        <v>45000000</v>
      </c>
      <c r="E232" s="177">
        <f t="shared" ref="E232" si="7">C232-D232</f>
        <v>4208897</v>
      </c>
    </row>
    <row r="233" spans="1:5" x14ac:dyDescent="0.3">
      <c r="A233" s="6">
        <v>44256</v>
      </c>
      <c r="B233" s="4" t="s">
        <v>108</v>
      </c>
      <c r="C233" s="288">
        <v>24850000</v>
      </c>
      <c r="D233" s="185">
        <v>30000000</v>
      </c>
      <c r="E233" s="177">
        <f t="shared" si="4"/>
        <v>-5150000</v>
      </c>
    </row>
    <row r="234" spans="1:5" x14ac:dyDescent="0.3">
      <c r="A234" s="6">
        <v>44256</v>
      </c>
      <c r="B234" s="4" t="s">
        <v>145</v>
      </c>
      <c r="C234" s="127">
        <v>37630000</v>
      </c>
      <c r="D234" s="177">
        <v>35000000</v>
      </c>
      <c r="E234" s="177">
        <f t="shared" si="4"/>
        <v>2630000</v>
      </c>
    </row>
    <row r="235" spans="1:5" x14ac:dyDescent="0.3">
      <c r="A235" s="6">
        <v>44256</v>
      </c>
      <c r="B235" s="4" t="s">
        <v>233</v>
      </c>
      <c r="C235" s="345">
        <f>(C19+C91+C163)/3</f>
        <v>12721000</v>
      </c>
      <c r="D235" s="201"/>
      <c r="E235" s="177"/>
    </row>
    <row r="236" spans="1:5" x14ac:dyDescent="0.3">
      <c r="A236" s="6">
        <v>44256</v>
      </c>
      <c r="B236" s="4" t="s">
        <v>199</v>
      </c>
      <c r="C236" s="241">
        <v>45920000</v>
      </c>
      <c r="D236" s="110">
        <v>50000000</v>
      </c>
      <c r="E236" s="177">
        <f t="shared" si="4"/>
        <v>-4080000</v>
      </c>
    </row>
    <row r="237" spans="1:5" x14ac:dyDescent="0.3">
      <c r="A237" s="6">
        <v>44287</v>
      </c>
      <c r="B237" s="4" t="s">
        <v>146</v>
      </c>
      <c r="C237" s="126">
        <f>(C21+C93+C165)/3</f>
        <v>27355000</v>
      </c>
      <c r="D237" s="160">
        <v>66000000</v>
      </c>
      <c r="E237" s="177">
        <f>C237-D237</f>
        <v>-38645000</v>
      </c>
    </row>
    <row r="238" spans="1:5" x14ac:dyDescent="0.3">
      <c r="A238" s="6">
        <v>44287</v>
      </c>
      <c r="B238" s="4" t="s">
        <v>74</v>
      </c>
      <c r="C238" s="288">
        <v>33500000</v>
      </c>
      <c r="D238" s="169">
        <v>45000000</v>
      </c>
      <c r="E238" s="177">
        <f t="shared" ref="E238" si="8">C238-D238</f>
        <v>-11500000</v>
      </c>
    </row>
    <row r="239" spans="1:5" x14ac:dyDescent="0.3">
      <c r="A239" s="6">
        <v>44287</v>
      </c>
      <c r="B239" s="4" t="s">
        <v>108</v>
      </c>
      <c r="C239" s="288">
        <v>28730000</v>
      </c>
      <c r="D239" s="185">
        <v>30000000</v>
      </c>
      <c r="E239" s="177">
        <f t="shared" si="4"/>
        <v>-1270000</v>
      </c>
    </row>
    <row r="240" spans="1:5" x14ac:dyDescent="0.3">
      <c r="A240" s="6">
        <v>44287</v>
      </c>
      <c r="B240" s="4" t="s">
        <v>145</v>
      </c>
      <c r="C240" s="127">
        <v>26470000</v>
      </c>
      <c r="D240" s="177">
        <v>35000000</v>
      </c>
      <c r="E240" s="177">
        <f t="shared" si="4"/>
        <v>-8530000</v>
      </c>
    </row>
    <row r="241" spans="1:5" x14ac:dyDescent="0.3">
      <c r="A241" s="6">
        <v>44287</v>
      </c>
      <c r="B241" s="4" t="s">
        <v>233</v>
      </c>
      <c r="C241" s="345">
        <f>(C25+C97+C169)/3</f>
        <v>4986666.666666667</v>
      </c>
      <c r="D241" s="201"/>
      <c r="E241" s="177"/>
    </row>
    <row r="242" spans="1:5" x14ac:dyDescent="0.3">
      <c r="A242" s="6">
        <v>44287</v>
      </c>
      <c r="B242" s="4" t="s">
        <v>199</v>
      </c>
      <c r="C242" s="241">
        <v>32700000</v>
      </c>
      <c r="D242" s="110">
        <v>50000000</v>
      </c>
      <c r="E242" s="177">
        <f t="shared" si="4"/>
        <v>-17300000</v>
      </c>
    </row>
    <row r="243" spans="1:5" x14ac:dyDescent="0.3">
      <c r="A243" s="6">
        <v>44317</v>
      </c>
      <c r="B243" s="4" t="s">
        <v>146</v>
      </c>
      <c r="C243" s="126">
        <f>(C27+C99+C171)/3</f>
        <v>29688333.333333332</v>
      </c>
      <c r="D243" s="160">
        <v>66000000</v>
      </c>
      <c r="E243" s="177">
        <f>C243-D243</f>
        <v>-36311666.666666672</v>
      </c>
    </row>
    <row r="244" spans="1:5" x14ac:dyDescent="0.3">
      <c r="A244" s="6">
        <v>44317</v>
      </c>
      <c r="B244" s="4" t="s">
        <v>74</v>
      </c>
      <c r="C244" s="348">
        <v>61874000</v>
      </c>
      <c r="D244" s="169">
        <v>45000000</v>
      </c>
      <c r="E244" s="177">
        <f t="shared" ref="E244" si="9">C244-D244</f>
        <v>16874000</v>
      </c>
    </row>
    <row r="245" spans="1:5" x14ac:dyDescent="0.3">
      <c r="A245" s="6">
        <v>44317</v>
      </c>
      <c r="B245" s="4" t="s">
        <v>108</v>
      </c>
      <c r="C245" s="268">
        <v>33300000</v>
      </c>
      <c r="D245" s="185">
        <v>30000000</v>
      </c>
      <c r="E245" s="177">
        <f t="shared" si="4"/>
        <v>3300000</v>
      </c>
    </row>
    <row r="246" spans="1:5" x14ac:dyDescent="0.3">
      <c r="A246" s="6">
        <v>44317</v>
      </c>
      <c r="B246" s="4" t="s">
        <v>145</v>
      </c>
      <c r="C246" s="127">
        <v>31750000</v>
      </c>
      <c r="D246" s="177">
        <v>35000000</v>
      </c>
      <c r="E246" s="177">
        <f t="shared" si="4"/>
        <v>-3250000</v>
      </c>
    </row>
    <row r="247" spans="1:5" x14ac:dyDescent="0.3">
      <c r="A247" s="6">
        <v>44317</v>
      </c>
      <c r="B247" s="4" t="s">
        <v>233</v>
      </c>
      <c r="C247" s="345">
        <f>(C31+C103+C175)/3</f>
        <v>9176666.666666666</v>
      </c>
      <c r="D247" s="201"/>
      <c r="E247" s="177"/>
    </row>
    <row r="248" spans="1:5" x14ac:dyDescent="0.3">
      <c r="A248" s="6">
        <v>44317</v>
      </c>
      <c r="B248" s="4" t="s">
        <v>199</v>
      </c>
      <c r="C248" s="241">
        <v>48700000</v>
      </c>
      <c r="D248" s="110">
        <v>50000000</v>
      </c>
      <c r="E248" s="177">
        <f t="shared" si="4"/>
        <v>-1300000</v>
      </c>
    </row>
    <row r="249" spans="1:5" x14ac:dyDescent="0.3">
      <c r="A249" s="6">
        <v>44348</v>
      </c>
      <c r="B249" s="4" t="s">
        <v>146</v>
      </c>
      <c r="C249" s="126">
        <f>(C33+C105+C177)/3</f>
        <v>28416666.666666668</v>
      </c>
      <c r="D249" s="160">
        <v>66000000</v>
      </c>
      <c r="E249" s="177">
        <f>C249-D249</f>
        <v>-37583333.333333328</v>
      </c>
    </row>
    <row r="250" spans="1:5" ht="15.6" customHeight="1" x14ac:dyDescent="0.3">
      <c r="A250" s="6">
        <v>44348</v>
      </c>
      <c r="B250" s="4" t="s">
        <v>74</v>
      </c>
      <c r="C250" s="288">
        <v>35820000</v>
      </c>
      <c r="D250" s="169">
        <v>45000000</v>
      </c>
      <c r="E250" s="177">
        <f>C250-D250</f>
        <v>-9180000</v>
      </c>
    </row>
    <row r="251" spans="1:5" x14ac:dyDescent="0.3">
      <c r="A251" s="6">
        <v>44348</v>
      </c>
      <c r="B251" s="4" t="s">
        <v>108</v>
      </c>
      <c r="C251" s="360">
        <v>26050000</v>
      </c>
      <c r="D251" s="185">
        <v>30000000</v>
      </c>
      <c r="E251" s="177">
        <f t="shared" si="4"/>
        <v>-3950000</v>
      </c>
    </row>
    <row r="252" spans="1:5" x14ac:dyDescent="0.3">
      <c r="A252" s="6">
        <v>44348</v>
      </c>
      <c r="B252" s="4" t="s">
        <v>145</v>
      </c>
      <c r="C252" s="127">
        <v>23880000</v>
      </c>
      <c r="D252" s="177">
        <v>35000000</v>
      </c>
      <c r="E252" s="177">
        <f t="shared" si="4"/>
        <v>-11120000</v>
      </c>
    </row>
    <row r="253" spans="1:5" x14ac:dyDescent="0.3">
      <c r="A253" s="6">
        <v>44348</v>
      </c>
      <c r="B253" s="4" t="s">
        <v>233</v>
      </c>
      <c r="C253" s="345">
        <f>(C37+C109+C181)/3</f>
        <v>10470832</v>
      </c>
      <c r="D253" s="201"/>
      <c r="E253" s="177"/>
    </row>
    <row r="254" spans="1:5" x14ac:dyDescent="0.3">
      <c r="A254" s="6">
        <v>44348</v>
      </c>
      <c r="B254" s="4" t="s">
        <v>199</v>
      </c>
      <c r="C254" s="241">
        <v>35700000</v>
      </c>
      <c r="D254" s="110">
        <v>50000000</v>
      </c>
      <c r="E254" s="177">
        <f t="shared" si="4"/>
        <v>-14300000</v>
      </c>
    </row>
    <row r="255" spans="1:5" x14ac:dyDescent="0.3">
      <c r="A255" s="6">
        <v>44378</v>
      </c>
      <c r="B255" s="4" t="s">
        <v>146</v>
      </c>
      <c r="C255" s="126">
        <f>(C39+C111+C183)/3</f>
        <v>49101200</v>
      </c>
      <c r="D255" s="160">
        <v>66000000</v>
      </c>
      <c r="E255" s="177">
        <f>C255-D255</f>
        <v>-16898800</v>
      </c>
    </row>
    <row r="256" spans="1:5" x14ac:dyDescent="0.3">
      <c r="A256" s="6">
        <v>44378</v>
      </c>
      <c r="B256" s="4" t="s">
        <v>74</v>
      </c>
      <c r="C256" s="288">
        <v>41430000</v>
      </c>
      <c r="D256" s="169">
        <v>45000000</v>
      </c>
      <c r="E256" s="177">
        <f t="shared" ref="E256" si="10">C256-D256</f>
        <v>-3570000</v>
      </c>
    </row>
    <row r="257" spans="1:5" x14ac:dyDescent="0.3">
      <c r="A257" s="6">
        <v>44378</v>
      </c>
      <c r="B257" s="4" t="s">
        <v>108</v>
      </c>
      <c r="C257" s="268">
        <v>31728970</v>
      </c>
      <c r="D257" s="185">
        <v>30000000</v>
      </c>
      <c r="E257" s="177">
        <f t="shared" si="4"/>
        <v>1728970</v>
      </c>
    </row>
    <row r="258" spans="1:5" x14ac:dyDescent="0.3">
      <c r="A258" s="6">
        <v>44378</v>
      </c>
      <c r="B258" s="4" t="s">
        <v>145</v>
      </c>
      <c r="C258" s="127">
        <v>46350000</v>
      </c>
      <c r="D258" s="177">
        <v>35000000</v>
      </c>
      <c r="E258" s="177">
        <f t="shared" si="4"/>
        <v>11350000</v>
      </c>
    </row>
    <row r="259" spans="1:5" x14ac:dyDescent="0.3">
      <c r="A259" s="6">
        <v>44378</v>
      </c>
      <c r="B259" s="4" t="s">
        <v>233</v>
      </c>
      <c r="C259" s="211">
        <f>(C43+C115+C187)/3</f>
        <v>13046666.666666666</v>
      </c>
      <c r="D259" s="201"/>
      <c r="E259" s="177"/>
    </row>
    <row r="260" spans="1:5" x14ac:dyDescent="0.3">
      <c r="A260" s="6">
        <v>44378</v>
      </c>
      <c r="B260" s="4" t="s">
        <v>199</v>
      </c>
      <c r="C260" s="241">
        <v>45556000</v>
      </c>
      <c r="D260" s="110">
        <v>50000000</v>
      </c>
      <c r="E260" s="177">
        <f t="shared" si="4"/>
        <v>-4444000</v>
      </c>
    </row>
    <row r="261" spans="1:5" x14ac:dyDescent="0.3">
      <c r="A261" s="6">
        <v>44409</v>
      </c>
      <c r="B261" s="4" t="s">
        <v>146</v>
      </c>
      <c r="C261" s="126">
        <f>(C45+C117+C189)/3</f>
        <v>40761560</v>
      </c>
      <c r="D261" s="160">
        <v>66000000</v>
      </c>
      <c r="E261" s="177">
        <f>C261-D261</f>
        <v>-25238440</v>
      </c>
    </row>
    <row r="262" spans="1:5" x14ac:dyDescent="0.3">
      <c r="A262" s="6">
        <v>44409</v>
      </c>
      <c r="B262" s="4" t="s">
        <v>74</v>
      </c>
      <c r="C262" s="268">
        <v>48762220</v>
      </c>
      <c r="D262" s="169">
        <v>45000000</v>
      </c>
      <c r="E262" s="177">
        <f t="shared" ref="E262" si="11">C262-D262</f>
        <v>3762220</v>
      </c>
    </row>
    <row r="263" spans="1:5" x14ac:dyDescent="0.3">
      <c r="A263" s="6">
        <v>44409</v>
      </c>
      <c r="B263" s="4" t="s">
        <v>108</v>
      </c>
      <c r="C263" s="268">
        <v>34550000</v>
      </c>
      <c r="D263" s="185">
        <v>30000000</v>
      </c>
      <c r="E263" s="177">
        <f t="shared" si="4"/>
        <v>4550000</v>
      </c>
    </row>
    <row r="264" spans="1:5" x14ac:dyDescent="0.3">
      <c r="A264" s="6">
        <v>44409</v>
      </c>
      <c r="B264" s="307" t="s">
        <v>145</v>
      </c>
      <c r="C264" s="127">
        <v>23550000</v>
      </c>
      <c r="D264" s="177">
        <v>35000000</v>
      </c>
      <c r="E264" s="177">
        <f t="shared" si="4"/>
        <v>-11450000</v>
      </c>
    </row>
    <row r="265" spans="1:5" x14ac:dyDescent="0.3">
      <c r="A265" s="6">
        <v>44409</v>
      </c>
      <c r="B265" s="4" t="s">
        <v>233</v>
      </c>
      <c r="C265" s="345">
        <f>(C49+C121+C193)/3</f>
        <v>12432666.666666666</v>
      </c>
      <c r="D265" s="171"/>
      <c r="E265" s="177"/>
    </row>
    <row r="266" spans="1:5" x14ac:dyDescent="0.3">
      <c r="A266" s="6">
        <v>44409</v>
      </c>
      <c r="B266" s="4" t="s">
        <v>199</v>
      </c>
      <c r="C266" s="241">
        <v>63440000</v>
      </c>
      <c r="D266" s="110">
        <v>50000000</v>
      </c>
      <c r="E266" s="177">
        <f t="shared" si="4"/>
        <v>13440000</v>
      </c>
    </row>
    <row r="267" spans="1:5" x14ac:dyDescent="0.3">
      <c r="A267" s="6">
        <v>44440</v>
      </c>
      <c r="B267" s="4" t="s">
        <v>146</v>
      </c>
      <c r="C267" s="179">
        <f>(C51+C123+C195)/3</f>
        <v>46275000</v>
      </c>
      <c r="D267" s="160">
        <v>66000000</v>
      </c>
      <c r="E267" s="177">
        <f>C267-D267</f>
        <v>-19725000</v>
      </c>
    </row>
    <row r="268" spans="1:5" x14ac:dyDescent="0.3">
      <c r="A268" s="6">
        <v>44440</v>
      </c>
      <c r="B268" s="4" t="s">
        <v>74</v>
      </c>
      <c r="C268" s="282">
        <v>51106015</v>
      </c>
      <c r="D268" s="176">
        <v>45000000</v>
      </c>
      <c r="E268" s="177">
        <f t="shared" ref="E268" si="12">C268-D268</f>
        <v>6106015</v>
      </c>
    </row>
    <row r="269" spans="1:5" x14ac:dyDescent="0.3">
      <c r="A269" s="6">
        <v>44440</v>
      </c>
      <c r="B269" s="4" t="s">
        <v>108</v>
      </c>
      <c r="C269" s="268">
        <v>45300000</v>
      </c>
      <c r="D269" s="185">
        <v>30000000</v>
      </c>
      <c r="E269" s="177">
        <f t="shared" si="4"/>
        <v>15300000</v>
      </c>
    </row>
    <row r="270" spans="1:5" x14ac:dyDescent="0.3">
      <c r="A270" s="6">
        <v>44440</v>
      </c>
      <c r="B270" s="307" t="s">
        <v>145</v>
      </c>
      <c r="C270" s="127">
        <v>35150000</v>
      </c>
      <c r="D270" s="177">
        <v>35000000</v>
      </c>
      <c r="E270" s="177">
        <f t="shared" si="4"/>
        <v>150000</v>
      </c>
    </row>
    <row r="271" spans="1:5" x14ac:dyDescent="0.3">
      <c r="A271" s="6">
        <v>44440</v>
      </c>
      <c r="B271" s="4" t="s">
        <v>233</v>
      </c>
      <c r="C271" s="345">
        <f>(C55+C127+C199)/3</f>
        <v>18246666.666666668</v>
      </c>
      <c r="D271" s="201"/>
      <c r="E271" s="177"/>
    </row>
    <row r="272" spans="1:5" x14ac:dyDescent="0.3">
      <c r="A272" s="6">
        <v>44440</v>
      </c>
      <c r="B272" s="4" t="s">
        <v>199</v>
      </c>
      <c r="C272" s="241">
        <v>79300000</v>
      </c>
      <c r="D272" s="110">
        <v>50000000</v>
      </c>
      <c r="E272" s="177">
        <f t="shared" si="4"/>
        <v>29300000</v>
      </c>
    </row>
    <row r="273" spans="1:5" x14ac:dyDescent="0.3">
      <c r="A273" s="6">
        <v>44470</v>
      </c>
      <c r="B273" s="4" t="s">
        <v>146</v>
      </c>
      <c r="C273" s="346">
        <f>(C57+C129+C201)/3</f>
        <v>42264013.333333336</v>
      </c>
      <c r="D273" s="160">
        <v>66000000</v>
      </c>
      <c r="E273" s="177">
        <f>C273-D273</f>
        <v>-23735986.666666664</v>
      </c>
    </row>
    <row r="274" spans="1:5" x14ac:dyDescent="0.3">
      <c r="A274" s="6">
        <v>44470</v>
      </c>
      <c r="B274" s="4" t="s">
        <v>74</v>
      </c>
      <c r="C274" s="282">
        <v>45560000</v>
      </c>
      <c r="D274" s="176">
        <v>45000000</v>
      </c>
      <c r="E274" s="177">
        <f t="shared" ref="E274:E276" si="13">C274-D274</f>
        <v>560000</v>
      </c>
    </row>
    <row r="275" spans="1:5" x14ac:dyDescent="0.3">
      <c r="A275" s="6">
        <v>44470</v>
      </c>
      <c r="B275" s="4" t="s">
        <v>108</v>
      </c>
      <c r="C275" s="268">
        <v>30354000</v>
      </c>
      <c r="D275" s="185">
        <v>30000000</v>
      </c>
      <c r="E275" s="177">
        <f t="shared" si="13"/>
        <v>354000</v>
      </c>
    </row>
    <row r="276" spans="1:5" x14ac:dyDescent="0.3">
      <c r="A276" s="6">
        <v>44470</v>
      </c>
      <c r="B276" s="307" t="s">
        <v>145</v>
      </c>
      <c r="C276" s="127">
        <v>51530000</v>
      </c>
      <c r="D276" s="177">
        <v>35000000</v>
      </c>
      <c r="E276" s="177">
        <f t="shared" si="13"/>
        <v>16530000</v>
      </c>
    </row>
    <row r="277" spans="1:5" x14ac:dyDescent="0.3">
      <c r="A277" s="6">
        <v>44470</v>
      </c>
      <c r="B277" s="4" t="s">
        <v>233</v>
      </c>
      <c r="C277" s="345">
        <f>(C61+C133+C205)/3</f>
        <v>15333333.333333334</v>
      </c>
      <c r="D277" s="201"/>
      <c r="E277" s="177"/>
    </row>
    <row r="278" spans="1:5" x14ac:dyDescent="0.3">
      <c r="A278" s="6">
        <v>44470</v>
      </c>
      <c r="B278" s="4" t="s">
        <v>199</v>
      </c>
      <c r="C278" s="241">
        <v>43380000</v>
      </c>
      <c r="D278" s="110">
        <v>50000000</v>
      </c>
      <c r="E278" s="177">
        <f t="shared" ref="E278" si="14">C278-D278</f>
        <v>-6620000</v>
      </c>
    </row>
    <row r="279" spans="1:5" x14ac:dyDescent="0.3">
      <c r="A279" s="6">
        <v>44501</v>
      </c>
      <c r="B279" s="4" t="s">
        <v>146</v>
      </c>
      <c r="C279" s="179">
        <f>(C63+C135+C207)/3</f>
        <v>49340000</v>
      </c>
      <c r="D279" s="160">
        <v>66000000</v>
      </c>
      <c r="E279" s="177">
        <f>C279-D279</f>
        <v>-16660000</v>
      </c>
    </row>
    <row r="280" spans="1:5" x14ac:dyDescent="0.3">
      <c r="A280" s="6">
        <v>44501</v>
      </c>
      <c r="B280" s="4" t="s">
        <v>74</v>
      </c>
      <c r="C280" s="226"/>
      <c r="D280" s="169"/>
      <c r="E280" s="177"/>
    </row>
    <row r="281" spans="1:5" x14ac:dyDescent="0.3">
      <c r="A281" s="6">
        <v>44501</v>
      </c>
      <c r="B281" s="4" t="s">
        <v>108</v>
      </c>
      <c r="C281" s="342">
        <v>33300000</v>
      </c>
      <c r="D281" s="185">
        <v>30000000</v>
      </c>
      <c r="E281" s="177">
        <f>C281-D281</f>
        <v>3300000</v>
      </c>
    </row>
    <row r="282" spans="1:5" x14ac:dyDescent="0.3">
      <c r="A282" s="6">
        <v>44501</v>
      </c>
      <c r="B282" s="307" t="s">
        <v>145</v>
      </c>
      <c r="C282" s="127">
        <v>36800000</v>
      </c>
      <c r="D282" s="177">
        <v>35000000</v>
      </c>
      <c r="E282" s="177">
        <f>C282-D282</f>
        <v>1800000</v>
      </c>
    </row>
    <row r="283" spans="1:5" x14ac:dyDescent="0.3">
      <c r="A283" s="6">
        <v>44501</v>
      </c>
      <c r="B283" s="4" t="s">
        <v>233</v>
      </c>
      <c r="C283" s="345">
        <f>(C67+C139+C211)/3</f>
        <v>16586666.666666666</v>
      </c>
      <c r="D283" s="201"/>
      <c r="E283" s="177"/>
    </row>
    <row r="284" spans="1:5" x14ac:dyDescent="0.3">
      <c r="A284" s="6">
        <v>44501</v>
      </c>
      <c r="B284" s="4" t="s">
        <v>199</v>
      </c>
      <c r="C284" s="241">
        <v>67107000</v>
      </c>
      <c r="D284" s="110">
        <v>50000000</v>
      </c>
      <c r="E284" s="177">
        <f>C284-D284</f>
        <v>17107000</v>
      </c>
    </row>
    <row r="285" spans="1:5" x14ac:dyDescent="0.3">
      <c r="A285" s="6">
        <v>44531</v>
      </c>
      <c r="B285" s="4" t="s">
        <v>146</v>
      </c>
      <c r="C285" s="126">
        <f>(C69+C141+C213)/3</f>
        <v>33023333.333333332</v>
      </c>
      <c r="D285" s="160">
        <v>66000000</v>
      </c>
      <c r="E285" s="177">
        <f>C285-D285</f>
        <v>-32976666.666666668</v>
      </c>
    </row>
    <row r="286" spans="1:5" x14ac:dyDescent="0.3">
      <c r="A286" s="6">
        <v>44531</v>
      </c>
      <c r="B286" s="4" t="s">
        <v>74</v>
      </c>
      <c r="C286" s="241"/>
      <c r="D286" s="169"/>
      <c r="E286" s="177"/>
    </row>
    <row r="287" spans="1:5" x14ac:dyDescent="0.3">
      <c r="A287" s="6">
        <v>44531</v>
      </c>
      <c r="B287" s="4" t="s">
        <v>108</v>
      </c>
      <c r="C287" s="288">
        <v>21405000</v>
      </c>
      <c r="D287" s="185">
        <v>30000000</v>
      </c>
      <c r="E287" s="177">
        <f>C287-D287</f>
        <v>-8595000</v>
      </c>
    </row>
    <row r="288" spans="1:5" x14ac:dyDescent="0.3">
      <c r="A288" s="294">
        <v>44531</v>
      </c>
      <c r="B288" s="350" t="s">
        <v>145</v>
      </c>
      <c r="C288" s="127">
        <v>19350000</v>
      </c>
      <c r="D288" s="177">
        <v>35000000</v>
      </c>
      <c r="E288" s="347">
        <f>C288-D288</f>
        <v>-15650000</v>
      </c>
    </row>
    <row r="289" spans="1:5" x14ac:dyDescent="0.3">
      <c r="A289" s="6">
        <v>44531</v>
      </c>
      <c r="B289" s="4" t="s">
        <v>233</v>
      </c>
      <c r="C289" s="344">
        <f>(C73+C145+C217)/3</f>
        <v>23926666.666666668</v>
      </c>
      <c r="D289" s="355"/>
      <c r="E289" s="177"/>
    </row>
    <row r="290" spans="1:5" x14ac:dyDescent="0.3">
      <c r="A290" s="356">
        <v>44531</v>
      </c>
      <c r="B290" s="350" t="s">
        <v>199</v>
      </c>
      <c r="C290" s="268">
        <v>62645000</v>
      </c>
      <c r="D290" s="117">
        <v>50000000</v>
      </c>
      <c r="E290" s="347">
        <f>C290-D290</f>
        <v>12645000</v>
      </c>
    </row>
    <row r="291" spans="1:5" x14ac:dyDescent="0.3">
      <c r="A291" s="6">
        <v>44562</v>
      </c>
      <c r="B291" s="4" t="s">
        <v>146</v>
      </c>
      <c r="C291" s="241">
        <v>69380000</v>
      </c>
      <c r="D291" s="241">
        <v>65000000</v>
      </c>
      <c r="E291" s="177">
        <f>C291-D291</f>
        <v>4380000</v>
      </c>
    </row>
    <row r="292" spans="1:5" x14ac:dyDescent="0.3">
      <c r="A292" s="6">
        <v>44562</v>
      </c>
      <c r="B292" s="341" t="s">
        <v>61</v>
      </c>
      <c r="C292" s="241">
        <v>31792730</v>
      </c>
      <c r="D292" s="241">
        <v>35000000</v>
      </c>
      <c r="E292" s="177">
        <f>C292-D292</f>
        <v>-3207270</v>
      </c>
    </row>
    <row r="293" spans="1:5" x14ac:dyDescent="0.3">
      <c r="A293" s="6">
        <v>44562</v>
      </c>
      <c r="B293" s="341" t="s">
        <v>74</v>
      </c>
      <c r="C293" s="226">
        <v>26050000</v>
      </c>
      <c r="D293" s="241">
        <v>50000000</v>
      </c>
      <c r="E293" s="177">
        <f t="shared" ref="E293" si="15">C293-D293</f>
        <v>-23950000</v>
      </c>
    </row>
    <row r="294" spans="1:5" x14ac:dyDescent="0.3">
      <c r="A294" s="6">
        <v>44562</v>
      </c>
      <c r="B294" s="341" t="s">
        <v>108</v>
      </c>
      <c r="C294" s="177"/>
      <c r="D294" s="177"/>
      <c r="E294" s="177"/>
    </row>
    <row r="295" spans="1:5" x14ac:dyDescent="0.3">
      <c r="A295" s="6">
        <v>44562</v>
      </c>
      <c r="B295" s="4" t="s">
        <v>145</v>
      </c>
      <c r="C295" s="127">
        <v>42000000</v>
      </c>
      <c r="D295" s="241">
        <v>40000000</v>
      </c>
      <c r="E295" s="347">
        <f t="shared" ref="E295:E300" si="16">C295-D295</f>
        <v>2000000</v>
      </c>
    </row>
    <row r="296" spans="1:5" x14ac:dyDescent="0.3">
      <c r="A296" s="6">
        <v>44562</v>
      </c>
      <c r="B296" s="341" t="s">
        <v>199</v>
      </c>
      <c r="C296" s="241">
        <v>71000000</v>
      </c>
      <c r="D296" s="241">
        <v>60000000</v>
      </c>
      <c r="E296" s="347">
        <f t="shared" si="16"/>
        <v>11000000</v>
      </c>
    </row>
    <row r="297" spans="1:5" x14ac:dyDescent="0.3">
      <c r="A297" s="6">
        <v>44562</v>
      </c>
      <c r="B297" s="23" t="s">
        <v>233</v>
      </c>
      <c r="C297" s="241">
        <v>52250000</v>
      </c>
      <c r="D297" s="241">
        <v>50000000</v>
      </c>
      <c r="E297" s="177">
        <f t="shared" si="16"/>
        <v>2250000</v>
      </c>
    </row>
    <row r="298" spans="1:5" x14ac:dyDescent="0.3">
      <c r="A298" s="6">
        <v>44562</v>
      </c>
      <c r="B298" s="341" t="s">
        <v>220</v>
      </c>
      <c r="C298" s="162">
        <v>48880000</v>
      </c>
      <c r="D298" s="241">
        <v>45000000</v>
      </c>
      <c r="E298" s="177">
        <f t="shared" si="16"/>
        <v>3880000</v>
      </c>
    </row>
    <row r="299" spans="1:5" x14ac:dyDescent="0.3">
      <c r="A299" s="6">
        <v>44593</v>
      </c>
      <c r="B299" s="4" t="s">
        <v>146</v>
      </c>
      <c r="C299" s="241">
        <v>75170000</v>
      </c>
      <c r="D299" s="241">
        <v>65000000</v>
      </c>
      <c r="E299" s="177">
        <f t="shared" si="16"/>
        <v>10170000</v>
      </c>
    </row>
    <row r="300" spans="1:5" x14ac:dyDescent="0.3">
      <c r="A300" s="6">
        <v>44593</v>
      </c>
      <c r="B300" s="341" t="s">
        <v>61</v>
      </c>
      <c r="C300" s="173">
        <v>29920000</v>
      </c>
      <c r="D300" s="241">
        <v>35000000</v>
      </c>
      <c r="E300" s="177">
        <f t="shared" si="16"/>
        <v>-5080000</v>
      </c>
    </row>
    <row r="301" spans="1:5" x14ac:dyDescent="0.3">
      <c r="A301" s="6">
        <v>44593</v>
      </c>
      <c r="B301" s="341" t="s">
        <v>74</v>
      </c>
      <c r="C301" s="241">
        <v>73420000</v>
      </c>
      <c r="D301" s="241">
        <v>50000000</v>
      </c>
      <c r="E301" s="177">
        <f t="shared" ref="E301" si="17">C301-D301</f>
        <v>23420000</v>
      </c>
    </row>
    <row r="302" spans="1:5" x14ac:dyDescent="0.3">
      <c r="A302" s="6">
        <v>44593</v>
      </c>
      <c r="B302" s="341" t="s">
        <v>108</v>
      </c>
      <c r="C302" s="177"/>
      <c r="D302" s="177"/>
      <c r="E302" s="177"/>
    </row>
    <row r="303" spans="1:5" x14ac:dyDescent="0.3">
      <c r="A303" s="6">
        <v>44593</v>
      </c>
      <c r="B303" s="4" t="s">
        <v>145</v>
      </c>
      <c r="C303" s="127">
        <v>53940000</v>
      </c>
      <c r="D303" s="241">
        <v>40000000</v>
      </c>
      <c r="E303" s="347">
        <f t="shared" ref="E303:E308" si="18">C303-D303</f>
        <v>13940000</v>
      </c>
    </row>
    <row r="304" spans="1:5" x14ac:dyDescent="0.3">
      <c r="A304" s="6">
        <v>44593</v>
      </c>
      <c r="B304" s="341" t="s">
        <v>199</v>
      </c>
      <c r="C304" s="241">
        <v>80680000</v>
      </c>
      <c r="D304" s="241">
        <v>60000000</v>
      </c>
      <c r="E304" s="347">
        <f t="shared" si="18"/>
        <v>20680000</v>
      </c>
    </row>
    <row r="305" spans="1:5" x14ac:dyDescent="0.3">
      <c r="A305" s="6">
        <v>44593</v>
      </c>
      <c r="B305" s="23" t="s">
        <v>233</v>
      </c>
      <c r="C305" s="241">
        <v>55927845</v>
      </c>
      <c r="D305" s="241">
        <v>50000000</v>
      </c>
      <c r="E305" s="177">
        <f t="shared" si="18"/>
        <v>5927845</v>
      </c>
    </row>
    <row r="306" spans="1:5" x14ac:dyDescent="0.3">
      <c r="A306" s="6">
        <v>44593</v>
      </c>
      <c r="B306" s="341" t="s">
        <v>220</v>
      </c>
      <c r="C306" s="338">
        <v>40960000</v>
      </c>
      <c r="D306" s="241">
        <v>45000000</v>
      </c>
      <c r="E306" s="177">
        <f t="shared" si="18"/>
        <v>-4040000</v>
      </c>
    </row>
    <row r="307" spans="1:5" x14ac:dyDescent="0.3">
      <c r="A307" s="6">
        <v>44621</v>
      </c>
      <c r="B307" s="4" t="s">
        <v>146</v>
      </c>
      <c r="C307" s="173">
        <v>58160000</v>
      </c>
      <c r="D307" s="241">
        <v>65000000</v>
      </c>
      <c r="E307" s="177">
        <f t="shared" si="18"/>
        <v>-6840000</v>
      </c>
    </row>
    <row r="308" spans="1:5" x14ac:dyDescent="0.3">
      <c r="A308" s="6">
        <v>44621</v>
      </c>
      <c r="B308" s="341" t="s">
        <v>61</v>
      </c>
      <c r="C308" s="173">
        <v>33500000</v>
      </c>
      <c r="D308" s="241">
        <v>35000000</v>
      </c>
      <c r="E308" s="177">
        <f t="shared" si="18"/>
        <v>-1500000</v>
      </c>
    </row>
    <row r="309" spans="1:5" x14ac:dyDescent="0.3">
      <c r="A309" s="6">
        <v>44621</v>
      </c>
      <c r="B309" s="341" t="s">
        <v>74</v>
      </c>
      <c r="C309" s="173">
        <v>42380000</v>
      </c>
      <c r="D309" s="241">
        <v>50000000</v>
      </c>
      <c r="E309" s="177">
        <f t="shared" ref="E309" si="19">C309-D309</f>
        <v>-7620000</v>
      </c>
    </row>
    <row r="310" spans="1:5" x14ac:dyDescent="0.3">
      <c r="A310" s="6">
        <v>44621</v>
      </c>
      <c r="B310" s="341" t="s">
        <v>108</v>
      </c>
      <c r="C310" s="177"/>
      <c r="D310" s="177"/>
      <c r="E310" s="177"/>
    </row>
    <row r="311" spans="1:5" x14ac:dyDescent="0.3">
      <c r="A311" s="6">
        <v>44621</v>
      </c>
      <c r="B311" s="4" t="s">
        <v>145</v>
      </c>
      <c r="C311" s="127">
        <v>72810000</v>
      </c>
      <c r="D311" s="241">
        <v>40000000</v>
      </c>
      <c r="E311" s="347">
        <f t="shared" ref="E311:E316" si="20">C311-D311</f>
        <v>32810000</v>
      </c>
    </row>
    <row r="312" spans="1:5" x14ac:dyDescent="0.3">
      <c r="A312" s="6">
        <v>44621</v>
      </c>
      <c r="B312" s="341" t="s">
        <v>199</v>
      </c>
      <c r="C312" s="241">
        <v>75247175</v>
      </c>
      <c r="D312" s="241">
        <v>60000000</v>
      </c>
      <c r="E312" s="347">
        <f t="shared" si="20"/>
        <v>15247175</v>
      </c>
    </row>
    <row r="313" spans="1:5" x14ac:dyDescent="0.3">
      <c r="A313" s="6">
        <v>44621</v>
      </c>
      <c r="B313" s="23" t="s">
        <v>233</v>
      </c>
      <c r="C313" s="241">
        <v>46500000</v>
      </c>
      <c r="D313" s="241">
        <v>50000000</v>
      </c>
      <c r="E313" s="177">
        <f t="shared" si="20"/>
        <v>-3500000</v>
      </c>
    </row>
    <row r="314" spans="1:5" x14ac:dyDescent="0.3">
      <c r="A314" s="6">
        <v>44621</v>
      </c>
      <c r="B314" s="341" t="s">
        <v>220</v>
      </c>
      <c r="C314" s="162">
        <v>53400000</v>
      </c>
      <c r="D314" s="241">
        <v>45000000</v>
      </c>
      <c r="E314" s="177">
        <f t="shared" si="20"/>
        <v>8400000</v>
      </c>
    </row>
    <row r="315" spans="1:5" x14ac:dyDescent="0.3">
      <c r="A315" s="6">
        <v>44652</v>
      </c>
      <c r="B315" s="4" t="s">
        <v>146</v>
      </c>
      <c r="C315" s="173">
        <v>40900000</v>
      </c>
      <c r="D315" s="241">
        <v>65000000</v>
      </c>
      <c r="E315" s="177">
        <f t="shared" si="20"/>
        <v>-24100000</v>
      </c>
    </row>
    <row r="316" spans="1:5" x14ac:dyDescent="0.3">
      <c r="A316" s="6">
        <v>44652</v>
      </c>
      <c r="B316" s="341" t="s">
        <v>61</v>
      </c>
      <c r="C316" s="173">
        <v>28120000</v>
      </c>
      <c r="D316" s="241">
        <v>35000000</v>
      </c>
      <c r="E316" s="177">
        <f t="shared" si="20"/>
        <v>-6880000</v>
      </c>
    </row>
    <row r="317" spans="1:5" x14ac:dyDescent="0.3">
      <c r="A317" s="6">
        <v>44652</v>
      </c>
      <c r="B317" s="341" t="s">
        <v>74</v>
      </c>
      <c r="C317" s="241">
        <v>41150000</v>
      </c>
      <c r="D317" s="241">
        <v>50000000</v>
      </c>
      <c r="E317" s="177">
        <f t="shared" ref="E317" si="21">C317-D317</f>
        <v>-8850000</v>
      </c>
    </row>
    <row r="318" spans="1:5" x14ac:dyDescent="0.3">
      <c r="A318" s="6">
        <v>44652</v>
      </c>
      <c r="B318" s="341" t="s">
        <v>108</v>
      </c>
      <c r="C318" s="177"/>
      <c r="D318" s="177"/>
      <c r="E318" s="177"/>
    </row>
    <row r="319" spans="1:5" x14ac:dyDescent="0.3">
      <c r="A319" s="6">
        <v>44652</v>
      </c>
      <c r="B319" s="4" t="s">
        <v>145</v>
      </c>
      <c r="C319" s="127">
        <v>65380000</v>
      </c>
      <c r="D319" s="241">
        <v>40000000</v>
      </c>
      <c r="E319" s="347">
        <f t="shared" ref="E319:E324" si="22">C319-D319</f>
        <v>25380000</v>
      </c>
    </row>
    <row r="320" spans="1:5" x14ac:dyDescent="0.3">
      <c r="A320" s="6">
        <v>44652</v>
      </c>
      <c r="B320" s="341" t="s">
        <v>199</v>
      </c>
      <c r="C320" s="173">
        <v>37600000</v>
      </c>
      <c r="D320" s="241">
        <v>60000000</v>
      </c>
      <c r="E320" s="347">
        <f t="shared" si="22"/>
        <v>-22400000</v>
      </c>
    </row>
    <row r="321" spans="1:5" x14ac:dyDescent="0.3">
      <c r="A321" s="6">
        <v>44652</v>
      </c>
      <c r="B321" s="23" t="s">
        <v>233</v>
      </c>
      <c r="C321" s="241">
        <v>46500000</v>
      </c>
      <c r="D321" s="241">
        <v>50000000</v>
      </c>
      <c r="E321" s="177">
        <f t="shared" si="22"/>
        <v>-3500000</v>
      </c>
    </row>
    <row r="322" spans="1:5" x14ac:dyDescent="0.3">
      <c r="A322" s="6">
        <v>44652</v>
      </c>
      <c r="B322" s="341" t="s">
        <v>220</v>
      </c>
      <c r="C322" s="162">
        <v>45580000</v>
      </c>
      <c r="D322" s="241">
        <v>45000000</v>
      </c>
      <c r="E322" s="177">
        <f t="shared" si="22"/>
        <v>580000</v>
      </c>
    </row>
    <row r="323" spans="1:5" x14ac:dyDescent="0.3">
      <c r="A323" s="6">
        <v>44682</v>
      </c>
      <c r="B323" s="4" t="s">
        <v>146</v>
      </c>
      <c r="C323" s="173">
        <v>58480000</v>
      </c>
      <c r="D323" s="241">
        <v>65000000</v>
      </c>
      <c r="E323" s="177">
        <f t="shared" si="22"/>
        <v>-6520000</v>
      </c>
    </row>
    <row r="324" spans="1:5" x14ac:dyDescent="0.3">
      <c r="A324" s="6">
        <v>44682</v>
      </c>
      <c r="B324" s="341" t="s">
        <v>61</v>
      </c>
      <c r="C324" s="241">
        <v>44430000</v>
      </c>
      <c r="D324" s="241">
        <v>35000000</v>
      </c>
      <c r="E324" s="177">
        <f t="shared" si="22"/>
        <v>9430000</v>
      </c>
    </row>
    <row r="325" spans="1:5" x14ac:dyDescent="0.3">
      <c r="A325" s="6">
        <v>44682</v>
      </c>
      <c r="B325" s="341" t="s">
        <v>74</v>
      </c>
      <c r="C325" s="241">
        <v>50260000</v>
      </c>
      <c r="D325" s="241">
        <v>50000000</v>
      </c>
      <c r="E325" s="177">
        <f t="shared" ref="E325" si="23">C325-D325</f>
        <v>260000</v>
      </c>
    </row>
    <row r="326" spans="1:5" x14ac:dyDescent="0.3">
      <c r="A326" s="6">
        <v>44682</v>
      </c>
      <c r="B326" s="341" t="s">
        <v>108</v>
      </c>
      <c r="C326" s="177"/>
      <c r="D326" s="177"/>
      <c r="E326" s="177"/>
    </row>
    <row r="327" spans="1:5" x14ac:dyDescent="0.3">
      <c r="A327" s="6">
        <v>44682</v>
      </c>
      <c r="B327" s="4" t="s">
        <v>145</v>
      </c>
      <c r="C327" s="127">
        <v>73000000</v>
      </c>
      <c r="D327" s="241">
        <v>40000000</v>
      </c>
      <c r="E327" s="347">
        <f t="shared" ref="E327:E332" si="24">C327-D327</f>
        <v>33000000</v>
      </c>
    </row>
    <row r="328" spans="1:5" x14ac:dyDescent="0.3">
      <c r="A328" s="6">
        <v>44682</v>
      </c>
      <c r="B328" s="341" t="s">
        <v>199</v>
      </c>
      <c r="C328" s="241">
        <v>65764300</v>
      </c>
      <c r="D328" s="241">
        <v>60000000</v>
      </c>
      <c r="E328" s="347">
        <f t="shared" si="24"/>
        <v>5764300</v>
      </c>
    </row>
    <row r="329" spans="1:5" x14ac:dyDescent="0.3">
      <c r="A329" s="6">
        <v>44682</v>
      </c>
      <c r="B329" s="23" t="s">
        <v>233</v>
      </c>
      <c r="C329" s="241">
        <v>47650000</v>
      </c>
      <c r="D329" s="241">
        <v>50000000</v>
      </c>
      <c r="E329" s="177">
        <f t="shared" si="24"/>
        <v>-2350000</v>
      </c>
    </row>
    <row r="330" spans="1:5" x14ac:dyDescent="0.3">
      <c r="A330" s="6">
        <v>44682</v>
      </c>
      <c r="B330" s="341" t="s">
        <v>220</v>
      </c>
      <c r="C330" s="162">
        <v>33250000</v>
      </c>
      <c r="D330" s="241">
        <v>45000000</v>
      </c>
      <c r="E330" s="177">
        <f t="shared" si="24"/>
        <v>-11750000</v>
      </c>
    </row>
    <row r="331" spans="1:5" x14ac:dyDescent="0.3">
      <c r="A331" s="6">
        <v>44713</v>
      </c>
      <c r="B331" s="4" t="s">
        <v>146</v>
      </c>
      <c r="C331" s="173">
        <v>50850000</v>
      </c>
      <c r="D331" s="241">
        <v>65000000</v>
      </c>
      <c r="E331" s="177">
        <f t="shared" si="24"/>
        <v>-14150000</v>
      </c>
    </row>
    <row r="332" spans="1:5" x14ac:dyDescent="0.3">
      <c r="A332" s="6">
        <v>44713</v>
      </c>
      <c r="B332" s="341" t="s">
        <v>61</v>
      </c>
      <c r="C332" s="173">
        <v>24100000</v>
      </c>
      <c r="D332" s="241">
        <v>35000000</v>
      </c>
      <c r="E332" s="177">
        <f t="shared" si="24"/>
        <v>-10900000</v>
      </c>
    </row>
    <row r="333" spans="1:5" x14ac:dyDescent="0.3">
      <c r="A333" s="6">
        <v>44713</v>
      </c>
      <c r="B333" s="341" t="s">
        <v>74</v>
      </c>
      <c r="C333" s="173">
        <v>34050000</v>
      </c>
      <c r="D333" s="241">
        <v>50000000</v>
      </c>
      <c r="E333" s="177">
        <f t="shared" ref="E333" si="25">C333-D333</f>
        <v>-15950000</v>
      </c>
    </row>
    <row r="334" spans="1:5" x14ac:dyDescent="0.3">
      <c r="A334" s="6">
        <v>44713</v>
      </c>
      <c r="B334" s="341" t="s">
        <v>108</v>
      </c>
      <c r="C334" s="177"/>
      <c r="D334" s="177"/>
      <c r="E334" s="177"/>
    </row>
    <row r="335" spans="1:5" x14ac:dyDescent="0.3">
      <c r="A335" s="6">
        <v>44713</v>
      </c>
      <c r="B335" s="4" t="s">
        <v>145</v>
      </c>
      <c r="C335" s="127">
        <v>66250000</v>
      </c>
      <c r="D335" s="241">
        <v>40000000</v>
      </c>
      <c r="E335" s="347">
        <f t="shared" ref="E335:E340" si="26">C335-D335</f>
        <v>26250000</v>
      </c>
    </row>
    <row r="336" spans="1:5" x14ac:dyDescent="0.3">
      <c r="A336" s="6">
        <v>44713</v>
      </c>
      <c r="B336" s="341" t="s">
        <v>199</v>
      </c>
      <c r="C336" s="241">
        <v>60800000</v>
      </c>
      <c r="D336" s="241">
        <v>60000000</v>
      </c>
      <c r="E336" s="347">
        <f t="shared" si="26"/>
        <v>800000</v>
      </c>
    </row>
    <row r="337" spans="1:5" x14ac:dyDescent="0.3">
      <c r="A337" s="6">
        <v>44713</v>
      </c>
      <c r="B337" s="23" t="s">
        <v>233</v>
      </c>
      <c r="C337" s="241">
        <v>62750000</v>
      </c>
      <c r="D337" s="241">
        <v>50000000</v>
      </c>
      <c r="E337" s="177">
        <f t="shared" si="26"/>
        <v>12750000</v>
      </c>
    </row>
    <row r="338" spans="1:5" x14ac:dyDescent="0.3">
      <c r="A338" s="6">
        <v>44713</v>
      </c>
      <c r="B338" s="341" t="s">
        <v>220</v>
      </c>
      <c r="C338" s="122">
        <v>29966177</v>
      </c>
      <c r="D338" s="241">
        <v>45000000</v>
      </c>
      <c r="E338" s="177">
        <f t="shared" si="26"/>
        <v>-15033823</v>
      </c>
    </row>
    <row r="339" spans="1:5" x14ac:dyDescent="0.3">
      <c r="A339" s="6">
        <v>44743</v>
      </c>
      <c r="B339" s="4" t="s">
        <v>146</v>
      </c>
      <c r="C339" s="241">
        <v>65142730</v>
      </c>
      <c r="D339" s="241">
        <v>65000000</v>
      </c>
      <c r="E339" s="177">
        <f t="shared" si="26"/>
        <v>142730</v>
      </c>
    </row>
    <row r="340" spans="1:5" x14ac:dyDescent="0.3">
      <c r="A340" s="6">
        <v>44743</v>
      </c>
      <c r="B340" s="341" t="s">
        <v>61</v>
      </c>
      <c r="C340" s="173">
        <v>26350000</v>
      </c>
      <c r="D340" s="241">
        <v>35000000</v>
      </c>
      <c r="E340" s="177">
        <f t="shared" si="26"/>
        <v>-8650000</v>
      </c>
    </row>
    <row r="341" spans="1:5" x14ac:dyDescent="0.3">
      <c r="A341" s="6">
        <v>44743</v>
      </c>
      <c r="B341" s="341" t="s">
        <v>74</v>
      </c>
      <c r="C341" s="173">
        <v>44500000</v>
      </c>
      <c r="D341" s="241">
        <v>50000000</v>
      </c>
      <c r="E341" s="177">
        <f t="shared" ref="E341" si="27">C341-D341</f>
        <v>-5500000</v>
      </c>
    </row>
    <row r="342" spans="1:5" x14ac:dyDescent="0.3">
      <c r="A342" s="6">
        <v>44743</v>
      </c>
      <c r="B342" s="341" t="s">
        <v>108</v>
      </c>
      <c r="C342" s="177"/>
      <c r="D342" s="177"/>
      <c r="E342" s="177"/>
    </row>
    <row r="343" spans="1:5" x14ac:dyDescent="0.3">
      <c r="A343" s="6">
        <v>44743</v>
      </c>
      <c r="B343" s="4" t="s">
        <v>145</v>
      </c>
      <c r="C343" s="127">
        <v>59850000</v>
      </c>
      <c r="D343" s="241">
        <v>40000000</v>
      </c>
      <c r="E343" s="347">
        <f t="shared" ref="E343:E348" si="28">C343-D343</f>
        <v>19850000</v>
      </c>
    </row>
    <row r="344" spans="1:5" x14ac:dyDescent="0.3">
      <c r="A344" s="6">
        <v>44743</v>
      </c>
      <c r="B344" s="341" t="s">
        <v>199</v>
      </c>
      <c r="C344" s="241">
        <v>76850000</v>
      </c>
      <c r="D344" s="241">
        <v>60000000</v>
      </c>
      <c r="E344" s="347">
        <f t="shared" si="28"/>
        <v>16850000</v>
      </c>
    </row>
    <row r="345" spans="1:5" x14ac:dyDescent="0.3">
      <c r="A345" s="6">
        <v>44743</v>
      </c>
      <c r="B345" s="23" t="s">
        <v>233</v>
      </c>
      <c r="C345" s="241">
        <v>80120000</v>
      </c>
      <c r="D345" s="241">
        <v>50000000</v>
      </c>
      <c r="E345" s="177">
        <f t="shared" si="28"/>
        <v>30120000</v>
      </c>
    </row>
    <row r="346" spans="1:5" x14ac:dyDescent="0.3">
      <c r="A346" s="6">
        <v>44743</v>
      </c>
      <c r="B346" s="341" t="s">
        <v>220</v>
      </c>
      <c r="C346" s="122">
        <v>50710000</v>
      </c>
      <c r="D346" s="241">
        <v>45000000</v>
      </c>
      <c r="E346" s="177">
        <f t="shared" si="28"/>
        <v>5710000</v>
      </c>
    </row>
    <row r="347" spans="1:5" x14ac:dyDescent="0.3">
      <c r="A347" s="6">
        <v>44774</v>
      </c>
      <c r="B347" s="4" t="s">
        <v>146</v>
      </c>
      <c r="C347" s="241">
        <v>87841000</v>
      </c>
      <c r="D347" s="241">
        <v>65000000</v>
      </c>
      <c r="E347" s="177">
        <f t="shared" si="28"/>
        <v>22841000</v>
      </c>
    </row>
    <row r="348" spans="1:5" x14ac:dyDescent="0.3">
      <c r="A348" s="6">
        <v>44774</v>
      </c>
      <c r="B348" s="341" t="s">
        <v>61</v>
      </c>
      <c r="C348" s="66">
        <v>32585000</v>
      </c>
      <c r="D348" s="241">
        <v>35000000</v>
      </c>
      <c r="E348" s="177">
        <f t="shared" si="28"/>
        <v>-2415000</v>
      </c>
    </row>
    <row r="349" spans="1:5" x14ac:dyDescent="0.3">
      <c r="A349" s="6">
        <v>44774</v>
      </c>
      <c r="B349" s="341" t="s">
        <v>74</v>
      </c>
      <c r="C349" s="66">
        <v>48431300</v>
      </c>
      <c r="D349" s="241">
        <v>50000000</v>
      </c>
      <c r="E349" s="177">
        <f t="shared" ref="E349" si="29">C349-D349</f>
        <v>-1568700</v>
      </c>
    </row>
    <row r="350" spans="1:5" x14ac:dyDescent="0.3">
      <c r="A350" s="6">
        <v>44774</v>
      </c>
      <c r="B350" s="341" t="s">
        <v>108</v>
      </c>
      <c r="C350" s="177"/>
      <c r="D350" s="177"/>
      <c r="E350" s="177"/>
    </row>
    <row r="351" spans="1:5" x14ac:dyDescent="0.3">
      <c r="A351" s="6">
        <v>44774</v>
      </c>
      <c r="B351" s="4" t="s">
        <v>145</v>
      </c>
      <c r="C351" s="118">
        <v>89230000</v>
      </c>
      <c r="D351" s="241">
        <v>40000000</v>
      </c>
      <c r="E351" s="347">
        <f t="shared" ref="E351:E356" si="30">C351-D351</f>
        <v>49230000</v>
      </c>
    </row>
    <row r="352" spans="1:5" x14ac:dyDescent="0.3">
      <c r="A352" s="6">
        <v>44774</v>
      </c>
      <c r="B352" s="341" t="s">
        <v>199</v>
      </c>
      <c r="C352" s="173">
        <v>49250000</v>
      </c>
      <c r="D352" s="241">
        <v>60000000</v>
      </c>
      <c r="E352" s="347">
        <f t="shared" si="30"/>
        <v>-10750000</v>
      </c>
    </row>
    <row r="353" spans="1:5" x14ac:dyDescent="0.3">
      <c r="A353" s="6">
        <v>44774</v>
      </c>
      <c r="B353" s="23" t="s">
        <v>233</v>
      </c>
      <c r="C353" s="173">
        <v>49250000</v>
      </c>
      <c r="D353" s="241">
        <v>50000000</v>
      </c>
      <c r="E353" s="177">
        <f t="shared" si="30"/>
        <v>-750000</v>
      </c>
    </row>
    <row r="354" spans="1:5" x14ac:dyDescent="0.3">
      <c r="A354" s="6">
        <v>44774</v>
      </c>
      <c r="B354" s="341" t="s">
        <v>220</v>
      </c>
      <c r="C354" s="241">
        <v>59860000</v>
      </c>
      <c r="D354" s="241">
        <v>45000000</v>
      </c>
      <c r="E354" s="177">
        <f t="shared" si="30"/>
        <v>14860000</v>
      </c>
    </row>
    <row r="355" spans="1:5" x14ac:dyDescent="0.3">
      <c r="A355" s="6">
        <v>44805</v>
      </c>
      <c r="B355" s="4" t="s">
        <v>146</v>
      </c>
      <c r="C355" s="66">
        <v>46090000</v>
      </c>
      <c r="D355" s="241">
        <v>65000000</v>
      </c>
      <c r="E355" s="177">
        <f t="shared" si="30"/>
        <v>-18910000</v>
      </c>
    </row>
    <row r="356" spans="1:5" x14ac:dyDescent="0.3">
      <c r="A356" s="6">
        <v>44805</v>
      </c>
      <c r="B356" s="341" t="s">
        <v>61</v>
      </c>
      <c r="C356" s="117">
        <v>35907000</v>
      </c>
      <c r="D356" s="241">
        <v>35000000</v>
      </c>
      <c r="E356" s="177">
        <f t="shared" si="30"/>
        <v>907000</v>
      </c>
    </row>
    <row r="357" spans="1:5" x14ac:dyDescent="0.3">
      <c r="A357" s="6">
        <v>44805</v>
      </c>
      <c r="B357" s="341" t="s">
        <v>74</v>
      </c>
      <c r="C357" s="110">
        <v>67970000</v>
      </c>
      <c r="D357" s="241">
        <v>50000000</v>
      </c>
      <c r="E357" s="177">
        <f t="shared" ref="E357" si="31">C357-D357</f>
        <v>17970000</v>
      </c>
    </row>
    <row r="358" spans="1:5" x14ac:dyDescent="0.3">
      <c r="A358" s="6">
        <v>44805</v>
      </c>
      <c r="B358" s="341" t="s">
        <v>108</v>
      </c>
      <c r="C358" s="177"/>
      <c r="D358" s="177"/>
      <c r="E358" s="177"/>
    </row>
    <row r="359" spans="1:5" x14ac:dyDescent="0.3">
      <c r="A359" s="6">
        <v>44805</v>
      </c>
      <c r="B359" s="4" t="s">
        <v>145</v>
      </c>
      <c r="C359" s="118">
        <v>64000000</v>
      </c>
      <c r="D359" s="241">
        <v>40000000</v>
      </c>
      <c r="E359" s="347">
        <f t="shared" ref="E359:E364" si="32">C359-D359</f>
        <v>24000000</v>
      </c>
    </row>
    <row r="360" spans="1:5" x14ac:dyDescent="0.3">
      <c r="A360" s="6">
        <v>44805</v>
      </c>
      <c r="B360" s="341" t="s">
        <v>199</v>
      </c>
      <c r="C360" s="241">
        <v>85475000</v>
      </c>
      <c r="D360" s="241">
        <v>60000000</v>
      </c>
      <c r="E360" s="347">
        <f t="shared" si="32"/>
        <v>25475000</v>
      </c>
    </row>
    <row r="361" spans="1:5" x14ac:dyDescent="0.3">
      <c r="A361" s="6">
        <v>44805</v>
      </c>
      <c r="B361" s="23" t="s">
        <v>233</v>
      </c>
      <c r="C361" s="241">
        <v>60630000</v>
      </c>
      <c r="D361" s="241">
        <v>50000000</v>
      </c>
      <c r="E361" s="177">
        <f t="shared" si="32"/>
        <v>10630000</v>
      </c>
    </row>
    <row r="362" spans="1:5" x14ac:dyDescent="0.3">
      <c r="A362" s="6">
        <v>44805</v>
      </c>
      <c r="B362" s="341" t="s">
        <v>220</v>
      </c>
      <c r="C362" s="241">
        <v>70220000</v>
      </c>
      <c r="D362" s="241">
        <v>45000000</v>
      </c>
      <c r="E362" s="177">
        <f t="shared" si="32"/>
        <v>25220000</v>
      </c>
    </row>
    <row r="363" spans="1:5" x14ac:dyDescent="0.3">
      <c r="A363" s="6">
        <v>44835</v>
      </c>
      <c r="B363" s="4" t="s">
        <v>146</v>
      </c>
      <c r="C363" s="110">
        <v>67950000</v>
      </c>
      <c r="D363" s="241">
        <v>65000000</v>
      </c>
      <c r="E363" s="177">
        <f t="shared" si="32"/>
        <v>2950000</v>
      </c>
    </row>
    <row r="364" spans="1:5" x14ac:dyDescent="0.3">
      <c r="A364" s="6">
        <v>44835</v>
      </c>
      <c r="B364" s="341" t="s">
        <v>61</v>
      </c>
      <c r="C364" s="66">
        <v>31680000</v>
      </c>
      <c r="D364" s="241">
        <v>35000000</v>
      </c>
      <c r="E364" s="177">
        <f t="shared" si="32"/>
        <v>-3320000</v>
      </c>
    </row>
    <row r="365" spans="1:5" x14ac:dyDescent="0.3">
      <c r="A365" s="6">
        <v>44835</v>
      </c>
      <c r="B365" s="341" t="s">
        <v>74</v>
      </c>
      <c r="C365" s="241">
        <v>64330000</v>
      </c>
      <c r="D365" s="241">
        <v>50000000</v>
      </c>
      <c r="E365" s="177">
        <f t="shared" ref="E365" si="33">C365-D365</f>
        <v>14330000</v>
      </c>
    </row>
    <row r="366" spans="1:5" x14ac:dyDescent="0.3">
      <c r="A366" s="6">
        <v>44835</v>
      </c>
      <c r="B366" s="341" t="s">
        <v>108</v>
      </c>
      <c r="C366" s="177"/>
      <c r="D366" s="177"/>
      <c r="E366" s="177"/>
    </row>
    <row r="367" spans="1:5" x14ac:dyDescent="0.3">
      <c r="A367" s="6">
        <v>44835</v>
      </c>
      <c r="B367" s="4" t="s">
        <v>145</v>
      </c>
      <c r="C367" s="127">
        <v>75950000</v>
      </c>
      <c r="D367" s="241">
        <v>40000000</v>
      </c>
      <c r="E367" s="347">
        <f>C367-D367</f>
        <v>35950000</v>
      </c>
    </row>
    <row r="368" spans="1:5" x14ac:dyDescent="0.3">
      <c r="A368" s="6">
        <v>44835</v>
      </c>
      <c r="B368" s="341" t="s">
        <v>199</v>
      </c>
      <c r="C368" s="241">
        <v>66050000</v>
      </c>
      <c r="D368" s="241">
        <v>60000000</v>
      </c>
      <c r="E368" s="347">
        <f>C368-D368</f>
        <v>6050000</v>
      </c>
    </row>
    <row r="369" spans="1:5" x14ac:dyDescent="0.3">
      <c r="A369" s="6">
        <v>44835</v>
      </c>
      <c r="B369" s="23" t="s">
        <v>233</v>
      </c>
      <c r="C369" s="241">
        <v>67350000</v>
      </c>
      <c r="D369" s="241">
        <v>50000000</v>
      </c>
      <c r="E369" s="177">
        <f>C369-D369</f>
        <v>17350000</v>
      </c>
    </row>
    <row r="370" spans="1:5" x14ac:dyDescent="0.3">
      <c r="A370" s="6">
        <v>44835</v>
      </c>
      <c r="B370" s="341" t="s">
        <v>220</v>
      </c>
      <c r="C370" s="241">
        <v>50900000</v>
      </c>
      <c r="D370" s="241">
        <v>45000000</v>
      </c>
      <c r="E370" s="177">
        <f>C370-D370</f>
        <v>5900000</v>
      </c>
    </row>
    <row r="371" spans="1:5" x14ac:dyDescent="0.3">
      <c r="A371" s="357"/>
      <c r="B371" s="313"/>
      <c r="C371" s="313"/>
      <c r="D371" s="313"/>
      <c r="E371" s="313"/>
    </row>
    <row r="372" spans="1:5" x14ac:dyDescent="0.3">
      <c r="A372" s="357"/>
      <c r="B372" s="313"/>
      <c r="C372" s="313"/>
      <c r="D372" s="313"/>
      <c r="E372" s="313"/>
    </row>
    <row r="373" spans="1:5" x14ac:dyDescent="0.3">
      <c r="A373" s="357"/>
      <c r="B373" s="313"/>
      <c r="C373" s="313"/>
      <c r="D373" s="313"/>
      <c r="E373" s="313"/>
    </row>
    <row r="374" spans="1:5" x14ac:dyDescent="0.3">
      <c r="A374" s="357"/>
      <c r="B374" s="313"/>
      <c r="C374" s="313"/>
      <c r="D374" s="313"/>
      <c r="E374" s="313"/>
    </row>
    <row r="375" spans="1:5" x14ac:dyDescent="0.3">
      <c r="A375" s="357"/>
      <c r="B375" s="313"/>
      <c r="C375" s="313"/>
      <c r="D375" s="313"/>
      <c r="E375" s="313"/>
    </row>
    <row r="376" spans="1:5" x14ac:dyDescent="0.3">
      <c r="A376" s="357"/>
      <c r="B376" s="313"/>
      <c r="C376" s="313"/>
      <c r="D376" s="313"/>
      <c r="E376" s="313"/>
    </row>
    <row r="377" spans="1:5" x14ac:dyDescent="0.3">
      <c r="A377" s="357"/>
      <c r="B377" s="313"/>
      <c r="C377" s="313"/>
      <c r="D377" s="313"/>
      <c r="E377" s="313"/>
    </row>
    <row r="378" spans="1:5" x14ac:dyDescent="0.3">
      <c r="A378" s="357"/>
      <c r="B378" s="313"/>
      <c r="C378" s="313"/>
      <c r="D378" s="313"/>
      <c r="E378" s="313"/>
    </row>
    <row r="379" spans="1:5" x14ac:dyDescent="0.3">
      <c r="A379" s="357"/>
      <c r="B379" s="313"/>
      <c r="C379" s="313"/>
      <c r="D379" s="313"/>
      <c r="E379" s="313"/>
    </row>
    <row r="380" spans="1:5" x14ac:dyDescent="0.3">
      <c r="A380" s="357"/>
      <c r="B380" s="313"/>
      <c r="C380" s="313"/>
      <c r="D380" s="313"/>
      <c r="E380" s="313"/>
    </row>
    <row r="381" spans="1:5" x14ac:dyDescent="0.3">
      <c r="A381" s="313"/>
      <c r="B381" s="313"/>
      <c r="C381" s="313"/>
      <c r="D381" s="313"/>
      <c r="E381" s="313"/>
    </row>
    <row r="382" spans="1:5" x14ac:dyDescent="0.3">
      <c r="A382" s="313"/>
      <c r="B382" s="313"/>
      <c r="C382" s="313"/>
      <c r="D382" s="313"/>
      <c r="E382" s="313"/>
    </row>
    <row r="383" spans="1:5" x14ac:dyDescent="0.3">
      <c r="A383" s="313"/>
      <c r="B383" s="313"/>
      <c r="C383" s="313"/>
      <c r="D383" s="313"/>
      <c r="E383" s="313"/>
    </row>
    <row r="384" spans="1:5" x14ac:dyDescent="0.3">
      <c r="A384" s="313"/>
      <c r="B384" s="313"/>
      <c r="C384" s="313"/>
      <c r="D384" s="313"/>
      <c r="E384" s="313"/>
    </row>
    <row r="385" spans="1:5" x14ac:dyDescent="0.3">
      <c r="A385" s="313"/>
      <c r="B385" s="313"/>
      <c r="C385" s="313"/>
      <c r="D385" s="313"/>
      <c r="E385" s="313"/>
    </row>
    <row r="386" spans="1:5" x14ac:dyDescent="0.3">
      <c r="A386" s="313"/>
      <c r="B386" s="313"/>
      <c r="C386" s="313"/>
      <c r="D386" s="313"/>
      <c r="E386" s="313"/>
    </row>
    <row r="387" spans="1:5" x14ac:dyDescent="0.3">
      <c r="A387" s="313"/>
      <c r="B387" s="313"/>
      <c r="C387" s="313"/>
      <c r="D387" s="313"/>
      <c r="E387" s="313"/>
    </row>
    <row r="388" spans="1:5" x14ac:dyDescent="0.3">
      <c r="A388" s="313"/>
      <c r="B388" s="313"/>
      <c r="C388" s="313"/>
      <c r="D388" s="313"/>
      <c r="E388" s="313"/>
    </row>
    <row r="389" spans="1:5" x14ac:dyDescent="0.3">
      <c r="A389" s="313"/>
      <c r="B389" s="313"/>
      <c r="C389" s="313"/>
      <c r="D389" s="313"/>
      <c r="E389" s="313"/>
    </row>
    <row r="390" spans="1:5" x14ac:dyDescent="0.3">
      <c r="A390" s="313"/>
      <c r="B390" s="313"/>
      <c r="C390" s="313"/>
      <c r="D390" s="313"/>
      <c r="E390" s="313"/>
    </row>
    <row r="391" spans="1:5" x14ac:dyDescent="0.3">
      <c r="A391" s="313"/>
      <c r="B391" s="313"/>
      <c r="C391" s="313"/>
      <c r="D391" s="313"/>
      <c r="E391" s="313"/>
    </row>
    <row r="392" spans="1:5" x14ac:dyDescent="0.3">
      <c r="A392" s="313"/>
      <c r="B392" s="313"/>
      <c r="C392" s="313"/>
      <c r="D392" s="313"/>
      <c r="E392" s="313"/>
    </row>
    <row r="393" spans="1:5" x14ac:dyDescent="0.3">
      <c r="A393" s="313"/>
      <c r="B393" s="313"/>
      <c r="C393" s="313"/>
      <c r="D393" s="313"/>
      <c r="E393" s="313"/>
    </row>
    <row r="394" spans="1:5" x14ac:dyDescent="0.3">
      <c r="A394" s="313"/>
      <c r="B394" s="313"/>
      <c r="C394" s="313"/>
      <c r="D394" s="313"/>
      <c r="E394" s="313"/>
    </row>
    <row r="395" spans="1:5" x14ac:dyDescent="0.3">
      <c r="A395" s="313"/>
      <c r="B395" s="313"/>
      <c r="C395" s="313"/>
      <c r="D395" s="313"/>
      <c r="E395" s="313"/>
    </row>
    <row r="396" spans="1:5" x14ac:dyDescent="0.3">
      <c r="A396" s="313"/>
      <c r="B396" s="313"/>
      <c r="C396" s="313"/>
      <c r="D396" s="313"/>
      <c r="E396" s="313"/>
    </row>
    <row r="397" spans="1:5" x14ac:dyDescent="0.3">
      <c r="A397" s="313"/>
      <c r="B397" s="313"/>
      <c r="C397" s="313"/>
      <c r="D397" s="313"/>
      <c r="E397" s="313"/>
    </row>
    <row r="398" spans="1:5" x14ac:dyDescent="0.3">
      <c r="A398" s="313"/>
      <c r="B398" s="313"/>
      <c r="C398" s="313"/>
      <c r="D398" s="313"/>
      <c r="E398" s="313"/>
    </row>
    <row r="399" spans="1:5" x14ac:dyDescent="0.3">
      <c r="A399" s="313"/>
      <c r="B399" s="313"/>
      <c r="C399" s="313"/>
      <c r="D399" s="313"/>
      <c r="E399" s="313"/>
    </row>
    <row r="400" spans="1:5" x14ac:dyDescent="0.3">
      <c r="A400" s="313"/>
      <c r="B400" s="313"/>
      <c r="C400" s="313"/>
      <c r="D400" s="313"/>
      <c r="E400" s="313"/>
    </row>
    <row r="401" spans="1:5" x14ac:dyDescent="0.3">
      <c r="A401" s="313"/>
      <c r="B401" s="313"/>
      <c r="C401" s="313"/>
      <c r="D401" s="313"/>
      <c r="E401" s="313"/>
    </row>
    <row r="402" spans="1:5" x14ac:dyDescent="0.3">
      <c r="A402" s="313"/>
      <c r="B402" s="313"/>
      <c r="C402" s="313"/>
      <c r="D402" s="313"/>
      <c r="E402" s="313"/>
    </row>
    <row r="403" spans="1:5" x14ac:dyDescent="0.3">
      <c r="A403" s="313"/>
      <c r="B403" s="313"/>
      <c r="C403" s="313"/>
      <c r="D403" s="313"/>
      <c r="E403" s="313"/>
    </row>
    <row r="404" spans="1:5" x14ac:dyDescent="0.3">
      <c r="A404" s="313"/>
      <c r="B404" s="313"/>
      <c r="C404" s="313"/>
      <c r="D404" s="313"/>
      <c r="E404" s="313"/>
    </row>
    <row r="405" spans="1:5" x14ac:dyDescent="0.3">
      <c r="A405" s="313"/>
      <c r="B405" s="313"/>
      <c r="C405" s="313"/>
      <c r="D405" s="313"/>
      <c r="E405" s="313"/>
    </row>
    <row r="406" spans="1:5" x14ac:dyDescent="0.3">
      <c r="A406" s="313"/>
      <c r="B406" s="313"/>
      <c r="C406" s="313"/>
      <c r="D406" s="313"/>
      <c r="E406" s="313"/>
    </row>
    <row r="407" spans="1:5" x14ac:dyDescent="0.3">
      <c r="A407" s="313"/>
      <c r="B407" s="313"/>
      <c r="C407" s="313"/>
      <c r="D407" s="313"/>
      <c r="E407" s="313"/>
    </row>
    <row r="408" spans="1:5" x14ac:dyDescent="0.3">
      <c r="A408" s="313"/>
      <c r="B408" s="313"/>
      <c r="C408" s="313"/>
      <c r="D408" s="313"/>
      <c r="E408" s="313"/>
    </row>
    <row r="409" spans="1:5" x14ac:dyDescent="0.3">
      <c r="A409" s="313"/>
      <c r="B409" s="313"/>
      <c r="C409" s="313"/>
      <c r="D409" s="313"/>
      <c r="E409" s="313"/>
    </row>
    <row r="410" spans="1:5" x14ac:dyDescent="0.3">
      <c r="A410" s="313"/>
      <c r="B410" s="313"/>
      <c r="C410" s="313"/>
      <c r="D410" s="313"/>
      <c r="E410" s="313"/>
    </row>
    <row r="411" spans="1:5" x14ac:dyDescent="0.3">
      <c r="A411" s="313"/>
      <c r="B411" s="313"/>
      <c r="C411" s="313"/>
      <c r="D411" s="313"/>
      <c r="E411" s="313"/>
    </row>
    <row r="412" spans="1:5" x14ac:dyDescent="0.3">
      <c r="A412" s="313"/>
      <c r="B412" s="313"/>
      <c r="C412" s="313"/>
      <c r="D412" s="313"/>
      <c r="E412" s="313"/>
    </row>
    <row r="413" spans="1:5" x14ac:dyDescent="0.3">
      <c r="A413" s="313"/>
      <c r="B413" s="313"/>
      <c r="C413" s="313"/>
      <c r="D413" s="313"/>
      <c r="E413" s="313"/>
    </row>
    <row r="414" spans="1:5" x14ac:dyDescent="0.3">
      <c r="A414" s="313"/>
      <c r="B414" s="313"/>
      <c r="C414" s="313"/>
      <c r="D414" s="313"/>
      <c r="E414" s="313"/>
    </row>
    <row r="415" spans="1:5" x14ac:dyDescent="0.3">
      <c r="A415" s="313"/>
      <c r="B415" s="313"/>
      <c r="C415" s="313"/>
      <c r="D415" s="313"/>
      <c r="E415" s="313"/>
    </row>
    <row r="416" spans="1:5" x14ac:dyDescent="0.3">
      <c r="A416" s="313"/>
      <c r="B416" s="313"/>
      <c r="C416" s="313"/>
      <c r="D416" s="313"/>
      <c r="E416" s="313"/>
    </row>
    <row r="417" spans="1:5" x14ac:dyDescent="0.3">
      <c r="A417" s="313"/>
      <c r="B417" s="313"/>
      <c r="C417" s="313"/>
      <c r="D417" s="313"/>
      <c r="E417" s="313"/>
    </row>
    <row r="418" spans="1:5" x14ac:dyDescent="0.3">
      <c r="A418" s="313"/>
      <c r="B418" s="313"/>
      <c r="C418" s="313"/>
      <c r="D418" s="313"/>
      <c r="E418" s="313"/>
    </row>
    <row r="419" spans="1:5" x14ac:dyDescent="0.3">
      <c r="A419" s="313"/>
      <c r="B419" s="313"/>
      <c r="C419" s="313"/>
      <c r="D419" s="313"/>
      <c r="E419" s="313"/>
    </row>
    <row r="420" spans="1:5" x14ac:dyDescent="0.3">
      <c r="A420" s="313"/>
      <c r="B420" s="313"/>
      <c r="C420" s="313"/>
      <c r="D420" s="313"/>
      <c r="E420" s="313"/>
    </row>
    <row r="421" spans="1:5" x14ac:dyDescent="0.3">
      <c r="A421" s="313"/>
      <c r="B421" s="313"/>
      <c r="C421" s="313"/>
      <c r="D421" s="313"/>
      <c r="E421" s="313"/>
    </row>
    <row r="422" spans="1:5" x14ac:dyDescent="0.3">
      <c r="A422" s="313"/>
      <c r="B422" s="313"/>
      <c r="C422" s="313"/>
      <c r="D422" s="313"/>
      <c r="E422" s="313"/>
    </row>
    <row r="423" spans="1:5" x14ac:dyDescent="0.3">
      <c r="A423" s="313"/>
      <c r="B423" s="313"/>
      <c r="C423" s="313"/>
      <c r="D423" s="313"/>
      <c r="E423" s="313"/>
    </row>
    <row r="424" spans="1:5" x14ac:dyDescent="0.3">
      <c r="A424" s="313"/>
      <c r="B424" s="313"/>
      <c r="C424" s="313"/>
      <c r="D424" s="313"/>
      <c r="E424" s="313"/>
    </row>
    <row r="425" spans="1:5" x14ac:dyDescent="0.3">
      <c r="A425" s="313"/>
      <c r="B425" s="313"/>
      <c r="C425" s="313"/>
      <c r="D425" s="313"/>
      <c r="E425" s="313"/>
    </row>
    <row r="426" spans="1:5" x14ac:dyDescent="0.3">
      <c r="A426" s="313"/>
      <c r="B426" s="313"/>
      <c r="C426" s="313"/>
      <c r="D426" s="313"/>
      <c r="E426" s="313"/>
    </row>
    <row r="427" spans="1:5" x14ac:dyDescent="0.3">
      <c r="A427" s="313"/>
      <c r="B427" s="313"/>
      <c r="C427" s="313"/>
      <c r="D427" s="313"/>
      <c r="E427" s="313"/>
    </row>
    <row r="428" spans="1:5" x14ac:dyDescent="0.3">
      <c r="A428" s="313"/>
      <c r="B428" s="313"/>
      <c r="C428" s="313"/>
      <c r="D428" s="313"/>
      <c r="E428" s="313"/>
    </row>
    <row r="429" spans="1:5" x14ac:dyDescent="0.3">
      <c r="A429" s="313"/>
      <c r="B429" s="313"/>
      <c r="C429" s="313"/>
      <c r="D429" s="313"/>
      <c r="E429" s="313"/>
    </row>
    <row r="430" spans="1:5" x14ac:dyDescent="0.3">
      <c r="A430" s="313"/>
      <c r="B430" s="313"/>
      <c r="C430" s="313"/>
      <c r="D430" s="313"/>
      <c r="E430" s="313"/>
    </row>
    <row r="431" spans="1:5" x14ac:dyDescent="0.3">
      <c r="A431" s="313"/>
      <c r="B431" s="313"/>
      <c r="C431" s="313"/>
      <c r="D431" s="313"/>
      <c r="E431" s="313"/>
    </row>
    <row r="432" spans="1:5" x14ac:dyDescent="0.3">
      <c r="A432" s="313"/>
      <c r="B432" s="313"/>
      <c r="C432" s="313"/>
      <c r="D432" s="313"/>
      <c r="E432" s="313"/>
    </row>
    <row r="433" spans="1:5" x14ac:dyDescent="0.3">
      <c r="A433" s="313"/>
      <c r="B433" s="313"/>
      <c r="C433" s="313"/>
      <c r="D433" s="313"/>
      <c r="E433" s="313"/>
    </row>
    <row r="434" spans="1:5" x14ac:dyDescent="0.3">
      <c r="A434" s="313"/>
      <c r="B434" s="313"/>
      <c r="C434" s="313"/>
      <c r="D434" s="313"/>
      <c r="E434" s="313"/>
    </row>
    <row r="435" spans="1:5" x14ac:dyDescent="0.3">
      <c r="A435" s="313"/>
      <c r="B435" s="313"/>
      <c r="C435" s="313"/>
      <c r="D435" s="313"/>
      <c r="E435" s="313"/>
    </row>
    <row r="436" spans="1:5" x14ac:dyDescent="0.3">
      <c r="A436" s="313"/>
      <c r="B436" s="313"/>
      <c r="C436" s="313"/>
      <c r="D436" s="313"/>
      <c r="E436" s="313"/>
    </row>
    <row r="437" spans="1:5" x14ac:dyDescent="0.3">
      <c r="A437" s="313"/>
      <c r="B437" s="313"/>
      <c r="C437" s="313"/>
      <c r="D437" s="313"/>
      <c r="E437" s="313"/>
    </row>
    <row r="438" spans="1:5" x14ac:dyDescent="0.3">
      <c r="A438" s="313"/>
      <c r="B438" s="313"/>
      <c r="C438" s="313"/>
      <c r="D438" s="313"/>
      <c r="E438" s="313"/>
    </row>
    <row r="439" spans="1:5" x14ac:dyDescent="0.3">
      <c r="A439" s="313"/>
      <c r="B439" s="313"/>
      <c r="C439" s="313"/>
      <c r="D439" s="313"/>
      <c r="E439" s="313"/>
    </row>
    <row r="440" spans="1:5" x14ac:dyDescent="0.3">
      <c r="A440" s="313"/>
      <c r="B440" s="313"/>
      <c r="C440" s="313"/>
      <c r="D440" s="313"/>
      <c r="E440" s="313"/>
    </row>
    <row r="441" spans="1:5" x14ac:dyDescent="0.3">
      <c r="A441" s="313"/>
      <c r="B441" s="313"/>
      <c r="C441" s="313"/>
      <c r="D441" s="313"/>
      <c r="E441" s="313"/>
    </row>
    <row r="442" spans="1:5" x14ac:dyDescent="0.3">
      <c r="A442" s="313"/>
      <c r="B442" s="313"/>
      <c r="C442" s="313"/>
      <c r="D442" s="313"/>
      <c r="E442" s="313"/>
    </row>
    <row r="443" spans="1:5" x14ac:dyDescent="0.3">
      <c r="A443" s="313"/>
      <c r="B443" s="313"/>
      <c r="C443" s="313"/>
      <c r="D443" s="313"/>
      <c r="E443" s="313"/>
    </row>
    <row r="444" spans="1:5" x14ac:dyDescent="0.3">
      <c r="A444" s="313"/>
      <c r="B444" s="313"/>
      <c r="C444" s="313"/>
      <c r="D444" s="313"/>
      <c r="E444" s="313"/>
    </row>
    <row r="445" spans="1:5" x14ac:dyDescent="0.3">
      <c r="A445" s="313"/>
      <c r="B445" s="313"/>
      <c r="C445" s="313"/>
      <c r="D445" s="313"/>
      <c r="E445" s="313"/>
    </row>
    <row r="446" spans="1:5" x14ac:dyDescent="0.3">
      <c r="A446" s="313"/>
      <c r="B446" s="313"/>
      <c r="C446" s="313"/>
      <c r="D446" s="313"/>
      <c r="E446" s="313"/>
    </row>
    <row r="447" spans="1:5" x14ac:dyDescent="0.3">
      <c r="A447" s="313"/>
      <c r="B447" s="313"/>
      <c r="C447" s="313"/>
      <c r="D447" s="313"/>
      <c r="E447" s="313"/>
    </row>
    <row r="448" spans="1:5" x14ac:dyDescent="0.3">
      <c r="A448" s="313"/>
      <c r="B448" s="313"/>
      <c r="C448" s="313"/>
      <c r="D448" s="313"/>
      <c r="E448" s="313"/>
    </row>
    <row r="449" spans="1:5" x14ac:dyDescent="0.3">
      <c r="A449" s="313"/>
      <c r="B449" s="313"/>
      <c r="C449" s="313"/>
      <c r="D449" s="313"/>
      <c r="E449" s="313"/>
    </row>
    <row r="450" spans="1:5" x14ac:dyDescent="0.3">
      <c r="A450" s="313"/>
      <c r="B450" s="313"/>
      <c r="C450" s="313"/>
      <c r="D450" s="313"/>
      <c r="E450" s="313"/>
    </row>
    <row r="451" spans="1:5" x14ac:dyDescent="0.3">
      <c r="A451" s="313"/>
      <c r="B451" s="313"/>
      <c r="C451" s="313"/>
      <c r="D451" s="313"/>
      <c r="E451" s="313"/>
    </row>
    <row r="452" spans="1:5" x14ac:dyDescent="0.3">
      <c r="A452" s="313"/>
      <c r="B452" s="313"/>
      <c r="C452" s="313"/>
      <c r="D452" s="313"/>
      <c r="E452" s="313"/>
    </row>
    <row r="453" spans="1:5" x14ac:dyDescent="0.3">
      <c r="A453" s="313"/>
      <c r="B453" s="313"/>
      <c r="C453" s="313"/>
      <c r="D453" s="313"/>
      <c r="E453" s="313"/>
    </row>
    <row r="454" spans="1:5" x14ac:dyDescent="0.3">
      <c r="A454" s="313"/>
      <c r="B454" s="313"/>
      <c r="C454" s="313"/>
      <c r="D454" s="313"/>
      <c r="E454" s="313"/>
    </row>
    <row r="455" spans="1:5" x14ac:dyDescent="0.3">
      <c r="A455" s="313"/>
      <c r="B455" s="313"/>
      <c r="C455" s="313"/>
      <c r="D455" s="313"/>
      <c r="E455" s="313"/>
    </row>
    <row r="456" spans="1:5" x14ac:dyDescent="0.3">
      <c r="A456" s="313"/>
      <c r="B456" s="313"/>
      <c r="C456" s="313"/>
      <c r="D456" s="313"/>
      <c r="E456" s="313"/>
    </row>
    <row r="457" spans="1:5" x14ac:dyDescent="0.3">
      <c r="A457" s="313"/>
      <c r="B457" s="313"/>
      <c r="C457" s="313"/>
      <c r="D457" s="313"/>
      <c r="E457" s="313"/>
    </row>
    <row r="458" spans="1:5" x14ac:dyDescent="0.3">
      <c r="A458" s="313"/>
      <c r="B458" s="313"/>
      <c r="C458" s="313"/>
      <c r="D458" s="313"/>
      <c r="E458" s="313"/>
    </row>
    <row r="459" spans="1:5" x14ac:dyDescent="0.3">
      <c r="A459" s="313"/>
      <c r="B459" s="313"/>
      <c r="C459" s="313"/>
      <c r="D459" s="313"/>
      <c r="E459" s="313"/>
    </row>
    <row r="460" spans="1:5" x14ac:dyDescent="0.3">
      <c r="A460" s="313"/>
      <c r="B460" s="313"/>
      <c r="C460" s="313"/>
      <c r="D460" s="313"/>
      <c r="E460" s="313"/>
    </row>
    <row r="461" spans="1:5" x14ac:dyDescent="0.3">
      <c r="A461" s="313"/>
      <c r="B461" s="313"/>
      <c r="C461" s="313"/>
      <c r="D461" s="313"/>
      <c r="E461" s="313"/>
    </row>
    <row r="462" spans="1:5" x14ac:dyDescent="0.3">
      <c r="A462" s="313"/>
      <c r="B462" s="313"/>
      <c r="C462" s="313"/>
      <c r="D462" s="313"/>
      <c r="E462" s="313"/>
    </row>
    <row r="463" spans="1:5" x14ac:dyDescent="0.3">
      <c r="A463" s="313"/>
      <c r="B463" s="313"/>
      <c r="C463" s="313"/>
      <c r="D463" s="313"/>
      <c r="E463" s="313"/>
    </row>
    <row r="464" spans="1:5" x14ac:dyDescent="0.3">
      <c r="A464" s="313"/>
      <c r="B464" s="313"/>
      <c r="C464" s="313"/>
      <c r="D464" s="313"/>
      <c r="E464" s="313"/>
    </row>
    <row r="465" spans="1:5" x14ac:dyDescent="0.3">
      <c r="A465" s="313"/>
      <c r="B465" s="313"/>
      <c r="C465" s="313"/>
      <c r="D465" s="313"/>
      <c r="E465" s="313"/>
    </row>
    <row r="466" spans="1:5" x14ac:dyDescent="0.3">
      <c r="A466" s="313"/>
      <c r="B466" s="313"/>
      <c r="C466" s="313"/>
      <c r="D466" s="313"/>
      <c r="E466" s="313"/>
    </row>
    <row r="467" spans="1:5" x14ac:dyDescent="0.3">
      <c r="A467" s="313"/>
      <c r="B467" s="313"/>
      <c r="C467" s="313"/>
      <c r="D467" s="313"/>
      <c r="E467" s="313"/>
    </row>
    <row r="468" spans="1:5" x14ac:dyDescent="0.3">
      <c r="A468" s="313"/>
      <c r="B468" s="313"/>
      <c r="C468" s="313"/>
      <c r="D468" s="313"/>
      <c r="E468" s="313"/>
    </row>
    <row r="469" spans="1:5" x14ac:dyDescent="0.3">
      <c r="A469" s="313"/>
      <c r="B469" s="313"/>
      <c r="C469" s="313"/>
      <c r="D469" s="313"/>
      <c r="E469" s="313"/>
    </row>
    <row r="470" spans="1:5" x14ac:dyDescent="0.3">
      <c r="A470" s="313"/>
      <c r="B470" s="313"/>
      <c r="C470" s="313"/>
      <c r="D470" s="313"/>
      <c r="E470" s="313"/>
    </row>
    <row r="471" spans="1:5" x14ac:dyDescent="0.3">
      <c r="A471" s="313"/>
      <c r="B471" s="313"/>
      <c r="C471" s="313"/>
      <c r="D471" s="313"/>
      <c r="E471" s="313"/>
    </row>
    <row r="472" spans="1:5" x14ac:dyDescent="0.3">
      <c r="A472" s="313"/>
      <c r="B472" s="313"/>
      <c r="C472" s="313"/>
      <c r="D472" s="313"/>
      <c r="E472" s="313"/>
    </row>
    <row r="473" spans="1:5" x14ac:dyDescent="0.3">
      <c r="A473" s="313"/>
      <c r="B473" s="313"/>
      <c r="C473" s="313"/>
      <c r="D473" s="313"/>
      <c r="E473" s="313"/>
    </row>
    <row r="474" spans="1:5" x14ac:dyDescent="0.3">
      <c r="A474" s="313"/>
      <c r="B474" s="313"/>
      <c r="C474" s="313"/>
      <c r="D474" s="313"/>
      <c r="E474" s="313"/>
    </row>
    <row r="475" spans="1:5" x14ac:dyDescent="0.3">
      <c r="A475" s="313"/>
      <c r="B475" s="313"/>
      <c r="C475" s="313"/>
      <c r="D475" s="313"/>
      <c r="E475" s="313"/>
    </row>
    <row r="476" spans="1:5" x14ac:dyDescent="0.3">
      <c r="A476" s="313"/>
      <c r="B476" s="313"/>
      <c r="C476" s="313"/>
      <c r="D476" s="313"/>
      <c r="E476" s="313"/>
    </row>
    <row r="477" spans="1:5" x14ac:dyDescent="0.3">
      <c r="A477" s="313"/>
      <c r="B477" s="313"/>
      <c r="C477" s="313"/>
      <c r="D477" s="313"/>
      <c r="E477" s="313"/>
    </row>
    <row r="478" spans="1:5" x14ac:dyDescent="0.3">
      <c r="A478" s="313"/>
      <c r="B478" s="313"/>
      <c r="C478" s="313"/>
      <c r="D478" s="313"/>
      <c r="E478" s="313"/>
    </row>
    <row r="479" spans="1:5" x14ac:dyDescent="0.3">
      <c r="A479" s="313"/>
      <c r="B479" s="313"/>
      <c r="C479" s="313"/>
      <c r="D479" s="313"/>
      <c r="E479" s="313"/>
    </row>
    <row r="480" spans="1:5" x14ac:dyDescent="0.3">
      <c r="A480" s="313"/>
      <c r="B480" s="313"/>
      <c r="C480" s="313"/>
      <c r="D480" s="313"/>
      <c r="E480" s="313"/>
    </row>
    <row r="481" spans="1:5" x14ac:dyDescent="0.3">
      <c r="A481" s="313"/>
      <c r="B481" s="313"/>
      <c r="C481" s="313"/>
      <c r="D481" s="313"/>
      <c r="E481" s="313"/>
    </row>
    <row r="482" spans="1:5" x14ac:dyDescent="0.3">
      <c r="A482" s="313"/>
      <c r="B482" s="313"/>
      <c r="C482" s="313"/>
      <c r="D482" s="313"/>
      <c r="E482" s="313"/>
    </row>
    <row r="483" spans="1:5" x14ac:dyDescent="0.3">
      <c r="A483" s="313"/>
      <c r="B483" s="313"/>
      <c r="C483" s="313"/>
      <c r="D483" s="313"/>
      <c r="E483" s="313"/>
    </row>
    <row r="484" spans="1:5" x14ac:dyDescent="0.3">
      <c r="A484" s="313"/>
      <c r="B484" s="313"/>
      <c r="C484" s="313"/>
      <c r="D484" s="313"/>
      <c r="E484" s="313"/>
    </row>
    <row r="485" spans="1:5" x14ac:dyDescent="0.3">
      <c r="A485" s="313"/>
      <c r="B485" s="313"/>
      <c r="C485" s="313"/>
      <c r="D485" s="313"/>
      <c r="E485" s="313"/>
    </row>
    <row r="486" spans="1:5" x14ac:dyDescent="0.3">
      <c r="A486" s="313"/>
      <c r="B486" s="313"/>
      <c r="C486" s="313"/>
      <c r="D486" s="313"/>
      <c r="E486" s="313"/>
    </row>
    <row r="487" spans="1:5" x14ac:dyDescent="0.3">
      <c r="A487" s="313"/>
      <c r="B487" s="313"/>
      <c r="C487" s="313"/>
      <c r="D487" s="313"/>
      <c r="E487" s="313"/>
    </row>
    <row r="488" spans="1:5" x14ac:dyDescent="0.3">
      <c r="A488" s="313"/>
      <c r="B488" s="313"/>
      <c r="C488" s="313"/>
      <c r="D488" s="313"/>
      <c r="E488" s="313"/>
    </row>
    <row r="489" spans="1:5" x14ac:dyDescent="0.3">
      <c r="A489" s="313"/>
      <c r="B489" s="313"/>
      <c r="C489" s="313"/>
      <c r="D489" s="313"/>
      <c r="E489" s="313"/>
    </row>
    <row r="490" spans="1:5" x14ac:dyDescent="0.3">
      <c r="A490" s="313"/>
      <c r="B490" s="313"/>
      <c r="C490" s="313"/>
      <c r="D490" s="313"/>
      <c r="E490" s="313"/>
    </row>
    <row r="491" spans="1:5" x14ac:dyDescent="0.3">
      <c r="A491" s="313"/>
      <c r="B491" s="313"/>
      <c r="C491" s="313"/>
      <c r="D491" s="313"/>
      <c r="E491" s="313"/>
    </row>
    <row r="492" spans="1:5" x14ac:dyDescent="0.3">
      <c r="A492" s="313"/>
      <c r="B492" s="313"/>
      <c r="C492" s="313"/>
      <c r="D492" s="313"/>
      <c r="E492" s="313"/>
    </row>
    <row r="493" spans="1:5" x14ac:dyDescent="0.3">
      <c r="A493" s="313"/>
      <c r="B493" s="313"/>
      <c r="C493" s="313"/>
      <c r="D493" s="313"/>
      <c r="E493" s="313"/>
    </row>
    <row r="494" spans="1:5" x14ac:dyDescent="0.3">
      <c r="A494" s="313"/>
      <c r="B494" s="313"/>
      <c r="C494" s="313"/>
      <c r="D494" s="313"/>
      <c r="E494" s="313"/>
    </row>
    <row r="495" spans="1:5" x14ac:dyDescent="0.3">
      <c r="A495" s="313"/>
      <c r="B495" s="313"/>
      <c r="C495" s="313"/>
      <c r="D495" s="313"/>
      <c r="E495" s="313"/>
    </row>
    <row r="496" spans="1:5" x14ac:dyDescent="0.3">
      <c r="A496" s="313"/>
      <c r="B496" s="313"/>
      <c r="C496" s="313"/>
      <c r="D496" s="313"/>
      <c r="E496" s="313"/>
    </row>
    <row r="497" spans="1:5" x14ac:dyDescent="0.3">
      <c r="A497" s="313"/>
      <c r="B497" s="313"/>
      <c r="C497" s="313"/>
      <c r="D497" s="313"/>
      <c r="E497" s="313"/>
    </row>
    <row r="498" spans="1:5" x14ac:dyDescent="0.3">
      <c r="A498" s="313"/>
      <c r="B498" s="313"/>
      <c r="C498" s="313"/>
      <c r="D498" s="313"/>
      <c r="E498" s="313"/>
    </row>
    <row r="499" spans="1:5" x14ac:dyDescent="0.3">
      <c r="A499" s="313"/>
      <c r="B499" s="313"/>
      <c r="C499" s="313"/>
      <c r="D499" s="313"/>
      <c r="E499" s="313"/>
    </row>
    <row r="500" spans="1:5" x14ac:dyDescent="0.3">
      <c r="A500" s="313"/>
      <c r="B500" s="313"/>
      <c r="C500" s="313"/>
      <c r="D500" s="313"/>
      <c r="E500" s="313"/>
    </row>
    <row r="501" spans="1:5" x14ac:dyDescent="0.3">
      <c r="A501" s="313"/>
      <c r="B501" s="313"/>
      <c r="C501" s="313"/>
      <c r="D501" s="313"/>
      <c r="E501" s="313"/>
    </row>
    <row r="502" spans="1:5" x14ac:dyDescent="0.3">
      <c r="A502" s="313"/>
      <c r="B502" s="313"/>
      <c r="C502" s="313"/>
      <c r="D502" s="313"/>
      <c r="E502" s="313"/>
    </row>
    <row r="503" spans="1:5" x14ac:dyDescent="0.3">
      <c r="A503" s="313"/>
      <c r="B503" s="313"/>
      <c r="C503" s="313"/>
      <c r="D503" s="313"/>
      <c r="E503" s="313"/>
    </row>
    <row r="504" spans="1:5" x14ac:dyDescent="0.3">
      <c r="A504" s="313"/>
      <c r="B504" s="313"/>
      <c r="C504" s="313"/>
      <c r="D504" s="313"/>
      <c r="E504" s="313"/>
    </row>
    <row r="505" spans="1:5" x14ac:dyDescent="0.3">
      <c r="A505" s="313"/>
      <c r="B505" s="313"/>
      <c r="C505" s="313"/>
      <c r="D505" s="313"/>
      <c r="E505" s="313"/>
    </row>
    <row r="506" spans="1:5" x14ac:dyDescent="0.3">
      <c r="A506" s="313"/>
      <c r="B506" s="313"/>
      <c r="C506" s="313"/>
      <c r="D506" s="313"/>
      <c r="E506" s="313"/>
    </row>
    <row r="507" spans="1:5" x14ac:dyDescent="0.3">
      <c r="A507" s="313"/>
      <c r="B507" s="313"/>
      <c r="C507" s="313"/>
      <c r="D507" s="313"/>
      <c r="E507" s="313"/>
    </row>
    <row r="508" spans="1:5" x14ac:dyDescent="0.3">
      <c r="A508" s="313"/>
      <c r="B508" s="313"/>
      <c r="C508" s="313"/>
      <c r="D508" s="313"/>
      <c r="E508" s="313"/>
    </row>
    <row r="509" spans="1:5" x14ac:dyDescent="0.3">
      <c r="A509" s="313"/>
      <c r="B509" s="313"/>
      <c r="C509" s="313"/>
      <c r="D509" s="313"/>
      <c r="E509" s="313"/>
    </row>
    <row r="510" spans="1:5" x14ac:dyDescent="0.3">
      <c r="A510" s="313"/>
      <c r="B510" s="313"/>
      <c r="C510" s="313"/>
      <c r="D510" s="313"/>
      <c r="E510" s="313"/>
    </row>
    <row r="511" spans="1:5" x14ac:dyDescent="0.3">
      <c r="A511" s="313"/>
      <c r="B511" s="313"/>
      <c r="C511" s="313"/>
      <c r="D511" s="313"/>
      <c r="E511" s="313"/>
    </row>
    <row r="512" spans="1:5" x14ac:dyDescent="0.3">
      <c r="A512" s="313"/>
      <c r="B512" s="313"/>
      <c r="C512" s="313"/>
      <c r="D512" s="313"/>
      <c r="E512" s="313"/>
    </row>
    <row r="513" spans="1:5" x14ac:dyDescent="0.3">
      <c r="A513" s="313"/>
      <c r="B513" s="313"/>
      <c r="C513" s="313"/>
      <c r="D513" s="313"/>
      <c r="E513" s="313"/>
    </row>
    <row r="514" spans="1:5" x14ac:dyDescent="0.3">
      <c r="A514" s="313"/>
      <c r="B514" s="313"/>
      <c r="C514" s="313"/>
      <c r="D514" s="313"/>
      <c r="E514" s="313"/>
    </row>
    <row r="515" spans="1:5" x14ac:dyDescent="0.3">
      <c r="A515" s="313"/>
      <c r="B515" s="313"/>
      <c r="C515" s="313"/>
      <c r="D515" s="313"/>
      <c r="E515" s="313"/>
    </row>
    <row r="516" spans="1:5" x14ac:dyDescent="0.3">
      <c r="A516" s="313"/>
      <c r="B516" s="313"/>
      <c r="C516" s="313"/>
      <c r="D516" s="313"/>
      <c r="E516" s="313"/>
    </row>
    <row r="517" spans="1:5" x14ac:dyDescent="0.3">
      <c r="A517" s="313"/>
      <c r="B517" s="313"/>
      <c r="C517" s="313"/>
      <c r="D517" s="313"/>
      <c r="E517" s="313"/>
    </row>
    <row r="518" spans="1:5" x14ac:dyDescent="0.3">
      <c r="A518" s="313"/>
      <c r="B518" s="313"/>
      <c r="C518" s="313"/>
      <c r="D518" s="313"/>
      <c r="E518" s="313"/>
    </row>
    <row r="519" spans="1:5" x14ac:dyDescent="0.3">
      <c r="A519" s="313"/>
      <c r="B519" s="313"/>
      <c r="C519" s="313"/>
      <c r="D519" s="313"/>
      <c r="E519" s="313"/>
    </row>
    <row r="520" spans="1:5" x14ac:dyDescent="0.3">
      <c r="A520" s="313"/>
      <c r="B520" s="313"/>
      <c r="C520" s="313"/>
      <c r="D520" s="313"/>
      <c r="E520" s="313"/>
    </row>
    <row r="521" spans="1:5" x14ac:dyDescent="0.3">
      <c r="A521" s="313"/>
      <c r="B521" s="313"/>
      <c r="C521" s="313"/>
      <c r="D521" s="313"/>
      <c r="E521" s="313"/>
    </row>
    <row r="522" spans="1:5" x14ac:dyDescent="0.3">
      <c r="A522" s="313"/>
      <c r="B522" s="313"/>
      <c r="C522" s="313"/>
      <c r="D522" s="313"/>
      <c r="E522" s="313"/>
    </row>
    <row r="523" spans="1:5" x14ac:dyDescent="0.3">
      <c r="A523" s="313"/>
      <c r="B523" s="313"/>
      <c r="C523" s="313"/>
      <c r="D523" s="313"/>
      <c r="E523" s="313"/>
    </row>
    <row r="524" spans="1:5" x14ac:dyDescent="0.3">
      <c r="A524" s="313"/>
      <c r="B524" s="313"/>
      <c r="C524" s="313"/>
      <c r="D524" s="313"/>
      <c r="E524" s="313"/>
    </row>
    <row r="525" spans="1:5" x14ac:dyDescent="0.3">
      <c r="A525" s="313"/>
      <c r="B525" s="313"/>
      <c r="C525" s="313"/>
      <c r="D525" s="313"/>
      <c r="E525" s="313"/>
    </row>
    <row r="526" spans="1:5" x14ac:dyDescent="0.3">
      <c r="A526" s="313"/>
      <c r="B526" s="313"/>
      <c r="C526" s="313"/>
      <c r="D526" s="313"/>
      <c r="E526" s="313"/>
    </row>
    <row r="527" spans="1:5" x14ac:dyDescent="0.3">
      <c r="A527" s="313"/>
      <c r="B527" s="313"/>
      <c r="C527" s="313"/>
      <c r="D527" s="313"/>
      <c r="E527" s="313"/>
    </row>
  </sheetData>
  <autoFilter ref="A2:E370" xr:uid="{9D3E1EA5-CEB5-42C7-A988-59AFD89D446B}"/>
  <mergeCells count="1">
    <mergeCell ref="A1:E1"/>
  </mergeCells>
  <pageMargins left="0.7" right="0.7" top="0.75" bottom="0.75" header="0.3" footer="0.3"/>
  <pageSetup orientation="portrait" horizontalDpi="300" vertic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COLORES</vt:lpstr>
      <vt:lpstr>CALASANZ</vt:lpstr>
      <vt:lpstr>LAURELES</vt:lpstr>
      <vt:lpstr>POBLADO</vt:lpstr>
      <vt:lpstr>SABANETA</vt:lpstr>
      <vt:lpstr>ESTRELLA-ITAGUI</vt:lpstr>
      <vt:lpstr>ENVIGADO</vt:lpstr>
      <vt:lpstr>BELLO</vt:lpstr>
      <vt:lpstr>GLOBAL SEDES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ESTADISTA</cp:lastModifiedBy>
  <dcterms:created xsi:type="dcterms:W3CDTF">2022-11-20T15:35:55Z</dcterms:created>
  <dcterms:modified xsi:type="dcterms:W3CDTF">2022-11-30T21:15:38Z</dcterms:modified>
</cp:coreProperties>
</file>