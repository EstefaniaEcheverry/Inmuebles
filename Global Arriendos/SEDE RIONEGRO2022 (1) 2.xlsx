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562\Downloads\"/>
    </mc:Choice>
  </mc:AlternateContent>
  <xr:revisionPtr revIDLastSave="2366" documentId="8_{CEC635D5-23AB-4D40-8DC0-7A2F2E98DB18}" xr6:coauthVersionLast="47" xr6:coauthVersionMax="47" xr10:uidLastSave="{A01E20E8-637C-4D94-AC0D-919562836504}"/>
  <bookViews>
    <workbookView xWindow="-108" yWindow="-108" windowWidth="23256" windowHeight="12576" firstSheet="2" activeTab="2" xr2:uid="{00000000-000D-0000-FFFF-FFFF00000000}"/>
  </bookViews>
  <sheets>
    <sheet name="CAPTACIONES 2022" sheetId="2" r:id="rId1"/>
    <sheet name="ASESORES EXTERNOS " sheetId="12" r:id="rId2"/>
    <sheet name="ASESORES INTERNOS" sheetId="13" r:id="rId3"/>
    <sheet name="CELULAR ASESORES " sheetId="5" r:id="rId4"/>
    <sheet name="AUTORIZACIONES OTRO SI" sheetId="14" r:id="rId5"/>
    <sheet name="DAHIANA COMISION" sheetId="11" state="hidden" r:id="rId6"/>
    <sheet name="CAJA MENOR SEDE RIONEGRO" sheetId="3" r:id="rId7"/>
    <sheet name="INFORME 2021 DAHIANA" sheetId="1" state="hidden" r:id="rId8"/>
    <sheet name="DOCUMENTO EQUIVALENTE RIONEGRO" sheetId="4" r:id="rId9"/>
  </sheets>
  <calcPr calcId="191028" iterateDelta="1E-4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9" i="12" l="1"/>
  <c r="E245" i="12"/>
  <c r="F71" i="13"/>
  <c r="F62" i="13"/>
  <c r="F68" i="13"/>
  <c r="F69" i="13"/>
  <c r="F70" i="13"/>
  <c r="F67" i="13"/>
  <c r="F60" i="13"/>
  <c r="F61" i="13"/>
  <c r="F59" i="13"/>
  <c r="G242" i="12"/>
  <c r="G237" i="12"/>
  <c r="G230" i="12"/>
  <c r="G231" i="12"/>
  <c r="G232" i="12"/>
  <c r="G233" i="12"/>
  <c r="G234" i="12"/>
  <c r="G229" i="12"/>
  <c r="G246" i="12"/>
  <c r="D285" i="12"/>
  <c r="G265" i="12"/>
  <c r="G266" i="12" s="1"/>
  <c r="D284" i="12"/>
  <c r="D71" i="13"/>
  <c r="D84" i="13"/>
  <c r="D62" i="13"/>
  <c r="E48" i="3"/>
  <c r="J1898" i="2"/>
  <c r="E237" i="12"/>
  <c r="J1865" i="2"/>
  <c r="D51" i="13"/>
  <c r="G238" i="12"/>
  <c r="D16" i="13"/>
  <c r="F8" i="13"/>
  <c r="F9" i="13"/>
  <c r="F10" i="13"/>
  <c r="F11" i="13"/>
  <c r="F12" i="13"/>
  <c r="F13" i="13"/>
  <c r="F14" i="13"/>
  <c r="F15" i="13"/>
  <c r="F7" i="13"/>
  <c r="F16" i="13" s="1"/>
  <c r="Q191" i="12"/>
  <c r="G197" i="12"/>
  <c r="J1798" i="2"/>
  <c r="Q190" i="12"/>
  <c r="Q199" i="12" s="1"/>
  <c r="G191" i="12"/>
  <c r="G192" i="12"/>
  <c r="G193" i="12"/>
  <c r="G194" i="12"/>
  <c r="G195" i="12"/>
  <c r="G196" i="12"/>
  <c r="G190" i="12"/>
  <c r="E216" i="12"/>
  <c r="E199" i="12"/>
  <c r="G205" i="12"/>
  <c r="G207" i="12" s="1"/>
  <c r="J1828" i="2"/>
  <c r="J1786" i="2"/>
  <c r="J1753" i="2"/>
  <c r="C13" i="5"/>
  <c r="E207" i="12"/>
  <c r="J1729" i="2"/>
  <c r="J1704" i="2"/>
  <c r="E15" i="12"/>
  <c r="E30" i="12"/>
  <c r="E49" i="12"/>
  <c r="E66" i="12"/>
  <c r="E81" i="12"/>
  <c r="E108" i="12"/>
  <c r="E128" i="12"/>
  <c r="E141" i="12"/>
  <c r="E159" i="12"/>
  <c r="E173" i="12"/>
  <c r="E175" i="12"/>
  <c r="E49" i="3"/>
  <c r="H1352" i="4"/>
  <c r="G1361" i="4" s="1"/>
  <c r="H1363" i="4" s="1"/>
  <c r="H1327" i="4"/>
  <c r="G1336" i="4" s="1"/>
  <c r="H1338" i="4" s="1"/>
  <c r="H1302" i="4"/>
  <c r="G1311" i="4" s="1"/>
  <c r="H1313" i="4" s="1"/>
  <c r="H1277" i="4"/>
  <c r="G1286" i="4" s="1"/>
  <c r="H1288" i="4" s="1"/>
  <c r="H1252" i="4"/>
  <c r="G1261" i="4" s="1"/>
  <c r="H1263" i="4" s="1"/>
  <c r="H1227" i="4"/>
  <c r="G1236" i="4" s="1"/>
  <c r="H1238" i="4" s="1"/>
  <c r="H1201" i="4"/>
  <c r="G1210" i="4" s="1"/>
  <c r="H1212" i="4" s="1"/>
  <c r="H1176" i="4"/>
  <c r="G1185" i="4" s="1"/>
  <c r="H1187" i="4" s="1"/>
  <c r="H1151" i="4"/>
  <c r="G1160" i="4" s="1"/>
  <c r="H1162" i="4" s="1"/>
  <c r="H1126" i="4"/>
  <c r="G1135" i="4" s="1"/>
  <c r="H1137" i="4" s="1"/>
  <c r="H1101" i="4"/>
  <c r="G1110" i="4" s="1"/>
  <c r="H1112" i="4" s="1"/>
  <c r="G168" i="12"/>
  <c r="Q166" i="12"/>
  <c r="Q139" i="12"/>
  <c r="Q138" i="12"/>
  <c r="H1074" i="4"/>
  <c r="G1083" i="4" s="1"/>
  <c r="H1085" i="4" s="1"/>
  <c r="H1050" i="4"/>
  <c r="H1049" i="4"/>
  <c r="Q165" i="12"/>
  <c r="Q148" i="12"/>
  <c r="Q147" i="12"/>
  <c r="Q137" i="12"/>
  <c r="Q135" i="12"/>
  <c r="Q136" i="12"/>
  <c r="Q134" i="12"/>
  <c r="Q115" i="12"/>
  <c r="Q114" i="12"/>
  <c r="Q99" i="12"/>
  <c r="Q98" i="12"/>
  <c r="Q97" i="12"/>
  <c r="G166" i="12"/>
  <c r="G167" i="12"/>
  <c r="G169" i="12"/>
  <c r="G170" i="12"/>
  <c r="G171" i="12"/>
  <c r="G165" i="12"/>
  <c r="G148" i="12"/>
  <c r="G149" i="12"/>
  <c r="G150" i="12"/>
  <c r="G151" i="12"/>
  <c r="G152" i="12"/>
  <c r="G153" i="12"/>
  <c r="G147" i="12"/>
  <c r="G134" i="12"/>
  <c r="G135" i="12"/>
  <c r="G136" i="12"/>
  <c r="G137" i="12"/>
  <c r="G138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98" i="12"/>
  <c r="G99" i="12"/>
  <c r="G100" i="12"/>
  <c r="G101" i="12"/>
  <c r="G102" i="12"/>
  <c r="G103" i="12"/>
  <c r="G104" i="12"/>
  <c r="G97" i="12"/>
  <c r="H1024" i="4"/>
  <c r="G1033" i="4" s="1"/>
  <c r="H1035" i="4" s="1"/>
  <c r="H999" i="4"/>
  <c r="G1008" i="4" s="1"/>
  <c r="H1010" i="4" s="1"/>
  <c r="H974" i="4"/>
  <c r="G983" i="4" s="1"/>
  <c r="H985" i="4" s="1"/>
  <c r="H949" i="4"/>
  <c r="G958" i="4" s="1"/>
  <c r="H960" i="4" s="1"/>
  <c r="H924" i="4"/>
  <c r="G933" i="4" s="1"/>
  <c r="H935" i="4" s="1"/>
  <c r="H899" i="4"/>
  <c r="G908" i="4" s="1"/>
  <c r="H910" i="4" s="1"/>
  <c r="H875" i="4"/>
  <c r="H874" i="4"/>
  <c r="G883" i="4" s="1"/>
  <c r="H885" i="4" s="1"/>
  <c r="H850" i="4"/>
  <c r="H849" i="4"/>
  <c r="H824" i="4"/>
  <c r="G833" i="4" s="1"/>
  <c r="H835" i="4" s="1"/>
  <c r="H799" i="4"/>
  <c r="G808" i="4" s="1"/>
  <c r="H810" i="4" s="1"/>
  <c r="H774" i="4"/>
  <c r="G783" i="4" s="1"/>
  <c r="H785" i="4" s="1"/>
  <c r="H749" i="4"/>
  <c r="G758" i="4" s="1"/>
  <c r="H760" i="4" s="1"/>
  <c r="Q74" i="12"/>
  <c r="Q73" i="12"/>
  <c r="Q72" i="12"/>
  <c r="Q56" i="12"/>
  <c r="Q57" i="12"/>
  <c r="Q58" i="12"/>
  <c r="Q59" i="12"/>
  <c r="Q55" i="12"/>
  <c r="Q37" i="12"/>
  <c r="Q38" i="12"/>
  <c r="Q36" i="12"/>
  <c r="Q22" i="12"/>
  <c r="Q23" i="12"/>
  <c r="Q24" i="12"/>
  <c r="Q25" i="12"/>
  <c r="Q21" i="12"/>
  <c r="G73" i="12"/>
  <c r="G74" i="12"/>
  <c r="G75" i="12"/>
  <c r="G76" i="12"/>
  <c r="G77" i="12"/>
  <c r="G78" i="12"/>
  <c r="G79" i="12"/>
  <c r="G72" i="12"/>
  <c r="G56" i="12"/>
  <c r="G57" i="12"/>
  <c r="G58" i="12"/>
  <c r="G59" i="12"/>
  <c r="G60" i="12"/>
  <c r="G61" i="12"/>
  <c r="G62" i="12"/>
  <c r="G55" i="12"/>
  <c r="G37" i="12"/>
  <c r="G38" i="12"/>
  <c r="G39" i="12"/>
  <c r="G40" i="12"/>
  <c r="G41" i="12"/>
  <c r="G42" i="12"/>
  <c r="G43" i="12"/>
  <c r="G44" i="12"/>
  <c r="G45" i="12"/>
  <c r="G46" i="12"/>
  <c r="G36" i="12"/>
  <c r="G22" i="12"/>
  <c r="G23" i="12"/>
  <c r="G24" i="12"/>
  <c r="G25" i="12"/>
  <c r="G21" i="12"/>
  <c r="G7" i="12"/>
  <c r="G8" i="12"/>
  <c r="G9" i="12"/>
  <c r="G10" i="12"/>
  <c r="G11" i="12"/>
  <c r="G12" i="12"/>
  <c r="G13" i="12"/>
  <c r="G6" i="12"/>
  <c r="E1785" i="1"/>
  <c r="E28" i="11"/>
  <c r="E15" i="11"/>
  <c r="E1843" i="1"/>
  <c r="E1762" i="1"/>
  <c r="E1715" i="1"/>
  <c r="E1698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593" i="1"/>
  <c r="G1627" i="1" s="1"/>
  <c r="E1628" i="1" s="1"/>
  <c r="G1582" i="1"/>
  <c r="G1583" i="1"/>
  <c r="G1584" i="1"/>
  <c r="G1581" i="1"/>
  <c r="G1586" i="1" s="1"/>
  <c r="E1587" i="1" s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50" i="1"/>
  <c r="G1572" i="1" s="1"/>
  <c r="E1573" i="1" s="1"/>
  <c r="G1510" i="1"/>
  <c r="G1511" i="1"/>
  <c r="G1512" i="1"/>
  <c r="G1513" i="1"/>
  <c r="G1514" i="1"/>
  <c r="G1515" i="1"/>
  <c r="G1516" i="1"/>
  <c r="G1509" i="1"/>
  <c r="G1518" i="1" s="1"/>
  <c r="E1519" i="1" s="1"/>
  <c r="E1627" i="1"/>
  <c r="O1474" i="1"/>
  <c r="O1490" i="1" s="1"/>
  <c r="G1480" i="1"/>
  <c r="G1481" i="1"/>
  <c r="G1482" i="1"/>
  <c r="G1483" i="1"/>
  <c r="G1484" i="1"/>
  <c r="G1485" i="1"/>
  <c r="G1486" i="1"/>
  <c r="G1487" i="1"/>
  <c r="G1488" i="1"/>
  <c r="G1479" i="1"/>
  <c r="G1490" i="1" s="1"/>
  <c r="E1491" i="1" s="1"/>
  <c r="E1490" i="1"/>
  <c r="O1441" i="1"/>
  <c r="O1442" i="1"/>
  <c r="O1440" i="1"/>
  <c r="O1468" i="1" s="1"/>
  <c r="G1459" i="1"/>
  <c r="G1460" i="1"/>
  <c r="G1461" i="1"/>
  <c r="G1462" i="1"/>
  <c r="G1463" i="1"/>
  <c r="G1464" i="1"/>
  <c r="G1465" i="1"/>
  <c r="G1458" i="1"/>
  <c r="G1468" i="1" s="1"/>
  <c r="E1469" i="1" s="1"/>
  <c r="O1419" i="1"/>
  <c r="O1418" i="1"/>
  <c r="O1434" i="1" s="1"/>
  <c r="G1425" i="1"/>
  <c r="G1426" i="1"/>
  <c r="G1427" i="1"/>
  <c r="G1428" i="1"/>
  <c r="G1429" i="1"/>
  <c r="G1430" i="1"/>
  <c r="G1431" i="1"/>
  <c r="G1432" i="1"/>
  <c r="G1424" i="1"/>
  <c r="G1434" i="1" s="1"/>
  <c r="E1435" i="1" s="1"/>
  <c r="O1408" i="1"/>
  <c r="O1407" i="1"/>
  <c r="O1412" i="1" s="1"/>
  <c r="G1410" i="1"/>
  <c r="G1412" i="1" s="1"/>
  <c r="E1413" i="1" s="1"/>
  <c r="O1389" i="1"/>
  <c r="O1390" i="1"/>
  <c r="O1391" i="1"/>
  <c r="O1388" i="1"/>
  <c r="O1401" i="1" s="1"/>
  <c r="G1396" i="1"/>
  <c r="G1397" i="1"/>
  <c r="G1398" i="1"/>
  <c r="G1399" i="1"/>
  <c r="G1395" i="1"/>
  <c r="G1401" i="1" s="1"/>
  <c r="E1402" i="1" s="1"/>
  <c r="D1859" i="1"/>
  <c r="E1802" i="1"/>
  <c r="G1732" i="1"/>
  <c r="E1732" i="1"/>
  <c r="E1681" i="1"/>
  <c r="E1680" i="1"/>
  <c r="O1664" i="1"/>
  <c r="G1664" i="1"/>
  <c r="E1665" i="1" s="1"/>
  <c r="E1664" i="1"/>
  <c r="E1586" i="1"/>
  <c r="E1572" i="1"/>
  <c r="E1518" i="1"/>
  <c r="J1530" i="2"/>
  <c r="E1412" i="1"/>
  <c r="E1468" i="1"/>
  <c r="E1401" i="1"/>
  <c r="E1434" i="1"/>
  <c r="E1281" i="1"/>
  <c r="E1355" i="1"/>
  <c r="J1680" i="2"/>
  <c r="J1662" i="2"/>
  <c r="J1656" i="2"/>
  <c r="J1629" i="2"/>
  <c r="J1623" i="2"/>
  <c r="J1596" i="2"/>
  <c r="J1590" i="2"/>
  <c r="J1557" i="2"/>
  <c r="J1522" i="2"/>
  <c r="E1226" i="1"/>
  <c r="G1353" i="1"/>
  <c r="E1314" i="1"/>
  <c r="G1312" i="1"/>
  <c r="G1224" i="1"/>
  <c r="G1279" i="1"/>
  <c r="G1352" i="1"/>
  <c r="G1202" i="1"/>
  <c r="G1348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9" i="1"/>
  <c r="G1350" i="1"/>
  <c r="G1351" i="1"/>
  <c r="G1321" i="1"/>
  <c r="G1355" i="1" s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298" i="1"/>
  <c r="O1232" i="1"/>
  <c r="O1241" i="1" s="1"/>
  <c r="E1204" i="1"/>
  <c r="O1197" i="1"/>
  <c r="G1223" i="1"/>
  <c r="G1278" i="1"/>
  <c r="G1277" i="1"/>
  <c r="G122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62" i="1"/>
  <c r="G1281" i="1" s="1"/>
  <c r="G1236" i="1"/>
  <c r="G1237" i="1"/>
  <c r="G1238" i="1"/>
  <c r="G1239" i="1"/>
  <c r="G1235" i="1"/>
  <c r="G1241" i="1" s="1"/>
  <c r="E1242" i="1" s="1"/>
  <c r="O1210" i="1"/>
  <c r="G1217" i="1"/>
  <c r="G1218" i="1"/>
  <c r="G1219" i="1"/>
  <c r="G1220" i="1"/>
  <c r="G1221" i="1"/>
  <c r="G1216" i="1"/>
  <c r="G1226" i="1" s="1"/>
  <c r="E1227" i="1" s="1"/>
  <c r="O1194" i="1"/>
  <c r="O1195" i="1"/>
  <c r="O1196" i="1"/>
  <c r="O1193" i="1"/>
  <c r="O1200" i="1" s="1"/>
  <c r="G1196" i="1"/>
  <c r="G1197" i="1"/>
  <c r="G1198" i="1"/>
  <c r="G1199" i="1"/>
  <c r="G1200" i="1"/>
  <c r="G1201" i="1"/>
  <c r="G1195" i="1"/>
  <c r="G1204" i="1" s="1"/>
  <c r="G1178" i="1"/>
  <c r="G1179" i="1"/>
  <c r="G1180" i="1"/>
  <c r="G1181" i="1"/>
  <c r="G1182" i="1"/>
  <c r="G1183" i="1"/>
  <c r="G1177" i="1"/>
  <c r="O1156" i="1"/>
  <c r="O1157" i="1"/>
  <c r="O1158" i="1"/>
  <c r="O1159" i="1"/>
  <c r="O1155" i="1"/>
  <c r="O1166" i="1" s="1"/>
  <c r="G1161" i="1"/>
  <c r="G1162" i="1"/>
  <c r="G1163" i="1"/>
  <c r="G1160" i="1"/>
  <c r="D1639" i="1"/>
  <c r="J1424" i="2"/>
  <c r="J1485" i="2"/>
  <c r="E1186" i="1"/>
  <c r="E1241" i="1"/>
  <c r="J1380" i="2"/>
  <c r="E1166" i="1"/>
  <c r="G1044" i="1"/>
  <c r="G1109" i="1"/>
  <c r="G1108" i="1"/>
  <c r="G1048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10" i="1"/>
  <c r="G1111" i="1"/>
  <c r="G1112" i="1"/>
  <c r="G1113" i="1"/>
  <c r="G1114" i="1"/>
  <c r="G1115" i="1"/>
  <c r="G1116" i="1"/>
  <c r="G1117" i="1"/>
  <c r="G1118" i="1"/>
  <c r="G1119" i="1"/>
  <c r="G1092" i="1"/>
  <c r="G1122" i="1" s="1"/>
  <c r="E1123" i="1" s="1"/>
  <c r="E1122" i="1"/>
  <c r="G1052" i="1"/>
  <c r="E1055" i="1"/>
  <c r="G964" i="1"/>
  <c r="G1016" i="1"/>
  <c r="G1049" i="1"/>
  <c r="J1491" i="2"/>
  <c r="J1452" i="2"/>
  <c r="J1417" i="2"/>
  <c r="J1344" i="2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70" i="1"/>
  <c r="G1039" i="1"/>
  <c r="G1040" i="1"/>
  <c r="G1041" i="1"/>
  <c r="G1042" i="1"/>
  <c r="G1043" i="1"/>
  <c r="G1045" i="1"/>
  <c r="G1046" i="1"/>
  <c r="G1047" i="1"/>
  <c r="G1050" i="1"/>
  <c r="G1051" i="1"/>
  <c r="G1038" i="1"/>
  <c r="G1055" i="1" s="1"/>
  <c r="E1056" i="1" s="1"/>
  <c r="O994" i="1"/>
  <c r="O995" i="1"/>
  <c r="O993" i="1"/>
  <c r="O1006" i="1" s="1"/>
  <c r="G1000" i="1"/>
  <c r="G1001" i="1"/>
  <c r="G1002" i="1"/>
  <c r="G1003" i="1"/>
  <c r="G999" i="1"/>
  <c r="G1006" i="1" s="1"/>
  <c r="E1007" i="1" s="1"/>
  <c r="G977" i="1"/>
  <c r="G978" i="1"/>
  <c r="G979" i="1"/>
  <c r="G980" i="1"/>
  <c r="G981" i="1"/>
  <c r="G982" i="1"/>
  <c r="G983" i="1"/>
  <c r="G976" i="1"/>
  <c r="G986" i="1" s="1"/>
  <c r="E987" i="1" s="1"/>
  <c r="O956" i="1"/>
  <c r="O966" i="1" s="1"/>
  <c r="G961" i="1"/>
  <c r="G962" i="1"/>
  <c r="G963" i="1"/>
  <c r="G960" i="1"/>
  <c r="O944" i="1"/>
  <c r="O945" i="1"/>
  <c r="O943" i="1"/>
  <c r="O949" i="1" s="1"/>
  <c r="G945" i="1"/>
  <c r="G946" i="1"/>
  <c r="G944" i="1"/>
  <c r="G949" i="1" s="1"/>
  <c r="D1371" i="1"/>
  <c r="J1307" i="2"/>
  <c r="E1085" i="1"/>
  <c r="G1013" i="1"/>
  <c r="G1014" i="1"/>
  <c r="G1015" i="1"/>
  <c r="G1017" i="1"/>
  <c r="G1018" i="1"/>
  <c r="G1012" i="1"/>
  <c r="G1021" i="1"/>
  <c r="E1022" i="1" s="1"/>
  <c r="E1006" i="1"/>
  <c r="E1021" i="1"/>
  <c r="E966" i="1"/>
  <c r="H723" i="4"/>
  <c r="G732" i="4" s="1"/>
  <c r="H734" i="4" s="1"/>
  <c r="H697" i="4"/>
  <c r="G706" i="4" s="1"/>
  <c r="H708" i="4" s="1"/>
  <c r="H671" i="4"/>
  <c r="G680" i="4" s="1"/>
  <c r="H682" i="4" s="1"/>
  <c r="H489" i="4"/>
  <c r="G498" i="4" s="1"/>
  <c r="H500" i="4" s="1"/>
  <c r="H515" i="4"/>
  <c r="G524" i="4"/>
  <c r="H526" i="4"/>
  <c r="H645" i="4"/>
  <c r="G654" i="4" s="1"/>
  <c r="H656" i="4" s="1"/>
  <c r="H619" i="4"/>
  <c r="G628" i="4" s="1"/>
  <c r="H630" i="4" s="1"/>
  <c r="H593" i="4"/>
  <c r="G602" i="4" s="1"/>
  <c r="H604" i="4" s="1"/>
  <c r="H567" i="4"/>
  <c r="G576" i="4" s="1"/>
  <c r="H578" i="4" s="1"/>
  <c r="H541" i="4"/>
  <c r="G550" i="4" s="1"/>
  <c r="H552" i="4" s="1"/>
  <c r="H463" i="4"/>
  <c r="G472" i="4" s="1"/>
  <c r="H474" i="4" s="1"/>
  <c r="H437" i="4"/>
  <c r="G446" i="4" s="1"/>
  <c r="H448" i="4" s="1"/>
  <c r="H411" i="4"/>
  <c r="G420" i="4" s="1"/>
  <c r="H422" i="4" s="1"/>
  <c r="H385" i="4"/>
  <c r="G394" i="4" s="1"/>
  <c r="H396" i="4" s="1"/>
  <c r="E949" i="1"/>
  <c r="E986" i="1"/>
  <c r="J1313" i="2"/>
  <c r="J1281" i="2"/>
  <c r="J1275" i="2"/>
  <c r="J1247" i="2"/>
  <c r="J1241" i="2"/>
  <c r="J1214" i="2"/>
  <c r="J1206" i="2"/>
  <c r="J1168" i="2"/>
  <c r="E854" i="1"/>
  <c r="E877" i="1"/>
  <c r="G913" i="1"/>
  <c r="G914" i="1"/>
  <c r="G915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84" i="1"/>
  <c r="G917" i="1" s="1"/>
  <c r="E918" i="1" s="1"/>
  <c r="G758" i="1"/>
  <c r="G795" i="1"/>
  <c r="E744" i="1"/>
  <c r="E760" i="1"/>
  <c r="O806" i="1"/>
  <c r="O807" i="1"/>
  <c r="O808" i="1"/>
  <c r="O809" i="1"/>
  <c r="O805" i="1"/>
  <c r="O812" i="1" s="1"/>
  <c r="G806" i="1"/>
  <c r="G807" i="1"/>
  <c r="G808" i="1"/>
  <c r="G805" i="1"/>
  <c r="G812" i="1" s="1"/>
  <c r="E813" i="1" s="1"/>
  <c r="G787" i="1"/>
  <c r="G788" i="1"/>
  <c r="G789" i="1"/>
  <c r="G790" i="1"/>
  <c r="G791" i="1"/>
  <c r="G792" i="1"/>
  <c r="G793" i="1"/>
  <c r="G794" i="1"/>
  <c r="G786" i="1"/>
  <c r="G798" i="1" s="1"/>
  <c r="E799" i="1" s="1"/>
  <c r="O767" i="1"/>
  <c r="O768" i="1"/>
  <c r="O766" i="1"/>
  <c r="O776" i="1" s="1"/>
  <c r="G771" i="1"/>
  <c r="G772" i="1"/>
  <c r="G773" i="1"/>
  <c r="G770" i="1"/>
  <c r="G776" i="1" s="1"/>
  <c r="E777" i="1" s="1"/>
  <c r="O752" i="1"/>
  <c r="O751" i="1"/>
  <c r="O760" i="1" s="1"/>
  <c r="G754" i="1"/>
  <c r="G755" i="1"/>
  <c r="G756" i="1"/>
  <c r="G757" i="1"/>
  <c r="G753" i="1"/>
  <c r="G735" i="1"/>
  <c r="G736" i="1"/>
  <c r="G737" i="1"/>
  <c r="G738" i="1"/>
  <c r="G739" i="1"/>
  <c r="G740" i="1"/>
  <c r="G741" i="1"/>
  <c r="G734" i="1"/>
  <c r="G869" i="1"/>
  <c r="G870" i="1"/>
  <c r="G871" i="1"/>
  <c r="G872" i="1"/>
  <c r="G873" i="1"/>
  <c r="G874" i="1"/>
  <c r="G868" i="1"/>
  <c r="G877" i="1" s="1"/>
  <c r="E878" i="1" s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28" i="1"/>
  <c r="G827" i="1"/>
  <c r="G854" i="1" s="1"/>
  <c r="D1139" i="1"/>
  <c r="E950" i="1"/>
  <c r="J954" i="2"/>
  <c r="J995" i="2"/>
  <c r="J1098" i="2"/>
  <c r="E798" i="1"/>
  <c r="E25" i="1"/>
  <c r="E917" i="1"/>
  <c r="J1002" i="2"/>
  <c r="E704" i="1"/>
  <c r="J1136" i="2"/>
  <c r="J1130" i="2"/>
  <c r="J1104" i="2"/>
  <c r="J1070" i="2"/>
  <c r="J1062" i="2"/>
  <c r="J1036" i="2"/>
  <c r="J1030" i="2"/>
  <c r="J962" i="2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680" i="1"/>
  <c r="G704" i="1" s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52" i="1"/>
  <c r="G671" i="1" s="1"/>
  <c r="E671" i="1"/>
  <c r="E558" i="1"/>
  <c r="E622" i="1"/>
  <c r="O606" i="1"/>
  <c r="O607" i="1"/>
  <c r="O608" i="1"/>
  <c r="O609" i="1"/>
  <c r="O605" i="1"/>
  <c r="O611" i="1" s="1"/>
  <c r="G606" i="1"/>
  <c r="G607" i="1"/>
  <c r="G608" i="1"/>
  <c r="G609" i="1"/>
  <c r="G605" i="1"/>
  <c r="G614" i="1" s="1"/>
  <c r="E615" i="1" s="1"/>
  <c r="E614" i="1"/>
  <c r="G594" i="1"/>
  <c r="G595" i="1"/>
  <c r="G596" i="1"/>
  <c r="G593" i="1"/>
  <c r="G599" i="1" s="1"/>
  <c r="E600" i="1" s="1"/>
  <c r="G581" i="1"/>
  <c r="G580" i="1"/>
  <c r="G584" i="1" s="1"/>
  <c r="E585" i="1" s="1"/>
  <c r="G567" i="1"/>
  <c r="G568" i="1"/>
  <c r="G569" i="1"/>
  <c r="G570" i="1"/>
  <c r="G571" i="1"/>
  <c r="G566" i="1"/>
  <c r="G574" i="1" s="1"/>
  <c r="E575" i="1" s="1"/>
  <c r="D928" i="1"/>
  <c r="E812" i="1"/>
  <c r="E776" i="1"/>
  <c r="G744" i="1"/>
  <c r="O744" i="1"/>
  <c r="O550" i="1"/>
  <c r="O551" i="1"/>
  <c r="O552" i="1"/>
  <c r="O553" i="1"/>
  <c r="O549" i="1"/>
  <c r="O555" i="1" s="1"/>
  <c r="G552" i="1"/>
  <c r="G553" i="1"/>
  <c r="G554" i="1"/>
  <c r="G555" i="1"/>
  <c r="G556" i="1"/>
  <c r="G551" i="1"/>
  <c r="G558" i="1" s="1"/>
  <c r="E559" i="1" s="1"/>
  <c r="E599" i="1"/>
  <c r="E584" i="1"/>
  <c r="J750" i="2"/>
  <c r="J782" i="2"/>
  <c r="J817" i="2"/>
  <c r="J883" i="2"/>
  <c r="J916" i="2"/>
  <c r="J923" i="2"/>
  <c r="J716" i="2"/>
  <c r="J689" i="2"/>
  <c r="G634" i="1"/>
  <c r="J790" i="2"/>
  <c r="E574" i="1"/>
  <c r="E640" i="1"/>
  <c r="G637" i="1"/>
  <c r="G636" i="1"/>
  <c r="G635" i="1"/>
  <c r="G633" i="1"/>
  <c r="G632" i="1"/>
  <c r="G631" i="1"/>
  <c r="G630" i="1"/>
  <c r="G640" i="1" s="1"/>
  <c r="E641" i="1" s="1"/>
  <c r="J681" i="2"/>
  <c r="J889" i="2"/>
  <c r="G488" i="1"/>
  <c r="G480" i="1"/>
  <c r="O427" i="1"/>
  <c r="O467" i="1"/>
  <c r="G481" i="1"/>
  <c r="G482" i="1"/>
  <c r="G483" i="1"/>
  <c r="G484" i="1"/>
  <c r="G485" i="1"/>
  <c r="G486" i="1"/>
  <c r="G487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14" i="1"/>
  <c r="G531" i="1" s="1"/>
  <c r="G504" i="1"/>
  <c r="G505" i="1"/>
  <c r="G506" i="1"/>
  <c r="G503" i="1"/>
  <c r="G508" i="1" s="1"/>
  <c r="E509" i="1" s="1"/>
  <c r="E460" i="1"/>
  <c r="G467" i="1"/>
  <c r="G468" i="1"/>
  <c r="G469" i="1"/>
  <c r="G470" i="1"/>
  <c r="G471" i="1"/>
  <c r="G466" i="1"/>
  <c r="E473" i="1"/>
  <c r="D716" i="1"/>
  <c r="O426" i="1"/>
  <c r="O437" i="1" s="1"/>
  <c r="O466" i="1"/>
  <c r="O473" i="1" s="1"/>
  <c r="G430" i="1"/>
  <c r="G431" i="1"/>
  <c r="G432" i="1"/>
  <c r="G433" i="1"/>
  <c r="G434" i="1"/>
  <c r="G429" i="1"/>
  <c r="G437" i="1" s="1"/>
  <c r="H359" i="4"/>
  <c r="G368" i="4" s="1"/>
  <c r="H370" i="4" s="1"/>
  <c r="E508" i="1"/>
  <c r="E531" i="1"/>
  <c r="J856" i="2"/>
  <c r="J823" i="2"/>
  <c r="J756" i="2"/>
  <c r="J722" i="2"/>
  <c r="E437" i="1"/>
  <c r="G446" i="1"/>
  <c r="G447" i="1"/>
  <c r="G448" i="1"/>
  <c r="G445" i="1"/>
  <c r="G451" i="1" s="1"/>
  <c r="E452" i="1" s="1"/>
  <c r="E451" i="1"/>
  <c r="H333" i="4"/>
  <c r="G342" i="4" s="1"/>
  <c r="H344" i="4" s="1"/>
  <c r="H307" i="4"/>
  <c r="G316" i="4" s="1"/>
  <c r="H318" i="4" s="1"/>
  <c r="H279" i="4"/>
  <c r="G288" i="4" s="1"/>
  <c r="H290" i="4" s="1"/>
  <c r="H253" i="4"/>
  <c r="G262" i="4" s="1"/>
  <c r="H264" i="4" s="1"/>
  <c r="H225" i="4"/>
  <c r="G234" i="4" s="1"/>
  <c r="H236" i="4" s="1"/>
  <c r="H199" i="4"/>
  <c r="G208" i="4" s="1"/>
  <c r="H210" i="4" s="1"/>
  <c r="H171" i="4"/>
  <c r="G180" i="4" s="1"/>
  <c r="H182" i="4" s="1"/>
  <c r="D535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391" i="1"/>
  <c r="I409" i="1" s="1"/>
  <c r="G374" i="1"/>
  <c r="G375" i="1"/>
  <c r="G376" i="1"/>
  <c r="G377" i="1"/>
  <c r="G378" i="1"/>
  <c r="G379" i="1"/>
  <c r="G380" i="1"/>
  <c r="G381" i="1"/>
  <c r="G382" i="1"/>
  <c r="G373" i="1"/>
  <c r="E385" i="1"/>
  <c r="G358" i="1"/>
  <c r="G359" i="1"/>
  <c r="G360" i="1"/>
  <c r="G357" i="1"/>
  <c r="I363" i="1" s="1"/>
  <c r="G345" i="1"/>
  <c r="G347" i="1" s="1"/>
  <c r="G333" i="1"/>
  <c r="G334" i="1"/>
  <c r="G335" i="1"/>
  <c r="G336" i="1"/>
  <c r="G332" i="1"/>
  <c r="G338" i="1" s="1"/>
  <c r="O316" i="1"/>
  <c r="O315" i="1"/>
  <c r="G318" i="1"/>
  <c r="G319" i="1"/>
  <c r="G320" i="1"/>
  <c r="G321" i="1"/>
  <c r="G322" i="1"/>
  <c r="G323" i="1"/>
  <c r="G317" i="1"/>
  <c r="E408" i="1"/>
  <c r="E325" i="1"/>
  <c r="J537" i="2"/>
  <c r="E362" i="1"/>
  <c r="E338" i="1"/>
  <c r="E347" i="1"/>
  <c r="G257" i="1"/>
  <c r="J431" i="2"/>
  <c r="J456" i="2"/>
  <c r="G284" i="1"/>
  <c r="G285" i="1"/>
  <c r="G286" i="1"/>
  <c r="G287" i="1"/>
  <c r="G288" i="1"/>
  <c r="G289" i="1"/>
  <c r="G290" i="1"/>
  <c r="G291" i="1"/>
  <c r="G292" i="1"/>
  <c r="G293" i="1"/>
  <c r="G294" i="1"/>
  <c r="G283" i="1"/>
  <c r="G272" i="1"/>
  <c r="G273" i="1"/>
  <c r="G274" i="1"/>
  <c r="G275" i="1"/>
  <c r="G271" i="1"/>
  <c r="G277" i="1" s="1"/>
  <c r="E278" i="1" s="1"/>
  <c r="E277" i="1"/>
  <c r="G258" i="1"/>
  <c r="G259" i="1"/>
  <c r="G260" i="1"/>
  <c r="G261" i="1"/>
  <c r="G262" i="1"/>
  <c r="G256" i="1"/>
  <c r="E264" i="1"/>
  <c r="O241" i="1"/>
  <c r="O244" i="1" s="1"/>
  <c r="O230" i="1"/>
  <c r="G232" i="1"/>
  <c r="G233" i="1"/>
  <c r="G231" i="1"/>
  <c r="G235" i="1" s="1"/>
  <c r="E235" i="1"/>
  <c r="G221" i="1"/>
  <c r="G217" i="1"/>
  <c r="G218" i="1"/>
  <c r="G219" i="1"/>
  <c r="G220" i="1"/>
  <c r="G216" i="1"/>
  <c r="G224" i="1" s="1"/>
  <c r="E224" i="1"/>
  <c r="G242" i="1"/>
  <c r="G243" i="1"/>
  <c r="G241" i="1"/>
  <c r="G245" i="1" s="1"/>
  <c r="E245" i="1"/>
  <c r="E296" i="1"/>
  <c r="J311" i="2"/>
  <c r="J374" i="2"/>
  <c r="J393" i="2"/>
  <c r="H145" i="4"/>
  <c r="G154" i="4" s="1"/>
  <c r="H156" i="4" s="1"/>
  <c r="N124" i="1"/>
  <c r="J387" i="2"/>
  <c r="J368" i="2"/>
  <c r="J336" i="2"/>
  <c r="J303" i="2"/>
  <c r="H119" i="4"/>
  <c r="G128" i="4"/>
  <c r="H130" i="4" s="1"/>
  <c r="G101" i="4"/>
  <c r="H103" i="4" s="1"/>
  <c r="H65" i="4"/>
  <c r="G74" i="4" s="1"/>
  <c r="H76" i="4" s="1"/>
  <c r="H38" i="4"/>
  <c r="H11" i="4"/>
  <c r="G47" i="4"/>
  <c r="H49" i="4" s="1"/>
  <c r="G20" i="4"/>
  <c r="H22" i="4" s="1"/>
  <c r="G296" i="1"/>
  <c r="E297" i="1" s="1"/>
  <c r="E265" i="1"/>
  <c r="O235" i="1"/>
  <c r="O236" i="1" s="1"/>
  <c r="E197" i="1"/>
  <c r="G195" i="1"/>
  <c r="G171" i="1"/>
  <c r="G108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79" i="1"/>
  <c r="G161" i="1"/>
  <c r="G162" i="1"/>
  <c r="G163" i="1"/>
  <c r="G164" i="1"/>
  <c r="G165" i="1"/>
  <c r="G166" i="1"/>
  <c r="G167" i="1"/>
  <c r="G168" i="1"/>
  <c r="G169" i="1"/>
  <c r="G170" i="1"/>
  <c r="G160" i="1"/>
  <c r="G172" i="1" s="1"/>
  <c r="G148" i="1"/>
  <c r="G149" i="1"/>
  <c r="G147" i="1"/>
  <c r="G151" i="1" s="1"/>
  <c r="H152" i="1" s="1"/>
  <c r="G119" i="1"/>
  <c r="G120" i="1"/>
  <c r="G121" i="1"/>
  <c r="G122" i="1"/>
  <c r="G118" i="1"/>
  <c r="G124" i="1" s="1"/>
  <c r="E125" i="1" s="1"/>
  <c r="E124" i="1"/>
  <c r="O102" i="1"/>
  <c r="O109" i="1" s="1"/>
  <c r="G105" i="1"/>
  <c r="G106" i="1"/>
  <c r="G107" i="1"/>
  <c r="G104" i="1"/>
  <c r="G110" i="1" s="1"/>
  <c r="G89" i="1"/>
  <c r="G90" i="1"/>
  <c r="G91" i="1"/>
  <c r="G92" i="1"/>
  <c r="G93" i="1"/>
  <c r="G94" i="1"/>
  <c r="G88" i="1"/>
  <c r="E173" i="1"/>
  <c r="E151" i="1"/>
  <c r="E110" i="1"/>
  <c r="D201" i="1"/>
  <c r="J174" i="2"/>
  <c r="E139" i="1"/>
  <c r="J272" i="2"/>
  <c r="O7" i="1"/>
  <c r="M8" i="1"/>
  <c r="E69" i="1"/>
  <c r="G66" i="1"/>
  <c r="G67" i="1"/>
  <c r="G65" i="1"/>
  <c r="G69" i="1" s="1"/>
  <c r="G23" i="1"/>
  <c r="G22" i="1"/>
  <c r="G15" i="1"/>
  <c r="G16" i="1"/>
  <c r="G14" i="1"/>
  <c r="G18" i="1" s="1"/>
  <c r="O6" i="1"/>
  <c r="O9" i="1" s="1"/>
  <c r="E42" i="1"/>
  <c r="G37" i="1"/>
  <c r="J263" i="2"/>
  <c r="J237" i="2"/>
  <c r="J212" i="2"/>
  <c r="J199" i="2"/>
  <c r="J160" i="2"/>
  <c r="G96" i="1"/>
  <c r="E97" i="1" s="1"/>
  <c r="E96" i="1"/>
  <c r="J129" i="2"/>
  <c r="J116" i="2"/>
  <c r="J103" i="2"/>
  <c r="J78" i="2"/>
  <c r="J65" i="2"/>
  <c r="J40" i="2"/>
  <c r="J27" i="2"/>
  <c r="G31" i="1"/>
  <c r="G49" i="1"/>
  <c r="G50" i="1"/>
  <c r="G48" i="1"/>
  <c r="E18" i="1"/>
  <c r="G36" i="1"/>
  <c r="G35" i="1"/>
  <c r="G34" i="1"/>
  <c r="G33" i="1"/>
  <c r="G32" i="1"/>
  <c r="G42" i="1" s="1"/>
  <c r="G25" i="1"/>
  <c r="O25" i="1" s="1"/>
  <c r="E9" i="1"/>
  <c r="G9" i="1"/>
  <c r="D219" i="12" l="1"/>
  <c r="G199" i="12"/>
  <c r="G200" i="12" s="1"/>
  <c r="G858" i="4"/>
  <c r="H860" i="4" s="1"/>
  <c r="G1058" i="4"/>
  <c r="H1060" i="4" s="1"/>
  <c r="D84" i="12"/>
  <c r="D90" i="12" s="1"/>
  <c r="D176" i="12"/>
  <c r="Q49" i="12"/>
  <c r="Q81" i="12"/>
  <c r="G15" i="12"/>
  <c r="G16" i="12" s="1"/>
  <c r="G30" i="12"/>
  <c r="G66" i="12"/>
  <c r="G81" i="12"/>
  <c r="Q30" i="12"/>
  <c r="G159" i="12"/>
  <c r="G108" i="12"/>
  <c r="G173" i="12"/>
  <c r="G141" i="12"/>
  <c r="G128" i="12"/>
  <c r="Q128" i="12" s="1"/>
  <c r="G49" i="12"/>
  <c r="Q50" i="12" s="1"/>
  <c r="Q66" i="12"/>
  <c r="G1314" i="1"/>
  <c r="E1315" i="1" s="1"/>
  <c r="E1282" i="1"/>
  <c r="E1356" i="1"/>
  <c r="E1205" i="1"/>
  <c r="G1186" i="1"/>
  <c r="E1187" i="1" s="1"/>
  <c r="G1166" i="1"/>
  <c r="E1167" i="1" s="1"/>
  <c r="G1085" i="1"/>
  <c r="E1086" i="1" s="1"/>
  <c r="G966" i="1"/>
  <c r="E967" i="1" s="1"/>
  <c r="G760" i="1"/>
  <c r="E761" i="1" s="1"/>
  <c r="E855" i="1"/>
  <c r="E745" i="1"/>
  <c r="G473" i="1"/>
  <c r="E474" i="1" s="1"/>
  <c r="G492" i="1"/>
  <c r="E438" i="1"/>
  <c r="G385" i="1"/>
  <c r="E386" i="1" s="1"/>
  <c r="O321" i="1"/>
  <c r="G325" i="1"/>
  <c r="O247" i="1"/>
  <c r="E246" i="1"/>
  <c r="E111" i="1"/>
  <c r="O110" i="1"/>
  <c r="G197" i="1"/>
  <c r="E198" i="1" s="1"/>
  <c r="E199" i="1" s="1"/>
  <c r="G51" i="1"/>
  <c r="Q82" i="12" l="1"/>
  <c r="Q67" i="12"/>
  <c r="Q31" i="12"/>
  <c r="E493" i="1"/>
  <c r="E532" i="1"/>
  <c r="O325" i="1"/>
  <c r="E326" i="1"/>
  <c r="Q108" i="12"/>
  <c r="Q105" i="12"/>
  <c r="Q141" i="12"/>
  <c r="Q140" i="12"/>
  <c r="Q173" i="12"/>
  <c r="Q170" i="12"/>
  <c r="Q159" i="12"/>
  <c r="Q15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tc={99D7C82A-DDB0-49E0-9C4B-C0326870866E}</author>
  </authors>
  <commentList>
    <comment ref="E175" authorId="0" shapeId="0" xr:uid="{99D7C82A-DDB0-49E0-9C4B-C03268708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este seria el valor para sumar a la meta de la sede, del presente asesor. ya que un negocio solo le suma al asesor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tc={5ABFB805-7D41-4F15-B137-4EBED671FD57}</author>
  </authors>
  <commentList>
    <comment ref="E641" authorId="0" shapeId="0" xr:uid="{5ABFB805-7D41-4F15-B137-4EBED671FD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SE PAGO
</t>
      </text>
    </comment>
  </commentList>
</comments>
</file>

<file path=xl/sharedStrings.xml><?xml version="1.0" encoding="utf-8"?>
<sst xmlns="http://schemas.openxmlformats.org/spreadsheetml/2006/main" count="20218" uniqueCount="3442">
  <si>
    <t>Enero 2021</t>
  </si>
  <si>
    <t>Jennifer Torres</t>
  </si>
  <si>
    <t>Captaciones Arrendamientos</t>
  </si>
  <si>
    <t>N.</t>
  </si>
  <si>
    <t>Fecha</t>
  </si>
  <si>
    <t>Tipo inmueble</t>
  </si>
  <si>
    <t>Unidad o dirección</t>
  </si>
  <si>
    <t>Sector</t>
  </si>
  <si>
    <t>Valor</t>
  </si>
  <si>
    <t>Portero o directo</t>
  </si>
  <si>
    <t>Avisos</t>
  </si>
  <si>
    <t>Fotos</t>
  </si>
  <si>
    <t>#</t>
  </si>
  <si>
    <t>Apartamento</t>
  </si>
  <si>
    <t>Oporto Campestre 1203</t>
  </si>
  <si>
    <t>Machado - Copacabana</t>
  </si>
  <si>
    <t>Directo</t>
  </si>
  <si>
    <t>Si</t>
  </si>
  <si>
    <t>Puerto Ventura 2310</t>
  </si>
  <si>
    <t>Santa Ana</t>
  </si>
  <si>
    <t>Arredondo</t>
  </si>
  <si>
    <t>puerto ventura 1908</t>
  </si>
  <si>
    <t>Flor de agua 2430</t>
  </si>
  <si>
    <t>Roldan</t>
  </si>
  <si>
    <t>si</t>
  </si>
  <si>
    <t>15/01/2021</t>
  </si>
  <si>
    <t>Flor de agua 831</t>
  </si>
  <si>
    <t xml:space="preserve">CAMILO </t>
  </si>
  <si>
    <t>Flor de agua 2132</t>
  </si>
  <si>
    <t>Entre vientos 907</t>
  </si>
  <si>
    <t>Niquia</t>
  </si>
  <si>
    <t>Gallo</t>
  </si>
  <si>
    <t xml:space="preserve">DAHIANA </t>
  </si>
  <si>
    <t>Captaciones Ventas</t>
  </si>
  <si>
    <t>Hacienda niquia 1608</t>
  </si>
  <si>
    <t>250.000.000</t>
  </si>
  <si>
    <t>SI</t>
  </si>
  <si>
    <t>APTO</t>
  </si>
  <si>
    <t>FLOR DE AGUA 2430</t>
  </si>
  <si>
    <t xml:space="preserve">BELLO </t>
  </si>
  <si>
    <t>ROLDAN</t>
  </si>
  <si>
    <t>21/01/2021</t>
  </si>
  <si>
    <t>CAMINO DEL VIENTO 701</t>
  </si>
  <si>
    <t xml:space="preserve">DIRECTO </t>
  </si>
  <si>
    <t>NO</t>
  </si>
  <si>
    <t xml:space="preserve">23/01/2021 </t>
  </si>
  <si>
    <t>PEÑA VERDE 637</t>
  </si>
  <si>
    <t>Sebastian Buitrago</t>
  </si>
  <si>
    <t>Casa</t>
  </si>
  <si>
    <t>Santa Isabel 2 CASA 33</t>
  </si>
  <si>
    <t>Gonzalez</t>
  </si>
  <si>
    <t>No</t>
  </si>
  <si>
    <t>MEDITERRANEA 1422</t>
  </si>
  <si>
    <t>JUAN GARCIA</t>
  </si>
  <si>
    <t>MEDITERRANEA 1424</t>
  </si>
  <si>
    <t xml:space="preserve">JUAN GARCIA </t>
  </si>
  <si>
    <t>Fuente clara 1515</t>
  </si>
  <si>
    <t>Sabaneta</t>
  </si>
  <si>
    <t>Rincón de Santa Isabel 33</t>
  </si>
  <si>
    <t>Bello</t>
  </si>
  <si>
    <t>Edificio Amaranto 302</t>
  </si>
  <si>
    <t>PUERTO PARAISO 801</t>
  </si>
  <si>
    <t>Carlos Zapata</t>
  </si>
  <si>
    <t>MONSERATTE 1004</t>
  </si>
  <si>
    <t xml:space="preserve">BUENOS AIRES </t>
  </si>
  <si>
    <t>Luis Restrepo</t>
  </si>
  <si>
    <t>15/01/2020</t>
  </si>
  <si>
    <t>RESERVA DE BUCAROS 310</t>
  </si>
  <si>
    <t>SANTA ANA</t>
  </si>
  <si>
    <t>EWIN RIOS</t>
  </si>
  <si>
    <t>15/01/ 2020</t>
  </si>
  <si>
    <t>RESERVA DE BUCAROS 1109</t>
  </si>
  <si>
    <t xml:space="preserve">EDWIN RIOS </t>
  </si>
  <si>
    <t>20/ 01/2021</t>
  </si>
  <si>
    <t>CASA</t>
  </si>
  <si>
    <t>SAN FRANCISCO CASA</t>
  </si>
  <si>
    <t>NIQUIA</t>
  </si>
  <si>
    <t>CEIBA DEL NORTE 914</t>
  </si>
  <si>
    <t xml:space="preserve">NIQUIA </t>
  </si>
  <si>
    <t xml:space="preserve">LUIS BARRIOS </t>
  </si>
  <si>
    <t>Arturo Ruiz</t>
  </si>
  <si>
    <t>18/12/2020</t>
  </si>
  <si>
    <t>Puerto Alegre 1525</t>
  </si>
  <si>
    <t>22/12/2020</t>
  </si>
  <si>
    <t>Flor de Agua 1727</t>
  </si>
  <si>
    <t>José Jimenez</t>
  </si>
  <si>
    <t>san juan de la cabañita 303</t>
  </si>
  <si>
    <t>bello</t>
  </si>
  <si>
    <t>directo</t>
  </si>
  <si>
    <t>13/01/2021</t>
  </si>
  <si>
    <t>Amazonika 1220</t>
  </si>
  <si>
    <t>portero</t>
  </si>
  <si>
    <t xml:space="preserve">APARTAMENTO </t>
  </si>
  <si>
    <t>FLOR DE AGUA 1025</t>
  </si>
  <si>
    <t>ADRIANA VILLA</t>
  </si>
  <si>
    <t>18/01/2021</t>
  </si>
  <si>
    <t>PUERTO ALEGRE 748</t>
  </si>
  <si>
    <t>19/01/2021</t>
  </si>
  <si>
    <t xml:space="preserve">CASA SEGUNDO PISO PLAYA RICA </t>
  </si>
  <si>
    <t>20/01/2021</t>
  </si>
  <si>
    <t xml:space="preserve">apARTAMENTO </t>
  </si>
  <si>
    <t>FLOR DE AGUA 128</t>
  </si>
  <si>
    <t xml:space="preserve">JIMENEZ </t>
  </si>
  <si>
    <t>20/01/20231</t>
  </si>
  <si>
    <t>YERBABUENA 1709</t>
  </si>
  <si>
    <t>POBLADO</t>
  </si>
  <si>
    <t xml:space="preserve">22/01/2021 </t>
  </si>
  <si>
    <t>MEDITERRANEA 2017</t>
  </si>
  <si>
    <t xml:space="preserve">GARCIA </t>
  </si>
  <si>
    <t>23 /01/2021</t>
  </si>
  <si>
    <t>OCEANA 734</t>
  </si>
  <si>
    <t>BEATRIZ (ADMON)</t>
  </si>
  <si>
    <t>Ed Amaranto 202</t>
  </si>
  <si>
    <t xml:space="preserve">cabañas </t>
  </si>
  <si>
    <t>Ed Amaranto 301</t>
  </si>
  <si>
    <t>CAMILO</t>
  </si>
  <si>
    <t>ed Amaranto 401</t>
  </si>
  <si>
    <t>ed Amaranto 402</t>
  </si>
  <si>
    <t>PORTADA</t>
  </si>
  <si>
    <t>apto</t>
  </si>
  <si>
    <t xml:space="preserve">Ed dallas </t>
  </si>
  <si>
    <t>niquia</t>
  </si>
  <si>
    <t>OCEANA 2133</t>
  </si>
  <si>
    <t>ARROYO</t>
  </si>
  <si>
    <t>MAJAGUA 413</t>
  </si>
  <si>
    <t>BELLO</t>
  </si>
  <si>
    <t>26/01/2021</t>
  </si>
  <si>
    <t>OPORTO CAMPESTRE 1506</t>
  </si>
  <si>
    <t xml:space="preserve">COPACABANA </t>
  </si>
  <si>
    <t xml:space="preserve">FEBRERO </t>
  </si>
  <si>
    <t xml:space="preserve">1 DE FEBRERO 2021 </t>
  </si>
  <si>
    <t>BODEGA</t>
  </si>
  <si>
    <t xml:space="preserve">BODEGA ESTACION BELLO </t>
  </si>
  <si>
    <t xml:space="preserve">JOAN </t>
  </si>
  <si>
    <t>5 DE FEBRERO 2021</t>
  </si>
  <si>
    <t xml:space="preserve">CASA </t>
  </si>
  <si>
    <t xml:space="preserve">CASA VILLAS DE CONFENALCO </t>
  </si>
  <si>
    <t xml:space="preserve">12 DE FEBRERO 2021 </t>
  </si>
  <si>
    <t xml:space="preserve">APTO </t>
  </si>
  <si>
    <t>PUERTO VENTURA 411</t>
  </si>
  <si>
    <t>LOPEZ</t>
  </si>
  <si>
    <t xml:space="preserve">13 DE FEBRERO 2021 </t>
  </si>
  <si>
    <t>FLOR DE AGUA 1626</t>
  </si>
  <si>
    <t>FLOR DE AGUA 628</t>
  </si>
  <si>
    <t xml:space="preserve">ROLDAN </t>
  </si>
  <si>
    <t>15 DE FEBRERO 2021</t>
  </si>
  <si>
    <t xml:space="preserve">OFICINA </t>
  </si>
  <si>
    <t xml:space="preserve">CENTRO PROFESIONAL VILLANUEVA </t>
  </si>
  <si>
    <t xml:space="preserve">CENTRO </t>
  </si>
  <si>
    <t>FLOR DE AGUA 2129</t>
  </si>
  <si>
    <t>18 DE FEBRERO 2021</t>
  </si>
  <si>
    <t>EDIFICIO RAMOS 401</t>
  </si>
  <si>
    <t xml:space="preserve">19 DE FEBRERO 2021 </t>
  </si>
  <si>
    <t>FLOR DE AGUA 2528</t>
  </si>
  <si>
    <t xml:space="preserve">20 DE FEBRERO 2021 </t>
  </si>
  <si>
    <t>TRIGALES 1228</t>
  </si>
  <si>
    <t xml:space="preserve">23 DE FEBRERO 2021 </t>
  </si>
  <si>
    <t>PENINSULA 2709</t>
  </si>
  <si>
    <t>25 DE FEBRERO 2021</t>
  </si>
  <si>
    <t>ENSENADA 2525</t>
  </si>
  <si>
    <t>25  DE FEBRERO 2021</t>
  </si>
  <si>
    <t xml:space="preserve">CENTRO PROFESIONAL VILLANUEVAOFICINA 103  </t>
  </si>
  <si>
    <t>PUERTO NUEVO 837</t>
  </si>
  <si>
    <t xml:space="preserve">JAVIER </t>
  </si>
  <si>
    <t>NORTEAMERICA 2040</t>
  </si>
  <si>
    <t>MAJAGUA 1551</t>
  </si>
  <si>
    <t>1 DE FEBRERO 2021</t>
  </si>
  <si>
    <t>ED.MENDOZA 101</t>
  </si>
  <si>
    <t>DIRECTO</t>
  </si>
  <si>
    <t>ED.MENDOZA 401</t>
  </si>
  <si>
    <t>ED.MENDOZA 501</t>
  </si>
  <si>
    <t>ED.MENDOZA 601</t>
  </si>
  <si>
    <t xml:space="preserve">5 DE FEBRERO 2021 </t>
  </si>
  <si>
    <t>APTO NIQUIA CAMACOL</t>
  </si>
  <si>
    <t>APTO NIQUIA CAMACOL INT 201</t>
  </si>
  <si>
    <t xml:space="preserve">TERRAZA </t>
  </si>
  <si>
    <t xml:space="preserve">ATERRAZA </t>
  </si>
  <si>
    <t xml:space="preserve">6 DE FEBRERO 2121 </t>
  </si>
  <si>
    <t>GUAYACANES DE TERRANOVA 154</t>
  </si>
  <si>
    <t>12 DE FEBRERO 2021</t>
  </si>
  <si>
    <t xml:space="preserve">SANTA ANA </t>
  </si>
  <si>
    <t xml:space="preserve">VENTAS </t>
  </si>
  <si>
    <t xml:space="preserve">15 DE FEBRERO 2021 </t>
  </si>
  <si>
    <t>RESERVA DE BUCAROS 808</t>
  </si>
  <si>
    <t xml:space="preserve">18 DE FEBRERO 2021 </t>
  </si>
  <si>
    <t>APT</t>
  </si>
  <si>
    <t>1 FEBRERO 2021</t>
  </si>
  <si>
    <t>MEDITERRANEA 522</t>
  </si>
  <si>
    <t>GARCIA</t>
  </si>
  <si>
    <t>MEDITERRANEA 118</t>
  </si>
  <si>
    <t>CEIBA DEL NORTE 924</t>
  </si>
  <si>
    <t>4  DE FEBRERO 2021</t>
  </si>
  <si>
    <t>MEDITERRANEA 1920</t>
  </si>
  <si>
    <t>BALCONES DE TIERRA LINDA 124</t>
  </si>
  <si>
    <t xml:space="preserve">ENVIGADO </t>
  </si>
  <si>
    <t>9 DE FEBRERO 2021</t>
  </si>
  <si>
    <t>MONSERATT 1206</t>
  </si>
  <si>
    <t>LUIS RESTREPO</t>
  </si>
  <si>
    <t xml:space="preserve">17 DE FEBRERO 2021 </t>
  </si>
  <si>
    <t>CORAL 1403</t>
  </si>
  <si>
    <t>OSCAR YANEZ</t>
  </si>
  <si>
    <t>CEIBA DEL NORTE 1912</t>
  </si>
  <si>
    <t xml:space="preserve">PLAZA NAVARRA </t>
  </si>
  <si>
    <t xml:space="preserve">DANIEL </t>
  </si>
  <si>
    <t xml:space="preserve">CURAZAO APT 1010 </t>
  </si>
  <si>
    <t>4 DE FEBRERO 2021</t>
  </si>
  <si>
    <t>FLORIDA DE NORTEAMERICA 132</t>
  </si>
  <si>
    <t xml:space="preserve">OMAR VASQUEZ </t>
  </si>
  <si>
    <t>MADERA NATURAL 804</t>
  </si>
  <si>
    <t>CAMINO DE LOS VIENTOS 1003</t>
  </si>
  <si>
    <t xml:space="preserve">MAURICIO CANO </t>
  </si>
  <si>
    <t>FLOR DE AGUA 1132</t>
  </si>
  <si>
    <t>1  FEBRERO 2021</t>
  </si>
  <si>
    <t>TIERRA LINDA CAMPESTRE 2101</t>
  </si>
  <si>
    <t>TIERRA LINDA CAMPESTRE 606</t>
  </si>
  <si>
    <t>TORRE DEL BOSQUE 206</t>
  </si>
  <si>
    <t>MEDELLIN</t>
  </si>
  <si>
    <t>JOAN</t>
  </si>
  <si>
    <t>MEDITERRANEA 1622</t>
  </si>
  <si>
    <t>LOCAL</t>
  </si>
  <si>
    <t xml:space="preserve">LOCAL BELEN ROSALES </t>
  </si>
  <si>
    <t>MEDITERRANEA 1224</t>
  </si>
  <si>
    <t>MEDITERRANEA 1222</t>
  </si>
  <si>
    <t>APT0</t>
  </si>
  <si>
    <t>OCEANA 2326</t>
  </si>
  <si>
    <t>MEDITERRANEA 1821</t>
  </si>
  <si>
    <t>FLOR DE AGUA 1226</t>
  </si>
  <si>
    <t>FLOR DE AGUA 2525</t>
  </si>
  <si>
    <t>FLOR DE AGUA 2332</t>
  </si>
  <si>
    <t>10  DE FEBRERO 2021</t>
  </si>
  <si>
    <t>NADERA SILVESTRE 1202</t>
  </si>
  <si>
    <t>POSADA</t>
  </si>
  <si>
    <t>TORRE DEL BOSQUE 603</t>
  </si>
  <si>
    <t>JESUS</t>
  </si>
  <si>
    <t>BOSQUE ALTO 707</t>
  </si>
  <si>
    <t xml:space="preserve">ZULETA </t>
  </si>
  <si>
    <t>BOSQUE ALTO 2001</t>
  </si>
  <si>
    <t xml:space="preserve">17 DE FEBREO 2021 </t>
  </si>
  <si>
    <t xml:space="preserve">CASA UNICENTRO </t>
  </si>
  <si>
    <t xml:space="preserve">LAURELES </t>
  </si>
  <si>
    <t xml:space="preserve">22 DE FEBRERO 2021 </t>
  </si>
  <si>
    <t>FLOR DE AGUA 2330</t>
  </si>
  <si>
    <t>23 DE FEBRERO 2021</t>
  </si>
  <si>
    <t>OCEANA 628</t>
  </si>
  <si>
    <t>BOSQUE ALTO 2301</t>
  </si>
  <si>
    <t>10 DE FEBRERO 2021</t>
  </si>
  <si>
    <t>BOSQUE ALTO 1608</t>
  </si>
  <si>
    <t>TORRE DEL BOSQUE 1104</t>
  </si>
  <si>
    <t>BOAVISTA 710</t>
  </si>
  <si>
    <t xml:space="preserve">NATALIA ADMON </t>
  </si>
  <si>
    <t>ALTOS DE NIQUIA 201</t>
  </si>
  <si>
    <t>CEIBA DEL NORTE 2022</t>
  </si>
  <si>
    <t>CAROLINA DEL NORTE CASA 9</t>
  </si>
  <si>
    <t>BELLO-NORTEAMERICA</t>
  </si>
  <si>
    <t>CAROLINA DEL NORTE CASA 16</t>
  </si>
  <si>
    <t>16 DE FEBRERO 2021</t>
  </si>
  <si>
    <t xml:space="preserve">OCENA 2336 </t>
  </si>
  <si>
    <t>PUERTO ALWEGRE 1808</t>
  </si>
  <si>
    <t xml:space="preserve">MARZO </t>
  </si>
  <si>
    <t xml:space="preserve">1 DE MARZO </t>
  </si>
  <si>
    <t>FLOR DE AGUA 725</t>
  </si>
  <si>
    <t xml:space="preserve">LOCAL CENTRO COMERCIAL 34-41 </t>
  </si>
  <si>
    <t>FLOR DE AGUA 1932</t>
  </si>
  <si>
    <t xml:space="preserve">FLOR DE AGUA 2128 </t>
  </si>
  <si>
    <t xml:space="preserve">2 DE MARZO </t>
  </si>
  <si>
    <t xml:space="preserve">3 DE MARZO </t>
  </si>
  <si>
    <t>OCEANA 2336</t>
  </si>
  <si>
    <t xml:space="preserve">4 DE MARZO </t>
  </si>
  <si>
    <t>CENTRO COMERCIAL ESTACION NIQUIA 501</t>
  </si>
  <si>
    <t xml:space="preserve">6 DE MARZO </t>
  </si>
  <si>
    <t>MOLINOS DEL SOL 1317</t>
  </si>
  <si>
    <t xml:space="preserve">SI </t>
  </si>
  <si>
    <t xml:space="preserve">9 DE MARZO </t>
  </si>
  <si>
    <t>APTO-STUDIO</t>
  </si>
  <si>
    <t xml:space="preserve">APARTA STUDIO LAURELES </t>
  </si>
  <si>
    <t xml:space="preserve">13 DE MARZO </t>
  </si>
  <si>
    <t>MOLINOS DEL SOL 1919</t>
  </si>
  <si>
    <t xml:space="preserve">GUILLERMO MORALES </t>
  </si>
  <si>
    <t xml:space="preserve">18 DE MARZO 2021 </t>
  </si>
  <si>
    <t>TORREMOLINOS 103</t>
  </si>
  <si>
    <t xml:space="preserve">20 DE MARZO 2021 </t>
  </si>
  <si>
    <t>PALMAR DE SERRAMONTE 401</t>
  </si>
  <si>
    <t>23 DE MARZO 2021</t>
  </si>
  <si>
    <t>AVELLANEDA 1710</t>
  </si>
  <si>
    <t xml:space="preserve">JAVIER ZAPATA </t>
  </si>
  <si>
    <t xml:space="preserve">24 DE MARZO 2021 </t>
  </si>
  <si>
    <t>FLORIDA DE NORTEAMERICA 1912</t>
  </si>
  <si>
    <t>25 DE MARZO 2021</t>
  </si>
  <si>
    <t>BARLOVENTO 209</t>
  </si>
  <si>
    <t>ALEX</t>
  </si>
  <si>
    <t>PINAR DEL N ORTE 501</t>
  </si>
  <si>
    <t>BELLO-CABAÑAS</t>
  </si>
  <si>
    <t>26 DE MARZO 2021</t>
  </si>
  <si>
    <t>ALTOBELO 1508</t>
  </si>
  <si>
    <t>BELLO-PEREZ</t>
  </si>
  <si>
    <t>MORENO</t>
  </si>
  <si>
    <t xml:space="preserve">27 DE MARZO 2021 </t>
  </si>
  <si>
    <t>BONANZA 1102</t>
  </si>
  <si>
    <t>ALTOBELO 316</t>
  </si>
  <si>
    <t>SERGIO</t>
  </si>
  <si>
    <t>29 DE MARZO 2021</t>
  </si>
  <si>
    <t>PARQUE DE BELLO 301</t>
  </si>
  <si>
    <t>APTO PLAYA RICA 60-43</t>
  </si>
  <si>
    <t>CENTRO PROFESIONAL VILLANUEVA 103</t>
  </si>
  <si>
    <t>CENTRO PROFESIONAL VILLANUEVA 305</t>
  </si>
  <si>
    <t xml:space="preserve">8 DE MARZO </t>
  </si>
  <si>
    <t>AIRES DE NIQUIA  202</t>
  </si>
  <si>
    <t>10 DE MARZO</t>
  </si>
  <si>
    <t>FLORIDA DE NORTEAMERICA 2040</t>
  </si>
  <si>
    <t>HACIENDA NIQUIA 13254</t>
  </si>
  <si>
    <t>AGUA CLARA 1524</t>
  </si>
  <si>
    <t>LOCAL CC ESTACION NIQUIA 510</t>
  </si>
  <si>
    <t xml:space="preserve">5 DE MARZO </t>
  </si>
  <si>
    <t>LOCAL GIRARDOT</t>
  </si>
  <si>
    <t xml:space="preserve">1 DE MARZO 2021 </t>
  </si>
  <si>
    <t>FLOR DE AGUA 2328</t>
  </si>
  <si>
    <t>DAVID MUÑOZ</t>
  </si>
  <si>
    <t>10 DE MARZO 2021</t>
  </si>
  <si>
    <t>CERRO AZUL 1606</t>
  </si>
  <si>
    <t>TORRE DEL BOSQUE 901</t>
  </si>
  <si>
    <t xml:space="preserve">17 DE MARZO </t>
  </si>
  <si>
    <t>ROTERDAM 2009</t>
  </si>
  <si>
    <t>BELLO-NAVARRA</t>
  </si>
  <si>
    <t>JOSE ESPINAL</t>
  </si>
  <si>
    <t>1 DE MARZ0 2021</t>
  </si>
  <si>
    <t>FLOR DE AGUA 1525</t>
  </si>
  <si>
    <t>OCEANA 836</t>
  </si>
  <si>
    <t>4 DE MARZO 2021</t>
  </si>
  <si>
    <t>LA QUINTA 909</t>
  </si>
  <si>
    <t>LONDOÑO</t>
  </si>
  <si>
    <t xml:space="preserve">PRIMER PISO BARRIO PEREZ </t>
  </si>
  <si>
    <t>NANCY BERRIO</t>
  </si>
  <si>
    <t>6 DE MARZO 2021</t>
  </si>
  <si>
    <t xml:space="preserve">CUARTO PISO BARRIO PEREZ </t>
  </si>
  <si>
    <t>BOSQUE ALTO 1307</t>
  </si>
  <si>
    <t>OCEANA 536</t>
  </si>
  <si>
    <t>MEDITERRANEA 220</t>
  </si>
  <si>
    <t>PRIMER PISO CABAÑAS 58D 15</t>
  </si>
  <si>
    <t xml:space="preserve">11 DE MARZO 2021 </t>
  </si>
  <si>
    <t>FLOR DE AGUA 727</t>
  </si>
  <si>
    <t>FLOR DE AGUA 2625</t>
  </si>
  <si>
    <t xml:space="preserve">15 DE MARZO 2021 </t>
  </si>
  <si>
    <t>OCEANA 1724</t>
  </si>
  <si>
    <t>OCEANA 1028</t>
  </si>
  <si>
    <t xml:space="preserve">16 DE MARZO 2021 </t>
  </si>
  <si>
    <t>MEDITERRANEA 2023</t>
  </si>
  <si>
    <t>GERSON</t>
  </si>
  <si>
    <t>MEDITERRANEA 818</t>
  </si>
  <si>
    <t>MEDITERRANEA 1924</t>
  </si>
  <si>
    <t>FLOR DE AGUA 1830</t>
  </si>
  <si>
    <t>BOSQUE ALTO 801</t>
  </si>
  <si>
    <t>PITRIZA 1405</t>
  </si>
  <si>
    <t>ESTRELLA</t>
  </si>
  <si>
    <t xml:space="preserve">25 DE MARZO 2021 </t>
  </si>
  <si>
    <t>FLOR DE AGUA 1731</t>
  </si>
  <si>
    <t>1 DE MARZO 2021</t>
  </si>
  <si>
    <t xml:space="preserve">9 DE MARZO 2021 </t>
  </si>
  <si>
    <t>LOS ARBOLES 1303</t>
  </si>
  <si>
    <t xml:space="preserve">BELLO- NIQUIA </t>
  </si>
  <si>
    <t>RONY</t>
  </si>
  <si>
    <t>OCEANA 2628</t>
  </si>
  <si>
    <t>FLORIDA DE NORTEAMERICA 2525</t>
  </si>
  <si>
    <t>ALTOBELO 908</t>
  </si>
  <si>
    <t>PORTON DEL NORTE 2003</t>
  </si>
  <si>
    <t>APTO 301 BARRIO PEREZ</t>
  </si>
  <si>
    <t>APTO 401 BARRIO PEREZ</t>
  </si>
  <si>
    <t xml:space="preserve">ABRIL </t>
  </si>
  <si>
    <t>1 DE ABRIL</t>
  </si>
  <si>
    <t>OFICINA 303 PARQUE DE BELLO</t>
  </si>
  <si>
    <t xml:space="preserve">1 DE ABRIL </t>
  </si>
  <si>
    <t>OFICINA 403 PARQUE DE BELLO</t>
  </si>
  <si>
    <t>OFICINA 402 PARQUE DE BELLO</t>
  </si>
  <si>
    <t xml:space="preserve">8 DE ABRIL </t>
  </si>
  <si>
    <t xml:space="preserve">FLOR DE AGUA 2631 </t>
  </si>
  <si>
    <t xml:space="preserve">15 DE ABRIL </t>
  </si>
  <si>
    <t>FLOR DE AGUA 2532</t>
  </si>
  <si>
    <t xml:space="preserve">20 DE ABRIL </t>
  </si>
  <si>
    <t xml:space="preserve">MEDITERRANEA 1920 </t>
  </si>
  <si>
    <t xml:space="preserve">21 ABRIL </t>
  </si>
  <si>
    <t>FLOR DE AGUA 1732</t>
  </si>
  <si>
    <t>27 DE ABRIL</t>
  </si>
  <si>
    <t>LA QUINTA 1506</t>
  </si>
  <si>
    <t xml:space="preserve">28 DE ABRIL </t>
  </si>
  <si>
    <t>MAJAGUA 1713</t>
  </si>
  <si>
    <t>ALTOBELO314</t>
  </si>
  <si>
    <t xml:space="preserve">NATALIA </t>
  </si>
  <si>
    <t>ALTOBELO 912</t>
  </si>
  <si>
    <t>BELLO-VILLAS DEL SOL</t>
  </si>
  <si>
    <t xml:space="preserve">1  DE ABRIL </t>
  </si>
  <si>
    <t xml:space="preserve">OPORTO 1508 </t>
  </si>
  <si>
    <t xml:space="preserve">MACHADO </t>
  </si>
  <si>
    <t>ADRIANA VILL</t>
  </si>
  <si>
    <t>FLOR DE AGUA 2628</t>
  </si>
  <si>
    <t>BELO</t>
  </si>
  <si>
    <t>LUIS BERRIO</t>
  </si>
  <si>
    <t xml:space="preserve">21 DE ABRIL </t>
  </si>
  <si>
    <t xml:space="preserve">MEDITERRANEA 320 </t>
  </si>
  <si>
    <t>JUAN</t>
  </si>
  <si>
    <t xml:space="preserve">26 DE ABRIL </t>
  </si>
  <si>
    <t>PLAZA NAVARRA APT 2218</t>
  </si>
  <si>
    <t xml:space="preserve">DANIELMONTEALEGRE </t>
  </si>
  <si>
    <t xml:space="preserve">12 DE ABRIL </t>
  </si>
  <si>
    <t xml:space="preserve">SEGUNDO PISO BARRIO PEREZ </t>
  </si>
  <si>
    <t>POBLADO NIQUIA 1913</t>
  </si>
  <si>
    <t xml:space="preserve">SAN FRANCISCO 175 </t>
  </si>
  <si>
    <t xml:space="preserve">13 DE ABRIL </t>
  </si>
  <si>
    <t>PUERTO ALEGRE 108</t>
  </si>
  <si>
    <t xml:space="preserve">13 de ABRIL </t>
  </si>
  <si>
    <t xml:space="preserve">OCEANA 2627 </t>
  </si>
  <si>
    <t xml:space="preserve">ESPINOSA </t>
  </si>
  <si>
    <t>FLOR DE AGUA 1229</t>
  </si>
  <si>
    <t xml:space="preserve">14 DE ABRIL </t>
  </si>
  <si>
    <t xml:space="preserve">PUERTO ALEGRE 342 </t>
  </si>
  <si>
    <t>15 DE ABRIL</t>
  </si>
  <si>
    <t>FLOR DE AGUA 1125</t>
  </si>
  <si>
    <t>FLOR DE AGUA 429</t>
  </si>
  <si>
    <t>ROLAN</t>
  </si>
  <si>
    <t xml:space="preserve">APTO PARQUE DE BELLO 47-48 </t>
  </si>
  <si>
    <t>1200000-900000</t>
  </si>
  <si>
    <t xml:space="preserve">ALBERTO </t>
  </si>
  <si>
    <t>BOSQUE ALTO  1907</t>
  </si>
  <si>
    <t>22 DE ABRIL</t>
  </si>
  <si>
    <t>MEDITERRANEA 1918</t>
  </si>
  <si>
    <t xml:space="preserve">22 DE ABRIL </t>
  </si>
  <si>
    <t>BOSQUE ALTO 805</t>
  </si>
  <si>
    <t>LOS ARBOLES 2622</t>
  </si>
  <si>
    <t>FLOR DE AGUA 329</t>
  </si>
  <si>
    <t>FLOR DE AGUA 2427</t>
  </si>
  <si>
    <t xml:space="preserve">27 DE ABRIL </t>
  </si>
  <si>
    <t>PLAZA NAVARRA 1629</t>
  </si>
  <si>
    <t>DANIEL M</t>
  </si>
  <si>
    <t>EDIFICIO CATALINA 201</t>
  </si>
  <si>
    <t xml:space="preserve">BELOVENTO 403 </t>
  </si>
  <si>
    <t>VILLA SURAMERICA 9901</t>
  </si>
  <si>
    <t>COLORES</t>
  </si>
  <si>
    <t>VINILO 2604</t>
  </si>
  <si>
    <t xml:space="preserve">BELLO-NIQUIA </t>
  </si>
  <si>
    <t>LOS ARBOLES 1213</t>
  </si>
  <si>
    <t>OCEANA 3035</t>
  </si>
  <si>
    <t>BELLO-OBRERO</t>
  </si>
  <si>
    <t>NATIVO ARENA 1102</t>
  </si>
  <si>
    <t>ENVIGADO</t>
  </si>
  <si>
    <t xml:space="preserve">BRAYAN </t>
  </si>
  <si>
    <t>20 DE ABRIL</t>
  </si>
  <si>
    <t>PUERTO ALEGRE 341</t>
  </si>
  <si>
    <t>DAKOTA 2 CASA 107</t>
  </si>
  <si>
    <t xml:space="preserve">NORTEAMERICA </t>
  </si>
  <si>
    <t xml:space="preserve">CASA BARRIO ROSALPI </t>
  </si>
  <si>
    <t>BELLO-ROSALPI</t>
  </si>
  <si>
    <t>PUERTO PARAISO 203</t>
  </si>
  <si>
    <t xml:space="preserve">BELLO-SANTA ANA </t>
  </si>
  <si>
    <t xml:space="preserve">MAYO </t>
  </si>
  <si>
    <t>1 DE MAYO</t>
  </si>
  <si>
    <t>FLOR DE AGUA 2125</t>
  </si>
  <si>
    <t xml:space="preserve">1 DE MAYO </t>
  </si>
  <si>
    <t>ALTOBELO 1813</t>
  </si>
  <si>
    <t>11 DE MAYO</t>
  </si>
  <si>
    <t>MEDITERRANEA 1619</t>
  </si>
  <si>
    <t xml:space="preserve">BODEGA </t>
  </si>
  <si>
    <t>CARRERA 65B N° 16 A 64</t>
  </si>
  <si>
    <t>3MII MAS IVA</t>
  </si>
  <si>
    <t xml:space="preserve">12 DE MAYO </t>
  </si>
  <si>
    <t>PLAZA NAVARRA 1622</t>
  </si>
  <si>
    <t xml:space="preserve">DANIEL M </t>
  </si>
  <si>
    <t xml:space="preserve">13 DE MAYO </t>
  </si>
  <si>
    <t xml:space="preserve">CIUDAD CENTRAL 1011 </t>
  </si>
  <si>
    <t xml:space="preserve">JUAN ESTEBAN </t>
  </si>
  <si>
    <t xml:space="preserve">14 DE MAYO </t>
  </si>
  <si>
    <t>RECINTOS DE LA ABADIA 701</t>
  </si>
  <si>
    <t>MEDITERRANEA 2021</t>
  </si>
  <si>
    <t xml:space="preserve">7 DE MAYO </t>
  </si>
  <si>
    <t>MEDITERRANEA 1121</t>
  </si>
  <si>
    <t>MEDITERRANEA 421</t>
  </si>
  <si>
    <t xml:space="preserve">11 DE MAYO </t>
  </si>
  <si>
    <t>MEDITERRANEA 922</t>
  </si>
  <si>
    <t xml:space="preserve">GERSON </t>
  </si>
  <si>
    <t>FLORIDA DE NORTEAMERICA 408</t>
  </si>
  <si>
    <t>14 DE MAYO</t>
  </si>
  <si>
    <t>MEDITERRANEA 918</t>
  </si>
  <si>
    <t xml:space="preserve">20 DE MAYO </t>
  </si>
  <si>
    <t>LA QUINTA 1308</t>
  </si>
  <si>
    <t xml:space="preserve">CARLOS </t>
  </si>
  <si>
    <t>BARLOVENTO 403</t>
  </si>
  <si>
    <t>PUERTO ALEGRE 1808</t>
  </si>
  <si>
    <t>SAN FRANCISCO 3 CASA 104</t>
  </si>
  <si>
    <t>18 DE MAYO</t>
  </si>
  <si>
    <t>NORDICA 1716</t>
  </si>
  <si>
    <t xml:space="preserve">19 DE MAYO </t>
  </si>
  <si>
    <t>ROSALES DE TERRANOVA 1142</t>
  </si>
  <si>
    <t xml:space="preserve">BRAYAN AGUDELO </t>
  </si>
  <si>
    <t>MADERA SILVESTRE 211</t>
  </si>
  <si>
    <t>MADERA SILVESTRE 306</t>
  </si>
  <si>
    <t xml:space="preserve">21 DE MAYO </t>
  </si>
  <si>
    <t>PUERTA MADERA 1362</t>
  </si>
  <si>
    <t>ANDRES</t>
  </si>
  <si>
    <t>20 DE MAYO</t>
  </si>
  <si>
    <t>LA QUINTA 1109</t>
  </si>
  <si>
    <t>NORDICA 2616</t>
  </si>
  <si>
    <t>ASPRILLA</t>
  </si>
  <si>
    <t xml:space="preserve">24 DE MAYO </t>
  </si>
  <si>
    <t>MADERA NATURAL 808</t>
  </si>
  <si>
    <t>GERMAN</t>
  </si>
  <si>
    <t xml:space="preserve">JORGE </t>
  </si>
  <si>
    <t>RINCON DEL BOSQUE 313</t>
  </si>
  <si>
    <t>BELLO-TRAPICHE</t>
  </si>
  <si>
    <t xml:space="preserve">PDT </t>
  </si>
  <si>
    <t xml:space="preserve">25 DE MAYO </t>
  </si>
  <si>
    <t>MIRASOL CAMPESTRE 2039</t>
  </si>
  <si>
    <t xml:space="preserve">BELLO- MIRADOR </t>
  </si>
  <si>
    <t xml:space="preserve">CARLOS Y EDIER </t>
  </si>
  <si>
    <t xml:space="preserve">SEBASTIAN BUITRAGO </t>
  </si>
  <si>
    <t>NORDICA 1514</t>
  </si>
  <si>
    <t xml:space="preserve">ASPRILLA </t>
  </si>
  <si>
    <t>PUERTA MADERA 1851</t>
  </si>
  <si>
    <t xml:space="preserve">22 DE MAYO </t>
  </si>
  <si>
    <t xml:space="preserve">CASA GRAN AVENIDA </t>
  </si>
  <si>
    <t>ALTOS DE LA TRINIDAD 2001</t>
  </si>
  <si>
    <t>ANDREA</t>
  </si>
  <si>
    <t xml:space="preserve">23 DE MAYO </t>
  </si>
  <si>
    <t>CURAZAO 1720</t>
  </si>
  <si>
    <t xml:space="preserve">JORGE BOLAÑOS </t>
  </si>
  <si>
    <t>NORDIKA 708</t>
  </si>
  <si>
    <t xml:space="preserve">ANDREA </t>
  </si>
  <si>
    <t xml:space="preserve">ALEXIS ALVAREZ </t>
  </si>
  <si>
    <t>ROTERNAM 1312</t>
  </si>
  <si>
    <t xml:space="preserve">JOSE </t>
  </si>
  <si>
    <t xml:space="preserve">JUNIO </t>
  </si>
  <si>
    <t xml:space="preserve">SEBASTIAN ECHAVARRIA </t>
  </si>
  <si>
    <t xml:space="preserve">27 DE MAYO </t>
  </si>
  <si>
    <t>CEIBA DEL NORTE 512</t>
  </si>
  <si>
    <t xml:space="preserve">MARYORY ESTHER </t>
  </si>
  <si>
    <t>CEIBA DEL NORTE  1206</t>
  </si>
  <si>
    <t>MARYORIS ESTHER</t>
  </si>
  <si>
    <t xml:space="preserve">28 DE MAYO </t>
  </si>
  <si>
    <t>PLAZA NAVARRA 529</t>
  </si>
  <si>
    <t xml:space="preserve">BELLO- NAVARRA </t>
  </si>
  <si>
    <t>JORGE VILLEGAS</t>
  </si>
  <si>
    <t xml:space="preserve">29 DE MAYO </t>
  </si>
  <si>
    <t>NORDICA 2714</t>
  </si>
  <si>
    <t xml:space="preserve">ANTONIO GIRALDO </t>
  </si>
  <si>
    <t>MONTE SION 1206</t>
  </si>
  <si>
    <t xml:space="preserve">COPACABANA- LA MISERICORDIA </t>
  </si>
  <si>
    <t xml:space="preserve">JUAN DIEG PINEDA </t>
  </si>
  <si>
    <t xml:space="preserve">31 DE MAYO </t>
  </si>
  <si>
    <t>MONTE SION 101</t>
  </si>
  <si>
    <t>3 DE JUNIO</t>
  </si>
  <si>
    <t>NORDICA 1607</t>
  </si>
  <si>
    <t xml:space="preserve">6 DE JUNIO </t>
  </si>
  <si>
    <t>OPORTO CAMPESTRE 206</t>
  </si>
  <si>
    <t xml:space="preserve">BELLO-MACHADO </t>
  </si>
  <si>
    <t>FRANCISCO CANO</t>
  </si>
  <si>
    <t xml:space="preserve">7 DE JUNIO </t>
  </si>
  <si>
    <t>MONTE SION 1205</t>
  </si>
  <si>
    <t xml:space="preserve">JHOAN URAN </t>
  </si>
  <si>
    <t>PLAZUELA DEL NORTE 321</t>
  </si>
  <si>
    <t xml:space="preserve">CAMILO BOHORQUEZ </t>
  </si>
  <si>
    <t>TORRE DEL BOSQUE 1101</t>
  </si>
  <si>
    <t>COPACABANA- CRISTO REY</t>
  </si>
  <si>
    <t>JUAN CAMILO AGUIRRE</t>
  </si>
  <si>
    <t>ALCALA 1312</t>
  </si>
  <si>
    <t>BELLO- FONTIDUEÑO</t>
  </si>
  <si>
    <t xml:space="preserve">VALENTINA ANGEL </t>
  </si>
  <si>
    <t>MONTE SION 1105</t>
  </si>
  <si>
    <t xml:space="preserve">8 DE JUNIO </t>
  </si>
  <si>
    <t>OPORTO CAMPESTRE 304</t>
  </si>
  <si>
    <t>BELLO- MACHADO</t>
  </si>
  <si>
    <t>OPORTO CAMPESTRE 202</t>
  </si>
  <si>
    <t xml:space="preserve"> 8 DE JUNIO </t>
  </si>
  <si>
    <t>NUEVO MILENIO 209</t>
  </si>
  <si>
    <t>PDT</t>
  </si>
  <si>
    <t xml:space="preserve">9 DE JUNIO </t>
  </si>
  <si>
    <t>TORRE DEL CAMPO 701</t>
  </si>
  <si>
    <t>OPORTO CAMPESTRE 1104</t>
  </si>
  <si>
    <t>CEIBA DEL NORTE 1109</t>
  </si>
  <si>
    <t>11 DE JUNIO</t>
  </si>
  <si>
    <t>BELLO-MADERA</t>
  </si>
  <si>
    <t>DIEGO MUÑOZ</t>
  </si>
  <si>
    <t>SENDEROS DE SAN JACINTO CASA 60</t>
  </si>
  <si>
    <t>SANFRANCISCO ETAPA 3 CASA 06</t>
  </si>
  <si>
    <t xml:space="preserve">CAIBA DEL NORTE 512 </t>
  </si>
  <si>
    <t>CEIBA DEL NORTE 2222</t>
  </si>
  <si>
    <t xml:space="preserve">3 DE JUNIO </t>
  </si>
  <si>
    <t xml:space="preserve">ARTURO RUIZ </t>
  </si>
  <si>
    <t>BOSQUE ALTO 1205</t>
  </si>
  <si>
    <t>BELLO-AMAZONIA</t>
  </si>
  <si>
    <t>ZULETA</t>
  </si>
  <si>
    <t>BOSQUE ALTO 2307</t>
  </si>
  <si>
    <t xml:space="preserve">FLOR 2032 </t>
  </si>
  <si>
    <t xml:space="preserve">BELLO- SANTA ANA </t>
  </si>
  <si>
    <t>OCEANA 920</t>
  </si>
  <si>
    <t xml:space="preserve">BELLO-OBRERO </t>
  </si>
  <si>
    <t xml:space="preserve">ESPINOZA </t>
  </si>
  <si>
    <t>FLOR 2232</t>
  </si>
  <si>
    <t xml:space="preserve">31 de MAYO </t>
  </si>
  <si>
    <t>ENSENADA 1526</t>
  </si>
  <si>
    <t xml:space="preserve">BELLO- AMAZONIA </t>
  </si>
  <si>
    <t>HENRRY</t>
  </si>
  <si>
    <t>CAMINO DEL VIENTO 1121</t>
  </si>
  <si>
    <t xml:space="preserve">ACEVEDO </t>
  </si>
  <si>
    <t>MEDITERRANEA 321</t>
  </si>
  <si>
    <t xml:space="preserve">2 DE JUNIO </t>
  </si>
  <si>
    <t xml:space="preserve">CASA PRIMER PISO OBRERO </t>
  </si>
  <si>
    <t xml:space="preserve">BELLO- OBRERO </t>
  </si>
  <si>
    <t>BOSQUE ALTO 1207</t>
  </si>
  <si>
    <t>RAMOS</t>
  </si>
  <si>
    <t>FLOR APARTAMENTOS 328</t>
  </si>
  <si>
    <t xml:space="preserve">CASA PRIMER PISO CABAÑAS </t>
  </si>
  <si>
    <t xml:space="preserve">BELLO-CABAÑAS </t>
  </si>
  <si>
    <t xml:space="preserve">5 DE JUNIO </t>
  </si>
  <si>
    <t>BOSQUE ALTO 901</t>
  </si>
  <si>
    <t xml:space="preserve">RAMOS </t>
  </si>
  <si>
    <t>OCEANA 1536</t>
  </si>
  <si>
    <t>ESPINOSA</t>
  </si>
  <si>
    <t>BOSQUE ALTO 2006</t>
  </si>
  <si>
    <t>BOSQUE ALTO 1906</t>
  </si>
  <si>
    <t xml:space="preserve">10 DE JUNIO </t>
  </si>
  <si>
    <t>FLOR DE AGUA 1325</t>
  </si>
  <si>
    <t>FLOR DE AGUA 2127</t>
  </si>
  <si>
    <t>21 DE JUNIO</t>
  </si>
  <si>
    <t>PUERTO PARAISO 905</t>
  </si>
  <si>
    <t xml:space="preserve">BELLO-CIUDAD DE LOS PUERTOS </t>
  </si>
  <si>
    <t xml:space="preserve">21 DE JUNIO </t>
  </si>
  <si>
    <t>PUERTO PARAISO 1305</t>
  </si>
  <si>
    <t xml:space="preserve">18 DE JUNIO </t>
  </si>
  <si>
    <t>PORTAL DEL NORTE 415</t>
  </si>
  <si>
    <t>BELLO-NIQUIA</t>
  </si>
  <si>
    <t>26 DE MAYO</t>
  </si>
  <si>
    <t>PUERTO NUEVO 9708</t>
  </si>
  <si>
    <t xml:space="preserve">FREDY </t>
  </si>
  <si>
    <t>27 DE MAYO</t>
  </si>
  <si>
    <t>CIUDAD CENTRAL 310</t>
  </si>
  <si>
    <t>BELLO - MADERA</t>
  </si>
  <si>
    <t xml:space="preserve">DILSON REYES </t>
  </si>
  <si>
    <t>PUERTO VENTURA 2010</t>
  </si>
  <si>
    <t>ESTEBAN LOPEZ</t>
  </si>
  <si>
    <t>CANTARES  DE RIACHUELOS 405</t>
  </si>
  <si>
    <t>BELLO- EL CARMELO</t>
  </si>
  <si>
    <t>KENY MUÑOZ</t>
  </si>
  <si>
    <t>CANTARES DE RIACHUELOS  1202</t>
  </si>
  <si>
    <t xml:space="preserve">BELLO-EL CARMELO </t>
  </si>
  <si>
    <t>FLOR DE AGUA 2329</t>
  </si>
  <si>
    <t>RESERVA DE BUCAROS 305</t>
  </si>
  <si>
    <t>MEJIA</t>
  </si>
  <si>
    <t>31 DE MAYP</t>
  </si>
  <si>
    <t>ALTOBELO 2404</t>
  </si>
  <si>
    <t>BELLO- PEREZ</t>
  </si>
  <si>
    <t xml:space="preserve">SERGIO ADMON </t>
  </si>
  <si>
    <t xml:space="preserve">1 DE JUNIO </t>
  </si>
  <si>
    <t>RESERVA DE BUCAROS 207</t>
  </si>
  <si>
    <t xml:space="preserve">1 de JUNIO </t>
  </si>
  <si>
    <t>MADERA SILVESTRE 510</t>
  </si>
  <si>
    <t xml:space="preserve">BELLO- MADERA </t>
  </si>
  <si>
    <t>CARLOS POSADA</t>
  </si>
  <si>
    <t>PUERTO AZUL 1803</t>
  </si>
  <si>
    <t xml:space="preserve">BELLO- LOS PUERTOS </t>
  </si>
  <si>
    <t xml:space="preserve">ANDRES Y KATY </t>
  </si>
  <si>
    <t>CAMINO DEL PARQUE 2101</t>
  </si>
  <si>
    <t>MEDELLIN- LOS BERNAL</t>
  </si>
  <si>
    <t>4 DE JUNIO</t>
  </si>
  <si>
    <t xml:space="preserve">PUERTO ALEGRE 1208 </t>
  </si>
  <si>
    <t xml:space="preserve">BELLO-LOS PUERTOS </t>
  </si>
  <si>
    <t xml:space="preserve">4 DE JUNIO </t>
  </si>
  <si>
    <t xml:space="preserve">LOCAL </t>
  </si>
  <si>
    <t xml:space="preserve">LOCAL PARQUE BELLO SEGUNDO PISO </t>
  </si>
  <si>
    <t xml:space="preserve">BELLO- PARQUE </t>
  </si>
  <si>
    <t>ALTOBELO 213</t>
  </si>
  <si>
    <t xml:space="preserve">MORENO </t>
  </si>
  <si>
    <t xml:space="preserve">8 JUNIO </t>
  </si>
  <si>
    <t>TORRE ALASKA 402</t>
  </si>
  <si>
    <t xml:space="preserve">BELLO- CABAÑAS </t>
  </si>
  <si>
    <t>NOI</t>
  </si>
  <si>
    <t xml:space="preserve">CASA CABAÑAS </t>
  </si>
  <si>
    <t xml:space="preserve">DIRECTA </t>
  </si>
  <si>
    <t>CANTARES DE RIACHUELOS  2202</t>
  </si>
  <si>
    <t xml:space="preserve">BELLO- EL CARMELO </t>
  </si>
  <si>
    <t xml:space="preserve">KENNY </t>
  </si>
  <si>
    <t>RESERVA DE BUCAROS 401</t>
  </si>
  <si>
    <t>BELLO-BUCAROS</t>
  </si>
  <si>
    <t>MIRASOL CAMPESTRE 1839</t>
  </si>
  <si>
    <t xml:space="preserve">BELLO-EL MIRADOR </t>
  </si>
  <si>
    <t>SERNA</t>
  </si>
  <si>
    <t>FLOR DE AGUA 2529</t>
  </si>
  <si>
    <t>240.000.000</t>
  </si>
  <si>
    <t>TORRE ALAASKA 501</t>
  </si>
  <si>
    <t xml:space="preserve">BELLO-PEREZ </t>
  </si>
  <si>
    <t>PARRA</t>
  </si>
  <si>
    <t>NORDICA 612</t>
  </si>
  <si>
    <t>ASPRILLA Y BARBOSA</t>
  </si>
  <si>
    <t>PARQUE ALTO 2104</t>
  </si>
  <si>
    <t>MANUEL</t>
  </si>
  <si>
    <t>LOCAL AEROPUERTO 344</t>
  </si>
  <si>
    <t xml:space="preserve">MEDELLIN-GUYABAL </t>
  </si>
  <si>
    <t>VILLAS DE CONFENALCO 201</t>
  </si>
  <si>
    <t xml:space="preserve">BELLO-TRAPICHE </t>
  </si>
  <si>
    <t>LOS ARBOLES 2506</t>
  </si>
  <si>
    <t>NOGALES DE TERRANOVA CASA 31</t>
  </si>
  <si>
    <t>GUILLERMO YANEZ</t>
  </si>
  <si>
    <t xml:space="preserve">APTPO BARRIO CENTRAL </t>
  </si>
  <si>
    <t xml:space="preserve">BELLO- CENTRAL </t>
  </si>
  <si>
    <t>NOPGALES DE TERRANOVA APT  150</t>
  </si>
  <si>
    <t xml:space="preserve">16 DE JUNIO </t>
  </si>
  <si>
    <t>CURAZAO 903</t>
  </si>
  <si>
    <t xml:space="preserve">BELLO-LA CAMILA </t>
  </si>
  <si>
    <t>BOLAÑOS</t>
  </si>
  <si>
    <t>AMAZONICA 1124</t>
  </si>
  <si>
    <t>PATIÑO</t>
  </si>
  <si>
    <t>CURAZAO 2037</t>
  </si>
  <si>
    <t xml:space="preserve">BELLO- LA CAMILA </t>
  </si>
  <si>
    <t>NORDICA 1314</t>
  </si>
  <si>
    <t xml:space="preserve">17 DE JUNIO </t>
  </si>
  <si>
    <t>PUERTO PARAISO 804</t>
  </si>
  <si>
    <t xml:space="preserve">BELLO- CIUDAD DE LOS PIUERTOS </t>
  </si>
  <si>
    <t xml:space="preserve">19 DE JUNIO </t>
  </si>
  <si>
    <t>PUERTO PARAISO 1101</t>
  </si>
  <si>
    <t>22 DE JUNIO</t>
  </si>
  <si>
    <t>PUERTO PARAISO 1701</t>
  </si>
  <si>
    <t>NORDICA 1612</t>
  </si>
  <si>
    <t>PUERTO PARAISO 702</t>
  </si>
  <si>
    <t>23 DE JUNIO</t>
  </si>
  <si>
    <t>PLAZUELA DEL NORTE 9926</t>
  </si>
  <si>
    <t>VIVENZA APARTAMENTOS 2014</t>
  </si>
  <si>
    <t xml:space="preserve">MAURICIO </t>
  </si>
  <si>
    <t xml:space="preserve">NORDICA 2405 </t>
  </si>
  <si>
    <t>NORDICA 2503</t>
  </si>
  <si>
    <t xml:space="preserve">JUAN </t>
  </si>
  <si>
    <t>POBLADO NIQUIA 312</t>
  </si>
  <si>
    <t xml:space="preserve">BELLO-NAVARRA </t>
  </si>
  <si>
    <t>LUIS</t>
  </si>
  <si>
    <t xml:space="preserve">ALAMEDA DEL NORTE CASA 12 </t>
  </si>
  <si>
    <t>ADRIANA</t>
  </si>
  <si>
    <t xml:space="preserve">8  DE JUNIO </t>
  </si>
  <si>
    <t>PUERTO PARAISO 508</t>
  </si>
  <si>
    <t xml:space="preserve">PORTADA </t>
  </si>
  <si>
    <t xml:space="preserve">LINA CARPINTERO </t>
  </si>
  <si>
    <t>TIERRA LINDA 1406</t>
  </si>
  <si>
    <t xml:space="preserve">BELLO-LA GABRIELA </t>
  </si>
  <si>
    <t>MARTINEZ</t>
  </si>
  <si>
    <t>TIERRA LINDA 409</t>
  </si>
  <si>
    <t>TIERRA LINDA 1503</t>
  </si>
  <si>
    <t>LOCAL PRADO</t>
  </si>
  <si>
    <t>BELLO-PRADO</t>
  </si>
  <si>
    <t xml:space="preserve">11 DE JUNIO </t>
  </si>
  <si>
    <t>TIERRA LINDA 702</t>
  </si>
  <si>
    <t xml:space="preserve">ALONSO VILLA </t>
  </si>
  <si>
    <t>12 DE JUNIO</t>
  </si>
  <si>
    <t>TIERRA LINDA 209</t>
  </si>
  <si>
    <t>CASA CABAÑAS 55-95</t>
  </si>
  <si>
    <t>BELLO. CABAÑAS</t>
  </si>
  <si>
    <t xml:space="preserve">MATEO ROMERO </t>
  </si>
  <si>
    <t>MADERA SILVESTRE 2406</t>
  </si>
  <si>
    <t xml:space="preserve">BELLO-MADERA </t>
  </si>
  <si>
    <t xml:space="preserve">CARLOS POSADA </t>
  </si>
  <si>
    <t xml:space="preserve">PUERTO PARAISO 908 </t>
  </si>
  <si>
    <t xml:space="preserve">ANDRES ZULETA </t>
  </si>
  <si>
    <t xml:space="preserve">CASA CABAÑAS 57-67 TERCER PISO </t>
  </si>
  <si>
    <t xml:space="preserve">10DE JUNIO </t>
  </si>
  <si>
    <t>CASA GRAN AVENIDA 50-81</t>
  </si>
  <si>
    <t>BELLO-GRAN AVENIDA</t>
  </si>
  <si>
    <t xml:space="preserve">CASA PEDREGAL </t>
  </si>
  <si>
    <t xml:space="preserve">BELLO-PEDREGAL </t>
  </si>
  <si>
    <t>PUERTO PARAISO603</t>
  </si>
  <si>
    <t xml:space="preserve">ANDRES ZXULETA </t>
  </si>
  <si>
    <t>BALCONES DE PRAGA APTO OBRERO 50 A 13 APTO 901</t>
  </si>
  <si>
    <t>MADERA SILVESTRE 1208</t>
  </si>
  <si>
    <t xml:space="preserve">22 DE JUNIO </t>
  </si>
  <si>
    <t xml:space="preserve">CASA MOLINARES </t>
  </si>
  <si>
    <t>BELLO-MOLINARES</t>
  </si>
  <si>
    <t>TIERRA LINDA 2506</t>
  </si>
  <si>
    <t xml:space="preserve">BELLO-LA GRABRIELA </t>
  </si>
  <si>
    <t xml:space="preserve">23 DE JUNIO </t>
  </si>
  <si>
    <t>MIRASOL CAMPESTRE 936</t>
  </si>
  <si>
    <t xml:space="preserve">BELLO- EL MIRADOR </t>
  </si>
  <si>
    <t xml:space="preserve">CASA SEGUNDO PISO MIRADOR DE LA QUINTA </t>
  </si>
  <si>
    <t>PUERTO PARAISO 2301</t>
  </si>
  <si>
    <t xml:space="preserve">CASA BARRIO NUEVO 58DD 50 </t>
  </si>
  <si>
    <t xml:space="preserve">BARRIO NUEVO </t>
  </si>
  <si>
    <t>CORAL 1708</t>
  </si>
  <si>
    <t>GRAN AVENIDA 50-81</t>
  </si>
  <si>
    <t>GRAN AVENIDA</t>
  </si>
  <si>
    <t>MIRASOL CANPESTRE 936</t>
  </si>
  <si>
    <t>MIRADOR</t>
  </si>
  <si>
    <t xml:space="preserve">JULIO </t>
  </si>
  <si>
    <t xml:space="preserve">1 DE JULIO </t>
  </si>
  <si>
    <t>MONTESION 1103</t>
  </si>
  <si>
    <t>LA MISERICORDIA</t>
  </si>
  <si>
    <t xml:space="preserve">JUAN PINEDA </t>
  </si>
  <si>
    <t>OPORTO CAMPESTRE 1003</t>
  </si>
  <si>
    <t>MACHADO</t>
  </si>
  <si>
    <t>RODRIGUEZ</t>
  </si>
  <si>
    <t>MONTESION 508</t>
  </si>
  <si>
    <t>JHOAN URAN</t>
  </si>
  <si>
    <t>OPORTO CAMPESTRE 904</t>
  </si>
  <si>
    <t xml:space="preserve">HARLEY MOLINA </t>
  </si>
  <si>
    <t>CEIBA DEL NORTE 2423</t>
  </si>
  <si>
    <t xml:space="preserve">MARYORIS </t>
  </si>
  <si>
    <t>OPORTO CAMPESTRE  1507</t>
  </si>
  <si>
    <t>SAMUEL RODRIGUEZ</t>
  </si>
  <si>
    <t>21 DE JULIO</t>
  </si>
  <si>
    <t>LOS ARBOLES 127</t>
  </si>
  <si>
    <t xml:space="preserve">HERNAN </t>
  </si>
  <si>
    <t>2 DE JUNIO</t>
  </si>
  <si>
    <t>CAMINO DEL VIENTO 1015</t>
  </si>
  <si>
    <t xml:space="preserve">AMAZONIA </t>
  </si>
  <si>
    <t xml:space="preserve">2 DE JULIO </t>
  </si>
  <si>
    <t>MADERA NATURAL 9903</t>
  </si>
  <si>
    <t xml:space="preserve">MADERA </t>
  </si>
  <si>
    <t>DIEGO</t>
  </si>
  <si>
    <t xml:space="preserve">6 DE JULIO </t>
  </si>
  <si>
    <t>NORDICA 915</t>
  </si>
  <si>
    <t xml:space="preserve">GIRALDO </t>
  </si>
  <si>
    <t>9 DE JULIO</t>
  </si>
  <si>
    <t>TERRALUNA 403</t>
  </si>
  <si>
    <t>MIRAFLORES</t>
  </si>
  <si>
    <t xml:space="preserve">13 DE JULIO </t>
  </si>
  <si>
    <t>CEIBA DEL NORTE 1818</t>
  </si>
  <si>
    <t>MARYOLIS</t>
  </si>
  <si>
    <t>17 DE JULIO</t>
  </si>
  <si>
    <t>CEIBA DEL NORTE 1322</t>
  </si>
  <si>
    <t xml:space="preserve">19 DE JULIO </t>
  </si>
  <si>
    <t>NORDICA 1801</t>
  </si>
  <si>
    <t xml:space="preserve">JULIAN ZAPATA </t>
  </si>
  <si>
    <t>MAJAGUA NATURAL 1253</t>
  </si>
  <si>
    <t xml:space="preserve">TRAPICHE </t>
  </si>
  <si>
    <t>TIERRA LINDA CAMPESTRE 1904</t>
  </si>
  <si>
    <t>GABRIELA</t>
  </si>
  <si>
    <t>ARMANDO</t>
  </si>
  <si>
    <t>PUERTO PARAISO 101</t>
  </si>
  <si>
    <t>CEIBA DEL NORTE 2324</t>
  </si>
  <si>
    <t>NIQIUIA</t>
  </si>
  <si>
    <t>MAYORIS</t>
  </si>
  <si>
    <t>MONTESION 608</t>
  </si>
  <si>
    <t>CARDONA</t>
  </si>
  <si>
    <t>22 DE JULIO</t>
  </si>
  <si>
    <t>HABITAT DE NIQUIA APTO 106</t>
  </si>
  <si>
    <t>CEIBA DEL NORTE 2219</t>
  </si>
  <si>
    <t xml:space="preserve">CASA MACHADO 43-20 </t>
  </si>
  <si>
    <t>ALCALA</t>
  </si>
  <si>
    <t>OPORTO CAMPESTRE 2202</t>
  </si>
  <si>
    <t>14 DE JULIO</t>
  </si>
  <si>
    <t>ALAMEDA DEL NORTE 26</t>
  </si>
  <si>
    <t>NAVARRA</t>
  </si>
  <si>
    <t>ADRIANA ZAPATA</t>
  </si>
  <si>
    <t>CAMINO DEL VIENTO 519</t>
  </si>
  <si>
    <t>CAMINO DEL VIENTO 1519</t>
  </si>
  <si>
    <t>CAMINO DEL VIENTO 2222</t>
  </si>
  <si>
    <t>FLOR DE AGUA 1928</t>
  </si>
  <si>
    <t>FLOR DE AGUA 428</t>
  </si>
  <si>
    <t>BALCONES DE CONQUISTADORES 403</t>
  </si>
  <si>
    <t>CONQUISTADORES</t>
  </si>
  <si>
    <t>CAMINO DEL VIENTO 1609</t>
  </si>
  <si>
    <t>FLOR DE AGUA 1228</t>
  </si>
  <si>
    <t>FLOR DE AGUA 829</t>
  </si>
  <si>
    <t>8 DE JULIO</t>
  </si>
  <si>
    <t>ENSENADA 1823</t>
  </si>
  <si>
    <t>MEDINA</t>
  </si>
  <si>
    <t>CAMINO DEL VIENTO 2220</t>
  </si>
  <si>
    <t>13 DE JULIO</t>
  </si>
  <si>
    <t>OCEANA 2524</t>
  </si>
  <si>
    <t>OBRERO</t>
  </si>
  <si>
    <t>MEDITERRANEA 426</t>
  </si>
  <si>
    <t xml:space="preserve">14 DE JULIO </t>
  </si>
  <si>
    <t>OCEANA 1522</t>
  </si>
  <si>
    <t>FLOR APARTAMENTOS 2132</t>
  </si>
  <si>
    <t>FLOR APARTAMENTOS 1425</t>
  </si>
  <si>
    <t>TORRE MARISCAL 602</t>
  </si>
  <si>
    <t>FLOR 2429</t>
  </si>
  <si>
    <t>YULMAN</t>
  </si>
  <si>
    <t xml:space="preserve">18 DE JULIO </t>
  </si>
  <si>
    <t xml:space="preserve">PUERTO ALEGRE 1133 </t>
  </si>
  <si>
    <t xml:space="preserve">LOS PUERTOS </t>
  </si>
  <si>
    <t>FABIO</t>
  </si>
  <si>
    <t>PUERTO PARAISO 810</t>
  </si>
  <si>
    <t>FLOR DE AGUA 2732</t>
  </si>
  <si>
    <t>FLOR DE AGUA 928</t>
  </si>
  <si>
    <t>26 DE JULIO</t>
  </si>
  <si>
    <t>FLOR DE AGUA 625</t>
  </si>
  <si>
    <t xml:space="preserve">26 DE JULIO </t>
  </si>
  <si>
    <t>PUERTO PARAISO 903</t>
  </si>
  <si>
    <t>PUERTO PARAISO 1402</t>
  </si>
  <si>
    <t>FLOR APARTAMENTOS 1528</t>
  </si>
  <si>
    <t>EDIFICIO DALLAS 302</t>
  </si>
  <si>
    <t xml:space="preserve">9 DE JULIO </t>
  </si>
  <si>
    <t>PUERTO VENTURA  812</t>
  </si>
  <si>
    <t xml:space="preserve">CIUDAD DE LOS PUERTOS </t>
  </si>
  <si>
    <t>MIRASOL CAMPESTRE 539</t>
  </si>
  <si>
    <t xml:space="preserve">MIRADOR </t>
  </si>
  <si>
    <t>TORRE NAVARRA 1204</t>
  </si>
  <si>
    <t>MIRASOL CAMPESTRE 338</t>
  </si>
  <si>
    <t xml:space="preserve">MAURICIO QUINTERO </t>
  </si>
  <si>
    <t>MIRASOL CAMPESTRE 1237</t>
  </si>
  <si>
    <t>MIRASOL CAMPESTRE  837</t>
  </si>
  <si>
    <t>6 DE JULIO</t>
  </si>
  <si>
    <t>PUERTO AZUL 706</t>
  </si>
  <si>
    <t xml:space="preserve">ESEQUIEL </t>
  </si>
  <si>
    <t>VERONICA Y RUIZ</t>
  </si>
  <si>
    <t>CANTARES DE RIACHUELOS 1305</t>
  </si>
  <si>
    <t>EL CARMELO</t>
  </si>
  <si>
    <t>KENNY</t>
  </si>
  <si>
    <t>10 DE JULIO</t>
  </si>
  <si>
    <t>CIUDAD CENTRAL 1418</t>
  </si>
  <si>
    <t>BENITEZ</t>
  </si>
  <si>
    <t xml:space="preserve">12 DE JULIO </t>
  </si>
  <si>
    <t>PUERTO ALEGRE 502</t>
  </si>
  <si>
    <t>EDIFICIO ZAFIRO 301</t>
  </si>
  <si>
    <t>CABAÑAS</t>
  </si>
  <si>
    <t xml:space="preserve">14 de JULIO </t>
  </si>
  <si>
    <t>PUERTO PARAISO 305</t>
  </si>
  <si>
    <t>OMAR GOMEZ</t>
  </si>
  <si>
    <t>LA CANBAÑITA 301</t>
  </si>
  <si>
    <t xml:space="preserve">PUERTO PARAISO 716 </t>
  </si>
  <si>
    <t xml:space="preserve">JHON MARTINEZ </t>
  </si>
  <si>
    <t>19 DE JULIO</t>
  </si>
  <si>
    <t>CANTARES DE RIACHUELOS 1901</t>
  </si>
  <si>
    <t>CARMELO</t>
  </si>
  <si>
    <t>KENY</t>
  </si>
  <si>
    <t>23 DE JULIO</t>
  </si>
  <si>
    <t>LOCAL-BODEGA</t>
  </si>
  <si>
    <t xml:space="preserve">BODEGA MEDELLIN BOGOTA </t>
  </si>
  <si>
    <t>CIUDAD CENTRAL 801</t>
  </si>
  <si>
    <t xml:space="preserve">BENITEZ REYES </t>
  </si>
  <si>
    <t>VINILO 2303</t>
  </si>
  <si>
    <t>TATIANA</t>
  </si>
  <si>
    <t>PUERTO VENTURA 2304</t>
  </si>
  <si>
    <t>CANTARES DE RIACHUELOS LOCAL 113</t>
  </si>
  <si>
    <t>ALTOBELO 1004</t>
  </si>
  <si>
    <t>PEREZ</t>
  </si>
  <si>
    <t>SERGIO ADMON</t>
  </si>
  <si>
    <t xml:space="preserve">21 DE JULIO </t>
  </si>
  <si>
    <t>PUERTO VENTURA 1304</t>
  </si>
  <si>
    <t>PUERTO VENTURA 2301</t>
  </si>
  <si>
    <t>ESTEBAN LOPES¿Z</t>
  </si>
  <si>
    <t>PARQUE ALTO 1906</t>
  </si>
  <si>
    <t>MANUEL MONSALVE</t>
  </si>
  <si>
    <t>CERRO AZUL 9805</t>
  </si>
  <si>
    <t>FELIPE</t>
  </si>
  <si>
    <t>LOS ARBOLES 812</t>
  </si>
  <si>
    <t>RONNY</t>
  </si>
  <si>
    <t>LAURELES DE TERRANOVA 1092</t>
  </si>
  <si>
    <t>ALTOS DE LA TRINIDAD 2004</t>
  </si>
  <si>
    <t>PARQUE ALTO 1007</t>
  </si>
  <si>
    <t>MONSALVE</t>
  </si>
  <si>
    <t>TERRITORIO ROBLEDO 602</t>
  </si>
  <si>
    <t>ROBLEDO</t>
  </si>
  <si>
    <t xml:space="preserve">NORDICA 1116 </t>
  </si>
  <si>
    <t xml:space="preserve">22 DE JULIO </t>
  </si>
  <si>
    <t>MEDITERRANEA 1226</t>
  </si>
  <si>
    <t>RAMOS VELEZ 201</t>
  </si>
  <si>
    <t>CERRO CLARO 2303</t>
  </si>
  <si>
    <t xml:space="preserve">JHONATAN </t>
  </si>
  <si>
    <t xml:space="preserve">28 DE JULIO </t>
  </si>
  <si>
    <t>NORDICA 1715</t>
  </si>
  <si>
    <t xml:space="preserve">PULGARIN </t>
  </si>
  <si>
    <t>CASA CASTILLA 94-54</t>
  </si>
  <si>
    <t xml:space="preserve">LA ESMERALDA </t>
  </si>
  <si>
    <t>LOS ARBOLES 2603</t>
  </si>
  <si>
    <t>AV 37 N° 55-26</t>
  </si>
  <si>
    <t>CASA CUARTO PISO BARRIO NUEVO</t>
  </si>
  <si>
    <t xml:space="preserve">CASA SANTA ANA 47-47 </t>
  </si>
  <si>
    <t>PUERTO PARAISO 105</t>
  </si>
  <si>
    <t>ANDRES ZULETA</t>
  </si>
  <si>
    <t>PARQUE ALTO 2408</t>
  </si>
  <si>
    <t>CAMINO DEL VIENTO 822</t>
  </si>
  <si>
    <t>AMAZONIA</t>
  </si>
  <si>
    <t>ACEVEDO</t>
  </si>
  <si>
    <t>2 DE JULIO</t>
  </si>
  <si>
    <t xml:space="preserve">LA GABRIELA </t>
  </si>
  <si>
    <t>ARMANDO MARTINEZ</t>
  </si>
  <si>
    <t>MADERA SILVESTRE 406</t>
  </si>
  <si>
    <t>APT SALENTO 3</t>
  </si>
  <si>
    <t>SALENTO 3</t>
  </si>
  <si>
    <t>APTO BARRIO PEREZ 301</t>
  </si>
  <si>
    <t xml:space="preserve"> MANCHESTER 45-21</t>
  </si>
  <si>
    <t xml:space="preserve">MANCHESTER </t>
  </si>
  <si>
    <t xml:space="preserve">17 DE JULIO </t>
  </si>
  <si>
    <t>PUERTO PARAISO 1512</t>
  </si>
  <si>
    <t>MIRASOL CAMPESTRE 1425</t>
  </si>
  <si>
    <t>CAMINO DEL VIENTO 515</t>
  </si>
  <si>
    <t>CAMINO DEL VIENTO 919</t>
  </si>
  <si>
    <t xml:space="preserve">TORRES DE LA MACARENA 102 </t>
  </si>
  <si>
    <t>ENSENADA 1316</t>
  </si>
  <si>
    <t xml:space="preserve">SEBASTIAN MEDINA </t>
  </si>
  <si>
    <t>MADERA SILVESTRE 506</t>
  </si>
  <si>
    <t>CAMINO DEL VIENTO 2218</t>
  </si>
  <si>
    <t>APTO FLORENCIA 72A 19</t>
  </si>
  <si>
    <t xml:space="preserve">FLORENCIA </t>
  </si>
  <si>
    <t>CAMINO DEL VIENTO 1716</t>
  </si>
  <si>
    <t>CAMINO DEL VIENTO 1818</t>
  </si>
  <si>
    <t xml:space="preserve">ACAVEDO </t>
  </si>
  <si>
    <t xml:space="preserve">CASA BARRIO NUEVO 59A 23 4TO PISO </t>
  </si>
  <si>
    <t>MIRASOL CAMPESTRE 1917</t>
  </si>
  <si>
    <t xml:space="preserve">EL MIRADOR </t>
  </si>
  <si>
    <t>248.900.000</t>
  </si>
  <si>
    <t>OCEANA 2125</t>
  </si>
  <si>
    <t>ENSENADA 2218</t>
  </si>
  <si>
    <t xml:space="preserve">LOCAL BARRIO SUAREZ </t>
  </si>
  <si>
    <t>SUAREZ</t>
  </si>
  <si>
    <t>APTO QUITASOL 201</t>
  </si>
  <si>
    <t>RESERVA DE BUCAROS 405</t>
  </si>
  <si>
    <t>BUCAROS</t>
  </si>
  <si>
    <t>BRAYAN ACEVEDO</t>
  </si>
  <si>
    <t xml:space="preserve">AGOSTO </t>
  </si>
  <si>
    <t xml:space="preserve">1 DE AGOSTO </t>
  </si>
  <si>
    <t>TIERRA LINDA CAMPESTRE 1201</t>
  </si>
  <si>
    <t>CEIBA DEL NORTE 1918</t>
  </si>
  <si>
    <t>MARYORIS</t>
  </si>
  <si>
    <t>CEIBA DEL NORTE 2005</t>
  </si>
  <si>
    <t>MORYORIS</t>
  </si>
  <si>
    <t>1 DE AGOSTP</t>
  </si>
  <si>
    <t>TIERRA LINDA CAMPESTRE 1409</t>
  </si>
  <si>
    <t>CEIBA DEL NORTE 1212</t>
  </si>
  <si>
    <t>CAMINO DEL VIENTO 121</t>
  </si>
  <si>
    <t>MONTESION 707</t>
  </si>
  <si>
    <t xml:space="preserve">GONZALO CARDONA </t>
  </si>
  <si>
    <t>2 DE AGOSTO</t>
  </si>
  <si>
    <t>CASA CABAÑAS 58CC 14</t>
  </si>
  <si>
    <t>3 DE AGOSTO</t>
  </si>
  <si>
    <t>NORDICA 1702</t>
  </si>
  <si>
    <t xml:space="preserve">5 DE AGOSTO </t>
  </si>
  <si>
    <t>DANIELA RAMOS</t>
  </si>
  <si>
    <t>10 DE AGOSTO</t>
  </si>
  <si>
    <t>CEIBA DEL NORTE 730</t>
  </si>
  <si>
    <t>11 DE AGOSTO</t>
  </si>
  <si>
    <t>CEIBA DEL NORTE 1704</t>
  </si>
  <si>
    <t>12 DE AGOSTO</t>
  </si>
  <si>
    <t>CAMINO DEL VIENTO 1416</t>
  </si>
  <si>
    <t>17 DE AGOSTO</t>
  </si>
  <si>
    <t>CONSORCIO EJECUTIVO AFICINA 301</t>
  </si>
  <si>
    <t>JHOINNY ZAPATA</t>
  </si>
  <si>
    <t>18 DE AGOSTO</t>
  </si>
  <si>
    <t>NORDICA 1403</t>
  </si>
  <si>
    <t>LARA</t>
  </si>
  <si>
    <t xml:space="preserve">18 DE AGOSTO </t>
  </si>
  <si>
    <t>TIERRA LINDA CAMPESTRE 2209</t>
  </si>
  <si>
    <t>MONTESION 2206</t>
  </si>
  <si>
    <t xml:space="preserve">20 DE AGOSTO </t>
  </si>
  <si>
    <t>CURAZAO 1825</t>
  </si>
  <si>
    <t>DIEGO MARIN</t>
  </si>
  <si>
    <t>OPORTO CAMPESTRE 1306</t>
  </si>
  <si>
    <t xml:space="preserve">SAMUEL RODRIGUEZ </t>
  </si>
  <si>
    <t>20  DE AGOSTO</t>
  </si>
  <si>
    <t>NORDICA 1914</t>
  </si>
  <si>
    <t xml:space="preserve">JHON JAIRO MEJIA </t>
  </si>
  <si>
    <t>TIERRA LINDA CAPESTRE 1301</t>
  </si>
  <si>
    <t>MAURICIO PULGARIN</t>
  </si>
  <si>
    <t xml:space="preserve">CRISTO REY </t>
  </si>
  <si>
    <t>ALAMEDA DEL NORTE CASA 70</t>
  </si>
  <si>
    <t>MIRADOR DE BARCELONA 1004</t>
  </si>
  <si>
    <t>185.000.000</t>
  </si>
  <si>
    <t>CEIBA DEL NORTE 1717</t>
  </si>
  <si>
    <t>220.000.000</t>
  </si>
  <si>
    <t>CAMINO DEL VIENTO 916</t>
  </si>
  <si>
    <t>CORAL 1206</t>
  </si>
  <si>
    <t xml:space="preserve"> DE AGOSTO </t>
  </si>
  <si>
    <t>EMPORIUM PLAZA 602</t>
  </si>
  <si>
    <t>CAMINO DEL VIENTO 2402</t>
  </si>
  <si>
    <t>MEDITERRANEA 617</t>
  </si>
  <si>
    <t xml:space="preserve">CAMINO DEL VIENTO 719 </t>
  </si>
  <si>
    <t>CAMINO DEL VIENTO 620</t>
  </si>
  <si>
    <t xml:space="preserve">3 DE AGOSTO </t>
  </si>
  <si>
    <t>ENSENADA 1516</t>
  </si>
  <si>
    <t>19 DE AGOSTO</t>
  </si>
  <si>
    <t>ENSENADA 2324</t>
  </si>
  <si>
    <t xml:space="preserve">19 DE AGOSTO </t>
  </si>
  <si>
    <t>FLOR DE AGUA 2425</t>
  </si>
  <si>
    <t>HIGUITA</t>
  </si>
  <si>
    <t>MAJAGUA NATURAL 2666</t>
  </si>
  <si>
    <t>TRAPICHE</t>
  </si>
  <si>
    <t>SIMON</t>
  </si>
  <si>
    <t>21 DE AGOSTO</t>
  </si>
  <si>
    <t>ENSENADA 1519</t>
  </si>
  <si>
    <t>23 DE AGOSTO</t>
  </si>
  <si>
    <t xml:space="preserve">CABAÑITAS 5TO PISO </t>
  </si>
  <si>
    <t xml:space="preserve">23 DE AGOSTO </t>
  </si>
  <si>
    <t>FLORES DE SAN JUAN 403</t>
  </si>
  <si>
    <t>ENSENADA 2619</t>
  </si>
  <si>
    <t xml:space="preserve">MEDINA </t>
  </si>
  <si>
    <t>24 DE AGOSTO</t>
  </si>
  <si>
    <t>CAMINO DEL VIENTO 1507</t>
  </si>
  <si>
    <t>HILARIO</t>
  </si>
  <si>
    <t>ENSENADA 1719</t>
  </si>
  <si>
    <t>1 DE AGOSTO</t>
  </si>
  <si>
    <t>1 AGOSTO</t>
  </si>
  <si>
    <t>PUERTO PARAISO 712</t>
  </si>
  <si>
    <t>LA QUINTA 408</t>
  </si>
  <si>
    <t xml:space="preserve">LONDOÑO </t>
  </si>
  <si>
    <t xml:space="preserve">2 DE AGOSTO </t>
  </si>
  <si>
    <t>ALTOBELO 511</t>
  </si>
  <si>
    <t>JHON</t>
  </si>
  <si>
    <t>5 DE AGOSTO</t>
  </si>
  <si>
    <t>PUERTO PARAISO 2011</t>
  </si>
  <si>
    <t>ALVAREZ</t>
  </si>
  <si>
    <t xml:space="preserve">6 DE AGOSTO </t>
  </si>
  <si>
    <t>LOCAL CANTARES DE RIACHUELOS 110</t>
  </si>
  <si>
    <t xml:space="preserve">EL CARMELO </t>
  </si>
  <si>
    <t>PUERTO PARAISO 504</t>
  </si>
  <si>
    <t>OMAR</t>
  </si>
  <si>
    <t>ALTOBELO 1515</t>
  </si>
  <si>
    <t>URIBE</t>
  </si>
  <si>
    <t>13 DE AGOSTO</t>
  </si>
  <si>
    <t>CANTARES DE RIACHUELOS 108</t>
  </si>
  <si>
    <t>PUERTO PARAISO 1506</t>
  </si>
  <si>
    <t>PUERTO NUEVO 1934</t>
  </si>
  <si>
    <t>LEIDY ROJAS</t>
  </si>
  <si>
    <t xml:space="preserve">17 DE AGOSTO </t>
  </si>
  <si>
    <t>EDIFICIO MARECHIANO 102</t>
  </si>
  <si>
    <t xml:space="preserve">OBRERO </t>
  </si>
  <si>
    <t>JAMES</t>
  </si>
  <si>
    <t>17 DE AGOSTP</t>
  </si>
  <si>
    <t>EDIFICIO MARECHIANO 301</t>
  </si>
  <si>
    <t xml:space="preserve">JAMES </t>
  </si>
  <si>
    <t>PUERTO VENTURA 212</t>
  </si>
  <si>
    <t>APARTA STUDIO ROSALPI 302</t>
  </si>
  <si>
    <t xml:space="preserve">ROSALPI </t>
  </si>
  <si>
    <t>PUERTO PARAISO 1508</t>
  </si>
  <si>
    <t>OMARF</t>
  </si>
  <si>
    <t>CANTARES DE RIACHUELOS 109</t>
  </si>
  <si>
    <t>GIL</t>
  </si>
  <si>
    <t>PUERTO VENTURA 1002</t>
  </si>
  <si>
    <t>PUERTO PARAISO 1007</t>
  </si>
  <si>
    <t>CAMINO DEL VIENTO 1715</t>
  </si>
  <si>
    <t xml:space="preserve">25 DE AGOSTO </t>
  </si>
  <si>
    <t>PUERTO PARAISO 706</t>
  </si>
  <si>
    <t>PEREIRA</t>
  </si>
  <si>
    <t>ENTREVIENTOS 801</t>
  </si>
  <si>
    <t>QUITASOL</t>
  </si>
  <si>
    <t>HECTOR</t>
  </si>
  <si>
    <t xml:space="preserve">AVELLANEDA </t>
  </si>
  <si>
    <t>avellaneda</t>
  </si>
  <si>
    <t>rony</t>
  </si>
  <si>
    <t>PUERTA MADERA 569</t>
  </si>
  <si>
    <t>MADERA</t>
  </si>
  <si>
    <t>OMAIRA</t>
  </si>
  <si>
    <t>PUERTO PARAISO 1606</t>
  </si>
  <si>
    <t>PUEERTOS</t>
  </si>
  <si>
    <t xml:space="preserve">LOS ÑPUERTOS </t>
  </si>
  <si>
    <t>MADERA SILVESTRE 1706</t>
  </si>
  <si>
    <t>SILVIA MUÑOZ</t>
  </si>
  <si>
    <t>MEDITERRANEA 1428</t>
  </si>
  <si>
    <t>MATEO ROMERO</t>
  </si>
  <si>
    <t>ALCALA 1815</t>
  </si>
  <si>
    <t>FONTIDUEÑO</t>
  </si>
  <si>
    <t>ALEXANDER</t>
  </si>
  <si>
    <t>GUTIERREZ</t>
  </si>
  <si>
    <t xml:space="preserve">11 DE AGOSTO </t>
  </si>
  <si>
    <t>CAMINO DEL VIENTO 1216</t>
  </si>
  <si>
    <t>ACAVEDO</t>
  </si>
  <si>
    <t>CAMINO DEL VIENTO 1118</t>
  </si>
  <si>
    <t xml:space="preserve">PARQUE LA FLORIDA SDO PISO </t>
  </si>
  <si>
    <t>FLOR DE AGUA 925</t>
  </si>
  <si>
    <t>HUGUITA</t>
  </si>
  <si>
    <t>TORRE LA CASONA APT 1905</t>
  </si>
  <si>
    <t>ROBERTO SUAREZ</t>
  </si>
  <si>
    <t>FLOR DE AGUA 1431</t>
  </si>
  <si>
    <t>FLOR DE AGUA 2632</t>
  </si>
  <si>
    <t>SANTA ISABEL APTO 3220</t>
  </si>
  <si>
    <t>MEDITERRANEA 218</t>
  </si>
  <si>
    <t>20 DE AGOSTO</t>
  </si>
  <si>
    <t>PIUERTO PARAISO 907</t>
  </si>
  <si>
    <t xml:space="preserve">APTO CABAÑAS </t>
  </si>
  <si>
    <t>AVELLANEDA 1924</t>
  </si>
  <si>
    <t>PUERTA MADERA 1548</t>
  </si>
  <si>
    <t>ANDRES VIDES</t>
  </si>
  <si>
    <t>MADERA NATURAL 2002</t>
  </si>
  <si>
    <t>CAMINO DEL VIENTO 1316</t>
  </si>
  <si>
    <t>CAMINO DEL VIENTO 419</t>
  </si>
  <si>
    <t>AVELLANEDA 1688</t>
  </si>
  <si>
    <t>VILLAS DEL SOL</t>
  </si>
  <si>
    <t>PUERTA MADERaA 346</t>
  </si>
  <si>
    <t>BARRIO NUEVO 58DD 160</t>
  </si>
  <si>
    <t xml:space="preserve">JUAN SEBASTIAN GONZALEZ </t>
  </si>
  <si>
    <t>CURAZAO 1715</t>
  </si>
  <si>
    <t xml:space="preserve">ALCALA </t>
  </si>
  <si>
    <t>DANIEL VEGAMBRE</t>
  </si>
  <si>
    <t>CURAZAO 1128</t>
  </si>
  <si>
    <t>LOS ARBOLES 1520</t>
  </si>
  <si>
    <t>HERNAN OROZCO</t>
  </si>
  <si>
    <t>LOS ARBOLES 1304</t>
  </si>
  <si>
    <t>LOS ARBOLES 1920</t>
  </si>
  <si>
    <t>25 DE AGOSTO</t>
  </si>
  <si>
    <t>FLORIDA DE NORTEAMOERICA 503</t>
  </si>
  <si>
    <t xml:space="preserve">YORMAN </t>
  </si>
  <si>
    <t>LOS ARBOLES 705</t>
  </si>
  <si>
    <t xml:space="preserve">JUAN DIEGO MARIN </t>
  </si>
  <si>
    <t>PUERTO ALEGRE 1801</t>
  </si>
  <si>
    <t>LOS ARBOLES 2018</t>
  </si>
  <si>
    <t>HERNAN</t>
  </si>
  <si>
    <t>CURAZAO 1821</t>
  </si>
  <si>
    <t>AGUA CLARA 504</t>
  </si>
  <si>
    <t>TIERRA LINDA CAMPESTRE 1906</t>
  </si>
  <si>
    <t>CASA ENVIGADO</t>
  </si>
  <si>
    <t>MIRASOL CAMPESTRE 1434</t>
  </si>
  <si>
    <t>MIRANDA</t>
  </si>
  <si>
    <t>YORMAN PATIÑO</t>
  </si>
  <si>
    <t>LA VIDA ES BELLA 704</t>
  </si>
  <si>
    <t xml:space="preserve">JUAN TABAREZ </t>
  </si>
  <si>
    <t>LOS ARBOLES 1414</t>
  </si>
  <si>
    <t xml:space="preserve">SEPTIEMBRE </t>
  </si>
  <si>
    <t>26 DE AGOSTO</t>
  </si>
  <si>
    <t>CEIBA DEL NORTE 1013</t>
  </si>
  <si>
    <t xml:space="preserve">26 DE AGOSTO </t>
  </si>
  <si>
    <t>TIERRA LINDA CAMPESTRE 1007</t>
  </si>
  <si>
    <t>27 DE AGOSTO</t>
  </si>
  <si>
    <t>TORRE DEL BOSQUE 908</t>
  </si>
  <si>
    <t xml:space="preserve">JUAN CAMILO AGUIRRE </t>
  </si>
  <si>
    <t xml:space="preserve">27 DE AGOSTO </t>
  </si>
  <si>
    <t>MADERA NATURAL 1301</t>
  </si>
  <si>
    <t>MONTESION 1806</t>
  </si>
  <si>
    <t xml:space="preserve">LA MISERICORDIA </t>
  </si>
  <si>
    <t>JUAN PINEDA</t>
  </si>
  <si>
    <t xml:space="preserve">30 DE AGOSTO </t>
  </si>
  <si>
    <t>CEIBA DEL NORTE 1012</t>
  </si>
  <si>
    <t xml:space="preserve">1 DE SEPTIEMBRE </t>
  </si>
  <si>
    <t>CASA MARIQUE SEGUNDO PISO</t>
  </si>
  <si>
    <t xml:space="preserve">MANRIQUE </t>
  </si>
  <si>
    <t>OPORTO CAMPESTRE 1901</t>
  </si>
  <si>
    <t>1 DE SETIEMBRE</t>
  </si>
  <si>
    <t>OPORTO CAMPESTRE 1801</t>
  </si>
  <si>
    <t xml:space="preserve">1  DE SEPTIEMBRE </t>
  </si>
  <si>
    <t>PUERTO PARAISO615</t>
  </si>
  <si>
    <t xml:space="preserve">NORDICA 2612 </t>
  </si>
  <si>
    <t xml:space="preserve">LORA AROYAVE </t>
  </si>
  <si>
    <t xml:space="preserve">6 DE SEPTIEMBRE </t>
  </si>
  <si>
    <t>NORDICA 1213</t>
  </si>
  <si>
    <t>YEISON LORA</t>
  </si>
  <si>
    <t>OPORTO 208</t>
  </si>
  <si>
    <t>MONTESION 1608</t>
  </si>
  <si>
    <t xml:space="preserve">8 DE SEPTIEMBRE </t>
  </si>
  <si>
    <t>NORDICA 2512</t>
  </si>
  <si>
    <t>NQUIA</t>
  </si>
  <si>
    <t>JHON JAIRO MEJIA</t>
  </si>
  <si>
    <t xml:space="preserve">13 DE SEPTIEMBRE </t>
  </si>
  <si>
    <t>TIERRA LINDA 2601</t>
  </si>
  <si>
    <t xml:space="preserve">LUISA </t>
  </si>
  <si>
    <t>CASA CABAÑAS 58D 05</t>
  </si>
  <si>
    <t xml:space="preserve">CABAÑAS </t>
  </si>
  <si>
    <t xml:space="preserve">16 DE SEEPTIEMBRE </t>
  </si>
  <si>
    <t>NORDICA 1404</t>
  </si>
  <si>
    <t>YEISON LARA</t>
  </si>
  <si>
    <t xml:space="preserve">17 DE SEPTIEMBRE </t>
  </si>
  <si>
    <t>NORDICA 1207</t>
  </si>
  <si>
    <t>20 DE SEPTIEMBRE</t>
  </si>
  <si>
    <t xml:space="preserve">PORTO LETICIA </t>
  </si>
  <si>
    <t xml:space="preserve">MARLON LONDOÑO </t>
  </si>
  <si>
    <t>SAmuel RODRIGUEZ</t>
  </si>
  <si>
    <t xml:space="preserve">si </t>
  </si>
  <si>
    <t>MONTESION 1108</t>
  </si>
  <si>
    <t>14 DE SEPTIEMBRE</t>
  </si>
  <si>
    <t xml:space="preserve">PUERTO PARAISO 1803 </t>
  </si>
  <si>
    <t>MEDITERRANEA 1627</t>
  </si>
  <si>
    <t>OCEANA 2422</t>
  </si>
  <si>
    <t xml:space="preserve">OCEANA 2620 </t>
  </si>
  <si>
    <t>PUERTO PARAISO 1304</t>
  </si>
  <si>
    <t>OCEANA 2019</t>
  </si>
  <si>
    <t xml:space="preserve">2 DE SEPTIEMBRE </t>
  </si>
  <si>
    <t>HACIENDA NIQUIA 708</t>
  </si>
  <si>
    <t>ANDRES MEJIA</t>
  </si>
  <si>
    <t>4 DE SEPRIEMNRE</t>
  </si>
  <si>
    <t>PUERTO PARAISO 1104</t>
  </si>
  <si>
    <t>6 DE SEPTIEMBRE</t>
  </si>
  <si>
    <t>FLOR 328</t>
  </si>
  <si>
    <t>CAMINO DEL VIENTO 1302</t>
  </si>
  <si>
    <t xml:space="preserve">7 DE SEPTIEMBRE </t>
  </si>
  <si>
    <t>MEDITERRANEA 1728</t>
  </si>
  <si>
    <t>CAMINO DEL VIENTO 1515</t>
  </si>
  <si>
    <t>EDIFICIO DEL CAFE 606</t>
  </si>
  <si>
    <t>9 DE SEPTIEMBRE</t>
  </si>
  <si>
    <t>FLOR DE AGUA 2527</t>
  </si>
  <si>
    <t>TUBERQUIA</t>
  </si>
  <si>
    <t>FLOR DE AGUA 1925</t>
  </si>
  <si>
    <t xml:space="preserve">TUBERQUIA </t>
  </si>
  <si>
    <t xml:space="preserve">9 DE SEPTIEMBRE </t>
  </si>
  <si>
    <t>CAMINO DEL VIENTO 1722</t>
  </si>
  <si>
    <t xml:space="preserve">11 DE SEPTIEMBRE </t>
  </si>
  <si>
    <t>MEDITERRANEA 1917</t>
  </si>
  <si>
    <t>FLOR DE AGUA 1825</t>
  </si>
  <si>
    <t xml:space="preserve">HIGUITA </t>
  </si>
  <si>
    <t>ENSENADA 1820</t>
  </si>
  <si>
    <t>PUERTO PARAISO 1216</t>
  </si>
  <si>
    <t>CAMINO DEL VIENTO 1620</t>
  </si>
  <si>
    <t>OCEANA 2027</t>
  </si>
  <si>
    <t>BEDOYA</t>
  </si>
  <si>
    <t>BOSQUE ALTO 2303</t>
  </si>
  <si>
    <t>DANIELA</t>
  </si>
  <si>
    <t>OPORTO CIUDADELA 2312</t>
  </si>
  <si>
    <t>FABIO PEREZ</t>
  </si>
  <si>
    <t xml:space="preserve">ARANJUEZ PRIMER PISO </t>
  </si>
  <si>
    <t>ARANJUEZ</t>
  </si>
  <si>
    <t xml:space="preserve">ARANJUEZ SEGUNDO PISO </t>
  </si>
  <si>
    <t xml:space="preserve">8 DE SEPTIRMBRE </t>
  </si>
  <si>
    <t>ALTOBELO 1512</t>
  </si>
  <si>
    <t>4 DE SEPT</t>
  </si>
  <si>
    <t>MARICHIANO 501</t>
  </si>
  <si>
    <t>PUERTO PARAISO 710</t>
  </si>
  <si>
    <t xml:space="preserve">4 DE SEPT </t>
  </si>
  <si>
    <t>PUERTO PARAISO 709</t>
  </si>
  <si>
    <t>PUERTO AZUL 2008</t>
  </si>
  <si>
    <t>7 DE SEPTIEMBRE</t>
  </si>
  <si>
    <t>PUERTO PARAISO 714</t>
  </si>
  <si>
    <t>RESERVA DE BUCAROS 701</t>
  </si>
  <si>
    <t xml:space="preserve">BLANDON </t>
  </si>
  <si>
    <t>CASA LOCAL</t>
  </si>
  <si>
    <t>CASA LOCAL CONQUISTADORES 66A 31</t>
  </si>
  <si>
    <t>JUAN CAMILO</t>
  </si>
  <si>
    <t xml:space="preserve">CASA LOCAL </t>
  </si>
  <si>
    <t>CASA LOCAL 103 CONQUISTADORES 60A 13</t>
  </si>
  <si>
    <t xml:space="preserve">CONQUISTADORES </t>
  </si>
  <si>
    <t xml:space="preserve">JUAN CAMILO </t>
  </si>
  <si>
    <t>CAS LOCAL 101 CONQUISTADORES 60A 13</t>
  </si>
  <si>
    <t>CASA LOCAL SEGUNDO PISO 66A 14</t>
  </si>
  <si>
    <t>CASA LOCAL CONQUISTAORES 66A 24</t>
  </si>
  <si>
    <t>CANTARES DE RIACHUELOS 1202</t>
  </si>
  <si>
    <t xml:space="preserve">CARMELO </t>
  </si>
  <si>
    <t>ENSENADA 616</t>
  </si>
  <si>
    <t xml:space="preserve">LEIDY ROJAS </t>
  </si>
  <si>
    <t>CIUDAD CENTRAL 101</t>
  </si>
  <si>
    <t>REYES</t>
  </si>
  <si>
    <t>10 DE SEPTIEMBRE</t>
  </si>
  <si>
    <t>PUERTO VENTURA 2306</t>
  </si>
  <si>
    <t>PUERTO VENTURA 336</t>
  </si>
  <si>
    <t>ORTIZ</t>
  </si>
  <si>
    <t>PUERTO VENTURA 1602</t>
  </si>
  <si>
    <t>MARTINEZ Y PEREIRA</t>
  </si>
  <si>
    <t xml:space="preserve">15 DE SEPTIEMBRE </t>
  </si>
  <si>
    <t xml:space="preserve">CASA PARQUE BELLO 49-25 </t>
  </si>
  <si>
    <t xml:space="preserve">PARQUE </t>
  </si>
  <si>
    <t xml:space="preserve">16 DE SEPTIEMBRE </t>
  </si>
  <si>
    <t>PUERTO PARAISO 1813</t>
  </si>
  <si>
    <t xml:space="preserve">22 DE SEPTIEMBRE </t>
  </si>
  <si>
    <t>PUERTO PARAISO 2115</t>
  </si>
  <si>
    <t xml:space="preserve">17 DE SEPTOEMBRE </t>
  </si>
  <si>
    <t>´PUERTO AZUL 2204</t>
  </si>
  <si>
    <t xml:space="preserve">ANDRES TUBERQUIA </t>
  </si>
  <si>
    <t xml:space="preserve">25 DE SEPTIEMBRE </t>
  </si>
  <si>
    <t>OPORTO 113</t>
  </si>
  <si>
    <t xml:space="preserve">25 de SEPTIEMBRE </t>
  </si>
  <si>
    <t>ROTTERDAN 1410</t>
  </si>
  <si>
    <t xml:space="preserve">CASA CASTELLANA </t>
  </si>
  <si>
    <t>CASTELLANA</t>
  </si>
  <si>
    <t>27 DE AGOSTP</t>
  </si>
  <si>
    <t xml:space="preserve">APTO 4TO PISO MADERA </t>
  </si>
  <si>
    <t>28 DE AGOSTO</t>
  </si>
  <si>
    <t xml:space="preserve">APTO CABAÑAS 2DO PISO </t>
  </si>
  <si>
    <t xml:space="preserve">28 DE AGOSTO </t>
  </si>
  <si>
    <t>CAMINO DEL VIENTO 1518</t>
  </si>
  <si>
    <t>30 DE AGOSTO</t>
  </si>
  <si>
    <t>PUERTA MADERA 1828</t>
  </si>
  <si>
    <t xml:space="preserve">MARCO TORRES </t>
  </si>
  <si>
    <t xml:space="preserve">2 DE SEPT </t>
  </si>
  <si>
    <t>PUERTO PARAISO 701</t>
  </si>
  <si>
    <t>GOMEZ</t>
  </si>
  <si>
    <t xml:space="preserve">3 DE SEPTIEMBRE </t>
  </si>
  <si>
    <t>FLOR APARTAMENTOS 2229</t>
  </si>
  <si>
    <t>MADERA SILVESTRE 1412</t>
  </si>
  <si>
    <t>CARLOS</t>
  </si>
  <si>
    <t>FLOR 732</t>
  </si>
  <si>
    <t>ALCALA 614</t>
  </si>
  <si>
    <t>ARLEY</t>
  </si>
  <si>
    <t>CABAÑAS 58-94</t>
  </si>
  <si>
    <t>RENDON</t>
  </si>
  <si>
    <t xml:space="preserve">14 DE SEPTIEMBRE </t>
  </si>
  <si>
    <t xml:space="preserve">ALTOS DE LA TRINIDAD 1404 </t>
  </si>
  <si>
    <t>FLOR DE AGUA 2131</t>
  </si>
  <si>
    <t>MANCHESTER 45-84</t>
  </si>
  <si>
    <t xml:space="preserve">21 DE SEPTIEMBRE </t>
  </si>
  <si>
    <t>MEDITERRANEA 718</t>
  </si>
  <si>
    <t>FABRICATO</t>
  </si>
  <si>
    <t xml:space="preserve">21 de SEPTIEMBRE </t>
  </si>
  <si>
    <t>PUERTO PARAISO 913</t>
  </si>
  <si>
    <t>JHON MARTINEZ</t>
  </si>
  <si>
    <t>PUERTO PARAISO 102</t>
  </si>
  <si>
    <t>21 DE SEPTIEMBRE</t>
  </si>
  <si>
    <t>CAMINO DEL VIENTO 502</t>
  </si>
  <si>
    <t xml:space="preserve">24 DE SEPTIEMBRE </t>
  </si>
  <si>
    <t>MIRASOL CAMPESTRE 1336</t>
  </si>
  <si>
    <t xml:space="preserve">24 de SEPTIEMBRE </t>
  </si>
  <si>
    <t xml:space="preserve">5TO PISO OBRERO </t>
  </si>
  <si>
    <t>LOCAL NIQUIA 37-41</t>
  </si>
  <si>
    <t>DIRECTP</t>
  </si>
  <si>
    <t>FLOR DE AGUA 732</t>
  </si>
  <si>
    <t>31 AGOSTO</t>
  </si>
  <si>
    <t xml:space="preserve">QUINTO PISO CABAÑAS </t>
  </si>
  <si>
    <t>CURAZAO 1106</t>
  </si>
  <si>
    <t>JORGE BOLAÑOS</t>
  </si>
  <si>
    <t>CURAZAO 820</t>
  </si>
  <si>
    <t>DANIEL BEGAN¿MBRE</t>
  </si>
  <si>
    <t>LOS ARBOLES 2620</t>
  </si>
  <si>
    <t>CURAZAO</t>
  </si>
  <si>
    <t>CURAZAO 1506</t>
  </si>
  <si>
    <t>6 DE AGOSTO</t>
  </si>
  <si>
    <t>LOS ARBOLES 2005</t>
  </si>
  <si>
    <t xml:space="preserve">DIEGO MARIN </t>
  </si>
  <si>
    <t>APTO PRADO 49A 35</t>
  </si>
  <si>
    <t>PRADO</t>
  </si>
  <si>
    <t>15 DE AGOSTO</t>
  </si>
  <si>
    <t>LOS ARBOLES 813</t>
  </si>
  <si>
    <t xml:space="preserve">15 DE AGOSTO </t>
  </si>
  <si>
    <t>CEIBA DEL NORTE 504</t>
  </si>
  <si>
    <t>YORMAN</t>
  </si>
  <si>
    <t>CURAZAO 2131</t>
  </si>
  <si>
    <t>YOTMAN CUARTAS</t>
  </si>
  <si>
    <t>PORTON DEL NORTE 1101</t>
  </si>
  <si>
    <t>LOS ARBOLES 1905</t>
  </si>
  <si>
    <t>CURAZAO 1240</t>
  </si>
  <si>
    <t>BARRIO NUEVO 59-07</t>
  </si>
  <si>
    <t xml:space="preserve">OSCAR </t>
  </si>
  <si>
    <t xml:space="preserve">23 DE SEPTIEMBRE </t>
  </si>
  <si>
    <t>ENTREVIENTOS 1102</t>
  </si>
  <si>
    <t>ENTREVIENTOS 2101</t>
  </si>
  <si>
    <t>DANIEL</t>
  </si>
  <si>
    <t>PARQUE ALTO 902</t>
  </si>
  <si>
    <t>OSCAR CUARTAS</t>
  </si>
  <si>
    <t>PUERTO AZUL 2902</t>
  </si>
  <si>
    <t xml:space="preserve">SAN FELIX </t>
  </si>
  <si>
    <t>SAN FELIX</t>
  </si>
  <si>
    <t>SNO</t>
  </si>
  <si>
    <t>EDIFICIO COLMENA 405</t>
  </si>
  <si>
    <t>CURAZAO 424</t>
  </si>
  <si>
    <t xml:space="preserve">ALTOS DE NIQUIA SEGUNDO PISO </t>
  </si>
  <si>
    <t xml:space="preserve">ALTOS DE NIQUIA </t>
  </si>
  <si>
    <t>CURAZAO 1832</t>
  </si>
  <si>
    <t xml:space="preserve">OCTUBRE </t>
  </si>
  <si>
    <t xml:space="preserve">27 SEPTIEMBRE </t>
  </si>
  <si>
    <t>CEIBA DEL NORTE 1420</t>
  </si>
  <si>
    <t xml:space="preserve">MARYORIS CALVANO </t>
  </si>
  <si>
    <t>CEIBA DEL NORTE 104</t>
  </si>
  <si>
    <t>NORDICA 1214</t>
  </si>
  <si>
    <t>JULIAN ZAPATA</t>
  </si>
  <si>
    <t>30 SEPTIEMBRE</t>
  </si>
  <si>
    <t>MONTESION 101</t>
  </si>
  <si>
    <t xml:space="preserve">5 DE SEPTIEMBRE </t>
  </si>
  <si>
    <t>NORDICA 811</t>
  </si>
  <si>
    <t>SEBAS</t>
  </si>
  <si>
    <t>ARBOLEDA DEL CAMPO 9919</t>
  </si>
  <si>
    <t>RAUL LAINEZ</t>
  </si>
  <si>
    <t xml:space="preserve">SEBAS </t>
  </si>
  <si>
    <t xml:space="preserve">7 DE OCTUBRE </t>
  </si>
  <si>
    <t xml:space="preserve">MADERA SILVESTRE 2003 </t>
  </si>
  <si>
    <t>DUBAN MANCO</t>
  </si>
  <si>
    <t>8 OCTUBRE</t>
  </si>
  <si>
    <t xml:space="preserve">SAN FELIX SEGUNDO PISO </t>
  </si>
  <si>
    <t>13 DE OCTUBRE</t>
  </si>
  <si>
    <t>MADERA SILVESTRE 1007</t>
  </si>
  <si>
    <t xml:space="preserve">DUVAN MANCO </t>
  </si>
  <si>
    <t>NORDICA 815</t>
  </si>
  <si>
    <t>11 DE OCTUBRE</t>
  </si>
  <si>
    <t>MONTESION 104</t>
  </si>
  <si>
    <t>MISERICORDIA</t>
  </si>
  <si>
    <t xml:space="preserve">20 DE OCTUBRE </t>
  </si>
  <si>
    <t xml:space="preserve">EL ZARZAL </t>
  </si>
  <si>
    <t xml:space="preserve">22 DE OCTUBRE </t>
  </si>
  <si>
    <t xml:space="preserve">CEIBA DEL NORTE 1810 </t>
  </si>
  <si>
    <t>TORRE NAVARRA 205</t>
  </si>
  <si>
    <t xml:space="preserve">NAVARRA </t>
  </si>
  <si>
    <t>23 DE OCTUBRE</t>
  </si>
  <si>
    <t xml:space="preserve">CASA VEREDA SAN ESTEBAN COPACABANA </t>
  </si>
  <si>
    <t xml:space="preserve">DIANA </t>
  </si>
  <si>
    <t xml:space="preserve">23 DE OCTUBRE </t>
  </si>
  <si>
    <t xml:space="preserve">25 DE OCTUBRE </t>
  </si>
  <si>
    <t>MOLINOS DEL PRADO 206</t>
  </si>
  <si>
    <t xml:space="preserve">WILSON DIAZ </t>
  </si>
  <si>
    <t xml:space="preserve">MEDITERRANEA 1429 </t>
  </si>
  <si>
    <t>NORDICA 1412</t>
  </si>
  <si>
    <t>LORA</t>
  </si>
  <si>
    <t>29 SEPTIEMBRE</t>
  </si>
  <si>
    <t xml:space="preserve">15 OCTUBRE </t>
  </si>
  <si>
    <t>HACIENDA NIQUIA 627</t>
  </si>
  <si>
    <t xml:space="preserve">29 SEPTIEMBRE </t>
  </si>
  <si>
    <t>GIRASOLES LA 57 LOCAL 101</t>
  </si>
  <si>
    <t xml:space="preserve">NO </t>
  </si>
  <si>
    <t xml:space="preserve">GIRASOLES LA 57 LOCAL 101 </t>
  </si>
  <si>
    <t>29 SEPTIMBRE</t>
  </si>
  <si>
    <t>GIRASOLES LA 57 CASA 102</t>
  </si>
  <si>
    <t>FLOR DE AGUA 2431</t>
  </si>
  <si>
    <t>AMAZONIKA 1524</t>
  </si>
  <si>
    <t>MEDITERRANEA 1725</t>
  </si>
  <si>
    <t>JARDINES DE SAN REMO 204</t>
  </si>
  <si>
    <t xml:space="preserve">SABANETA </t>
  </si>
  <si>
    <t xml:space="preserve">ARLEY </t>
  </si>
  <si>
    <t xml:space="preserve">1 DE OCTUBRE </t>
  </si>
  <si>
    <t>ENSENADA 1919</t>
  </si>
  <si>
    <t>ENSENADA 220</t>
  </si>
  <si>
    <t>ENSENADA 615</t>
  </si>
  <si>
    <t>ARTURO</t>
  </si>
  <si>
    <t>PUERTO PARAISO 604</t>
  </si>
  <si>
    <t>MARECHIANO 202</t>
  </si>
  <si>
    <t xml:space="preserve">ARTURO </t>
  </si>
  <si>
    <t xml:space="preserve">8 DE OCTUBRE </t>
  </si>
  <si>
    <t>EDIFICIO SANTORINI 403</t>
  </si>
  <si>
    <t>LAURELES</t>
  </si>
  <si>
    <t>ENSENADA 1026</t>
  </si>
  <si>
    <t xml:space="preserve">11 OCTUBRE </t>
  </si>
  <si>
    <t>MEDITERRANEA 719</t>
  </si>
  <si>
    <t>juan</t>
  </si>
  <si>
    <t>ENSENADA 1918</t>
  </si>
  <si>
    <t>OAMAZONIA</t>
  </si>
  <si>
    <t>ENSENADA 1822</t>
  </si>
  <si>
    <t xml:space="preserve">13 DE OCTUBRE </t>
  </si>
  <si>
    <t xml:space="preserve">SEGUNDO PISO EL ROSARIO 53-20 </t>
  </si>
  <si>
    <t xml:space="preserve">EL ROSARIO </t>
  </si>
  <si>
    <t xml:space="preserve">15 DE OCTUBRE </t>
  </si>
  <si>
    <t>CASA CATILLA 91-82</t>
  </si>
  <si>
    <t xml:space="preserve">CASTILLA </t>
  </si>
  <si>
    <t>20 DE OCTUBRE</t>
  </si>
  <si>
    <t>MEDITERRANEA 830</t>
  </si>
  <si>
    <t>MEDITERRANEA 1329</t>
  </si>
  <si>
    <t>ENSENADA 1119</t>
  </si>
  <si>
    <t xml:space="preserve">27 sePTIEMBRE </t>
  </si>
  <si>
    <t xml:space="preserve">FLOR 2431 </t>
  </si>
  <si>
    <t>BOSQUE ALTO 1405</t>
  </si>
  <si>
    <t>OCEANA 2325</t>
  </si>
  <si>
    <t>JORGE</t>
  </si>
  <si>
    <t>10 OCTUBRE</t>
  </si>
  <si>
    <t>TORRE CASHAMANTA 301</t>
  </si>
  <si>
    <t>DIORECTO</t>
  </si>
  <si>
    <t>28 SEPTIEMBRE</t>
  </si>
  <si>
    <t>PUERTO ALEGRE 848</t>
  </si>
  <si>
    <t>VICTOR HUGO ZEA</t>
  </si>
  <si>
    <t>LOS BUCAROS 2002</t>
  </si>
  <si>
    <t xml:space="preserve">DAVID CUARTAS </t>
  </si>
  <si>
    <t>PORTO LETICIA 2304</t>
  </si>
  <si>
    <t xml:space="preserve">WILMER MADRID </t>
  </si>
  <si>
    <t xml:space="preserve">1 de OCTUBRE </t>
  </si>
  <si>
    <t>CURAZAO 1130</t>
  </si>
  <si>
    <t xml:space="preserve">NORDICA 1813 </t>
  </si>
  <si>
    <t xml:space="preserve">4 DE OCTUBRE </t>
  </si>
  <si>
    <t>LOS ARBOLES 1810</t>
  </si>
  <si>
    <t xml:space="preserve">JOAN-JUANSE </t>
  </si>
  <si>
    <t xml:space="preserve">9 OCTUBRE </t>
  </si>
  <si>
    <t>MONTE SION 805</t>
  </si>
  <si>
    <t xml:space="preserve">GOZALO </t>
  </si>
  <si>
    <t>DIANA</t>
  </si>
  <si>
    <t xml:space="preserve">19 DE OCTUBRE </t>
  </si>
  <si>
    <t>LOS ARBOLES 1516</t>
  </si>
  <si>
    <t>LOS ARBOLES 1405</t>
  </si>
  <si>
    <t xml:space="preserve">APTO ESTACION FLORESTA 44C 18 </t>
  </si>
  <si>
    <t xml:space="preserve">FLORESTA </t>
  </si>
  <si>
    <t>APTO TRAPICHE 68-07</t>
  </si>
  <si>
    <t xml:space="preserve">AVENIDA LA PLAYA 45-30 SEGUNDO Y TERCER </t>
  </si>
  <si>
    <t xml:space="preserve">APTO PEDREGAL  71-15 PISO 3 </t>
  </si>
  <si>
    <t xml:space="preserve">PEDREGAL </t>
  </si>
  <si>
    <t xml:space="preserve">PLAZUELA DEL NORTE 552 </t>
  </si>
  <si>
    <t xml:space="preserve">LOCLA </t>
  </si>
  <si>
    <t>ESTACION NIQUIA 37-41</t>
  </si>
  <si>
    <t>EDIFICIO POTASI 804</t>
  </si>
  <si>
    <t xml:space="preserve">LOS ARBOLES 1819 </t>
  </si>
  <si>
    <t>CURAZAO 1702</t>
  </si>
  <si>
    <t xml:space="preserve">20 DE PCTUBRE </t>
  </si>
  <si>
    <t>PARQUE ALTO 907</t>
  </si>
  <si>
    <t>TRAPICHRE</t>
  </si>
  <si>
    <t xml:space="preserve">29  SEPTIEMBRE </t>
  </si>
  <si>
    <t>PARQUE ALTO 1212</t>
  </si>
  <si>
    <t>CASA SEVILLA 50D 15</t>
  </si>
  <si>
    <t xml:space="preserve">SEVILLA </t>
  </si>
  <si>
    <t>POSADO</t>
  </si>
  <si>
    <t>FLOR 2629</t>
  </si>
  <si>
    <t>JOAN-MATEO</t>
  </si>
  <si>
    <t xml:space="preserve">FLOR 2728 </t>
  </si>
  <si>
    <t xml:space="preserve">JOAN-MATEO </t>
  </si>
  <si>
    <t>APTO OBRERO 52-10 APTO 402</t>
  </si>
  <si>
    <t>AREDDY</t>
  </si>
  <si>
    <t xml:space="preserve">MAJAGUA 1001 </t>
  </si>
  <si>
    <t>PULGARIN</t>
  </si>
  <si>
    <t xml:space="preserve">16 DE OCTUBRE </t>
  </si>
  <si>
    <t>BELLO MANCHESTER</t>
  </si>
  <si>
    <t>MANCHESTER</t>
  </si>
  <si>
    <t>APTPO</t>
  </si>
  <si>
    <t xml:space="preserve">APTO CABAÑAS 57A 30 </t>
  </si>
  <si>
    <t>PUERTO PARAISO 413</t>
  </si>
  <si>
    <t xml:space="preserve">APTO CABAÑAS 57a 30 apto 301 </t>
  </si>
  <si>
    <t xml:space="preserve">20 DE POCTUBRE </t>
  </si>
  <si>
    <t>MADERA SILVESTRE 607</t>
  </si>
  <si>
    <t>MADERA NATURAL 901</t>
  </si>
  <si>
    <t>LOCAL NIQUIA 243</t>
  </si>
  <si>
    <t xml:space="preserve">BODEGA PARQUE BELLO </t>
  </si>
  <si>
    <t xml:space="preserve">PRADO </t>
  </si>
  <si>
    <t>MADERA SILVESTRE 1302</t>
  </si>
  <si>
    <t xml:space="preserve">AMAZONICA 1331 </t>
  </si>
  <si>
    <t>APTO ROBLEDO LA CAMPIÑA 91 D 55</t>
  </si>
  <si>
    <t xml:space="preserve">HACIENDA NIQUIA 1914 </t>
  </si>
  <si>
    <t xml:space="preserve">POSADA </t>
  </si>
  <si>
    <t>MEDITERRANEA 227</t>
  </si>
  <si>
    <t>BARRIO CENTRAL 201</t>
  </si>
  <si>
    <t xml:space="preserve">14 de octubre </t>
  </si>
  <si>
    <t>FLORIDA DE NORTEAMERICA 508</t>
  </si>
  <si>
    <t>19 DE OCTUBRE</t>
  </si>
  <si>
    <t>305 PARQUE DE BELLO</t>
  </si>
  <si>
    <t>JORGE GUTIERREZ</t>
  </si>
  <si>
    <t>CEIBA SDEL NORTE 1314</t>
  </si>
  <si>
    <t>PUERTO PARAISO 1601</t>
  </si>
  <si>
    <t xml:space="preserve">OMAR GOMEZ </t>
  </si>
  <si>
    <t>ATHENEA PLAZA 305</t>
  </si>
  <si>
    <t>JORGE GUITIERREZ</t>
  </si>
  <si>
    <t>ALTOBELO 816</t>
  </si>
  <si>
    <t xml:space="preserve">MOLINA </t>
  </si>
  <si>
    <t>PUERTO NUEVO 708</t>
  </si>
  <si>
    <t>CANTARES DE RIACHUELOS 1601</t>
  </si>
  <si>
    <t>16 DE OCTUBRE</t>
  </si>
  <si>
    <t>PUERTO NUEVO 813</t>
  </si>
  <si>
    <t>PUERTO NUEVO 501</t>
  </si>
  <si>
    <t xml:space="preserve">21 DE OCTUBRE </t>
  </si>
  <si>
    <t>PUERTO PARAISO 705</t>
  </si>
  <si>
    <t>LOCAL CC ESTACION NIQUIA 247</t>
  </si>
  <si>
    <t>LOCAL CC ESTACION NIQUIA 251</t>
  </si>
  <si>
    <t>LOCAL CC ESTACION NIQUIA 529</t>
  </si>
  <si>
    <t>ALTOBELO 2408</t>
  </si>
  <si>
    <t>FLORIDA NORTEAMERICA 1622</t>
  </si>
  <si>
    <t>16 OCTUBRE</t>
  </si>
  <si>
    <t>FLORIDA DE NORTEAMERICA 1029</t>
  </si>
  <si>
    <t>NORTEAMERICA</t>
  </si>
  <si>
    <t>CANTARES DE RIACHUELOS 1007</t>
  </si>
  <si>
    <t>SEPTIEMBRE</t>
  </si>
  <si>
    <t>BRAYAN AGUDELO</t>
  </si>
  <si>
    <t>AVISOS</t>
  </si>
  <si>
    <t>APARTAMENTO</t>
  </si>
  <si>
    <t>GUAYACAN 203</t>
  </si>
  <si>
    <t>BARRIO BLANCO</t>
  </si>
  <si>
    <t>PORTERO</t>
  </si>
  <si>
    <t>CATHE</t>
  </si>
  <si>
    <t>GUAYACAN 1106</t>
  </si>
  <si>
    <t>MENTA APTO 1401</t>
  </si>
  <si>
    <t>GUARNE</t>
  </si>
  <si>
    <t>DRECTO</t>
  </si>
  <si>
    <t>GUAYACAN 807</t>
  </si>
  <si>
    <t>GUAYACAN 707</t>
  </si>
  <si>
    <t>GUAYACAN 305</t>
  </si>
  <si>
    <t>NATIVA 1105</t>
  </si>
  <si>
    <t>CIMARRONAS</t>
  </si>
  <si>
    <t>13/9/2022</t>
  </si>
  <si>
    <t>RIOVIVO 1214</t>
  </si>
  <si>
    <t>FONTIBON</t>
  </si>
  <si>
    <t>14/9/2022</t>
  </si>
  <si>
    <t>RIOGRANDE HABITAT 2204</t>
  </si>
  <si>
    <t>LOS COLEGIOS</t>
  </si>
  <si>
    <t>DEICY</t>
  </si>
  <si>
    <t>20/9/2022</t>
  </si>
  <si>
    <t>CALLE 40 C # 62 - 37 APTO 301</t>
  </si>
  <si>
    <t>PORVENIR</t>
  </si>
  <si>
    <t>22/9/2022</t>
  </si>
  <si>
    <t>APARTAESTUDIO</t>
  </si>
  <si>
    <t>CARRERA 87 # 39 E - 37 CAMPUS VERDE</t>
  </si>
  <si>
    <t>PORTERIA</t>
  </si>
  <si>
    <t>CAPTACIONES VENTA</t>
  </si>
  <si>
    <t>MIGUEL VALENCIA</t>
  </si>
  <si>
    <t>GUAYACAN 603</t>
  </si>
  <si>
    <t xml:space="preserve"> TERRA VERDE 301</t>
  </si>
  <si>
    <t>15/9/2022</t>
  </si>
  <si>
    <t>CANTO 9804</t>
  </si>
  <si>
    <t>SAN ANTONIO</t>
  </si>
  <si>
    <t>16/9/2022</t>
  </si>
  <si>
    <t>GUAYACAN 505</t>
  </si>
  <si>
    <t>19/9/2022</t>
  </si>
  <si>
    <t xml:space="preserve">JARDINES DE LA PRADERA </t>
  </si>
  <si>
    <t>CEJA</t>
  </si>
  <si>
    <t>CRA. 61D- 42 -158 QUINTAS DEL CARRETERO</t>
  </si>
  <si>
    <t>21/9/2022</t>
  </si>
  <si>
    <t> AL PARQUE APTO 965</t>
  </si>
  <si>
    <t>MARINILLA</t>
  </si>
  <si>
    <t>NATIVA 909</t>
  </si>
  <si>
    <t>CANTO 502</t>
  </si>
  <si>
    <t>60A-51 SENDEROS DE SAN SEBASTIAN</t>
  </si>
  <si>
    <t>HORIZONTES</t>
  </si>
  <si>
    <t>S</t>
  </si>
  <si>
    <t>NATIVA 310</t>
  </si>
  <si>
    <t>23/9/2022</t>
  </si>
  <si>
    <t>CANTO DEL VALLES CASA 27</t>
  </si>
  <si>
    <t xml:space="preserve"> NATIVA  1510</t>
  </si>
  <si>
    <t xml:space="preserve"> CANTO DEL VALLES CASA 27</t>
  </si>
  <si>
    <t>MATEO ISAZA</t>
  </si>
  <si>
    <t>GUAYACAN 506</t>
  </si>
  <si>
    <t>TERRA VERDE 304</t>
  </si>
  <si>
    <t>GUAYACAN 1005</t>
  </si>
  <si>
    <t>17/9/2022</t>
  </si>
  <si>
    <t>ARANDANOS 304</t>
  </si>
  <si>
    <t>NATIVA 1306</t>
  </si>
  <si>
    <t>DANZA DEL CAMPO 116</t>
  </si>
  <si>
    <t>RETIRO</t>
  </si>
  <si>
    <t>VILLA DE BARILOCHE CASA 2</t>
  </si>
  <si>
    <t xml:space="preserve">RETIRO </t>
  </si>
  <si>
    <t>LA RIVIERE CASA 5</t>
  </si>
  <si>
    <t>FONT LIVING 1801</t>
  </si>
  <si>
    <t>DIAGONAL 55A#18-65 EL CANEY CASA 1865</t>
  </si>
  <si>
    <t>CANEY</t>
  </si>
  <si>
    <t>CRA 64#40-75 EL PORVENIR APTO 201</t>
  </si>
  <si>
    <t>CRA 64 #40-75 EL PORVENIR APTO 301</t>
  </si>
  <si>
    <t>24/9/2022</t>
  </si>
  <si>
    <t>CALLE 37 #53-241 SENDAI</t>
  </si>
  <si>
    <t>SOMER</t>
  </si>
  <si>
    <t>DIAGONAL 55A#18-65 EL CANEY CASA 1847</t>
  </si>
  <si>
    <t>OCTUBRE</t>
  </si>
  <si>
    <t xml:space="preserve">LOTUS </t>
  </si>
  <si>
    <t>18/10/2022</t>
  </si>
  <si>
    <t>GUAYACAN APTO 503</t>
  </si>
  <si>
    <t>BARRO BLANCO</t>
  </si>
  <si>
    <t xml:space="preserve"> CASA 5 PIETRA SANTA CASA 5</t>
  </si>
  <si>
    <t>PIETRA SANTA</t>
  </si>
  <si>
    <t>19/10/2022</t>
  </si>
  <si>
    <t>PORTÓN DE ORIENTE CASA 2</t>
  </si>
  <si>
    <t>PORTÓN DE ORIENTE CASA 9</t>
  </si>
  <si>
    <t>19/10-2022</t>
  </si>
  <si>
    <t>PARCELACIÓN EL TABLAZO</t>
  </si>
  <si>
    <t>EL TABLAZO</t>
  </si>
  <si>
    <t>FINCA</t>
  </si>
  <si>
    <t>PARCELACIÓN EN PONTEZUELA FINCA MOCARI</t>
  </si>
  <si>
    <t>PONTEZUELA</t>
  </si>
  <si>
    <t>21/10/2022</t>
  </si>
  <si>
    <t>KM 3 PARCELACIÓN PRADO VERDE CASA 17</t>
  </si>
  <si>
    <t>LLANOGRANDE</t>
  </si>
  <si>
    <t>STIVEN</t>
  </si>
  <si>
    <t>24/10/2022</t>
  </si>
  <si>
    <t>PROVINCIA 1306</t>
  </si>
  <si>
    <t>25/10/2022</t>
  </si>
  <si>
    <t>TORRES DEL CAMPO APTO 403</t>
  </si>
  <si>
    <t>CAMPUES RESERVADO 506</t>
  </si>
  <si>
    <t>ARANDANOS 108</t>
  </si>
  <si>
    <t>27/9/2022</t>
  </si>
  <si>
    <t>ARANDANOS 905</t>
  </si>
  <si>
    <t xml:space="preserve">SAN CAYETANO 1104 </t>
  </si>
  <si>
    <t>SAN CAYETANO 905</t>
  </si>
  <si>
    <t>CONDOMINIO EL CAMPO CASA 4</t>
  </si>
  <si>
    <t>LA FE</t>
  </si>
  <si>
    <t>28/9/2022</t>
  </si>
  <si>
    <t>CANTO 9803</t>
  </si>
  <si>
    <t>CANTO 801</t>
  </si>
  <si>
    <t>29/9/2022</t>
  </si>
  <si>
    <t>AVIVA 747</t>
  </si>
  <si>
    <t>LOMA DE LOS BERNAL</t>
  </si>
  <si>
    <t>30/9/2022</t>
  </si>
  <si>
    <t>TORRE SAN JUAN 505</t>
  </si>
  <si>
    <t>CANTO 904</t>
  </si>
  <si>
    <t>AL PARQUE 680</t>
  </si>
  <si>
    <t>AL PARQUE 882</t>
  </si>
  <si>
    <t>ARANDANOS 107</t>
  </si>
  <si>
    <t>SAN CAYETANO 204</t>
  </si>
  <si>
    <t>NATIVA 703</t>
  </si>
  <si>
    <t>15/10/2022</t>
  </si>
  <si>
    <t>KM 5 VIA RIONEGRO PARCELACIÓN LA PROVINCIA CASA 19</t>
  </si>
  <si>
    <t>LA CEJA</t>
  </si>
  <si>
    <t>PARCELACION LA PRADERA-LUEGO DE RECINTO QUIRAMA LA PRADERA CASA 63</t>
  </si>
  <si>
    <t>CANTO 204</t>
  </si>
  <si>
    <t>TERRA GRANDE CASA 48</t>
  </si>
  <si>
    <t> GUADUAL APTO 807</t>
  </si>
  <si>
    <t>SAN CAYETANTO 204</t>
  </si>
  <si>
    <t>REFUGIO DEL TABLAZO REFUGIO DEL RETIRO</t>
  </si>
  <si>
    <t>TABLAZO</t>
  </si>
  <si>
    <t>VEREDA LOS PINOS</t>
  </si>
  <si>
    <t>AUTOPISTA MED BOG</t>
  </si>
  <si>
    <t xml:space="preserve"> 2.500.000.000</t>
  </si>
  <si>
    <t xml:space="preserve"> 2.000.000.000_x000D_</t>
  </si>
  <si>
    <t>NOVIEMBRE</t>
  </si>
  <si>
    <t>26/10/2022</t>
  </si>
  <si>
    <t> BALCONES DE LA CATÓLICA APTO 301</t>
  </si>
  <si>
    <t>LA CATOLICA</t>
  </si>
  <si>
    <t>CAMPUS RESERVADO APTO 305</t>
  </si>
  <si>
    <t> PRADO VERDE CASA 27</t>
  </si>
  <si>
    <t>PROVINCIA 1404</t>
  </si>
  <si>
    <t>ALTOS DE LA PEREIRA</t>
  </si>
  <si>
    <t> TORRES DEL CAMPO APTO 801</t>
  </si>
  <si>
    <t>TORRES DEL CAMPO APTO 306</t>
  </si>
  <si>
    <t> RIOGRANDE APTO 312</t>
  </si>
  <si>
    <t>16/11/2022</t>
  </si>
  <si>
    <t>PIETRA SANTRA 101</t>
  </si>
  <si>
    <t>18/11/2022</t>
  </si>
  <si>
    <t>PROVINCIA APARTAMENTOS 1001</t>
  </si>
  <si>
    <t>PIETRA SANTA APARTAMENTOS 207</t>
  </si>
  <si>
    <t>VILLA DEL ROSAL</t>
  </si>
  <si>
    <t>21/11/2022</t>
  </si>
  <si>
    <t>ALCAZERES 111</t>
  </si>
  <si>
    <t>CARRERA 56 A# 09 - 13 PIETRA SANTRA</t>
  </si>
  <si>
    <t>22/112022</t>
  </si>
  <si>
    <t xml:space="preserve"> RESERVA VERDI_x000D_ CASA 12</t>
  </si>
  <si>
    <t>CARRERA 55 E # 09 - 85 PIETRA SANTRA</t>
  </si>
  <si>
    <t>27/10/2022</t>
  </si>
  <si>
    <t>RIOVIVO 711</t>
  </si>
  <si>
    <t xml:space="preserve"> TORREON LOS LAURELES APTO 1001</t>
  </si>
  <si>
    <t>FOREST APTO 606</t>
  </si>
  <si>
    <t>CANTO 1005</t>
  </si>
  <si>
    <t>NATIVA 809</t>
  </si>
  <si>
    <t xml:space="preserve">CIMARRONAS </t>
  </si>
  <si>
    <t>NATIVA 1409</t>
  </si>
  <si>
    <t>NATIVA 405</t>
  </si>
  <si>
    <t>SENDAI 104</t>
  </si>
  <si>
    <t>SIERRA GRANDE 2 APTO 331</t>
  </si>
  <si>
    <t>AL PARQUE 378</t>
  </si>
  <si>
    <t>LA ESPERANZA</t>
  </si>
  <si>
    <t>BADEN BADEN CASA 25</t>
  </si>
  <si>
    <t>PLANTÉ CASA 19</t>
  </si>
  <si>
    <t>VILLA CAMILA APTO 101</t>
  </si>
  <si>
    <t>VILLA CAMILA</t>
  </si>
  <si>
    <t>SERRANIAS CASA 08</t>
  </si>
  <si>
    <t>PORTON DE ORIENTE CASA 10</t>
  </si>
  <si>
    <t>PORTON DE ORIENTE CASA 05</t>
  </si>
  <si>
    <t>15/11/2022</t>
  </si>
  <si>
    <t>CENTRO COMERCIAL CORDOBA BLOQUE 2, LOCAL 103 C.C CORDOBA</t>
  </si>
  <si>
    <t>PARQUE</t>
  </si>
  <si>
    <t>DIAGONAL 55A#18-65 EL CANEY</t>
  </si>
  <si>
    <t>CANTO 403</t>
  </si>
  <si>
    <t>PUNTA DEL ESTE CASA 16</t>
  </si>
  <si>
    <t>23/11/2022</t>
  </si>
  <si>
    <t>NATIVA 803</t>
  </si>
  <si>
    <t>TORREON DE LOS LAURELES 402</t>
  </si>
  <si>
    <t>ARANDANOS APTO 2008</t>
  </si>
  <si>
    <t>24/11/2022</t>
  </si>
  <si>
    <t>TRES CANTOS CASA 158</t>
  </si>
  <si>
    <t>SEDE BELLO -NOVIEMBRE 2021</t>
  </si>
  <si>
    <t>ASESOR  ARTURO RUIZ</t>
  </si>
  <si>
    <t>POR CONSIGNACION</t>
  </si>
  <si>
    <t>CONSIGNACIONES</t>
  </si>
  <si>
    <t>CONTRATO</t>
  </si>
  <si>
    <t>% PROPIETARIO</t>
  </si>
  <si>
    <t>INMUEBLE</t>
  </si>
  <si>
    <t>CANON</t>
  </si>
  <si>
    <t>%</t>
  </si>
  <si>
    <t xml:space="preserve">comision </t>
  </si>
  <si>
    <t>ASESOR 2</t>
  </si>
  <si>
    <t>EJECUTIVA</t>
  </si>
  <si>
    <t>OBSERVACIONES</t>
  </si>
  <si>
    <t xml:space="preserve"> CANON</t>
  </si>
  <si>
    <t>COMISION</t>
  </si>
  <si>
    <t>20+3</t>
  </si>
  <si>
    <t>CAMINO DEL VIENTO 2307 - 1.300.000</t>
  </si>
  <si>
    <t>LUISA</t>
  </si>
  <si>
    <t xml:space="preserve">ENSENADA 1026 $1250.000 </t>
  </si>
  <si>
    <t>CEIBA DEL NORTE 1701 - 1.100.000</t>
  </si>
  <si>
    <t>SEBAS E.</t>
  </si>
  <si>
    <t>CEIBA DEL NORTE 826  - 1.150.000</t>
  </si>
  <si>
    <t xml:space="preserve">FLOR DE AGUA 2629 -  $ 1250000  </t>
  </si>
  <si>
    <t>MATEO</t>
  </si>
  <si>
    <t>PUERTO NUEVO 2008 -  $1.200.000</t>
  </si>
  <si>
    <t>PUERTO AZUL 2108 - 1.700.000</t>
  </si>
  <si>
    <t>MEDITERRANEA 1821 $1.250.000</t>
  </si>
  <si>
    <t>APROBADO/ PENDIENTE</t>
  </si>
  <si>
    <t>MARECHIANO $$1.350.000</t>
  </si>
  <si>
    <t>DEISSTE SE UBICO DIRECTO</t>
  </si>
  <si>
    <t xml:space="preserve">TOTAL ARRENDADO </t>
  </si>
  <si>
    <t xml:space="preserve">      TOTAL ---------------------------------&gt;</t>
  </si>
  <si>
    <t>VALOR A PAGAR TOTAL COMISIONES----------------------</t>
  </si>
  <si>
    <t xml:space="preserve">ASESOR ALEXIS ALVAREZ </t>
  </si>
  <si>
    <t>%PROPIETARIO</t>
  </si>
  <si>
    <t>21+3</t>
  </si>
  <si>
    <t xml:space="preserve">TIERRA LINDA CAMPESTRE 1906 </t>
  </si>
  <si>
    <t>JUAN S.</t>
  </si>
  <si>
    <t>PUERTO NUEVO 813  $ 1.200.000</t>
  </si>
  <si>
    <t>PUERTO VENTURA 1502 $ 1.200.000</t>
  </si>
  <si>
    <t>ALEXIS</t>
  </si>
  <si>
    <t xml:space="preserve">PUERTO PARAISO 1509  $1.100.000 </t>
  </si>
  <si>
    <t>NORDICA 1412 - 1850.000</t>
  </si>
  <si>
    <t>TIERRA LINDA 2106 - $770.000</t>
  </si>
  <si>
    <t>CEIBA DEL NORTE 327 - 1.250.000</t>
  </si>
  <si>
    <t xml:space="preserve">CEIBA DEL NORTE 2104 - 1.100.000 </t>
  </si>
  <si>
    <t>PUERTO PARAISO 2014 - 1.100.000</t>
  </si>
  <si>
    <t>ALTOBELO 816 - $ 1.000.000</t>
  </si>
  <si>
    <t xml:space="preserve">DESISTE </t>
  </si>
  <si>
    <t>NO VOLVIO A CONTESTAR</t>
  </si>
  <si>
    <t>APLAZADO</t>
  </si>
  <si>
    <t xml:space="preserve">MARECHIANO 501 $ 1.350.000 </t>
  </si>
  <si>
    <t>DESISTE</t>
  </si>
  <si>
    <t xml:space="preserve">PUERTO VENTURA 1104 - 1.200.000 </t>
  </si>
  <si>
    <t>SE VA CON OTRA INMOBILIARIA</t>
  </si>
  <si>
    <t>PUERTO VENTURA $ 1.300.000 - 100001616 -18010967 EN ESTUDIO</t>
  </si>
  <si>
    <t xml:space="preserve">      TOTAL ---------------------------------&gt;		</t>
  </si>
  <si>
    <t xml:space="preserve">ASESOR  MATEO ROMERO </t>
  </si>
  <si>
    <t>MADERA NATURAL 901$ 1.100.000</t>
  </si>
  <si>
    <t>VILLA LILIAM CRA 50 27B-151 AP 401$ 600.000</t>
  </si>
  <si>
    <t xml:space="preserve">MADERA SILVESTRE 607 $ 1.200.000 </t>
  </si>
  <si>
    <t>PUERTO NUEVO 1001 - 1.300.000</t>
  </si>
  <si>
    <t>CALLE 51A 54-63 AP 201 SEGUNDO PISO</t>
  </si>
  <si>
    <t>HACIENDA NIQUIA 2308 $ 1.200.000</t>
  </si>
  <si>
    <t xml:space="preserve">CALLE 23A Nº 57A - 30 AP 301 CABAÑAS $ 850.000 </t>
  </si>
  <si>
    <t>MEDITERRANEO 218 -  1.100.000</t>
  </si>
  <si>
    <t>SAN FRANCISCO CASA 075 - $950.000</t>
  </si>
  <si>
    <t>MADERA FINA 2406 - 1.100.000</t>
  </si>
  <si>
    <t>MEDITERRANEA 1329 $ 1.300,000</t>
  </si>
  <si>
    <t>SE QUEDA DONDE ESTA</t>
  </si>
  <si>
    <t>CASA GIRARDOTA  $ 1.000.000</t>
  </si>
  <si>
    <t>NO VUELVE A CONTESTAR</t>
  </si>
  <si>
    <t xml:space="preserve">ASESOR  SEBASTIAN ECHAVARRIA </t>
  </si>
  <si>
    <t xml:space="preserve">CEIBA DEL NORTE 1810 $ 1.350.000  </t>
  </si>
  <si>
    <t>SEBAS E</t>
  </si>
  <si>
    <t>NORDICA 1904 $ 1.050.000</t>
  </si>
  <si>
    <t>PLAZUELA DEL NORTE 9926 900.000</t>
  </si>
  <si>
    <t>JUAN S</t>
  </si>
  <si>
    <t xml:space="preserve"> CEIBA DEL NORTE 2501  $ 1.150.000 </t>
  </si>
  <si>
    <t>NORDICA 1802 - 1.500.000</t>
  </si>
  <si>
    <t>BASIELA 402 - 900.000</t>
  </si>
  <si>
    <t>TIERRA LINDA 908 $ 880.000</t>
  </si>
  <si>
    <t>VENTURA 411 - 1.300.000</t>
  </si>
  <si>
    <t xml:space="preserve">TORRE NAVARRA 205 $ 1.200.000 </t>
  </si>
  <si>
    <t xml:space="preserve">ASESOR  JUAN SEBASTIAN GONZALEZ </t>
  </si>
  <si>
    <t xml:space="preserve">CASA BARRIO NUEVO CALLE 21A # 59-07   </t>
  </si>
  <si>
    <t>ENTREVIENTOS 1102 750.000</t>
  </si>
  <si>
    <t>MONTSERRAT 2203 - 1.000.000</t>
  </si>
  <si>
    <t>LOS ARBOLES 2616 - 1.000.000</t>
  </si>
  <si>
    <t>TRAPICHE CALLE 59AA # 68-07 AP 301  500.000</t>
  </si>
  <si>
    <t>AMAZONIKA 1125- 1.100.000</t>
  </si>
  <si>
    <t>MARLON</t>
  </si>
  <si>
    <t>LOS ARBOLES 1302 - 1.300.000</t>
  </si>
  <si>
    <t>EN FIRMAS</t>
  </si>
  <si>
    <t>ENTREVIENTOS 312 - 880.000</t>
  </si>
  <si>
    <t>TOTAL FIRMADO</t>
  </si>
  <si>
    <t>TOTAL APROBADO EN FIRMAS</t>
  </si>
  <si>
    <t>TOTAL EN ESTUDIO</t>
  </si>
  <si>
    <t xml:space="preserve">APROBADO BUSCANDO APTO </t>
  </si>
  <si>
    <t>DESISTIDOS</t>
  </si>
  <si>
    <t xml:space="preserve">NEGADOS </t>
  </si>
  <si>
    <t xml:space="preserve">TOTAL </t>
  </si>
  <si>
    <t>SEDE BELLO -DICIEMBRE 2021</t>
  </si>
  <si>
    <t>MEDITERRANEA 1025 - $1.300.000</t>
  </si>
  <si>
    <t xml:space="preserve">VICTOR </t>
  </si>
  <si>
    <t>LOS COLORES ETAPA 2 APT 501</t>
  </si>
  <si>
    <t>AV 37 # 45 54 -  750.000 CASA LAS VEGAS</t>
  </si>
  <si>
    <t xml:space="preserve">PUERTO PARAISO 909 $1.100.000 </t>
  </si>
  <si>
    <t>FLORIDA DE NORTEAMERICA 1449 $1.550.000</t>
  </si>
  <si>
    <t>CALLE 52A # 54-63 2do PISO BARRIO PEREZ - 750.000</t>
  </si>
  <si>
    <t>PUERTO VENTURA 907 - 1.400.000</t>
  </si>
  <si>
    <t>PUERTO AZUL 1808 $1.600.000</t>
  </si>
  <si>
    <t>BOSQUE ALTO 1405 - 1.400.000</t>
  </si>
  <si>
    <t>PUERTO PARAISO 2114 - 1.200.000</t>
  </si>
  <si>
    <t>PUERTO AZUL 1907 - 1.800.000</t>
  </si>
  <si>
    <t>PUERTO PARAISO 2024 - 1.200.000</t>
  </si>
  <si>
    <t>ENSENADA 1216 - 1.200.000 - Se ubico en otro apto</t>
  </si>
  <si>
    <t>PUERTO PARAISO 511 - 1.050.000</t>
  </si>
  <si>
    <t>PUERTO PARAISO 1614 - 1.200.000</t>
  </si>
  <si>
    <t>DG 43 34 33 INT 201 FONTIDUEÑO - 750.000</t>
  </si>
  <si>
    <t>PUERTO VENTURA 702  - 1.300.000</t>
  </si>
  <si>
    <t xml:space="preserve">PUERTO PARAISO 909 $1.150.000 </t>
  </si>
  <si>
    <t>PUERTO PARAISO 714 $1.150.000</t>
  </si>
  <si>
    <t>PUERTO PARAISO 415 - 1.150.000</t>
  </si>
  <si>
    <t>PUERTO PARAISO 1915 - 1.200.000</t>
  </si>
  <si>
    <t>DG 43 34 33 INT 301 FONTIDUEÑO - 750.000</t>
  </si>
  <si>
    <t>DIAGONAL 43 # 34-29 PISO 1 $850.000</t>
  </si>
  <si>
    <t>PUERTO PARAISO 1512- 1.300.000</t>
  </si>
  <si>
    <t>PUERTO PARAISO 113 $ 900.000</t>
  </si>
  <si>
    <t>CEIBA DEL NORTE 522 - 1.150.000</t>
  </si>
  <si>
    <t>NEGADOS</t>
  </si>
  <si>
    <t>CEIBA DEL NORTE 1512 $1.150.000</t>
  </si>
  <si>
    <t>7yyy</t>
  </si>
  <si>
    <t>MADERA SILVESTRE 2710 - 1.300.000</t>
  </si>
  <si>
    <t>MADERA SILVESTRE 306 - 970.000</t>
  </si>
  <si>
    <t>JUANSE</t>
  </si>
  <si>
    <t>PUERTA MADERA 1040 $1.100.000</t>
  </si>
  <si>
    <t>PUERTO PARAISO 309 $1.100.000</t>
  </si>
  <si>
    <t>MONTSERRAT 2010 - $800.000</t>
  </si>
  <si>
    <t>POR ASEGURADORA</t>
  </si>
  <si>
    <t>OPORTO CAMPESTRE 1003 $1.300.000</t>
  </si>
  <si>
    <t>DESISTE BUSCA EN RIONEGRO</t>
  </si>
  <si>
    <t>CEIBA DEL NORTE 1428 - 1.200.000</t>
  </si>
  <si>
    <t>SEBASTIAN</t>
  </si>
  <si>
    <t xml:space="preserve">MOLINOS DE PRADO 206 </t>
  </si>
  <si>
    <t xml:space="preserve">LOS ARBOLES 1414 $ 1.000.000 </t>
  </si>
  <si>
    <t>CEIBA DEL NORTE 1004 -1.000.000</t>
  </si>
  <si>
    <t>CEIBA DEL NORTE 1512 $1.200.000</t>
  </si>
  <si>
    <t>NORDICA 611 $1.450.000</t>
  </si>
  <si>
    <t>NORDICA 2517 $1.700.000</t>
  </si>
  <si>
    <t>NORDICA 514 - 1.000.000</t>
  </si>
  <si>
    <t>CEIBA DEL NORTE 2529 - 1.700.000</t>
  </si>
  <si>
    <t>OPORTO CAMPESTRE 1003 - 1.300.000</t>
  </si>
  <si>
    <t>LOS ARBOLES 905- 1.100.000</t>
  </si>
  <si>
    <t>PEND APTO</t>
  </si>
  <si>
    <t xml:space="preserve">MEDITERRANEA 1329 $ 1.300.000 </t>
  </si>
  <si>
    <t>CALLE 42B # 58-23 301 - 750.000</t>
  </si>
  <si>
    <t>CLIENTE DESISTE , SE TRALSADA DE TRABAJO</t>
  </si>
  <si>
    <t>TERCER PISO ALCALA  - 750.000</t>
  </si>
  <si>
    <t>MONTSERRAT 2010 $800.000</t>
  </si>
  <si>
    <t>CURAZAO 2011 $750.000</t>
  </si>
  <si>
    <t>PARQUE ALTO 907 $950.000</t>
  </si>
  <si>
    <t>ARBOLES 2309 - 1.100.000</t>
  </si>
  <si>
    <t>ENTREVIENTOS 312 $840.000</t>
  </si>
  <si>
    <t>VINILO 2203 - 800.000</t>
  </si>
  <si>
    <t xml:space="preserve"> </t>
  </si>
  <si>
    <t>RIONEGRO 2022</t>
  </si>
  <si>
    <t xml:space="preserve"> OCTUBRE 2022</t>
  </si>
  <si>
    <t>FACTURADO</t>
  </si>
  <si>
    <t>ADMON</t>
  </si>
  <si>
    <t>CARRERA 64 N° 40 75 - APTO 201 1.200.000</t>
  </si>
  <si>
    <t>OK</t>
  </si>
  <si>
    <t>N/A</t>
  </si>
  <si>
    <t>NATIVA 1306 1.200.000</t>
  </si>
  <si>
    <t xml:space="preserve">CARRERA 64 N° 40 75 - APTO 301 1.300.000 </t>
  </si>
  <si>
    <t xml:space="preserve">	AVIVA 747 2.050.000</t>
  </si>
  <si>
    <t>CALLE 40 C N° 62 -37 APTO - 301 1.330.000</t>
  </si>
  <si>
    <t>BRAYAN</t>
  </si>
  <si>
    <t>JARDINES DE LA PRADERA 08-44 2.800.000</t>
  </si>
  <si>
    <t>MIGUEL</t>
  </si>
  <si>
    <t>DIAGONAL 55A N° 18 47  CANEY 2.600.000</t>
  </si>
  <si>
    <t>AL PARQUE 965 1.200.000</t>
  </si>
  <si>
    <t>PROP</t>
  </si>
  <si>
    <t>GUAYACAN 505 1.550.000</t>
  </si>
  <si>
    <t>CANTO 204 1.800.000</t>
  </si>
  <si>
    <t>PORVENIR 3 PISO 1.330.000 NEGADOS</t>
  </si>
  <si>
    <t>TOTAL</t>
  </si>
  <si>
    <t>TOTAL A PAGAR</t>
  </si>
  <si>
    <t>CATHERINE</t>
  </si>
  <si>
    <t>LOTUS CASA B-7 4.000.000</t>
  </si>
  <si>
    <t xml:space="preserve"> NOVIEMBRE 2022</t>
  </si>
  <si>
    <t>22+4</t>
  </si>
  <si>
    <t>TERRAGRANDE CASA 74 5.200.000</t>
  </si>
  <si>
    <t>TORREON DE LAURELES 1001 1300000</t>
  </si>
  <si>
    <t>PORTON DE ORIENTE CASA 5 3.500.000</t>
  </si>
  <si>
    <t>SERRANIA CASA 1.800.000</t>
  </si>
  <si>
    <t>RIOVIVO 711 1.300.0000</t>
  </si>
  <si>
    <t>NATIVA 1409 1.150.000</t>
  </si>
  <si>
    <t>TORRES DEL CAMPO 801 1.400.000</t>
  </si>
  <si>
    <t>CLIENTE DESISTE MAS ECONOMICO</t>
  </si>
  <si>
    <t>PIETRASANTRA CAMPESTRE CASA 5 4.500.000</t>
  </si>
  <si>
    <t>CLIENTE DESISTE</t>
  </si>
  <si>
    <t>14+1</t>
  </si>
  <si>
    <t>PIETRA SANTA 101 2.300.000</t>
  </si>
  <si>
    <t xml:space="preserve"> DICIEMBRE 2022</t>
  </si>
  <si>
    <t>NATIVA 310 1.250.000</t>
  </si>
  <si>
    <t>OCTUBRE 2022</t>
  </si>
  <si>
    <t>DEICY URREA</t>
  </si>
  <si>
    <t xml:space="preserve">CONTRATO </t>
  </si>
  <si>
    <t>UNIDAD</t>
  </si>
  <si>
    <t xml:space="preserve">CANON </t>
  </si>
  <si>
    <t>FACTURACION</t>
  </si>
  <si>
    <t xml:space="preserve">INFORME ASESOR </t>
  </si>
  <si>
    <t>INFORME CATHERINE DIAZ</t>
  </si>
  <si>
    <t>NOVIEMBRE 2022</t>
  </si>
  <si>
    <t>STIVEN MUNOZ</t>
  </si>
  <si>
    <t xml:space="preserve">CLARO </t>
  </si>
  <si>
    <t xml:space="preserve">CATHERINE DIAZ </t>
  </si>
  <si>
    <t xml:space="preserve">TIGO </t>
  </si>
  <si>
    <t>NEGOCIOS</t>
  </si>
  <si>
    <t>OTRO SI</t>
  </si>
  <si>
    <t xml:space="preserve">DURACION </t>
  </si>
  <si>
    <t>CTO FISICO</t>
  </si>
  <si>
    <t>OTRO</t>
  </si>
  <si>
    <t>MOTIVO</t>
  </si>
  <si>
    <t>ENTREGADOS</t>
  </si>
  <si>
    <t>DAHIANA HOYOS</t>
  </si>
  <si>
    <t xml:space="preserve">ENSENADA 1026 $ 1.250.000 UAR 7330937 CLAVE 9479 ENNTREGADO </t>
  </si>
  <si>
    <t xml:space="preserve">HACIENDA NIQUIA 2308  $ 1.200.000 6856259-32255846  ENTREGADO </t>
  </si>
  <si>
    <t>PUERTO NUEVO 813 6876106- 1020450558 $ 1.200.000 ENTREGADO</t>
  </si>
  <si>
    <t xml:space="preserve">CABAÑAS 301 $ 850.000 - 10003430- 1017255406 ENTREGADO </t>
  </si>
  <si>
    <t xml:space="preserve">MADERA NATURAL 901 $ 1.100.000 - 10004421 - 1152438523 EN FIRMAS </t>
  </si>
  <si>
    <t xml:space="preserve">10001575- 72430625 CEIBA DEL NORTE 1810 $ 1.350.000 ENTREGADO </t>
  </si>
  <si>
    <t xml:space="preserve">6878346 -43611937 MADERA SILVESTRE 607 $ 1.200.000 ENTREGADO </t>
  </si>
  <si>
    <t xml:space="preserve">CEIBA DEL NORTE 2104 $ 1.100.000 10005912- 6755 EN FIRMAS </t>
  </si>
  <si>
    <t xml:space="preserve">CASA BARRIO NUEVO  $ 850.000 APROBADO EN FIRMAS </t>
  </si>
  <si>
    <t xml:space="preserve">TIERRA LINDA 1906 $ 800 .000 100002898- 1037639640 EN FIRMAS </t>
  </si>
  <si>
    <t xml:space="preserve">PUERTO VENTURA 1502 $ 1.200.000 10006013 - 43117781 EN FIRMAS  </t>
  </si>
  <si>
    <t xml:space="preserve">CASA GIRARDOTA 10003998-1.037.596.852 $ 1.000.000 EN FIRMAS </t>
  </si>
  <si>
    <t xml:space="preserve">PUERTO PARAISO 1509 $ 1.100.000 - 10005607 - 5539 EN FIRMAS </t>
  </si>
  <si>
    <t xml:space="preserve">NORDICA 1904 $ 1.050.000 - 10006100- 3885  EN FIRMAS </t>
  </si>
  <si>
    <t xml:space="preserve">LOS ARBOLES 1819 $ 1.100.000 - 10005811- 8373 EN FIRMAS </t>
  </si>
  <si>
    <t>PORTADA INMOBILIARIA SAS</t>
  </si>
  <si>
    <t>REEMBOLSO CAJA MENOR</t>
  </si>
  <si>
    <t> </t>
  </si>
  <si>
    <t>DEPARTAMENTO ENCARGADO</t>
  </si>
  <si>
    <t>SEDE RIONEGRO</t>
  </si>
  <si>
    <t>RESPONSABLE</t>
  </si>
  <si>
    <t>CATHERINE DIAZ</t>
  </si>
  <si>
    <t>FECHA: NOVIEMBRE 2022</t>
  </si>
  <si>
    <t>MONTO CAJA</t>
  </si>
  <si>
    <t>FECHA</t>
  </si>
  <si>
    <t>IDENTIFICACIÓN</t>
  </si>
  <si>
    <t>NOMBRE</t>
  </si>
  <si>
    <t>DETALLE</t>
  </si>
  <si>
    <t>VALOR</t>
  </si>
  <si>
    <t>17/11/2022</t>
  </si>
  <si>
    <t>830.054.539-0</t>
  </si>
  <si>
    <t>PATRIMONIOS AUTONOMOS FIDUCIARIA BANCOLOMBIA S A SOCIEDAD FIDUCIARIA</t>
  </si>
  <si>
    <t>PEAJE COPACABANA</t>
  </si>
  <si>
    <t>28/10/2022</t>
  </si>
  <si>
    <t>830.055.897-7</t>
  </si>
  <si>
    <t>PATRIMONIOS AUTONOMOS FIDUCIARIA BOGOTA S.A</t>
  </si>
  <si>
    <t>PEAJE SAJONIA</t>
  </si>
  <si>
    <t>1.036.927.153-1</t>
  </si>
  <si>
    <t xml:space="preserve"> MABEL SOFIA MARTINEZ YEPES</t>
  </si>
  <si>
    <t>ASEO</t>
  </si>
  <si>
    <t>900.256.240</t>
  </si>
  <si>
    <t>INVERSIONES DE ORIENTE INVERTIR S.A.S</t>
  </si>
  <si>
    <t>GASOLINA CATHERINE</t>
  </si>
  <si>
    <t>GASOLINA BRAYAN</t>
  </si>
  <si>
    <t>901.107.860</t>
  </si>
  <si>
    <t>JUMAVAMA SAS</t>
  </si>
  <si>
    <t>811.046.191</t>
  </si>
  <si>
    <t xml:space="preserve">
ULTRAGAS S.A.S.</t>
  </si>
  <si>
    <t xml:space="preserve">811009788-8 </t>
  </si>
  <si>
    <t xml:space="preserve"> DISTRACOM S.A</t>
  </si>
  <si>
    <t>15/11/202</t>
  </si>
  <si>
    <t>900.587.384</t>
  </si>
  <si>
    <t>CRUCERO DEL OESTE ASOCIADOS S.A.S</t>
  </si>
  <si>
    <t>900.913.832</t>
  </si>
  <si>
    <t xml:space="preserve">
GALLO MARTINEZ S.A.S</t>
  </si>
  <si>
    <t>901.354.533</t>
  </si>
  <si>
    <t>LAUDAN OPERADORES S.A.S</t>
  </si>
  <si>
    <t>1.040.034.416</t>
  </si>
  <si>
    <t>SALAZAR DAZA PAOLA ANDREA</t>
  </si>
  <si>
    <t>ALMUERZO</t>
  </si>
  <si>
    <t>MONSALVE GONZALEZ WILSON ALEXANDER</t>
  </si>
  <si>
    <t>COPIA LLAVES</t>
  </si>
  <si>
    <t>71.646.755</t>
  </si>
  <si>
    <t>ARCILA ALVAREZ CARLOS MARIO</t>
  </si>
  <si>
    <t>4/11//2022</t>
  </si>
  <si>
    <t>22/11/2022</t>
  </si>
  <si>
    <t>INVERSIONES FLORENCIA S.A.</t>
  </si>
  <si>
    <t>TOTAL REINTEGRO</t>
  </si>
  <si>
    <t>SALDO</t>
  </si>
  <si>
    <t>FIRMA RESPONSABLE</t>
  </si>
  <si>
    <t>REVISADO POR</t>
  </si>
  <si>
    <t>SEDE BELLO - ENERO 2021</t>
  </si>
  <si>
    <t>ARRIENDOS ARTURO RUIZ</t>
  </si>
  <si>
    <t>11+4</t>
  </si>
  <si>
    <t>FLOR DE AGUA 1727</t>
  </si>
  <si>
    <t xml:space="preserve">PORTALES DE ALCALA 805 </t>
  </si>
  <si>
    <t>ARRIENDOS JENNIFER TORRES</t>
  </si>
  <si>
    <t>PUERTO VENTURA 2310</t>
  </si>
  <si>
    <t>JENNIFER TORRES</t>
  </si>
  <si>
    <t xml:space="preserve">DESITIDO </t>
  </si>
  <si>
    <t>7+4</t>
  </si>
  <si>
    <t xml:space="preserve">ENTREGADO </t>
  </si>
  <si>
    <t>AGUA CLARA 1525 $ 750.000</t>
  </si>
  <si>
    <t xml:space="preserve">FLOR DE AGUA 2430 $ 1.300 -EN FIRMAS </t>
  </si>
  <si>
    <t xml:space="preserve">JENIFER TORRES </t>
  </si>
  <si>
    <t>ARRIENDOS SEBASTIAN BUITRAGO</t>
  </si>
  <si>
    <t>3+9</t>
  </si>
  <si>
    <t>EJECUTIVO</t>
  </si>
  <si>
    <t>ED MANANTIALES APTO 501- 850.000</t>
  </si>
  <si>
    <t xml:space="preserve">LUIS CORREA </t>
  </si>
  <si>
    <t>BOAVISTA APTO 1601-1000.000</t>
  </si>
  <si>
    <t xml:space="preserve">  TOTAL ---------------------------------&gt;		</t>
  </si>
  <si>
    <t xml:space="preserve">INFORME BELLO ENERO 2021  -CAMILO ALVAREZ						
						</t>
  </si>
  <si>
    <t>OBSERVACION POR QUE CAMBIA EL %</t>
  </si>
  <si>
    <t xml:space="preserve">FACTURADO </t>
  </si>
  <si>
    <t xml:space="preserve">ASESOR </t>
  </si>
  <si>
    <t>PUERTO VENTURA 2310-1150000</t>
  </si>
  <si>
    <t xml:space="preserve">DESISTIDO </t>
  </si>
  <si>
    <t>JENIFER</t>
  </si>
  <si>
    <t>FLOR DE AGUA 1625-1050.000</t>
  </si>
  <si>
    <t>ENTREGADO</t>
  </si>
  <si>
    <t>VANESSA</t>
  </si>
  <si>
    <t>FLOR DE AGUA 1727- 1250000</t>
  </si>
  <si>
    <t xml:space="preserve">EL LIBERTADOR -ENTREGADO </t>
  </si>
  <si>
    <t>FLOR DE AGUA 2430 $ 1.300.000</t>
  </si>
  <si>
    <t xml:space="preserve">EN FIRMAS  LIBERTADOR  AUTORIZADO POR DIANA ROJAS -ENTREGADO </t>
  </si>
  <si>
    <t xml:space="preserve">JENIFER </t>
  </si>
  <si>
    <t xml:space="preserve">INFORME LEIDY TORRES ENERO 2021 </t>
  </si>
  <si>
    <t>ç</t>
  </si>
  <si>
    <t xml:space="preserve">INFORME DAHIANA HOYOS  ENERO 2021 </t>
  </si>
  <si>
    <t>SIEMBRA 208 $ 650.000</t>
  </si>
  <si>
    <t>NEGADOS 01232</t>
  </si>
  <si>
    <t xml:space="preserve">INFORME GENERAL DAHIANA HOYOS ENERO 2021 </t>
  </si>
  <si>
    <t>SEDE BELLO - FEBRERO  2021</t>
  </si>
  <si>
    <t xml:space="preserve">TOLEDO CAMPESTRE 1505 $ 880.000-APLAZADOS-DESISTIDO </t>
  </si>
  <si>
    <t>OCEANA 734 ENTREGADO</t>
  </si>
  <si>
    <t xml:space="preserve">CAMILO ALVAREZ </t>
  </si>
  <si>
    <t>MEDITERRANEA 1622  -ENTREGADO</t>
  </si>
  <si>
    <t xml:space="preserve">MEDITERRANEA 1821  </t>
  </si>
  <si>
    <t xml:space="preserve">ALTOBELO 105 $ 950000- ENTREGADO </t>
  </si>
  <si>
    <t xml:space="preserve">FLOR DE AGUA APT 1226 - -ENTREGADO </t>
  </si>
  <si>
    <t>SAN JUAN DE LA CABAÑITA 303 -ENTREGADO</t>
  </si>
  <si>
    <t>FLOR DE AGUA 128  ENTREGADO</t>
  </si>
  <si>
    <t xml:space="preserve">      TOTAL ---------------------------------&gt; TOTAL A PAGAR </t>
  </si>
  <si>
    <t>VALOR A PAGAR TOTAL COMISIONES-------------------------------&gt;</t>
  </si>
  <si>
    <t>ASESORA  JENNIFER TORRES</t>
  </si>
  <si>
    <t>16+11</t>
  </si>
  <si>
    <t xml:space="preserve">VILLAS DE CONFENALCO $ 1150000- APROBADO -DESISTIDO </t>
  </si>
  <si>
    <t>FLOR DE AGUA 831</t>
  </si>
  <si>
    <t>FLOR DE AGUA 1132 $ 1.200.000- APROBADO</t>
  </si>
  <si>
    <t xml:space="preserve">APTO PRADO 401 ENTREGADO </t>
  </si>
  <si>
    <t>OCEANA 2133  CDT ENTREGADO</t>
  </si>
  <si>
    <t>TOLEDO CAMPESTRE 1505   ENTREGADO</t>
  </si>
  <si>
    <t xml:space="preserve">SIEMBRA 208 - ENTREGADO </t>
  </si>
  <si>
    <t xml:space="preserve">CARLOS MONSALVE </t>
  </si>
  <si>
    <t xml:space="preserve"> CALLE 25B N° 58DD 81 APT 401 - ENTREGADO </t>
  </si>
  <si>
    <t xml:space="preserve">      TOTAL ---------------------------------&gt;		TOTAL A PAGAR </t>
  </si>
  <si>
    <t>ASESOR SEBASTIAN BUITRAGO</t>
  </si>
  <si>
    <t>9+4</t>
  </si>
  <si>
    <t xml:space="preserve"> FLOR DE AGUA 1626 $ 1.300.000-DESISTIDO </t>
  </si>
  <si>
    <t>MEDITERRANEA 1422 $ 1200000- DESITIDO</t>
  </si>
  <si>
    <t>MEDITERRANEA 1424  ENTREGADO</t>
  </si>
  <si>
    <t>FLOR DE AGUA 831ENTREGADO</t>
  </si>
  <si>
    <t xml:space="preserve">CIUDAD CENTRAL 1122  ENTREGADO </t>
  </si>
  <si>
    <t xml:space="preserve">DALLAS 602 ENTREGADO </t>
  </si>
  <si>
    <t xml:space="preserve">MEDITERRANEA 522  EN ESTUDIO </t>
  </si>
  <si>
    <t xml:space="preserve">ASESOR INTERNO -CAMILO ALVAREZ						
						</t>
  </si>
  <si>
    <t>MEDITERRANEA 1422 $ 1200000</t>
  </si>
  <si>
    <t xml:space="preserve">EN ESTUDIO 7031571 CLAVE 2038- DESISTIERON </t>
  </si>
  <si>
    <t xml:space="preserve">SEBASTIAN </t>
  </si>
  <si>
    <t>MEDITERRANEA 1424 $ 1.200.000</t>
  </si>
  <si>
    <t xml:space="preserve">OCEANA 734 $ 1.500.000 </t>
  </si>
  <si>
    <t xml:space="preserve">TOLEDO CAMPESTRE 1505 $ 880.000 </t>
  </si>
  <si>
    <t xml:space="preserve">OCEANA 2133 $ 1.750.000 CDT </t>
  </si>
  <si>
    <t>FLOR DE AGUA 831 $ 1200000</t>
  </si>
  <si>
    <t xml:space="preserve">SEBASTAN </t>
  </si>
  <si>
    <t xml:space="preserve">NOTA : Esta informacion ya se le paso a adriana para registrar en el informe de camilo en laureles </t>
  </si>
  <si>
    <t xml:space="preserve">INFORME DAHIANA HOYOS  COMO INTERNA  FEBRERO  2021 </t>
  </si>
  <si>
    <t xml:space="preserve">EN ESTUDIO POR PORTADA  B 01265 DH-DESISTIDO </t>
  </si>
  <si>
    <t>FLOR DE AGUA 1132 $ 1.350.000</t>
  </si>
  <si>
    <t xml:space="preserve">DESISTIO </t>
  </si>
  <si>
    <t xml:space="preserve">CIUDAD CENTRAL 1122 $ 1.200.000 </t>
  </si>
  <si>
    <t>ALTOBELO 105 $ 950000</t>
  </si>
  <si>
    <t xml:space="preserve">FLOR DE AGUA 128 $ 1.200.000 </t>
  </si>
  <si>
    <t xml:space="preserve">EN FIRMAS </t>
  </si>
  <si>
    <t>TOTAL ARRENDADO -----------------------------------------------------------------------&gt;</t>
  </si>
  <si>
    <t xml:space="preserve">INFORME JOAN   FEBRERO  2021 </t>
  </si>
  <si>
    <t>FLOR DE AGUA 1626 $ 1300000</t>
  </si>
  <si>
    <t xml:space="preserve">DESISTIDO -CONSIGUIO DIRECTO </t>
  </si>
  <si>
    <t>VILLAS DE CONFENALCO $ 1150000</t>
  </si>
  <si>
    <t>DESITIDO - CONSIGUIO DIRECTO Y MAS ECONOMICO</t>
  </si>
  <si>
    <t>ORION 504</t>
  </si>
  <si>
    <t>KIWI 1203</t>
  </si>
  <si>
    <t>FUENTE CLARA 105</t>
  </si>
  <si>
    <t xml:space="preserve">APTO 401 PRADO </t>
  </si>
  <si>
    <t>MEDITERRANEA 1622 $ 1.100.000</t>
  </si>
  <si>
    <t>SIEMBRA 208 $ 600.000</t>
  </si>
  <si>
    <t xml:space="preserve">JENNIFER TORRES </t>
  </si>
  <si>
    <t xml:space="preserve">DALLAS 602 $ 1.100.000 </t>
  </si>
  <si>
    <t xml:space="preserve">FLOR DE AGUA APT 1226 </t>
  </si>
  <si>
    <t>SAN JUAN DE LA CABAÑITA 303 $ 1150000</t>
  </si>
  <si>
    <t xml:space="preserve">CALLE 25B N° 58DD 81 APT 401  </t>
  </si>
  <si>
    <t xml:space="preserve">CONSOLIDADO INFORME GENERAL SEDE BELLO- DAHIANA HOYOS FEBRERO  2021 </t>
  </si>
  <si>
    <t>ASESOR</t>
  </si>
  <si>
    <t xml:space="preserve">SEBATIAN </t>
  </si>
  <si>
    <t>ALTOBELO 105</t>
  </si>
  <si>
    <t>CIUDAD CENTRAL 1122 $ 1.200.000</t>
  </si>
  <si>
    <t>APTO 401 PRADO</t>
  </si>
  <si>
    <t>ARTURO RUIZ</t>
  </si>
  <si>
    <t>MEDITERRANEA 522 $ 1.200.000</t>
  </si>
  <si>
    <t>CALLE 25B N° 58DD 81 APT 401</t>
  </si>
  <si>
    <t>TOTAL ARRENDADO SEDE BELLO  ---------------------------------------------------------&gt;</t>
  </si>
  <si>
    <t>TOTAL A PAGAR ------------------------------------------------------------------------------&gt;</t>
  </si>
  <si>
    <t>SEDE BELLO - MARZO   2021</t>
  </si>
  <si>
    <t xml:space="preserve">PLAYA RICA $ 700.000-NEGADO </t>
  </si>
  <si>
    <t xml:space="preserve">DAHIANA HOYOS </t>
  </si>
  <si>
    <t xml:space="preserve">CIUDAD CENTRAL 1008 $ 1.150.000 ENTREGADO </t>
  </si>
  <si>
    <t>OCEANA 628 - ENTREGADO</t>
  </si>
  <si>
    <t xml:space="preserve">OCEANA 2627  ENTREGADO </t>
  </si>
  <si>
    <t xml:space="preserve">PUERTO NUEVO 837 ENTREGADO </t>
  </si>
  <si>
    <t xml:space="preserve">OCEANA 836 ENTREGADO </t>
  </si>
  <si>
    <t xml:space="preserve">OCEANA 1028 $ 1.800.000 EN FIRMAS </t>
  </si>
  <si>
    <t xml:space="preserve">      TOTAL A PAGAR ---------------------------------&gt;</t>
  </si>
  <si>
    <t>|</t>
  </si>
  <si>
    <t>20+5</t>
  </si>
  <si>
    <t xml:space="preserve">PUERTO NUEVO 837 $ 1.000.000- DESITIDO </t>
  </si>
  <si>
    <t xml:space="preserve">PUERTO NUEVO 837 </t>
  </si>
  <si>
    <t xml:space="preserve">PEÑA VERDE 429 $ 700.000 ENTREGADO </t>
  </si>
  <si>
    <t xml:space="preserve">AGUA CLARA 1524 $ 950000 ENTREGADO </t>
  </si>
  <si>
    <t xml:space="preserve">MOLINOS DEL SOL 1317 $ 800.000 ENTREGADO </t>
  </si>
  <si>
    <t>ok</t>
  </si>
  <si>
    <t>SEBASTIAN BUITRAGO</t>
  </si>
  <si>
    <t>4+4</t>
  </si>
  <si>
    <t xml:space="preserve">MADERA NATURAL 1902 ENTREGADO </t>
  </si>
  <si>
    <t>AGUA CLARA 1524 $ 950000 ENTREGADO</t>
  </si>
  <si>
    <t xml:space="preserve">OPORTO 3101 $1.350.000- ENTREGADO </t>
  </si>
  <si>
    <t>ALTOBELO 908 $ 960.000 ENTREGADO</t>
  </si>
  <si>
    <t xml:space="preserve">INFORME DAHIANA HOYOS  MARZO INTERNA  2021 </t>
  </si>
  <si>
    <t>PUERTO NUEVO 837 $ 1.000.000</t>
  </si>
  <si>
    <t xml:space="preserve">DESISTIDO - NO TIENEN  A QUIEN MAS PRESENTAR </t>
  </si>
  <si>
    <t>PLAYA RICA $ 700.000</t>
  </si>
  <si>
    <t xml:space="preserve">NEGADO </t>
  </si>
  <si>
    <t xml:space="preserve">PEÑA VERDE 429 $ 700.000 </t>
  </si>
  <si>
    <t xml:space="preserve">MADERA NATURAL 1902 $ 1.000.000 </t>
  </si>
  <si>
    <t>PUERTO NUEVO 837 $ 1.030.000</t>
  </si>
  <si>
    <t>OPORTO 3101 $1.350.000</t>
  </si>
  <si>
    <t>ALTOBELO 908 $ 960.000</t>
  </si>
  <si>
    <t>OCEANA 836 $ 1.250.000</t>
  </si>
  <si>
    <t>OCEANA 1028 $ 1.800.000</t>
  </si>
  <si>
    <t xml:space="preserve">PDTE ENTREGA </t>
  </si>
  <si>
    <t xml:space="preserve">INFORME JOAN   MARZO   2021 </t>
  </si>
  <si>
    <t xml:space="preserve">OCEANA 628 </t>
  </si>
  <si>
    <t>ENTREGADO       LIMITE INDEMNIZACIÓN</t>
  </si>
  <si>
    <t xml:space="preserve">MOLINOS DEL SOL 1317 $ 800.000 </t>
  </si>
  <si>
    <t>CIUDAD CENTRAL 1008 $ 1.150.000</t>
  </si>
  <si>
    <t>AARTURO RUIZ</t>
  </si>
  <si>
    <t xml:space="preserve">CONSOLIDADO INFORME GENERAL SEDE BELLO- DAHIANA HOYOS MARZO   2021 </t>
  </si>
  <si>
    <t>OCEANA 628  $ 1.600.000</t>
  </si>
  <si>
    <t>OCEANA 2627 $ 1500000</t>
  </si>
  <si>
    <t>OPORTO 3101</t>
  </si>
  <si>
    <t xml:space="preserve">ALTOBELO 908 $ 960.000 </t>
  </si>
  <si>
    <t>TOTAL ARRENDADO SEDE BELLO  ------------------------------------&gt;</t>
  </si>
  <si>
    <t>TOTAL A PAGAR ----------------------------------------&gt;</t>
  </si>
  <si>
    <t>SEDE BELLO - ABRIL    2021</t>
  </si>
  <si>
    <t>20+4</t>
  </si>
  <si>
    <t xml:space="preserve">FLOR DE AGUA $ 1.200.000 APROBADO  PDT APTO -DESITIDO CLIENTE NO RESPONDE </t>
  </si>
  <si>
    <t xml:space="preserve">		FRONTERA DE LA PILARICA 401 	</t>
  </si>
  <si>
    <t xml:space="preserve">FLOR DE AGUA $ 1350000 DESISTIDO NO TIENE A QUIEN MAS PRESENTAR </t>
  </si>
  <si>
    <t>APTO BARRIO PEREZ CUARTO PISO $ 750.000</t>
  </si>
  <si>
    <t xml:space="preserve">FLOR DE AGUA 2332  $ 1.200.000 ENTREGADO </t>
  </si>
  <si>
    <t> 11049</t>
  </si>
  <si>
    <t xml:space="preserve">SAN FRANCISCO 3 CASA 175 $ 1.100.000- ENTREGADO </t>
  </si>
  <si>
    <t xml:space="preserve">FLOR DE AGUA 2328 $ 1.200.000 ENTREGADO </t>
  </si>
  <si>
    <t>OCEANA $ 1.600.000 ENTREGADO  APT 2327</t>
  </si>
  <si>
    <t xml:space="preserve">EMPALME CABAÑAS $ 1300000 - APROBADO EN FIRMAS </t>
  </si>
  <si>
    <t xml:space="preserve">AIRES DE NIQUIA 201 $ 600.000 EN FIRMAS </t>
  </si>
  <si>
    <t xml:space="preserve">TORRES DEL BOSQUE 206 $ 950.000  ENTREGADO </t>
  </si>
  <si>
    <t xml:space="preserve">PEÑA VERDE 641 700.000 ESTUDIO - DESITIDO ENCONTRO DIRECTO MAS ECONOMICO </t>
  </si>
  <si>
    <t>10+3</t>
  </si>
  <si>
    <t xml:space="preserve">APARTAESTUDIO PEREZ 301$500.000 ENTREGADO </t>
  </si>
  <si>
    <t xml:space="preserve">APARTAESTUDIO PEREZ 401 $500.000 ENTREGADO </t>
  </si>
  <si>
    <t xml:space="preserve">FLOR DE AGUA 1626 $ 1.300.000 ENTREGADO </t>
  </si>
  <si>
    <t xml:space="preserve">PORTERO ROLDAN </t>
  </si>
  <si>
    <t xml:space="preserve">PEÑA VERDE 636 $ 750000 ENTREGADO </t>
  </si>
  <si>
    <t xml:space="preserve">LOCAL BELLO $ 6500000 ENTREGADO </t>
  </si>
  <si>
    <t>4+1</t>
  </si>
  <si>
    <t xml:space="preserve">APTO BARRIO PEREZ PRIMER  PISO $ 750.000 DESISTIDO </t>
  </si>
  <si>
    <t xml:space="preserve">APTO BARRIO PEREZ CUARTO PISO $ 750.000 ENTREGADO </t>
  </si>
  <si>
    <t xml:space="preserve">INFORME DAHIANA HOYOS  ABRIL   2021 </t>
  </si>
  <si>
    <t>BOAVISTA 710 $ 1150000</t>
  </si>
  <si>
    <t xml:space="preserve">DESISTIO - NO TENIA A QUIEN MAS PRESENTAR COMO DEUDOR </t>
  </si>
  <si>
    <t xml:space="preserve">SAN FRANCISCO 3 CASA 175 $ 1.100.000 </t>
  </si>
  <si>
    <t xml:space="preserve">EMPALME CABAÑAS $ 1300000 </t>
  </si>
  <si>
    <t xml:space="preserve">PDT ENTREGA, PAGO Y  FACTURAR INICIA EL 3 DE MAYO </t>
  </si>
  <si>
    <t xml:space="preserve">AIRES DE NIQUIA 201$ 600.000 </t>
  </si>
  <si>
    <t>PLAZA NAVARRA 328 $ 820.000</t>
  </si>
  <si>
    <t xml:space="preserve">TOTAL A PAGAR </t>
  </si>
  <si>
    <t xml:space="preserve">INFORME JOAN   ABRIL    2021 </t>
  </si>
  <si>
    <t>APTO BARRIO PEREZ PRIMER  PISO $ 800000</t>
  </si>
  <si>
    <t xml:space="preserve">DESISTIDO NEGADOS TODOS </t>
  </si>
  <si>
    <t>FLOR DE AGUA  $ 1.200.000</t>
  </si>
  <si>
    <t xml:space="preserve">APROBADO EN BUSCA DE APTO- DESITIDO </t>
  </si>
  <si>
    <t xml:space="preserve">PEÑA </t>
  </si>
  <si>
    <t>PEÑA VERDE 641 $ 700.000</t>
  </si>
  <si>
    <t xml:space="preserve">EN ESTUDIO- BUSCANDO DEUDOR </t>
  </si>
  <si>
    <t>FLOR DE AGUA $ 1350000 EN ESTUDIO</t>
  </si>
  <si>
    <t xml:space="preserve">DESISTIDO NO TIENE A QUEIN MAS PRESENTAR </t>
  </si>
  <si>
    <t xml:space="preserve">FLOR DE AGUA 2332  $ 1.200.000 </t>
  </si>
  <si>
    <t> 10996</t>
  </si>
  <si>
    <t>APARTAESTUDIO PEREZ 301$500.000</t>
  </si>
  <si>
    <t>JENNIFER</t>
  </si>
  <si>
    <t>APARTAESTUDIO PEREZ 401 $ 500.000</t>
  </si>
  <si>
    <t>APTO BARRIO PEREZ CUARTO   PISO $ 750000</t>
  </si>
  <si>
    <t>FLOR DE AGUA 1626 $ 1.300.000</t>
  </si>
  <si>
    <t>PEÑA VERDE 636 $ 750.000</t>
  </si>
  <si>
    <t>LOCAL BELLO $ 6500000</t>
  </si>
  <si>
    <t>OCEANA $ 1.600.000</t>
  </si>
  <si>
    <t>TORRES DEL BOSQUE 603 $ 950000</t>
  </si>
  <si>
    <t xml:space="preserve">CONSOLIDADO INFORME GENERAL SEDE BELLO- DAHIANA HOYOS ABRIL   2021 </t>
  </si>
  <si>
    <t>APTO BARRIO PEREZ CUARTO PISO $ 750000</t>
  </si>
  <si>
    <t>FACTURAD0</t>
  </si>
  <si>
    <t>SAN FRANCISCO 3 CASA 175 $ 1.100.000-</t>
  </si>
  <si>
    <t>PEÑA VERDE 636 $ 750000</t>
  </si>
  <si>
    <t> 11095</t>
  </si>
  <si>
    <t>OCEANA 2327 $ 1600000</t>
  </si>
  <si>
    <t>TORRES DEL BOSQUE 206  $ 950000</t>
  </si>
  <si>
    <t>EMPALME CABAÑAS $ 1300000 - EN ESTUDIO</t>
  </si>
  <si>
    <t>TO</t>
  </si>
  <si>
    <t>SEDE BELLO - MAYO     2021</t>
  </si>
  <si>
    <t>9+2</t>
  </si>
  <si>
    <t xml:space="preserve">LOS ARBOLES 2622 $1.350.000 -DESISTIDO NEGADOS POR LA ASEGURADORA POR RIESGO MORAL </t>
  </si>
  <si>
    <t xml:space="preserve">MEDITERRANEA 2021 </t>
  </si>
  <si>
    <t xml:space="preserve">BOSQUE ALTO 805 $ 1.250.000 - DESISTIO ENCONTRO DIRECTO </t>
  </si>
  <si>
    <t xml:space="preserve">VILLA SURAMERICANA - 700.000	</t>
  </si>
  <si>
    <t xml:space="preserve">OCEANA 920 $ 1600.000 NEGADO </t>
  </si>
  <si>
    <t xml:space="preserve">MEDITERRANEA 1723 ENTREGADO </t>
  </si>
  <si>
    <t xml:space="preserve">YERMANI CORREA </t>
  </si>
  <si>
    <t xml:space="preserve">LA QUINTA 909 $ 1.100.000 ENTREGADO </t>
  </si>
  <si>
    <t xml:space="preserve">MEDITERRANEA 320 $ 1.200.000 ENTREGADO </t>
  </si>
  <si>
    <t xml:space="preserve">BOSQUE ALTO 805 $ 1300000 - ENTREGADO </t>
  </si>
  <si>
    <t xml:space="preserve">FLOR DE AGUA 2427 $ 1400000 ENTREGADO </t>
  </si>
  <si>
    <t xml:space="preserve">LA QUINTA 1308 $ 1.300.000 ENTREGADO </t>
  </si>
  <si>
    <t>JOAN MEJIA</t>
  </si>
  <si>
    <t>5+2</t>
  </si>
  <si>
    <t xml:space="preserve">PEÑA VERDE 636 $ 850000 DESITIDO  DESISTIDO PARO LA BUSQUEDA POR EL MOMENTO </t>
  </si>
  <si>
    <t xml:space="preserve">MAJAGUA 1713 800.000 ENCONTRO DIRECTO </t>
  </si>
  <si>
    <t xml:space="preserve">LA QUINTA 1506 ENTREGADO </t>
  </si>
  <si>
    <t xml:space="preserve">FLOR DE AGUA 628 ENTREGADO </t>
  </si>
  <si>
    <t xml:space="preserve">FLOR DE AGUA 1732 $ 1.150.000 - ENTREGADO </t>
  </si>
  <si>
    <t xml:space="preserve">MEDITERRANEA 2021  $ 1.100.000 ENTREGADO </t>
  </si>
  <si>
    <t xml:space="preserve">ASESORA  BRAYAN AGUDELO </t>
  </si>
  <si>
    <t xml:space="preserve">PUERTA MADERA 1362 $ 1.100.000 FIRMAS </t>
  </si>
  <si>
    <t xml:space="preserve">NORDICA 2616 $880.000 EN FIRMAS </t>
  </si>
  <si>
    <t xml:space="preserve">JOAN MEJIA </t>
  </si>
  <si>
    <t xml:space="preserve">ASESOR SEBASTIAN BUITRAGO </t>
  </si>
  <si>
    <t>16+8</t>
  </si>
  <si>
    <t>CALAZANZ CAMPESTRE 424</t>
  </si>
  <si>
    <t xml:space="preserve">ARANGO </t>
  </si>
  <si>
    <t xml:space="preserve">MEDITERRANDEA 320 </t>
  </si>
  <si>
    <t xml:space="preserve">NUEVO PORTAL 301 SUBROGACION </t>
  </si>
  <si>
    <t>ARANGO</t>
  </si>
  <si>
    <t xml:space="preserve">BILBAO 302 </t>
  </si>
  <si>
    <t>CALASANZ AZUL 1707</t>
  </si>
  <si>
    <t xml:space="preserve">EL ROSAL 211 </t>
  </si>
  <si>
    <t>CALASANZ AZUL 606</t>
  </si>
  <si>
    <t>MONIMAR 301</t>
  </si>
  <si>
    <t xml:space="preserve">INFORME DAHIANA HOYOS  MAYO    2021 </t>
  </si>
  <si>
    <t>BOSQUE ALTO 805 $ 1.300.000 - EN ESTUDIO</t>
  </si>
  <si>
    <t xml:space="preserve">DESISTIDO ENCONTRO DIRECTO </t>
  </si>
  <si>
    <t>LA QUINTA 1506 $ 1.400.000</t>
  </si>
  <si>
    <t>FLOR DE AGUA 628 $ 1.050.000</t>
  </si>
  <si>
    <t xml:space="preserve">MEDITERRANEA 1723 </t>
  </si>
  <si>
    <t>LA QUINTA 909 $ 1.100.000</t>
  </si>
  <si>
    <t xml:space="preserve">BOSQUE ALTO 805 $ 1300000 - </t>
  </si>
  <si>
    <t>AIRES DE VALENCIA 707</t>
  </si>
  <si>
    <t xml:space="preserve">FLOR DE AGUA 2427$ 1400.000 </t>
  </si>
  <si>
    <t>PUERTA MADERA 1362 $ 1100000</t>
  </si>
  <si>
    <t xml:space="preserve">PDT ENTREGA 1 DE JUNIO </t>
  </si>
  <si>
    <t>VALOR A PAGAR TOTAL COMISIONES-----------------------&gt;</t>
  </si>
  <si>
    <t xml:space="preserve">INFORME JOAN   MAYO     2021 </t>
  </si>
  <si>
    <t>LOS ARBOLES 2622 $ 1.300.000</t>
  </si>
  <si>
    <t>NEGADOS - NO TIENE MÁS PERSONAS PARA PRESENTAR</t>
  </si>
  <si>
    <t xml:space="preserve">MAJAGUA 1713 $ 800.000 </t>
  </si>
  <si>
    <t>EN ESTUDIO</t>
  </si>
  <si>
    <t>PEÑA VERDE 636 $ 850.000</t>
  </si>
  <si>
    <t xml:space="preserve">DESISTIDO PARO LA BUSQUEDA POR EL MOMENTO </t>
  </si>
  <si>
    <t>OCEANA 920 $1.600.000</t>
  </si>
  <si>
    <t>NEGADO</t>
  </si>
  <si>
    <t>MEDITERRANEA 2021 $ 1100000</t>
  </si>
  <si>
    <t>LA QUINTA 1308 $ 1.300.000</t>
  </si>
  <si>
    <t>FLOR DE AGUA 1732 $ 1.150.000</t>
  </si>
  <si>
    <t>NORDICA 2616 $880.000</t>
  </si>
  <si>
    <t xml:space="preserve">CONSOLIDADO INFORME GENERAL SEDE BELLO- DAHIANA HOYOS MAYO   2021 </t>
  </si>
  <si>
    <t>LA QUINTA 1506 $ 1.350.000</t>
  </si>
  <si>
    <t>MEDITERRANEA 1723 - $ 1.100.000 EN ESTUDIO</t>
  </si>
  <si>
    <t xml:space="preserve">MEDITERRANEA 320 $ 1.200.000  </t>
  </si>
  <si>
    <t xml:space="preserve">LA QUINTA 909 $ 1.100.000 </t>
  </si>
  <si>
    <t>BOSQUE ALTO 805 $ 1300000</t>
  </si>
  <si>
    <t>VALOR A PAGAR TOTAL COMISIONES----------------------&gt;</t>
  </si>
  <si>
    <t>SEDE BELLO - JUNIO      2021</t>
  </si>
  <si>
    <t xml:space="preserve">CIUDAD CENTRAL 310 $ 1100.000- DESISTIDO </t>
  </si>
  <si>
    <t>CR 55 A 34 36  $ 1200000 ENTREGADO</t>
  </si>
  <si>
    <t xml:space="preserve">CASA CABAÑAS $ 1600.000 DESISTIDO </t>
  </si>
  <si>
    <t>OCEANA 920 $ 1.550.000 - ENTREGADO</t>
  </si>
  <si>
    <t xml:space="preserve">BOSQUE ALTO 1205 $ 1.300.000 ENTREGADO </t>
  </si>
  <si>
    <t>FLOR DE AGUA 1525 $ 1100000 ENTREGADO</t>
  </si>
  <si>
    <t xml:space="preserve">FLOR DE AGUA 2032 $ 1.150.000 ENTREGADO </t>
  </si>
  <si>
    <t xml:space="preserve">LUISA MARIN </t>
  </si>
  <si>
    <t> 11479</t>
  </si>
  <si>
    <t>FLOR DE AGUA 1325 $ 1.200.000 ENTREGADO</t>
  </si>
  <si>
    <t xml:space="preserve">PUERTO PARAISO 508 $ 1050000- ENTREGADO </t>
  </si>
  <si>
    <t xml:space="preserve">LOS ARBOLES 2622 $ 1250000 ENTREGADO </t>
  </si>
  <si>
    <t> 11476</t>
  </si>
  <si>
    <t xml:space="preserve">MADERA NATURAL 2207 $ 950.000 ENTREGADO </t>
  </si>
  <si>
    <t xml:space="preserve">JUAN CAMILO URREA </t>
  </si>
  <si>
    <t>CALLE 25 A 58 BB 60 $ 1500000 ENTREGADO</t>
  </si>
  <si>
    <t xml:space="preserve">FLOR DE AGUA 2232 $ 1.200.000 ENTREGADO </t>
  </si>
  <si>
    <t xml:space="preserve">CEIBA DEL NORTE 512 % 1.150.000 - DESISTIDO </t>
  </si>
  <si>
    <t xml:space="preserve">FLOR DE AGUA 1525 $ 1100000 ENTREGADO </t>
  </si>
  <si>
    <t xml:space="preserve">FLOR DE AGUA 2329  $ 1150000 ENTREGADO </t>
  </si>
  <si>
    <t>ALEXIS ALVAREZ</t>
  </si>
  <si>
    <t>MADERA SILVESTRE 510 $ 1.000.000 - ENTREGADO</t>
  </si>
  <si>
    <t>PUERTO VENTURA 2010 $ 1.200.000 - ENTREGADO</t>
  </si>
  <si>
    <t xml:space="preserve">CALLE 32 # 52-25$ 1.100.000 ENTREGADO </t>
  </si>
  <si>
    <t>ALTOBELO 1813 $ 960.000 ENTREGADO</t>
  </si>
  <si>
    <t>13+4</t>
  </si>
  <si>
    <t xml:space="preserve">FLOR DE AGUA 1325 $ 1.200.000 ENTREGADO </t>
  </si>
  <si>
    <t xml:space="preserve">PUERTO PARAISO 1701 $ 1.000.000 PDT PAGO Y ENTREGA </t>
  </si>
  <si>
    <t xml:space="preserve">SEBASTIAN BUITRAGO  </t>
  </si>
  <si>
    <t>VALOR A PAGAR TOTAL COMISIONES-------------------</t>
  </si>
  <si>
    <t xml:space="preserve">CEIBA DEL NORTE 914 $ 1.050.000 DESISTIDO </t>
  </si>
  <si>
    <t>BOSQUE ALTO 1207 $ 950.000- DESISTIDO</t>
  </si>
  <si>
    <t xml:space="preserve">NORDICA 1514 $ 1.000.000 -ENTREGADO </t>
  </si>
  <si>
    <t xml:space="preserve">NORDICA 1607 $ 1.150.000 - ENTREGADO </t>
  </si>
  <si>
    <t xml:space="preserve">CEIBA DEL NORTE 914 $ 1.100.000 PDTE ENTREGA Y PAGO </t>
  </si>
  <si>
    <t xml:space="preserve">CEIBA DEL NORTE 924 $ 1150000 ENTREGADO </t>
  </si>
  <si>
    <t xml:space="preserve">ASESOR  SEBASTIAN BUITRAGO </t>
  </si>
  <si>
    <t>CURAZAO 1720   $ 850.000</t>
  </si>
  <si>
    <t>GRAN AVENIDA $ 1.100.000 ENTREGADO</t>
  </si>
  <si>
    <t>CASA BARRIO OBRERO $ 1200000 ENTREGADO</t>
  </si>
  <si>
    <t xml:space="preserve">OCEANA 920 $ 1.550.000 - ENTREGADO </t>
  </si>
  <si>
    <t xml:space="preserve">CEIBA DEL NORTE 924 $ 1150000 EN FIRMAS  </t>
  </si>
  <si>
    <t xml:space="preserve">VILLAS DE COMFENALCO CASA 201 $ 1200000 ENTREGADO </t>
  </si>
  <si>
    <t xml:space="preserve">CEIBA DEL NORTE 914 $ 1.100.000  ENTREGADO  </t>
  </si>
  <si>
    <t>LOS ARBOLES 2622 $ 1.250.000 ENTREGADO</t>
  </si>
  <si>
    <t xml:space="preserve">PUERTO PARAISO 1701 $ 1.000.000 EN FIRMAS </t>
  </si>
  <si>
    <t xml:space="preserve">INFORME DAHIANA HOYOS  JUNIO    2021 </t>
  </si>
  <si>
    <t>CURAZAO 1720  8500.000 EN FIRMAS - LIMITE  12 MESES</t>
  </si>
  <si>
    <t xml:space="preserve">INFORME JOAN   JUNIO     2021 </t>
  </si>
  <si>
    <t>CIUDAD CENTRAL 310 $ 1100.000</t>
  </si>
  <si>
    <t>DESISTIDO - NO TIENE MAS DOCUMENTOS PARA PRESENTAR</t>
  </si>
  <si>
    <t>FLOR DE AGUA 2329 $ 1150000</t>
  </si>
  <si>
    <t>FLOR DE AGUA 1525 $ 1100000</t>
  </si>
  <si>
    <t xml:space="preserve">NORDICA 1514 $ 1.000.000 </t>
  </si>
  <si>
    <t>MADERA SILVESTRE 510 $ 1.000.000</t>
  </si>
  <si>
    <t xml:space="preserve">NORDICA 1607 $ 1.150.000 </t>
  </si>
  <si>
    <t xml:space="preserve">BOSQUE ALTO 1205 $ 1.300.000 </t>
  </si>
  <si>
    <t xml:space="preserve">PUERTO VENTURA 2010 $ 1.200.000 </t>
  </si>
  <si>
    <t xml:space="preserve">OCEANA 920 $ 1.550.000 </t>
  </si>
  <si>
    <t>TOTAL ARRENDADO -----------------------------------------------------------</t>
  </si>
  <si>
    <t xml:space="preserve">INFORME LUISA MARIN JUNIO    2021 </t>
  </si>
  <si>
    <t xml:space="preserve">DESISTIDO - NO TIENE MAS DOCUMENTOS PARA PRESENTAR </t>
  </si>
  <si>
    <t xml:space="preserve">CEIBA DEL NORTE 512 % 1.150.000 </t>
  </si>
  <si>
    <t xml:space="preserve">EN FIRMAS  - 7167568 . CON LIMITE DE INDEMNIZACION A 12 MESES -DESISTIDO </t>
  </si>
  <si>
    <t>CEIBA DEL NORTE 914 $ 1.050.000</t>
  </si>
  <si>
    <t>DESISTIDO</t>
  </si>
  <si>
    <t>BOSQUE ALTO 1207 $ 950.000</t>
  </si>
  <si>
    <t>RESERVA DEL PRADO 512</t>
  </si>
  <si>
    <t>FLORES DEL CAMPO 510</t>
  </si>
  <si>
    <t>RESERVA DEL PRADO 527</t>
  </si>
  <si>
    <t>AQUAVENTO 1611</t>
  </si>
  <si>
    <t>CASA BARRIO OBRERO  $ 1.200.000</t>
  </si>
  <si>
    <t xml:space="preserve">LOS ARBOLES 2622 $ 1.250.000 </t>
  </si>
  <si>
    <t>EN TREGADO-APROBADO CON LIMITE -ENTREGADO</t>
  </si>
  <si>
    <t>PUERTO PARAISO 508 $ 1050000</t>
  </si>
  <si>
    <t> 11452</t>
  </si>
  <si>
    <t xml:space="preserve">FLOR DE AGUA 2032 $ 1.150.000 </t>
  </si>
  <si>
    <t>FLOR DE AGUA 1325 $ 1200000</t>
  </si>
  <si>
    <t>CALLE 32 # 52-25$ 1.100.000</t>
  </si>
  <si>
    <t>VILLAS DE COMFENALCO CASA 201 $ 1200000</t>
  </si>
  <si>
    <t xml:space="preserve">MADERA NATURAL 2207 $ 950.000 </t>
  </si>
  <si>
    <t xml:space="preserve">PDTE PAGO Y ENTREGA </t>
  </si>
  <si>
    <t xml:space="preserve">CEIBA DEL NORTE 914 % 1.100.000 </t>
  </si>
  <si>
    <t>CALLE 25 A 58 BB 60</t>
  </si>
  <si>
    <t>FLOR DE AGUA 2232 $ 1.200.000</t>
  </si>
  <si>
    <t xml:space="preserve">PDT PAGO Y ENTREGA </t>
  </si>
  <si>
    <t>CEIBA DEL NORTE 924 $ 1.150.000</t>
  </si>
  <si>
    <t>ALTOBELO 1803 $ 960.000</t>
  </si>
  <si>
    <t>PUERTO PARAISO 1701 $ 1.000.000</t>
  </si>
  <si>
    <t>TOTAL ARRENDADO ----------------------------------------------------------------</t>
  </si>
  <si>
    <t xml:space="preserve">CONSOLIDADO INFORME GENERAL SEDE BELLO- DAHIANA HOYOS JUNIO   2021 </t>
  </si>
  <si>
    <t>FLOR APARTAMENTOS 1525</t>
  </si>
  <si>
    <t>FLOR APARTAMENTOS 2329</t>
  </si>
  <si>
    <t>CURAZAO 1720  $ 850.000</t>
  </si>
  <si>
    <t xml:space="preserve">CASA OBRERO CARRERA 55 A 34 36 </t>
  </si>
  <si>
    <t> 11431</t>
  </si>
  <si>
    <t>BOSQUE ALTO 1205 $ 1300000</t>
  </si>
  <si>
    <t>PUERTO VENTURA 2010 $ 1.200.000</t>
  </si>
  <si>
    <t xml:space="preserve">JOAN  MEJIA </t>
  </si>
  <si>
    <t>FLOR APARTAMENTOS 1325 $ 1200000</t>
  </si>
  <si>
    <t xml:space="preserve">SOLICITUDES CON LIMITE DE INDEMINIZACION </t>
  </si>
  <si>
    <t>SOLICITUD</t>
  </si>
  <si>
    <t xml:space="preserve">NOMBRE </t>
  </si>
  <si>
    <t xml:space="preserve">DIRECCION </t>
  </si>
  <si>
    <t xml:space="preserve">GOMEZ QUICENO VIVIANA ANDREA </t>
  </si>
  <si>
    <t>DIAGONAL 43 N° 34 E 20 APT 1720</t>
  </si>
  <si>
    <t xml:space="preserve">YEPES VILLEGAS YOERNY ALBERTO </t>
  </si>
  <si>
    <t xml:space="preserve">Avenida 32 diagonal 49 A - 135 Apto 512 </t>
  </si>
  <si>
    <t xml:space="preserve">HINCAPE MORA JULIANA </t>
  </si>
  <si>
    <t>AVENIDA 43 DIAGONAL 51 26 APTO 2622 TORRE 4</t>
  </si>
  <si>
    <t>SEDE BELLO - JULIO      2021</t>
  </si>
  <si>
    <t xml:space="preserve">ENSENADA 2218 $ 1.250.000 DESISTIDO </t>
  </si>
  <si>
    <t>25+4</t>
  </si>
  <si>
    <t xml:space="preserve">CALLE 47 # 47-28 PRIMER PISO PRADO $900.000-DESISTIDO </t>
  </si>
  <si>
    <t>BOSQUE ALTO 901$ 1.400.000 DESISTIDO</t>
  </si>
  <si>
    <t>OCEANA 2133 $ 1.700.000 ENTREGADO</t>
  </si>
  <si>
    <t>NORDICA 1716 $ 900.000 ENTREGADO</t>
  </si>
  <si>
    <t>OCEANA 1536  $ 1.400.000 ENTREGADO</t>
  </si>
  <si>
    <t xml:space="preserve">FLOR APARTAMENTOS 2529- ENTREGADO </t>
  </si>
  <si>
    <t>ENSENADA 1823 $ 950000 ENTREGADO</t>
  </si>
  <si>
    <t xml:space="preserve">FLOR APARTAMENTOS 2732 $ 1.200.000 ENTREGADO </t>
  </si>
  <si>
    <t xml:space="preserve">FLOR DE AGUA 2132 $1.150.000 - ENTREGADO </t>
  </si>
  <si>
    <t>PUERTO PARAISO 2301 $ 1.000.000 ENTREGADO</t>
  </si>
  <si>
    <t xml:space="preserve">PUERTO VENTURA 2204 $ 1.200.000 DESISTIDO </t>
  </si>
  <si>
    <t xml:space="preserve">DCTOS DANNY -$ 1.300.000 DESISTIDO DIRECTO </t>
  </si>
  <si>
    <t xml:space="preserve">PUERTO ALEGRE 1208 $ 900000- ENTREGADO </t>
  </si>
  <si>
    <t xml:space="preserve">PUERTO VENTURA 2201 $ 1.250.000- DESISTIDO DIRECTO </t>
  </si>
  <si>
    <t>FLOR APARTAMENTOS 2529- ENTREGADO $ 1.200.000</t>
  </si>
  <si>
    <t xml:space="preserve">CIUDAD CENTRAL 310 $ 1100.000 ENTREGADO </t>
  </si>
  <si>
    <t xml:space="preserve">CANTARES DE RIACHUELOS 2202 $850.000 ENTREGADO </t>
  </si>
  <si>
    <t xml:space="preserve">CANTARES DE RIACHUELOS 1305 $ 900.000- ENTREGADO </t>
  </si>
  <si>
    <t>ALEXIA ALVAREZ</t>
  </si>
  <si>
    <t xml:space="preserve">RIACHUELOS 1901 $ 1050000 ENTREGADO </t>
  </si>
  <si>
    <t>VINILO 2604 $ 900.000 ENTREGADO</t>
  </si>
  <si>
    <t xml:space="preserve">LOCAL CANTARES DE RIACHUELOS 113 - EN FIRMAS </t>
  </si>
  <si>
    <t xml:space="preserve">TIERRA LINDA 209 $ 700.00- DESITIDO </t>
  </si>
  <si>
    <t>MADERA SILVESTRE  406$ 1000000 ENTREGADO</t>
  </si>
  <si>
    <t xml:space="preserve">FLOR DE AGUA 428 $1.300.000- DESISTIDO </t>
  </si>
  <si>
    <t xml:space="preserve">PUERTO PARAISO 603 $ 1.100.000 ENTREGADO </t>
  </si>
  <si>
    <t xml:space="preserve">CASA PRIMER PISO PRADO $1.000.000- NEGADOS </t>
  </si>
  <si>
    <t xml:space="preserve">PUERTO PARAISO 2301 $ 1.000.000 EN FIRMAS </t>
  </si>
  <si>
    <t xml:space="preserve">CUARTO PISO BARRIO NUEVO $ 800.000-EN ESTUDIO </t>
  </si>
  <si>
    <t xml:space="preserve">MADERA SILVESTRE 1208 $ 1.000.000 ENTREGADO </t>
  </si>
  <si>
    <t xml:space="preserve">PUERTO PARAISO 1101  $ 1.200.000- ENTREGADO </t>
  </si>
  <si>
    <t xml:space="preserve">CAMINO DEL VIENTO 919 $ 1.100.000- ENTREGADO  </t>
  </si>
  <si>
    <t xml:space="preserve">NORDICA 1314 $ 900.000 ENTREGADO </t>
  </si>
  <si>
    <t xml:space="preserve">CAMINO DEL VIENTO 1015 $ 1.100.000- DESITIDO </t>
  </si>
  <si>
    <t>21+4</t>
  </si>
  <si>
    <t xml:space="preserve">OPORTO 1506 $ 1.200.000 DESISTIDO </t>
  </si>
  <si>
    <t xml:space="preserve">PLAZA NAVARRA 529 $ 780000  -DESISTIDO  </t>
  </si>
  <si>
    <t xml:space="preserve">BOSQUE ALTO $ 1.300.000 DESISTIDO </t>
  </si>
  <si>
    <t xml:space="preserve">ALAMEDA  $ 2.300.000 -ENTREGADO </t>
  </si>
  <si>
    <t xml:space="preserve">MADERA SILVESTRE  406$ 1000000 ENTREGADO </t>
  </si>
  <si>
    <t xml:space="preserve">MADERA NATURAL 9903$ 1.000.000 ENTREGADO </t>
  </si>
  <si>
    <t xml:space="preserve">ALCALA 1315 $850.000 EN FIRMAS </t>
  </si>
  <si>
    <t xml:space="preserve">CEIBA DEL NORTE 2423 $ 960.000 ENTREGADO </t>
  </si>
  <si>
    <t>NORDICA 1116 $ 900.000  ENTREGADO</t>
  </si>
  <si>
    <t xml:space="preserve">NORDICA 1612 $ 1.500.000- ENTREGADO </t>
  </si>
  <si>
    <t xml:space="preserve">TERRALUNA 403 $ 700.000 ENTREGADO </t>
  </si>
  <si>
    <t xml:space="preserve">LOS ARBOLES 812 $ 1.250.000 - ENTREGADO </t>
  </si>
  <si>
    <t xml:space="preserve">NORDICA 1801 $ 1550000 DESISTIDO DIRECTO </t>
  </si>
  <si>
    <t>12+5</t>
  </si>
  <si>
    <t xml:space="preserve">PUERTA MADERA 1868 $1.300.000- ENTREGADO </t>
  </si>
  <si>
    <t xml:space="preserve">LOS ARBOLES 812 $ 1.250.000 - EN FIRMAS </t>
  </si>
  <si>
    <t xml:space="preserve">CASA CALLE 114 N° 67A - 42 ENTREGADO </t>
  </si>
  <si>
    <t xml:space="preserve">YESSICA BUITRAGO </t>
  </si>
  <si>
    <t xml:space="preserve">LAURELES DE TERRANOVA 1092 $ 1.150.000 ENTREGADO </t>
  </si>
  <si>
    <t>PUERTO PARAISO 1101  $ 1.200.000- ENTREGADO</t>
  </si>
  <si>
    <t xml:space="preserve">      TOTAL ------------------------&gt;		</t>
  </si>
  <si>
    <t xml:space="preserve">INFORME LUISA MARIN JULIO     2021 </t>
  </si>
  <si>
    <t xml:space="preserve">OBSERVACIONES </t>
  </si>
  <si>
    <t>CAMINO DEL VIENTO 1015 - $1.100.000</t>
  </si>
  <si>
    <t xml:space="preserve">DESISTIDO NEGARON ARRENDATARIO Y NO TENIA A QUIN PRESENTAR </t>
  </si>
  <si>
    <t>TIERRA LINDA 209 $ 700.00</t>
  </si>
  <si>
    <t>PUERTO VENTURA 2201 $ 1.250.000</t>
  </si>
  <si>
    <t xml:space="preserve">DESISTIDO PRO DESITIO DEL NEGOCIO Y EL CLIENTE ENCONTRO UNO DIRECTO </t>
  </si>
  <si>
    <t xml:space="preserve">ALEXIS </t>
  </si>
  <si>
    <t>OPORTO 1506 $ 1.200.000</t>
  </si>
  <si>
    <t xml:space="preserve">DESITIDO  CLIENTE NO RESPONDE </t>
  </si>
  <si>
    <t xml:space="preserve">PLAZA NAVARRA 529 $ 780000  </t>
  </si>
  <si>
    <t xml:space="preserve">DESISTIDO CLIENTE CON PROBLEMAS FAMILIARES </t>
  </si>
  <si>
    <t>CALLE 47 # 47-28 PRIMER PISO PRADO $900.000</t>
  </si>
  <si>
    <t xml:space="preserve">DESISTIDO INMUEBLE CON HUMEDAD, CLIENTE ENCONTRO DIRECTO </t>
  </si>
  <si>
    <t>DCTOS DANNY $ 1300000</t>
  </si>
  <si>
    <t xml:space="preserve">DESISTIDO PIDIERON NUEVO DEUDOR, CLIENTE ENCONTRO DIRECTO </t>
  </si>
  <si>
    <t>BOSQUE ALTO 901 - 1.400.000</t>
  </si>
  <si>
    <t xml:space="preserve">DESISTIDO CLIENTE NO RESPONDE </t>
  </si>
  <si>
    <t xml:space="preserve">OCEANA 2133 </t>
  </si>
  <si>
    <t xml:space="preserve">CLIENTE POR  PORTERO  -ENTREGADO </t>
  </si>
  <si>
    <t xml:space="preserve">MADERA SILVESTRE 1208 </t>
  </si>
  <si>
    <t xml:space="preserve">OCEANA 1536 </t>
  </si>
  <si>
    <t xml:space="preserve">ENTREGADO  </t>
  </si>
  <si>
    <t xml:space="preserve">CANTARES DE RIACHUELOS 2202 </t>
  </si>
  <si>
    <t>SANTIAGO ALVAREZ</t>
  </si>
  <si>
    <t xml:space="preserve">MADERA SILVESTRE 406  </t>
  </si>
  <si>
    <t xml:space="preserve">PUERTO PARAISO 1101  </t>
  </si>
  <si>
    <t xml:space="preserve">MADERA NATURAL 9903 </t>
  </si>
  <si>
    <t>FLOR APARTAMENTOS 2529</t>
  </si>
  <si>
    <t xml:space="preserve">ALAMEDA </t>
  </si>
  <si>
    <t xml:space="preserve">ALCALA 1315 </t>
  </si>
  <si>
    <t xml:space="preserve">CEIBA DEL NORTE 2423 				</t>
  </si>
  <si>
    <t xml:space="preserve">ENSENADA 1823 </t>
  </si>
  <si>
    <t xml:space="preserve">CIUDAD CENTRAL 310 </t>
  </si>
  <si>
    <t xml:space="preserve">CAMINO DEL VIENTO 919 </t>
  </si>
  <si>
    <t xml:space="preserve">FLOR APARTAMENTOS 2732 </t>
  </si>
  <si>
    <t xml:space="preserve">PUERTO PARAISO 603  </t>
  </si>
  <si>
    <t xml:space="preserve">RIACHUELOS 1901 </t>
  </si>
  <si>
    <t xml:space="preserve">NORDICA 1612 </t>
  </si>
  <si>
    <t>PUERTO PARAISO 2301 - 1.000.000 - 6 MESES</t>
  </si>
  <si>
    <t>LOCAL CANTARES DE RIACHUELOS 113 $ 1200000</t>
  </si>
  <si>
    <t xml:space="preserve">INFORME JOAN MEJIA  JULIO-2021 </t>
  </si>
  <si>
    <t xml:space="preserve">DESISTIDO-DIRECTO </t>
  </si>
  <si>
    <t xml:space="preserve">PUERTO VENTURA 2204 $ 1.200.000 </t>
  </si>
  <si>
    <t>BOSQUE ALTO $1.300.000</t>
  </si>
  <si>
    <t>DISISTIDO , SE UBICARON CON OTRA INMOBILIARIA</t>
  </si>
  <si>
    <t>ENSENADA 2218 $1.250.000 - CLIENTE DE PORTERO</t>
  </si>
  <si>
    <t xml:space="preserve">NEGADO DESISTIDO </t>
  </si>
  <si>
    <t>CASA PRIMER PISO PRADO $1.000.000</t>
  </si>
  <si>
    <t xml:space="preserve">DESISTIDO- NEGADOS </t>
  </si>
  <si>
    <t>FLOR DE AGUA 428 $1.300.000</t>
  </si>
  <si>
    <t xml:space="preserve">DESISTIDO- NO TIENE A QUIEN MAS PARA PRESENTAR </t>
  </si>
  <si>
    <t>CUARTO PISO BARRIO NUEVO $ 800.000</t>
  </si>
  <si>
    <t xml:space="preserve">DESITIDO- NEGADOS </t>
  </si>
  <si>
    <t>PUERTA MADERA 1868 $1.300.000</t>
  </si>
  <si>
    <t xml:space="preserve">ENTREGADO PDT PAGO </t>
  </si>
  <si>
    <t xml:space="preserve">CASA CALLE 114 N° 67A - 42 $ 900.000 </t>
  </si>
  <si>
    <t>FLOR DE AGUA 2132 $1.150.000</t>
  </si>
  <si>
    <t>VINILO 2604 $ 900.000</t>
  </si>
  <si>
    <t>ENTREGADO  6 MESES</t>
  </si>
  <si>
    <t xml:space="preserve">TERRALUNA 403 $ 700.000  </t>
  </si>
  <si>
    <t xml:space="preserve">SEBATIAN ECHAVARRIA </t>
  </si>
  <si>
    <t>LAURELES DE TERRANOVA 1092 $ 1.150.000</t>
  </si>
  <si>
    <t>LOS ARBOLES 812 $1.250.000</t>
  </si>
  <si>
    <t xml:space="preserve">CONSOLIDADO INFORME GENERAL SEDE BELLO- DAHIANA HOYOS JULIO   2021 </t>
  </si>
  <si>
    <t xml:space="preserve">OCEANA 2133 $ 1.700.000 </t>
  </si>
  <si>
    <t xml:space="preserve">CLIENTE DE PORTERO SE PAGA PERO NO INGRESA A LA META </t>
  </si>
  <si>
    <t xml:space="preserve">NORDICA 1716 $ 900.000 </t>
  </si>
  <si>
    <t>PUERTO ALEGRE 1208 $ 900000</t>
  </si>
  <si>
    <t>MADERA SILVESTRE 1208 $ 1.000.000</t>
  </si>
  <si>
    <t>CANTARES DE RIACHUELOS 2202 $850.000</t>
  </si>
  <si>
    <t>OCEANA 1536 -   $ 1.400.000</t>
  </si>
  <si>
    <t xml:space="preserve">MADERA SILVESTRE 406 $ 1000000 </t>
  </si>
  <si>
    <t xml:space="preserve">MADERA NATURAL 9903$ 1.000.000 </t>
  </si>
  <si>
    <t xml:space="preserve">FLOR APARTAMENTOS 2529 $ 1.200.000 </t>
  </si>
  <si>
    <t>PUERTO PARAISO 1101  $ 1.200.000</t>
  </si>
  <si>
    <t>MATERO ROMERO</t>
  </si>
  <si>
    <t>ALAMEDA DEL NORTE 115  $ 2.300.000 -</t>
  </si>
  <si>
    <t>ENSENADA 1823 $ 950000</t>
  </si>
  <si>
    <t>ALCALA 1315 $850.000</t>
  </si>
  <si>
    <t>CANTARES DE RIACHUELOS 1305 $ 900.000</t>
  </si>
  <si>
    <t xml:space="preserve">CEIBA DEL NORTE 2423 $ 960.000					</t>
  </si>
  <si>
    <t xml:space="preserve">CIUDAD CENTRAL 310 $ 1100.000 </t>
  </si>
  <si>
    <t>NORDICA 1116 $ 900.000</t>
  </si>
  <si>
    <t xml:space="preserve">CAMINO DEL VIENTO 919 $ 1.100.000 </t>
  </si>
  <si>
    <t xml:space="preserve">ENTREGADO  CONTRATO A 6 MESES </t>
  </si>
  <si>
    <t xml:space="preserve">FLOR APARTAMENTOS 2732 $ 1.200.000 </t>
  </si>
  <si>
    <t xml:space="preserve">PUERTO PARAISO 603  1.100.000 </t>
  </si>
  <si>
    <t xml:space="preserve">RIACHUELOS 1901 $ 1050000 </t>
  </si>
  <si>
    <t>NORDICA 1612 $ 1.500.000</t>
  </si>
  <si>
    <t xml:space="preserve">NORDICA 1314 $ 900.000 </t>
  </si>
  <si>
    <t xml:space="preserve">ENTREGADO 6 MESES </t>
  </si>
  <si>
    <t>MIRA GUERRA YOLIMA SIRLEY</t>
  </si>
  <si>
    <t xml:space="preserve">CR 43 # 36 D -25 APTO 1904 terra linda </t>
  </si>
  <si>
    <t>SEBASTIAN ECHAVARRIA</t>
  </si>
  <si>
    <t>1.700.000</t>
  </si>
  <si>
    <t>BARRIENTOS VASQUEZ KELLY YOJANA</t>
  </si>
  <si>
    <t>CALLE 39 N° 52 - 95 AP 2133 - OCEANA+</t>
  </si>
  <si>
    <t>SEDE BELLO - AGOSTO       2021</t>
  </si>
  <si>
    <t xml:space="preserve">DESISTIDO -BOSQUE ALTO $1.300.000-DESITIDO RENOVO DONDE ESTABA </t>
  </si>
  <si>
    <t xml:space="preserve">FLOR DE AGUA 625 -ENTREGADO </t>
  </si>
  <si>
    <t xml:space="preserve">CASA - CALLE 52A # 54-61  $ 800.000 ENTREGADO </t>
  </si>
  <si>
    <t xml:space="preserve">EMPORIUM 602 $ 880.000 ENTREGADO </t>
  </si>
  <si>
    <t xml:space="preserve">OCEANA 2524 $ 1.800.000 APROBADO CON CDT  ENTREGADO </t>
  </si>
  <si>
    <t>FLOR APARTAMENTOS 1425 $ 1.250.000 ENTREGADO</t>
  </si>
  <si>
    <t xml:space="preserve">BOSQUE ALTO 2301  $ 1.600.000 ENTREGADO </t>
  </si>
  <si>
    <t xml:space="preserve">PUERTO PARAISO 1606 $ 1.050.000  DESISTIDO PROPIETARIA NO QUISO FIRMAR Y EL ARRENDATARIO SE UBICO EN OTRO INMUEBLE </t>
  </si>
  <si>
    <t xml:space="preserve">OCEANA $ 1.850.000 - NEGADOS AMBOS </t>
  </si>
  <si>
    <t>ALTOBELO 1515 $ 1050000  ENNTREGADO</t>
  </si>
  <si>
    <t xml:space="preserve">FLOR 2429 $ 1.300.000 NEGADOS AMBOS </t>
  </si>
  <si>
    <t xml:space="preserve">PUERTO VENTURA 2204 $ 1.900.000 DESISTIDO NO TIENE A QUIEN PRESENTAR </t>
  </si>
  <si>
    <t xml:space="preserve">RESERVA DE BUCAROS 401 $ 850.000 DESITIDO LE SALIO UN VIAJE DE TRABAJO </t>
  </si>
  <si>
    <t xml:space="preserve">PUERTO VENTURA 2204 $ 1.200.000 ENTREGADO </t>
  </si>
  <si>
    <t xml:space="preserve">FLOR 625 $ 1.150.000 ENTREGADO </t>
  </si>
  <si>
    <t xml:space="preserve">PUERTO PARAISO 2011 $ 1.100.000 ENTREGADO </t>
  </si>
  <si>
    <t xml:space="preserve">PUERTO NUEVO 1934 $ 1050000 ENTREGADO </t>
  </si>
  <si>
    <t xml:space="preserve">LOCAL CANTARES DE RIACHUELOS 109  $ 1.300.000 </t>
  </si>
  <si>
    <t xml:space="preserve">PUERTA MADERA 1548 $ 1.100.000 DESISTIO-CONSIGUIO DIRECTO </t>
  </si>
  <si>
    <t xml:space="preserve">MADERA SILVESTRE 506 $ 1,100,000 DESISTIDO SE QUEDO CON EL INMJUEBLE DE UN FAMLIAR </t>
  </si>
  <si>
    <t xml:space="preserve">CERRO CLARO 2303 $ 900.000 DESISTIO DEMORA EN LA ASEGURADORA </t>
  </si>
  <si>
    <t xml:space="preserve">CAMINO DEL VIENTO 1818 $ 1200000  CLIENTE PIDIO TRASLADO </t>
  </si>
  <si>
    <t>ENSENADA 2218 $ 1200.000 ENTREGADO</t>
  </si>
  <si>
    <t>TIERRA LINDA 2506 $ 850.000 ENTREGADO</t>
  </si>
  <si>
    <t xml:space="preserve">ALTOBELO 1515 $ 1050000  ENNTREGADO </t>
  </si>
  <si>
    <t xml:space="preserve">CUARTO PISO BARRIO NUEVO $ 800.000 ENTREGADO </t>
  </si>
  <si>
    <t xml:space="preserve">JIOAN MEJIA </t>
  </si>
  <si>
    <t>MADERA SILVESTRE 506 $ 1,000,000 ENTREGADO</t>
  </si>
  <si>
    <t xml:space="preserve">FLOR DE AGUA 925 $ 1.150.000 ENTREGADO </t>
  </si>
  <si>
    <t xml:space="preserve">CAMINO DEL VIENTO 1118 $ 1.200.000 ENTREGADO </t>
  </si>
  <si>
    <t xml:space="preserve">CEIBA DEL NORTE 1013 $ 1.300.000 NEGADOS </t>
  </si>
  <si>
    <t>20+8</t>
  </si>
  <si>
    <t xml:space="preserve">CEIBA DEL NORTE 1918 $ 1.200.000 DESISTIO </t>
  </si>
  <si>
    <t xml:space="preserve">CAMINO DEL VIENTO 1015 - $1.100.000 DESITIO - PROBLEMA FAMILIAR </t>
  </si>
  <si>
    <t xml:space="preserve">NORDICA 1801 $ 1.400.000 ENTREGADO </t>
  </si>
  <si>
    <t>DESITIDO BOSQUE ALTO ( ALEJANDRA) BUSCANDO APTO $1.300.000</t>
  </si>
  <si>
    <t xml:space="preserve">CEIBA DEL NORTE 2005 $ 1.000.000 ENTREGADO </t>
  </si>
  <si>
    <t xml:space="preserve">NORDICA 1801 $ 1.400.000 DESISTIO EL DEUDOR NO LE QUISO FIRMAR </t>
  </si>
  <si>
    <t xml:space="preserve">TIERRA LINDA 1904 $700.000 NEGADO </t>
  </si>
  <si>
    <t xml:space="preserve">CEIBA DEL NORTE 1704 $ 900.000 DESISTIDO -NO  VA APRESENTAR EL DOCUMENTO SOLICITADO POR LA ASEGURADORA APORTE EPS </t>
  </si>
  <si>
    <t xml:space="preserve">CEIBA DEL NORTE 1818 $ 1.000.000  LIMITE 12 MESES - ENTREGADO </t>
  </si>
  <si>
    <t xml:space="preserve">FLOR APARTAMENTOS 1425 $ 1.250.000 ENTREGADO </t>
  </si>
  <si>
    <t xml:space="preserve">ARTURO RUZ </t>
  </si>
  <si>
    <t xml:space="preserve">TIERRA LINDA CAMPESTRE 1904 $ 650.000-  CON LIMITE 12 MESES - ENTREGADO </t>
  </si>
  <si>
    <t xml:space="preserve">SEBASTOAN ECHAVARRIA </t>
  </si>
  <si>
    <t xml:space="preserve">NORDICA 1702 $ 1.500.000 ENTREGADO </t>
  </si>
  <si>
    <t xml:space="preserve">OPORTO 1506  $ 1.100.000 INICIA EL 1 DE SEP </t>
  </si>
  <si>
    <t>14+2</t>
  </si>
  <si>
    <t xml:space="preserve">CURAZAO 1128 $ 850.000 ENTREGADO </t>
  </si>
  <si>
    <t xml:space="preserve">JUAN SEBAS GONZALEZ </t>
  </si>
  <si>
    <t xml:space="preserve">LOS ARBOLES 1520 $ 1050000 INICIA EL 1 DE SEP </t>
  </si>
  <si>
    <t xml:space="preserve">NORDICA 1801  $ 1.400.000  ENTREGADO </t>
  </si>
  <si>
    <t xml:space="preserve">JOAN EJIA </t>
  </si>
  <si>
    <t xml:space="preserve">LOS ARBOLES  1304  $ 920.000 ENTREGADO </t>
  </si>
  <si>
    <t xml:space="preserve">LOS ARBOLES 1920 $ 1.050.000 ENTREGADO </t>
  </si>
  <si>
    <t>CEIBA DEL NORTE 2005 $ 1.000.000 ENTREGADOS</t>
  </si>
  <si>
    <t xml:space="preserve">LOS ARBOLES APT 2620  $ 1.050.000 ENTREGADOS </t>
  </si>
  <si>
    <t xml:space="preserve">INFORME LUISA MARIN AGOSTO      2021 </t>
  </si>
  <si>
    <t xml:space="preserve">PUERTA MADERA 1548 $ 1.100.000 EN ESTUDIO </t>
  </si>
  <si>
    <t xml:space="preserve">DESITIDO -CONSIGUO DIRECTO </t>
  </si>
  <si>
    <t xml:space="preserve">CEIBA DEL NORTE 1704 $ 900.000 </t>
  </si>
  <si>
    <t xml:space="preserve">DESISTIDO- NO VA A PRESNETAR EL DOCUMENTO FALTANTE QUE SOLICITA LA ASEGURADORA </t>
  </si>
  <si>
    <t>CAMINO DEL VIENTO 1818 $ 1200000</t>
  </si>
  <si>
    <t xml:space="preserve">DESISTIDO- CLIENTE PIDIO TRASLADO </t>
  </si>
  <si>
    <t>MADERA SILVESTRE 506 $ 1,100,000</t>
  </si>
  <si>
    <t xml:space="preserve">DESISTIDO SE QUEDO CON EL INMJUEBLE DE UN FAMLIAR </t>
  </si>
  <si>
    <t xml:space="preserve">DESISTIDO PROBLEMA FAMILIAR </t>
  </si>
  <si>
    <t xml:space="preserve">CEIBA DEL NORTE 1918 $ 1,200,000 EN ESTUDIO </t>
  </si>
  <si>
    <t>CERRO CLARO 2303 $ 900.000</t>
  </si>
  <si>
    <t xml:space="preserve">RESERVA DE BUCAROS 401 $ 850.000 </t>
  </si>
  <si>
    <t xml:space="preserve">DESISTIDO -LE SALIO UN VIAJE DE TRABAJO A BOGOTA </t>
  </si>
  <si>
    <t>BOSQUE ALTO ( ALEJANDRA) $1.300.000</t>
  </si>
  <si>
    <t xml:space="preserve">DESISTIDO-SE TRATO DE UBICAR PERO LA PROOUETARIA SOLO TRABAJABA CON ESA INMOBILIARIA </t>
  </si>
  <si>
    <t xml:space="preserve">OCEANA 2524 $ 1.800.000 </t>
  </si>
  <si>
    <t xml:space="preserve">CASA - CALLE 52A # 54-61  </t>
  </si>
  <si>
    <t xml:space="preserve">FLOR 625 </t>
  </si>
  <si>
    <t xml:space="preserve">ALEXIS ALVEREZ </t>
  </si>
  <si>
    <t xml:space="preserve">TIERRA LINDA 2506 </t>
  </si>
  <si>
    <t xml:space="preserve">PUERTO PARAISO 2011 </t>
  </si>
  <si>
    <t xml:space="preserve">NORDICA 1702 $ 1.500.000 </t>
  </si>
  <si>
    <t xml:space="preserve">PUERTO NUEVO 1934 $ 1050000   </t>
  </si>
  <si>
    <t xml:space="preserve">ALEXIS ALEVAREZ </t>
  </si>
  <si>
    <t>LOS ARBOLES 1520 $ 1050000</t>
  </si>
  <si>
    <t xml:space="preserve">JUAN SEBASTIAN </t>
  </si>
  <si>
    <t>OPORTO 1506  $ 1.100.000   INICIA 1 SEP</t>
  </si>
  <si>
    <t xml:space="preserve">LOS ARBOLES 1304 $ 920.000   </t>
  </si>
  <si>
    <t>ENTREGAGO</t>
  </si>
  <si>
    <t xml:space="preserve">FLOR DE AGUA 925 $ 1.150.000 </t>
  </si>
  <si>
    <t>LOS ARBOLES 1920 $ 1.050.000</t>
  </si>
  <si>
    <t>CEIBA DEL NORTE 2005 $ 1000000</t>
  </si>
  <si>
    <t>LOS ARBOLES  2620  APTO $ 1.050.000</t>
  </si>
  <si>
    <t xml:space="preserve">INFORME JOAN MEJIA  AGOSTO     2021 </t>
  </si>
  <si>
    <t xml:space="preserve">NEGADOS AMBOS </t>
  </si>
  <si>
    <t>PUERTO PARAISO 1606 $ 1.050.000</t>
  </si>
  <si>
    <t xml:space="preserve">DESITIDO -PRO NO QUISO FIRMAR -CLIENTE SE UBICO EN OTRO INMUEBLE </t>
  </si>
  <si>
    <t>FLOR 2429 $ 1.300.000 EN ESTUDIO</t>
  </si>
  <si>
    <t xml:space="preserve">OCEANA $ 1.850.000 </t>
  </si>
  <si>
    <t xml:space="preserve">DESISTIDO- NEGADOS AMBAS PERSONAS </t>
  </si>
  <si>
    <t xml:space="preserve">DESISTIDO -RENOVO DONDE ESTABA </t>
  </si>
  <si>
    <t xml:space="preserve">PUERTO VENTURA 2204 $ 1.900.000 EN ESTUDIO </t>
  </si>
  <si>
    <t xml:space="preserve">DESISTIDO NO TIENE A QUIEN MAS PRESENTAR </t>
  </si>
  <si>
    <t xml:space="preserve">NORDICA 1801  $ 1.400.000 </t>
  </si>
  <si>
    <t xml:space="preserve">DESISTIDO EL DEUDOR NO LE QUISO FIRMAR </t>
  </si>
  <si>
    <t>TIERRA LINDA 1904 $700.000</t>
  </si>
  <si>
    <t>CEIBA DEL NORTE 1818 $ 1.000.000</t>
  </si>
  <si>
    <t xml:space="preserve">FLOR APARTAMENTOS 1425 $ 1.250.000 </t>
  </si>
  <si>
    <t xml:space="preserve">FACTUTRADO </t>
  </si>
  <si>
    <t>TIERRA LINDA CAMPESTRE 1904 $ 650.000</t>
  </si>
  <si>
    <t xml:space="preserve">EMPORIUOM 602 $ 880.000 </t>
  </si>
  <si>
    <t xml:space="preserve">FACTIRADO </t>
  </si>
  <si>
    <t xml:space="preserve">ENSENADA 2218 $ 1200.000 </t>
  </si>
  <si>
    <t> 11822</t>
  </si>
  <si>
    <t xml:space="preserve">BOSQUE ALTO 2301  $1.600.000  </t>
  </si>
  <si>
    <t>ALTOBELO 1515 $ 1050000</t>
  </si>
  <si>
    <t>CALLE 23 A # 59 A – 23 APTO 401 $ 800.000</t>
  </si>
  <si>
    <t>CURAZAO 1128 $ 850.000</t>
  </si>
  <si>
    <t>MADERA SILVESTRE 506 $ 1,000,000</t>
  </si>
  <si>
    <t xml:space="preserve">NORDICA 1801 $ 1.400.000 </t>
  </si>
  <si>
    <t xml:space="preserve">JUAN  GONZALEZ </t>
  </si>
  <si>
    <t xml:space="preserve">CAMINO DEL VIENTO 1118 $ 1.200.000 </t>
  </si>
  <si>
    <t xml:space="preserve">INFORME GENERAL   AGOSTO     2021 </t>
  </si>
  <si>
    <t>CASA - CALLE 52A # 54-61 $ 800.000</t>
  </si>
  <si>
    <t xml:space="preserve">FLOR 625 $ 1.150.000 </t>
  </si>
  <si>
    <t>TIERRA LINDA 2506 $ 850.000</t>
  </si>
  <si>
    <t xml:space="preserve">PUERTO PARAISO 2011 $ 1.100.000 </t>
  </si>
  <si>
    <t>CALLE 23 A # 59 A – 23 APTO 401</t>
  </si>
  <si>
    <t xml:space="preserve">LOS ARBOLES 1304 $ 920.000  </t>
  </si>
  <si>
    <t xml:space="preserve">CAMINO DEL VIENTO 1128 $ 1.200.000 </t>
  </si>
  <si>
    <t>CEIBA DEL NORTE 1818 - VALLEJO PEREZ WILLSON</t>
  </si>
  <si>
    <t>AVENIDA 32 DIAGONAL 49 A – 135 APTO 1818</t>
  </si>
  <si>
    <t>TIERRA LINDA CAMPESTRE 1904 - MIRA GUERRA YOLIMA</t>
  </si>
  <si>
    <t>CARRERA 43 # 36D – 25 APTO 1904</t>
  </si>
  <si>
    <t>PUERTO VENTURA 2204 - MURILLO MOSQUERA JULIANA</t>
  </si>
  <si>
    <r>
      <t>CARRERA 57 # 38 –</t>
    </r>
    <r>
      <rPr>
        <b/>
        <sz val="14"/>
        <color rgb="FF000000"/>
        <rFont val="Calibri Light"/>
        <family val="2"/>
        <charset val="1"/>
      </rPr>
      <t xml:space="preserve"> 220 APTO 2204</t>
    </r>
  </si>
  <si>
    <t>1.200.000</t>
  </si>
  <si>
    <t>CANTARES DE RIACHUELOS LOCAL 109 - RIOS GARCIA INDIARA</t>
  </si>
  <si>
    <t>CARRERA  65 N° 52 - 120 LOCAL 109</t>
  </si>
  <si>
    <t>NORDICA 1702 - BARRETO PINZON LINA MARIA</t>
  </si>
  <si>
    <t>AVENIDA 33 DIAGONAL N° 51 – 101 AP 1702</t>
  </si>
  <si>
    <t>1.150.000</t>
  </si>
  <si>
    <t xml:space="preserve">FLOR APARTAMENTOS 625 - JOSE MANUEL GALLEGO PALACIO </t>
  </si>
  <si>
    <t>CARRERA 53 A N° 45 – 84 AP 625</t>
  </si>
  <si>
    <t>FLORIDA DE NORTEAMERICA 1250 - ZAPATA TOBÓN OSCAR ALEJANDRO</t>
  </si>
  <si>
    <t>AVENIDA 26 # 52 - 200 AP 1250</t>
  </si>
  <si>
    <t>JUAN SEBASTIAN</t>
  </si>
  <si>
    <t>1.050.000</t>
  </si>
  <si>
    <t>TRIANA VASQUEZ RUDDY ALEXANDRA</t>
  </si>
  <si>
    <t>CR 57 38 290 AP 1934</t>
  </si>
  <si>
    <t>OSPINA SANCHEZ CARLOS ANDRES</t>
  </si>
  <si>
    <t>AV 42 B DIAGONAL 51 111 AP 1304</t>
  </si>
  <si>
    <t>SEDE BELLO - SEPTIEMBRE 2021</t>
  </si>
  <si>
    <t xml:space="preserve">22+6 </t>
  </si>
  <si>
    <t xml:space="preserve">LOCAL BARRIO SUAREZ $ 2.200.000  EN ESTUDIO DIGITAL -43819816
Sol #6855535 PDT ENCONTRAR LOCAL </t>
  </si>
  <si>
    <t xml:space="preserve">PUERTO PARAISO 810 $ 1.100.000 ENTREGADO </t>
  </si>
  <si>
    <t xml:space="preserve">FLOR DE AGUA 2527 $ 1.400.000   CC 43661578  # SOLICITUD 6855423- CLIENTE DESISTIO NO SE LE DIO UN NEGOCIO QUE TENIA PARA PODER TOMAR EL INMUEBLE </t>
  </si>
  <si>
    <t xml:space="preserve">PUERTO PARAISO 903 $ 1.100.000 ENTREGADO </t>
  </si>
  <si>
    <t xml:space="preserve">CAMINO DEL VIENTO 1620 $ 1.100.000 DESITIO- PRO SE QUITO DEL NEGOCIO Y EL CLIENTE NECESTABA URGENTE </t>
  </si>
  <si>
    <t xml:space="preserve">OCEANA 2019 $ 1400000 ENTREGADO 8% </t>
  </si>
  <si>
    <t xml:space="preserve">OCEANA $ 1.700.000 DESISTIO - NO SE LE ENCONTRO APTO </t>
  </si>
  <si>
    <t>HACIENDA NIQUA 708 $ 1.350.000 ENTREGADO 8%</t>
  </si>
  <si>
    <t xml:space="preserve">ALTOBELO 2404 $ 1.000.000 DESITIO DIRECTO </t>
  </si>
  <si>
    <t>OCEANA 2027 ENTREGADO  $ 1.730.000  6850789-6081</t>
  </si>
  <si>
    <t xml:space="preserve">CALLE 24 # 55-95 402 CABAÑAS $ 1.150.000 ENTREGADO </t>
  </si>
  <si>
    <t>CAMINO DEL VIENTO 2402 $ 1.100.000 ENTREGADO</t>
  </si>
  <si>
    <t xml:space="preserve">PUERTO PARAISO 905  $ 1.000.000  ENTREGADO </t>
  </si>
  <si>
    <t xml:space="preserve">FLOR 1825 $ 1.300.000 ENTREGADO </t>
  </si>
  <si>
    <t xml:space="preserve">FLOR 2527 $ 1.450.000   6853421 - 1035865129 -DESITIO NO NOS PUDIMOS CONSEGUIR EL APTO </t>
  </si>
  <si>
    <t xml:space="preserve">LA CASONA 1905 $ 750.000 DESISTIDO </t>
  </si>
  <si>
    <t xml:space="preserve">PUERTO PARAISO 710 $ 1.100.000 DESITIDO NO TIENE A QUIEN MAS PRESENTAR </t>
  </si>
  <si>
    <t>PUERTO PARAISO 1508 $ 1.150.000 NEGADO</t>
  </si>
  <si>
    <t xml:space="preserve">CIUDAD CENTRAL 101 $ 1.250.000 NEGADO  6852023 -6619 DIGITAL </t>
  </si>
  <si>
    <t>SANTA ISABEL 3220 $ 1.500.000 ENTREGADO</t>
  </si>
  <si>
    <t xml:space="preserve">PUERTO AZUL  2008 $ 1.600.000 ENTREGADO </t>
  </si>
  <si>
    <t xml:space="preserve">FLOR DE AGUA  2131 $ 1.400.000 ENTREGADO </t>
  </si>
  <si>
    <t xml:space="preserve">LOCAL 108 CANTARES DE RIACHUELOS $ 1400000 ENTREGADO </t>
  </si>
  <si>
    <t xml:space="preserve">PUERTO VENTURA 212  $ 1.250.000 ENTREGADO </t>
  </si>
  <si>
    <t xml:space="preserve">PUERTO PARAISO 2115  $ 1.200.000   ENTREGADO </t>
  </si>
  <si>
    <t xml:space="preserve">MADERA NATURAL 1902 $ 1.000.000 EN ESTUDIO DIGITAL 6852811-1000305846 - PDT ANEXAR DEUDOR </t>
  </si>
  <si>
    <t xml:space="preserve">FLOR DE AGUA PDT APTO 1431 $ 1.300.000 DESITIDO </t>
  </si>
  <si>
    <t xml:space="preserve">TIERRA LINDA 2506 $ 850.000 DESISTIO </t>
  </si>
  <si>
    <t xml:space="preserve">LUISA MEJIA </t>
  </si>
  <si>
    <t xml:space="preserve">CEIBA DEL NORTE 1704 $ 900.000  ENTREGADO </t>
  </si>
  <si>
    <t xml:space="preserve">MADERA SILVESTRE 1412 $ 1.100.000 ENTREGADO </t>
  </si>
  <si>
    <t xml:space="preserve">APTO NIQUIA CAMACOL $ 700.000 ENTREGADO </t>
  </si>
  <si>
    <t>TORRES DE LA MACARENA 102</t>
  </si>
  <si>
    <t xml:space="preserve">OCEANA 2019 $ 1400000 ENTREGADO </t>
  </si>
  <si>
    <t>LA CASONA 1905 $ 750.000 ENTREGADO</t>
  </si>
  <si>
    <t xml:space="preserve">FLOR 732  $ 1.200.000  ENTREGADO </t>
  </si>
  <si>
    <t>FLOR 2632 $ 1.250.000- ENTREGADO</t>
  </si>
  <si>
    <t xml:space="preserve">CALLE 69 N° 51 D – 15- EN FIRMAS </t>
  </si>
  <si>
    <t xml:space="preserve"> NORDICA  1207 EN ESTUDIO UAR 7305627-1,020,490,578 NEGADOS 					</t>
  </si>
  <si>
    <t>CEIBA DEL NORTE 1704 $ 900.000 ENTREGADO</t>
  </si>
  <si>
    <t xml:space="preserve">NORDICA 1207 $ 1.250.000 CLIENTE DESISTIO DEL ESTUDIO </t>
  </si>
  <si>
    <t xml:space="preserve">CURAZAO 1606 $ 800.000  6851603-6889 DESISTIDO </t>
  </si>
  <si>
    <t xml:space="preserve">CEIBA DEL NORTE  1000000DESISTIDO SE FUE A VIVIR CON LOS PAPAS </t>
  </si>
  <si>
    <t xml:space="preserve">NORDICA 1213 $ 900.000 DESISTIO LE SALIO UN VIAJE </t>
  </si>
  <si>
    <t xml:space="preserve">CAMINO DEL VIENTO 1015 $ 1050000DESISTIO  NINGUNA DE LAS DOS PERSONAS QUIERE SER ARRENDATARIO </t>
  </si>
  <si>
    <t xml:space="preserve">HACIENDA NIQUA 708 $ 1.350.000 ENTREGADO </t>
  </si>
  <si>
    <t xml:space="preserve">ARTURO RIUIZ </t>
  </si>
  <si>
    <t xml:space="preserve">MONTESION 1105 $ 900.000 ENTREGADO </t>
  </si>
  <si>
    <t xml:space="preserve">MADERA NATURAL 1902 $ 1.000.000 ENTREGADO   </t>
  </si>
  <si>
    <t>OCEANA 2027   $ 1.730.000  ENTREGADO</t>
  </si>
  <si>
    <t xml:space="preserve">NORDICA 1213 $ 900.000- ENTREGADO </t>
  </si>
  <si>
    <t xml:space="preserve">NORDICA 1207 $ 1.250.000  ENTREGADO </t>
  </si>
  <si>
    <t xml:space="preserve">NORDICA 1715 $ 1.000.000 ENTREGADO </t>
  </si>
  <si>
    <t xml:space="preserve">ARBOLES 1905 $ 950.000 EN ESTUDIO DIGITAL  6855561-1036667703 EN FIRMAS </t>
  </si>
  <si>
    <t xml:space="preserve">LOS ARBOLES 6858494-70542674 $ 900.000 -NEGADO </t>
  </si>
  <si>
    <t xml:space="preserve">ARBOLES 1905 $ 950.000 EN FIRMAS </t>
  </si>
  <si>
    <t xml:space="preserve">CURAZAO  $ 900.000 6852790 - 1077870099 DESITIO NO QUISO TERMINAR EL PROCESO CON LA ASEGURADORA PORQUE CONSIGIO DIRECTO </t>
  </si>
  <si>
    <t xml:space="preserve">CEIBA DEL NORTE 730 $ 1.300.000  NEGADOS AMBOS </t>
  </si>
  <si>
    <t xml:space="preserve">FLORIDA DE NORTEAMERICA 1250 $ 1.200.000  ENTREGADO </t>
  </si>
  <si>
    <t xml:space="preserve">ALONSO LOPEZ </t>
  </si>
  <si>
    <t xml:space="preserve">LOS ARBOLES 2018 $ 1.150.000 ENTREGADO </t>
  </si>
  <si>
    <t xml:space="preserve">LOS ARBOLES 1508 $ 870.000 ENTREGADO </t>
  </si>
  <si>
    <t xml:space="preserve">PUERTO ALEGRE 1801 $ 1.000.000 ENTREGADO </t>
  </si>
  <si>
    <t xml:space="preserve">LOS ARBOLES 813 $ 1.050.000 ENTREGADO </t>
  </si>
  <si>
    <t xml:space="preserve">INFORME LUISA MARIN SEPTIEMBRE      2021 </t>
  </si>
  <si>
    <t>LOCAL BARRIO SUAREZ $ 2.200.000 -43819816
Sol #6855535</t>
  </si>
  <si>
    <t xml:space="preserve">DESISTIO, PARO EL PROCESO DE BUSCAR LOCLA </t>
  </si>
  <si>
    <t>MADERA NATURAL 1902 $ 1.000.000 EN ESTUDIO DIGITAL 6852811-1000305846</t>
  </si>
  <si>
    <t xml:space="preserve">EN ESTUDIO DIGITAL </t>
  </si>
  <si>
    <t xml:space="preserve">FLOR DE AGUA 2527 $ 1.400.000   CC 43661578  # </t>
  </si>
  <si>
    <t xml:space="preserve">SOLICITUD 6855423- CLIENTE DESISTIO NO SE LE DIO UN NEGOCIO QUE TENIA PARA PODER TOMAR EL INMUEBLE </t>
  </si>
  <si>
    <t>CURAZAO 1506 $ 800.000 EN ESTUDIO DIGITAL 6851603-6889</t>
  </si>
  <si>
    <t xml:space="preserve">FLOR 2527 $ 1.450.000 EN ESTUDIO DIGITAL 6853421 - 1035865129 </t>
  </si>
  <si>
    <t xml:space="preserve">DESITIO NO SE LE ´PUDO CONSEGUIR EL APTO </t>
  </si>
  <si>
    <t xml:space="preserve">OCEANA $ 1.700.000 </t>
  </si>
  <si>
    <t xml:space="preserve">DESISTIO ENCONTRO OTRO APTO </t>
  </si>
  <si>
    <t xml:space="preserve">CURAZAO PDT APTO EN ESTUDIO $ 900.000 6852790 - 1077870099 </t>
  </si>
  <si>
    <t xml:space="preserve">DESITIO NO QUISO TERMINAR EL PROCESO CON LA ASEGURADORA PORQUE CONSIGIO DIRECTO </t>
  </si>
  <si>
    <t xml:space="preserve">ALTOBELO 2404 $ 1.000.000  </t>
  </si>
  <si>
    <t xml:space="preserve">DESISTIDO ARRENDO DIRECTO </t>
  </si>
  <si>
    <t xml:space="preserve">DESITIO </t>
  </si>
  <si>
    <t xml:space="preserve">LA CASONA 1905 $ 750.000 EN ESTUDIO </t>
  </si>
  <si>
    <t xml:space="preserve">FLOR DE AGUA 1431  $ 1.300.000 </t>
  </si>
  <si>
    <t xml:space="preserve">DESITIO ENCONTRO DIRECTO </t>
  </si>
  <si>
    <t>NORDICA 1715 $ 1.000.000</t>
  </si>
  <si>
    <t xml:space="preserve">NEGADO AMBOS </t>
  </si>
  <si>
    <t xml:space="preserve">NORDICA 1213 $ 900.000 </t>
  </si>
  <si>
    <t xml:space="preserve">DESISTIO LE SALIO UN VIAJE </t>
  </si>
  <si>
    <t xml:space="preserve">LOS ARBOLES 1508 $ 870.000 </t>
  </si>
  <si>
    <t xml:space="preserve">ENTREGAGO- DATO DE PORTERO SE PAGA AL 2% </t>
  </si>
  <si>
    <t xml:space="preserve">SANTA ISABEL 3220 $ 1.500.000 </t>
  </si>
  <si>
    <t xml:space="preserve">PUERTO ALEGRE 1801 $ 1.000.000 </t>
  </si>
  <si>
    <t>CALLE 24 # 55-95 402 CABAÑAS $ 1.150.000</t>
  </si>
  <si>
    <t xml:space="preserve">CAMINO DEL VIENTO 2402 $ 1.100.000 </t>
  </si>
  <si>
    <t xml:space="preserve">MADERA SILVESTRE 1412 $ 1.100.000  7292720-7703 </t>
  </si>
  <si>
    <t xml:space="preserve">MONTESION 1105 $ 900.000 6851589-3841  </t>
  </si>
  <si>
    <t>FLOR DE AGUA 2131$ 1.400.000</t>
  </si>
  <si>
    <t>OCEANA 2027 $ 1.730.000   6850789-6081</t>
  </si>
  <si>
    <t>LA CASONA 1905 $ 730.000 6854364-1234990042</t>
  </si>
  <si>
    <t>FLOR 732 $ 1.200.000 6853874 - 1065580321</t>
  </si>
  <si>
    <t>LOCAL 108 CANTARES DE RIACHUELOS $ 1400000 INICIA 18 SEPT</t>
  </si>
  <si>
    <t>PUERTO VENTURA 212  $ 1.250.000  6854147 -1020426830</t>
  </si>
  <si>
    <t xml:space="preserve">FLOR 2632 $ 1.250.000-  6854499- 1017249818  </t>
  </si>
  <si>
    <t>LOS ARBOLES 813 $ 1.050.00-  6854017-44001734</t>
  </si>
  <si>
    <t xml:space="preserve">NORDICA 1207 $ 1.250.000-  6857752-1047401406 </t>
  </si>
  <si>
    <t>PND PAGO</t>
  </si>
  <si>
    <t xml:space="preserve">NORDICA 1715 $ 1.000.000 - 6853486-0530 </t>
  </si>
  <si>
    <t>CALLE 69 N° 51 D – 15</t>
  </si>
  <si>
    <t xml:space="preserve">INFORME JOAN MEJIA SEPTIEMBRE   2021 </t>
  </si>
  <si>
    <t xml:space="preserve">LOS ARBOLES 6858494-70542674 $ 900.000 </t>
  </si>
  <si>
    <t xml:space="preserve">EN ESTUDIO NEGADO </t>
  </si>
  <si>
    <t xml:space="preserve"> NORDICA  1207 EN ESTUDIO UAR 7305627-1,020,490,578</t>
  </si>
  <si>
    <t xml:space="preserve">NORDICA 1207 $ 1.250.000 EN ESTUDIO UAR </t>
  </si>
  <si>
    <t xml:space="preserve">EN ESTUDIO UAR-CLIENTE DESISTIO DEL ESTUDIO </t>
  </si>
  <si>
    <t>CAMINO DEL VIENTO 1620 $ 1.100.000</t>
  </si>
  <si>
    <t xml:space="preserve">DESISTIDO PRO DESITIO DE ARRENDAT Y EL CLIENTE NECESTA URGE NTE EL APTO </t>
  </si>
  <si>
    <t xml:space="preserve">CEIBA DEL NORTE 730 $ 1.300.000 </t>
  </si>
  <si>
    <t xml:space="preserve">PUERTO PARAISO 710 $ 1.100.000 </t>
  </si>
  <si>
    <t xml:space="preserve">DESITIDO NO TIENE A QUIEN MAS PRESENTAR </t>
  </si>
  <si>
    <t>CEIBA DEL NORTE PDT $ 1.000.000</t>
  </si>
  <si>
    <t xml:space="preserve">DESISTIDO SE FUE A VIVIR CON LOS PAPAS </t>
  </si>
  <si>
    <t xml:space="preserve">PUERTO PARAISO 1508 $ 1.150.000 </t>
  </si>
  <si>
    <t>CIUDAD CENTRAL 101 $ 1.250.000 EN ESTUDIO 6852023 -6619 DIGITAL</t>
  </si>
  <si>
    <t>CAMINO DEL VIENTO 1015 $ 1.050.000  EN ESTUDIO 7299908-71,221,809</t>
  </si>
  <si>
    <t xml:space="preserve"> NINGUNA DE LAS DOS PERSONAS QUIERE SER ARRENDATARIO </t>
  </si>
  <si>
    <t>FLORIDA DE NORTEAMERICA 1250 $ 1.200.000</t>
  </si>
  <si>
    <t xml:space="preserve">PUERTO PARAISO 903 $ 1.100.000 </t>
  </si>
  <si>
    <t xml:space="preserve">LOS ARBOLES 2018 $ 1.150.000 </t>
  </si>
  <si>
    <t>HACIENDA NIQUA 708 $ 1.350.000</t>
  </si>
  <si>
    <t xml:space="preserve">APTO NIQUIA CAMACOL $ 700.000 </t>
  </si>
  <si>
    <t xml:space="preserve">OCEANA 2019 $ 1400000 </t>
  </si>
  <si>
    <t xml:space="preserve">MATE ROMERO </t>
  </si>
  <si>
    <t>MADERA  NATURAL 1902$ 1.000.000 -  7292789- 8566</t>
  </si>
  <si>
    <t>NORDICA 1213 $ 900.000- 7299738 -2199</t>
  </si>
  <si>
    <t xml:space="preserve">PUERTO AZUL 2008 $ 1.600.000 </t>
  </si>
  <si>
    <t>PUERTO PARAISO 905  $ 1.000.000 EN ESTUDIO DIGITAL - 6855458- 1036617337</t>
  </si>
  <si>
    <t xml:space="preserve">PUERTO PARAISO 810 $ 1.100.000 </t>
  </si>
  <si>
    <t xml:space="preserve">FLOR 1825 $ 1.300.000 EN FIRMAS  UAR 7299958-1,214,715,744 </t>
  </si>
  <si>
    <t>PUERTO PARAISO 2115  $ 1.200.000  6852774- 1216722675 DIGITAL</t>
  </si>
  <si>
    <t xml:space="preserve">PDT PAGO </t>
  </si>
  <si>
    <t xml:space="preserve">ARBOLES 1905 $ 950.000 EN ESTUDIO DIGITAL  6855561-1036667703 </t>
  </si>
  <si>
    <t xml:space="preserve">INFORME GENERAL   SEPTIEMBRE     2021 </t>
  </si>
  <si>
    <t xml:space="preserve">PUERTO PARAISO 903 $ 1.100.000 EN ESTUDIO </t>
  </si>
  <si>
    <t>PUERTO ALEGRE 1801 $ 1.000.000 EN FIRMAS</t>
  </si>
  <si>
    <t>CALLE 27 A N° 50 A – 42 AP 402</t>
  </si>
  <si>
    <t xml:space="preserve">MADERA SILVESTRE 1412 $ 1.100.000 EN ESTUDIO 7292720-7703 </t>
  </si>
  <si>
    <t xml:space="preserve">PUERTO PARAISO 905  $ 1.000.000 </t>
  </si>
  <si>
    <t xml:space="preserve">PUERTO VENTURA 212  $ 1.250.000  6854147 -1020426830- EN FIRMAS </t>
  </si>
  <si>
    <t xml:space="preserve">FLOR 2632 $ 1.250.000-  6854499- 1017249818  EN FIRMAS </t>
  </si>
  <si>
    <t>LOS ARBOLES 813 $ 1.050.000 EN FIRMAS  6854017-44001734</t>
  </si>
  <si>
    <t xml:space="preserve">NORDICA 1207 $ 1.250.000  ESTUDIO DIGITAL 6857752-1047401406 LIMITE A 12 MESES </t>
  </si>
  <si>
    <t>1.500.000</t>
  </si>
  <si>
    <t>BRICEÑO PARDO RICHARD OSWALDO</t>
  </si>
  <si>
    <t>DG 55 32 64 CA 3222</t>
  </si>
  <si>
    <t>ARROYAVE CASTANO JUAN FERNANDO</t>
  </si>
  <si>
    <t>AV 42 B 51 51 AP 1508</t>
  </si>
  <si>
    <t>RESTREPO ZAPATA MARIA ALEXANDRA</t>
  </si>
  <si>
    <t>AV 33 DIAGONAL 51 - 101 AP 1213</t>
  </si>
  <si>
    <t>HINCAPIE ZULUAGA MARIA OTILIA</t>
  </si>
  <si>
    <t>CALLE 38 55 - 221 AP 2008</t>
  </si>
  <si>
    <t>SEDE BELLO - OCTUBRE  2021</t>
  </si>
  <si>
    <t xml:space="preserve">6877980- 71392524 $ 1.100.000 ENSENADA 2324 DESISTIDO CLIENTE NO CONTESTA </t>
  </si>
  <si>
    <t xml:space="preserve">PUERTO PARAISO 1305 $1.000.000 6859367-  1,214,718,672 ENTREGADO </t>
  </si>
  <si>
    <t xml:space="preserve">ALTOBELLO 908 $ 970.000 6871154- 43678007  EN FIRMAS </t>
  </si>
  <si>
    <t xml:space="preserve">MEDITERRANEA 1917 $ 1.100.000 6878040 -1020446396 ENTREGADO 					</t>
  </si>
  <si>
    <t xml:space="preserve">PUERTO AZUL 2902 $ 1.800.000  7325968-3654 DESITIDO NO SE VA A CAMBIAR DE CIUDAD </t>
  </si>
  <si>
    <t xml:space="preserve">6878049 -  1048212189 $ 1.300.000 Florida Norte américa 408 ENTREGADO  </t>
  </si>
  <si>
    <t xml:space="preserve">FLOR 928 $ 1.200.000 EN ESTUDIO EN ESTUDIO DIGITAL 6859586- 98,576,517-DESISTIDO </t>
  </si>
  <si>
    <t xml:space="preserve"> ENSENADA 2324 $ 1.100.000 </t>
  </si>
  <si>
    <t xml:space="preserve">PUERTO AZUL BUSCANDO APTO $ 1.800.000  EN ESTUDIO DIGITAL 6855429-  1,020,425,120 DESITIDO ENCONTRO DIRECTO </t>
  </si>
  <si>
    <t xml:space="preserve">MADERA SILVESTRE 1706 $ 1.000.000 EN ESTUDIO DIGITAL 92555824
Sol. #6857707 DESISTIDO CONSIGUIO DIRECTO EN OTRA ZONA </t>
  </si>
  <si>
    <t xml:space="preserve">ENSENADA 1820 $ 1.100.000 EN ESTUDIO DIGITAL 6853989-1,152,716,759-DESISTIDO CLIENTE NO VOLVIO A RESPONDER </t>
  </si>
  <si>
    <t xml:space="preserve">MARECHIANO 202 $ 1150000 ENTREGADO </t>
  </si>
  <si>
    <t xml:space="preserve">CAMINO DEL VIENTO  1722 $ 1.200.000 ENTREGADO </t>
  </si>
  <si>
    <t xml:space="preserve">ENSENADA 1919 $ 1.200.000 C.C # 1035438845-SOL #6866498 ENTREGADO </t>
  </si>
  <si>
    <t xml:space="preserve">ENSENDA 1918 $ 1150000 REUBICACION 6053870-0077 ENTREGADO </t>
  </si>
  <si>
    <t xml:space="preserve">MEDITERRANEA 830  $ 1.400.000 6879570- 71,973,959 ENTREGADO </t>
  </si>
  <si>
    <t>16+3</t>
  </si>
  <si>
    <t xml:space="preserve">PUERTO NUEVO 336 $ 1.250.000 EN ESTUDIO DIGITAL 6853711-70695459- DESISTIDO NO TIENE A QUIEN PRESENTAR </t>
  </si>
  <si>
    <t xml:space="preserve">CEIBA 1314 $ 1.100.000 6861143-1017218650 ENTREGADO </t>
  </si>
  <si>
    <t xml:space="preserve">PUERTO AZUL PDT APTO $ 1600000- 6857337 CC 39358348 ESTUDIO DIGITAL 23 DE SEP -DESISTIDO - NO TIENEN DEUDOR </t>
  </si>
  <si>
    <t xml:space="preserve">PUERTO PARAISO 504 $ 1.200.000 ENTREGADO </t>
  </si>
  <si>
    <t xml:space="preserve">PUERTO PARAISO PISO ALTO 6855995-1214740463 $ 1.100.000DESISTIDO NO TIENE A QUIEN PRESENTAR </t>
  </si>
  <si>
    <t xml:space="preserve">PUERTO NUEVO 708 $ 1.200.000  6855995-1214740463 ENTREGADO </t>
  </si>
  <si>
    <t xml:space="preserve">6877975 -1214718283 $ 1.000.000 PUERTO PARAISO 102 DESISTIDO RENOVO DONDE ESTABA </t>
  </si>
  <si>
    <t xml:space="preserve">MADERA SILVESTRE 1706 $ 1.050.000 E D 6859521-1020396374 ENTREGADO </t>
  </si>
  <si>
    <t xml:space="preserve">CASA CABAÑAS $ 1.000.000 7331882 -1,005,838,510 NEGADO </t>
  </si>
  <si>
    <t xml:space="preserve">MADERA SILVESTRE 1302 $ 1.100.000 - 10002509-1507  EN FIRMAS </t>
  </si>
  <si>
    <t xml:space="preserve">APTO CABAÑAS $ 900.000 7329652  - 50,998,564 NEGADO </t>
  </si>
  <si>
    <t xml:space="preserve">DIANA ESCUDERO </t>
  </si>
  <si>
    <t xml:space="preserve">FLOR 928 $ 1200000 6859269 -8402922- CONSIGUIO DIRECTO </t>
  </si>
  <si>
    <t>MEDITERRANEA PDT APTO 6856402- 1128275175 DESITIDO PROBLEMA PERSONAL $ 1.200.000</t>
  </si>
  <si>
    <t xml:space="preserve">FLOR 928 $ 1.200.000 EN ESTUDIO UAR PDT RADICADO 7202661 -1,001,234,329 PDT DEUDOR -DESITIO SALIO DEL PAIS </t>
  </si>
  <si>
    <t xml:space="preserve">MEDITERRANEA 718 $ 1,300.000 ESTUDIO DIGITAL 6857771 1094918279- </t>
  </si>
  <si>
    <t xml:space="preserve">PUERTA MADERA 1828 -6858668 -98766347 $ 1.000.000 ENTREGADO </t>
  </si>
  <si>
    <t xml:space="preserve">PUERTO PÁRAISO 701  $ 1000000 ESTUDIO UAR 7316650-80,143,446 ENTREGADO </t>
  </si>
  <si>
    <t xml:space="preserve">ARTURO RIUZ </t>
  </si>
  <si>
    <t xml:space="preserve">POBLADO NIQUIA 2328 $ 900.000 CAMBIO DE INMUEBLE 7318308- 1,216,715,326 ENTREGADO </t>
  </si>
  <si>
    <t> 12351</t>
  </si>
  <si>
    <t xml:space="preserve">CAMINO DEL VIENTO 1416 $ 1200000 10000712 -1035853446 EN FIRMAS LIMITE 12 MESES </t>
  </si>
  <si>
    <t xml:space="preserve">ALTOBELO 908 $ 970.000 10002704-1128473115 EN FIRMAS </t>
  </si>
  <si>
    <t xml:space="preserve">100001524-1152197592 PUERTO PARAISO $ 1100000 DESITIO </t>
  </si>
  <si>
    <t xml:space="preserve">Torre navarra 205 $ 1.200.000 - 100002220-1001249648 NEGADO </t>
  </si>
  <si>
    <t xml:space="preserve">MONTE SION 1608 $ 950.000 7324896-1035915876 ENTREGADO </t>
  </si>
  <si>
    <t xml:space="preserve">MADERA NATURAL 901 $ 1.100.000 10000278- 1020469687 NEGADO </t>
  </si>
  <si>
    <t xml:space="preserve">NORDICA 811 $ 1.350.000  6873093 7819 $ 1.300.000 EN FIRMAS </t>
  </si>
  <si>
    <t xml:space="preserve">6878134 -1080365393 MADERA SILVESTRE 1007 $ 1.100.000 -6878117- 55173866 PDT ANEXAR DEUDOR Y APTO </t>
  </si>
  <si>
    <t xml:space="preserve">NORDICA 811  $ 1.350.000 ESTUDIO DIGITAL 6863320- 1020438786 hablar propietario - tatiana 3023768834 DESITIO CLIENTE SALIO DE VIAJE </t>
  </si>
  <si>
    <t xml:space="preserve">6869226- 1002944210  MEDITERRANEA 1329 $ 1.400.000   PDT ANEXAR DEUDOR </t>
  </si>
  <si>
    <t xml:space="preserve">6869230 1002944210 $ 1.350.000 MEDITERRANEA 719 PDT ANEXAR DEUDOR </t>
  </si>
  <si>
    <t xml:space="preserve">CASA SANTA ANA 6879012-1128274909 $ 750.000 DESISTIO DIRECTO MAS ECONOMICO  </t>
  </si>
  <si>
    <t xml:space="preserve">NORDICA 815 $ 1000000 6872060 2016DEIDTO NO CONSIGUO DEUDOR  </t>
  </si>
  <si>
    <t xml:space="preserve">MADERA SILVESTRE 1007 $ 1.100.000 6875484- 11225693 NEGADO </t>
  </si>
  <si>
    <t>PUERTO PARAISO 1402 $ 1.050.000 DESITIO PROBLEMA FAMILIAR</t>
  </si>
  <si>
    <t xml:space="preserve">PUERTO AZUL 2902 $ 1.880.000 ESTUDIO DIGITAL 6859184 - 1,128,268,761 DESISTIDO NO TIENE A QUIEN MAS PRESENTAR COMO DEUDOR </t>
  </si>
  <si>
    <t xml:space="preserve">NORDICA PDT APTO $ 1.250.000 -6858466  -7839 DESITIO ENCONTRO DIRECTO Y EN OTRO SECTOR </t>
  </si>
  <si>
    <t xml:space="preserve">ALCALA 614 $ 950.000 EN ESTUDIO UAR 7299774- 1035856809- DESISTIDO NO TIENE A QUIEN MAS PRESENTAR </t>
  </si>
  <si>
    <t xml:space="preserve">PUERTO PARAISO 1305 $ 1.000.000 6857777
6550  DESISTIO ENCONTRO OTRO APTO </t>
  </si>
  <si>
    <t>CURAZAO 2039 $ 950.000 EN ESTUDIO UAR - pdte anexar carta de cambio de roles -EN ESTUDIO UAR 7299733-1979</t>
  </si>
  <si>
    <t xml:space="preserve">NORDICA 1404 $ 900.000 EN ESTUDIO DIGITAL 6855400- 1045107567 DESISTIDO NO CONSIGUIO DEUDOR </t>
  </si>
  <si>
    <t xml:space="preserve"> NORDICA 811 $ 1.350.000 6861152-1038385140 DESISTIDO  NO SE PUDO UBICAR </t>
  </si>
  <si>
    <t xml:space="preserve">MONTESION 2206 $ 1.000.000 6851648- 1003 ENTREGADO </t>
  </si>
  <si>
    <t xml:space="preserve">NORDICA 1214 $ 930000 ESTUDIO DIGITAL 6858394- 71592093 ENTREGADO </t>
  </si>
  <si>
    <t xml:space="preserve">TORRE DEL BOSQUE 908 $ 900.000 ENTREGADO 6859089-1,091,665,638 </t>
  </si>
  <si>
    <t xml:space="preserve">6878099 -21351720 NORDICA 815 $ 980.000 ENTREGADO </t>
  </si>
  <si>
    <t xml:space="preserve">MONTE SION 805 $ 950000 6879568 - 1035866326  ENTREGADO </t>
  </si>
  <si>
    <t xml:space="preserve">MADERA SILVESTRE 1302 $ 1.100.000 - 10002509-1507  ENTREGADO </t>
  </si>
  <si>
    <t xml:space="preserve">LOS ARBOLES 1414 $ 1.000.000  7241755-  1,035,879,999 DESITIDO </t>
  </si>
  <si>
    <t xml:space="preserve">ENTREVIENTOS $ 850.000  2101 6860975 - 1070972308  APROBADO PDT QUE SE DECIDA - DESISTIDO NO CONTESTA </t>
  </si>
  <si>
    <t xml:space="preserve">LOS ARBOLES 1810 $ 1.300.000 EN ESTUDIO DIGITAL 7315533- 8613 DESITIO NO TIENE DEUDORES </t>
  </si>
  <si>
    <t xml:space="preserve">PUERTO PARAISO6858523- 43451766 $ 1.150.000 NO TIENE DEUDORES </t>
  </si>
  <si>
    <t xml:space="preserve">LOS ARBOLES 1810 $ 1200000 - 6859209- 79728336 -NEGADO </t>
  </si>
  <si>
    <t xml:space="preserve">CEIBA 504  $ 950.000 ENTREGADO </t>
  </si>
  <si>
    <t xml:space="preserve">CURAZAO 2039 $ 900.000 6854560- 7918563 ENTREGADO </t>
  </si>
  <si>
    <t xml:space="preserve">LOS ARBOLES 1516  $ 1.050.000 6862757- 1053001853 ENTREGADO </t>
  </si>
  <si>
    <t xml:space="preserve">6866543- 1017201125 CERRO AZUL 1407  $ 900000 ENTREGADO </t>
  </si>
  <si>
    <t xml:space="preserve">joan MEJIA </t>
  </si>
  <si>
    <t>6863478-21950308 CURAZAO 1130 -LIMITE 12 MESES ENTREGADO  $ 850000</t>
  </si>
  <si>
    <t xml:space="preserve">6869269- 15325240 LOS ARBOLES 1810  $ 1300000 ENTREGADO </t>
  </si>
  <si>
    <t xml:space="preserve">INFORME LUISA MARIN OCTUBRE     2021 </t>
  </si>
  <si>
    <t xml:space="preserve">6877975 -1214718283 $ 1.000.000 PUERTO PARAISO 102 </t>
  </si>
  <si>
    <t xml:space="preserve">DESISTIO RENOVO DONDE ESTABA </t>
  </si>
  <si>
    <t xml:space="preserve">100001524-1152197592 PUERTO PARAISO $ 1100000  </t>
  </si>
  <si>
    <t>Torre navarra 205 $ 1.200.000 - 100002220-1001249648</t>
  </si>
  <si>
    <t xml:space="preserve">CASA CABAÑAS $ 1.000.000 7331882 -1,005,838,510 EN ESTUDIO </t>
  </si>
  <si>
    <t xml:space="preserve">MADERA NATURAL 901 $ 1.100.000 10000278- 1020469687 </t>
  </si>
  <si>
    <t xml:space="preserve">DESISTUDO </t>
  </si>
  <si>
    <t>PUERTO NUEVO 336 $ 1.250.000 EN ESTUDIO DIGITAL 6853711-70695459-</t>
  </si>
  <si>
    <t xml:space="preserve">DESITIDO NO TIENE A QUIEN MAS PARA PRESENTAR COMO DEUDOR </t>
  </si>
  <si>
    <t xml:space="preserve">CURAZAO 2039 $ 950.000 EN ESTUDIO UAR </t>
  </si>
  <si>
    <t xml:space="preserve">DESISTIDO NO TIENE A QUIEWN MAS PARA PRESENTAR </t>
  </si>
  <si>
    <t xml:space="preserve">ENSENADA 1820 $ 1.100.000 </t>
  </si>
  <si>
    <t xml:space="preserve">EN ESTUDIO DIGITAL 6853989-1,152,716,759-DESISTIDO CLIENTE NO VOLVIO A RESPONDER </t>
  </si>
  <si>
    <t xml:space="preserve">ALCALA 614 $ 950.000 EN ESTUDIO UAR PDT ANEXAR DEUDOR </t>
  </si>
  <si>
    <t>PUERTO PARAISO 1305 $ 1.000.000 6857777
6550</t>
  </si>
  <si>
    <t xml:space="preserve">DESITIDO-AL CLIENTE LO TRASLADARON </t>
  </si>
  <si>
    <t xml:space="preserve">SEBASTIAB ECHAVARRIA </t>
  </si>
  <si>
    <t>MEDITERRANEA 718 $ 1,300.000 -6857771 1094918279-</t>
  </si>
  <si>
    <t xml:space="preserve">MONTESION 2206 $ 1.000.000 6851648- 1003  </t>
  </si>
  <si>
    <t xml:space="preserve">CURAZAO 2039 $ 900.000 -6854560- 7918563 </t>
  </si>
  <si>
    <t>FLORIDA DE NORTEAMERICA  408 6878049 -1048212189 $ 1.300.000</t>
  </si>
  <si>
    <t>ENSENDA 1918 $ 1150000 7329650-0077</t>
  </si>
  <si>
    <t>MEDITERRANEA 830 $ 1.300.000 6879570- 71,973,959</t>
  </si>
  <si>
    <t xml:space="preserve">MADERA SILVESTRE 1302 $ 1.100.000 - 10002509-1507 </t>
  </si>
  <si>
    <t>ALTOBELO 908 $ 970.000 10002704-1128473115</t>
  </si>
  <si>
    <t xml:space="preserve">INFORME JOAN MEJIA OCTUBRE    2021 </t>
  </si>
  <si>
    <t xml:space="preserve">LOS ARBOELS 1414 $ 1.000.000 7241755-  1,035,879,999 APROBADO PDT APTO  DESITIDO </t>
  </si>
  <si>
    <t xml:space="preserve">ALTOBELLO 908 $ 970.000 6871154- 43678007  </t>
  </si>
  <si>
    <t xml:space="preserve">6877980- 71392524 $ 1.100.000 ENSENADA 2324 </t>
  </si>
  <si>
    <t xml:space="preserve">DESITIO CLIENTE NO CONTESTA </t>
  </si>
  <si>
    <t xml:space="preserve">PUERTO AZUL 2902 $ 1.800.000  7325968-3654 EN FIRMAS 				</t>
  </si>
  <si>
    <t xml:space="preserve">DESISTIDO NO SE VA A TRASLADAR DE CIUDAD </t>
  </si>
  <si>
    <t xml:space="preserve">ARTURI RUIZ </t>
  </si>
  <si>
    <t xml:space="preserve">NORDICA 811 $ 1.350.000 ESTUDIO DIGITAL 6863320- 1020438786 </t>
  </si>
  <si>
    <t xml:space="preserve">DESISTIO SALIO DE VIAJE </t>
  </si>
  <si>
    <t xml:space="preserve">6869226- 1002944210  MEDITERRANEA 1329 $ 1.400.000   </t>
  </si>
  <si>
    <t>6869230 1002944210 $ 1.350.000 MEDITERRANEA 719</t>
  </si>
  <si>
    <t xml:space="preserve">MADERA SILVESTRE 1007 $ 1.100.000 6875484- 11225693 </t>
  </si>
  <si>
    <t xml:space="preserve">EN ESTUDIO-NEGADO </t>
  </si>
  <si>
    <t xml:space="preserve">FLOR 928 $ 1.200.000 EN ESTUDIO </t>
  </si>
  <si>
    <t xml:space="preserve">EN ESTUDIO DIGITAL 6859586- 98,576,517 LIMITE 12 MESES PDT DECIDIRSE POR APTO </t>
  </si>
  <si>
    <t xml:space="preserve">ENTREVIENTOS $ 850.000  2101 6860975 - 1070972308  APROBADO PDT QUE SE DECIDA </t>
  </si>
  <si>
    <t xml:space="preserve">DESISTIDO CLIENTE NO CONTESTA </t>
  </si>
  <si>
    <t xml:space="preserve">LOS ARBOLES 1810 $ 1.300.000 </t>
  </si>
  <si>
    <t xml:space="preserve">ESTUDIO DIGITAL 7315533- 8613 DESISTIDO NO TIENE DEUDORES </t>
  </si>
  <si>
    <t xml:space="preserve">PUERTO PARAISO 1402 $ 1.050.000 </t>
  </si>
  <si>
    <t>PUERTO AZUL BUSCANDO APTO $ 1.800.000  EN ESTUDIO DIGITAL 6855429-  1,020,425,120</t>
  </si>
  <si>
    <t xml:space="preserve">DESITIDO ENCONTRO DIRECTO </t>
  </si>
  <si>
    <t xml:space="preserve">NORDICA 811 $ 1.350.000 6861152-1038385140 </t>
  </si>
  <si>
    <t xml:space="preserve"> desistido </t>
  </si>
  <si>
    <t>FLOR 928 $ 1200000 6859269 -8402922</t>
  </si>
  <si>
    <t xml:space="preserve">PUERTO AZUL 2902 $ 1.880.000 ESTUDIO DIGITAL </t>
  </si>
  <si>
    <t xml:space="preserve">6859184 - 1,128,268,761 NO TIENE  DEUDOR </t>
  </si>
  <si>
    <t xml:space="preserve">PUERTO PARAISO6858523- 43451766 $ 1.150.000 ESTUDIO DIGITAL </t>
  </si>
  <si>
    <t xml:space="preserve">DESITUDO NO CONTESTA </t>
  </si>
  <si>
    <t>MEDITERRANEA PDT APTO 6856402- 1128275175  $ 1.200.000</t>
  </si>
  <si>
    <t>DESITIDO PROBLEMA PERSONAL</t>
  </si>
  <si>
    <t xml:space="preserve">EN ESTUDIO UAR </t>
  </si>
  <si>
    <t xml:space="preserve">NORDICA PDT APTO $ 1.250.000 -6858466  -7839 </t>
  </si>
  <si>
    <t xml:space="preserve">DESITIDO ENCONTRO DIRECTO Y EN OTRO SECTOR </t>
  </si>
  <si>
    <t xml:space="preserve">PUERO AZUL PDT APTO $ 1600000- 6857337 CC 39358348 ESTUDIO DIGITAL 23 DE SEP </t>
  </si>
  <si>
    <t xml:space="preserve">NORDICA 1404 $ 900.000  </t>
  </si>
  <si>
    <t xml:space="preserve">MADERA SILVESTRE 1706 $ 1.000.000 </t>
  </si>
  <si>
    <t xml:space="preserve"> EN ESTUDIO DIGITAL 92555824
Sol. #6857707 DESISTIDO CONSIGUIO DIRECTO EN OTRA ZONA</t>
  </si>
  <si>
    <t xml:space="preserve">CEIBA 504  $ 950.000 </t>
  </si>
  <si>
    <t>NORDICA 1214 $ 930000 -6858394- 71592093</t>
  </si>
  <si>
    <t>PUERTA MADERA 1828 -6858668 -98766347 $ 1.000.000</t>
  </si>
  <si>
    <t xml:space="preserve">NORDICA 1813 $ 1.000.000 -7310845-43300053 </t>
  </si>
  <si>
    <t xml:space="preserve">TORRE DEL BOSQUE 908 $ 900.000 - 6859089-1,091,665,638 </t>
  </si>
  <si>
    <t xml:space="preserve">CAMINO DEL VIENTO  1722 $ 1.200.000 1,128,454,295- 7315531 </t>
  </si>
  <si>
    <t>MARECHIANO $ 1150000 6859181- 71717707</t>
  </si>
  <si>
    <t xml:space="preserve">MADERA SILVESTRE 1706 $ 1.050.000 E D 6859521-1020396374 </t>
  </si>
  <si>
    <t>PUERTO PARAISO 1305 $1.000.000 6859367-  1,214,718,672</t>
  </si>
  <si>
    <t xml:space="preserve">PUERTO PARAISO 701 $ 1000000  7316650-80,143,446 </t>
  </si>
  <si>
    <t>PUERTO PARAISO 504 15263985-6863429  1,200.000</t>
  </si>
  <si>
    <t xml:space="preserve">LOS ARBOLES 1516 $ 1.050.000 6862757- 1053001853  </t>
  </si>
  <si>
    <t>6866543- 1017201125 CERRO AZUL 1407 $ 900.000</t>
  </si>
  <si>
    <t>ENSENADA 1919 $ 1.200.000 C.C # 1035438845-SOL #6866498 LIMITE YA SE ENVIO</t>
  </si>
  <si>
    <t>1O%</t>
  </si>
  <si>
    <t>POBLADO NIQUIA 2328 $ 900.000  7318308- 1,216,715,326</t>
  </si>
  <si>
    <t>CEIBA 1314 $ 1.100.000 6861143-1017218650</t>
  </si>
  <si>
    <t>PUERTO NUEVO 708 $ 1.200.000 6855995-1214740463</t>
  </si>
  <si>
    <t>6878099 -21351720 NORDICA 815 $ 980.000</t>
  </si>
  <si>
    <t>6863478-21950308 CURAZAO 1130 -LIMITE 12 MESES $ 850000</t>
  </si>
  <si>
    <t>NORDICA 811 $ 1.350.000 6873093 7819 $ 1.300.000 EN FIRMAS</t>
  </si>
  <si>
    <t xml:space="preserve">EN FIRMAS INICIA 29 DE OCTUBRE </t>
  </si>
  <si>
    <t>6869269- 15325240 LOS ARBOLES 1810 $ 1300000</t>
  </si>
  <si>
    <t xml:space="preserve">EN FIRMAS INICIA 2 DE NOVIEMBRE </t>
  </si>
  <si>
    <t xml:space="preserve">INFORME  DIANA OCTUBRE    2021 </t>
  </si>
  <si>
    <t xml:space="preserve">CASA SANTA ANA 6879012-1128274909 $ 750.000 PDT ANEXAR DEUDOR </t>
  </si>
  <si>
    <t xml:space="preserve">APTO CABAÑAS $ 900.000 7329652  - 50,998,564 </t>
  </si>
  <si>
    <t xml:space="preserve">MONTE SION 1608 $ 950.000 7324896-1035915876 </t>
  </si>
  <si>
    <t xml:space="preserve">6878040- 1020446396 MEDITERRANEA 1917 $ 1.100.000 </t>
  </si>
  <si>
    <t xml:space="preserve">MONTE SION 805 $ 950000 6879568 - 1035866326  </t>
  </si>
  <si>
    <t xml:space="preserve">CAMINO DEL VIENTO 1416 $ 1200000 10000712 -1035853446 </t>
  </si>
  <si>
    <t xml:space="preserve">PDTE DE GRABACION Y PAGO </t>
  </si>
  <si>
    <t xml:space="preserve">INFORME GENERAL   OCTUBRE     2021 </t>
  </si>
  <si>
    <t xml:space="preserve">MEDITERRANEA 718 $ 1,300.000 ESTUDIO DIGITAL 6857771 1094918279- PDT DEUDOR </t>
  </si>
  <si>
    <t xml:space="preserve">MONTESION 2206 $ 1.000.000 6851648- 1003 EN FIRMAS </t>
  </si>
  <si>
    <t>NORDICA 1214 $ 930000 ESTUDIO DIGITAL 6858394- 71592093</t>
  </si>
  <si>
    <t xml:space="preserve">NORDICA 1813 $ 1.000.000 -7310845-43300053 EN FIRMAS </t>
  </si>
  <si>
    <t xml:space="preserve">TORRE DEL BOSQUE 908 $ 900.000 EN FIRMAS DIGITAL 6859089-1,091,665,638 </t>
  </si>
  <si>
    <t xml:space="preserve">CAMINO DEL VIENTO  1722 $ 1.200.000 RADICADO UAR 1,128,454,295- 7315531 </t>
  </si>
  <si>
    <t>MARECHIANO $ 1150000 ESTUDIO DIGITAL 6859181- 71717707</t>
  </si>
  <si>
    <t xml:space="preserve">MADERA SILVESTRE 1706 $ 1.050.000 E D 6859521-1020396374 EN FIRMAS </t>
  </si>
  <si>
    <t xml:space="preserve">CURAZAO 2039 $ 900.000 EN ESTUDIO DIGITAL 6854560- 7918563 </t>
  </si>
  <si>
    <t xml:space="preserve">PUERTO PARAISO 701 $ 1000000ESTUDIO UAR 7316650-80,143,446 </t>
  </si>
  <si>
    <t xml:space="preserve">MONTE SION 1608 $ 950.000 7324896-1035915876 EN FIRMAS </t>
  </si>
  <si>
    <t xml:space="preserve">LOS ARBOLES 1516 $ 1.050.000 6862757- 1053001853 EN ESTUDIO DIGITAL </t>
  </si>
  <si>
    <t xml:space="preserve"> MEDITERRANEA 1917 $ 1.100.000 6878040- 1020446396</t>
  </si>
  <si>
    <t>PUERTO NUEVO 708 $ 1.200.000 $ 1.300.000  6855995-1214740463</t>
  </si>
  <si>
    <t>&lt;</t>
  </si>
  <si>
    <t xml:space="preserve">6878049 -1048212189 $ 1.300.000 Florida Norte américa 408 </t>
  </si>
  <si>
    <t>ENSENDA 1918 $ 1150000 REUBICACION 7329650-0077</t>
  </si>
  <si>
    <t>MEDITERRANEA 830 $ 1.300.000 EN ESTUDIO 6879570- 71,973,959</t>
  </si>
  <si>
    <t xml:space="preserve">MONTE SION 805 $ 950000 6879568 - 1035866326 PDT ANEXAR DEUDOR </t>
  </si>
  <si>
    <t xml:space="preserve">PDT GRABACION Y PAGO </t>
  </si>
  <si>
    <t>CARRERA 59 # 27B-510 AP 1416</t>
  </si>
  <si>
    <t>DIANA ESCUDERO</t>
  </si>
  <si>
    <t>CARDENAS GIRALDO OSCAR FERNANDO</t>
  </si>
  <si>
    <t>AVENIDA 31 DIAGONAL 66 - 29 AP 1407</t>
  </si>
  <si>
    <t>JOAN MEJÍA</t>
  </si>
  <si>
    <t>LONDOÑO GALLEGO PATRICIA ELENA</t>
  </si>
  <si>
    <t>DIAGONAL 43 AVENIDA 34E - 20 AP 1130</t>
  </si>
  <si>
    <t>DURANGO USUGA SANTIAGO</t>
  </si>
  <si>
    <t>CARRERA 59 # 27B - 540 AP 1919</t>
  </si>
  <si>
    <t xml:space="preserve">FLOR 2629  $ 1250000 - 6880084- 70,110,277 EN FIRMAS </t>
  </si>
  <si>
    <t xml:space="preserve">PUERTO AZUL 2204 -  10002506- 98589663 $ 1.600.000 APROBADO PDT APTO </t>
  </si>
  <si>
    <t xml:space="preserve">6868545- 43917293 $ 850.000 ATHENAS  APROBADO PDT APTO </t>
  </si>
  <si>
    <t xml:space="preserve"> PUERTO NUEVO 501 10000707-1017174076 $ 1.200.000  APROBADO PDT APTO </t>
  </si>
  <si>
    <t xml:space="preserve">ENSENADA  1822 10001372 c.c 21242795 $ 1.250.000 APROBADO PDT APTO </t>
  </si>
  <si>
    <t xml:space="preserve">MARECHIANO $$1.350.000  10003970-1034321045 -  APROBADO PDT APTO </t>
  </si>
  <si>
    <t xml:space="preserve">PUERTO VENTURA $ 1.300.000 - 100001616 -18010967  DESITIO ENCONTRO DIRECTO </t>
  </si>
  <si>
    <t xml:space="preserve">PUERTO VENTURA $ 1.200.000 - 10005577- 98487496 APROBADO PDT APTO </t>
  </si>
  <si>
    <t xml:space="preserve">MARECHIANO 501 $ 1.350.000 10006290- 1020445361 EN ESTUDIO </t>
  </si>
  <si>
    <t xml:space="preserve">VILLA LILIAM $ 600.000 10006798-1037652040 EN FIRMAS </t>
  </si>
  <si>
    <t xml:space="preserve">MEDITERRANEA $ 1.500.000 - 10005747- 7188- APROBADO PDT APTO </t>
  </si>
  <si>
    <t xml:space="preserve">LUISA MRIN </t>
  </si>
  <si>
    <t xml:space="preserve">MEDITERRANEA 1329 $ 1.300,000 - 10006330-2073 APRBADO PDT APTO </t>
  </si>
  <si>
    <t xml:space="preserve">MADERA FINA 2406  $1.100.000 -  ESTUDIO </t>
  </si>
  <si>
    <t xml:space="preserve">OPORTO CAMPESTRE 1003 $1.300.000 ESTUDIO </t>
  </si>
  <si>
    <t xml:space="preserve">PUERTO AZUL 2902 $ 1.880.000 ESTUDIO DIGITAL 10004695-3117 1NEGADO </t>
  </si>
  <si>
    <t xml:space="preserve">TIERRA LINDA 908 $ 880.0000 - 10004852 - 9268 DESISTIDO ENCONTRO DIRECTO </t>
  </si>
  <si>
    <t xml:space="preserve">TORRE NAVARRA 205 $ 1.200.000 DESISTIDO PRO SE QUITO DEL NEGOCIO Y NO LE GUSTO NINGUNO DE LOS QUE SE LE OFRECION 10003277- 0600 </t>
  </si>
  <si>
    <t>MEDITERRANEA 1329 $ 1.300,000 - 10002174-1020545215  APROBADO EN FIRMAS</t>
  </si>
  <si>
    <t xml:space="preserve">PLAZUELA DEL NORTE 9926 $900,000 ESTUDIO </t>
  </si>
  <si>
    <t xml:space="preserve"> CEIBA 2501  $ 1.100.000 - 10005869- 2346 EN FIRMAS </t>
  </si>
  <si>
    <t xml:space="preserve">LOS ARBOLES 813 $ 1.100.000 EN ESTUDIO 6851898 -7953 PDT DEUDOR </t>
  </si>
  <si>
    <t xml:space="preserve">10000241 clave 9187FLORIDA DE NORTEAMERICA 408 $ 1.100.000 EN ESTUDIO </t>
  </si>
  <si>
    <t xml:space="preserve">LOS ARBOLES 1405 $1.100.000  10000389-98710911 PDT ANEXAR DEUDOR </t>
  </si>
  <si>
    <t xml:space="preserve">LOS ARBOLES 2512 $ 1.300.000 - 10007548- 43677490 EN ESTUDIO PTE DEUDOR </t>
  </si>
  <si>
    <t xml:space="preserve">ALTOBELO 816 $1.000.000 EN ESTUDIO </t>
  </si>
  <si>
    <t xml:space="preserve">MONTSERRAT 2203 $1.000.000 EN FIRMAS </t>
  </si>
  <si>
    <t xml:space="preserve">INFORME LUISA MARIN NOVIEMBRE      2021 </t>
  </si>
  <si>
    <t xml:space="preserve">PUERTO AZUL 2902 $ 1.880.000 ESTUDIO DIGITAL 6859184 - 1,128,268,761 EN ESTUDIO </t>
  </si>
  <si>
    <t xml:space="preserve">10001575- 72430625 CEIBA DEL NORTE 1810 $ 1.350.000  </t>
  </si>
  <si>
    <t xml:space="preserve">6878346 -43611937 MADERA SILVESTRE 607 $ 1.200.000 </t>
  </si>
  <si>
    <t>NORDICA 1904 $ 1.050.000 -10006100-3885</t>
  </si>
  <si>
    <t>TIERRA LINDA CAMPESTRE 1906 - 10002898 - 1037639640</t>
  </si>
  <si>
    <t xml:space="preserve">PUERTO VENTURA 1502 $ 1.200.000 -10006013 - 7781 </t>
  </si>
  <si>
    <t xml:space="preserve">PLAZUELA DEL NORTE 9926 </t>
  </si>
  <si>
    <t>MADERA NATURAL 901 - 10004421 - 1,152,438,523 $ 1.100.000</t>
  </si>
  <si>
    <t xml:space="preserve">CAMINO DEL VIENTO 2307 </t>
  </si>
  <si>
    <t xml:space="preserve">NORDICA 1412 - 1.850.000 </t>
  </si>
  <si>
    <t>ENTREGADO - PEND PAGO</t>
  </si>
  <si>
    <t xml:space="preserve">CEIBA DEL NORTE 1701 - </t>
  </si>
  <si>
    <t xml:space="preserve">PENDIENTE DEL PAGO </t>
  </si>
  <si>
    <t xml:space="preserve">PUERTO VENTURA 411 - </t>
  </si>
  <si>
    <t xml:space="preserve">MADERA FINA </t>
  </si>
  <si>
    <t>CASA GIRARDOTA 10003998-1.037.596.852 $ 1.000.000</t>
  </si>
  <si>
    <t xml:space="preserve">FIRMAS </t>
  </si>
  <si>
    <t>MEDITERRANEA 528 $ 1.500.000 -10005747 - 1,128,267,188</t>
  </si>
  <si>
    <t>APROBADA PENDIENTE POR APTO</t>
  </si>
  <si>
    <t xml:space="preserve"> PUERTO NUEVO 501 10000707-1017174076 $ 1.200.000  EN ESTUDIO </t>
  </si>
  <si>
    <t xml:space="preserve">10000241-1037609187 FLORIDA DE NORTEAMERICA 408 $ 1.100.000 EN ESTUDIO </t>
  </si>
  <si>
    <t>APLAZADA POR VALIDACION TELEFONICA / NO QUIERE CONTINUAR PROCESO HASTA ENCONTRAR INMUEBLE</t>
  </si>
  <si>
    <t>LOS ARBOLES 1405 $1.100.000 10000389-98710911 PDT ANEXAR DEUDOR</t>
  </si>
  <si>
    <t xml:space="preserve">EN ESTUDIO PDT ANEXAR DEUDOR </t>
  </si>
  <si>
    <t xml:space="preserve">JUAN AEBASTIAN </t>
  </si>
  <si>
    <t>LOS ARBOLES 2512 $ 1.300.000 - 10007548- 43677490</t>
  </si>
  <si>
    <t>EN ESTUDIO YA SE INGRESO EL DEUDOR</t>
  </si>
  <si>
    <t xml:space="preserve">INFORME JOAN MEJIA NOVIEMBRE    2021 </t>
  </si>
  <si>
    <t>TIERRA LINDA 908 $ 880.0000 - 10004852 - PND DEUDOR</t>
  </si>
  <si>
    <t xml:space="preserve">ENCONTRO DIRECTO DEMORA LA VALIDACIÓN </t>
  </si>
  <si>
    <t xml:space="preserve">HACIENDA NIQUIA 2308 $ 1.200.000 6856259-32255846   </t>
  </si>
  <si>
    <t xml:space="preserve">YA SE ENTREGO </t>
  </si>
  <si>
    <t xml:space="preserve">PUERTO NUEVO 813 6876106- 1020450558 $ 1.200.000 EN FIRMAS </t>
  </si>
  <si>
    <t xml:space="preserve">,MATEO ROMERO </t>
  </si>
  <si>
    <t>ENSENADA 1026 $1250.000 UAR 7330937 CLAVE 9479</t>
  </si>
  <si>
    <t>CEIBA DEL NORTE 2104 - 1.100.000 10005912 - 1020466755</t>
  </si>
  <si>
    <t>10%%</t>
  </si>
  <si>
    <t>ALTOBELO 816 - $ 1.000.000 - 10008170  - 0301</t>
  </si>
  <si>
    <t>YA SE ENTREGÓ</t>
  </si>
  <si>
    <t>VILLA LILIAM $ 600.000 10006798-1037652040 EN ESTUDIO</t>
  </si>
  <si>
    <t>YA SE ENTREGO PDTE PAGO</t>
  </si>
  <si>
    <t>PUERTO AZUL 2204 10002506- 98589663 $ 1.600.000</t>
  </si>
  <si>
    <t xml:space="preserve">APROBADO PDT APTO </t>
  </si>
  <si>
    <t xml:space="preserve">6868545- 43917293 $ 850.000 ATHENAS </t>
  </si>
  <si>
    <t xml:space="preserve">MEDITERRANEA 1329 $ 1.300,000 - 10006330-2073 </t>
  </si>
  <si>
    <t xml:space="preserve">LOS ARBOLES 813 $ 1.100.000 EN ESTUDIO 6851898 -7953 </t>
  </si>
  <si>
    <t xml:space="preserve"> PDT ANEXAR DEUDOR - NO LO ANEXA HASTA ENCONTRAT AP BAJO</t>
  </si>
  <si>
    <t xml:space="preserve">MARECHIANO 501 $ 1.350.000 10006290- 1020445361  EN ESTUDIO </t>
  </si>
  <si>
    <t xml:space="preserve">EN ESTUDIO </t>
  </si>
  <si>
    <t xml:space="preserve">MONTSERRAT 2203 $ 1.000.000 10007721 - </t>
  </si>
  <si>
    <t>APROBADO PEND ARREGLEN HUMEDAD</t>
  </si>
  <si>
    <t>OPORTO CAMPESTRE 1003 - 10007013 - 0404</t>
  </si>
  <si>
    <t>APROBADO PEND VER APTO</t>
  </si>
  <si>
    <t>PUERTO NUEVO 1001  - 10009837 - 9154</t>
  </si>
  <si>
    <t xml:space="preserve">INFORME  DIANA NOVIEMBRE    2021 </t>
  </si>
  <si>
    <t xml:space="preserve">CABAÑAS 301 $ 850.000 - 10003430- 1017255406 </t>
  </si>
  <si>
    <t xml:space="preserve">PDT  PAGO </t>
  </si>
  <si>
    <t xml:space="preserve">FLOR 2629  $ 1250000 - 6880084- 70,110,277 APROBADO PDT APTO </t>
  </si>
  <si>
    <t xml:space="preserve">MEDITERRANEA 1329 $ 1.300.000 - 10002174-1020545215 </t>
  </si>
  <si>
    <t xml:space="preserve">EN FIRMAS- POR COLOCACION </t>
  </si>
  <si>
    <t>LOS ARBOLES 1819 - $1.100.000 - 10005811 - 1039458373</t>
  </si>
  <si>
    <t xml:space="preserve"> CEIBA 2501  $ 1.100.000 - 10005869- 2346 </t>
  </si>
  <si>
    <t>PUERTO PARAISO 1509  $1.100.000 - 10005607 - 1106775539</t>
  </si>
  <si>
    <t xml:space="preserve">EN ESTUDIO - PND DEUDOR </t>
  </si>
  <si>
    <t>PUERTO VENTURA 1104 - 1.200.000 - 10005577 - 98487496</t>
  </si>
  <si>
    <t xml:space="preserve">INFORME GENERAL   NOVIEMBRE      2021 </t>
  </si>
  <si>
    <t>3.400.000</t>
  </si>
  <si>
    <t>11.530.000</t>
  </si>
  <si>
    <t>DOCUMENTO EQUIVALENTE A LA FACTURA</t>
  </si>
  <si>
    <t>B – 001</t>
  </si>
  <si>
    <t>NIT. 900.336.513.-4</t>
  </si>
  <si>
    <t>No.</t>
  </si>
  <si>
    <t>CR 80 AA 36 - 57   TEL 448 77 71</t>
  </si>
  <si>
    <t>NOMBRE DEL VENDEDOR DE BIENES Y SERVICIOS</t>
  </si>
  <si>
    <t xml:space="preserve">WILSON ANDRES PULGARIN </t>
  </si>
  <si>
    <t>C.C/NIT.</t>
  </si>
  <si>
    <t>8162988_5</t>
  </si>
  <si>
    <t>DÍA</t>
  </si>
  <si>
    <t>MES</t>
  </si>
  <si>
    <t>AÑO</t>
  </si>
  <si>
    <t>DIRECCIÓN</t>
  </si>
  <si>
    <t>TELÉFONO</t>
  </si>
  <si>
    <t>CIUDAD</t>
  </si>
  <si>
    <t xml:space="preserve">CALLE 54 N° 50- 38 </t>
  </si>
  <si>
    <t>5576154 -3117614278</t>
  </si>
  <si>
    <t>CANTIDAD</t>
  </si>
  <si>
    <t>CONCEPTO</t>
  </si>
  <si>
    <t>VALOR TOTAL</t>
  </si>
  <si>
    <t xml:space="preserve">COPIA DE LLAVES </t>
  </si>
  <si>
    <t xml:space="preserve">                                                     -</t>
  </si>
  <si>
    <t>SUBTOTAL</t>
  </si>
  <si>
    <t xml:space="preserve">RET.FUENTE </t>
  </si>
  <si>
    <t>0,00%</t>
  </si>
  <si>
    <t xml:space="preserve">                                       -</t>
  </si>
  <si>
    <t>FIRMA: ____________________________________</t>
  </si>
  <si>
    <t xml:space="preserve">DECRETO REGLAMENTARIO No. 522 DE MARZO 7 DE 2003                                                                                                                                                                                                                                                      ART. 3 Documento equivalente a la factura en adquisiciones efectuadas por responsables del régimen común a personas naturales no comerciantes o inscritas en el régimen simplificado.(Este documento debe ser expedido por el adquiriente con destino al proveedor).                         </t>
  </si>
  <si>
    <t>B – 002</t>
  </si>
  <si>
    <t>ELECTRICOS Y FERRETERIA JR</t>
  </si>
  <si>
    <t>3522316-3</t>
  </si>
  <si>
    <t xml:space="preserve">DIAGONAL 55 N° 42-76 </t>
  </si>
  <si>
    <t>B – 003</t>
  </si>
  <si>
    <t xml:space="preserve">GABRIEL VALENCIA </t>
  </si>
  <si>
    <t>71270077-2</t>
  </si>
  <si>
    <t xml:space="preserve">CALLE 55 N° 54-51 </t>
  </si>
  <si>
    <t>B – 004</t>
  </si>
  <si>
    <t xml:space="preserve">CLAUDIA VILLA </t>
  </si>
  <si>
    <t>CALLE 26B N° 49-104 LOCAL 114</t>
  </si>
  <si>
    <t xml:space="preserve">BOMBILLO </t>
  </si>
  <si>
    <t>B – 005</t>
  </si>
  <si>
    <t xml:space="preserve">PILAS PARA EL MOUSE </t>
  </si>
  <si>
    <t>B – 006</t>
  </si>
  <si>
    <t xml:space="preserve">MARIA FERNANDA GIRALDO HINCAPIE </t>
  </si>
  <si>
    <t>CALLE 47 N° 30-39</t>
  </si>
  <si>
    <t xml:space="preserve">CONTROL DE PLAGAS </t>
  </si>
  <si>
    <t>B – 007</t>
  </si>
  <si>
    <t xml:space="preserve">ALFREDO VALENCIA </t>
  </si>
  <si>
    <t>70720539-1</t>
  </si>
  <si>
    <t xml:space="preserve">PLAZOLETA ESTACION MADERA </t>
  </si>
  <si>
    <t xml:space="preserve">DUPLICADO DE LLAVES </t>
  </si>
  <si>
    <t>B – 008</t>
  </si>
  <si>
    <t xml:space="preserve">JUAN CAMILO GOMEZ </t>
  </si>
  <si>
    <t>1128401875-6</t>
  </si>
  <si>
    <t>CARRERA 73 N° 93-113</t>
  </si>
  <si>
    <t>3207184915 - 3053459345</t>
  </si>
  <si>
    <t xml:space="preserve">LIMPIA JUNTAS </t>
  </si>
  <si>
    <t>B – 009</t>
  </si>
  <si>
    <t xml:space="preserve">PILAS CONTROL AIRE </t>
  </si>
  <si>
    <t xml:space="preserve">B – 010 </t>
  </si>
  <si>
    <t xml:space="preserve">FERRETERIA ALTA GAMA </t>
  </si>
  <si>
    <t>1036650077-7</t>
  </si>
  <si>
    <t xml:space="preserve">DIAGONAL 55 N° 33-55 </t>
  </si>
  <si>
    <t>B – 011</t>
  </si>
  <si>
    <t xml:space="preserve">ROGELIO PIEDRAHITA </t>
  </si>
  <si>
    <t>8397432-1</t>
  </si>
  <si>
    <t xml:space="preserve">CALLE 52 N° 50-20 </t>
  </si>
  <si>
    <t xml:space="preserve">PARQUEDERO DE MOTO </t>
  </si>
  <si>
    <t>B – 012</t>
  </si>
  <si>
    <t>B – 013</t>
  </si>
  <si>
    <t>B – 014</t>
  </si>
  <si>
    <t xml:space="preserve">CAFE - OFICINA BELLO </t>
  </si>
  <si>
    <t>B – 015</t>
  </si>
  <si>
    <t>ALFREDO VALENCIA H</t>
  </si>
  <si>
    <t>PLAZOLETA ESTACION MADERA LOCAL 110</t>
  </si>
  <si>
    <t>DUPLICADO LLAVES</t>
  </si>
  <si>
    <t>B – 016</t>
  </si>
  <si>
    <t>CALLE 35 N° 54-51</t>
  </si>
  <si>
    <t>B – 017</t>
  </si>
  <si>
    <t>PARQUEADERO ANTAÑO</t>
  </si>
  <si>
    <t>CALLE 50 N° 52-17</t>
  </si>
  <si>
    <t>PARQUEADERO</t>
  </si>
  <si>
    <t>B – 018</t>
  </si>
  <si>
    <t>PILAS MOUSE</t>
  </si>
  <si>
    <t>B – 019</t>
  </si>
  <si>
    <t>B – 020</t>
  </si>
  <si>
    <t xml:space="preserve">JHON JAIRO ROLDAN VARGAS </t>
  </si>
  <si>
    <t>CALLE 44 N° 82-27</t>
  </si>
  <si>
    <t>B – 021</t>
  </si>
  <si>
    <t>ARLES DAVID AGUIRRE PEREZ</t>
  </si>
  <si>
    <t>9770043-2</t>
  </si>
  <si>
    <t xml:space="preserve">CALLE 38 N° 52A 08 </t>
  </si>
  <si>
    <t>B – 022</t>
  </si>
  <si>
    <t xml:space="preserve">RODRIGO ALONSO VARGAS MACHADO </t>
  </si>
  <si>
    <t>15517300-1</t>
  </si>
  <si>
    <t xml:space="preserve">CALLE 52 N° 48-69 SIMON BOLIVAR </t>
  </si>
  <si>
    <t>B – 023</t>
  </si>
  <si>
    <t xml:space="preserve">HELMER OCAMPO R </t>
  </si>
  <si>
    <t>98.529.299-3</t>
  </si>
  <si>
    <t xml:space="preserve">AVENIDA 40 N° 55-98 </t>
  </si>
  <si>
    <t>B – 024</t>
  </si>
  <si>
    <t>B – 025</t>
  </si>
  <si>
    <t>JHON JAIRO ABAD SOTO</t>
  </si>
  <si>
    <t>71672110-3</t>
  </si>
  <si>
    <t>AVENIDA 33 N° 57-36</t>
  </si>
  <si>
    <t>B – 026</t>
  </si>
  <si>
    <t>B – 027</t>
  </si>
  <si>
    <t xml:space="preserve">B – 028 </t>
  </si>
  <si>
    <t>B – 029</t>
  </si>
  <si>
    <t>ANDRES JOVANNY BERRIO PALACIO</t>
  </si>
  <si>
    <t>CRA 57A 24-05 CABAÑITAS</t>
  </si>
  <si>
    <t>4649412 - 3209984690</t>
  </si>
  <si>
    <t>B – 030</t>
  </si>
  <si>
    <t>HELMER DE JESUS OCAMPO RIVERA</t>
  </si>
  <si>
    <t>AVENIDA 40 55-98 LOCAL 130</t>
  </si>
  <si>
    <t>4821578 - 3127717676</t>
  </si>
  <si>
    <t>B – 031</t>
  </si>
  <si>
    <t>B – 032</t>
  </si>
  <si>
    <t>B – 033</t>
  </si>
  <si>
    <t xml:space="preserve">JOHN JAIRO ABAD SOTO </t>
  </si>
  <si>
    <t>AVENIDA 33 57 36</t>
  </si>
  <si>
    <t>MOLDE 1090 H FLEXON</t>
  </si>
  <si>
    <t>MOLDE CABEZA DE COLORES 1000 DERECHO FELXON</t>
  </si>
  <si>
    <t>B – 034</t>
  </si>
  <si>
    <t>MOLDE CABEZA DE COLORES 1000R IZQUIERDO FELXON</t>
  </si>
  <si>
    <t>B – 035</t>
  </si>
  <si>
    <t>B – 036</t>
  </si>
  <si>
    <t>ALFREDO VALENCIA HERNANDEZ</t>
  </si>
  <si>
    <t>ESTACION MADERA PLAZOLETA AUTOPISTA NORTE</t>
  </si>
  <si>
    <t>4641136 - 3128435966 LOCAL 110</t>
  </si>
  <si>
    <t>COPIA DE LLAVE</t>
  </si>
  <si>
    <t>B – 037</t>
  </si>
  <si>
    <t>B – 038</t>
  </si>
  <si>
    <t>B – 039</t>
  </si>
  <si>
    <t xml:space="preserve">GABRIEL JAIME VALENCIA TORO </t>
  </si>
  <si>
    <t>CALLE 35 54-51</t>
  </si>
  <si>
    <t>B – 040</t>
  </si>
  <si>
    <t>B – 041</t>
  </si>
  <si>
    <t>B – 042</t>
  </si>
  <si>
    <t>B – 043</t>
  </si>
  <si>
    <t>B – 044</t>
  </si>
  <si>
    <t>B – 045</t>
  </si>
  <si>
    <t>B – 046</t>
  </si>
  <si>
    <t>B – 047</t>
  </si>
  <si>
    <t>B – 048</t>
  </si>
  <si>
    <t>B – 049</t>
  </si>
  <si>
    <t>B – 050</t>
  </si>
  <si>
    <t>B – 051</t>
  </si>
  <si>
    <t>B – 052</t>
  </si>
  <si>
    <t>B – 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</si>
</sst>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164" formatCode="&quot;$&quot;\ #,##0;[Red]\-&quot;$&quot;\ #,##0"/>
    <numFmt numFmtId="165" formatCode="mmmm\ yyyy"/>
    <numFmt numFmtId="166" formatCode="[$ $]#,##0"/>
    <numFmt numFmtId="167" formatCode="&quot;$&quot;#,##0"/>
    <numFmt numFmtId="168" formatCode="_-[$$-240A]\ * #,##0.00_-;\-[$$-240A]\ * #,##0.00_-;_-[$$-240A]\ * &quot;-&quot;??_-;_-@_-"/>
    <numFmt numFmtId="169" formatCode="_([$$-409]* #,##0.00_);_([$$-409]* \(#,##0.00\);_([$$-409]* &quot;-&quot;??_);_(@_)"/>
    <numFmt numFmtId="170" formatCode="_([$$-409]* #,##0_);_([$$-409]* \(#,##0\);_([$$-409]* &quot;-&quot;??_);_(@_)"/>
    <numFmt numFmtId="171" formatCode="_(* #,##0_);_(* \(#,##0\);_(* &quot;-&quot;??_);_(@_)"/>
    <numFmt numFmtId="172" formatCode="_-[$$-240A]\ * #,##0_-;\-[$$-240A]\ * #,##0_-;_-[$$-240A]\ * &quot;-&quot;??_-;_-@_-"/>
    <numFmt numFmtId="173" formatCode="_(&quot;$&quot;* #,##0_);_(&quot;$&quot;* \(#,##0\);_(&quot;$&quot;* &quot;-&quot;??_);_(@_)"/>
  </numFmts>
  <fonts count="142">
    <font>
      <sz val="11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36"/>
      <name val="Arial"/>
      <family val="2"/>
    </font>
    <font>
      <sz val="11"/>
      <color rgb="FF000000"/>
      <name val="Calibri"/>
      <family val="2"/>
      <scheme val="minor"/>
    </font>
    <font>
      <b/>
      <sz val="20"/>
      <color rgb="FF000000"/>
      <name val="Arial"/>
      <family val="2"/>
    </font>
    <font>
      <b/>
      <sz val="28"/>
      <name val="Arial"/>
      <family val="2"/>
    </font>
    <font>
      <b/>
      <sz val="18"/>
      <color theme="1"/>
      <name val="Arial"/>
      <family val="2"/>
    </font>
    <font>
      <b/>
      <sz val="14"/>
      <color rgb="FF000000"/>
      <name val="Calibri"/>
      <family val="2"/>
    </font>
    <font>
      <sz val="16"/>
      <color theme="1"/>
      <name val="Arial"/>
    </font>
    <font>
      <b/>
      <sz val="14"/>
      <color theme="1"/>
      <name val="Arial"/>
    </font>
    <font>
      <b/>
      <sz val="10"/>
      <color rgb="FF000000"/>
      <name val="Arial"/>
      <charset val="1"/>
    </font>
    <font>
      <sz val="11"/>
      <color rgb="FF000000"/>
      <name val="Calibri"/>
      <charset val="1"/>
    </font>
    <font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Arial"/>
    </font>
    <font>
      <sz val="16"/>
      <color theme="1"/>
      <name val="Arial"/>
      <family val="2"/>
    </font>
    <font>
      <sz val="10"/>
      <color rgb="FF00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Arial"/>
    </font>
    <font>
      <b/>
      <sz val="12"/>
      <name val="Arial"/>
      <family val="2"/>
    </font>
    <font>
      <b/>
      <sz val="18"/>
      <color rgb="FF000000"/>
      <name val="Calibri"/>
      <charset val="1"/>
    </font>
    <font>
      <b/>
      <sz val="12"/>
      <color rgb="FF000000"/>
      <name val="Calibri"/>
      <charset val="1"/>
    </font>
    <font>
      <sz val="11"/>
      <name val="Arial"/>
      <charset val="1"/>
    </font>
    <font>
      <b/>
      <sz val="11"/>
      <color rgb="FFFFFFFF"/>
      <name val="Calibri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b/>
      <sz val="11"/>
      <color rgb="FF000000"/>
      <name val="Calibri"/>
      <charset val="1"/>
    </font>
    <font>
      <sz val="10"/>
      <color rgb="FF00000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color rgb="FF008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5"/>
      <color rgb="FF008000"/>
      <name val="Arial"/>
      <family val="2"/>
      <charset val="1"/>
    </font>
    <font>
      <sz val="8"/>
      <name val="Arial"/>
      <family val="2"/>
      <charset val="1"/>
    </font>
    <font>
      <b/>
      <sz val="14"/>
      <name val="Arial"/>
      <family val="2"/>
      <charset val="1"/>
    </font>
    <font>
      <sz val="6"/>
      <name val="Arial"/>
      <family val="2"/>
      <charset val="1"/>
    </font>
    <font>
      <b/>
      <sz val="8"/>
      <name val="Arial"/>
      <family val="2"/>
      <charset val="1"/>
    </font>
    <font>
      <b/>
      <sz val="7"/>
      <name val="Arial"/>
      <family val="2"/>
      <charset val="1"/>
    </font>
    <font>
      <sz val="9"/>
      <name val="Arial"/>
      <family val="2"/>
      <charset val="1"/>
    </font>
    <font>
      <b/>
      <sz val="6"/>
      <name val="Arial"/>
      <family val="2"/>
      <charset val="1"/>
    </font>
    <font>
      <b/>
      <sz val="10"/>
      <color rgb="FF000000"/>
      <name val="Arial"/>
    </font>
    <font>
      <b/>
      <sz val="10"/>
      <color theme="1"/>
      <name val="Arial"/>
    </font>
    <font>
      <b/>
      <sz val="10"/>
      <name val="Arial"/>
    </font>
    <font>
      <sz val="10"/>
      <name val="Arial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201F1E"/>
      <name val="Arial"/>
    </font>
    <font>
      <sz val="10"/>
      <color rgb="FF201F1E"/>
      <name val="Arial"/>
    </font>
    <font>
      <b/>
      <sz val="14"/>
      <color rgb="FF000000"/>
      <name val="Arial"/>
    </font>
    <font>
      <sz val="11"/>
      <color rgb="FF201F1E"/>
      <name val="Calibri"/>
      <family val="2"/>
      <charset val="1"/>
    </font>
    <font>
      <b/>
      <sz val="12"/>
      <color theme="1"/>
      <name val="Arial"/>
    </font>
    <font>
      <b/>
      <sz val="12"/>
      <name val="Arial"/>
    </font>
    <font>
      <b/>
      <sz val="12"/>
      <color rgb="FF000000"/>
      <name val="Arial"/>
    </font>
    <font>
      <b/>
      <sz val="11"/>
      <color theme="1"/>
      <name val="Arial"/>
    </font>
    <font>
      <b/>
      <sz val="28"/>
      <color rgb="FF000000"/>
      <name val="Arial"/>
    </font>
    <font>
      <b/>
      <sz val="36"/>
      <name val="Arial"/>
    </font>
    <font>
      <b/>
      <sz val="16"/>
      <color rgb="FF000000"/>
      <name val="Arial"/>
    </font>
    <font>
      <sz val="12"/>
      <color theme="1"/>
      <name val="Arial"/>
    </font>
    <font>
      <sz val="9"/>
      <color theme="1"/>
      <name val="Arial"/>
    </font>
    <font>
      <b/>
      <sz val="10"/>
      <color rgb="FFFF0000"/>
      <name val="Arial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sz val="10"/>
      <color rgb="FFFF0000"/>
      <name val="Arial"/>
    </font>
    <font>
      <b/>
      <sz val="12"/>
      <color rgb="FFFF0000"/>
      <name val="Arial"/>
    </font>
    <font>
      <sz val="11"/>
      <color rgb="FF000000"/>
      <name val="Arial"/>
    </font>
    <font>
      <sz val="11"/>
      <color rgb="FF323130"/>
      <name val="Segoe UI"/>
      <family val="2"/>
      <charset val="1"/>
    </font>
    <font>
      <sz val="20"/>
      <color theme="1"/>
      <name val="Arial"/>
    </font>
    <font>
      <sz val="12"/>
      <color rgb="FF000000"/>
      <name val="Calibri"/>
      <charset val="1"/>
    </font>
    <font>
      <sz val="14"/>
      <color theme="1"/>
      <name val="Calibri"/>
      <family val="2"/>
      <scheme val="minor"/>
    </font>
    <font>
      <sz val="11"/>
      <color rgb="FF000000"/>
      <name val="Calibri"/>
    </font>
    <font>
      <sz val="10"/>
      <name val="Calibri"/>
    </font>
    <font>
      <sz val="11"/>
      <color theme="1"/>
      <name val="Calibri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FFFFFF"/>
      <name val="Arial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201F1E"/>
      <name val="Calibri"/>
      <family val="2"/>
      <charset val="1"/>
    </font>
    <font>
      <b/>
      <sz val="11"/>
      <color rgb="FF201F1E"/>
      <name val="Calibri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Arial"/>
      <charset val="1"/>
    </font>
    <font>
      <sz val="11"/>
      <color rgb="FF201F1E"/>
      <name val="Arial"/>
      <charset val="1"/>
    </font>
    <font>
      <b/>
      <sz val="14"/>
      <color rgb="FF000000"/>
      <name val="Calibri Light"/>
      <family val="2"/>
      <charset val="1"/>
    </font>
    <font>
      <sz val="11"/>
      <name val="Comic Sans MS"/>
    </font>
    <font>
      <sz val="11"/>
      <color rgb="FF1E1E1E"/>
      <name val="Arial"/>
    </font>
    <font>
      <sz val="11"/>
      <color rgb="FF201F1E"/>
      <name val="Segoe UI"/>
      <charset val="1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b/>
      <sz val="14"/>
      <color theme="1"/>
      <name val="Calibri"/>
    </font>
    <font>
      <sz val="11"/>
      <color rgb="FFFF0000"/>
      <name val="Calibri"/>
    </font>
    <font>
      <strike/>
      <sz val="11"/>
      <color theme="1"/>
      <name val="Calibri"/>
      <family val="2"/>
      <scheme val="minor"/>
    </font>
    <font>
      <b/>
      <sz val="12"/>
      <color rgb="FF000000"/>
      <name val="Arial"/>
      <charset val="1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201F1E"/>
      <name val="Segoe UI"/>
      <charset val="1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Arial"/>
    </font>
    <font>
      <sz val="20"/>
      <color theme="1"/>
      <name val="Arial Black"/>
    </font>
    <font>
      <b/>
      <sz val="10"/>
      <color rgb="FF323130"/>
      <name val="Arial"/>
    </font>
    <font>
      <b/>
      <sz val="48"/>
      <color rgb="FF000000"/>
      <name val="Calibri"/>
      <family val="2"/>
    </font>
    <font>
      <b/>
      <sz val="36"/>
      <color rgb="FF000000"/>
      <name val="Arial"/>
    </font>
    <font>
      <b/>
      <sz val="26"/>
      <color rgb="FF000000"/>
      <name val="Arial"/>
    </font>
    <font>
      <b/>
      <sz val="11"/>
      <color rgb="FF000000"/>
      <name val="Calibri"/>
    </font>
    <font>
      <b/>
      <sz val="10"/>
      <color rgb="FF000000"/>
      <name val="Calibri"/>
      <family val="2"/>
      <charset val="1"/>
    </font>
    <font>
      <b/>
      <sz val="10"/>
      <color rgb="FF201F1E"/>
      <name val="Calibri"/>
      <family val="2"/>
      <charset val="1"/>
    </font>
    <font>
      <b/>
      <sz val="14"/>
      <color rgb="FFFF0000"/>
      <name val="Calibri"/>
      <family val="2"/>
      <scheme val="minor"/>
    </font>
    <font>
      <b/>
      <sz val="28"/>
      <color rgb="FF000000"/>
      <name val="Arial Black"/>
    </font>
    <font>
      <b/>
      <sz val="28"/>
      <color rgb="FF000000"/>
      <name val="Calibri"/>
      <family val="2"/>
    </font>
    <font>
      <b/>
      <sz val="11"/>
      <color rgb="FF201F1E"/>
      <name val="Segoe UI"/>
      <charset val="1"/>
    </font>
    <font>
      <b/>
      <sz val="11"/>
      <color rgb="FF444444"/>
      <name val="Calibri"/>
      <charset val="1"/>
    </font>
    <font>
      <sz val="10"/>
      <color rgb="FFFF0000"/>
      <name val="Arial"/>
      <charset val="1"/>
    </font>
    <font>
      <b/>
      <sz val="36"/>
      <color rgb="FF000000"/>
      <name val="Calibri"/>
    </font>
    <font>
      <b/>
      <sz val="10"/>
      <color rgb="FFFF0000"/>
      <name val="Arial"/>
      <family val="2"/>
    </font>
    <font>
      <b/>
      <sz val="24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"/>
      <name val="Arial"/>
    </font>
    <font>
      <b/>
      <sz val="26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rgb="FF000000"/>
      <name val="Arial"/>
    </font>
    <font>
      <sz val="12"/>
      <name val="Arial"/>
    </font>
    <font>
      <sz val="11"/>
      <color rgb="FF000000"/>
      <name val="Arial"/>
      <charset val="1"/>
    </font>
  </fonts>
  <fills count="52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DDD9C4"/>
        <bgColor rgb="FFDDD9C4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00B0F0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92D050"/>
      </patternFill>
    </fill>
    <fill>
      <patternFill patternType="solid">
        <fgColor rgb="FF92D050"/>
        <bgColor rgb="FFF3F3F3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7030A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14F9F"/>
        <bgColor indexed="64"/>
      </patternFill>
    </fill>
    <fill>
      <patternFill patternType="solid">
        <fgColor rgb="FF3AEB0E"/>
        <bgColor indexed="64"/>
      </patternFill>
    </fill>
    <fill>
      <patternFill patternType="solid">
        <fgColor rgb="FFEB660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DDD9C4"/>
      </patternFill>
    </fill>
    <fill>
      <patternFill patternType="solid">
        <fgColor theme="8" tint="0.39997558519241921"/>
        <bgColor rgb="FFD8E4B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3F3F3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3" fillId="0" borderId="0" applyNumberFormat="0" applyFill="0" applyBorder="0" applyAlignment="0" applyProtection="0"/>
  </cellStyleXfs>
  <cellXfs count="31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8" fillId="6" borderId="6" xfId="0" applyFont="1" applyFill="1" applyBorder="1" applyAlignment="1">
      <alignment wrapText="1"/>
    </xf>
    <xf numFmtId="0" fontId="5" fillId="6" borderId="6" xfId="0" applyFont="1" applyFill="1" applyBorder="1"/>
    <xf numFmtId="0" fontId="0" fillId="0" borderId="8" xfId="0" applyBorder="1"/>
    <xf numFmtId="0" fontId="0" fillId="0" borderId="1" xfId="0" applyBorder="1"/>
    <xf numFmtId="0" fontId="5" fillId="7" borderId="1" xfId="0" applyFont="1" applyFill="1" applyBorder="1" applyAlignment="1">
      <alignment horizontal="center"/>
    </xf>
    <xf numFmtId="166" fontId="5" fillId="7" borderId="1" xfId="0" applyNumberFormat="1" applyFont="1" applyFill="1" applyBorder="1" applyAlignment="1">
      <alignment horizontal="right"/>
    </xf>
    <xf numFmtId="3" fontId="5" fillId="7" borderId="1" xfId="0" applyNumberFormat="1" applyFont="1" applyFill="1" applyBorder="1" applyAlignment="1">
      <alignment horizontal="center"/>
    </xf>
    <xf numFmtId="167" fontId="5" fillId="7" borderId="1" xfId="0" applyNumberFormat="1" applyFont="1" applyFill="1" applyBorder="1" applyAlignment="1">
      <alignment horizontal="right"/>
    </xf>
    <xf numFmtId="167" fontId="13" fillId="8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66" fontId="5" fillId="0" borderId="0" xfId="0" applyNumberFormat="1" applyFont="1"/>
    <xf numFmtId="3" fontId="5" fillId="0" borderId="0" xfId="0" applyNumberFormat="1" applyFont="1"/>
    <xf numFmtId="0" fontId="5" fillId="6" borderId="3" xfId="0" applyFont="1" applyFill="1" applyBorder="1"/>
    <xf numFmtId="166" fontId="0" fillId="0" borderId="1" xfId="0" applyNumberFormat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166" fontId="3" fillId="5" borderId="6" xfId="0" applyNumberFormat="1" applyFont="1" applyFill="1" applyBorder="1" applyAlignment="1">
      <alignment horizontal="center"/>
    </xf>
    <xf numFmtId="3" fontId="3" fillId="5" borderId="11" xfId="0" applyNumberFormat="1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5" fillId="6" borderId="1" xfId="0" applyFont="1" applyFill="1" applyBorder="1"/>
    <xf numFmtId="0" fontId="5" fillId="9" borderId="5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166" fontId="5" fillId="9" borderId="1" xfId="0" applyNumberFormat="1" applyFont="1" applyFill="1" applyBorder="1" applyAlignment="1">
      <alignment horizontal="right"/>
    </xf>
    <xf numFmtId="0" fontId="5" fillId="9" borderId="3" xfId="0" applyFont="1" applyFill="1" applyBorder="1"/>
    <xf numFmtId="166" fontId="3" fillId="5" borderId="9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166" fontId="9" fillId="6" borderId="1" xfId="0" applyNumberFormat="1" applyFont="1" applyFill="1" applyBorder="1"/>
    <xf numFmtId="9" fontId="4" fillId="6" borderId="8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 wrapText="1"/>
    </xf>
    <xf numFmtId="3" fontId="5" fillId="9" borderId="1" xfId="0" applyNumberFormat="1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167" fontId="9" fillId="6" borderId="3" xfId="0" applyNumberFormat="1" applyFont="1" applyFill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0" fillId="6" borderId="8" xfId="0" applyFill="1" applyBorder="1"/>
    <xf numFmtId="3" fontId="5" fillId="9" borderId="3" xfId="0" applyNumberFormat="1" applyFont="1" applyFill="1" applyBorder="1" applyAlignment="1">
      <alignment horizontal="center"/>
    </xf>
    <xf numFmtId="0" fontId="4" fillId="0" borderId="1" xfId="0" applyFont="1" applyBorder="1"/>
    <xf numFmtId="166" fontId="7" fillId="0" borderId="1" xfId="0" applyNumberFormat="1" applyFont="1" applyBorder="1"/>
    <xf numFmtId="167" fontId="0" fillId="6" borderId="1" xfId="0" applyNumberFormat="1" applyFill="1" applyBorder="1" applyAlignment="1">
      <alignment horizontal="center"/>
    </xf>
    <xf numFmtId="9" fontId="4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9" fontId="4" fillId="6" borderId="7" xfId="0" applyNumberFormat="1" applyFont="1" applyFill="1" applyBorder="1" applyAlignment="1">
      <alignment horizontal="center"/>
    </xf>
    <xf numFmtId="167" fontId="9" fillId="6" borderId="3" xfId="0" applyNumberFormat="1" applyFont="1" applyFill="1" applyBorder="1" applyAlignment="1">
      <alignment horizontal="center"/>
    </xf>
    <xf numFmtId="167" fontId="9" fillId="6" borderId="1" xfId="0" applyNumberFormat="1" applyFont="1" applyFill="1" applyBorder="1" applyAlignment="1">
      <alignment horizontal="right"/>
    </xf>
    <xf numFmtId="0" fontId="6" fillId="6" borderId="6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9" fontId="0" fillId="6" borderId="13" xfId="0" applyNumberForma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15" fillId="6" borderId="1" xfId="0" applyFont="1" applyFill="1" applyBorder="1"/>
    <xf numFmtId="167" fontId="9" fillId="6" borderId="5" xfId="0" applyNumberFormat="1" applyFont="1" applyFill="1" applyBorder="1" applyAlignment="1">
      <alignment horizontal="right"/>
    </xf>
    <xf numFmtId="166" fontId="9" fillId="6" borderId="6" xfId="0" applyNumberFormat="1" applyFont="1" applyFill="1" applyBorder="1"/>
    <xf numFmtId="3" fontId="9" fillId="6" borderId="1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/>
    </xf>
    <xf numFmtId="9" fontId="4" fillId="14" borderId="8" xfId="0" applyNumberFormat="1" applyFont="1" applyFill="1" applyBorder="1" applyAlignment="1">
      <alignment horizontal="center"/>
    </xf>
    <xf numFmtId="0" fontId="0" fillId="14" borderId="1" xfId="0" applyFill="1" applyBorder="1"/>
    <xf numFmtId="166" fontId="9" fillId="14" borderId="1" xfId="0" applyNumberFormat="1" applyFont="1" applyFill="1" applyBorder="1"/>
    <xf numFmtId="9" fontId="4" fillId="14" borderId="3" xfId="0" applyNumberFormat="1" applyFont="1" applyFill="1" applyBorder="1" applyAlignment="1">
      <alignment horizontal="center"/>
    </xf>
    <xf numFmtId="167" fontId="9" fillId="14" borderId="5" xfId="0" applyNumberFormat="1" applyFont="1" applyFill="1" applyBorder="1" applyAlignment="1">
      <alignment horizontal="right"/>
    </xf>
    <xf numFmtId="0" fontId="9" fillId="14" borderId="5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5" fillId="14" borderId="6" xfId="0" applyFont="1" applyFill="1" applyBorder="1" applyAlignment="1">
      <alignment horizontal="left" wrapText="1"/>
    </xf>
    <xf numFmtId="0" fontId="9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9" fontId="4" fillId="14" borderId="6" xfId="0" applyNumberFormat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9" fontId="4" fillId="14" borderId="12" xfId="0" applyNumberFormat="1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9" fontId="4" fillId="14" borderId="1" xfId="0" applyNumberFormat="1" applyFont="1" applyFill="1" applyBorder="1" applyAlignment="1">
      <alignment horizontal="center"/>
    </xf>
    <xf numFmtId="0" fontId="5" fillId="14" borderId="1" xfId="0" applyFont="1" applyFill="1" applyBorder="1"/>
    <xf numFmtId="9" fontId="0" fillId="14" borderId="3" xfId="0" applyNumberForma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9" fontId="4" fillId="14" borderId="5" xfId="0" applyNumberFormat="1" applyFont="1" applyFill="1" applyBorder="1" applyAlignment="1">
      <alignment horizontal="center"/>
    </xf>
    <xf numFmtId="0" fontId="0" fillId="14" borderId="7" xfId="0" applyFill="1" applyBorder="1"/>
    <xf numFmtId="0" fontId="0" fillId="14" borderId="5" xfId="0" applyFill="1" applyBorder="1"/>
    <xf numFmtId="167" fontId="9" fillId="14" borderId="3" xfId="0" applyNumberFormat="1" applyFont="1" applyFill="1" applyBorder="1" applyAlignment="1">
      <alignment horizontal="right"/>
    </xf>
    <xf numFmtId="0" fontId="5" fillId="6" borderId="8" xfId="0" applyFont="1" applyFill="1" applyBorder="1" applyAlignment="1">
      <alignment horizontal="center"/>
    </xf>
    <xf numFmtId="166" fontId="0" fillId="14" borderId="7" xfId="0" applyNumberFormat="1" applyFill="1" applyBorder="1"/>
    <xf numFmtId="0" fontId="4" fillId="0" borderId="0" xfId="0" applyFont="1"/>
    <xf numFmtId="166" fontId="7" fillId="0" borderId="0" xfId="0" applyNumberFormat="1" applyFont="1"/>
    <xf numFmtId="166" fontId="6" fillId="6" borderId="0" xfId="0" applyNumberFormat="1" applyFont="1" applyFill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0" fontId="20" fillId="6" borderId="1" xfId="0" applyFont="1" applyFill="1" applyBorder="1" applyAlignment="1">
      <alignment horizontal="center" vertical="center"/>
    </xf>
    <xf numFmtId="9" fontId="0" fillId="0" borderId="1" xfId="0" applyNumberFormat="1" applyBorder="1"/>
    <xf numFmtId="166" fontId="21" fillId="6" borderId="1" xfId="0" applyNumberFormat="1" applyFont="1" applyFill="1" applyBorder="1" applyAlignment="1">
      <alignment horizontal="right"/>
    </xf>
    <xf numFmtId="9" fontId="4" fillId="16" borderId="3" xfId="0" applyNumberFormat="1" applyFont="1" applyFill="1" applyBorder="1" applyAlignment="1">
      <alignment horizontal="center"/>
    </xf>
    <xf numFmtId="0" fontId="0" fillId="16" borderId="1" xfId="0" applyFill="1" applyBorder="1"/>
    <xf numFmtId="166" fontId="9" fillId="16" borderId="5" xfId="0" applyNumberFormat="1" applyFont="1" applyFill="1" applyBorder="1"/>
    <xf numFmtId="9" fontId="11" fillId="16" borderId="7" xfId="0" applyNumberFormat="1" applyFont="1" applyFill="1" applyBorder="1" applyAlignment="1">
      <alignment horizontal="center"/>
    </xf>
    <xf numFmtId="166" fontId="0" fillId="16" borderId="7" xfId="0" applyNumberFormat="1" applyFill="1" applyBorder="1"/>
    <xf numFmtId="0" fontId="6" fillId="16" borderId="9" xfId="0" applyFont="1" applyFill="1" applyBorder="1" applyAlignment="1">
      <alignment horizontal="center"/>
    </xf>
    <xf numFmtId="9" fontId="9" fillId="16" borderId="1" xfId="0" applyNumberFormat="1" applyFont="1" applyFill="1" applyBorder="1" applyAlignment="1">
      <alignment horizontal="center"/>
    </xf>
    <xf numFmtId="166" fontId="9" fillId="16" borderId="1" xfId="0" applyNumberFormat="1" applyFont="1" applyFill="1" applyBorder="1"/>
    <xf numFmtId="167" fontId="9" fillId="16" borderId="3" xfId="0" applyNumberFormat="1" applyFont="1" applyFill="1" applyBorder="1" applyAlignment="1">
      <alignment horizontal="center"/>
    </xf>
    <xf numFmtId="0" fontId="9" fillId="16" borderId="5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16" borderId="1" xfId="0" applyFont="1" applyFill="1" applyBorder="1"/>
    <xf numFmtId="0" fontId="6" fillId="16" borderId="5" xfId="0" applyFont="1" applyFill="1" applyBorder="1" applyAlignment="1">
      <alignment horizontal="center"/>
    </xf>
    <xf numFmtId="0" fontId="0" fillId="16" borderId="9" xfId="0" applyFill="1" applyBorder="1"/>
    <xf numFmtId="166" fontId="9" fillId="16" borderId="9" xfId="0" applyNumberFormat="1" applyFont="1" applyFill="1" applyBorder="1"/>
    <xf numFmtId="9" fontId="0" fillId="16" borderId="15" xfId="0" applyNumberFormat="1" applyFill="1" applyBorder="1" applyAlignment="1">
      <alignment horizontal="center"/>
    </xf>
    <xf numFmtId="167" fontId="0" fillId="16" borderId="9" xfId="0" applyNumberFormat="1" applyFill="1" applyBorder="1" applyAlignment="1">
      <alignment horizontal="center"/>
    </xf>
    <xf numFmtId="9" fontId="9" fillId="14" borderId="3" xfId="0" applyNumberFormat="1" applyFont="1" applyFill="1" applyBorder="1" applyAlignment="1">
      <alignment horizontal="center"/>
    </xf>
    <xf numFmtId="167" fontId="9" fillId="14" borderId="1" xfId="0" applyNumberFormat="1" applyFont="1" applyFill="1" applyBorder="1" applyAlignment="1">
      <alignment horizontal="right"/>
    </xf>
    <xf numFmtId="0" fontId="9" fillId="6" borderId="6" xfId="0" applyFont="1" applyFill="1" applyBorder="1" applyAlignment="1">
      <alignment horizontal="center"/>
    </xf>
    <xf numFmtId="0" fontId="0" fillId="0" borderId="6" xfId="0" applyBorder="1"/>
    <xf numFmtId="0" fontId="3" fillId="6" borderId="8" xfId="0" applyFont="1" applyFill="1" applyBorder="1" applyAlignment="1">
      <alignment horizontal="center"/>
    </xf>
    <xf numFmtId="9" fontId="0" fillId="14" borderId="1" xfId="0" applyNumberFormat="1" applyFill="1" applyBorder="1"/>
    <xf numFmtId="0" fontId="0" fillId="14" borderId="8" xfId="0" applyFill="1" applyBorder="1"/>
    <xf numFmtId="0" fontId="6" fillId="14" borderId="1" xfId="0" applyFont="1" applyFill="1" applyBorder="1" applyAlignment="1">
      <alignment horizontal="center"/>
    </xf>
    <xf numFmtId="9" fontId="9" fillId="14" borderId="1" xfId="0" applyNumberFormat="1" applyFont="1" applyFill="1" applyBorder="1" applyAlignment="1">
      <alignment horizontal="center"/>
    </xf>
    <xf numFmtId="9" fontId="0" fillId="14" borderId="1" xfId="0" applyNumberFormat="1" applyFill="1" applyBorder="1" applyAlignment="1">
      <alignment horizontal="center"/>
    </xf>
    <xf numFmtId="167" fontId="9" fillId="14" borderId="3" xfId="0" applyNumberFormat="1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4" fillId="16" borderId="1" xfId="0" applyFont="1" applyFill="1" applyBorder="1"/>
    <xf numFmtId="9" fontId="4" fillId="16" borderId="6" xfId="0" applyNumberFormat="1" applyFont="1" applyFill="1" applyBorder="1" applyAlignment="1">
      <alignment horizontal="center"/>
    </xf>
    <xf numFmtId="9" fontId="0" fillId="16" borderId="1" xfId="0" applyNumberFormat="1" applyFill="1" applyBorder="1"/>
    <xf numFmtId="166" fontId="6" fillId="16" borderId="1" xfId="0" applyNumberFormat="1" applyFont="1" applyFill="1" applyBorder="1" applyAlignment="1">
      <alignment horizontal="right"/>
    </xf>
    <xf numFmtId="0" fontId="4" fillId="14" borderId="12" xfId="0" applyFont="1" applyFill="1" applyBorder="1" applyAlignment="1">
      <alignment horizontal="center"/>
    </xf>
    <xf numFmtId="0" fontId="15" fillId="14" borderId="1" xfId="0" applyFont="1" applyFill="1" applyBorder="1"/>
    <xf numFmtId="0" fontId="15" fillId="14" borderId="5" xfId="0" applyFont="1" applyFill="1" applyBorder="1"/>
    <xf numFmtId="166" fontId="4" fillId="14" borderId="5" xfId="0" applyNumberFormat="1" applyFont="1" applyFill="1" applyBorder="1"/>
    <xf numFmtId="0" fontId="22" fillId="14" borderId="0" xfId="0" applyFont="1" applyFill="1" applyAlignment="1">
      <alignment wrapText="1"/>
    </xf>
    <xf numFmtId="0" fontId="24" fillId="0" borderId="0" xfId="0" applyFont="1" applyAlignment="1">
      <alignment horizontal="center" vertical="center"/>
    </xf>
    <xf numFmtId="0" fontId="0" fillId="0" borderId="16" xfId="0" applyBorder="1"/>
    <xf numFmtId="3" fontId="0" fillId="0" borderId="16" xfId="0" applyNumberFormat="1" applyBorder="1"/>
    <xf numFmtId="0" fontId="27" fillId="14" borderId="16" xfId="0" applyFont="1" applyFill="1" applyBorder="1"/>
    <xf numFmtId="0" fontId="0" fillId="18" borderId="16" xfId="0" applyFill="1" applyBorder="1"/>
    <xf numFmtId="0" fontId="0" fillId="18" borderId="0" xfId="0" applyFill="1"/>
    <xf numFmtId="0" fontId="20" fillId="14" borderId="0" xfId="0" applyFont="1" applyFill="1"/>
    <xf numFmtId="0" fontId="0" fillId="18" borderId="17" xfId="0" applyFill="1" applyBorder="1"/>
    <xf numFmtId="0" fontId="0" fillId="18" borderId="1" xfId="0" applyFill="1" applyBorder="1"/>
    <xf numFmtId="3" fontId="0" fillId="18" borderId="0" xfId="0" applyNumberFormat="1" applyFill="1"/>
    <xf numFmtId="0" fontId="27" fillId="14" borderId="0" xfId="0" applyFont="1" applyFill="1"/>
    <xf numFmtId="0" fontId="0" fillId="0" borderId="17" xfId="0" applyBorder="1"/>
    <xf numFmtId="0" fontId="0" fillId="0" borderId="19" xfId="0" applyBorder="1"/>
    <xf numFmtId="167" fontId="0" fillId="18" borderId="16" xfId="0" applyNumberFormat="1" applyFill="1" applyBorder="1"/>
    <xf numFmtId="0" fontId="0" fillId="0" borderId="16" xfId="0" applyBorder="1" applyAlignment="1">
      <alignment horizontal="left"/>
    </xf>
    <xf numFmtId="3" fontId="0" fillId="0" borderId="16" xfId="0" applyNumberFormat="1" applyBorder="1" applyAlignment="1">
      <alignment horizontal="left"/>
    </xf>
    <xf numFmtId="0" fontId="0" fillId="18" borderId="16" xfId="0" applyFill="1" applyBorder="1" applyAlignment="1">
      <alignment horizontal="left"/>
    </xf>
    <xf numFmtId="3" fontId="0" fillId="18" borderId="16" xfId="0" applyNumberFormat="1" applyFill="1" applyBorder="1" applyAlignment="1">
      <alignment horizontal="left"/>
    </xf>
    <xf numFmtId="0" fontId="0" fillId="18" borderId="17" xfId="0" applyFill="1" applyBorder="1" applyAlignment="1">
      <alignment horizontal="left"/>
    </xf>
    <xf numFmtId="3" fontId="0" fillId="18" borderId="17" xfId="0" applyNumberFormat="1" applyFill="1" applyBorder="1" applyAlignment="1">
      <alignment horizontal="left"/>
    </xf>
    <xf numFmtId="0" fontId="0" fillId="18" borderId="1" xfId="0" applyFill="1" applyBorder="1" applyAlignment="1">
      <alignment horizontal="left"/>
    </xf>
    <xf numFmtId="3" fontId="0" fillId="18" borderId="1" xfId="0" applyNumberFormat="1" applyFill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9" xfId="0" applyBorder="1" applyAlignment="1">
      <alignment horizontal="left"/>
    </xf>
    <xf numFmtId="167" fontId="0" fillId="18" borderId="16" xfId="0" applyNumberFormat="1" applyFill="1" applyBorder="1" applyAlignment="1">
      <alignment horizontal="left"/>
    </xf>
    <xf numFmtId="0" fontId="0" fillId="20" borderId="0" xfId="0" applyFill="1"/>
    <xf numFmtId="0" fontId="4" fillId="6" borderId="7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3" fontId="3" fillId="5" borderId="9" xfId="0" applyNumberFormat="1" applyFont="1" applyFill="1" applyBorder="1" applyAlignment="1">
      <alignment horizontal="center"/>
    </xf>
    <xf numFmtId="167" fontId="4" fillId="6" borderId="1" xfId="0" applyNumberFormat="1" applyFont="1" applyFill="1" applyBorder="1"/>
    <xf numFmtId="9" fontId="0" fillId="6" borderId="6" xfId="0" applyNumberFormat="1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0" fontId="0" fillId="0" borderId="5" xfId="0" applyBorder="1"/>
    <xf numFmtId="166" fontId="7" fillId="0" borderId="5" xfId="0" applyNumberFormat="1" applyFont="1" applyBorder="1"/>
    <xf numFmtId="0" fontId="0" fillId="0" borderId="7" xfId="0" applyBorder="1"/>
    <xf numFmtId="9" fontId="4" fillId="6" borderId="2" xfId="0" applyNumberFormat="1" applyFont="1" applyFill="1" applyBorder="1" applyAlignment="1">
      <alignment horizontal="center"/>
    </xf>
    <xf numFmtId="0" fontId="5" fillId="16" borderId="9" xfId="0" applyFont="1" applyFill="1" applyBorder="1"/>
    <xf numFmtId="0" fontId="9" fillId="6" borderId="9" xfId="0" applyFont="1" applyFill="1" applyBorder="1" applyAlignment="1">
      <alignment horizontal="center"/>
    </xf>
    <xf numFmtId="9" fontId="9" fillId="6" borderId="8" xfId="0" applyNumberFormat="1" applyFont="1" applyFill="1" applyBorder="1" applyAlignment="1">
      <alignment horizontal="center"/>
    </xf>
    <xf numFmtId="167" fontId="4" fillId="14" borderId="11" xfId="0" applyNumberFormat="1" applyFont="1" applyFill="1" applyBorder="1"/>
    <xf numFmtId="166" fontId="5" fillId="9" borderId="5" xfId="0" applyNumberFormat="1" applyFont="1" applyFill="1" applyBorder="1" applyAlignment="1">
      <alignment horizontal="right"/>
    </xf>
    <xf numFmtId="0" fontId="29" fillId="14" borderId="1" xfId="0" applyFont="1" applyFill="1" applyBorder="1"/>
    <xf numFmtId="166" fontId="4" fillId="14" borderId="1" xfId="0" applyNumberFormat="1" applyFont="1" applyFill="1" applyBorder="1"/>
    <xf numFmtId="0" fontId="15" fillId="14" borderId="7" xfId="0" applyFont="1" applyFill="1" applyBorder="1"/>
    <xf numFmtId="167" fontId="4" fillId="14" borderId="3" xfId="0" applyNumberFormat="1" applyFont="1" applyFill="1" applyBorder="1" applyAlignment="1">
      <alignment horizontal="right"/>
    </xf>
    <xf numFmtId="0" fontId="11" fillId="14" borderId="5" xfId="0" applyFont="1" applyFill="1" applyBorder="1" applyAlignment="1">
      <alignment horizontal="center"/>
    </xf>
    <xf numFmtId="9" fontId="15" fillId="14" borderId="1" xfId="0" applyNumberFormat="1" applyFont="1" applyFill="1" applyBorder="1"/>
    <xf numFmtId="166" fontId="11" fillId="14" borderId="1" xfId="0" applyNumberFormat="1" applyFont="1" applyFill="1" applyBorder="1" applyAlignment="1">
      <alignment horizontal="right"/>
    </xf>
    <xf numFmtId="166" fontId="21" fillId="8" borderId="1" xfId="0" applyNumberFormat="1" applyFont="1" applyFill="1" applyBorder="1" applyAlignment="1">
      <alignment horizontal="right"/>
    </xf>
    <xf numFmtId="166" fontId="21" fillId="8" borderId="7" xfId="0" applyNumberFormat="1" applyFont="1" applyFill="1" applyBorder="1" applyAlignment="1">
      <alignment horizontal="right"/>
    </xf>
    <xf numFmtId="166" fontId="30" fillId="8" borderId="1" xfId="0" applyNumberFormat="1" applyFont="1" applyFill="1" applyBorder="1"/>
    <xf numFmtId="167" fontId="31" fillId="8" borderId="3" xfId="0" applyNumberFormat="1" applyFont="1" applyFill="1" applyBorder="1" applyAlignment="1">
      <alignment horizontal="center"/>
    </xf>
    <xf numFmtId="0" fontId="13" fillId="6" borderId="0" xfId="0" applyFont="1" applyFill="1"/>
    <xf numFmtId="9" fontId="0" fillId="14" borderId="8" xfId="0" applyNumberFormat="1" applyFill="1" applyBorder="1"/>
    <xf numFmtId="0" fontId="32" fillId="8" borderId="8" xfId="0" applyFont="1" applyFill="1" applyBorder="1"/>
    <xf numFmtId="9" fontId="0" fillId="14" borderId="8" xfId="0" applyNumberFormat="1" applyFill="1" applyBorder="1" applyAlignment="1">
      <alignment horizontal="center"/>
    </xf>
    <xf numFmtId="167" fontId="0" fillId="14" borderId="1" xfId="0" applyNumberFormat="1" applyFill="1" applyBorder="1" applyAlignment="1">
      <alignment horizontal="center"/>
    </xf>
    <xf numFmtId="0" fontId="6" fillId="14" borderId="9" xfId="0" applyFont="1" applyFill="1" applyBorder="1" applyAlignment="1">
      <alignment horizontal="center"/>
    </xf>
    <xf numFmtId="9" fontId="9" fillId="14" borderId="12" xfId="0" applyNumberFormat="1" applyFont="1" applyFill="1" applyBorder="1" applyAlignment="1">
      <alignment horizontal="center"/>
    </xf>
    <xf numFmtId="167" fontId="4" fillId="14" borderId="1" xfId="0" applyNumberFormat="1" applyFont="1" applyFill="1" applyBorder="1"/>
    <xf numFmtId="9" fontId="0" fillId="14" borderId="6" xfId="0" applyNumberFormat="1" applyFill="1" applyBorder="1" applyAlignment="1">
      <alignment horizontal="center"/>
    </xf>
    <xf numFmtId="0" fontId="0" fillId="18" borderId="18" xfId="0" applyFill="1" applyBorder="1"/>
    <xf numFmtId="0" fontId="0" fillId="6" borderId="1" xfId="0" applyFill="1" applyBorder="1" applyAlignment="1">
      <alignment horizontal="left"/>
    </xf>
    <xf numFmtId="9" fontId="0" fillId="6" borderId="2" xfId="0" applyNumberFormat="1" applyFill="1" applyBorder="1" applyAlignment="1">
      <alignment horizontal="center"/>
    </xf>
    <xf numFmtId="167" fontId="0" fillId="6" borderId="5" xfId="0" applyNumberForma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6" borderId="13" xfId="0" applyFont="1" applyFill="1" applyBorder="1" applyAlignment="1">
      <alignment wrapText="1"/>
    </xf>
    <xf numFmtId="0" fontId="5" fillId="7" borderId="8" xfId="0" applyFont="1" applyFill="1" applyBorder="1"/>
    <xf numFmtId="0" fontId="0" fillId="6" borderId="2" xfId="0" applyFill="1" applyBorder="1"/>
    <xf numFmtId="0" fontId="4" fillId="14" borderId="14" xfId="0" applyFont="1" applyFill="1" applyBorder="1" applyAlignment="1">
      <alignment horizontal="center"/>
    </xf>
    <xf numFmtId="166" fontId="33" fillId="6" borderId="1" xfId="0" applyNumberFormat="1" applyFont="1" applyFill="1" applyBorder="1"/>
    <xf numFmtId="0" fontId="0" fillId="14" borderId="6" xfId="0" applyFill="1" applyBorder="1"/>
    <xf numFmtId="166" fontId="9" fillId="14" borderId="9" xfId="0" applyNumberFormat="1" applyFont="1" applyFill="1" applyBorder="1"/>
    <xf numFmtId="0" fontId="36" fillId="0" borderId="25" xfId="0" applyFont="1" applyBorder="1" applyAlignment="1">
      <alignment wrapText="1"/>
    </xf>
    <xf numFmtId="0" fontId="23" fillId="0" borderId="27" xfId="0" applyFont="1" applyBorder="1" applyAlignment="1">
      <alignment wrapText="1"/>
    </xf>
    <xf numFmtId="0" fontId="36" fillId="0" borderId="23" xfId="0" applyFont="1" applyBorder="1" applyAlignment="1">
      <alignment wrapText="1"/>
    </xf>
    <xf numFmtId="0" fontId="36" fillId="0" borderId="0" xfId="0" applyFont="1" applyAlignment="1">
      <alignment wrapText="1"/>
    </xf>
    <xf numFmtId="0" fontId="36" fillId="0" borderId="24" xfId="0" applyFont="1" applyBorder="1" applyAlignment="1">
      <alignment wrapText="1"/>
    </xf>
    <xf numFmtId="0" fontId="37" fillId="23" borderId="29" xfId="0" applyFont="1" applyFill="1" applyBorder="1" applyAlignment="1">
      <alignment wrapText="1"/>
    </xf>
    <xf numFmtId="0" fontId="37" fillId="23" borderId="30" xfId="0" applyFont="1" applyFill="1" applyBorder="1" applyAlignment="1">
      <alignment wrapText="1"/>
    </xf>
    <xf numFmtId="0" fontId="37" fillId="23" borderId="24" xfId="0" applyFont="1" applyFill="1" applyBorder="1" applyAlignment="1">
      <alignment wrapText="1"/>
    </xf>
    <xf numFmtId="0" fontId="36" fillId="0" borderId="32" xfId="0" applyFont="1" applyBorder="1" applyAlignment="1">
      <alignment wrapText="1"/>
    </xf>
    <xf numFmtId="0" fontId="36" fillId="0" borderId="33" xfId="0" applyFont="1" applyBorder="1" applyAlignment="1">
      <alignment wrapText="1"/>
    </xf>
    <xf numFmtId="0" fontId="36" fillId="0" borderId="34" xfId="0" applyFont="1" applyBorder="1" applyAlignment="1">
      <alignment wrapText="1"/>
    </xf>
    <xf numFmtId="0" fontId="44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8" fillId="0" borderId="0" xfId="0" applyFont="1" applyAlignment="1">
      <alignment wrapText="1"/>
    </xf>
    <xf numFmtId="0" fontId="43" fillId="0" borderId="26" xfId="0" applyFont="1" applyBorder="1" applyAlignment="1">
      <alignment wrapText="1"/>
    </xf>
    <xf numFmtId="0" fontId="50" fillId="0" borderId="0" xfId="0" applyFont="1" applyAlignment="1">
      <alignment wrapText="1"/>
    </xf>
    <xf numFmtId="0" fontId="52" fillId="0" borderId="26" xfId="0" applyFont="1" applyBorder="1" applyAlignment="1">
      <alignment wrapText="1"/>
    </xf>
    <xf numFmtId="0" fontId="50" fillId="0" borderId="26" xfId="0" applyFont="1" applyBorder="1" applyAlignment="1">
      <alignment wrapText="1"/>
    </xf>
    <xf numFmtId="0" fontId="53" fillId="0" borderId="19" xfId="0" applyFont="1" applyBorder="1" applyAlignment="1">
      <alignment wrapText="1"/>
    </xf>
    <xf numFmtId="0" fontId="47" fillId="0" borderId="28" xfId="0" applyFont="1" applyBorder="1" applyAlignment="1">
      <alignment wrapText="1"/>
    </xf>
    <xf numFmtId="0" fontId="50" fillId="0" borderId="6" xfId="0" applyFont="1" applyBorder="1" applyAlignment="1">
      <alignment wrapText="1"/>
    </xf>
    <xf numFmtId="0" fontId="50" fillId="0" borderId="13" xfId="0" applyFont="1" applyBorder="1" applyAlignment="1">
      <alignment wrapText="1"/>
    </xf>
    <xf numFmtId="0" fontId="50" fillId="6" borderId="8" xfId="0" applyFont="1" applyFill="1" applyBorder="1" applyAlignment="1">
      <alignment wrapText="1"/>
    </xf>
    <xf numFmtId="0" fontId="0" fillId="6" borderId="13" xfId="0" applyFill="1" applyBorder="1"/>
    <xf numFmtId="0" fontId="0" fillId="6" borderId="6" xfId="0" applyFill="1" applyBorder="1"/>
    <xf numFmtId="0" fontId="50" fillId="6" borderId="13" xfId="0" applyFont="1" applyFill="1" applyBorder="1" applyAlignment="1">
      <alignment wrapText="1"/>
    </xf>
    <xf numFmtId="0" fontId="42" fillId="0" borderId="12" xfId="0" applyFont="1" applyBorder="1" applyAlignment="1">
      <alignment wrapText="1"/>
    </xf>
    <xf numFmtId="0" fontId="42" fillId="0" borderId="15" xfId="0" applyFont="1" applyBorder="1" applyAlignment="1">
      <alignment wrapText="1"/>
    </xf>
    <xf numFmtId="0" fontId="43" fillId="0" borderId="14" xfId="0" applyFont="1" applyBorder="1" applyAlignment="1">
      <alignment wrapText="1"/>
    </xf>
    <xf numFmtId="0" fontId="42" fillId="0" borderId="10" xfId="0" applyFont="1" applyBorder="1" applyAlignment="1">
      <alignment wrapText="1"/>
    </xf>
    <xf numFmtId="0" fontId="43" fillId="0" borderId="11" xfId="0" applyFont="1" applyBorder="1" applyAlignment="1">
      <alignment wrapText="1"/>
    </xf>
    <xf numFmtId="0" fontId="43" fillId="0" borderId="45" xfId="0" applyFont="1" applyBorder="1" applyAlignment="1">
      <alignment wrapText="1"/>
    </xf>
    <xf numFmtId="0" fontId="47" fillId="0" borderId="11" xfId="0" applyFont="1" applyBorder="1" applyAlignment="1">
      <alignment wrapText="1"/>
    </xf>
    <xf numFmtId="0" fontId="52" fillId="0" borderId="48" xfId="0" applyFont="1" applyBorder="1" applyAlignment="1">
      <alignment wrapText="1"/>
    </xf>
    <xf numFmtId="0" fontId="0" fillId="0" borderId="11" xfId="0" applyBorder="1" applyAlignment="1">
      <alignment wrapText="1"/>
    </xf>
    <xf numFmtId="0" fontId="50" fillId="0" borderId="51" xfId="0" applyFont="1" applyBorder="1" applyAlignment="1">
      <alignment wrapText="1"/>
    </xf>
    <xf numFmtId="0" fontId="42" fillId="6" borderId="30" xfId="0" applyFont="1" applyFill="1" applyBorder="1" applyAlignment="1">
      <alignment wrapText="1"/>
    </xf>
    <xf numFmtId="0" fontId="42" fillId="6" borderId="11" xfId="0" applyFont="1" applyFill="1" applyBorder="1" applyAlignment="1">
      <alignment wrapText="1"/>
    </xf>
    <xf numFmtId="0" fontId="51" fillId="6" borderId="0" xfId="0" applyFont="1" applyFill="1" applyAlignment="1">
      <alignment wrapText="1"/>
    </xf>
    <xf numFmtId="0" fontId="51" fillId="6" borderId="36" xfId="0" applyFont="1" applyFill="1" applyBorder="1" applyAlignment="1">
      <alignment wrapText="1"/>
    </xf>
    <xf numFmtId="0" fontId="50" fillId="6" borderId="36" xfId="0" applyFont="1" applyFill="1" applyBorder="1" applyAlignment="1">
      <alignment wrapText="1"/>
    </xf>
    <xf numFmtId="0" fontId="50" fillId="6" borderId="47" xfId="0" applyFont="1" applyFill="1" applyBorder="1" applyAlignment="1">
      <alignment wrapText="1"/>
    </xf>
    <xf numFmtId="0" fontId="50" fillId="6" borderId="48" xfId="0" applyFont="1" applyFill="1" applyBorder="1" applyAlignment="1">
      <alignment wrapText="1"/>
    </xf>
    <xf numFmtId="0" fontId="52" fillId="6" borderId="48" xfId="0" applyFont="1" applyFill="1" applyBorder="1" applyAlignment="1">
      <alignment wrapText="1"/>
    </xf>
    <xf numFmtId="0" fontId="52" fillId="6" borderId="26" xfId="0" applyFont="1" applyFill="1" applyBorder="1" applyAlignment="1">
      <alignment wrapText="1"/>
    </xf>
    <xf numFmtId="0" fontId="6" fillId="0" borderId="1" xfId="0" applyFont="1" applyBorder="1"/>
    <xf numFmtId="0" fontId="20" fillId="6" borderId="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54" fillId="0" borderId="0" xfId="0" applyFont="1"/>
    <xf numFmtId="0" fontId="41" fillId="16" borderId="0" xfId="0" applyFont="1" applyFill="1" applyAlignment="1">
      <alignment wrapText="1"/>
    </xf>
    <xf numFmtId="0" fontId="4" fillId="0" borderId="9" xfId="0" applyFont="1" applyBorder="1"/>
    <xf numFmtId="0" fontId="0" fillId="0" borderId="16" xfId="0" applyBorder="1" applyAlignment="1">
      <alignment horizontal="right"/>
    </xf>
    <xf numFmtId="166" fontId="54" fillId="14" borderId="1" xfId="0" applyNumberFormat="1" applyFont="1" applyFill="1" applyBorder="1"/>
    <xf numFmtId="9" fontId="54" fillId="14" borderId="1" xfId="0" applyNumberFormat="1" applyFont="1" applyFill="1" applyBorder="1" applyAlignment="1">
      <alignment horizontal="center"/>
    </xf>
    <xf numFmtId="166" fontId="54" fillId="16" borderId="1" xfId="0" applyNumberFormat="1" applyFont="1" applyFill="1" applyBorder="1"/>
    <xf numFmtId="166" fontId="59" fillId="14" borderId="1" xfId="0" applyNumberFormat="1" applyFont="1" applyFill="1" applyBorder="1"/>
    <xf numFmtId="0" fontId="54" fillId="0" borderId="1" xfId="0" applyFont="1" applyBorder="1"/>
    <xf numFmtId="0" fontId="58" fillId="0" borderId="1" xfId="0" applyFont="1" applyBorder="1"/>
    <xf numFmtId="166" fontId="59" fillId="0" borderId="1" xfId="0" applyNumberFormat="1" applyFont="1" applyBorder="1"/>
    <xf numFmtId="0" fontId="60" fillId="16" borderId="9" xfId="0" applyFont="1" applyFill="1" applyBorder="1" applyAlignment="1">
      <alignment wrapText="1"/>
    </xf>
    <xf numFmtId="9" fontId="59" fillId="14" borderId="1" xfId="0" applyNumberFormat="1" applyFont="1" applyFill="1" applyBorder="1" applyAlignment="1">
      <alignment horizontal="center"/>
    </xf>
    <xf numFmtId="0" fontId="60" fillId="14" borderId="1" xfId="0" applyFont="1" applyFill="1" applyBorder="1" applyAlignment="1">
      <alignment wrapText="1"/>
    </xf>
    <xf numFmtId="0" fontId="59" fillId="14" borderId="1" xfId="0" applyFont="1" applyFill="1" applyBorder="1"/>
    <xf numFmtId="0" fontId="59" fillId="14" borderId="5" xfId="0" applyFont="1" applyFill="1" applyBorder="1"/>
    <xf numFmtId="9" fontId="59" fillId="14" borderId="1" xfId="0" applyNumberFormat="1" applyFont="1" applyFill="1" applyBorder="1"/>
    <xf numFmtId="0" fontId="59" fillId="14" borderId="9" xfId="0" applyFont="1" applyFill="1" applyBorder="1"/>
    <xf numFmtId="0" fontId="59" fillId="0" borderId="1" xfId="0" applyFont="1" applyBorder="1"/>
    <xf numFmtId="0" fontId="57" fillId="6" borderId="6" xfId="0" applyFont="1" applyFill="1" applyBorder="1" applyAlignment="1">
      <alignment wrapText="1"/>
    </xf>
    <xf numFmtId="0" fontId="56" fillId="6" borderId="1" xfId="0" applyFont="1" applyFill="1" applyBorder="1" applyAlignment="1">
      <alignment horizontal="center"/>
    </xf>
    <xf numFmtId="0" fontId="57" fillId="6" borderId="6" xfId="0" applyFont="1" applyFill="1" applyBorder="1"/>
    <xf numFmtId="0" fontId="60" fillId="5" borderId="6" xfId="0" applyFont="1" applyFill="1" applyBorder="1" applyAlignment="1">
      <alignment horizontal="center"/>
    </xf>
    <xf numFmtId="0" fontId="60" fillId="5" borderId="3" xfId="0" applyFont="1" applyFill="1" applyBorder="1" applyAlignment="1">
      <alignment horizontal="center"/>
    </xf>
    <xf numFmtId="0" fontId="60" fillId="5" borderId="2" xfId="0" applyFont="1" applyFill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59" fillId="6" borderId="7" xfId="0" applyFont="1" applyFill="1" applyBorder="1"/>
    <xf numFmtId="9" fontId="59" fillId="6" borderId="8" xfId="0" applyNumberFormat="1" applyFont="1" applyFill="1" applyBorder="1" applyAlignment="1">
      <alignment horizontal="center"/>
    </xf>
    <xf numFmtId="167" fontId="59" fillId="6" borderId="1" xfId="0" applyNumberFormat="1" applyFont="1" applyFill="1" applyBorder="1" applyAlignment="1">
      <alignment horizontal="center"/>
    </xf>
    <xf numFmtId="0" fontId="59" fillId="6" borderId="1" xfId="0" applyFont="1" applyFill="1" applyBorder="1"/>
    <xf numFmtId="0" fontId="60" fillId="16" borderId="9" xfId="0" applyFont="1" applyFill="1" applyBorder="1" applyAlignment="1">
      <alignment horizontal="center"/>
    </xf>
    <xf numFmtId="9" fontId="60" fillId="16" borderId="9" xfId="0" applyNumberFormat="1" applyFont="1" applyFill="1" applyBorder="1" applyAlignment="1">
      <alignment horizontal="center"/>
    </xf>
    <xf numFmtId="166" fontId="60" fillId="16" borderId="9" xfId="0" applyNumberFormat="1" applyFont="1" applyFill="1" applyBorder="1"/>
    <xf numFmtId="166" fontId="60" fillId="16" borderId="1" xfId="0" applyNumberFormat="1" applyFont="1" applyFill="1" applyBorder="1"/>
    <xf numFmtId="0" fontId="60" fillId="5" borderId="1" xfId="0" applyFont="1" applyFill="1" applyBorder="1" applyAlignment="1">
      <alignment horizontal="center"/>
    </xf>
    <xf numFmtId="9" fontId="60" fillId="14" borderId="5" xfId="0" applyNumberFormat="1" applyFont="1" applyFill="1" applyBorder="1" applyAlignment="1">
      <alignment horizontal="center"/>
    </xf>
    <xf numFmtId="166" fontId="60" fillId="14" borderId="1" xfId="0" applyNumberFormat="1" applyFont="1" applyFill="1" applyBorder="1"/>
    <xf numFmtId="0" fontId="59" fillId="14" borderId="1" xfId="0" applyFont="1" applyFill="1" applyBorder="1" applyAlignment="1">
      <alignment horizontal="center"/>
    </xf>
    <xf numFmtId="0" fontId="59" fillId="6" borderId="1" xfId="0" applyFont="1" applyFill="1" applyBorder="1" applyAlignment="1">
      <alignment horizontal="center"/>
    </xf>
    <xf numFmtId="0" fontId="60" fillId="6" borderId="6" xfId="0" applyFont="1" applyFill="1" applyBorder="1" applyAlignment="1">
      <alignment horizontal="center"/>
    </xf>
    <xf numFmtId="167" fontId="57" fillId="6" borderId="3" xfId="0" applyNumberFormat="1" applyFont="1" applyFill="1" applyBorder="1" applyAlignment="1">
      <alignment horizontal="right"/>
    </xf>
    <xf numFmtId="9" fontId="60" fillId="14" borderId="1" xfId="0" applyNumberFormat="1" applyFont="1" applyFill="1" applyBorder="1" applyAlignment="1">
      <alignment horizontal="center"/>
    </xf>
    <xf numFmtId="0" fontId="57" fillId="14" borderId="6" xfId="0" applyFont="1" applyFill="1" applyBorder="1"/>
    <xf numFmtId="166" fontId="60" fillId="14" borderId="9" xfId="0" applyNumberFormat="1" applyFont="1" applyFill="1" applyBorder="1"/>
    <xf numFmtId="9" fontId="59" fillId="14" borderId="9" xfId="0" applyNumberFormat="1" applyFont="1" applyFill="1" applyBorder="1" applyAlignment="1">
      <alignment horizontal="center"/>
    </xf>
    <xf numFmtId="0" fontId="59" fillId="14" borderId="9" xfId="0" applyFont="1" applyFill="1" applyBorder="1" applyAlignment="1">
      <alignment horizontal="center"/>
    </xf>
    <xf numFmtId="0" fontId="59" fillId="6" borderId="9" xfId="0" applyFont="1" applyFill="1" applyBorder="1" applyAlignment="1">
      <alignment horizontal="center"/>
    </xf>
    <xf numFmtId="0" fontId="57" fillId="6" borderId="1" xfId="0" applyFont="1" applyFill="1" applyBorder="1" applyAlignment="1">
      <alignment horizontal="center"/>
    </xf>
    <xf numFmtId="166" fontId="57" fillId="6" borderId="1" xfId="0" applyNumberFormat="1" applyFont="1" applyFill="1" applyBorder="1"/>
    <xf numFmtId="0" fontId="59" fillId="6" borderId="8" xfId="0" applyFont="1" applyFill="1" applyBorder="1"/>
    <xf numFmtId="166" fontId="60" fillId="6" borderId="1" xfId="0" applyNumberFormat="1" applyFont="1" applyFill="1" applyBorder="1"/>
    <xf numFmtId="9" fontId="59" fillId="6" borderId="1" xfId="0" applyNumberFormat="1" applyFont="1" applyFill="1" applyBorder="1" applyAlignment="1">
      <alignment horizontal="center"/>
    </xf>
    <xf numFmtId="166" fontId="59" fillId="6" borderId="1" xfId="0" applyNumberFormat="1" applyFont="1" applyFill="1" applyBorder="1"/>
    <xf numFmtId="9" fontId="60" fillId="14" borderId="6" xfId="0" applyNumberFormat="1" applyFont="1" applyFill="1" applyBorder="1" applyAlignment="1">
      <alignment horizontal="center"/>
    </xf>
    <xf numFmtId="166" fontId="57" fillId="6" borderId="3" xfId="0" applyNumberFormat="1" applyFont="1" applyFill="1" applyBorder="1"/>
    <xf numFmtId="0" fontId="59" fillId="6" borderId="2" xfId="0" applyFont="1" applyFill="1" applyBorder="1"/>
    <xf numFmtId="0" fontId="59" fillId="6" borderId="7" xfId="0" applyFont="1" applyFill="1" applyBorder="1" applyAlignment="1">
      <alignment horizontal="center"/>
    </xf>
    <xf numFmtId="9" fontId="57" fillId="6" borderId="1" xfId="0" applyNumberFormat="1" applyFont="1" applyFill="1" applyBorder="1" applyAlignment="1">
      <alignment horizontal="center"/>
    </xf>
    <xf numFmtId="167" fontId="60" fillId="6" borderId="3" xfId="0" applyNumberFormat="1" applyFont="1" applyFill="1" applyBorder="1"/>
    <xf numFmtId="0" fontId="59" fillId="16" borderId="3" xfId="0" applyFont="1" applyFill="1" applyBorder="1" applyAlignment="1">
      <alignment horizontal="center"/>
    </xf>
    <xf numFmtId="0" fontId="57" fillId="16" borderId="3" xfId="0" applyFont="1" applyFill="1" applyBorder="1" applyAlignment="1">
      <alignment horizontal="center"/>
    </xf>
    <xf numFmtId="0" fontId="59" fillId="14" borderId="3" xfId="0" applyFont="1" applyFill="1" applyBorder="1" applyAlignment="1">
      <alignment horizontal="center"/>
    </xf>
    <xf numFmtId="0" fontId="57" fillId="14" borderId="3" xfId="0" applyFont="1" applyFill="1" applyBorder="1" applyAlignment="1">
      <alignment horizontal="center"/>
    </xf>
    <xf numFmtId="0" fontId="57" fillId="20" borderId="1" xfId="0" applyFont="1" applyFill="1" applyBorder="1"/>
    <xf numFmtId="9" fontId="56" fillId="14" borderId="1" xfId="0" applyNumberFormat="1" applyFont="1" applyFill="1" applyBorder="1" applyAlignment="1">
      <alignment horizontal="center"/>
    </xf>
    <xf numFmtId="0" fontId="57" fillId="20" borderId="9" xfId="0" applyFont="1" applyFill="1" applyBorder="1"/>
    <xf numFmtId="0" fontId="57" fillId="6" borderId="1" xfId="0" applyFont="1" applyFill="1" applyBorder="1"/>
    <xf numFmtId="0" fontId="57" fillId="14" borderId="1" xfId="0" applyFont="1" applyFill="1" applyBorder="1"/>
    <xf numFmtId="0" fontId="57" fillId="14" borderId="5" xfId="0" applyFont="1" applyFill="1" applyBorder="1" applyAlignment="1">
      <alignment horizontal="center"/>
    </xf>
    <xf numFmtId="0" fontId="57" fillId="14" borderId="1" xfId="0" applyFont="1" applyFill="1" applyBorder="1" applyAlignment="1">
      <alignment horizontal="center"/>
    </xf>
    <xf numFmtId="0" fontId="57" fillId="20" borderId="1" xfId="0" applyFont="1" applyFill="1" applyBorder="1" applyAlignment="1">
      <alignment horizontal="left" wrapText="1"/>
    </xf>
    <xf numFmtId="0" fontId="54" fillId="14" borderId="1" xfId="0" applyFont="1" applyFill="1" applyBorder="1" applyAlignment="1">
      <alignment horizontal="left"/>
    </xf>
    <xf numFmtId="0" fontId="57" fillId="6" borderId="1" xfId="0" applyFont="1" applyFill="1" applyBorder="1" applyAlignment="1">
      <alignment horizontal="left" wrapText="1"/>
    </xf>
    <xf numFmtId="0" fontId="57" fillId="9" borderId="1" xfId="0" applyFont="1" applyFill="1" applyBorder="1"/>
    <xf numFmtId="0" fontId="60" fillId="16" borderId="12" xfId="0" applyFont="1" applyFill="1" applyBorder="1" applyAlignment="1">
      <alignment horizontal="center"/>
    </xf>
    <xf numFmtId="9" fontId="59" fillId="16" borderId="1" xfId="0" applyNumberFormat="1" applyFont="1" applyFill="1" applyBorder="1" applyAlignment="1">
      <alignment horizontal="center"/>
    </xf>
    <xf numFmtId="0" fontId="60" fillId="5" borderId="11" xfId="0" applyFont="1" applyFill="1" applyBorder="1" applyAlignment="1">
      <alignment horizontal="center"/>
    </xf>
    <xf numFmtId="0" fontId="60" fillId="5" borderId="0" xfId="0" applyFont="1" applyFill="1" applyAlignment="1">
      <alignment horizontal="center"/>
    </xf>
    <xf numFmtId="0" fontId="59" fillId="0" borderId="9" xfId="0" applyFont="1" applyBorder="1" applyAlignment="1">
      <alignment horizontal="center"/>
    </xf>
    <xf numFmtId="0" fontId="60" fillId="16" borderId="1" xfId="0" applyFont="1" applyFill="1" applyBorder="1" applyAlignment="1">
      <alignment wrapText="1"/>
    </xf>
    <xf numFmtId="0" fontId="60" fillId="14" borderId="5" xfId="0" applyFont="1" applyFill="1" applyBorder="1"/>
    <xf numFmtId="0" fontId="60" fillId="14" borderId="1" xfId="0" applyFont="1" applyFill="1" applyBorder="1"/>
    <xf numFmtId="9" fontId="59" fillId="6" borderId="13" xfId="0" applyNumberFormat="1" applyFont="1" applyFill="1" applyBorder="1" applyAlignment="1">
      <alignment horizontal="center"/>
    </xf>
    <xf numFmtId="0" fontId="59" fillId="6" borderId="9" xfId="0" applyFont="1" applyFill="1" applyBorder="1"/>
    <xf numFmtId="0" fontId="60" fillId="5" borderId="9" xfId="0" applyFont="1" applyFill="1" applyBorder="1" applyAlignment="1">
      <alignment horizontal="center"/>
    </xf>
    <xf numFmtId="166" fontId="60" fillId="5" borderId="9" xfId="0" applyNumberFormat="1" applyFont="1" applyFill="1" applyBorder="1" applyAlignment="1">
      <alignment horizontal="center"/>
    </xf>
    <xf numFmtId="0" fontId="60" fillId="16" borderId="1" xfId="0" applyFont="1" applyFill="1" applyBorder="1" applyAlignment="1">
      <alignment horizontal="center"/>
    </xf>
    <xf numFmtId="166" fontId="60" fillId="16" borderId="1" xfId="0" applyNumberFormat="1" applyFont="1" applyFill="1" applyBorder="1" applyAlignment="1">
      <alignment horizontal="center"/>
    </xf>
    <xf numFmtId="0" fontId="60" fillId="16" borderId="1" xfId="0" applyFont="1" applyFill="1" applyBorder="1"/>
    <xf numFmtId="0" fontId="59" fillId="16" borderId="1" xfId="0" applyFont="1" applyFill="1" applyBorder="1"/>
    <xf numFmtId="0" fontId="59" fillId="20" borderId="1" xfId="0" applyFont="1" applyFill="1" applyBorder="1"/>
    <xf numFmtId="0" fontId="59" fillId="20" borderId="1" xfId="0" applyFont="1" applyFill="1" applyBorder="1" applyAlignment="1">
      <alignment horizontal="center"/>
    </xf>
    <xf numFmtId="0" fontId="54" fillId="16" borderId="1" xfId="0" applyFont="1" applyFill="1" applyBorder="1" applyAlignment="1">
      <alignment horizontal="center"/>
    </xf>
    <xf numFmtId="9" fontId="57" fillId="16" borderId="8" xfId="0" applyNumberFormat="1" applyFont="1" applyFill="1" applyBorder="1" applyAlignment="1">
      <alignment horizontal="center"/>
    </xf>
    <xf numFmtId="167" fontId="60" fillId="16" borderId="3" xfId="0" applyNumberFormat="1" applyFont="1" applyFill="1" applyBorder="1"/>
    <xf numFmtId="167" fontId="57" fillId="16" borderId="3" xfId="0" applyNumberFormat="1" applyFont="1" applyFill="1" applyBorder="1" applyAlignment="1">
      <alignment horizontal="center"/>
    </xf>
    <xf numFmtId="9" fontId="57" fillId="14" borderId="8" xfId="0" applyNumberFormat="1" applyFont="1" applyFill="1" applyBorder="1" applyAlignment="1">
      <alignment horizontal="center"/>
    </xf>
    <xf numFmtId="167" fontId="60" fillId="14" borderId="3" xfId="0" applyNumberFormat="1" applyFont="1" applyFill="1" applyBorder="1"/>
    <xf numFmtId="167" fontId="57" fillId="14" borderId="3" xfId="0" applyNumberFormat="1" applyFont="1" applyFill="1" applyBorder="1" applyAlignment="1">
      <alignment horizontal="center"/>
    </xf>
    <xf numFmtId="166" fontId="57" fillId="14" borderId="6" xfId="0" applyNumberFormat="1" applyFont="1" applyFill="1" applyBorder="1"/>
    <xf numFmtId="9" fontId="60" fillId="14" borderId="3" xfId="0" applyNumberFormat="1" applyFont="1" applyFill="1" applyBorder="1" applyAlignment="1">
      <alignment horizontal="center"/>
    </xf>
    <xf numFmtId="9" fontId="57" fillId="14" borderId="1" xfId="0" applyNumberFormat="1" applyFont="1" applyFill="1" applyBorder="1" applyAlignment="1">
      <alignment horizontal="center"/>
    </xf>
    <xf numFmtId="0" fontId="59" fillId="6" borderId="6" xfId="0" applyFont="1" applyFill="1" applyBorder="1" applyAlignment="1">
      <alignment horizontal="center"/>
    </xf>
    <xf numFmtId="167" fontId="57" fillId="6" borderId="1" xfId="0" applyNumberFormat="1" applyFont="1" applyFill="1" applyBorder="1" applyAlignment="1">
      <alignment horizontal="right"/>
    </xf>
    <xf numFmtId="0" fontId="57" fillId="20" borderId="1" xfId="0" applyFont="1" applyFill="1" applyBorder="1" applyAlignment="1">
      <alignment horizontal="center"/>
    </xf>
    <xf numFmtId="166" fontId="57" fillId="20" borderId="1" xfId="0" applyNumberFormat="1" applyFont="1" applyFill="1" applyBorder="1"/>
    <xf numFmtId="166" fontId="57" fillId="14" borderId="1" xfId="0" applyNumberFormat="1" applyFont="1" applyFill="1" applyBorder="1"/>
    <xf numFmtId="9" fontId="60" fillId="6" borderId="1" xfId="0" applyNumberFormat="1" applyFont="1" applyFill="1" applyBorder="1" applyAlignment="1">
      <alignment horizontal="center"/>
    </xf>
    <xf numFmtId="0" fontId="57" fillId="6" borderId="0" xfId="0" applyFont="1" applyFill="1"/>
    <xf numFmtId="0" fontId="59" fillId="6" borderId="0" xfId="0" applyFont="1" applyFill="1"/>
    <xf numFmtId="0" fontId="59" fillId="6" borderId="0" xfId="0" applyFont="1" applyFill="1" applyAlignment="1">
      <alignment horizontal="center"/>
    </xf>
    <xf numFmtId="166" fontId="59" fillId="6" borderId="0" xfId="0" applyNumberFormat="1" applyFont="1" applyFill="1" applyAlignment="1">
      <alignment horizontal="center"/>
    </xf>
    <xf numFmtId="0" fontId="57" fillId="6" borderId="0" xfId="0" applyFont="1" applyFill="1" applyAlignment="1">
      <alignment horizontal="center"/>
    </xf>
    <xf numFmtId="166" fontId="57" fillId="6" borderId="0" xfId="0" applyNumberFormat="1" applyFont="1" applyFill="1" applyAlignment="1">
      <alignment horizontal="right"/>
    </xf>
    <xf numFmtId="3" fontId="57" fillId="6" borderId="0" xfId="0" applyNumberFormat="1" applyFont="1" applyFill="1" applyAlignment="1">
      <alignment horizontal="center"/>
    </xf>
    <xf numFmtId="166" fontId="57" fillId="6" borderId="0" xfId="0" applyNumberFormat="1" applyFont="1" applyFill="1"/>
    <xf numFmtId="0" fontId="60" fillId="16" borderId="1" xfId="0" applyFont="1" applyFill="1" applyBorder="1" applyAlignment="1">
      <alignment horizontal="left"/>
    </xf>
    <xf numFmtId="3" fontId="60" fillId="16" borderId="1" xfId="0" applyNumberFormat="1" applyFont="1" applyFill="1" applyBorder="1" applyAlignment="1">
      <alignment horizontal="center"/>
    </xf>
    <xf numFmtId="166" fontId="59" fillId="16" borderId="1" xfId="0" applyNumberFormat="1" applyFont="1" applyFill="1" applyBorder="1"/>
    <xf numFmtId="167" fontId="57" fillId="14" borderId="1" xfId="0" applyNumberFormat="1" applyFont="1" applyFill="1" applyBorder="1" applyAlignment="1">
      <alignment horizontal="right"/>
    </xf>
    <xf numFmtId="9" fontId="60" fillId="20" borderId="1" xfId="0" applyNumberFormat="1" applyFont="1" applyFill="1" applyBorder="1" applyAlignment="1">
      <alignment horizontal="center"/>
    </xf>
    <xf numFmtId="166" fontId="59" fillId="6" borderId="1" xfId="0" applyNumberFormat="1" applyFont="1" applyFill="1" applyBorder="1" applyAlignment="1">
      <alignment horizontal="center"/>
    </xf>
    <xf numFmtId="3" fontId="60" fillId="5" borderId="9" xfId="0" applyNumberFormat="1" applyFont="1" applyFill="1" applyBorder="1" applyAlignment="1">
      <alignment horizontal="center"/>
    </xf>
    <xf numFmtId="3" fontId="56" fillId="6" borderId="1" xfId="0" applyNumberFormat="1" applyFont="1" applyFill="1" applyBorder="1" applyAlignment="1">
      <alignment horizontal="center"/>
    </xf>
    <xf numFmtId="9" fontId="54" fillId="16" borderId="1" xfId="0" applyNumberFormat="1" applyFont="1" applyFill="1" applyBorder="1" applyAlignment="1">
      <alignment horizontal="center"/>
    </xf>
    <xf numFmtId="167" fontId="56" fillId="14" borderId="1" xfId="0" applyNumberFormat="1" applyFont="1" applyFill="1" applyBorder="1" applyAlignment="1">
      <alignment horizontal="right"/>
    </xf>
    <xf numFmtId="9" fontId="54" fillId="20" borderId="1" xfId="0" applyNumberFormat="1" applyFont="1" applyFill="1" applyBorder="1" applyAlignment="1">
      <alignment horizontal="center"/>
    </xf>
    <xf numFmtId="0" fontId="60" fillId="20" borderId="1" xfId="0" applyFont="1" applyFill="1" applyBorder="1"/>
    <xf numFmtId="0" fontId="61" fillId="14" borderId="1" xfId="0" applyFont="1" applyFill="1" applyBorder="1" applyAlignment="1">
      <alignment horizontal="left" wrapText="1"/>
    </xf>
    <xf numFmtId="0" fontId="55" fillId="14" borderId="1" xfId="0" applyFont="1" applyFill="1" applyBorder="1" applyAlignment="1">
      <alignment horizontal="left"/>
    </xf>
    <xf numFmtId="0" fontId="54" fillId="20" borderId="1" xfId="0" applyFont="1" applyFill="1" applyBorder="1" applyAlignment="1">
      <alignment horizontal="center"/>
    </xf>
    <xf numFmtId="166" fontId="54" fillId="20" borderId="1" xfId="0" applyNumberFormat="1" applyFont="1" applyFill="1" applyBorder="1"/>
    <xf numFmtId="9" fontId="59" fillId="20" borderId="1" xfId="0" applyNumberFormat="1" applyFont="1" applyFill="1" applyBorder="1" applyAlignment="1">
      <alignment horizontal="center"/>
    </xf>
    <xf numFmtId="166" fontId="59" fillId="20" borderId="1" xfId="0" applyNumberFormat="1" applyFont="1" applyFill="1" applyBorder="1"/>
    <xf numFmtId="166" fontId="55" fillId="20" borderId="1" xfId="0" applyNumberFormat="1" applyFont="1" applyFill="1" applyBorder="1" applyAlignment="1">
      <alignment horizontal="right"/>
    </xf>
    <xf numFmtId="0" fontId="9" fillId="6" borderId="14" xfId="0" applyFont="1" applyFill="1" applyBorder="1" applyAlignment="1">
      <alignment horizontal="center"/>
    </xf>
    <xf numFmtId="3" fontId="9" fillId="6" borderId="9" xfId="0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 vertical="center"/>
    </xf>
    <xf numFmtId="9" fontId="60" fillId="16" borderId="1" xfId="0" applyNumberFormat="1" applyFont="1" applyFill="1" applyBorder="1" applyAlignment="1">
      <alignment horizontal="center"/>
    </xf>
    <xf numFmtId="166" fontId="57" fillId="16" borderId="1" xfId="0" applyNumberFormat="1" applyFont="1" applyFill="1" applyBorder="1"/>
    <xf numFmtId="9" fontId="59" fillId="16" borderId="1" xfId="0" applyNumberFormat="1" applyFont="1" applyFill="1" applyBorder="1"/>
    <xf numFmtId="166" fontId="59" fillId="16" borderId="1" xfId="0" applyNumberFormat="1" applyFont="1" applyFill="1" applyBorder="1" applyAlignment="1">
      <alignment horizontal="right"/>
    </xf>
    <xf numFmtId="166" fontId="59" fillId="14" borderId="1" xfId="0" applyNumberFormat="1" applyFont="1" applyFill="1" applyBorder="1" applyAlignment="1">
      <alignment horizontal="right"/>
    </xf>
    <xf numFmtId="166" fontId="59" fillId="6" borderId="1" xfId="0" applyNumberFormat="1" applyFont="1" applyFill="1" applyBorder="1" applyAlignment="1">
      <alignment horizontal="right"/>
    </xf>
    <xf numFmtId="0" fontId="60" fillId="0" borderId="1" xfId="0" applyFont="1" applyBorder="1" applyAlignment="1">
      <alignment wrapText="1"/>
    </xf>
    <xf numFmtId="0" fontId="57" fillId="16" borderId="1" xfId="0" applyFont="1" applyFill="1" applyBorder="1" applyAlignment="1">
      <alignment horizontal="left"/>
    </xf>
    <xf numFmtId="0" fontId="59" fillId="16" borderId="1" xfId="0" applyFont="1" applyFill="1" applyBorder="1" applyAlignment="1">
      <alignment horizontal="left"/>
    </xf>
    <xf numFmtId="3" fontId="57" fillId="16" borderId="1" xfId="0" applyNumberFormat="1" applyFont="1" applyFill="1" applyBorder="1" applyAlignment="1">
      <alignment horizontal="left"/>
    </xf>
    <xf numFmtId="0" fontId="59" fillId="14" borderId="8" xfId="0" applyFont="1" applyFill="1" applyBorder="1"/>
    <xf numFmtId="0" fontId="60" fillId="14" borderId="0" xfId="0" applyFont="1" applyFill="1" applyAlignment="1">
      <alignment wrapText="1"/>
    </xf>
    <xf numFmtId="9" fontId="59" fillId="14" borderId="6" xfId="0" applyNumberFormat="1" applyFont="1" applyFill="1" applyBorder="1" applyAlignment="1">
      <alignment horizontal="center"/>
    </xf>
    <xf numFmtId="0" fontId="60" fillId="14" borderId="9" xfId="0" applyFont="1" applyFill="1" applyBorder="1"/>
    <xf numFmtId="9" fontId="59" fillId="14" borderId="8" xfId="0" applyNumberFormat="1" applyFont="1" applyFill="1" applyBorder="1" applyAlignment="1">
      <alignment horizontal="center"/>
    </xf>
    <xf numFmtId="9" fontId="59" fillId="14" borderId="12" xfId="0" applyNumberFormat="1" applyFont="1" applyFill="1" applyBorder="1" applyAlignment="1">
      <alignment horizontal="center"/>
    </xf>
    <xf numFmtId="0" fontId="60" fillId="14" borderId="4" xfId="0" applyFont="1" applyFill="1" applyBorder="1" applyAlignment="1">
      <alignment wrapText="1"/>
    </xf>
    <xf numFmtId="9" fontId="60" fillId="14" borderId="8" xfId="0" applyNumberFormat="1" applyFont="1" applyFill="1" applyBorder="1" applyAlignment="1">
      <alignment horizontal="center"/>
    </xf>
    <xf numFmtId="166" fontId="60" fillId="14" borderId="3" xfId="0" applyNumberFormat="1" applyFont="1" applyFill="1" applyBorder="1"/>
    <xf numFmtId="0" fontId="60" fillId="14" borderId="1" xfId="0" applyFont="1" applyFill="1" applyBorder="1" applyAlignment="1">
      <alignment horizontal="right"/>
    </xf>
    <xf numFmtId="9" fontId="60" fillId="14" borderId="2" xfId="0" applyNumberFormat="1" applyFont="1" applyFill="1" applyBorder="1" applyAlignment="1">
      <alignment horizontal="center"/>
    </xf>
    <xf numFmtId="0" fontId="59" fillId="0" borderId="5" xfId="0" applyFont="1" applyBorder="1" applyAlignment="1">
      <alignment horizontal="center"/>
    </xf>
    <xf numFmtId="0" fontId="59" fillId="0" borderId="4" xfId="0" applyFont="1" applyBorder="1"/>
    <xf numFmtId="166" fontId="57" fillId="0" borderId="4" xfId="0" applyNumberFormat="1" applyFont="1" applyBorder="1"/>
    <xf numFmtId="9" fontId="59" fillId="0" borderId="0" xfId="0" applyNumberFormat="1" applyFont="1" applyAlignment="1">
      <alignment horizontal="center"/>
    </xf>
    <xf numFmtId="167" fontId="59" fillId="0" borderId="4" xfId="0" applyNumberFormat="1" applyFont="1" applyBorder="1" applyAlignment="1">
      <alignment horizontal="center"/>
    </xf>
    <xf numFmtId="0" fontId="60" fillId="0" borderId="3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0" fillId="0" borderId="2" xfId="0" applyFont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41" fillId="14" borderId="1" xfId="0" applyFont="1" applyFill="1" applyBorder="1" applyAlignment="1">
      <alignment wrapText="1"/>
    </xf>
    <xf numFmtId="0" fontId="60" fillId="14" borderId="6" xfId="0" applyFont="1" applyFill="1" applyBorder="1" applyAlignment="1">
      <alignment horizontal="center"/>
    </xf>
    <xf numFmtId="0" fontId="60" fillId="14" borderId="1" xfId="0" applyFont="1" applyFill="1" applyBorder="1" applyAlignment="1">
      <alignment horizontal="center"/>
    </xf>
    <xf numFmtId="0" fontId="58" fillId="0" borderId="9" xfId="0" applyFont="1" applyBorder="1"/>
    <xf numFmtId="9" fontId="60" fillId="14" borderId="14" xfId="0" applyNumberFormat="1" applyFont="1" applyFill="1" applyBorder="1" applyAlignment="1">
      <alignment horizontal="center"/>
    </xf>
    <xf numFmtId="0" fontId="57" fillId="9" borderId="14" xfId="0" applyFont="1" applyFill="1" applyBorder="1" applyAlignment="1">
      <alignment horizontal="center"/>
    </xf>
    <xf numFmtId="0" fontId="57" fillId="9" borderId="9" xfId="0" applyFont="1" applyFill="1" applyBorder="1" applyAlignment="1">
      <alignment horizontal="center"/>
    </xf>
    <xf numFmtId="0" fontId="59" fillId="0" borderId="9" xfId="0" applyFont="1" applyBorder="1"/>
    <xf numFmtId="166" fontId="59" fillId="0" borderId="9" xfId="0" applyNumberFormat="1" applyFont="1" applyBorder="1" applyAlignment="1">
      <alignment horizontal="center"/>
    </xf>
    <xf numFmtId="0" fontId="59" fillId="0" borderId="2" xfId="0" applyFont="1" applyBorder="1"/>
    <xf numFmtId="0" fontId="65" fillId="0" borderId="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/>
    <xf numFmtId="0" fontId="57" fillId="7" borderId="9" xfId="0" applyFont="1" applyFill="1" applyBorder="1" applyAlignment="1">
      <alignment horizontal="center"/>
    </xf>
    <xf numFmtId="0" fontId="57" fillId="7" borderId="4" xfId="0" applyFont="1" applyFill="1" applyBorder="1" applyAlignment="1">
      <alignment horizontal="center"/>
    </xf>
    <xf numFmtId="166" fontId="57" fillId="7" borderId="9" xfId="0" applyNumberFormat="1" applyFont="1" applyFill="1" applyBorder="1" applyAlignment="1">
      <alignment horizontal="right"/>
    </xf>
    <xf numFmtId="3" fontId="57" fillId="7" borderId="9" xfId="0" applyNumberFormat="1" applyFont="1" applyFill="1" applyBorder="1" applyAlignment="1">
      <alignment horizontal="center"/>
    </xf>
    <xf numFmtId="167" fontId="57" fillId="7" borderId="9" xfId="0" applyNumberFormat="1" applyFont="1" applyFill="1" applyBorder="1" applyAlignment="1">
      <alignment horizontal="right"/>
    </xf>
    <xf numFmtId="0" fontId="57" fillId="7" borderId="9" xfId="0" applyFont="1" applyFill="1" applyBorder="1"/>
    <xf numFmtId="0" fontId="57" fillId="0" borderId="4" xfId="0" applyFont="1" applyBorder="1" applyAlignment="1">
      <alignment horizontal="center"/>
    </xf>
    <xf numFmtId="166" fontId="33" fillId="14" borderId="1" xfId="0" applyNumberFormat="1" applyFont="1" applyFill="1" applyBorder="1"/>
    <xf numFmtId="0" fontId="57" fillId="0" borderId="9" xfId="0" applyFont="1" applyBorder="1" applyAlignment="1">
      <alignment horizontal="center"/>
    </xf>
    <xf numFmtId="0" fontId="59" fillId="0" borderId="12" xfId="0" applyFont="1" applyBorder="1"/>
    <xf numFmtId="0" fontId="65" fillId="6" borderId="9" xfId="0" applyFont="1" applyFill="1" applyBorder="1"/>
    <xf numFmtId="0" fontId="59" fillId="0" borderId="14" xfId="0" applyFont="1" applyBorder="1" applyAlignment="1">
      <alignment horizontal="center"/>
    </xf>
    <xf numFmtId="0" fontId="57" fillId="0" borderId="15" xfId="0" applyFont="1" applyBorder="1" applyAlignment="1">
      <alignment horizontal="center"/>
    </xf>
    <xf numFmtId="0" fontId="57" fillId="0" borderId="15" xfId="0" applyFont="1" applyBorder="1"/>
    <xf numFmtId="166" fontId="57" fillId="0" borderId="15" xfId="0" applyNumberFormat="1" applyFont="1" applyBorder="1"/>
    <xf numFmtId="3" fontId="57" fillId="0" borderId="15" xfId="0" applyNumberFormat="1" applyFont="1" applyBorder="1"/>
    <xf numFmtId="0" fontId="59" fillId="0" borderId="15" xfId="0" applyFont="1" applyBorder="1"/>
    <xf numFmtId="0" fontId="65" fillId="0" borderId="15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0" fontId="57" fillId="0" borderId="2" xfId="0" applyFont="1" applyBorder="1"/>
    <xf numFmtId="166" fontId="57" fillId="0" borderId="2" xfId="0" applyNumberFormat="1" applyFont="1" applyBorder="1"/>
    <xf numFmtId="3" fontId="57" fillId="0" borderId="2" xfId="0" applyNumberFormat="1" applyFont="1" applyBorder="1"/>
    <xf numFmtId="0" fontId="59" fillId="0" borderId="3" xfId="0" applyFont="1" applyBorder="1" applyAlignment="1">
      <alignment horizontal="center"/>
    </xf>
    <xf numFmtId="0" fontId="57" fillId="0" borderId="12" xfId="0" applyFont="1" applyBorder="1" applyAlignment="1">
      <alignment horizontal="right"/>
    </xf>
    <xf numFmtId="3" fontId="57" fillId="9" borderId="14" xfId="0" applyNumberFormat="1" applyFont="1" applyFill="1" applyBorder="1" applyAlignment="1">
      <alignment horizontal="center"/>
    </xf>
    <xf numFmtId="166" fontId="57" fillId="9" borderId="9" xfId="0" applyNumberFormat="1" applyFont="1" applyFill="1" applyBorder="1"/>
    <xf numFmtId="3" fontId="57" fillId="9" borderId="9" xfId="0" applyNumberFormat="1" applyFont="1" applyFill="1" applyBorder="1" applyAlignment="1">
      <alignment horizontal="right"/>
    </xf>
    <xf numFmtId="3" fontId="57" fillId="6" borderId="1" xfId="0" applyNumberFormat="1" applyFont="1" applyFill="1" applyBorder="1" applyAlignment="1">
      <alignment horizontal="center"/>
    </xf>
    <xf numFmtId="0" fontId="60" fillId="5" borderId="14" xfId="0" applyFont="1" applyFill="1" applyBorder="1" applyAlignment="1">
      <alignment horizontal="center"/>
    </xf>
    <xf numFmtId="0" fontId="60" fillId="16" borderId="6" xfId="0" applyFont="1" applyFill="1" applyBorder="1" applyAlignment="1">
      <alignment horizontal="center"/>
    </xf>
    <xf numFmtId="0" fontId="57" fillId="6" borderId="6" xfId="0" applyFont="1" applyFill="1" applyBorder="1" applyAlignment="1">
      <alignment horizontal="center"/>
    </xf>
    <xf numFmtId="166" fontId="57" fillId="9" borderId="1" xfId="0" applyNumberFormat="1" applyFont="1" applyFill="1" applyBorder="1" applyAlignment="1">
      <alignment horizontal="right"/>
    </xf>
    <xf numFmtId="0" fontId="59" fillId="6" borderId="15" xfId="0" applyFont="1" applyFill="1" applyBorder="1"/>
    <xf numFmtId="0" fontId="59" fillId="0" borderId="14" xfId="0" applyFont="1" applyBorder="1"/>
    <xf numFmtId="167" fontId="57" fillId="14" borderId="11" xfId="0" applyNumberFormat="1" applyFont="1" applyFill="1" applyBorder="1" applyAlignment="1">
      <alignment horizontal="center"/>
    </xf>
    <xf numFmtId="0" fontId="59" fillId="14" borderId="11" xfId="0" applyFont="1" applyFill="1" applyBorder="1" applyAlignment="1">
      <alignment horizontal="center"/>
    </xf>
    <xf numFmtId="0" fontId="57" fillId="14" borderId="11" xfId="0" applyFont="1" applyFill="1" applyBorder="1" applyAlignment="1">
      <alignment horizontal="center"/>
    </xf>
    <xf numFmtId="3" fontId="57" fillId="0" borderId="4" xfId="0" applyNumberFormat="1" applyFont="1" applyBorder="1"/>
    <xf numFmtId="0" fontId="57" fillId="0" borderId="4" xfId="0" applyFont="1" applyBorder="1"/>
    <xf numFmtId="0" fontId="66" fillId="14" borderId="1" xfId="0" applyFont="1" applyFill="1" applyBorder="1" applyAlignment="1">
      <alignment horizontal="left"/>
    </xf>
    <xf numFmtId="166" fontId="66" fillId="14" borderId="1" xfId="0" applyNumberFormat="1" applyFont="1" applyFill="1" applyBorder="1" applyAlignment="1">
      <alignment horizontal="left"/>
    </xf>
    <xf numFmtId="166" fontId="59" fillId="0" borderId="9" xfId="0" applyNumberFormat="1" applyFont="1" applyBorder="1"/>
    <xf numFmtId="166" fontId="59" fillId="6" borderId="9" xfId="0" applyNumberFormat="1" applyFont="1" applyFill="1" applyBorder="1" applyAlignment="1">
      <alignment horizontal="right"/>
    </xf>
    <xf numFmtId="166" fontId="65" fillId="0" borderId="1" xfId="0" applyNumberFormat="1" applyFont="1" applyBorder="1"/>
    <xf numFmtId="9" fontId="59" fillId="0" borderId="9" xfId="0" applyNumberFormat="1" applyFont="1" applyBorder="1" applyAlignment="1">
      <alignment horizontal="center"/>
    </xf>
    <xf numFmtId="166" fontId="0" fillId="0" borderId="9" xfId="0" applyNumberFormat="1" applyBorder="1"/>
    <xf numFmtId="0" fontId="0" fillId="0" borderId="12" xfId="0" applyBorder="1"/>
    <xf numFmtId="0" fontId="0" fillId="6" borderId="12" xfId="0" applyFill="1" applyBorder="1"/>
    <xf numFmtId="166" fontId="59" fillId="14" borderId="8" xfId="0" applyNumberFormat="1" applyFont="1" applyFill="1" applyBorder="1"/>
    <xf numFmtId="166" fontId="0" fillId="0" borderId="12" xfId="0" applyNumberFormat="1" applyBorder="1"/>
    <xf numFmtId="166" fontId="68" fillId="0" borderId="1" xfId="0" applyNumberFormat="1" applyFont="1" applyBorder="1"/>
    <xf numFmtId="0" fontId="59" fillId="14" borderId="6" xfId="0" applyFont="1" applyFill="1" applyBorder="1"/>
    <xf numFmtId="9" fontId="57" fillId="14" borderId="12" xfId="0" applyNumberFormat="1" applyFont="1" applyFill="1" applyBorder="1" applyAlignment="1">
      <alignment horizontal="center"/>
    </xf>
    <xf numFmtId="167" fontId="60" fillId="14" borderId="1" xfId="0" applyNumberFormat="1" applyFont="1" applyFill="1" applyBorder="1"/>
    <xf numFmtId="167" fontId="57" fillId="14" borderId="1" xfId="0" applyNumberFormat="1" applyFont="1" applyFill="1" applyBorder="1" applyAlignment="1">
      <alignment horizontal="center"/>
    </xf>
    <xf numFmtId="0" fontId="59" fillId="14" borderId="6" xfId="0" applyFont="1" applyFill="1" applyBorder="1" applyAlignment="1">
      <alignment horizontal="center"/>
    </xf>
    <xf numFmtId="0" fontId="59" fillId="6" borderId="12" xfId="0" applyFont="1" applyFill="1" applyBorder="1"/>
    <xf numFmtId="0" fontId="59" fillId="6" borderId="12" xfId="0" applyFont="1" applyFill="1" applyBorder="1" applyAlignment="1">
      <alignment horizontal="center"/>
    </xf>
    <xf numFmtId="9" fontId="57" fillId="6" borderId="15" xfId="0" applyNumberFormat="1" applyFont="1" applyFill="1" applyBorder="1" applyAlignment="1">
      <alignment horizontal="center"/>
    </xf>
    <xf numFmtId="0" fontId="0" fillId="6" borderId="0" xfId="0" applyFill="1"/>
    <xf numFmtId="167" fontId="60" fillId="6" borderId="1" xfId="0" applyNumberFormat="1" applyFont="1" applyFill="1" applyBorder="1"/>
    <xf numFmtId="167" fontId="57" fillId="6" borderId="1" xfId="0" applyNumberFormat="1" applyFont="1" applyFill="1" applyBorder="1" applyAlignment="1">
      <alignment horizontal="center"/>
    </xf>
    <xf numFmtId="0" fontId="57" fillId="9" borderId="1" xfId="0" applyFont="1" applyFill="1" applyBorder="1" applyAlignment="1">
      <alignment horizontal="center"/>
    </xf>
    <xf numFmtId="0" fontId="57" fillId="9" borderId="15" xfId="0" applyFont="1" applyFill="1" applyBorder="1" applyAlignment="1">
      <alignment horizontal="center"/>
    </xf>
    <xf numFmtId="167" fontId="60" fillId="14" borderId="9" xfId="0" applyNumberFormat="1" applyFont="1" applyFill="1" applyBorder="1"/>
    <xf numFmtId="167" fontId="57" fillId="14" borderId="9" xfId="0" applyNumberFormat="1" applyFont="1" applyFill="1" applyBorder="1" applyAlignment="1">
      <alignment horizontal="center"/>
    </xf>
    <xf numFmtId="166" fontId="66" fillId="14" borderId="4" xfId="0" applyNumberFormat="1" applyFont="1" applyFill="1" applyBorder="1"/>
    <xf numFmtId="166" fontId="60" fillId="14" borderId="1" xfId="0" applyNumberFormat="1" applyFont="1" applyFill="1" applyBorder="1" applyAlignment="1">
      <alignment horizontal="right"/>
    </xf>
    <xf numFmtId="9" fontId="0" fillId="0" borderId="1" xfId="0" applyNumberFormat="1" applyBorder="1" applyAlignment="1">
      <alignment horizontal="center"/>
    </xf>
    <xf numFmtId="0" fontId="0" fillId="0" borderId="14" xfId="0" applyBorder="1"/>
    <xf numFmtId="0" fontId="0" fillId="0" borderId="11" xfId="0" applyBorder="1"/>
    <xf numFmtId="9" fontId="0" fillId="14" borderId="10" xfId="0" applyNumberFormat="1" applyFill="1" applyBorder="1" applyAlignment="1">
      <alignment horizontal="center"/>
    </xf>
    <xf numFmtId="0" fontId="23" fillId="14" borderId="4" xfId="0" applyFont="1" applyFill="1" applyBorder="1" applyAlignment="1">
      <alignment wrapText="1"/>
    </xf>
    <xf numFmtId="9" fontId="0" fillId="14" borderId="9" xfId="0" applyNumberFormat="1" applyFill="1" applyBorder="1" applyAlignment="1">
      <alignment horizontal="center"/>
    </xf>
    <xf numFmtId="0" fontId="41" fillId="14" borderId="9" xfId="0" applyFont="1" applyFill="1" applyBorder="1" applyAlignment="1">
      <alignment wrapText="1"/>
    </xf>
    <xf numFmtId="0" fontId="41" fillId="0" borderId="8" xfId="0" applyFont="1" applyBorder="1" applyAlignment="1">
      <alignment wrapText="1"/>
    </xf>
    <xf numFmtId="9" fontId="59" fillId="6" borderId="9" xfId="0" applyNumberFormat="1" applyFont="1" applyFill="1" applyBorder="1" applyAlignment="1">
      <alignment horizontal="center"/>
    </xf>
    <xf numFmtId="0" fontId="57" fillId="6" borderId="3" xfId="0" applyFont="1" applyFill="1" applyBorder="1" applyAlignment="1">
      <alignment horizontal="center"/>
    </xf>
    <xf numFmtId="0" fontId="60" fillId="6" borderId="2" xfId="0" applyFont="1" applyFill="1" applyBorder="1" applyAlignment="1">
      <alignment horizontal="center"/>
    </xf>
    <xf numFmtId="0" fontId="59" fillId="6" borderId="5" xfId="0" applyFont="1" applyFill="1" applyBorder="1"/>
    <xf numFmtId="0" fontId="57" fillId="6" borderId="5" xfId="0" applyFont="1" applyFill="1" applyBorder="1" applyAlignment="1">
      <alignment horizontal="center"/>
    </xf>
    <xf numFmtId="0" fontId="59" fillId="6" borderId="5" xfId="0" applyFont="1" applyFill="1" applyBorder="1" applyAlignment="1">
      <alignment horizontal="center"/>
    </xf>
    <xf numFmtId="167" fontId="59" fillId="6" borderId="4" xfId="0" applyNumberFormat="1" applyFont="1" applyFill="1" applyBorder="1" applyAlignment="1">
      <alignment horizontal="center"/>
    </xf>
    <xf numFmtId="166" fontId="60" fillId="5" borderId="1" xfId="0" applyNumberFormat="1" applyFont="1" applyFill="1" applyBorder="1" applyAlignment="1">
      <alignment horizontal="center"/>
    </xf>
    <xf numFmtId="3" fontId="60" fillId="5" borderId="1" xfId="0" applyNumberFormat="1" applyFont="1" applyFill="1" applyBorder="1" applyAlignment="1">
      <alignment horizontal="center"/>
    </xf>
    <xf numFmtId="0" fontId="57" fillId="0" borderId="1" xfId="0" applyFont="1" applyBorder="1" applyAlignment="1">
      <alignment horizontal="right"/>
    </xf>
    <xf numFmtId="3" fontId="57" fillId="9" borderId="1" xfId="0" applyNumberFormat="1" applyFont="1" applyFill="1" applyBorder="1" applyAlignment="1">
      <alignment horizontal="center"/>
    </xf>
    <xf numFmtId="166" fontId="57" fillId="9" borderId="1" xfId="0" applyNumberFormat="1" applyFont="1" applyFill="1" applyBorder="1"/>
    <xf numFmtId="3" fontId="57" fillId="9" borderId="1" xfId="0" applyNumberFormat="1" applyFont="1" applyFill="1" applyBorder="1" applyAlignment="1">
      <alignment horizontal="right"/>
    </xf>
    <xf numFmtId="166" fontId="57" fillId="6" borderId="1" xfId="0" applyNumberFormat="1" applyFont="1" applyFill="1" applyBorder="1" applyAlignment="1">
      <alignment horizontal="right"/>
    </xf>
    <xf numFmtId="0" fontId="59" fillId="0" borderId="4" xfId="0" applyFont="1" applyBorder="1" applyAlignment="1">
      <alignment horizontal="center"/>
    </xf>
    <xf numFmtId="166" fontId="59" fillId="6" borderId="8" xfId="0" applyNumberFormat="1" applyFont="1" applyFill="1" applyBorder="1"/>
    <xf numFmtId="9" fontId="59" fillId="6" borderId="10" xfId="0" applyNumberFormat="1" applyFont="1" applyFill="1" applyBorder="1" applyAlignment="1">
      <alignment horizontal="center"/>
    </xf>
    <xf numFmtId="9" fontId="0" fillId="6" borderId="8" xfId="0" applyNumberFormat="1" applyFill="1" applyBorder="1" applyAlignment="1">
      <alignment horizontal="center"/>
    </xf>
    <xf numFmtId="0" fontId="72" fillId="6" borderId="13" xfId="0" applyFont="1" applyFill="1" applyBorder="1"/>
    <xf numFmtId="0" fontId="59" fillId="6" borderId="13" xfId="0" applyFont="1" applyFill="1" applyBorder="1"/>
    <xf numFmtId="0" fontId="73" fillId="6" borderId="13" xfId="0" applyFont="1" applyFill="1" applyBorder="1"/>
    <xf numFmtId="0" fontId="0" fillId="18" borderId="16" xfId="0" applyFill="1" applyBorder="1" applyAlignment="1">
      <alignment horizontal="center"/>
    </xf>
    <xf numFmtId="0" fontId="0" fillId="0" borderId="18" xfId="0" applyBorder="1" applyAlignment="1">
      <alignment horizontal="center"/>
    </xf>
    <xf numFmtId="167" fontId="55" fillId="8" borderId="4" xfId="0" applyNumberFormat="1" applyFont="1" applyFill="1" applyBorder="1" applyAlignment="1">
      <alignment horizontal="center"/>
    </xf>
    <xf numFmtId="166" fontId="6" fillId="8" borderId="0" xfId="0" applyNumberFormat="1" applyFont="1" applyFill="1"/>
    <xf numFmtId="9" fontId="74" fillId="14" borderId="1" xfId="0" applyNumberFormat="1" applyFont="1" applyFill="1" applyBorder="1" applyAlignment="1">
      <alignment horizontal="center"/>
    </xf>
    <xf numFmtId="166" fontId="65" fillId="8" borderId="1" xfId="0" applyNumberFormat="1" applyFont="1" applyFill="1" applyBorder="1"/>
    <xf numFmtId="9" fontId="59" fillId="14" borderId="10" xfId="0" applyNumberFormat="1" applyFont="1" applyFill="1" applyBorder="1" applyAlignment="1">
      <alignment horizontal="center"/>
    </xf>
    <xf numFmtId="9" fontId="74" fillId="14" borderId="8" xfId="0" applyNumberFormat="1" applyFont="1" applyFill="1" applyBorder="1" applyAlignment="1">
      <alignment horizontal="center"/>
    </xf>
    <xf numFmtId="9" fontId="74" fillId="14" borderId="6" xfId="0" applyNumberFormat="1" applyFont="1" applyFill="1" applyBorder="1" applyAlignment="1">
      <alignment horizontal="center"/>
    </xf>
    <xf numFmtId="0" fontId="6" fillId="8" borderId="0" xfId="0" applyFont="1" applyFill="1"/>
    <xf numFmtId="166" fontId="68" fillId="0" borderId="9" xfId="0" applyNumberFormat="1" applyFont="1" applyBorder="1"/>
    <xf numFmtId="166" fontId="13" fillId="8" borderId="1" xfId="0" applyNumberFormat="1" applyFont="1" applyFill="1" applyBorder="1"/>
    <xf numFmtId="0" fontId="54" fillId="14" borderId="5" xfId="0" applyFont="1" applyFill="1" applyBorder="1" applyAlignment="1">
      <alignment horizontal="center"/>
    </xf>
    <xf numFmtId="0" fontId="54" fillId="14" borderId="9" xfId="0" applyFont="1" applyFill="1" applyBorder="1" applyAlignment="1">
      <alignment horizontal="center"/>
    </xf>
    <xf numFmtId="0" fontId="55" fillId="14" borderId="1" xfId="0" applyFont="1" applyFill="1" applyBorder="1" applyAlignment="1">
      <alignment horizontal="center"/>
    </xf>
    <xf numFmtId="0" fontId="55" fillId="14" borderId="7" xfId="0" applyFont="1" applyFill="1" applyBorder="1" applyAlignment="1">
      <alignment horizontal="center"/>
    </xf>
    <xf numFmtId="0" fontId="55" fillId="14" borderId="9" xfId="0" applyFont="1" applyFill="1" applyBorder="1" applyAlignment="1">
      <alignment horizontal="center"/>
    </xf>
    <xf numFmtId="0" fontId="22" fillId="14" borderId="0" xfId="0" applyFont="1" applyFill="1" applyAlignment="1">
      <alignment horizontal="center" wrapText="1"/>
    </xf>
    <xf numFmtId="0" fontId="55" fillId="14" borderId="6" xfId="0" applyFont="1" applyFill="1" applyBorder="1" applyAlignment="1">
      <alignment horizontal="left"/>
    </xf>
    <xf numFmtId="0" fontId="54" fillId="14" borderId="6" xfId="0" applyFont="1" applyFill="1" applyBorder="1" applyAlignment="1">
      <alignment horizontal="left" wrapText="1"/>
    </xf>
    <xf numFmtId="0" fontId="54" fillId="14" borderId="6" xfId="0" applyFont="1" applyFill="1" applyBorder="1" applyAlignment="1">
      <alignment horizontal="left"/>
    </xf>
    <xf numFmtId="0" fontId="56" fillId="9" borderId="6" xfId="0" applyFont="1" applyFill="1" applyBorder="1" applyAlignment="1">
      <alignment horizontal="center"/>
    </xf>
    <xf numFmtId="6" fontId="60" fillId="14" borderId="1" xfId="0" applyNumberFormat="1" applyFont="1" applyFill="1" applyBorder="1"/>
    <xf numFmtId="3" fontId="56" fillId="8" borderId="9" xfId="0" applyNumberFormat="1" applyFont="1" applyFill="1" applyBorder="1" applyAlignment="1">
      <alignment horizontal="right"/>
    </xf>
    <xf numFmtId="166" fontId="55" fillId="8" borderId="9" xfId="0" applyNumberFormat="1" applyFont="1" applyFill="1" applyBorder="1" applyAlignment="1">
      <alignment horizontal="center"/>
    </xf>
    <xf numFmtId="167" fontId="57" fillId="6" borderId="9" xfId="0" applyNumberFormat="1" applyFont="1" applyFill="1" applyBorder="1" applyAlignment="1">
      <alignment horizontal="right"/>
    </xf>
    <xf numFmtId="9" fontId="59" fillId="0" borderId="9" xfId="0" applyNumberFormat="1" applyFont="1" applyBorder="1"/>
    <xf numFmtId="166" fontId="59" fillId="14" borderId="8" xfId="0" applyNumberFormat="1" applyFont="1" applyFill="1" applyBorder="1" applyAlignment="1">
      <alignment horizontal="right"/>
    </xf>
    <xf numFmtId="166" fontId="59" fillId="6" borderId="8" xfId="0" applyNumberFormat="1" applyFont="1" applyFill="1" applyBorder="1" applyAlignment="1">
      <alignment horizontal="right"/>
    </xf>
    <xf numFmtId="166" fontId="59" fillId="6" borderId="15" xfId="0" applyNumberFormat="1" applyFont="1" applyFill="1" applyBorder="1" applyAlignment="1">
      <alignment horizontal="right"/>
    </xf>
    <xf numFmtId="0" fontId="59" fillId="8" borderId="8" xfId="0" applyFont="1" applyFill="1" applyBorder="1"/>
    <xf numFmtId="0" fontId="23" fillId="18" borderId="0" xfId="0" applyFont="1" applyFill="1" applyAlignment="1">
      <alignment wrapText="1"/>
    </xf>
    <xf numFmtId="0" fontId="60" fillId="14" borderId="1" xfId="0" applyFont="1" applyFill="1" applyBorder="1" applyAlignment="1">
      <alignment horizontal="left"/>
    </xf>
    <xf numFmtId="0" fontId="57" fillId="14" borderId="1" xfId="0" applyFont="1" applyFill="1" applyBorder="1" applyAlignment="1">
      <alignment horizontal="left"/>
    </xf>
    <xf numFmtId="3" fontId="57" fillId="14" borderId="1" xfId="0" applyNumberFormat="1" applyFont="1" applyFill="1" applyBorder="1" applyAlignment="1">
      <alignment horizontal="left"/>
    </xf>
    <xf numFmtId="0" fontId="59" fillId="14" borderId="1" xfId="0" applyFont="1" applyFill="1" applyBorder="1" applyAlignment="1">
      <alignment horizontal="left"/>
    </xf>
    <xf numFmtId="166" fontId="60" fillId="14" borderId="14" xfId="0" applyNumberFormat="1" applyFont="1" applyFill="1" applyBorder="1"/>
    <xf numFmtId="9" fontId="60" fillId="14" borderId="9" xfId="0" applyNumberFormat="1" applyFont="1" applyFill="1" applyBorder="1" applyAlignment="1">
      <alignment horizontal="center"/>
    </xf>
    <xf numFmtId="0" fontId="60" fillId="14" borderId="9" xfId="0" applyFont="1" applyFill="1" applyBorder="1" applyAlignment="1">
      <alignment horizontal="center"/>
    </xf>
    <xf numFmtId="0" fontId="60" fillId="14" borderId="12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20" fillId="14" borderId="1" xfId="0" applyFont="1" applyFill="1" applyBorder="1"/>
    <xf numFmtId="0" fontId="0" fillId="18" borderId="17" xfId="0" applyFill="1" applyBorder="1" applyAlignment="1">
      <alignment horizontal="center"/>
    </xf>
    <xf numFmtId="0" fontId="0" fillId="18" borderId="40" xfId="0" applyFill="1" applyBorder="1"/>
    <xf numFmtId="9" fontId="60" fillId="16" borderId="1" xfId="0" applyNumberFormat="1" applyFont="1" applyFill="1" applyBorder="1"/>
    <xf numFmtId="166" fontId="60" fillId="16" borderId="1" xfId="0" applyNumberFormat="1" applyFont="1" applyFill="1" applyBorder="1" applyAlignment="1">
      <alignment horizontal="right"/>
    </xf>
    <xf numFmtId="0" fontId="0" fillId="14" borderId="0" xfId="0" applyFill="1"/>
    <xf numFmtId="3" fontId="60" fillId="14" borderId="1" xfId="0" applyNumberFormat="1" applyFont="1" applyFill="1" applyBorder="1" applyAlignment="1">
      <alignment horizontal="center"/>
    </xf>
    <xf numFmtId="166" fontId="0" fillId="0" borderId="0" xfId="0" applyNumberFormat="1"/>
    <xf numFmtId="0" fontId="62" fillId="14" borderId="0" xfId="0" applyFont="1" applyFill="1" applyAlignment="1">
      <alignment horizontal="center" wrapText="1"/>
    </xf>
    <xf numFmtId="3" fontId="5" fillId="26" borderId="3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center"/>
    </xf>
    <xf numFmtId="167" fontId="57" fillId="16" borderId="1" xfId="0" applyNumberFormat="1" applyFont="1" applyFill="1" applyBorder="1" applyAlignment="1">
      <alignment horizontal="right"/>
    </xf>
    <xf numFmtId="166" fontId="60" fillId="14" borderId="6" xfId="0" applyNumberFormat="1" applyFont="1" applyFill="1" applyBorder="1"/>
    <xf numFmtId="0" fontId="57" fillId="6" borderId="1" xfId="0" applyFont="1" applyFill="1" applyBorder="1" applyAlignment="1">
      <alignment wrapText="1"/>
    </xf>
    <xf numFmtId="0" fontId="57" fillId="6" borderId="3" xfId="0" applyFont="1" applyFill="1" applyBorder="1" applyAlignment="1">
      <alignment wrapText="1"/>
    </xf>
    <xf numFmtId="9" fontId="59" fillId="6" borderId="7" xfId="0" applyNumberFormat="1" applyFont="1" applyFill="1" applyBorder="1" applyAlignment="1">
      <alignment horizontal="center"/>
    </xf>
    <xf numFmtId="167" fontId="59" fillId="6" borderId="5" xfId="0" applyNumberFormat="1" applyFont="1" applyFill="1" applyBorder="1" applyAlignment="1">
      <alignment horizontal="center"/>
    </xf>
    <xf numFmtId="166" fontId="59" fillId="14" borderId="1" xfId="0" applyNumberFormat="1" applyFont="1" applyFill="1" applyBorder="1" applyAlignment="1">
      <alignment horizontal="left"/>
    </xf>
    <xf numFmtId="9" fontId="60" fillId="6" borderId="9" xfId="0" applyNumberFormat="1" applyFont="1" applyFill="1" applyBorder="1" applyAlignment="1">
      <alignment horizontal="center"/>
    </xf>
    <xf numFmtId="0" fontId="60" fillId="0" borderId="9" xfId="0" applyFont="1" applyBorder="1" applyAlignment="1">
      <alignment wrapText="1"/>
    </xf>
    <xf numFmtId="0" fontId="41" fillId="14" borderId="0" xfId="0" applyFont="1" applyFill="1" applyAlignment="1">
      <alignment wrapText="1"/>
    </xf>
    <xf numFmtId="166" fontId="59" fillId="14" borderId="1" xfId="0" applyNumberFormat="1" applyFont="1" applyFill="1" applyBorder="1" applyAlignment="1">
      <alignment horizontal="left" vertical="center"/>
    </xf>
    <xf numFmtId="0" fontId="60" fillId="14" borderId="1" xfId="0" applyFont="1" applyFill="1" applyBorder="1" applyAlignment="1">
      <alignment horizontal="center" wrapText="1"/>
    </xf>
    <xf numFmtId="0" fontId="59" fillId="14" borderId="5" xfId="0" applyFont="1" applyFill="1" applyBorder="1" applyAlignment="1">
      <alignment horizontal="center"/>
    </xf>
    <xf numFmtId="167" fontId="60" fillId="14" borderId="1" xfId="0" applyNumberFormat="1" applyFont="1" applyFill="1" applyBorder="1" applyAlignment="1">
      <alignment horizontal="right"/>
    </xf>
    <xf numFmtId="0" fontId="59" fillId="16" borderId="5" xfId="0" applyFont="1" applyFill="1" applyBorder="1" applyAlignment="1">
      <alignment horizontal="center"/>
    </xf>
    <xf numFmtId="9" fontId="60" fillId="16" borderId="3" xfId="0" applyNumberFormat="1" applyFont="1" applyFill="1" applyBorder="1" applyAlignment="1">
      <alignment horizontal="center"/>
    </xf>
    <xf numFmtId="0" fontId="60" fillId="16" borderId="5" xfId="0" applyFont="1" applyFill="1" applyBorder="1"/>
    <xf numFmtId="9" fontId="60" fillId="16" borderId="5" xfId="0" applyNumberFormat="1" applyFont="1" applyFill="1" applyBorder="1" applyAlignment="1">
      <alignment horizontal="center"/>
    </xf>
    <xf numFmtId="166" fontId="57" fillId="14" borderId="1" xfId="0" applyNumberFormat="1" applyFont="1" applyFill="1" applyBorder="1" applyAlignment="1">
      <alignment horizontal="right"/>
    </xf>
    <xf numFmtId="0" fontId="58" fillId="14" borderId="1" xfId="0" applyFont="1" applyFill="1" applyBorder="1"/>
    <xf numFmtId="0" fontId="58" fillId="14" borderId="1" xfId="0" applyFont="1" applyFill="1" applyBorder="1" applyAlignment="1">
      <alignment horizontal="center"/>
    </xf>
    <xf numFmtId="9" fontId="58" fillId="14" borderId="1" xfId="0" applyNumberFormat="1" applyFont="1" applyFill="1" applyBorder="1" applyAlignment="1">
      <alignment horizontal="center"/>
    </xf>
    <xf numFmtId="0" fontId="60" fillId="14" borderId="9" xfId="0" applyFont="1" applyFill="1" applyBorder="1" applyAlignment="1">
      <alignment wrapText="1"/>
    </xf>
    <xf numFmtId="0" fontId="59" fillId="6" borderId="10" xfId="0" applyFont="1" applyFill="1" applyBorder="1" applyAlignment="1">
      <alignment horizontal="center"/>
    </xf>
    <xf numFmtId="9" fontId="57" fillId="6" borderId="4" xfId="0" applyNumberFormat="1" applyFont="1" applyFill="1" applyBorder="1" applyAlignment="1">
      <alignment horizontal="center"/>
    </xf>
    <xf numFmtId="166" fontId="60" fillId="6" borderId="9" xfId="0" applyNumberFormat="1" applyFont="1" applyFill="1" applyBorder="1"/>
    <xf numFmtId="166" fontId="59" fillId="6" borderId="9" xfId="0" applyNumberFormat="1" applyFont="1" applyFill="1" applyBorder="1"/>
    <xf numFmtId="0" fontId="57" fillId="6" borderId="14" xfId="0" applyFont="1" applyFill="1" applyBorder="1"/>
    <xf numFmtId="0" fontId="59" fillId="6" borderId="4" xfId="0" applyFont="1" applyFill="1" applyBorder="1" applyAlignment="1">
      <alignment horizontal="center"/>
    </xf>
    <xf numFmtId="0" fontId="59" fillId="6" borderId="10" xfId="0" applyFont="1" applyFill="1" applyBorder="1"/>
    <xf numFmtId="167" fontId="60" fillId="6" borderId="0" xfId="0" applyNumberFormat="1" applyFont="1" applyFill="1"/>
    <xf numFmtId="0" fontId="57" fillId="7" borderId="1" xfId="0" applyFont="1" applyFill="1" applyBorder="1" applyAlignment="1">
      <alignment horizontal="center"/>
    </xf>
    <xf numFmtId="0" fontId="57" fillId="7" borderId="12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6" borderId="16" xfId="0" applyFill="1" applyBorder="1" applyAlignment="1">
      <alignment horizontal="left"/>
    </xf>
    <xf numFmtId="0" fontId="0" fillId="6" borderId="16" xfId="0" applyFill="1" applyBorder="1"/>
    <xf numFmtId="9" fontId="59" fillId="6" borderId="2" xfId="0" applyNumberFormat="1" applyFont="1" applyFill="1" applyBorder="1" applyAlignment="1">
      <alignment horizontal="center"/>
    </xf>
    <xf numFmtId="0" fontId="58" fillId="6" borderId="1" xfId="0" applyFont="1" applyFill="1" applyBorder="1"/>
    <xf numFmtId="9" fontId="58" fillId="14" borderId="1" xfId="0" applyNumberFormat="1" applyFont="1" applyFill="1" applyBorder="1" applyAlignment="1">
      <alignment horizontal="center" vertical="center"/>
    </xf>
    <xf numFmtId="0" fontId="60" fillId="6" borderId="3" xfId="0" applyFont="1" applyFill="1" applyBorder="1" applyAlignment="1">
      <alignment horizontal="center"/>
    </xf>
    <xf numFmtId="0" fontId="57" fillId="14" borderId="1" xfId="0" applyFont="1" applyFill="1" applyBorder="1" applyAlignment="1">
      <alignment horizontal="right"/>
    </xf>
    <xf numFmtId="167" fontId="57" fillId="14" borderId="1" xfId="0" applyNumberFormat="1" applyFont="1" applyFill="1" applyBorder="1" applyAlignment="1">
      <alignment horizontal="left"/>
    </xf>
    <xf numFmtId="9" fontId="77" fillId="14" borderId="1" xfId="0" applyNumberFormat="1" applyFont="1" applyFill="1" applyBorder="1" applyAlignment="1">
      <alignment horizontal="center"/>
    </xf>
    <xf numFmtId="9" fontId="58" fillId="14" borderId="9" xfId="0" applyNumberFormat="1" applyFont="1" applyFill="1" applyBorder="1" applyAlignment="1">
      <alignment horizontal="center"/>
    </xf>
    <xf numFmtId="3" fontId="5" fillId="6" borderId="3" xfId="0" applyNumberFormat="1" applyFont="1" applyFill="1" applyBorder="1" applyAlignment="1">
      <alignment horizontal="center"/>
    </xf>
    <xf numFmtId="0" fontId="54" fillId="14" borderId="0" xfId="0" applyFont="1" applyFill="1" applyAlignment="1">
      <alignment horizontal="center" wrapText="1"/>
    </xf>
    <xf numFmtId="0" fontId="54" fillId="14" borderId="1" xfId="0" applyFont="1" applyFill="1" applyBorder="1" applyAlignment="1">
      <alignment horizontal="center"/>
    </xf>
    <xf numFmtId="0" fontId="68" fillId="14" borderId="1" xfId="0" applyFont="1" applyFill="1" applyBorder="1" applyAlignment="1">
      <alignment horizontal="center"/>
    </xf>
    <xf numFmtId="0" fontId="68" fillId="14" borderId="9" xfId="0" applyFont="1" applyFill="1" applyBorder="1" applyAlignment="1">
      <alignment horizontal="center"/>
    </xf>
    <xf numFmtId="166" fontId="33" fillId="8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6" fontId="66" fillId="6" borderId="4" xfId="0" applyNumberFormat="1" applyFont="1" applyFill="1" applyBorder="1"/>
    <xf numFmtId="166" fontId="59" fillId="0" borderId="14" xfId="0" applyNumberFormat="1" applyFont="1" applyBorder="1" applyAlignment="1">
      <alignment horizontal="center"/>
    </xf>
    <xf numFmtId="166" fontId="65" fillId="11" borderId="14" xfId="0" applyNumberFormat="1" applyFont="1" applyFill="1" applyBorder="1" applyAlignment="1">
      <alignment horizontal="center"/>
    </xf>
    <xf numFmtId="167" fontId="59" fillId="6" borderId="11" xfId="0" applyNumberFormat="1" applyFont="1" applyFill="1" applyBorder="1" applyAlignment="1">
      <alignment horizontal="center"/>
    </xf>
    <xf numFmtId="0" fontId="59" fillId="6" borderId="14" xfId="0" applyFont="1" applyFill="1" applyBorder="1" applyAlignment="1">
      <alignment horizontal="center"/>
    </xf>
    <xf numFmtId="0" fontId="60" fillId="14" borderId="14" xfId="0" applyFont="1" applyFill="1" applyBorder="1" applyAlignment="1">
      <alignment horizontal="center"/>
    </xf>
    <xf numFmtId="0" fontId="6" fillId="11" borderId="0" xfId="0" applyFont="1" applyFill="1"/>
    <xf numFmtId="170" fontId="6" fillId="8" borderId="1" xfId="0" applyNumberFormat="1" applyFont="1" applyFill="1" applyBorder="1"/>
    <xf numFmtId="166" fontId="55" fillId="8" borderId="8" xfId="0" applyNumberFormat="1" applyFont="1" applyFill="1" applyBorder="1" applyAlignment="1">
      <alignment horizontal="center"/>
    </xf>
    <xf numFmtId="166" fontId="59" fillId="6" borderId="4" xfId="0" applyNumberFormat="1" applyFont="1" applyFill="1" applyBorder="1" applyAlignment="1">
      <alignment horizontal="center"/>
    </xf>
    <xf numFmtId="170" fontId="59" fillId="14" borderId="1" xfId="0" applyNumberFormat="1" applyFont="1" applyFill="1" applyBorder="1" applyAlignment="1">
      <alignment horizontal="center"/>
    </xf>
    <xf numFmtId="170" fontId="60" fillId="14" borderId="1" xfId="0" applyNumberFormat="1" applyFont="1" applyFill="1" applyBorder="1" applyAlignment="1">
      <alignment horizontal="center"/>
    </xf>
    <xf numFmtId="0" fontId="6" fillId="8" borderId="1" xfId="0" applyFont="1" applyFill="1" applyBorder="1"/>
    <xf numFmtId="166" fontId="21" fillId="8" borderId="1" xfId="0" applyNumberFormat="1" applyFont="1" applyFill="1" applyBorder="1"/>
    <xf numFmtId="0" fontId="13" fillId="8" borderId="1" xfId="0" applyFont="1" applyFill="1" applyBorder="1"/>
    <xf numFmtId="166" fontId="68" fillId="8" borderId="1" xfId="0" applyNumberFormat="1" applyFont="1" applyFill="1" applyBorder="1"/>
    <xf numFmtId="0" fontId="64" fillId="14" borderId="0" xfId="0" applyFont="1" applyFill="1" applyAlignment="1">
      <alignment horizontal="center" wrapText="1"/>
    </xf>
    <xf numFmtId="0" fontId="64" fillId="14" borderId="1" xfId="0" applyFont="1" applyFill="1" applyBorder="1" applyAlignment="1">
      <alignment horizontal="center" wrapText="1"/>
    </xf>
    <xf numFmtId="9" fontId="57" fillId="14" borderId="9" xfId="0" applyNumberFormat="1" applyFont="1" applyFill="1" applyBorder="1" applyAlignment="1">
      <alignment horizontal="center"/>
    </xf>
    <xf numFmtId="166" fontId="60" fillId="14" borderId="5" xfId="0" applyNumberFormat="1" applyFont="1" applyFill="1" applyBorder="1"/>
    <xf numFmtId="9" fontId="59" fillId="14" borderId="5" xfId="0" applyNumberFormat="1" applyFont="1" applyFill="1" applyBorder="1" applyAlignment="1">
      <alignment horizontal="center"/>
    </xf>
    <xf numFmtId="166" fontId="59" fillId="14" borderId="5" xfId="0" applyNumberFormat="1" applyFont="1" applyFill="1" applyBorder="1"/>
    <xf numFmtId="9" fontId="0" fillId="6" borderId="1" xfId="0" applyNumberFormat="1" applyFill="1" applyBorder="1" applyAlignment="1">
      <alignment horizontal="center"/>
    </xf>
    <xf numFmtId="0" fontId="23" fillId="6" borderId="1" xfId="0" applyFont="1" applyFill="1" applyBorder="1" applyAlignment="1">
      <alignment wrapText="1"/>
    </xf>
    <xf numFmtId="0" fontId="57" fillId="16" borderId="1" xfId="0" applyFont="1" applyFill="1" applyBorder="1"/>
    <xf numFmtId="0" fontId="57" fillId="16" borderId="1" xfId="0" applyFont="1" applyFill="1" applyBorder="1" applyAlignment="1">
      <alignment horizontal="center"/>
    </xf>
    <xf numFmtId="166" fontId="60" fillId="6" borderId="14" xfId="0" applyNumberFormat="1" applyFont="1" applyFill="1" applyBorder="1"/>
    <xf numFmtId="0" fontId="57" fillId="7" borderId="10" xfId="0" applyFont="1" applyFill="1" applyBorder="1" applyAlignment="1">
      <alignment horizontal="center"/>
    </xf>
    <xf numFmtId="0" fontId="57" fillId="7" borderId="5" xfId="0" applyFont="1" applyFill="1" applyBorder="1" applyAlignment="1">
      <alignment horizontal="center"/>
    </xf>
    <xf numFmtId="166" fontId="59" fillId="14" borderId="9" xfId="0" applyNumberFormat="1" applyFont="1" applyFill="1" applyBorder="1"/>
    <xf numFmtId="0" fontId="57" fillId="9" borderId="4" xfId="0" applyFont="1" applyFill="1" applyBorder="1" applyAlignment="1">
      <alignment horizontal="center"/>
    </xf>
    <xf numFmtId="0" fontId="57" fillId="9" borderId="0" xfId="0" applyFont="1" applyFill="1" applyAlignment="1">
      <alignment horizontal="center"/>
    </xf>
    <xf numFmtId="0" fontId="59" fillId="14" borderId="15" xfId="0" applyFont="1" applyFill="1" applyBorder="1"/>
    <xf numFmtId="0" fontId="59" fillId="16" borderId="9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23" fillId="14" borderId="1" xfId="0" applyFont="1" applyFill="1" applyBorder="1" applyAlignment="1">
      <alignment wrapText="1"/>
    </xf>
    <xf numFmtId="9" fontId="57" fillId="14" borderId="6" xfId="0" applyNumberFormat="1" applyFont="1" applyFill="1" applyBorder="1" applyAlignment="1">
      <alignment horizontal="center"/>
    </xf>
    <xf numFmtId="9" fontId="59" fillId="14" borderId="14" xfId="0" applyNumberFormat="1" applyFont="1" applyFill="1" applyBorder="1" applyAlignment="1">
      <alignment horizontal="center"/>
    </xf>
    <xf numFmtId="167" fontId="57" fillId="14" borderId="9" xfId="0" applyNumberFormat="1" applyFont="1" applyFill="1" applyBorder="1" applyAlignment="1">
      <alignment horizontal="right"/>
    </xf>
    <xf numFmtId="0" fontId="20" fillId="6" borderId="12" xfId="0" applyFont="1" applyFill="1" applyBorder="1" applyAlignment="1">
      <alignment horizontal="center" vertical="center"/>
    </xf>
    <xf numFmtId="0" fontId="23" fillId="14" borderId="5" xfId="0" applyFont="1" applyFill="1" applyBorder="1" applyAlignment="1">
      <alignment wrapText="1"/>
    </xf>
    <xf numFmtId="0" fontId="41" fillId="14" borderId="1" xfId="0" applyFont="1" applyFill="1" applyBorder="1" applyAlignment="1">
      <alignment horizontal="center" wrapText="1"/>
    </xf>
    <xf numFmtId="0" fontId="41" fillId="16" borderId="1" xfId="0" applyFont="1" applyFill="1" applyBorder="1" applyAlignment="1">
      <alignment horizontal="center" wrapText="1"/>
    </xf>
    <xf numFmtId="9" fontId="57" fillId="16" borderId="1" xfId="0" applyNumberFormat="1" applyFont="1" applyFill="1" applyBorder="1" applyAlignment="1">
      <alignment horizontal="center"/>
    </xf>
    <xf numFmtId="167" fontId="60" fillId="16" borderId="9" xfId="0" applyNumberFormat="1" applyFont="1" applyFill="1" applyBorder="1"/>
    <xf numFmtId="9" fontId="59" fillId="16" borderId="9" xfId="0" applyNumberFormat="1" applyFont="1" applyFill="1" applyBorder="1" applyAlignment="1">
      <alignment horizontal="center"/>
    </xf>
    <xf numFmtId="167" fontId="57" fillId="16" borderId="9" xfId="0" applyNumberFormat="1" applyFont="1" applyFill="1" applyBorder="1" applyAlignment="1">
      <alignment horizontal="center"/>
    </xf>
    <xf numFmtId="0" fontId="59" fillId="16" borderId="6" xfId="0" applyFont="1" applyFill="1" applyBorder="1" applyAlignment="1">
      <alignment horizontal="center"/>
    </xf>
    <xf numFmtId="9" fontId="57" fillId="6" borderId="6" xfId="0" applyNumberFormat="1" applyFont="1" applyFill="1" applyBorder="1" applyAlignment="1">
      <alignment horizontal="center"/>
    </xf>
    <xf numFmtId="0" fontId="0" fillId="0" borderId="17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9" xfId="0" applyBorder="1" applyAlignment="1">
      <alignment horizontal="right"/>
    </xf>
    <xf numFmtId="0" fontId="59" fillId="6" borderId="3" xfId="0" applyFont="1" applyFill="1" applyBorder="1" applyAlignment="1">
      <alignment horizontal="center"/>
    </xf>
    <xf numFmtId="0" fontId="60" fillId="14" borderId="9" xfId="0" applyFont="1" applyFill="1" applyBorder="1" applyAlignment="1">
      <alignment horizontal="center" wrapText="1"/>
    </xf>
    <xf numFmtId="0" fontId="57" fillId="6" borderId="11" xfId="0" applyFont="1" applyFill="1" applyBorder="1"/>
    <xf numFmtId="9" fontId="57" fillId="14" borderId="14" xfId="0" applyNumberFormat="1" applyFont="1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41" fillId="6" borderId="1" xfId="0" applyFont="1" applyFill="1" applyBorder="1" applyAlignment="1">
      <alignment wrapText="1"/>
    </xf>
    <xf numFmtId="9" fontId="0" fillId="0" borderId="5" xfId="0" applyNumberFormat="1" applyBorder="1" applyAlignment="1">
      <alignment horizontal="center"/>
    </xf>
    <xf numFmtId="0" fontId="41" fillId="0" borderId="7" xfId="0" applyFont="1" applyBorder="1" applyAlignment="1">
      <alignment wrapText="1"/>
    </xf>
    <xf numFmtId="166" fontId="60" fillId="16" borderId="5" xfId="0" applyNumberFormat="1" applyFont="1" applyFill="1" applyBorder="1"/>
    <xf numFmtId="9" fontId="59" fillId="16" borderId="5" xfId="0" applyNumberFormat="1" applyFont="1" applyFill="1" applyBorder="1" applyAlignment="1">
      <alignment horizontal="center"/>
    </xf>
    <xf numFmtId="166" fontId="59" fillId="16" borderId="5" xfId="0" applyNumberFormat="1" applyFont="1" applyFill="1" applyBorder="1"/>
    <xf numFmtId="0" fontId="0" fillId="6" borderId="8" xfId="0" applyFill="1" applyBorder="1" applyAlignment="1">
      <alignment horizontal="center"/>
    </xf>
    <xf numFmtId="9" fontId="57" fillId="14" borderId="3" xfId="0" applyNumberFormat="1" applyFont="1" applyFill="1" applyBorder="1" applyAlignment="1">
      <alignment horizontal="center"/>
    </xf>
    <xf numFmtId="166" fontId="60" fillId="14" borderId="11" xfId="0" applyNumberFormat="1" applyFont="1" applyFill="1" applyBorder="1"/>
    <xf numFmtId="9" fontId="59" fillId="14" borderId="4" xfId="0" applyNumberFormat="1" applyFont="1" applyFill="1" applyBorder="1" applyAlignment="1">
      <alignment horizontal="center"/>
    </xf>
    <xf numFmtId="0" fontId="59" fillId="14" borderId="4" xfId="0" applyFont="1" applyFill="1" applyBorder="1" applyAlignment="1">
      <alignment horizontal="center"/>
    </xf>
    <xf numFmtId="0" fontId="59" fillId="14" borderId="12" xfId="0" applyFont="1" applyFill="1" applyBorder="1" applyAlignment="1">
      <alignment horizontal="center"/>
    </xf>
    <xf numFmtId="0" fontId="60" fillId="14" borderId="4" xfId="0" applyFont="1" applyFill="1" applyBorder="1" applyAlignment="1">
      <alignment horizontal="center"/>
    </xf>
    <xf numFmtId="0" fontId="41" fillId="16" borderId="1" xfId="0" applyFont="1" applyFill="1" applyBorder="1" applyAlignment="1">
      <alignment wrapText="1"/>
    </xf>
    <xf numFmtId="9" fontId="59" fillId="16" borderId="12" xfId="0" applyNumberFormat="1" applyFont="1" applyFill="1" applyBorder="1" applyAlignment="1">
      <alignment horizontal="center"/>
    </xf>
    <xf numFmtId="9" fontId="59" fillId="16" borderId="15" xfId="0" applyNumberFormat="1" applyFont="1" applyFill="1" applyBorder="1" applyAlignment="1">
      <alignment horizontal="center"/>
    </xf>
    <xf numFmtId="0" fontId="23" fillId="14" borderId="9" xfId="0" applyFont="1" applyFill="1" applyBorder="1" applyAlignment="1">
      <alignment wrapText="1"/>
    </xf>
    <xf numFmtId="0" fontId="60" fillId="14" borderId="5" xfId="0" applyFont="1" applyFill="1" applyBorder="1" applyAlignment="1">
      <alignment horizontal="center"/>
    </xf>
    <xf numFmtId="166" fontId="60" fillId="6" borderId="1" xfId="0" applyNumberFormat="1" applyFont="1" applyFill="1" applyBorder="1" applyAlignment="1">
      <alignment horizontal="right"/>
    </xf>
    <xf numFmtId="0" fontId="41" fillId="6" borderId="0" xfId="0" applyFont="1" applyFill="1" applyAlignment="1">
      <alignment wrapText="1"/>
    </xf>
    <xf numFmtId="9" fontId="0" fillId="6" borderId="5" xfId="0" applyNumberFormat="1" applyFill="1" applyBorder="1" applyAlignment="1">
      <alignment horizontal="center"/>
    </xf>
    <xf numFmtId="0" fontId="41" fillId="6" borderId="7" xfId="0" applyFont="1" applyFill="1" applyBorder="1" applyAlignment="1">
      <alignment wrapText="1"/>
    </xf>
    <xf numFmtId="0" fontId="0" fillId="6" borderId="14" xfId="0" applyFill="1" applyBorder="1"/>
    <xf numFmtId="0" fontId="57" fillId="6" borderId="7" xfId="0" applyFont="1" applyFill="1" applyBorder="1" applyAlignment="1">
      <alignment horizontal="center"/>
    </xf>
    <xf numFmtId="166" fontId="57" fillId="14" borderId="9" xfId="0" applyNumberFormat="1" applyFont="1" applyFill="1" applyBorder="1"/>
    <xf numFmtId="167" fontId="59" fillId="14" borderId="1" xfId="0" applyNumberFormat="1" applyFont="1" applyFill="1" applyBorder="1" applyAlignment="1">
      <alignment horizontal="center"/>
    </xf>
    <xf numFmtId="0" fontId="57" fillId="14" borderId="7" xfId="0" applyFont="1" applyFill="1" applyBorder="1" applyAlignment="1">
      <alignment horizontal="center"/>
    </xf>
    <xf numFmtId="9" fontId="59" fillId="14" borderId="2" xfId="0" applyNumberFormat="1" applyFont="1" applyFill="1" applyBorder="1" applyAlignment="1">
      <alignment horizontal="center"/>
    </xf>
    <xf numFmtId="167" fontId="59" fillId="14" borderId="5" xfId="0" applyNumberFormat="1" applyFont="1" applyFill="1" applyBorder="1" applyAlignment="1">
      <alignment horizontal="center"/>
    </xf>
    <xf numFmtId="0" fontId="59" fillId="14" borderId="0" xfId="0" applyFont="1" applyFill="1" applyAlignment="1">
      <alignment horizontal="center"/>
    </xf>
    <xf numFmtId="0" fontId="59" fillId="14" borderId="13" xfId="0" applyFont="1" applyFill="1" applyBorder="1" applyAlignment="1">
      <alignment horizontal="center"/>
    </xf>
    <xf numFmtId="0" fontId="59" fillId="14" borderId="2" xfId="0" applyFont="1" applyFill="1" applyBorder="1" applyAlignment="1">
      <alignment horizontal="center"/>
    </xf>
    <xf numFmtId="0" fontId="57" fillId="14" borderId="14" xfId="0" applyFont="1" applyFill="1" applyBorder="1"/>
    <xf numFmtId="0" fontId="57" fillId="16" borderId="9" xfId="0" applyFont="1" applyFill="1" applyBorder="1" applyAlignment="1">
      <alignment horizontal="center"/>
    </xf>
    <xf numFmtId="167" fontId="6" fillId="8" borderId="0" xfId="0" applyNumberFormat="1" applyFont="1" applyFill="1"/>
    <xf numFmtId="166" fontId="56" fillId="8" borderId="1" xfId="0" applyNumberFormat="1" applyFont="1" applyFill="1" applyBorder="1" applyAlignment="1">
      <alignment horizontal="right"/>
    </xf>
    <xf numFmtId="0" fontId="78" fillId="6" borderId="1" xfId="0" applyFont="1" applyFill="1" applyBorder="1" applyAlignment="1">
      <alignment horizontal="left"/>
    </xf>
    <xf numFmtId="166" fontId="78" fillId="6" borderId="1" xfId="0" applyNumberFormat="1" applyFont="1" applyFill="1" applyBorder="1" applyAlignment="1">
      <alignment horizontal="left"/>
    </xf>
    <xf numFmtId="166" fontId="55" fillId="11" borderId="1" xfId="0" applyNumberFormat="1" applyFont="1" applyFill="1" applyBorder="1" applyAlignment="1">
      <alignment horizontal="center"/>
    </xf>
    <xf numFmtId="9" fontId="6" fillId="14" borderId="1" xfId="0" applyNumberFormat="1" applyFont="1" applyFill="1" applyBorder="1" applyAlignment="1">
      <alignment horizontal="center"/>
    </xf>
    <xf numFmtId="9" fontId="54" fillId="14" borderId="12" xfId="0" applyNumberFormat="1" applyFont="1" applyFill="1" applyBorder="1" applyAlignment="1">
      <alignment horizontal="center"/>
    </xf>
    <xf numFmtId="9" fontId="6" fillId="14" borderId="8" xfId="0" applyNumberFormat="1" applyFont="1" applyFill="1" applyBorder="1" applyAlignment="1">
      <alignment horizontal="center"/>
    </xf>
    <xf numFmtId="9" fontId="60" fillId="6" borderId="15" xfId="0" applyNumberFormat="1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167" fontId="0" fillId="6" borderId="16" xfId="0" applyNumberFormat="1" applyFill="1" applyBorder="1"/>
    <xf numFmtId="0" fontId="27" fillId="6" borderId="16" xfId="0" applyFont="1" applyFill="1" applyBorder="1"/>
    <xf numFmtId="9" fontId="59" fillId="6" borderId="5" xfId="0" applyNumberFormat="1" applyFont="1" applyFill="1" applyBorder="1" applyAlignment="1">
      <alignment horizontal="center"/>
    </xf>
    <xf numFmtId="167" fontId="57" fillId="6" borderId="5" xfId="0" applyNumberFormat="1" applyFont="1" applyFill="1" applyBorder="1" applyAlignment="1">
      <alignment horizontal="center"/>
    </xf>
    <xf numFmtId="0" fontId="57" fillId="6" borderId="5" xfId="0" applyFont="1" applyFill="1" applyBorder="1"/>
    <xf numFmtId="9" fontId="60" fillId="14" borderId="15" xfId="0" applyNumberFormat="1" applyFont="1" applyFill="1" applyBorder="1" applyAlignment="1">
      <alignment horizontal="center"/>
    </xf>
    <xf numFmtId="0" fontId="59" fillId="14" borderId="14" xfId="0" applyFont="1" applyFill="1" applyBorder="1"/>
    <xf numFmtId="9" fontId="60" fillId="16" borderId="15" xfId="0" applyNumberFormat="1" applyFont="1" applyFill="1" applyBorder="1" applyAlignment="1">
      <alignment horizontal="center"/>
    </xf>
    <xf numFmtId="0" fontId="3" fillId="16" borderId="9" xfId="0" applyFont="1" applyFill="1" applyBorder="1" applyAlignment="1">
      <alignment horizontal="center"/>
    </xf>
    <xf numFmtId="0" fontId="3" fillId="16" borderId="14" xfId="0" applyFont="1" applyFill="1" applyBorder="1" applyAlignment="1">
      <alignment horizontal="center"/>
    </xf>
    <xf numFmtId="0" fontId="60" fillId="16" borderId="9" xfId="0" applyFont="1" applyFill="1" applyBorder="1" applyAlignment="1">
      <alignment horizontal="left" wrapText="1"/>
    </xf>
    <xf numFmtId="166" fontId="3" fillId="16" borderId="14" xfId="0" applyNumberFormat="1" applyFont="1" applyFill="1" applyBorder="1" applyAlignment="1">
      <alignment horizontal="center"/>
    </xf>
    <xf numFmtId="3" fontId="3" fillId="16" borderId="9" xfId="0" applyNumberFormat="1" applyFont="1" applyFill="1" applyBorder="1" applyAlignment="1">
      <alignment horizontal="center"/>
    </xf>
    <xf numFmtId="0" fontId="60" fillId="16" borderId="9" xfId="0" applyFont="1" applyFill="1" applyBorder="1" applyAlignment="1">
      <alignment horizontal="left"/>
    </xf>
    <xf numFmtId="0" fontId="60" fillId="16" borderId="14" xfId="0" applyFont="1" applyFill="1" applyBorder="1" applyAlignment="1">
      <alignment horizontal="left"/>
    </xf>
    <xf numFmtId="0" fontId="20" fillId="16" borderId="12" xfId="0" applyFont="1" applyFill="1" applyBorder="1" applyAlignment="1">
      <alignment horizontal="center" vertical="center"/>
    </xf>
    <xf numFmtId="0" fontId="57" fillId="16" borderId="15" xfId="0" applyFont="1" applyFill="1" applyBorder="1" applyAlignment="1">
      <alignment horizontal="left"/>
    </xf>
    <xf numFmtId="0" fontId="57" fillId="16" borderId="9" xfId="0" applyFont="1" applyFill="1" applyBorder="1" applyAlignment="1">
      <alignment horizontal="left"/>
    </xf>
    <xf numFmtId="3" fontId="57" fillId="16" borderId="9" xfId="0" applyNumberFormat="1" applyFont="1" applyFill="1" applyBorder="1" applyAlignment="1">
      <alignment horizontal="left"/>
    </xf>
    <xf numFmtId="0" fontId="79" fillId="16" borderId="14" xfId="0" applyFont="1" applyFill="1" applyBorder="1" applyAlignment="1">
      <alignment horizontal="center"/>
    </xf>
    <xf numFmtId="0" fontId="57" fillId="16" borderId="12" xfId="0" applyFont="1" applyFill="1" applyBorder="1" applyAlignment="1">
      <alignment horizontal="center"/>
    </xf>
    <xf numFmtId="166" fontId="68" fillId="6" borderId="1" xfId="0" applyNumberFormat="1" applyFont="1" applyFill="1" applyBorder="1" applyAlignment="1">
      <alignment horizontal="right"/>
    </xf>
    <xf numFmtId="9" fontId="60" fillId="6" borderId="0" xfId="0" applyNumberFormat="1" applyFont="1" applyFill="1" applyAlignment="1">
      <alignment horizontal="center"/>
    </xf>
    <xf numFmtId="0" fontId="60" fillId="0" borderId="5" xfId="0" applyFont="1" applyBorder="1" applyAlignment="1">
      <alignment wrapText="1"/>
    </xf>
    <xf numFmtId="9" fontId="59" fillId="0" borderId="4" xfId="0" applyNumberFormat="1" applyFont="1" applyBorder="1"/>
    <xf numFmtId="0" fontId="3" fillId="16" borderId="15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57" fillId="6" borderId="15" xfId="0" applyFont="1" applyFill="1" applyBorder="1"/>
    <xf numFmtId="0" fontId="57" fillId="7" borderId="12" xfId="0" applyFont="1" applyFill="1" applyBorder="1"/>
    <xf numFmtId="0" fontId="0" fillId="0" borderId="5" xfId="0" applyBorder="1" applyAlignment="1">
      <alignment horizontal="center"/>
    </xf>
    <xf numFmtId="9" fontId="57" fillId="14" borderId="15" xfId="0" applyNumberFormat="1" applyFont="1" applyFill="1" applyBorder="1" applyAlignment="1">
      <alignment horizontal="center"/>
    </xf>
    <xf numFmtId="0" fontId="57" fillId="14" borderId="9" xfId="0" applyFont="1" applyFill="1" applyBorder="1" applyAlignment="1">
      <alignment horizontal="left"/>
    </xf>
    <xf numFmtId="0" fontId="60" fillId="14" borderId="14" xfId="0" applyFont="1" applyFill="1" applyBorder="1" applyAlignment="1">
      <alignment horizontal="left"/>
    </xf>
    <xf numFmtId="3" fontId="57" fillId="14" borderId="9" xfId="0" applyNumberFormat="1" applyFont="1" applyFill="1" applyBorder="1" applyAlignment="1">
      <alignment horizontal="right"/>
    </xf>
    <xf numFmtId="166" fontId="3" fillId="5" borderId="14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166" fontId="3" fillId="16" borderId="1" xfId="0" applyNumberFormat="1" applyFont="1" applyFill="1" applyBorder="1" applyAlignment="1">
      <alignment horizontal="center"/>
    </xf>
    <xf numFmtId="3" fontId="3" fillId="16" borderId="1" xfId="0" applyNumberFormat="1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16" borderId="6" xfId="0" applyFont="1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41" fillId="6" borderId="2" xfId="0" applyFont="1" applyFill="1" applyBorder="1" applyAlignment="1">
      <alignment horizontal="center" wrapText="1"/>
    </xf>
    <xf numFmtId="0" fontId="59" fillId="6" borderId="13" xfId="0" applyFont="1" applyFill="1" applyBorder="1" applyAlignment="1">
      <alignment horizontal="center"/>
    </xf>
    <xf numFmtId="0" fontId="57" fillId="9" borderId="11" xfId="0" applyFont="1" applyFill="1" applyBorder="1" applyAlignment="1">
      <alignment horizontal="center"/>
    </xf>
    <xf numFmtId="0" fontId="57" fillId="0" borderId="14" xfId="0" applyFont="1" applyBorder="1" applyAlignment="1">
      <alignment horizontal="center"/>
    </xf>
    <xf numFmtId="0" fontId="57" fillId="0" borderId="10" xfId="0" applyFont="1" applyBorder="1"/>
    <xf numFmtId="0" fontId="41" fillId="14" borderId="2" xfId="0" applyFont="1" applyFill="1" applyBorder="1" applyAlignment="1">
      <alignment horizontal="center" wrapText="1"/>
    </xf>
    <xf numFmtId="9" fontId="57" fillId="14" borderId="5" xfId="0" applyNumberFormat="1" applyFont="1" applyFill="1" applyBorder="1" applyAlignment="1">
      <alignment horizontal="center"/>
    </xf>
    <xf numFmtId="9" fontId="0" fillId="14" borderId="13" xfId="0" applyNumberFormat="1" applyFill="1" applyBorder="1" applyAlignment="1">
      <alignment horizontal="center"/>
    </xf>
    <xf numFmtId="9" fontId="57" fillId="6" borderId="3" xfId="0" applyNumberFormat="1" applyFont="1" applyFill="1" applyBorder="1" applyAlignment="1">
      <alignment horizontal="center"/>
    </xf>
    <xf numFmtId="0" fontId="80" fillId="14" borderId="1" xfId="0" applyFont="1" applyFill="1" applyBorder="1" applyAlignment="1">
      <alignment horizontal="center" wrapText="1"/>
    </xf>
    <xf numFmtId="0" fontId="58" fillId="0" borderId="0" xfId="0" applyFont="1"/>
    <xf numFmtId="166" fontId="65" fillId="0" borderId="0" xfId="0" applyNumberFormat="1" applyFont="1"/>
    <xf numFmtId="166" fontId="68" fillId="6" borderId="0" xfId="0" applyNumberFormat="1" applyFont="1" applyFill="1" applyAlignment="1">
      <alignment horizontal="right"/>
    </xf>
    <xf numFmtId="0" fontId="57" fillId="0" borderId="0" xfId="0" applyFont="1" applyAlignment="1">
      <alignment horizontal="center"/>
    </xf>
    <xf numFmtId="0" fontId="57" fillId="0" borderId="0" xfId="0" applyFont="1"/>
    <xf numFmtId="166" fontId="57" fillId="0" borderId="0" xfId="0" applyNumberFormat="1" applyFont="1"/>
    <xf numFmtId="3" fontId="57" fillId="0" borderId="0" xfId="0" applyNumberFormat="1" applyFont="1"/>
    <xf numFmtId="0" fontId="59" fillId="0" borderId="0" xfId="0" applyFont="1"/>
    <xf numFmtId="0" fontId="65" fillId="0" borderId="0" xfId="0" applyFont="1" applyAlignment="1">
      <alignment horizontal="center"/>
    </xf>
    <xf numFmtId="0" fontId="59" fillId="0" borderId="11" xfId="0" applyFont="1" applyBorder="1" applyAlignment="1">
      <alignment horizontal="center"/>
    </xf>
    <xf numFmtId="166" fontId="3" fillId="6" borderId="1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9" fontId="57" fillId="6" borderId="5" xfId="0" applyNumberFormat="1" applyFont="1" applyFill="1" applyBorder="1" applyAlignment="1">
      <alignment horizontal="center"/>
    </xf>
    <xf numFmtId="166" fontId="59" fillId="16" borderId="6" xfId="0" applyNumberFormat="1" applyFont="1" applyFill="1" applyBorder="1"/>
    <xf numFmtId="0" fontId="59" fillId="16" borderId="9" xfId="0" applyFont="1" applyFill="1" applyBorder="1"/>
    <xf numFmtId="0" fontId="23" fillId="0" borderId="0" xfId="0" applyFont="1" applyAlignment="1">
      <alignment wrapText="1"/>
    </xf>
    <xf numFmtId="0" fontId="65" fillId="6" borderId="0" xfId="0" applyFont="1" applyFill="1"/>
    <xf numFmtId="0" fontId="57" fillId="0" borderId="1" xfId="0" applyFont="1" applyBorder="1" applyAlignment="1">
      <alignment horizontal="center"/>
    </xf>
    <xf numFmtId="166" fontId="66" fillId="14" borderId="1" xfId="0" applyNumberFormat="1" applyFont="1" applyFill="1" applyBorder="1"/>
    <xf numFmtId="3" fontId="57" fillId="0" borderId="1" xfId="0" applyNumberFormat="1" applyFont="1" applyBorder="1"/>
    <xf numFmtId="0" fontId="57" fillId="0" borderId="1" xfId="0" applyFont="1" applyBorder="1"/>
    <xf numFmtId="0" fontId="65" fillId="6" borderId="1" xfId="0" applyFont="1" applyFill="1" applyBorder="1"/>
    <xf numFmtId="0" fontId="65" fillId="0" borderId="1" xfId="0" applyFont="1" applyBorder="1" applyAlignment="1">
      <alignment horizontal="center"/>
    </xf>
    <xf numFmtId="166" fontId="66" fillId="6" borderId="1" xfId="0" applyNumberFormat="1" applyFont="1" applyFill="1" applyBorder="1"/>
    <xf numFmtId="3" fontId="57" fillId="6" borderId="1" xfId="0" applyNumberFormat="1" applyFont="1" applyFill="1" applyBorder="1"/>
    <xf numFmtId="166" fontId="59" fillId="0" borderId="1" xfId="0" applyNumberFormat="1" applyFont="1" applyBorder="1" applyAlignment="1">
      <alignment horizontal="center"/>
    </xf>
    <xf numFmtId="0" fontId="59" fillId="0" borderId="0" xfId="0" applyFont="1" applyAlignment="1">
      <alignment horizontal="center"/>
    </xf>
    <xf numFmtId="166" fontId="66" fillId="6" borderId="0" xfId="0" applyNumberFormat="1" applyFont="1" applyFill="1"/>
    <xf numFmtId="3" fontId="57" fillId="6" borderId="0" xfId="0" applyNumberFormat="1" applyFont="1" applyFill="1"/>
    <xf numFmtId="0" fontId="59" fillId="6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59" fillId="6" borderId="2" xfId="0" applyFont="1" applyFill="1" applyBorder="1" applyAlignment="1">
      <alignment horizontal="center"/>
    </xf>
    <xf numFmtId="0" fontId="0" fillId="0" borderId="4" xfId="0" applyBorder="1"/>
    <xf numFmtId="0" fontId="57" fillId="9" borderId="8" xfId="0" applyFont="1" applyFill="1" applyBorder="1"/>
    <xf numFmtId="0" fontId="57" fillId="0" borderId="8" xfId="0" applyFont="1" applyBorder="1"/>
    <xf numFmtId="9" fontId="59" fillId="6" borderId="9" xfId="0" applyNumberFormat="1" applyFont="1" applyFill="1" applyBorder="1"/>
    <xf numFmtId="0" fontId="60" fillId="6" borderId="9" xfId="0" applyFont="1" applyFill="1" applyBorder="1" applyAlignment="1">
      <alignment wrapText="1"/>
    </xf>
    <xf numFmtId="0" fontId="9" fillId="6" borderId="15" xfId="0" applyFont="1" applyFill="1" applyBorder="1" applyAlignment="1">
      <alignment horizontal="center"/>
    </xf>
    <xf numFmtId="9" fontId="59" fillId="0" borderId="12" xfId="0" applyNumberFormat="1" applyFont="1" applyBorder="1" applyAlignment="1">
      <alignment horizontal="center"/>
    </xf>
    <xf numFmtId="3" fontId="9" fillId="6" borderId="14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9" fontId="3" fillId="14" borderId="1" xfId="0" applyNumberFormat="1" applyFont="1" applyFill="1" applyBorder="1" applyAlignment="1">
      <alignment horizontal="center"/>
    </xf>
    <xf numFmtId="166" fontId="3" fillId="14" borderId="1" xfId="0" applyNumberFormat="1" applyFont="1" applyFill="1" applyBorder="1" applyAlignment="1">
      <alignment horizontal="center"/>
    </xf>
    <xf numFmtId="3" fontId="3" fillId="14" borderId="1" xfId="0" applyNumberFormat="1" applyFont="1" applyFill="1" applyBorder="1" applyAlignment="1">
      <alignment horizontal="center"/>
    </xf>
    <xf numFmtId="0" fontId="3" fillId="14" borderId="9" xfId="0" applyFont="1" applyFill="1" applyBorder="1" applyAlignment="1">
      <alignment horizontal="center"/>
    </xf>
    <xf numFmtId="0" fontId="3" fillId="14" borderId="8" xfId="0" applyFont="1" applyFill="1" applyBorder="1" applyAlignment="1">
      <alignment horizontal="center"/>
    </xf>
    <xf numFmtId="0" fontId="23" fillId="14" borderId="1" xfId="0" applyFont="1" applyFill="1" applyBorder="1" applyAlignment="1">
      <alignment horizontal="center" wrapText="1"/>
    </xf>
    <xf numFmtId="0" fontId="41" fillId="14" borderId="6" xfId="0" applyFont="1" applyFill="1" applyBorder="1" applyAlignment="1">
      <alignment horizontal="center" wrapText="1"/>
    </xf>
    <xf numFmtId="0" fontId="60" fillId="6" borderId="5" xfId="0" applyFont="1" applyFill="1" applyBorder="1" applyAlignment="1">
      <alignment horizontal="center"/>
    </xf>
    <xf numFmtId="9" fontId="60" fillId="6" borderId="5" xfId="0" applyNumberFormat="1" applyFont="1" applyFill="1" applyBorder="1" applyAlignment="1">
      <alignment horizontal="center"/>
    </xf>
    <xf numFmtId="9" fontId="59" fillId="0" borderId="1" xfId="0" applyNumberFormat="1" applyFont="1" applyBorder="1"/>
    <xf numFmtId="167" fontId="57" fillId="6" borderId="10" xfId="0" applyNumberFormat="1" applyFont="1" applyFill="1" applyBorder="1" applyAlignment="1">
      <alignment horizontal="right"/>
    </xf>
    <xf numFmtId="166" fontId="59" fillId="6" borderId="3" xfId="0" applyNumberFormat="1" applyFont="1" applyFill="1" applyBorder="1" applyAlignment="1">
      <alignment horizontal="right"/>
    </xf>
    <xf numFmtId="166" fontId="65" fillId="14" borderId="1" xfId="0" applyNumberFormat="1" applyFont="1" applyFill="1" applyBorder="1"/>
    <xf numFmtId="166" fontId="21" fillId="14" borderId="1" xfId="0" applyNumberFormat="1" applyFont="1" applyFill="1" applyBorder="1"/>
    <xf numFmtId="0" fontId="0" fillId="14" borderId="1" xfId="0" applyFill="1" applyBorder="1" applyAlignment="1">
      <alignment horizontal="center"/>
    </xf>
    <xf numFmtId="166" fontId="59" fillId="14" borderId="9" xfId="0" applyNumberFormat="1" applyFont="1" applyFill="1" applyBorder="1" applyAlignment="1">
      <alignment horizontal="center"/>
    </xf>
    <xf numFmtId="166" fontId="59" fillId="14" borderId="1" xfId="0" applyNumberFormat="1" applyFont="1" applyFill="1" applyBorder="1" applyAlignment="1">
      <alignment horizontal="center"/>
    </xf>
    <xf numFmtId="166" fontId="59" fillId="14" borderId="8" xfId="0" applyNumberFormat="1" applyFont="1" applyFill="1" applyBorder="1" applyAlignment="1">
      <alignment horizontal="center"/>
    </xf>
    <xf numFmtId="0" fontId="23" fillId="14" borderId="0" xfId="0" applyFont="1" applyFill="1" applyAlignment="1">
      <alignment horizontal="center" wrapText="1"/>
    </xf>
    <xf numFmtId="166" fontId="65" fillId="0" borderId="1" xfId="0" applyNumberFormat="1" applyFont="1" applyBorder="1" applyAlignment="1">
      <alignment horizontal="center"/>
    </xf>
    <xf numFmtId="166" fontId="66" fillId="8" borderId="1" xfId="0" applyNumberFormat="1" applyFont="1" applyFill="1" applyBorder="1"/>
    <xf numFmtId="0" fontId="59" fillId="14" borderId="3" xfId="0" applyFont="1" applyFill="1" applyBorder="1"/>
    <xf numFmtId="0" fontId="0" fillId="18" borderId="0" xfId="0" applyFill="1" applyAlignment="1">
      <alignment horizontal="center"/>
    </xf>
    <xf numFmtId="0" fontId="0" fillId="18" borderId="5" xfId="0" applyFill="1" applyBorder="1"/>
    <xf numFmtId="0" fontId="0" fillId="18" borderId="5" xfId="0" applyFill="1" applyBorder="1" applyAlignment="1">
      <alignment horizontal="left"/>
    </xf>
    <xf numFmtId="0" fontId="41" fillId="0" borderId="1" xfId="0" applyFont="1" applyBorder="1" applyAlignment="1">
      <alignment wrapText="1"/>
    </xf>
    <xf numFmtId="0" fontId="9" fillId="6" borderId="12" xfId="0" applyFont="1" applyFill="1" applyBorder="1" applyAlignment="1">
      <alignment horizontal="center"/>
    </xf>
    <xf numFmtId="0" fontId="3" fillId="16" borderId="9" xfId="0" applyFont="1" applyFill="1" applyBorder="1" applyAlignment="1">
      <alignment horizontal="left"/>
    </xf>
    <xf numFmtId="0" fontId="4" fillId="16" borderId="9" xfId="0" applyFont="1" applyFill="1" applyBorder="1"/>
    <xf numFmtId="3" fontId="9" fillId="16" borderId="14" xfId="0" applyNumberFormat="1" applyFont="1" applyFill="1" applyBorder="1" applyAlignment="1">
      <alignment horizontal="center"/>
    </xf>
    <xf numFmtId="0" fontId="5" fillId="16" borderId="12" xfId="0" applyFont="1" applyFill="1" applyBorder="1" applyAlignment="1">
      <alignment horizontal="center"/>
    </xf>
    <xf numFmtId="0" fontId="59" fillId="0" borderId="5" xfId="0" applyFont="1" applyBorder="1"/>
    <xf numFmtId="0" fontId="9" fillId="16" borderId="1" xfId="0" applyFont="1" applyFill="1" applyBorder="1" applyAlignment="1">
      <alignment horizontal="center"/>
    </xf>
    <xf numFmtId="0" fontId="20" fillId="16" borderId="9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83" fillId="0" borderId="1" xfId="0" applyFont="1" applyBorder="1" applyAlignment="1">
      <alignment horizontal="center"/>
    </xf>
    <xf numFmtId="9" fontId="85" fillId="14" borderId="6" xfId="0" applyNumberFormat="1" applyFont="1" applyFill="1" applyBorder="1" applyAlignment="1">
      <alignment horizontal="center"/>
    </xf>
    <xf numFmtId="0" fontId="84" fillId="14" borderId="1" xfId="0" applyFont="1" applyFill="1" applyBorder="1" applyAlignment="1">
      <alignment wrapText="1"/>
    </xf>
    <xf numFmtId="3" fontId="85" fillId="14" borderId="14" xfId="0" applyNumberFormat="1" applyFont="1" applyFill="1" applyBorder="1" applyAlignment="1">
      <alignment horizontal="left"/>
    </xf>
    <xf numFmtId="0" fontId="84" fillId="14" borderId="14" xfId="0" applyFont="1" applyFill="1" applyBorder="1" applyAlignment="1">
      <alignment horizontal="center"/>
    </xf>
    <xf numFmtId="0" fontId="85" fillId="14" borderId="12" xfId="0" applyFont="1" applyFill="1" applyBorder="1" applyAlignment="1">
      <alignment horizontal="center"/>
    </xf>
    <xf numFmtId="0" fontId="13" fillId="0" borderId="8" xfId="0" applyFont="1" applyBorder="1"/>
    <xf numFmtId="0" fontId="83" fillId="0" borderId="12" xfId="0" applyFont="1" applyBorder="1"/>
    <xf numFmtId="0" fontId="83" fillId="0" borderId="7" xfId="0" applyFont="1" applyBorder="1"/>
    <xf numFmtId="0" fontId="87" fillId="0" borderId="1" xfId="0" applyFont="1" applyBorder="1" applyAlignment="1">
      <alignment horizontal="center"/>
    </xf>
    <xf numFmtId="0" fontId="87" fillId="0" borderId="8" xfId="0" applyFont="1" applyBorder="1"/>
    <xf numFmtId="0" fontId="88" fillId="0" borderId="1" xfId="0" applyFont="1" applyBorder="1"/>
    <xf numFmtId="9" fontId="0" fillId="14" borderId="7" xfId="0" applyNumberFormat="1" applyFill="1" applyBorder="1" applyAlignment="1">
      <alignment horizontal="center"/>
    </xf>
    <xf numFmtId="0" fontId="41" fillId="14" borderId="5" xfId="0" applyFont="1" applyFill="1" applyBorder="1" applyAlignment="1">
      <alignment wrapText="1"/>
    </xf>
    <xf numFmtId="9" fontId="59" fillId="0" borderId="1" xfId="0" applyNumberFormat="1" applyFont="1" applyBorder="1" applyAlignment="1">
      <alignment horizontal="center"/>
    </xf>
    <xf numFmtId="0" fontId="9" fillId="16" borderId="9" xfId="0" applyFont="1" applyFill="1" applyBorder="1" applyAlignment="1">
      <alignment horizontal="center"/>
    </xf>
    <xf numFmtId="0" fontId="5" fillId="16" borderId="9" xfId="0" applyFont="1" applyFill="1" applyBorder="1" applyAlignment="1">
      <alignment horizontal="left"/>
    </xf>
    <xf numFmtId="166" fontId="60" fillId="14" borderId="9" xfId="0" applyNumberFormat="1" applyFont="1" applyFill="1" applyBorder="1" applyAlignment="1">
      <alignment horizontal="right"/>
    </xf>
    <xf numFmtId="166" fontId="60" fillId="6" borderId="11" xfId="0" applyNumberFormat="1" applyFont="1" applyFill="1" applyBorder="1"/>
    <xf numFmtId="0" fontId="57" fillId="9" borderId="6" xfId="0" applyFont="1" applyFill="1" applyBorder="1" applyAlignment="1">
      <alignment horizontal="center"/>
    </xf>
    <xf numFmtId="0" fontId="57" fillId="0" borderId="6" xfId="0" applyFont="1" applyBorder="1" applyAlignment="1">
      <alignment horizontal="center"/>
    </xf>
    <xf numFmtId="3" fontId="9" fillId="16" borderId="1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left" wrapText="1"/>
    </xf>
    <xf numFmtId="0" fontId="0" fillId="18" borderId="5" xfId="0" applyFill="1" applyBorder="1" applyAlignment="1">
      <alignment horizontal="center"/>
    </xf>
    <xf numFmtId="0" fontId="41" fillId="16" borderId="8" xfId="0" applyFont="1" applyFill="1" applyBorder="1" applyAlignment="1">
      <alignment wrapText="1"/>
    </xf>
    <xf numFmtId="166" fontId="59" fillId="16" borderId="5" xfId="0" applyNumberFormat="1" applyFont="1" applyFill="1" applyBorder="1" applyAlignment="1">
      <alignment horizontal="right"/>
    </xf>
    <xf numFmtId="0" fontId="60" fillId="6" borderId="1" xfId="0" applyFont="1" applyFill="1" applyBorder="1"/>
    <xf numFmtId="0" fontId="60" fillId="16" borderId="1" xfId="0" applyFont="1" applyFill="1" applyBorder="1" applyAlignment="1">
      <alignment horizontal="left" wrapText="1"/>
    </xf>
    <xf numFmtId="9" fontId="60" fillId="6" borderId="4" xfId="0" applyNumberFormat="1" applyFont="1" applyFill="1" applyBorder="1" applyAlignment="1">
      <alignment horizontal="center"/>
    </xf>
    <xf numFmtId="166" fontId="60" fillId="6" borderId="4" xfId="0" applyNumberFormat="1" applyFont="1" applyFill="1" applyBorder="1" applyAlignment="1">
      <alignment horizontal="right"/>
    </xf>
    <xf numFmtId="166" fontId="59" fillId="14" borderId="5" xfId="0" applyNumberFormat="1" applyFont="1" applyFill="1" applyBorder="1" applyAlignment="1">
      <alignment horizontal="right"/>
    </xf>
    <xf numFmtId="0" fontId="57" fillId="14" borderId="12" xfId="0" applyFont="1" applyFill="1" applyBorder="1" applyAlignment="1">
      <alignment horizontal="left"/>
    </xf>
    <xf numFmtId="3" fontId="57" fillId="14" borderId="14" xfId="0" applyNumberFormat="1" applyFont="1" applyFill="1" applyBorder="1" applyAlignment="1">
      <alignment horizontal="right"/>
    </xf>
    <xf numFmtId="0" fontId="81" fillId="14" borderId="16" xfId="0" applyFont="1" applyFill="1" applyBorder="1"/>
    <xf numFmtId="0" fontId="81" fillId="14" borderId="5" xfId="0" applyFont="1" applyFill="1" applyBorder="1"/>
    <xf numFmtId="0" fontId="89" fillId="14" borderId="16" xfId="0" applyFont="1" applyFill="1" applyBorder="1"/>
    <xf numFmtId="0" fontId="81" fillId="14" borderId="1" xfId="0" applyFont="1" applyFill="1" applyBorder="1"/>
    <xf numFmtId="9" fontId="0" fillId="14" borderId="11" xfId="0" applyNumberFormat="1" applyFill="1" applyBorder="1" applyAlignment="1">
      <alignment horizontal="center"/>
    </xf>
    <xf numFmtId="0" fontId="41" fillId="14" borderId="6" xfId="0" applyFont="1" applyFill="1" applyBorder="1" applyAlignment="1">
      <alignment wrapText="1"/>
    </xf>
    <xf numFmtId="166" fontId="59" fillId="16" borderId="11" xfId="0" applyNumberFormat="1" applyFont="1" applyFill="1" applyBorder="1"/>
    <xf numFmtId="0" fontId="5" fillId="16" borderId="5" xfId="0" applyFont="1" applyFill="1" applyBorder="1" applyAlignment="1">
      <alignment horizontal="center"/>
    </xf>
    <xf numFmtId="3" fontId="57" fillId="14" borderId="15" xfId="0" applyNumberFormat="1" applyFont="1" applyFill="1" applyBorder="1" applyAlignment="1">
      <alignment horizontal="right"/>
    </xf>
    <xf numFmtId="9" fontId="60" fillId="6" borderId="8" xfId="0" applyNumberFormat="1" applyFont="1" applyFill="1" applyBorder="1" applyAlignment="1">
      <alignment horizontal="center"/>
    </xf>
    <xf numFmtId="0" fontId="59" fillId="0" borderId="8" xfId="0" applyFont="1" applyBorder="1"/>
    <xf numFmtId="0" fontId="0" fillId="0" borderId="10" xfId="0" applyBorder="1"/>
    <xf numFmtId="0" fontId="0" fillId="14" borderId="14" xfId="0" applyFill="1" applyBorder="1"/>
    <xf numFmtId="0" fontId="60" fillId="6" borderId="1" xfId="0" applyFont="1" applyFill="1" applyBorder="1" applyAlignment="1">
      <alignment horizontal="center" wrapText="1"/>
    </xf>
    <xf numFmtId="0" fontId="60" fillId="16" borderId="15" xfId="0" applyFont="1" applyFill="1" applyBorder="1" applyAlignment="1">
      <alignment horizontal="center"/>
    </xf>
    <xf numFmtId="166" fontId="60" fillId="16" borderId="14" xfId="0" applyNumberFormat="1" applyFont="1" applyFill="1" applyBorder="1" applyAlignment="1">
      <alignment horizontal="center"/>
    </xf>
    <xf numFmtId="3" fontId="60" fillId="16" borderId="9" xfId="0" applyNumberFormat="1" applyFont="1" applyFill="1" applyBorder="1" applyAlignment="1">
      <alignment horizontal="center"/>
    </xf>
    <xf numFmtId="0" fontId="60" fillId="6" borderId="1" xfId="0" applyFont="1" applyFill="1" applyBorder="1" applyAlignment="1">
      <alignment horizontal="right"/>
    </xf>
    <xf numFmtId="0" fontId="60" fillId="16" borderId="14" xfId="0" applyFont="1" applyFill="1" applyBorder="1" applyAlignment="1">
      <alignment horizontal="center"/>
    </xf>
    <xf numFmtId="0" fontId="60" fillId="6" borderId="15" xfId="0" applyFont="1" applyFill="1" applyBorder="1" applyAlignment="1">
      <alignment horizontal="center"/>
    </xf>
    <xf numFmtId="0" fontId="62" fillId="14" borderId="1" xfId="0" applyFont="1" applyFill="1" applyBorder="1" applyAlignment="1">
      <alignment horizontal="center" wrapText="1"/>
    </xf>
    <xf numFmtId="166" fontId="56" fillId="14" borderId="1" xfId="0" applyNumberFormat="1" applyFont="1" applyFill="1" applyBorder="1"/>
    <xf numFmtId="0" fontId="62" fillId="14" borderId="4" xfId="0" applyFont="1" applyFill="1" applyBorder="1" applyAlignment="1">
      <alignment horizontal="center" wrapText="1"/>
    </xf>
    <xf numFmtId="166" fontId="57" fillId="7" borderId="1" xfId="0" applyNumberFormat="1" applyFont="1" applyFill="1" applyBorder="1" applyAlignment="1">
      <alignment horizontal="right"/>
    </xf>
    <xf numFmtId="3" fontId="57" fillId="7" borderId="1" xfId="0" applyNumberFormat="1" applyFont="1" applyFill="1" applyBorder="1" applyAlignment="1">
      <alignment horizontal="center"/>
    </xf>
    <xf numFmtId="166" fontId="59" fillId="6" borderId="14" xfId="0" applyNumberFormat="1" applyFont="1" applyFill="1" applyBorder="1"/>
    <xf numFmtId="167" fontId="57" fillId="7" borderId="14" xfId="0" applyNumberFormat="1" applyFont="1" applyFill="1" applyBorder="1" applyAlignment="1">
      <alignment horizontal="right"/>
    </xf>
    <xf numFmtId="3" fontId="57" fillId="0" borderId="6" xfId="0" applyNumberFormat="1" applyFont="1" applyBorder="1"/>
    <xf numFmtId="0" fontId="90" fillId="6" borderId="1" xfId="0" applyFont="1" applyFill="1" applyBorder="1" applyAlignment="1">
      <alignment horizontal="center"/>
    </xf>
    <xf numFmtId="0" fontId="60" fillId="6" borderId="0" xfId="0" applyFont="1" applyFill="1" applyAlignment="1">
      <alignment horizontal="center"/>
    </xf>
    <xf numFmtId="3" fontId="60" fillId="14" borderId="5" xfId="0" applyNumberFormat="1" applyFont="1" applyFill="1" applyBorder="1" applyAlignment="1">
      <alignment horizontal="center"/>
    </xf>
    <xf numFmtId="0" fontId="59" fillId="14" borderId="1" xfId="0" applyFont="1" applyFill="1" applyBorder="1" applyAlignment="1">
      <alignment horizontal="right" vertical="center"/>
    </xf>
    <xf numFmtId="166" fontId="56" fillId="14" borderId="4" xfId="0" applyNumberFormat="1" applyFont="1" applyFill="1" applyBorder="1"/>
    <xf numFmtId="0" fontId="55" fillId="6" borderId="9" xfId="0" applyFont="1" applyFill="1" applyBorder="1"/>
    <xf numFmtId="0" fontId="60" fillId="5" borderId="8" xfId="0" applyFont="1" applyFill="1" applyBorder="1" applyAlignment="1">
      <alignment horizontal="center"/>
    </xf>
    <xf numFmtId="3" fontId="60" fillId="6" borderId="1" xfId="0" applyNumberFormat="1" applyFont="1" applyFill="1" applyBorder="1" applyAlignment="1">
      <alignment horizontal="center"/>
    </xf>
    <xf numFmtId="0" fontId="55" fillId="6" borderId="1" xfId="0" applyFont="1" applyFill="1" applyBorder="1"/>
    <xf numFmtId="0" fontId="60" fillId="14" borderId="9" xfId="0" applyFont="1" applyFill="1" applyBorder="1" applyAlignment="1">
      <alignment horizontal="left"/>
    </xf>
    <xf numFmtId="0" fontId="60" fillId="6" borderId="1" xfId="0" applyFont="1" applyFill="1" applyBorder="1" applyAlignment="1">
      <alignment horizontal="left"/>
    </xf>
    <xf numFmtId="166" fontId="60" fillId="6" borderId="6" xfId="0" applyNumberFormat="1" applyFont="1" applyFill="1" applyBorder="1" applyAlignment="1">
      <alignment horizontal="right"/>
    </xf>
    <xf numFmtId="0" fontId="59" fillId="6" borderId="1" xfId="0" applyFont="1" applyFill="1" applyBorder="1" applyAlignment="1">
      <alignment horizontal="right"/>
    </xf>
    <xf numFmtId="0" fontId="91" fillId="16" borderId="1" xfId="0" applyFont="1" applyFill="1" applyBorder="1" applyAlignment="1">
      <alignment horizontal="left"/>
    </xf>
    <xf numFmtId="0" fontId="91" fillId="16" borderId="5" xfId="0" applyFont="1" applyFill="1" applyBorder="1" applyAlignment="1">
      <alignment horizontal="center"/>
    </xf>
    <xf numFmtId="0" fontId="59" fillId="16" borderId="3" xfId="0" applyFont="1" applyFill="1" applyBorder="1" applyAlignment="1">
      <alignment horizontal="center" vertical="center"/>
    </xf>
    <xf numFmtId="0" fontId="59" fillId="14" borderId="8" xfId="0" applyFont="1" applyFill="1" applyBorder="1" applyAlignment="1">
      <alignment horizontal="center" vertical="center"/>
    </xf>
    <xf numFmtId="0" fontId="92" fillId="0" borderId="1" xfId="0" applyFont="1" applyBorder="1"/>
    <xf numFmtId="166" fontId="55" fillId="0" borderId="1" xfId="0" applyNumberFormat="1" applyFont="1" applyBorder="1"/>
    <xf numFmtId="0" fontId="92" fillId="0" borderId="8" xfId="0" applyFont="1" applyBorder="1"/>
    <xf numFmtId="166" fontId="93" fillId="6" borderId="1" xfId="0" applyNumberFormat="1" applyFont="1" applyFill="1" applyBorder="1" applyAlignment="1">
      <alignment horizontal="right"/>
    </xf>
    <xf numFmtId="9" fontId="59" fillId="14" borderId="15" xfId="0" applyNumberFormat="1" applyFont="1" applyFill="1" applyBorder="1" applyAlignment="1">
      <alignment horizontal="center"/>
    </xf>
    <xf numFmtId="9" fontId="59" fillId="0" borderId="8" xfId="0" applyNumberFormat="1" applyFont="1" applyBorder="1" applyAlignment="1">
      <alignment horizontal="center"/>
    </xf>
    <xf numFmtId="0" fontId="59" fillId="0" borderId="6" xfId="0" applyFont="1" applyBorder="1"/>
    <xf numFmtId="0" fontId="0" fillId="6" borderId="12" xfId="0" applyFill="1" applyBorder="1" applyAlignment="1">
      <alignment horizontal="center"/>
    </xf>
    <xf numFmtId="9" fontId="60" fillId="6" borderId="6" xfId="0" applyNumberFormat="1" applyFont="1" applyFill="1" applyBorder="1" applyAlignment="1">
      <alignment horizontal="center"/>
    </xf>
    <xf numFmtId="0" fontId="60" fillId="6" borderId="9" xfId="0" applyFont="1" applyFill="1" applyBorder="1" applyAlignment="1">
      <alignment horizontal="center"/>
    </xf>
    <xf numFmtId="0" fontId="62" fillId="6" borderId="0" xfId="0" applyFont="1" applyFill="1" applyAlignment="1">
      <alignment horizontal="center" wrapText="1"/>
    </xf>
    <xf numFmtId="0" fontId="41" fillId="6" borderId="8" xfId="0" applyFont="1" applyFill="1" applyBorder="1" applyAlignment="1">
      <alignment wrapText="1"/>
    </xf>
    <xf numFmtId="0" fontId="60" fillId="14" borderId="6" xfId="0" applyFont="1" applyFill="1" applyBorder="1" applyAlignment="1">
      <alignment horizontal="right"/>
    </xf>
    <xf numFmtId="0" fontId="60" fillId="14" borderId="6" xfId="0" applyFont="1" applyFill="1" applyBorder="1" applyAlignment="1">
      <alignment horizontal="right" wrapText="1"/>
    </xf>
    <xf numFmtId="166" fontId="3" fillId="14" borderId="1" xfId="0" applyNumberFormat="1" applyFont="1" applyFill="1" applyBorder="1"/>
    <xf numFmtId="9" fontId="59" fillId="0" borderId="5" xfId="0" applyNumberFormat="1" applyFont="1" applyBorder="1" applyAlignment="1">
      <alignment horizontal="center"/>
    </xf>
    <xf numFmtId="166" fontId="0" fillId="0" borderId="4" xfId="0" applyNumberFormat="1" applyBorder="1"/>
    <xf numFmtId="166" fontId="0" fillId="0" borderId="10" xfId="0" applyNumberFormat="1" applyBorder="1"/>
    <xf numFmtId="0" fontId="60" fillId="14" borderId="1" xfId="0" applyFont="1" applyFill="1" applyBorder="1" applyAlignment="1">
      <alignment horizontal="left" wrapText="1"/>
    </xf>
    <xf numFmtId="9" fontId="60" fillId="14" borderId="1" xfId="0" applyNumberFormat="1" applyFont="1" applyFill="1" applyBorder="1" applyAlignment="1">
      <alignment horizontal="left"/>
    </xf>
    <xf numFmtId="0" fontId="60" fillId="14" borderId="5" xfId="0" applyFont="1" applyFill="1" applyBorder="1" applyAlignment="1">
      <alignment horizontal="left"/>
    </xf>
    <xf numFmtId="0" fontId="41" fillId="14" borderId="8" xfId="0" applyFont="1" applyFill="1" applyBorder="1" applyAlignment="1">
      <alignment wrapText="1"/>
    </xf>
    <xf numFmtId="0" fontId="5" fillId="16" borderId="15" xfId="0" applyFont="1" applyFill="1" applyBorder="1" applyAlignment="1">
      <alignment horizontal="center"/>
    </xf>
    <xf numFmtId="0" fontId="5" fillId="16" borderId="12" xfId="0" applyFont="1" applyFill="1" applyBorder="1" applyAlignment="1">
      <alignment horizontal="left"/>
    </xf>
    <xf numFmtId="3" fontId="5" fillId="16" borderId="14" xfId="0" applyNumberFormat="1" applyFont="1" applyFill="1" applyBorder="1" applyAlignment="1">
      <alignment horizontal="center"/>
    </xf>
    <xf numFmtId="0" fontId="59" fillId="0" borderId="7" xfId="0" applyFont="1" applyBorder="1"/>
    <xf numFmtId="167" fontId="6" fillId="6" borderId="1" xfId="0" applyNumberFormat="1" applyFont="1" applyFill="1" applyBorder="1"/>
    <xf numFmtId="9" fontId="55" fillId="14" borderId="9" xfId="0" applyNumberFormat="1" applyFont="1" applyFill="1" applyBorder="1" applyAlignment="1">
      <alignment horizontal="center"/>
    </xf>
    <xf numFmtId="0" fontId="0" fillId="0" borderId="18" xfId="0" applyBorder="1"/>
    <xf numFmtId="166" fontId="59" fillId="8" borderId="9" xfId="0" applyNumberFormat="1" applyFont="1" applyFill="1" applyBorder="1" applyAlignment="1">
      <alignment horizontal="center"/>
    </xf>
    <xf numFmtId="166" fontId="55" fillId="8" borderId="1" xfId="0" applyNumberFormat="1" applyFont="1" applyFill="1" applyBorder="1" applyAlignment="1">
      <alignment horizontal="center"/>
    </xf>
    <xf numFmtId="3" fontId="6" fillId="8" borderId="0" xfId="0" applyNumberFormat="1" applyFont="1" applyFill="1"/>
    <xf numFmtId="0" fontId="94" fillId="14" borderId="1" xfId="0" applyFont="1" applyFill="1" applyBorder="1" applyAlignment="1">
      <alignment horizontal="center" wrapText="1"/>
    </xf>
    <xf numFmtId="0" fontId="54" fillId="14" borderId="1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/>
    </xf>
    <xf numFmtId="0" fontId="6" fillId="14" borderId="12" xfId="0" applyFont="1" applyFill="1" applyBorder="1" applyAlignment="1">
      <alignment horizontal="center"/>
    </xf>
    <xf numFmtId="0" fontId="95" fillId="14" borderId="1" xfId="0" applyFont="1" applyFill="1" applyBorder="1" applyAlignment="1">
      <alignment horizontal="center" wrapText="1"/>
    </xf>
    <xf numFmtId="0" fontId="96" fillId="14" borderId="1" xfId="0" applyFont="1" applyFill="1" applyBorder="1" applyAlignment="1">
      <alignment horizontal="center" wrapText="1"/>
    </xf>
    <xf numFmtId="0" fontId="60" fillId="6" borderId="4" xfId="0" applyFont="1" applyFill="1" applyBorder="1" applyAlignment="1">
      <alignment horizontal="center"/>
    </xf>
    <xf numFmtId="169" fontId="59" fillId="0" borderId="1" xfId="0" applyNumberFormat="1" applyFont="1" applyBorder="1"/>
    <xf numFmtId="169" fontId="60" fillId="6" borderId="1" xfId="0" applyNumberFormat="1" applyFont="1" applyFill="1" applyBorder="1"/>
    <xf numFmtId="169" fontId="59" fillId="16" borderId="9" xfId="0" applyNumberFormat="1" applyFont="1" applyFill="1" applyBorder="1"/>
    <xf numFmtId="166" fontId="59" fillId="16" borderId="9" xfId="0" applyNumberFormat="1" applyFont="1" applyFill="1" applyBorder="1" applyAlignment="1">
      <alignment horizontal="right"/>
    </xf>
    <xf numFmtId="0" fontId="92" fillId="0" borderId="5" xfId="0" applyFont="1" applyBorder="1"/>
    <xf numFmtId="0" fontId="41" fillId="14" borderId="14" xfId="0" applyFont="1" applyFill="1" applyBorder="1" applyAlignment="1">
      <alignment wrapText="1"/>
    </xf>
    <xf numFmtId="0" fontId="0" fillId="18" borderId="19" xfId="0" applyFill="1" applyBorder="1"/>
    <xf numFmtId="0" fontId="30" fillId="8" borderId="3" xfId="0" applyFont="1" applyFill="1" applyBorder="1" applyAlignment="1">
      <alignment horizontal="center"/>
    </xf>
    <xf numFmtId="3" fontId="30" fillId="8" borderId="1" xfId="0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21" fillId="8" borderId="5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/>
    </xf>
    <xf numFmtId="166" fontId="59" fillId="16" borderId="1" xfId="0" applyNumberFormat="1" applyFon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5" fillId="20" borderId="1" xfId="0" applyFont="1" applyFill="1" applyBorder="1" applyAlignment="1">
      <alignment horizontal="center"/>
    </xf>
    <xf numFmtId="166" fontId="65" fillId="8" borderId="1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center" vertical="center"/>
    </xf>
    <xf numFmtId="0" fontId="59" fillId="14" borderId="8" xfId="0" applyFont="1" applyFill="1" applyBorder="1" applyAlignment="1">
      <alignment horizontal="center"/>
    </xf>
    <xf numFmtId="0" fontId="59" fillId="14" borderId="7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59" fillId="14" borderId="1" xfId="0" applyFont="1" applyFill="1" applyBorder="1" applyAlignment="1">
      <alignment horizontal="center" vertical="center"/>
    </xf>
    <xf numFmtId="0" fontId="59" fillId="16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15" fillId="14" borderId="8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57" fillId="6" borderId="11" xfId="0" applyFont="1" applyFill="1" applyBorder="1" applyAlignment="1">
      <alignment horizontal="center"/>
    </xf>
    <xf numFmtId="0" fontId="59" fillId="14" borderId="12" xfId="0" applyFont="1" applyFill="1" applyBorder="1" applyAlignment="1">
      <alignment horizontal="center" vertical="center"/>
    </xf>
    <xf numFmtId="0" fontId="68" fillId="6" borderId="8" xfId="0" applyFont="1" applyFill="1" applyBorder="1" applyAlignment="1">
      <alignment horizontal="center"/>
    </xf>
    <xf numFmtId="0" fontId="68" fillId="6" borderId="0" xfId="0" applyFont="1" applyFill="1" applyAlignment="1">
      <alignment horizontal="center"/>
    </xf>
    <xf numFmtId="0" fontId="93" fillId="6" borderId="1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166" fontId="60" fillId="14" borderId="13" xfId="0" applyNumberFormat="1" applyFont="1" applyFill="1" applyBorder="1" applyAlignment="1">
      <alignment horizontal="left"/>
    </xf>
    <xf numFmtId="0" fontId="59" fillId="14" borderId="0" xfId="0" applyFont="1" applyFill="1" applyAlignment="1">
      <alignment horizontal="left"/>
    </xf>
    <xf numFmtId="0" fontId="59" fillId="14" borderId="6" xfId="0" applyFont="1" applyFill="1" applyBorder="1" applyAlignment="1">
      <alignment horizontal="left"/>
    </xf>
    <xf numFmtId="0" fontId="59" fillId="14" borderId="14" xfId="0" applyFont="1" applyFill="1" applyBorder="1" applyAlignment="1">
      <alignment horizontal="center"/>
    </xf>
    <xf numFmtId="0" fontId="59" fillId="14" borderId="14" xfId="0" applyFont="1" applyFill="1" applyBorder="1" applyAlignment="1">
      <alignment horizontal="left"/>
    </xf>
    <xf numFmtId="0" fontId="97" fillId="14" borderId="0" xfId="0" applyFont="1" applyFill="1" applyAlignment="1">
      <alignment horizontal="center"/>
    </xf>
    <xf numFmtId="0" fontId="59" fillId="6" borderId="1" xfId="0" applyFont="1" applyFill="1" applyBorder="1" applyAlignment="1">
      <alignment horizontal="left"/>
    </xf>
    <xf numFmtId="0" fontId="0" fillId="6" borderId="5" xfId="0" applyFill="1" applyBorder="1" applyAlignment="1">
      <alignment horizontal="center"/>
    </xf>
    <xf numFmtId="0" fontId="41" fillId="14" borderId="1" xfId="0" applyFont="1" applyFill="1" applyBorder="1" applyAlignment="1">
      <alignment horizontal="center"/>
    </xf>
    <xf numFmtId="0" fontId="57" fillId="6" borderId="9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15" fillId="14" borderId="0" xfId="0" applyFont="1" applyFill="1" applyAlignment="1">
      <alignment horizontal="center"/>
    </xf>
    <xf numFmtId="0" fontId="15" fillId="14" borderId="1" xfId="0" applyFont="1" applyFill="1" applyBorder="1" applyAlignment="1">
      <alignment horizontal="center"/>
    </xf>
    <xf numFmtId="166" fontId="6" fillId="8" borderId="1" xfId="0" applyNumberFormat="1" applyFont="1" applyFill="1" applyBorder="1" applyAlignment="1">
      <alignment horizontal="center"/>
    </xf>
    <xf numFmtId="0" fontId="58" fillId="16" borderId="1" xfId="0" applyFont="1" applyFill="1" applyBorder="1" applyAlignment="1">
      <alignment horizontal="center"/>
    </xf>
    <xf numFmtId="0" fontId="58" fillId="14" borderId="9" xfId="0" applyFont="1" applyFill="1" applyBorder="1" applyAlignment="1">
      <alignment horizontal="center"/>
    </xf>
    <xf numFmtId="0" fontId="58" fillId="0" borderId="5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0" fillId="6" borderId="9" xfId="0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8" fillId="6" borderId="1" xfId="0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0" fontId="92" fillId="16" borderId="1" xfId="0" applyFont="1" applyFill="1" applyBorder="1" applyAlignment="1">
      <alignment horizontal="center"/>
    </xf>
    <xf numFmtId="0" fontId="92" fillId="14" borderId="1" xfId="0" applyFont="1" applyFill="1" applyBorder="1" applyAlignment="1">
      <alignment horizontal="center"/>
    </xf>
    <xf numFmtId="0" fontId="92" fillId="0" borderId="1" xfId="0" applyFont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6" fontId="60" fillId="14" borderId="6" xfId="0" applyNumberFormat="1" applyFont="1" applyFill="1" applyBorder="1" applyAlignment="1">
      <alignment horizontal="right"/>
    </xf>
    <xf numFmtId="0" fontId="41" fillId="14" borderId="0" xfId="0" applyFont="1" applyFill="1"/>
    <xf numFmtId="0" fontId="0" fillId="0" borderId="0" xfId="0" applyAlignment="1">
      <alignment horizontal="left"/>
    </xf>
    <xf numFmtId="0" fontId="3" fillId="5" borderId="9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4" borderId="9" xfId="0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0" fontId="15" fillId="6" borderId="5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16" borderId="5" xfId="0" applyFill="1" applyBorder="1" applyAlignment="1">
      <alignment horizontal="left"/>
    </xf>
    <xf numFmtId="0" fontId="0" fillId="14" borderId="5" xfId="0" applyFill="1" applyBorder="1" applyAlignment="1">
      <alignment horizontal="left"/>
    </xf>
    <xf numFmtId="0" fontId="15" fillId="14" borderId="5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15" fillId="14" borderId="1" xfId="0" applyFont="1" applyFill="1" applyBorder="1" applyAlignment="1">
      <alignment horizontal="left"/>
    </xf>
    <xf numFmtId="0" fontId="0" fillId="16" borderId="9" xfId="0" applyFill="1" applyBorder="1" applyAlignment="1">
      <alignment horizontal="left"/>
    </xf>
    <xf numFmtId="0" fontId="15" fillId="6" borderId="1" xfId="0" applyFont="1" applyFill="1" applyBorder="1" applyAlignment="1">
      <alignment horizontal="left"/>
    </xf>
    <xf numFmtId="166" fontId="9" fillId="10" borderId="1" xfId="0" applyNumberFormat="1" applyFont="1" applyFill="1" applyBorder="1" applyAlignment="1">
      <alignment horizontal="left"/>
    </xf>
    <xf numFmtId="166" fontId="5" fillId="11" borderId="3" xfId="0" applyNumberFormat="1" applyFont="1" applyFill="1" applyBorder="1" applyAlignment="1">
      <alignment horizontal="left"/>
    </xf>
    <xf numFmtId="168" fontId="5" fillId="12" borderId="3" xfId="0" applyNumberFormat="1" applyFont="1" applyFill="1" applyBorder="1" applyAlignment="1">
      <alignment horizontal="left"/>
    </xf>
    <xf numFmtId="3" fontId="5" fillId="9" borderId="3" xfId="0" applyNumberFormat="1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60" fillId="16" borderId="0" xfId="0" applyFont="1" applyFill="1" applyAlignment="1">
      <alignment horizontal="left" wrapText="1"/>
    </xf>
    <xf numFmtId="0" fontId="57" fillId="14" borderId="3" xfId="0" applyFont="1" applyFill="1" applyBorder="1" applyAlignment="1">
      <alignment horizontal="left"/>
    </xf>
    <xf numFmtId="0" fontId="57" fillId="14" borderId="6" xfId="0" applyFont="1" applyFill="1" applyBorder="1" applyAlignment="1">
      <alignment horizontal="left"/>
    </xf>
    <xf numFmtId="0" fontId="59" fillId="14" borderId="8" xfId="0" applyFont="1" applyFill="1" applyBorder="1" applyAlignment="1">
      <alignment horizontal="left"/>
    </xf>
    <xf numFmtId="0" fontId="59" fillId="14" borderId="2" xfId="0" applyFont="1" applyFill="1" applyBorder="1" applyAlignment="1">
      <alignment horizontal="left"/>
    </xf>
    <xf numFmtId="0" fontId="59" fillId="6" borderId="2" xfId="0" applyFont="1" applyFill="1" applyBorder="1" applyAlignment="1">
      <alignment horizontal="left"/>
    </xf>
    <xf numFmtId="0" fontId="57" fillId="22" borderId="9" xfId="0" applyFont="1" applyFill="1" applyBorder="1" applyAlignment="1">
      <alignment horizontal="left"/>
    </xf>
    <xf numFmtId="0" fontId="33" fillId="14" borderId="1" xfId="0" applyFont="1" applyFill="1" applyBorder="1" applyAlignment="1">
      <alignment horizontal="left"/>
    </xf>
    <xf numFmtId="0" fontId="59" fillId="14" borderId="5" xfId="0" applyFont="1" applyFill="1" applyBorder="1" applyAlignment="1">
      <alignment horizontal="left"/>
    </xf>
    <xf numFmtId="0" fontId="59" fillId="14" borderId="12" xfId="0" applyFont="1" applyFill="1" applyBorder="1" applyAlignment="1">
      <alignment horizontal="left"/>
    </xf>
    <xf numFmtId="0" fontId="57" fillId="8" borderId="1" xfId="0" applyFont="1" applyFill="1" applyBorder="1" applyAlignment="1">
      <alignment horizontal="left"/>
    </xf>
    <xf numFmtId="0" fontId="66" fillId="14" borderId="4" xfId="0" applyFont="1" applyFill="1" applyBorder="1" applyAlignment="1">
      <alignment horizontal="left"/>
    </xf>
    <xf numFmtId="0" fontId="57" fillId="0" borderId="15" xfId="0" applyFont="1" applyBorder="1" applyAlignment="1">
      <alignment horizontal="left"/>
    </xf>
    <xf numFmtId="0" fontId="57" fillId="0" borderId="2" xfId="0" applyFont="1" applyBorder="1" applyAlignment="1">
      <alignment horizontal="left"/>
    </xf>
    <xf numFmtId="0" fontId="60" fillId="5" borderId="9" xfId="0" applyFont="1" applyFill="1" applyBorder="1" applyAlignment="1">
      <alignment horizontal="left"/>
    </xf>
    <xf numFmtId="0" fontId="58" fillId="0" borderId="9" xfId="0" applyFont="1" applyBorder="1" applyAlignment="1">
      <alignment horizontal="left"/>
    </xf>
    <xf numFmtId="0" fontId="41" fillId="8" borderId="9" xfId="0" applyFont="1" applyFill="1" applyBorder="1" applyAlignment="1">
      <alignment horizontal="left" wrapText="1"/>
    </xf>
    <xf numFmtId="0" fontId="57" fillId="6" borderId="0" xfId="0" applyFont="1" applyFill="1" applyAlignment="1">
      <alignment horizontal="left"/>
    </xf>
    <xf numFmtId="0" fontId="54" fillId="6" borderId="1" xfId="0" applyFont="1" applyFill="1" applyBorder="1" applyAlignment="1">
      <alignment horizontal="left"/>
    </xf>
    <xf numFmtId="0" fontId="60" fillId="20" borderId="1" xfId="0" applyFont="1" applyFill="1" applyBorder="1" applyAlignment="1">
      <alignment horizontal="left"/>
    </xf>
    <xf numFmtId="0" fontId="59" fillId="8" borderId="1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59" fillId="8" borderId="12" xfId="0" applyFont="1" applyFill="1" applyBorder="1" applyAlignment="1">
      <alignment horizontal="left"/>
    </xf>
    <xf numFmtId="0" fontId="65" fillId="14" borderId="8" xfId="0" applyFont="1" applyFill="1" applyBorder="1" applyAlignment="1">
      <alignment horizontal="left"/>
    </xf>
    <xf numFmtId="0" fontId="59" fillId="0" borderId="9" xfId="0" applyFont="1" applyBorder="1" applyAlignment="1">
      <alignment horizontal="left"/>
    </xf>
    <xf numFmtId="0" fontId="60" fillId="14" borderId="6" xfId="0" applyFont="1" applyFill="1" applyBorder="1" applyAlignment="1">
      <alignment horizontal="left"/>
    </xf>
    <xf numFmtId="0" fontId="60" fillId="14" borderId="11" xfId="0" applyFont="1" applyFill="1" applyBorder="1" applyAlignment="1">
      <alignment horizontal="left"/>
    </xf>
    <xf numFmtId="0" fontId="60" fillId="14" borderId="3" xfId="0" applyFont="1" applyFill="1" applyBorder="1" applyAlignment="1">
      <alignment horizontal="left"/>
    </xf>
    <xf numFmtId="0" fontId="15" fillId="14" borderId="14" xfId="0" applyFon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65" fillId="14" borderId="1" xfId="0" applyFont="1" applyFill="1" applyBorder="1" applyAlignment="1">
      <alignment horizontal="left"/>
    </xf>
    <xf numFmtId="0" fontId="6" fillId="8" borderId="0" xfId="0" applyFont="1" applyFill="1" applyAlignment="1">
      <alignment horizontal="left"/>
    </xf>
    <xf numFmtId="0" fontId="41" fillId="16" borderId="0" xfId="0" applyFont="1" applyFill="1" applyAlignment="1">
      <alignment horizontal="left" wrapText="1"/>
    </xf>
    <xf numFmtId="0" fontId="59" fillId="16" borderId="2" xfId="0" applyFont="1" applyFill="1" applyBorder="1" applyAlignment="1">
      <alignment horizontal="left"/>
    </xf>
    <xf numFmtId="0" fontId="60" fillId="14" borderId="6" xfId="0" applyFont="1" applyFill="1" applyBorder="1" applyAlignment="1">
      <alignment horizontal="left" wrapText="1"/>
    </xf>
    <xf numFmtId="0" fontId="58" fillId="14" borderId="1" xfId="0" applyFont="1" applyFill="1" applyBorder="1" applyAlignment="1">
      <alignment horizontal="left"/>
    </xf>
    <xf numFmtId="0" fontId="59" fillId="6" borderId="0" xfId="0" applyFont="1" applyFill="1" applyAlignment="1">
      <alignment horizontal="left"/>
    </xf>
    <xf numFmtId="0" fontId="57" fillId="22" borderId="14" xfId="0" applyFont="1" applyFill="1" applyBorder="1" applyAlignment="1">
      <alignment horizontal="left"/>
    </xf>
    <xf numFmtId="0" fontId="33" fillId="6" borderId="1" xfId="0" applyFont="1" applyFill="1" applyBorder="1" applyAlignment="1">
      <alignment horizontal="left"/>
    </xf>
    <xf numFmtId="0" fontId="66" fillId="6" borderId="4" xfId="0" applyFont="1" applyFill="1" applyBorder="1" applyAlignment="1">
      <alignment horizontal="left"/>
    </xf>
    <xf numFmtId="0" fontId="60" fillId="5" borderId="1" xfId="0" applyFont="1" applyFill="1" applyBorder="1" applyAlignment="1">
      <alignment horizontal="left"/>
    </xf>
    <xf numFmtId="0" fontId="58" fillId="0" borderId="1" xfId="0" applyFont="1" applyBorder="1" applyAlignment="1">
      <alignment horizontal="left"/>
    </xf>
    <xf numFmtId="0" fontId="41" fillId="8" borderId="1" xfId="0" applyFont="1" applyFill="1" applyBorder="1" applyAlignment="1">
      <alignment horizontal="left" wrapText="1"/>
    </xf>
    <xf numFmtId="0" fontId="57" fillId="6" borderId="1" xfId="0" applyFont="1" applyFill="1" applyBorder="1" applyAlignment="1">
      <alignment horizontal="left"/>
    </xf>
    <xf numFmtId="0" fontId="60" fillId="16" borderId="5" xfId="0" applyFont="1" applyFill="1" applyBorder="1" applyAlignment="1">
      <alignment horizontal="left"/>
    </xf>
    <xf numFmtId="0" fontId="59" fillId="6" borderId="9" xfId="0" applyFont="1" applyFill="1" applyBorder="1" applyAlignment="1">
      <alignment horizontal="left"/>
    </xf>
    <xf numFmtId="0" fontId="59" fillId="8" borderId="9" xfId="0" applyFont="1" applyFill="1" applyBorder="1" applyAlignment="1">
      <alignment horizontal="left"/>
    </xf>
    <xf numFmtId="0" fontId="41" fillId="14" borderId="0" xfId="0" applyFont="1" applyFill="1" applyAlignment="1">
      <alignment horizontal="left" wrapText="1"/>
    </xf>
    <xf numFmtId="0" fontId="65" fillId="8" borderId="1" xfId="0" applyFont="1" applyFill="1" applyBorder="1" applyAlignment="1">
      <alignment horizontal="left"/>
    </xf>
    <xf numFmtId="168" fontId="5" fillId="26" borderId="0" xfId="0" applyNumberFormat="1" applyFont="1" applyFill="1" applyAlignment="1">
      <alignment horizontal="left"/>
    </xf>
    <xf numFmtId="166" fontId="5" fillId="9" borderId="3" xfId="0" applyNumberFormat="1" applyFont="1" applyFill="1" applyBorder="1" applyAlignment="1">
      <alignment horizontal="left"/>
    </xf>
    <xf numFmtId="0" fontId="59" fillId="16" borderId="0" xfId="0" applyFont="1" applyFill="1" applyAlignment="1">
      <alignment horizontal="left" wrapText="1"/>
    </xf>
    <xf numFmtId="0" fontId="59" fillId="14" borderId="9" xfId="0" applyFont="1" applyFill="1" applyBorder="1" applyAlignment="1">
      <alignment horizontal="left"/>
    </xf>
    <xf numFmtId="0" fontId="57" fillId="22" borderId="11" xfId="0" applyFont="1" applyFill="1" applyBorder="1" applyAlignment="1">
      <alignment horizontal="left"/>
    </xf>
    <xf numFmtId="0" fontId="59" fillId="16" borderId="15" xfId="0" applyFont="1" applyFill="1" applyBorder="1" applyAlignment="1">
      <alignment horizontal="left" wrapText="1"/>
    </xf>
    <xf numFmtId="0" fontId="59" fillId="14" borderId="13" xfId="0" applyFont="1" applyFill="1" applyBorder="1" applyAlignment="1">
      <alignment horizontal="left"/>
    </xf>
    <xf numFmtId="0" fontId="59" fillId="14" borderId="15" xfId="0" applyFont="1" applyFill="1" applyBorder="1" applyAlignment="1">
      <alignment horizontal="left"/>
    </xf>
    <xf numFmtId="0" fontId="59" fillId="6" borderId="3" xfId="0" applyFont="1" applyFill="1" applyBorder="1" applyAlignment="1">
      <alignment horizontal="left"/>
    </xf>
    <xf numFmtId="0" fontId="65" fillId="6" borderId="1" xfId="0" applyFont="1" applyFill="1" applyBorder="1" applyAlignment="1">
      <alignment horizontal="left"/>
    </xf>
    <xf numFmtId="0" fontId="59" fillId="16" borderId="14" xfId="0" applyFont="1" applyFill="1" applyBorder="1" applyAlignment="1">
      <alignment horizontal="left"/>
    </xf>
    <xf numFmtId="0" fontId="59" fillId="0" borderId="4" xfId="0" applyFont="1" applyBorder="1" applyAlignment="1">
      <alignment horizontal="left"/>
    </xf>
    <xf numFmtId="0" fontId="15" fillId="6" borderId="14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 wrapText="1"/>
    </xf>
    <xf numFmtId="0" fontId="41" fillId="14" borderId="1" xfId="0" applyFont="1" applyFill="1" applyBorder="1" applyAlignment="1">
      <alignment horizontal="left" wrapText="1"/>
    </xf>
    <xf numFmtId="0" fontId="57" fillId="8" borderId="5" xfId="0" applyFont="1" applyFill="1" applyBorder="1" applyAlignment="1">
      <alignment horizontal="left"/>
    </xf>
    <xf numFmtId="0" fontId="57" fillId="0" borderId="0" xfId="0" applyFont="1" applyAlignment="1">
      <alignment horizontal="left"/>
    </xf>
    <xf numFmtId="0" fontId="41" fillId="6" borderId="1" xfId="0" applyFont="1" applyFill="1" applyBorder="1" applyAlignment="1">
      <alignment horizontal="left" wrapText="1"/>
    </xf>
    <xf numFmtId="0" fontId="66" fillId="6" borderId="1" xfId="0" applyFont="1" applyFill="1" applyBorder="1" applyAlignment="1">
      <alignment horizontal="left"/>
    </xf>
    <xf numFmtId="0" fontId="66" fillId="6" borderId="0" xfId="0" applyFont="1" applyFill="1" applyAlignment="1">
      <alignment horizontal="left"/>
    </xf>
    <xf numFmtId="0" fontId="59" fillId="6" borderId="11" xfId="0" applyFont="1" applyFill="1" applyBorder="1" applyAlignment="1">
      <alignment horizontal="left"/>
    </xf>
    <xf numFmtId="0" fontId="59" fillId="6" borderId="14" xfId="0" applyFont="1" applyFill="1" applyBorder="1" applyAlignment="1">
      <alignment horizontal="left"/>
    </xf>
    <xf numFmtId="0" fontId="65" fillId="6" borderId="0" xfId="0" applyFont="1" applyFill="1" applyAlignment="1">
      <alignment horizontal="left"/>
    </xf>
    <xf numFmtId="0" fontId="60" fillId="14" borderId="9" xfId="0" applyFont="1" applyFill="1" applyBorder="1" applyAlignment="1">
      <alignment horizontal="left" wrapText="1"/>
    </xf>
    <xf numFmtId="0" fontId="41" fillId="0" borderId="1" xfId="0" applyFont="1" applyBorder="1" applyAlignment="1">
      <alignment horizontal="left" wrapText="1"/>
    </xf>
    <xf numFmtId="0" fontId="57" fillId="22" borderId="1" xfId="0" applyFont="1" applyFill="1" applyBorder="1" applyAlignment="1">
      <alignment horizontal="left"/>
    </xf>
    <xf numFmtId="0" fontId="56" fillId="14" borderId="1" xfId="0" applyFont="1" applyFill="1" applyBorder="1" applyAlignment="1">
      <alignment horizontal="left"/>
    </xf>
    <xf numFmtId="0" fontId="59" fillId="6" borderId="5" xfId="0" applyFont="1" applyFill="1" applyBorder="1" applyAlignment="1">
      <alignment horizontal="left"/>
    </xf>
    <xf numFmtId="0" fontId="56" fillId="14" borderId="4" xfId="0" applyFont="1" applyFill="1" applyBorder="1" applyAlignment="1">
      <alignment horizontal="left"/>
    </xf>
    <xf numFmtId="0" fontId="60" fillId="14" borderId="5" xfId="0" applyFont="1" applyFill="1" applyBorder="1" applyAlignment="1">
      <alignment horizontal="left" wrapText="1"/>
    </xf>
    <xf numFmtId="0" fontId="60" fillId="6" borderId="9" xfId="0" applyFont="1" applyFill="1" applyBorder="1" applyAlignment="1">
      <alignment horizontal="left"/>
    </xf>
    <xf numFmtId="0" fontId="60" fillId="0" borderId="1" xfId="0" applyFont="1" applyBorder="1" applyAlignment="1">
      <alignment horizontal="left" wrapText="1"/>
    </xf>
    <xf numFmtId="0" fontId="60" fillId="6" borderId="1" xfId="0" applyFont="1" applyFill="1" applyBorder="1" applyAlignment="1">
      <alignment horizontal="left" wrapText="1"/>
    </xf>
    <xf numFmtId="0" fontId="84" fillId="14" borderId="1" xfId="0" applyFont="1" applyFill="1" applyBorder="1" applyAlignment="1">
      <alignment horizontal="left" wrapText="1"/>
    </xf>
    <xf numFmtId="0" fontId="59" fillId="14" borderId="3" xfId="0" applyFont="1" applyFill="1" applyBorder="1" applyAlignment="1">
      <alignment horizontal="left"/>
    </xf>
    <xf numFmtId="0" fontId="59" fillId="0" borderId="11" xfId="0" applyFont="1" applyBorder="1" applyAlignment="1">
      <alignment horizontal="left"/>
    </xf>
    <xf numFmtId="0" fontId="59" fillId="0" borderId="14" xfId="0" applyFont="1" applyBorder="1" applyAlignment="1">
      <alignment horizontal="left"/>
    </xf>
    <xf numFmtId="0" fontId="59" fillId="16" borderId="5" xfId="0" applyFont="1" applyFill="1" applyBorder="1" applyAlignment="1">
      <alignment horizontal="left"/>
    </xf>
    <xf numFmtId="0" fontId="59" fillId="16" borderId="4" xfId="0" applyFont="1" applyFill="1" applyBorder="1" applyAlignment="1">
      <alignment horizontal="left"/>
    </xf>
    <xf numFmtId="0" fontId="59" fillId="0" borderId="1" xfId="0" applyFont="1" applyBorder="1" applyAlignment="1">
      <alignment horizontal="left"/>
    </xf>
    <xf numFmtId="0" fontId="15" fillId="14" borderId="11" xfId="0" applyFont="1" applyFill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83" fillId="0" borderId="8" xfId="0" applyFont="1" applyBorder="1" applyAlignment="1">
      <alignment horizontal="left"/>
    </xf>
    <xf numFmtId="0" fontId="87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60" fillId="6" borderId="5" xfId="0" applyFont="1" applyFill="1" applyBorder="1" applyAlignment="1">
      <alignment horizontal="left" wrapText="1"/>
    </xf>
    <xf numFmtId="0" fontId="3" fillId="16" borderId="14" xfId="0" applyFont="1" applyFill="1" applyBorder="1" applyAlignment="1">
      <alignment horizontal="left"/>
    </xf>
    <xf numFmtId="0" fontId="59" fillId="16" borderId="6" xfId="0" applyFont="1" applyFill="1" applyBorder="1" applyAlignment="1">
      <alignment horizontal="left"/>
    </xf>
    <xf numFmtId="166" fontId="60" fillId="6" borderId="1" xfId="0" applyNumberFormat="1" applyFont="1" applyFill="1" applyBorder="1" applyAlignment="1">
      <alignment horizontal="left"/>
    </xf>
    <xf numFmtId="0" fontId="59" fillId="0" borderId="6" xfId="0" applyFont="1" applyBorder="1" applyAlignment="1">
      <alignment horizontal="left"/>
    </xf>
    <xf numFmtId="166" fontId="60" fillId="14" borderId="6" xfId="0" applyNumberFormat="1" applyFont="1" applyFill="1" applyBorder="1" applyAlignment="1">
      <alignment horizontal="left"/>
    </xf>
    <xf numFmtId="167" fontId="57" fillId="7" borderId="1" xfId="0" applyNumberFormat="1" applyFont="1" applyFill="1" applyBorder="1" applyAlignment="1">
      <alignment horizontal="right"/>
    </xf>
    <xf numFmtId="3" fontId="57" fillId="7" borderId="14" xfId="0" applyNumberFormat="1" applyFont="1" applyFill="1" applyBorder="1" applyAlignment="1">
      <alignment horizontal="center"/>
    </xf>
    <xf numFmtId="9" fontId="57" fillId="6" borderId="12" xfId="0" applyNumberFormat="1" applyFont="1" applyFill="1" applyBorder="1" applyAlignment="1">
      <alignment horizontal="center"/>
    </xf>
    <xf numFmtId="0" fontId="57" fillId="0" borderId="5" xfId="0" applyFont="1" applyBorder="1" applyAlignment="1">
      <alignment horizontal="center"/>
    </xf>
    <xf numFmtId="0" fontId="56" fillId="14" borderId="5" xfId="0" applyFont="1" applyFill="1" applyBorder="1" applyAlignment="1">
      <alignment horizontal="left"/>
    </xf>
    <xf numFmtId="166" fontId="56" fillId="14" borderId="5" xfId="0" applyNumberFormat="1" applyFont="1" applyFill="1" applyBorder="1"/>
    <xf numFmtId="3" fontId="57" fillId="0" borderId="3" xfId="0" applyNumberFormat="1" applyFont="1" applyBorder="1"/>
    <xf numFmtId="0" fontId="41" fillId="0" borderId="5" xfId="0" applyFont="1" applyBorder="1" applyAlignment="1">
      <alignment horizontal="left"/>
    </xf>
    <xf numFmtId="0" fontId="5" fillId="14" borderId="1" xfId="0" applyFont="1" applyFill="1" applyBorder="1" applyAlignment="1">
      <alignment horizontal="left"/>
    </xf>
    <xf numFmtId="9" fontId="3" fillId="6" borderId="1" xfId="0" applyNumberFormat="1" applyFont="1" applyFill="1" applyBorder="1" applyAlignment="1">
      <alignment horizontal="center"/>
    </xf>
    <xf numFmtId="166" fontId="3" fillId="14" borderId="1" xfId="0" applyNumberFormat="1" applyFont="1" applyFill="1" applyBorder="1" applyAlignment="1">
      <alignment horizontal="right"/>
    </xf>
    <xf numFmtId="166" fontId="3" fillId="6" borderId="1" xfId="0" applyNumberFormat="1" applyFont="1" applyFill="1" applyBorder="1" applyAlignment="1">
      <alignment horizontal="right"/>
    </xf>
    <xf numFmtId="9" fontId="5" fillId="6" borderId="1" xfId="0" applyNumberFormat="1" applyFont="1" applyFill="1" applyBorder="1" applyAlignment="1">
      <alignment horizontal="center"/>
    </xf>
    <xf numFmtId="0" fontId="41" fillId="14" borderId="7" xfId="0" applyFont="1" applyFill="1" applyBorder="1" applyAlignment="1">
      <alignment horizontal="left" wrapText="1"/>
    </xf>
    <xf numFmtId="0" fontId="0" fillId="14" borderId="16" xfId="0" applyFill="1" applyBorder="1"/>
    <xf numFmtId="0" fontId="0" fillId="14" borderId="16" xfId="0" applyFill="1" applyBorder="1" applyAlignment="1">
      <alignment horizontal="left"/>
    </xf>
    <xf numFmtId="3" fontId="0" fillId="0" borderId="16" xfId="0" applyNumberFormat="1" applyBorder="1" applyAlignment="1">
      <alignment horizontal="right"/>
    </xf>
    <xf numFmtId="0" fontId="3" fillId="16" borderId="12" xfId="0" applyFont="1" applyFill="1" applyBorder="1" applyAlignment="1">
      <alignment horizontal="center"/>
    </xf>
    <xf numFmtId="9" fontId="57" fillId="16" borderId="12" xfId="0" applyNumberFormat="1" applyFont="1" applyFill="1" applyBorder="1" applyAlignment="1">
      <alignment horizontal="center"/>
    </xf>
    <xf numFmtId="0" fontId="41" fillId="16" borderId="5" xfId="0" applyFont="1" applyFill="1" applyBorder="1" applyAlignment="1">
      <alignment horizontal="left"/>
    </xf>
    <xf numFmtId="0" fontId="59" fillId="16" borderId="14" xfId="0" applyFont="1" applyFill="1" applyBorder="1" applyAlignment="1">
      <alignment horizontal="center"/>
    </xf>
    <xf numFmtId="0" fontId="41" fillId="16" borderId="0" xfId="0" applyFont="1" applyFill="1" applyAlignment="1">
      <alignment horizontal="left"/>
    </xf>
    <xf numFmtId="0" fontId="59" fillId="16" borderId="1" xfId="0" applyFont="1" applyFill="1" applyBorder="1" applyAlignment="1">
      <alignment horizontal="right" vertical="center"/>
    </xf>
    <xf numFmtId="169" fontId="60" fillId="16" borderId="1" xfId="0" applyNumberFormat="1" applyFont="1" applyFill="1" applyBorder="1"/>
    <xf numFmtId="9" fontId="60" fillId="16" borderId="8" xfId="0" applyNumberFormat="1" applyFont="1" applyFill="1" applyBorder="1" applyAlignment="1">
      <alignment horizontal="center"/>
    </xf>
    <xf numFmtId="9" fontId="5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left"/>
    </xf>
    <xf numFmtId="0" fontId="3" fillId="16" borderId="8" xfId="0" applyFont="1" applyFill="1" applyBorder="1" applyAlignment="1">
      <alignment horizontal="center"/>
    </xf>
    <xf numFmtId="166" fontId="60" fillId="16" borderId="6" xfId="0" applyNumberFormat="1" applyFont="1" applyFill="1" applyBorder="1" applyAlignment="1">
      <alignment horizontal="right"/>
    </xf>
    <xf numFmtId="0" fontId="60" fillId="14" borderId="4" xfId="0" applyFont="1" applyFill="1" applyBorder="1" applyAlignment="1">
      <alignment horizontal="left"/>
    </xf>
    <xf numFmtId="9" fontId="5" fillId="16" borderId="1" xfId="0" applyNumberFormat="1" applyFont="1" applyFill="1" applyBorder="1" applyAlignment="1">
      <alignment horizontal="center"/>
    </xf>
    <xf numFmtId="169" fontId="59" fillId="16" borderId="1" xfId="0" applyNumberFormat="1" applyFont="1" applyFill="1" applyBorder="1"/>
    <xf numFmtId="0" fontId="41" fillId="6" borderId="5" xfId="0" applyFont="1" applyFill="1" applyBorder="1" applyAlignment="1">
      <alignment wrapText="1"/>
    </xf>
    <xf numFmtId="0" fontId="97" fillId="14" borderId="1" xfId="0" applyFont="1" applyFill="1" applyBorder="1" applyAlignment="1">
      <alignment horizontal="center"/>
    </xf>
    <xf numFmtId="0" fontId="59" fillId="14" borderId="1" xfId="0" applyFont="1" applyFill="1" applyBorder="1" applyAlignment="1">
      <alignment horizontal="left" vertical="center"/>
    </xf>
    <xf numFmtId="9" fontId="0" fillId="14" borderId="5" xfId="0" applyNumberFormat="1" applyFill="1" applyBorder="1" applyAlignment="1">
      <alignment horizontal="center"/>
    </xf>
    <xf numFmtId="0" fontId="41" fillId="14" borderId="11" xfId="0" applyFont="1" applyFill="1" applyBorder="1" applyAlignment="1">
      <alignment wrapText="1"/>
    </xf>
    <xf numFmtId="9" fontId="0" fillId="16" borderId="1" xfId="0" applyNumberFormat="1" applyFill="1" applyBorder="1" applyAlignment="1">
      <alignment horizontal="center"/>
    </xf>
    <xf numFmtId="166" fontId="0" fillId="16" borderId="1" xfId="0" applyNumberFormat="1" applyFill="1" applyBorder="1"/>
    <xf numFmtId="0" fontId="41" fillId="16" borderId="1" xfId="0" applyFont="1" applyFill="1" applyBorder="1" applyAlignment="1">
      <alignment horizontal="left"/>
    </xf>
    <xf numFmtId="166" fontId="60" fillId="16" borderId="14" xfId="0" applyNumberFormat="1" applyFont="1" applyFill="1" applyBorder="1"/>
    <xf numFmtId="166" fontId="59" fillId="16" borderId="15" xfId="0" applyNumberFormat="1" applyFont="1" applyFill="1" applyBorder="1"/>
    <xf numFmtId="166" fontId="9" fillId="10" borderId="1" xfId="0" applyNumberFormat="1" applyFont="1" applyFill="1" applyBorder="1"/>
    <xf numFmtId="166" fontId="5" fillId="11" borderId="3" xfId="0" applyNumberFormat="1" applyFont="1" applyFill="1" applyBorder="1"/>
    <xf numFmtId="168" fontId="5" fillId="12" borderId="3" xfId="0" applyNumberFormat="1" applyFont="1" applyFill="1" applyBorder="1"/>
    <xf numFmtId="168" fontId="5" fillId="26" borderId="0" xfId="0" applyNumberFormat="1" applyFont="1" applyFill="1"/>
    <xf numFmtId="166" fontId="60" fillId="14" borderId="1" xfId="0" applyNumberFormat="1" applyFont="1" applyFill="1" applyBorder="1" applyAlignment="1">
      <alignment horizontal="left"/>
    </xf>
    <xf numFmtId="0" fontId="59" fillId="14" borderId="6" xfId="0" applyFont="1" applyFill="1" applyBorder="1" applyAlignment="1">
      <alignment horizontal="right"/>
    </xf>
    <xf numFmtId="0" fontId="59" fillId="16" borderId="13" xfId="0" applyFont="1" applyFill="1" applyBorder="1" applyAlignment="1">
      <alignment horizontal="left"/>
    </xf>
    <xf numFmtId="0" fontId="41" fillId="14" borderId="1" xfId="0" applyFont="1" applyFill="1" applyBorder="1"/>
    <xf numFmtId="0" fontId="41" fillId="14" borderId="4" xfId="0" applyFont="1" applyFill="1" applyBorder="1" applyAlignment="1">
      <alignment horizontal="left"/>
    </xf>
    <xf numFmtId="166" fontId="60" fillId="6" borderId="3" xfId="0" applyNumberFormat="1" applyFont="1" applyFill="1" applyBorder="1"/>
    <xf numFmtId="9" fontId="3" fillId="16" borderId="1" xfId="0" applyNumberFormat="1" applyFont="1" applyFill="1" applyBorder="1" applyAlignment="1">
      <alignment horizontal="center"/>
    </xf>
    <xf numFmtId="166" fontId="3" fillId="16" borderId="1" xfId="0" applyNumberFormat="1" applyFont="1" applyFill="1" applyBorder="1" applyAlignment="1">
      <alignment horizontal="right"/>
    </xf>
    <xf numFmtId="3" fontId="60" fillId="14" borderId="8" xfId="0" applyNumberFormat="1" applyFont="1" applyFill="1" applyBorder="1" applyAlignment="1">
      <alignment horizontal="center"/>
    </xf>
    <xf numFmtId="0" fontId="59" fillId="0" borderId="8" xfId="0" applyFont="1" applyBorder="1" applyAlignment="1">
      <alignment horizontal="center"/>
    </xf>
    <xf numFmtId="0" fontId="60" fillId="6" borderId="10" xfId="0" applyFont="1" applyFill="1" applyBorder="1" applyAlignment="1">
      <alignment horizontal="center"/>
    </xf>
    <xf numFmtId="3" fontId="60" fillId="6" borderId="0" xfId="0" applyNumberFormat="1" applyFont="1" applyFill="1" applyAlignment="1">
      <alignment horizontal="center"/>
    </xf>
    <xf numFmtId="3" fontId="3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6" fontId="60" fillId="6" borderId="0" xfId="0" applyNumberFormat="1" applyFont="1" applyFill="1" applyAlignment="1">
      <alignment horizontal="right"/>
    </xf>
    <xf numFmtId="166" fontId="59" fillId="0" borderId="5" xfId="0" applyNumberFormat="1" applyFont="1" applyBorder="1" applyAlignment="1">
      <alignment horizontal="center"/>
    </xf>
    <xf numFmtId="166" fontId="3" fillId="6" borderId="8" xfId="0" applyNumberFormat="1" applyFont="1" applyFill="1" applyBorder="1" applyAlignment="1">
      <alignment horizontal="right"/>
    </xf>
    <xf numFmtId="0" fontId="60" fillId="14" borderId="0" xfId="0" applyFont="1" applyFill="1" applyAlignment="1">
      <alignment horizontal="center"/>
    </xf>
    <xf numFmtId="0" fontId="60" fillId="14" borderId="15" xfId="0" applyFont="1" applyFill="1" applyBorder="1" applyAlignment="1">
      <alignment horizontal="center"/>
    </xf>
    <xf numFmtId="0" fontId="41" fillId="14" borderId="9" xfId="0" applyFont="1" applyFill="1" applyBorder="1" applyAlignment="1">
      <alignment horizontal="left" wrapText="1"/>
    </xf>
    <xf numFmtId="0" fontId="60" fillId="6" borderId="7" xfId="0" applyFont="1" applyFill="1" applyBorder="1" applyAlignment="1">
      <alignment horizontal="center"/>
    </xf>
    <xf numFmtId="166" fontId="60" fillId="14" borderId="15" xfId="0" applyNumberFormat="1" applyFont="1" applyFill="1" applyBorder="1" applyAlignment="1">
      <alignment horizontal="right"/>
    </xf>
    <xf numFmtId="9" fontId="60" fillId="14" borderId="12" xfId="0" applyNumberFormat="1" applyFont="1" applyFill="1" applyBorder="1" applyAlignment="1">
      <alignment horizontal="left"/>
    </xf>
    <xf numFmtId="166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9" fontId="3" fillId="14" borderId="1" xfId="0" applyNumberFormat="1" applyFont="1" applyFill="1" applyBorder="1"/>
    <xf numFmtId="0" fontId="57" fillId="9" borderId="1" xfId="0" applyFont="1" applyFill="1" applyBorder="1" applyAlignment="1">
      <alignment horizontal="left"/>
    </xf>
    <xf numFmtId="0" fontId="59" fillId="16" borderId="12" xfId="0" applyFont="1" applyFill="1" applyBorder="1" applyAlignment="1">
      <alignment horizontal="left" vertical="center"/>
    </xf>
    <xf numFmtId="0" fontId="60" fillId="16" borderId="15" xfId="0" applyFont="1" applyFill="1" applyBorder="1" applyAlignment="1">
      <alignment horizontal="left"/>
    </xf>
    <xf numFmtId="0" fontId="59" fillId="14" borderId="11" xfId="0" applyFont="1" applyFill="1" applyBorder="1" applyAlignment="1">
      <alignment horizontal="left"/>
    </xf>
    <xf numFmtId="0" fontId="59" fillId="14" borderId="12" xfId="0" applyFont="1" applyFill="1" applyBorder="1"/>
    <xf numFmtId="0" fontId="0" fillId="14" borderId="9" xfId="0" applyFill="1" applyBorder="1"/>
    <xf numFmtId="0" fontId="60" fillId="14" borderId="6" xfId="0" applyFont="1" applyFill="1" applyBorder="1"/>
    <xf numFmtId="0" fontId="59" fillId="14" borderId="1" xfId="0" applyFont="1" applyFill="1" applyBorder="1" applyAlignment="1">
      <alignment vertical="center"/>
    </xf>
    <xf numFmtId="0" fontId="0" fillId="14" borderId="12" xfId="0" applyFill="1" applyBorder="1"/>
    <xf numFmtId="169" fontId="59" fillId="16" borderId="1" xfId="0" applyNumberFormat="1" applyFont="1" applyFill="1" applyBorder="1" applyAlignment="1">
      <alignment horizontal="right"/>
    </xf>
    <xf numFmtId="0" fontId="41" fillId="16" borderId="1" xfId="0" applyFont="1" applyFill="1" applyBorder="1"/>
    <xf numFmtId="9" fontId="60" fillId="16" borderId="13" xfId="0" applyNumberFormat="1" applyFont="1" applyFill="1" applyBorder="1" applyAlignment="1">
      <alignment horizontal="center"/>
    </xf>
    <xf numFmtId="0" fontId="41" fillId="16" borderId="5" xfId="0" applyFont="1" applyFill="1" applyBorder="1" applyAlignment="1">
      <alignment wrapText="1"/>
    </xf>
    <xf numFmtId="166" fontId="59" fillId="16" borderId="14" xfId="0" applyNumberFormat="1" applyFont="1" applyFill="1" applyBorder="1"/>
    <xf numFmtId="0" fontId="0" fillId="16" borderId="0" xfId="0" applyFill="1"/>
    <xf numFmtId="0" fontId="41" fillId="16" borderId="9" xfId="0" applyFont="1" applyFill="1" applyBorder="1" applyAlignment="1">
      <alignment wrapText="1"/>
    </xf>
    <xf numFmtId="169" fontId="60" fillId="16" borderId="9" xfId="0" applyNumberFormat="1" applyFont="1" applyFill="1" applyBorder="1" applyAlignment="1">
      <alignment horizontal="right"/>
    </xf>
    <xf numFmtId="169" fontId="60" fillId="16" borderId="1" xfId="0" applyNumberFormat="1" applyFont="1" applyFill="1" applyBorder="1" applyAlignment="1">
      <alignment horizontal="right"/>
    </xf>
    <xf numFmtId="166" fontId="0" fillId="16" borderId="1" xfId="0" applyNumberFormat="1" applyFill="1" applyBorder="1" applyAlignment="1">
      <alignment horizontal="right"/>
    </xf>
    <xf numFmtId="0" fontId="4" fillId="16" borderId="0" xfId="0" applyFont="1" applyFill="1"/>
    <xf numFmtId="0" fontId="41" fillId="6" borderId="1" xfId="0" applyFont="1" applyFill="1" applyBorder="1" applyAlignment="1">
      <alignment horizontal="center" wrapText="1"/>
    </xf>
    <xf numFmtId="0" fontId="3" fillId="6" borderId="12" xfId="0" applyFont="1" applyFill="1" applyBorder="1" applyAlignment="1">
      <alignment horizontal="center"/>
    </xf>
    <xf numFmtId="0" fontId="59" fillId="6" borderId="6" xfId="0" applyFont="1" applyFill="1" applyBorder="1" applyAlignment="1">
      <alignment horizontal="right"/>
    </xf>
    <xf numFmtId="0" fontId="98" fillId="6" borderId="1" xfId="0" applyFont="1" applyFill="1" applyBorder="1" applyAlignment="1">
      <alignment horizontal="center"/>
    </xf>
    <xf numFmtId="9" fontId="60" fillId="6" borderId="1" xfId="0" applyNumberFormat="1" applyFont="1" applyFill="1" applyBorder="1" applyAlignment="1">
      <alignment horizontal="left"/>
    </xf>
    <xf numFmtId="0" fontId="59" fillId="6" borderId="6" xfId="0" applyFont="1" applyFill="1" applyBorder="1" applyAlignment="1">
      <alignment horizontal="left"/>
    </xf>
    <xf numFmtId="9" fontId="60" fillId="6" borderId="7" xfId="0" applyNumberFormat="1" applyFont="1" applyFill="1" applyBorder="1" applyAlignment="1">
      <alignment horizontal="center"/>
    </xf>
    <xf numFmtId="0" fontId="60" fillId="6" borderId="5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98" fillId="14" borderId="1" xfId="0" applyFont="1" applyFill="1" applyBorder="1" applyAlignment="1">
      <alignment horizontal="center"/>
    </xf>
    <xf numFmtId="9" fontId="57" fillId="16" borderId="6" xfId="0" applyNumberFormat="1" applyFont="1" applyFill="1" applyBorder="1" applyAlignment="1">
      <alignment horizontal="center"/>
    </xf>
    <xf numFmtId="167" fontId="60" fillId="16" borderId="1" xfId="0" applyNumberFormat="1" applyFont="1" applyFill="1" applyBorder="1" applyAlignment="1">
      <alignment horizontal="right"/>
    </xf>
    <xf numFmtId="9" fontId="57" fillId="14" borderId="1" xfId="0" applyNumberFormat="1" applyFont="1" applyFill="1" applyBorder="1" applyAlignment="1">
      <alignment horizontal="left"/>
    </xf>
    <xf numFmtId="0" fontId="60" fillId="6" borderId="1" xfId="0" applyFont="1" applyFill="1" applyBorder="1" applyAlignment="1">
      <alignment horizontal="right" wrapText="1"/>
    </xf>
    <xf numFmtId="0" fontId="0" fillId="0" borderId="14" xfId="0" applyBorder="1" applyAlignment="1">
      <alignment horizontal="center"/>
    </xf>
    <xf numFmtId="0" fontId="62" fillId="6" borderId="4" xfId="0" applyFont="1" applyFill="1" applyBorder="1" applyAlignment="1">
      <alignment horizontal="center" wrapText="1"/>
    </xf>
    <xf numFmtId="0" fontId="60" fillId="6" borderId="11" xfId="0" applyFont="1" applyFill="1" applyBorder="1" applyAlignment="1">
      <alignment horizontal="right"/>
    </xf>
    <xf numFmtId="9" fontId="60" fillId="6" borderId="3" xfId="0" applyNumberFormat="1" applyFont="1" applyFill="1" applyBorder="1" applyAlignment="1">
      <alignment horizontal="center"/>
    </xf>
    <xf numFmtId="169" fontId="59" fillId="14" borderId="1" xfId="0" applyNumberFormat="1" applyFont="1" applyFill="1" applyBorder="1" applyAlignment="1">
      <alignment horizontal="center"/>
    </xf>
    <xf numFmtId="0" fontId="59" fillId="6" borderId="11" xfId="0" applyFont="1" applyFill="1" applyBorder="1" applyAlignment="1">
      <alignment horizontal="center"/>
    </xf>
    <xf numFmtId="166" fontId="59" fillId="6" borderId="5" xfId="0" applyNumberFormat="1" applyFont="1" applyFill="1" applyBorder="1"/>
    <xf numFmtId="166" fontId="60" fillId="14" borderId="0" xfId="0" applyNumberFormat="1" applyFont="1" applyFill="1" applyAlignment="1">
      <alignment horizontal="right"/>
    </xf>
    <xf numFmtId="166" fontId="60" fillId="14" borderId="13" xfId="0" applyNumberFormat="1" applyFont="1" applyFill="1" applyBorder="1" applyAlignment="1">
      <alignment horizontal="right"/>
    </xf>
    <xf numFmtId="167" fontId="60" fillId="14" borderId="8" xfId="0" applyNumberFormat="1" applyFont="1" applyFill="1" applyBorder="1" applyAlignment="1">
      <alignment horizontal="right"/>
    </xf>
    <xf numFmtId="0" fontId="59" fillId="14" borderId="13" xfId="0" applyFont="1" applyFill="1" applyBorder="1" applyAlignment="1">
      <alignment horizontal="right"/>
    </xf>
    <xf numFmtId="3" fontId="60" fillId="14" borderId="3" xfId="0" applyNumberFormat="1" applyFont="1" applyFill="1" applyBorder="1" applyAlignment="1">
      <alignment horizontal="center"/>
    </xf>
    <xf numFmtId="9" fontId="3" fillId="14" borderId="8" xfId="0" applyNumberFormat="1" applyFont="1" applyFill="1" applyBorder="1" applyAlignment="1">
      <alignment horizontal="center"/>
    </xf>
    <xf numFmtId="0" fontId="60" fillId="14" borderId="5" xfId="0" applyFont="1" applyFill="1" applyBorder="1" applyAlignment="1">
      <alignment wrapText="1"/>
    </xf>
    <xf numFmtId="9" fontId="59" fillId="14" borderId="12" xfId="0" applyNumberFormat="1" applyFont="1" applyFill="1" applyBorder="1"/>
    <xf numFmtId="9" fontId="59" fillId="14" borderId="13" xfId="0" applyNumberFormat="1" applyFont="1" applyFill="1" applyBorder="1" applyAlignment="1">
      <alignment horizontal="center"/>
    </xf>
    <xf numFmtId="0" fontId="41" fillId="14" borderId="0" xfId="0" applyFont="1" applyFill="1" applyAlignment="1">
      <alignment horizontal="center"/>
    </xf>
    <xf numFmtId="0" fontId="0" fillId="14" borderId="1" xfId="0" applyFill="1" applyBorder="1" applyAlignment="1">
      <alignment horizontal="right"/>
    </xf>
    <xf numFmtId="170" fontId="5" fillId="14" borderId="1" xfId="0" applyNumberFormat="1" applyFont="1" applyFill="1" applyBorder="1" applyAlignment="1">
      <alignment horizontal="center"/>
    </xf>
    <xf numFmtId="170" fontId="0" fillId="6" borderId="1" xfId="0" applyNumberFormat="1" applyFill="1" applyBorder="1"/>
    <xf numFmtId="170" fontId="65" fillId="6" borderId="1" xfId="0" applyNumberFormat="1" applyFont="1" applyFill="1" applyBorder="1" applyAlignment="1">
      <alignment horizontal="right"/>
    </xf>
    <xf numFmtId="0" fontId="3" fillId="16" borderId="1" xfId="0" applyFont="1" applyFill="1" applyBorder="1" applyAlignment="1">
      <alignment horizontal="left"/>
    </xf>
    <xf numFmtId="0" fontId="0" fillId="16" borderId="9" xfId="0" applyFill="1" applyBorder="1" applyAlignment="1">
      <alignment horizontal="center"/>
    </xf>
    <xf numFmtId="170" fontId="5" fillId="14" borderId="1" xfId="0" applyNumberFormat="1" applyFont="1" applyFill="1" applyBorder="1" applyAlignment="1">
      <alignment horizontal="right"/>
    </xf>
    <xf numFmtId="170" fontId="60" fillId="14" borderId="1" xfId="0" applyNumberFormat="1" applyFont="1" applyFill="1" applyBorder="1" applyAlignment="1">
      <alignment horizontal="right"/>
    </xf>
    <xf numFmtId="170" fontId="0" fillId="6" borderId="1" xfId="0" applyNumberFormat="1" applyFill="1" applyBorder="1" applyAlignment="1">
      <alignment horizontal="right"/>
    </xf>
    <xf numFmtId="166" fontId="33" fillId="10" borderId="1" xfId="0" applyNumberFormat="1" applyFont="1" applyFill="1" applyBorder="1"/>
    <xf numFmtId="170" fontId="59" fillId="14" borderId="1" xfId="0" applyNumberFormat="1" applyFont="1" applyFill="1" applyBorder="1" applyAlignment="1">
      <alignment horizontal="right"/>
    </xf>
    <xf numFmtId="170" fontId="59" fillId="14" borderId="11" xfId="0" applyNumberFormat="1" applyFont="1" applyFill="1" applyBorder="1" applyAlignment="1">
      <alignment horizontal="right"/>
    </xf>
    <xf numFmtId="170" fontId="60" fillId="14" borderId="5" xfId="0" applyNumberFormat="1" applyFont="1" applyFill="1" applyBorder="1" applyAlignment="1">
      <alignment horizontal="right"/>
    </xf>
    <xf numFmtId="170" fontId="59" fillId="14" borderId="14" xfId="0" applyNumberFormat="1" applyFont="1" applyFill="1" applyBorder="1"/>
    <xf numFmtId="170" fontId="59" fillId="14" borderId="1" xfId="0" applyNumberFormat="1" applyFont="1" applyFill="1" applyBorder="1"/>
    <xf numFmtId="170" fontId="57" fillId="14" borderId="9" xfId="0" applyNumberFormat="1" applyFont="1" applyFill="1" applyBorder="1"/>
    <xf numFmtId="170" fontId="59" fillId="14" borderId="9" xfId="0" applyNumberFormat="1" applyFont="1" applyFill="1" applyBorder="1"/>
    <xf numFmtId="170" fontId="60" fillId="14" borderId="1" xfId="0" applyNumberFormat="1" applyFont="1" applyFill="1" applyBorder="1"/>
    <xf numFmtId="170" fontId="0" fillId="14" borderId="6" xfId="0" applyNumberFormat="1" applyFill="1" applyBorder="1"/>
    <xf numFmtId="170" fontId="5" fillId="14" borderId="1" xfId="0" applyNumberFormat="1" applyFont="1" applyFill="1" applyBorder="1"/>
    <xf numFmtId="170" fontId="0" fillId="14" borderId="14" xfId="0" applyNumberFormat="1" applyFill="1" applyBorder="1"/>
    <xf numFmtId="170" fontId="60" fillId="14" borderId="5" xfId="0" applyNumberFormat="1" applyFont="1" applyFill="1" applyBorder="1"/>
    <xf numFmtId="170" fontId="0" fillId="6" borderId="14" xfId="0" applyNumberFormat="1" applyFill="1" applyBorder="1" applyAlignment="1">
      <alignment horizontal="right"/>
    </xf>
    <xf numFmtId="170" fontId="0" fillId="0" borderId="9" xfId="0" applyNumberFormat="1" applyBorder="1"/>
    <xf numFmtId="170" fontId="59" fillId="14" borderId="9" xfId="0" applyNumberFormat="1" applyFont="1" applyFill="1" applyBorder="1" applyAlignment="1">
      <alignment horizontal="center"/>
    </xf>
    <xf numFmtId="170" fontId="0" fillId="6" borderId="12" xfId="0" applyNumberFormat="1" applyFill="1" applyBorder="1"/>
    <xf numFmtId="170" fontId="0" fillId="0" borderId="12" xfId="0" applyNumberFormat="1" applyBorder="1"/>
    <xf numFmtId="3" fontId="0" fillId="6" borderId="16" xfId="0" applyNumberFormat="1" applyFill="1" applyBorder="1" applyAlignment="1">
      <alignment horizontal="left"/>
    </xf>
    <xf numFmtId="0" fontId="23" fillId="6" borderId="0" xfId="0" applyFont="1" applyFill="1" applyAlignment="1">
      <alignment wrapText="1"/>
    </xf>
    <xf numFmtId="0" fontId="0" fillId="6" borderId="17" xfId="0" applyFill="1" applyBorder="1"/>
    <xf numFmtId="0" fontId="0" fillId="6" borderId="19" xfId="0" applyFill="1" applyBorder="1"/>
    <xf numFmtId="3" fontId="5" fillId="16" borderId="1" xfId="0" applyNumberFormat="1" applyFont="1" applyFill="1" applyBorder="1" applyAlignment="1">
      <alignment horizontal="right"/>
    </xf>
    <xf numFmtId="0" fontId="5" fillId="16" borderId="1" xfId="0" applyFont="1" applyFill="1" applyBorder="1" applyAlignment="1">
      <alignment horizontal="center"/>
    </xf>
    <xf numFmtId="0" fontId="59" fillId="16" borderId="1" xfId="0" applyFont="1" applyFill="1" applyBorder="1" applyAlignment="1">
      <alignment horizontal="left" vertical="center"/>
    </xf>
    <xf numFmtId="9" fontId="57" fillId="6" borderId="5" xfId="0" applyNumberFormat="1" applyFont="1" applyFill="1" applyBorder="1" applyAlignment="1">
      <alignment horizontal="left"/>
    </xf>
    <xf numFmtId="0" fontId="41" fillId="6" borderId="5" xfId="0" applyFont="1" applyFill="1" applyBorder="1" applyAlignment="1">
      <alignment horizontal="left" wrapText="1"/>
    </xf>
    <xf numFmtId="166" fontId="60" fillId="6" borderId="7" xfId="0" applyNumberFormat="1" applyFont="1" applyFill="1" applyBorder="1"/>
    <xf numFmtId="9" fontId="57" fillId="16" borderId="3" xfId="0" applyNumberFormat="1" applyFont="1" applyFill="1" applyBorder="1" applyAlignment="1">
      <alignment horizontal="center"/>
    </xf>
    <xf numFmtId="166" fontId="60" fillId="16" borderId="14" xfId="0" applyNumberFormat="1" applyFont="1" applyFill="1" applyBorder="1" applyAlignment="1">
      <alignment horizontal="right"/>
    </xf>
    <xf numFmtId="9" fontId="59" fillId="16" borderId="8" xfId="0" applyNumberFormat="1" applyFont="1" applyFill="1" applyBorder="1" applyAlignment="1">
      <alignment horizontal="center"/>
    </xf>
    <xf numFmtId="166" fontId="60" fillId="16" borderId="1" xfId="0" applyNumberFormat="1" applyFont="1" applyFill="1" applyBorder="1" applyAlignment="1">
      <alignment horizontal="left"/>
    </xf>
    <xf numFmtId="170" fontId="0" fillId="14" borderId="1" xfId="0" applyNumberFormat="1" applyFill="1" applyBorder="1" applyAlignment="1">
      <alignment horizontal="right"/>
    </xf>
    <xf numFmtId="0" fontId="3" fillId="14" borderId="6" xfId="0" applyFont="1" applyFill="1" applyBorder="1" applyAlignment="1">
      <alignment horizontal="center"/>
    </xf>
    <xf numFmtId="0" fontId="41" fillId="0" borderId="1" xfId="0" applyFont="1" applyBorder="1"/>
    <xf numFmtId="9" fontId="59" fillId="0" borderId="7" xfId="0" applyNumberFormat="1" applyFont="1" applyBorder="1" applyAlignment="1">
      <alignment horizontal="center"/>
    </xf>
    <xf numFmtId="166" fontId="3" fillId="16" borderId="6" xfId="0" applyNumberFormat="1" applyFont="1" applyFill="1" applyBorder="1" applyAlignment="1">
      <alignment horizontal="center"/>
    </xf>
    <xf numFmtId="3" fontId="3" fillId="16" borderId="8" xfId="0" applyNumberFormat="1" applyFont="1" applyFill="1" applyBorder="1" applyAlignment="1">
      <alignment horizontal="center"/>
    </xf>
    <xf numFmtId="166" fontId="60" fillId="16" borderId="13" xfId="0" applyNumberFormat="1" applyFont="1" applyFill="1" applyBorder="1" applyAlignment="1">
      <alignment horizontal="left"/>
    </xf>
    <xf numFmtId="0" fontId="59" fillId="16" borderId="15" xfId="0" applyFont="1" applyFill="1" applyBorder="1" applyAlignment="1">
      <alignment horizontal="left"/>
    </xf>
    <xf numFmtId="0" fontId="60" fillId="6" borderId="12" xfId="0" applyFont="1" applyFill="1" applyBorder="1" applyAlignment="1">
      <alignment horizontal="center"/>
    </xf>
    <xf numFmtId="0" fontId="59" fillId="16" borderId="14" xfId="0" applyFont="1" applyFill="1" applyBorder="1"/>
    <xf numFmtId="166" fontId="60" fillId="16" borderId="15" xfId="0" applyNumberFormat="1" applyFont="1" applyFill="1" applyBorder="1" applyAlignment="1">
      <alignment horizontal="left"/>
    </xf>
    <xf numFmtId="169" fontId="59" fillId="16" borderId="9" xfId="0" applyNumberFormat="1" applyFont="1" applyFill="1" applyBorder="1" applyAlignment="1">
      <alignment horizontal="right"/>
    </xf>
    <xf numFmtId="166" fontId="59" fillId="16" borderId="9" xfId="0" applyNumberFormat="1" applyFont="1" applyFill="1" applyBorder="1"/>
    <xf numFmtId="0" fontId="3" fillId="6" borderId="1" xfId="0" applyFont="1" applyFill="1" applyBorder="1"/>
    <xf numFmtId="166" fontId="59" fillId="14" borderId="14" xfId="0" applyNumberFormat="1" applyFont="1" applyFill="1" applyBorder="1"/>
    <xf numFmtId="0" fontId="41" fillId="14" borderId="5" xfId="0" applyFont="1" applyFill="1" applyBorder="1" applyAlignment="1">
      <alignment horizontal="left"/>
    </xf>
    <xf numFmtId="0" fontId="3" fillId="14" borderId="1" xfId="0" applyFont="1" applyFill="1" applyBorder="1"/>
    <xf numFmtId="166" fontId="60" fillId="14" borderId="5" xfId="0" applyNumberFormat="1" applyFont="1" applyFill="1" applyBorder="1" applyAlignment="1">
      <alignment horizontal="left"/>
    </xf>
    <xf numFmtId="0" fontId="97" fillId="6" borderId="1" xfId="0" applyFont="1" applyFill="1" applyBorder="1" applyAlignment="1">
      <alignment horizontal="center"/>
    </xf>
    <xf numFmtId="9" fontId="59" fillId="6" borderId="6" xfId="0" applyNumberFormat="1" applyFont="1" applyFill="1" applyBorder="1" applyAlignment="1">
      <alignment horizontal="center"/>
    </xf>
    <xf numFmtId="0" fontId="57" fillId="0" borderId="3" xfId="0" applyFont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41" fillId="16" borderId="0" xfId="0" applyFont="1" applyFill="1"/>
    <xf numFmtId="0" fontId="41" fillId="16" borderId="6" xfId="0" applyFont="1" applyFill="1" applyBorder="1" applyAlignment="1">
      <alignment horizontal="left" wrapText="1"/>
    </xf>
    <xf numFmtId="9" fontId="0" fillId="14" borderId="1" xfId="0" applyNumberFormat="1" applyFill="1" applyBorder="1" applyAlignment="1">
      <alignment horizontal="center" vertical="center"/>
    </xf>
    <xf numFmtId="9" fontId="0" fillId="14" borderId="8" xfId="0" applyNumberFormat="1" applyFill="1" applyBorder="1" applyAlignment="1">
      <alignment horizontal="center" vertical="center"/>
    </xf>
    <xf numFmtId="0" fontId="3" fillId="16" borderId="1" xfId="0" applyFont="1" applyFill="1" applyBorder="1"/>
    <xf numFmtId="167" fontId="60" fillId="16" borderId="3" xfId="0" applyNumberFormat="1" applyFont="1" applyFill="1" applyBorder="1" applyAlignment="1">
      <alignment horizontal="right"/>
    </xf>
    <xf numFmtId="167" fontId="57" fillId="16" borderId="5" xfId="0" applyNumberFormat="1" applyFont="1" applyFill="1" applyBorder="1" applyAlignment="1">
      <alignment horizontal="center"/>
    </xf>
    <xf numFmtId="0" fontId="57" fillId="16" borderId="5" xfId="0" applyFont="1" applyFill="1" applyBorder="1" applyAlignment="1">
      <alignment horizontal="center"/>
    </xf>
    <xf numFmtId="0" fontId="57" fillId="16" borderId="5" xfId="0" applyFont="1" applyFill="1" applyBorder="1"/>
    <xf numFmtId="166" fontId="59" fillId="6" borderId="3" xfId="0" applyNumberFormat="1" applyFont="1" applyFill="1" applyBorder="1" applyAlignment="1">
      <alignment horizontal="center"/>
    </xf>
    <xf numFmtId="9" fontId="57" fillId="6" borderId="10" xfId="0" applyNumberFormat="1" applyFont="1" applyFill="1" applyBorder="1" applyAlignment="1">
      <alignment horizontal="center"/>
    </xf>
    <xf numFmtId="0" fontId="41" fillId="0" borderId="5" xfId="0" applyFont="1" applyBorder="1" applyAlignment="1">
      <alignment horizontal="left" wrapText="1"/>
    </xf>
    <xf numFmtId="166" fontId="60" fillId="6" borderId="3" xfId="0" applyNumberFormat="1" applyFont="1" applyFill="1" applyBorder="1" applyAlignment="1">
      <alignment horizontal="center"/>
    </xf>
    <xf numFmtId="166" fontId="59" fillId="6" borderId="4" xfId="0" applyNumberFormat="1" applyFont="1" applyFill="1" applyBorder="1"/>
    <xf numFmtId="0" fontId="57" fillId="6" borderId="7" xfId="0" applyFont="1" applyFill="1" applyBorder="1"/>
    <xf numFmtId="0" fontId="41" fillId="14" borderId="6" xfId="0" applyFont="1" applyFill="1" applyBorder="1" applyAlignment="1">
      <alignment horizontal="left" wrapText="1"/>
    </xf>
    <xf numFmtId="0" fontId="41" fillId="14" borderId="1" xfId="0" applyFont="1" applyFill="1" applyBorder="1" applyAlignment="1">
      <alignment horizontal="left"/>
    </xf>
    <xf numFmtId="0" fontId="41" fillId="16" borderId="6" xfId="0" applyFont="1" applyFill="1" applyBorder="1"/>
    <xf numFmtId="0" fontId="59" fillId="16" borderId="8" xfId="0" applyFont="1" applyFill="1" applyBorder="1"/>
    <xf numFmtId="0" fontId="4" fillId="16" borderId="4" xfId="0" applyFont="1" applyFill="1" applyBorder="1"/>
    <xf numFmtId="169" fontId="59" fillId="16" borderId="6" xfId="0" applyNumberFormat="1" applyFont="1" applyFill="1" applyBorder="1" applyAlignment="1">
      <alignment horizontal="right"/>
    </xf>
    <xf numFmtId="0" fontId="59" fillId="16" borderId="11" xfId="0" applyFont="1" applyFill="1" applyBorder="1" applyAlignment="1">
      <alignment horizontal="left"/>
    </xf>
    <xf numFmtId="0" fontId="0" fillId="16" borderId="1" xfId="0" applyFill="1" applyBorder="1" applyAlignment="1">
      <alignment horizontal="right"/>
    </xf>
    <xf numFmtId="9" fontId="3" fillId="14" borderId="6" xfId="0" applyNumberFormat="1" applyFont="1" applyFill="1" applyBorder="1" applyAlignment="1">
      <alignment horizontal="center"/>
    </xf>
    <xf numFmtId="0" fontId="49" fillId="0" borderId="10" xfId="0" applyFont="1" applyBorder="1" applyAlignment="1">
      <alignment wrapText="1"/>
    </xf>
    <xf numFmtId="0" fontId="41" fillId="6" borderId="6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82" fillId="0" borderId="1" xfId="0" applyFont="1" applyBorder="1"/>
    <xf numFmtId="0" fontId="41" fillId="6" borderId="13" xfId="0" applyFont="1" applyFill="1" applyBorder="1" applyAlignment="1">
      <alignment horizontal="center" wrapText="1"/>
    </xf>
    <xf numFmtId="0" fontId="13" fillId="0" borderId="9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2" xfId="0" applyFont="1" applyBorder="1"/>
    <xf numFmtId="0" fontId="100" fillId="0" borderId="26" xfId="0" applyFont="1" applyBorder="1" applyAlignment="1">
      <alignment wrapText="1"/>
    </xf>
    <xf numFmtId="166" fontId="3" fillId="6" borderId="6" xfId="0" applyNumberFormat="1" applyFont="1" applyFill="1" applyBorder="1" applyAlignment="1">
      <alignment horizontal="right"/>
    </xf>
    <xf numFmtId="0" fontId="41" fillId="16" borderId="6" xfId="0" applyFont="1" applyFill="1" applyBorder="1" applyAlignment="1">
      <alignment wrapText="1"/>
    </xf>
    <xf numFmtId="169" fontId="60" fillId="16" borderId="6" xfId="0" applyNumberFormat="1" applyFont="1" applyFill="1" applyBorder="1" applyAlignment="1">
      <alignment horizontal="right"/>
    </xf>
    <xf numFmtId="9" fontId="59" fillId="0" borderId="2" xfId="0" applyNumberFormat="1" applyFont="1" applyBorder="1" applyAlignment="1">
      <alignment horizontal="center"/>
    </xf>
    <xf numFmtId="0" fontId="41" fillId="0" borderId="5" xfId="0" applyFont="1" applyBorder="1"/>
    <xf numFmtId="166" fontId="5" fillId="11" borderId="3" xfId="0" applyNumberFormat="1" applyFont="1" applyFill="1" applyBorder="1" applyAlignment="1">
      <alignment horizontal="right"/>
    </xf>
    <xf numFmtId="168" fontId="5" fillId="12" borderId="3" xfId="0" applyNumberFormat="1" applyFont="1" applyFill="1" applyBorder="1" applyAlignment="1">
      <alignment horizontal="right"/>
    </xf>
    <xf numFmtId="0" fontId="0" fillId="18" borderId="8" xfId="0" applyFill="1" applyBorder="1" applyAlignment="1">
      <alignment horizontal="center"/>
    </xf>
    <xf numFmtId="0" fontId="0" fillId="18" borderId="31" xfId="0" applyFill="1" applyBorder="1"/>
    <xf numFmtId="0" fontId="0" fillId="18" borderId="9" xfId="0" applyFill="1" applyBorder="1" applyAlignment="1">
      <alignment horizontal="left"/>
    </xf>
    <xf numFmtId="0" fontId="97" fillId="6" borderId="3" xfId="0" applyFont="1" applyFill="1" applyBorder="1" applyAlignment="1">
      <alignment horizontal="center"/>
    </xf>
    <xf numFmtId="0" fontId="97" fillId="16" borderId="3" xfId="0" applyFont="1" applyFill="1" applyBorder="1" applyAlignment="1">
      <alignment horizontal="center"/>
    </xf>
    <xf numFmtId="9" fontId="5" fillId="16" borderId="5" xfId="0" applyNumberFormat="1" applyFont="1" applyFill="1" applyBorder="1" applyAlignment="1">
      <alignment horizontal="center"/>
    </xf>
    <xf numFmtId="0" fontId="41" fillId="16" borderId="3" xfId="0" applyFont="1" applyFill="1" applyBorder="1" applyAlignment="1">
      <alignment horizontal="left" wrapText="1"/>
    </xf>
    <xf numFmtId="169" fontId="60" fillId="16" borderId="5" xfId="0" applyNumberFormat="1" applyFont="1" applyFill="1" applyBorder="1" applyAlignment="1">
      <alignment horizontal="right"/>
    </xf>
    <xf numFmtId="0" fontId="41" fillId="14" borderId="6" xfId="0" applyFont="1" applyFill="1" applyBorder="1"/>
    <xf numFmtId="0" fontId="41" fillId="14" borderId="14" xfId="0" applyFont="1" applyFill="1" applyBorder="1"/>
    <xf numFmtId="0" fontId="3" fillId="14" borderId="14" xfId="0" applyFont="1" applyFill="1" applyBorder="1" applyAlignment="1">
      <alignment horizontal="center"/>
    </xf>
    <xf numFmtId="3" fontId="3" fillId="14" borderId="8" xfId="0" applyNumberFormat="1" applyFont="1" applyFill="1" applyBorder="1" applyAlignment="1">
      <alignment horizontal="center"/>
    </xf>
    <xf numFmtId="9" fontId="3" fillId="14" borderId="13" xfId="0" applyNumberFormat="1" applyFont="1" applyFill="1" applyBorder="1" applyAlignment="1">
      <alignment horizontal="center"/>
    </xf>
    <xf numFmtId="9" fontId="5" fillId="14" borderId="9" xfId="0" applyNumberFormat="1" applyFont="1" applyFill="1" applyBorder="1" applyAlignment="1">
      <alignment horizontal="center"/>
    </xf>
    <xf numFmtId="169" fontId="59" fillId="6" borderId="3" xfId="0" applyNumberFormat="1" applyFont="1" applyFill="1" applyBorder="1"/>
    <xf numFmtId="0" fontId="3" fillId="16" borderId="4" xfId="0" applyFont="1" applyFill="1" applyBorder="1" applyAlignment="1">
      <alignment horizontal="center"/>
    </xf>
    <xf numFmtId="9" fontId="57" fillId="16" borderId="11" xfId="0" applyNumberFormat="1" applyFont="1" applyFill="1" applyBorder="1" applyAlignment="1">
      <alignment horizontal="center"/>
    </xf>
    <xf numFmtId="0" fontId="59" fillId="16" borderId="14" xfId="0" applyFont="1" applyFill="1" applyBorder="1" applyAlignment="1">
      <alignment horizontal="right"/>
    </xf>
    <xf numFmtId="9" fontId="3" fillId="6" borderId="13" xfId="0" applyNumberFormat="1" applyFont="1" applyFill="1" applyBorder="1" applyAlignment="1">
      <alignment horizontal="center"/>
    </xf>
    <xf numFmtId="0" fontId="60" fillId="14" borderId="11" xfId="0" applyFont="1" applyFill="1" applyBorder="1" applyAlignment="1">
      <alignment horizontal="left" wrapText="1"/>
    </xf>
    <xf numFmtId="169" fontId="60" fillId="6" borderId="6" xfId="0" applyNumberFormat="1" applyFont="1" applyFill="1" applyBorder="1" applyAlignment="1">
      <alignment horizontal="right"/>
    </xf>
    <xf numFmtId="9" fontId="5" fillId="6" borderId="5" xfId="0" applyNumberFormat="1" applyFont="1" applyFill="1" applyBorder="1" applyAlignment="1">
      <alignment horizontal="center"/>
    </xf>
    <xf numFmtId="0" fontId="41" fillId="6" borderId="3" xfId="0" applyFont="1" applyFill="1" applyBorder="1" applyAlignment="1">
      <alignment horizontal="left" wrapText="1"/>
    </xf>
    <xf numFmtId="0" fontId="41" fillId="14" borderId="14" xfId="0" applyFont="1" applyFill="1" applyBorder="1" applyAlignment="1">
      <alignment horizontal="left" wrapText="1"/>
    </xf>
    <xf numFmtId="0" fontId="57" fillId="14" borderId="6" xfId="0" applyFont="1" applyFill="1" applyBorder="1" applyAlignment="1">
      <alignment horizontal="center"/>
    </xf>
    <xf numFmtId="0" fontId="84" fillId="14" borderId="1" xfId="0" applyFont="1" applyFill="1" applyBorder="1" applyAlignment="1">
      <alignment horizontal="center"/>
    </xf>
    <xf numFmtId="9" fontId="3" fillId="6" borderId="3" xfId="0" applyNumberFormat="1" applyFont="1" applyFill="1" applyBorder="1" applyAlignment="1">
      <alignment horizontal="center"/>
    </xf>
    <xf numFmtId="0" fontId="3" fillId="14" borderId="9" xfId="0" applyFont="1" applyFill="1" applyBorder="1" applyAlignment="1">
      <alignment horizontal="right"/>
    </xf>
    <xf numFmtId="0" fontId="41" fillId="14" borderId="1" xfId="0" applyFont="1" applyFill="1" applyBorder="1" applyAlignment="1">
      <alignment horizontal="right" wrapText="1"/>
    </xf>
    <xf numFmtId="0" fontId="3" fillId="14" borderId="9" xfId="0" applyFont="1" applyFill="1" applyBorder="1" applyAlignment="1">
      <alignment horizontal="left"/>
    </xf>
    <xf numFmtId="9" fontId="84" fillId="14" borderId="1" xfId="0" applyNumberFormat="1" applyFont="1" applyFill="1" applyBorder="1" applyAlignment="1">
      <alignment horizontal="left"/>
    </xf>
    <xf numFmtId="0" fontId="60" fillId="16" borderId="8" xfId="0" applyFont="1" applyFill="1" applyBorder="1" applyAlignment="1">
      <alignment horizontal="center"/>
    </xf>
    <xf numFmtId="0" fontId="59" fillId="0" borderId="11" xfId="0" applyFont="1" applyBorder="1"/>
    <xf numFmtId="166" fontId="59" fillId="0" borderId="4" xfId="0" applyNumberFormat="1" applyFont="1" applyBorder="1" applyAlignment="1">
      <alignment horizontal="center"/>
    </xf>
    <xf numFmtId="9" fontId="60" fillId="6" borderId="2" xfId="0" applyNumberFormat="1" applyFont="1" applyFill="1" applyBorder="1" applyAlignment="1">
      <alignment horizontal="center"/>
    </xf>
    <xf numFmtId="0" fontId="41" fillId="14" borderId="9" xfId="0" applyFont="1" applyFill="1" applyBorder="1"/>
    <xf numFmtId="3" fontId="3" fillId="6" borderId="8" xfId="0" applyNumberFormat="1" applyFont="1" applyFill="1" applyBorder="1" applyAlignment="1">
      <alignment horizontal="center"/>
    </xf>
    <xf numFmtId="0" fontId="23" fillId="14" borderId="1" xfId="0" applyFont="1" applyFill="1" applyBorder="1" applyAlignment="1">
      <alignment horizontal="center"/>
    </xf>
    <xf numFmtId="9" fontId="59" fillId="16" borderId="13" xfId="0" applyNumberFormat="1" applyFont="1" applyFill="1" applyBorder="1" applyAlignment="1">
      <alignment horizontal="center"/>
    </xf>
    <xf numFmtId="0" fontId="41" fillId="16" borderId="5" xfId="0" applyFont="1" applyFill="1" applyBorder="1"/>
    <xf numFmtId="169" fontId="59" fillId="16" borderId="5" xfId="0" applyNumberFormat="1" applyFont="1" applyFill="1" applyBorder="1" applyAlignment="1">
      <alignment horizontal="right"/>
    </xf>
    <xf numFmtId="0" fontId="59" fillId="16" borderId="3" xfId="0" applyFont="1" applyFill="1" applyBorder="1" applyAlignment="1">
      <alignment horizontal="left" wrapText="1"/>
    </xf>
    <xf numFmtId="0" fontId="59" fillId="16" borderId="6" xfId="0" applyFont="1" applyFill="1" applyBorder="1" applyAlignment="1">
      <alignment horizontal="right"/>
    </xf>
    <xf numFmtId="0" fontId="9" fillId="16" borderId="15" xfId="0" applyFont="1" applyFill="1" applyBorder="1" applyAlignment="1">
      <alignment horizontal="center"/>
    </xf>
    <xf numFmtId="166" fontId="0" fillId="6" borderId="1" xfId="0" applyNumberFormat="1" applyFill="1" applyBorder="1"/>
    <xf numFmtId="0" fontId="3" fillId="6" borderId="13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59" fillId="16" borderId="3" xfId="0" applyFont="1" applyFill="1" applyBorder="1" applyAlignment="1">
      <alignment horizontal="right"/>
    </xf>
    <xf numFmtId="169" fontId="59" fillId="16" borderId="5" xfId="0" applyNumberFormat="1" applyFont="1" applyFill="1" applyBorder="1"/>
    <xf numFmtId="0" fontId="59" fillId="16" borderId="5" xfId="0" applyFont="1" applyFill="1" applyBorder="1"/>
    <xf numFmtId="166" fontId="59" fillId="16" borderId="3" xfId="0" applyNumberFormat="1" applyFont="1" applyFill="1" applyBorder="1" applyAlignment="1">
      <alignment horizontal="center"/>
    </xf>
    <xf numFmtId="0" fontId="60" fillId="16" borderId="7" xfId="0" applyFont="1" applyFill="1" applyBorder="1" applyAlignment="1">
      <alignment horizontal="center"/>
    </xf>
    <xf numFmtId="0" fontId="60" fillId="14" borderId="7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left"/>
    </xf>
    <xf numFmtId="0" fontId="41" fillId="6" borderId="1" xfId="0" applyFont="1" applyFill="1" applyBorder="1" applyAlignment="1">
      <alignment horizontal="left"/>
    </xf>
    <xf numFmtId="0" fontId="97" fillId="14" borderId="6" xfId="0" applyFont="1" applyFill="1" applyBorder="1" applyAlignment="1">
      <alignment horizontal="center"/>
    </xf>
    <xf numFmtId="0" fontId="82" fillId="14" borderId="14" xfId="0" applyFont="1" applyFill="1" applyBorder="1" applyAlignment="1">
      <alignment horizontal="center"/>
    </xf>
    <xf numFmtId="0" fontId="82" fillId="14" borderId="6" xfId="0" applyFont="1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9" fontId="60" fillId="14" borderId="0" xfId="0" applyNumberFormat="1" applyFont="1" applyFill="1" applyAlignment="1">
      <alignment horizontal="center"/>
    </xf>
    <xf numFmtId="166" fontId="66" fillId="14" borderId="5" xfId="0" applyNumberFormat="1" applyFont="1" applyFill="1" applyBorder="1"/>
    <xf numFmtId="166" fontId="0" fillId="14" borderId="1" xfId="0" applyNumberFormat="1" applyFill="1" applyBorder="1"/>
    <xf numFmtId="170" fontId="60" fillId="14" borderId="14" xfId="0" applyNumberFormat="1" applyFont="1" applyFill="1" applyBorder="1"/>
    <xf numFmtId="170" fontId="60" fillId="14" borderId="8" xfId="0" applyNumberFormat="1" applyFont="1" applyFill="1" applyBorder="1" applyAlignment="1">
      <alignment horizontal="right"/>
    </xf>
    <xf numFmtId="170" fontId="59" fillId="14" borderId="8" xfId="0" applyNumberFormat="1" applyFont="1" applyFill="1" applyBorder="1" applyAlignment="1">
      <alignment horizontal="right"/>
    </xf>
    <xf numFmtId="170" fontId="3" fillId="14" borderId="1" xfId="0" applyNumberFormat="1" applyFont="1" applyFill="1" applyBorder="1" applyAlignment="1">
      <alignment horizontal="right"/>
    </xf>
    <xf numFmtId="170" fontId="59" fillId="14" borderId="6" xfId="0" applyNumberFormat="1" applyFont="1" applyFill="1" applyBorder="1" applyAlignment="1">
      <alignment horizontal="right"/>
    </xf>
    <xf numFmtId="170" fontId="60" fillId="14" borderId="6" xfId="0" applyNumberFormat="1" applyFont="1" applyFill="1" applyBorder="1" applyAlignment="1">
      <alignment horizontal="right"/>
    </xf>
    <xf numFmtId="170" fontId="3" fillId="14" borderId="6" xfId="0" applyNumberFormat="1" applyFont="1" applyFill="1" applyBorder="1"/>
    <xf numFmtId="170" fontId="60" fillId="14" borderId="6" xfId="0" applyNumberFormat="1" applyFont="1" applyFill="1" applyBorder="1"/>
    <xf numFmtId="170" fontId="59" fillId="14" borderId="6" xfId="0" applyNumberFormat="1" applyFont="1" applyFill="1" applyBorder="1"/>
    <xf numFmtId="170" fontId="60" fillId="14" borderId="3" xfId="0" applyNumberFormat="1" applyFont="1" applyFill="1" applyBorder="1"/>
    <xf numFmtId="170" fontId="59" fillId="14" borderId="9" xfId="0" applyNumberFormat="1" applyFont="1" applyFill="1" applyBorder="1" applyAlignment="1">
      <alignment horizontal="right"/>
    </xf>
    <xf numFmtId="170" fontId="60" fillId="6" borderId="6" xfId="0" applyNumberFormat="1" applyFont="1" applyFill="1" applyBorder="1" applyAlignment="1">
      <alignment horizontal="right"/>
    </xf>
    <xf numFmtId="3" fontId="5" fillId="9" borderId="2" xfId="0" applyNumberFormat="1" applyFont="1" applyFill="1" applyBorder="1" applyAlignment="1">
      <alignment horizontal="center"/>
    </xf>
    <xf numFmtId="0" fontId="41" fillId="14" borderId="5" xfId="0" applyFont="1" applyFill="1" applyBorder="1"/>
    <xf numFmtId="0" fontId="59" fillId="6" borderId="13" xfId="0" applyFont="1" applyFill="1" applyBorder="1" applyAlignment="1">
      <alignment horizontal="right"/>
    </xf>
    <xf numFmtId="3" fontId="60" fillId="6" borderId="7" xfId="0" applyNumberFormat="1" applyFont="1" applyFill="1" applyBorder="1" applyAlignment="1">
      <alignment horizontal="center"/>
    </xf>
    <xf numFmtId="0" fontId="59" fillId="6" borderId="8" xfId="0" applyFont="1" applyFill="1" applyBorder="1" applyAlignment="1">
      <alignment horizontal="left"/>
    </xf>
    <xf numFmtId="0" fontId="92" fillId="0" borderId="5" xfId="0" applyFont="1" applyBorder="1" applyAlignment="1">
      <alignment horizontal="center"/>
    </xf>
    <xf numFmtId="169" fontId="59" fillId="6" borderId="1" xfId="0" applyNumberFormat="1" applyFont="1" applyFill="1" applyBorder="1" applyAlignment="1">
      <alignment horizontal="center"/>
    </xf>
    <xf numFmtId="0" fontId="59" fillId="6" borderId="13" xfId="0" applyFont="1" applyFill="1" applyBorder="1" applyAlignment="1">
      <alignment horizontal="left"/>
    </xf>
    <xf numFmtId="9" fontId="84" fillId="14" borderId="13" xfId="0" applyNumberFormat="1" applyFont="1" applyFill="1" applyBorder="1" applyAlignment="1">
      <alignment horizontal="left"/>
    </xf>
    <xf numFmtId="0" fontId="65" fillId="14" borderId="5" xfId="0" applyFont="1" applyFill="1" applyBorder="1" applyAlignment="1">
      <alignment horizontal="left"/>
    </xf>
    <xf numFmtId="166" fontId="0" fillId="0" borderId="1" xfId="0" applyNumberFormat="1" applyBorder="1"/>
    <xf numFmtId="0" fontId="0" fillId="0" borderId="7" xfId="0" applyBorder="1" applyAlignment="1">
      <alignment horizontal="left"/>
    </xf>
    <xf numFmtId="166" fontId="21" fillId="0" borderId="5" xfId="0" applyNumberFormat="1" applyFont="1" applyBorder="1"/>
    <xf numFmtId="9" fontId="5" fillId="14" borderId="5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3" fontId="41" fillId="6" borderId="1" xfId="0" applyNumberFormat="1" applyFont="1" applyFill="1" applyBorder="1" applyAlignment="1">
      <alignment horizontal="center" wrapText="1"/>
    </xf>
    <xf numFmtId="0" fontId="83" fillId="0" borderId="1" xfId="0" applyFont="1" applyBorder="1"/>
    <xf numFmtId="170" fontId="41" fillId="6" borderId="1" xfId="0" applyNumberFormat="1" applyFont="1" applyFill="1" applyBorder="1" applyAlignment="1">
      <alignment horizontal="center" wrapText="1"/>
    </xf>
    <xf numFmtId="0" fontId="88" fillId="0" borderId="6" xfId="0" applyFont="1" applyBorder="1"/>
    <xf numFmtId="3" fontId="41" fillId="6" borderId="2" xfId="0" applyNumberFormat="1" applyFont="1" applyFill="1" applyBorder="1" applyAlignment="1">
      <alignment horizontal="center" wrapText="1"/>
    </xf>
    <xf numFmtId="0" fontId="82" fillId="0" borderId="5" xfId="0" applyFont="1" applyBorder="1"/>
    <xf numFmtId="0" fontId="59" fillId="14" borderId="8" xfId="0" applyFont="1" applyFill="1" applyBorder="1" applyAlignment="1">
      <alignment horizontal="right"/>
    </xf>
    <xf numFmtId="170" fontId="59" fillId="14" borderId="5" xfId="0" applyNumberFormat="1" applyFont="1" applyFill="1" applyBorder="1" applyAlignment="1">
      <alignment horizontal="right"/>
    </xf>
    <xf numFmtId="3" fontId="65" fillId="11" borderId="5" xfId="0" applyNumberFormat="1" applyFont="1" applyFill="1" applyBorder="1" applyAlignment="1">
      <alignment horizontal="center"/>
    </xf>
    <xf numFmtId="3" fontId="65" fillId="11" borderId="14" xfId="0" applyNumberFormat="1" applyFont="1" applyFill="1" applyBorder="1" applyAlignment="1">
      <alignment horizontal="center"/>
    </xf>
    <xf numFmtId="0" fontId="41" fillId="14" borderId="3" xfId="0" applyFont="1" applyFill="1" applyBorder="1"/>
    <xf numFmtId="0" fontId="97" fillId="14" borderId="14" xfId="0" applyFont="1" applyFill="1" applyBorder="1" applyAlignment="1">
      <alignment horizontal="center"/>
    </xf>
    <xf numFmtId="9" fontId="3" fillId="14" borderId="14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9" fontId="3" fillId="6" borderId="2" xfId="0" applyNumberFormat="1" applyFont="1" applyFill="1" applyBorder="1" applyAlignment="1">
      <alignment horizontal="center"/>
    </xf>
    <xf numFmtId="166" fontId="65" fillId="11" borderId="1" xfId="0" applyNumberFormat="1" applyFont="1" applyFill="1" applyBorder="1" applyAlignment="1">
      <alignment horizontal="center"/>
    </xf>
    <xf numFmtId="3" fontId="65" fillId="11" borderId="1" xfId="0" applyNumberFormat="1" applyFont="1" applyFill="1" applyBorder="1" applyAlignment="1">
      <alignment horizontal="center"/>
    </xf>
    <xf numFmtId="166" fontId="65" fillId="11" borderId="1" xfId="0" applyNumberFormat="1" applyFont="1" applyFill="1" applyBorder="1" applyAlignment="1">
      <alignment horizontal="right"/>
    </xf>
    <xf numFmtId="166" fontId="65" fillId="11" borderId="1" xfId="0" applyNumberFormat="1" applyFont="1" applyFill="1" applyBorder="1"/>
    <xf numFmtId="170" fontId="5" fillId="14" borderId="5" xfId="0" applyNumberFormat="1" applyFont="1" applyFill="1" applyBorder="1" applyAlignment="1">
      <alignment horizontal="right"/>
    </xf>
    <xf numFmtId="170" fontId="59" fillId="6" borderId="1" xfId="0" applyNumberFormat="1" applyFont="1" applyFill="1" applyBorder="1" applyAlignment="1">
      <alignment horizontal="center"/>
    </xf>
    <xf numFmtId="170" fontId="0" fillId="0" borderId="1" xfId="0" applyNumberFormat="1" applyBorder="1"/>
    <xf numFmtId="0" fontId="59" fillId="16" borderId="6" xfId="0" applyFont="1" applyFill="1" applyBorder="1"/>
    <xf numFmtId="3" fontId="84" fillId="16" borderId="8" xfId="0" applyNumberFormat="1" applyFont="1" applyFill="1" applyBorder="1" applyAlignment="1">
      <alignment horizontal="center"/>
    </xf>
    <xf numFmtId="0" fontId="90" fillId="6" borderId="1" xfId="0" applyFont="1" applyFill="1" applyBorder="1" applyAlignment="1">
      <alignment horizontal="left"/>
    </xf>
    <xf numFmtId="0" fontId="0" fillId="0" borderId="9" xfId="0" applyBorder="1"/>
    <xf numFmtId="3" fontId="41" fillId="6" borderId="9" xfId="0" applyNumberFormat="1" applyFont="1" applyFill="1" applyBorder="1" applyAlignment="1">
      <alignment horizontal="center" wrapText="1"/>
    </xf>
    <xf numFmtId="0" fontId="82" fillId="0" borderId="9" xfId="0" applyFont="1" applyBorder="1"/>
    <xf numFmtId="170" fontId="60" fillId="14" borderId="14" xfId="0" applyNumberFormat="1" applyFont="1" applyFill="1" applyBorder="1" applyAlignment="1">
      <alignment horizontal="right"/>
    </xf>
    <xf numFmtId="0" fontId="41" fillId="14" borderId="4" xfId="0" applyFont="1" applyFill="1" applyBorder="1" applyAlignment="1">
      <alignment wrapText="1"/>
    </xf>
    <xf numFmtId="0" fontId="60" fillId="14" borderId="8" xfId="0" applyFont="1" applyFill="1" applyBorder="1" applyAlignment="1">
      <alignment horizontal="left"/>
    </xf>
    <xf numFmtId="0" fontId="41" fillId="14" borderId="4" xfId="0" applyFont="1" applyFill="1" applyBorder="1"/>
    <xf numFmtId="166" fontId="60" fillId="16" borderId="6" xfId="0" applyNumberFormat="1" applyFont="1" applyFill="1" applyBorder="1" applyAlignment="1">
      <alignment horizontal="left"/>
    </xf>
    <xf numFmtId="9" fontId="3" fillId="16" borderId="8" xfId="0" applyNumberFormat="1" applyFont="1" applyFill="1" applyBorder="1" applyAlignment="1">
      <alignment horizontal="center"/>
    </xf>
    <xf numFmtId="166" fontId="3" fillId="16" borderId="6" xfId="0" applyNumberFormat="1" applyFont="1" applyFill="1" applyBorder="1" applyAlignment="1">
      <alignment horizontal="right"/>
    </xf>
    <xf numFmtId="9" fontId="59" fillId="16" borderId="0" xfId="0" applyNumberFormat="1" applyFont="1" applyFill="1" applyAlignment="1">
      <alignment horizontal="center"/>
    </xf>
    <xf numFmtId="0" fontId="59" fillId="16" borderId="9" xfId="0" applyFont="1" applyFill="1" applyBorder="1" applyAlignment="1">
      <alignment horizontal="left"/>
    </xf>
    <xf numFmtId="166" fontId="0" fillId="16" borderId="9" xfId="0" applyNumberFormat="1" applyFill="1" applyBorder="1" applyAlignment="1">
      <alignment horizontal="right"/>
    </xf>
    <xf numFmtId="0" fontId="41" fillId="14" borderId="5" xfId="0" applyFont="1" applyFill="1" applyBorder="1" applyAlignment="1">
      <alignment horizontal="left" wrapText="1"/>
    </xf>
    <xf numFmtId="0" fontId="0" fillId="14" borderId="6" xfId="0" applyFill="1" applyBorder="1" applyAlignment="1">
      <alignment horizontal="left"/>
    </xf>
    <xf numFmtId="0" fontId="22" fillId="14" borderId="1" xfId="0" applyFont="1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16" borderId="3" xfId="0" applyFill="1" applyBorder="1" applyAlignment="1">
      <alignment horizontal="left"/>
    </xf>
    <xf numFmtId="9" fontId="60" fillId="16" borderId="2" xfId="0" applyNumberFormat="1" applyFont="1" applyFill="1" applyBorder="1" applyAlignment="1">
      <alignment horizontal="center"/>
    </xf>
    <xf numFmtId="0" fontId="59" fillId="14" borderId="6" xfId="0" applyFont="1" applyFill="1" applyBorder="1" applyAlignment="1">
      <alignment horizontal="left" wrapText="1"/>
    </xf>
    <xf numFmtId="168" fontId="5" fillId="26" borderId="0" xfId="0" applyNumberFormat="1" applyFont="1" applyFill="1" applyAlignment="1">
      <alignment horizontal="right"/>
    </xf>
    <xf numFmtId="166" fontId="59" fillId="16" borderId="6" xfId="0" applyNumberFormat="1" applyFont="1" applyFill="1" applyBorder="1" applyAlignment="1">
      <alignment horizontal="right"/>
    </xf>
    <xf numFmtId="3" fontId="0" fillId="6" borderId="16" xfId="0" applyNumberFormat="1" applyFill="1" applyBorder="1"/>
    <xf numFmtId="0" fontId="0" fillId="6" borderId="5" xfId="0" applyFill="1" applyBorder="1"/>
    <xf numFmtId="9" fontId="59" fillId="0" borderId="15" xfId="0" applyNumberFormat="1" applyFont="1" applyBorder="1" applyAlignment="1">
      <alignment horizontal="center"/>
    </xf>
    <xf numFmtId="0" fontId="60" fillId="6" borderId="11" xfId="0" applyFont="1" applyFill="1" applyBorder="1" applyAlignment="1">
      <alignment horizontal="left"/>
    </xf>
    <xf numFmtId="0" fontId="57" fillId="9" borderId="5" xfId="0" applyFont="1" applyFill="1" applyBorder="1" applyAlignment="1">
      <alignment horizontal="center"/>
    </xf>
    <xf numFmtId="9" fontId="5" fillId="14" borderId="14" xfId="0" applyNumberFormat="1" applyFont="1" applyFill="1" applyBorder="1" applyAlignment="1">
      <alignment horizontal="center"/>
    </xf>
    <xf numFmtId="0" fontId="57" fillId="9" borderId="3" xfId="0" applyFont="1" applyFill="1" applyBorder="1" applyAlignment="1">
      <alignment horizontal="center"/>
    </xf>
    <xf numFmtId="0" fontId="59" fillId="0" borderId="3" xfId="0" applyFont="1" applyBorder="1" applyAlignment="1">
      <alignment horizontal="left"/>
    </xf>
    <xf numFmtId="169" fontId="59" fillId="16" borderId="3" xfId="0" applyNumberFormat="1" applyFont="1" applyFill="1" applyBorder="1" applyAlignment="1">
      <alignment horizontal="right"/>
    </xf>
    <xf numFmtId="167" fontId="60" fillId="16" borderId="2" xfId="0" applyNumberFormat="1" applyFont="1" applyFill="1" applyBorder="1" applyAlignment="1">
      <alignment horizontal="right"/>
    </xf>
    <xf numFmtId="0" fontId="41" fillId="16" borderId="11" xfId="0" applyFont="1" applyFill="1" applyBorder="1" applyAlignment="1">
      <alignment horizontal="left" wrapText="1"/>
    </xf>
    <xf numFmtId="0" fontId="101" fillId="14" borderId="1" xfId="0" applyFont="1" applyFill="1" applyBorder="1" applyAlignment="1">
      <alignment wrapText="1"/>
    </xf>
    <xf numFmtId="0" fontId="60" fillId="16" borderId="12" xfId="0" applyFont="1" applyFill="1" applyBorder="1" applyAlignment="1">
      <alignment horizontal="left" wrapText="1"/>
    </xf>
    <xf numFmtId="9" fontId="57" fillId="6" borderId="2" xfId="0" applyNumberFormat="1" applyFont="1" applyFill="1" applyBorder="1" applyAlignment="1">
      <alignment horizontal="center"/>
    </xf>
    <xf numFmtId="0" fontId="60" fillId="6" borderId="14" xfId="0" applyFont="1" applyFill="1" applyBorder="1" applyAlignment="1">
      <alignment horizontal="center"/>
    </xf>
    <xf numFmtId="0" fontId="59" fillId="16" borderId="6" xfId="0" applyFont="1" applyFill="1" applyBorder="1" applyAlignment="1">
      <alignment horizontal="left" wrapText="1"/>
    </xf>
    <xf numFmtId="0" fontId="97" fillId="16" borderId="1" xfId="0" applyFont="1" applyFill="1" applyBorder="1" applyAlignment="1">
      <alignment horizontal="center"/>
    </xf>
    <xf numFmtId="166" fontId="60" fillId="16" borderId="6" xfId="0" applyNumberFormat="1" applyFont="1" applyFill="1" applyBorder="1"/>
    <xf numFmtId="9" fontId="5" fillId="14" borderId="8" xfId="0" applyNumberFormat="1" applyFont="1" applyFill="1" applyBorder="1" applyAlignment="1">
      <alignment horizontal="center"/>
    </xf>
    <xf numFmtId="0" fontId="60" fillId="6" borderId="13" xfId="0" applyFont="1" applyFill="1" applyBorder="1" applyAlignment="1">
      <alignment horizontal="center"/>
    </xf>
    <xf numFmtId="0" fontId="54" fillId="6" borderId="9" xfId="0" applyFont="1" applyFill="1" applyBorder="1" applyAlignment="1">
      <alignment horizontal="center"/>
    </xf>
    <xf numFmtId="169" fontId="60" fillId="16" borderId="6" xfId="0" applyNumberFormat="1" applyFont="1" applyFill="1" applyBorder="1"/>
    <xf numFmtId="166" fontId="60" fillId="16" borderId="3" xfId="0" applyNumberFormat="1" applyFont="1" applyFill="1" applyBorder="1" applyAlignment="1">
      <alignment horizontal="right"/>
    </xf>
    <xf numFmtId="0" fontId="60" fillId="6" borderId="14" xfId="0" applyFont="1" applyFill="1" applyBorder="1"/>
    <xf numFmtId="166" fontId="60" fillId="16" borderId="6" xfId="0" applyNumberFormat="1" applyFont="1" applyFill="1" applyBorder="1" applyAlignment="1">
      <alignment horizontal="center"/>
    </xf>
    <xf numFmtId="0" fontId="59" fillId="14" borderId="7" xfId="0" applyFont="1" applyFill="1" applyBorder="1" applyAlignment="1">
      <alignment horizontal="left"/>
    </xf>
    <xf numFmtId="0" fontId="41" fillId="16" borderId="8" xfId="0" applyFont="1" applyFill="1" applyBorder="1" applyAlignment="1">
      <alignment horizontal="left" wrapText="1"/>
    </xf>
    <xf numFmtId="9" fontId="59" fillId="6" borderId="3" xfId="0" applyNumberFormat="1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9" fontId="57" fillId="14" borderId="11" xfId="0" applyNumberFormat="1" applyFont="1" applyFill="1" applyBorder="1" applyAlignment="1">
      <alignment horizontal="center"/>
    </xf>
    <xf numFmtId="167" fontId="60" fillId="14" borderId="9" xfId="0" applyNumberFormat="1" applyFont="1" applyFill="1" applyBorder="1" applyAlignment="1">
      <alignment horizontal="right"/>
    </xf>
    <xf numFmtId="0" fontId="3" fillId="16" borderId="2" xfId="0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9" fontId="5" fillId="14" borderId="13" xfId="0" applyNumberFormat="1" applyFont="1" applyFill="1" applyBorder="1" applyAlignment="1">
      <alignment horizontal="center"/>
    </xf>
    <xf numFmtId="167" fontId="57" fillId="16" borderId="1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right"/>
    </xf>
    <xf numFmtId="0" fontId="3" fillId="16" borderId="7" xfId="0" applyFont="1" applyFill="1" applyBorder="1" applyAlignment="1">
      <alignment horizontal="center"/>
    </xf>
    <xf numFmtId="0" fontId="57" fillId="6" borderId="3" xfId="0" applyFont="1" applyFill="1" applyBorder="1"/>
    <xf numFmtId="166" fontId="3" fillId="6" borderId="9" xfId="0" applyNumberFormat="1" applyFont="1" applyFill="1" applyBorder="1" applyAlignment="1">
      <alignment horizontal="center"/>
    </xf>
    <xf numFmtId="3" fontId="3" fillId="6" borderId="9" xfId="0" applyNumberFormat="1" applyFont="1" applyFill="1" applyBorder="1" applyAlignment="1">
      <alignment horizontal="center"/>
    </xf>
    <xf numFmtId="0" fontId="60" fillId="14" borderId="14" xfId="0" applyFont="1" applyFill="1" applyBorder="1"/>
    <xf numFmtId="9" fontId="59" fillId="14" borderId="7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97" fillId="14" borderId="9" xfId="0" applyFont="1" applyFill="1" applyBorder="1" applyAlignment="1">
      <alignment horizontal="center"/>
    </xf>
    <xf numFmtId="3" fontId="41" fillId="6" borderId="13" xfId="0" applyNumberFormat="1" applyFont="1" applyFill="1" applyBorder="1" applyAlignment="1">
      <alignment horizontal="center" wrapText="1"/>
    </xf>
    <xf numFmtId="0" fontId="0" fillId="6" borderId="14" xfId="0" applyFill="1" applyBorder="1" applyAlignment="1">
      <alignment horizontal="center"/>
    </xf>
    <xf numFmtId="9" fontId="60" fillId="14" borderId="0" xfId="0" applyNumberFormat="1" applyFont="1" applyFill="1" applyAlignment="1">
      <alignment horizontal="left"/>
    </xf>
    <xf numFmtId="170" fontId="59" fillId="14" borderId="6" xfId="0" applyNumberFormat="1" applyFont="1" applyFill="1" applyBorder="1" applyAlignment="1">
      <alignment horizontal="center"/>
    </xf>
    <xf numFmtId="170" fontId="60" fillId="14" borderId="9" xfId="0" applyNumberFormat="1" applyFont="1" applyFill="1" applyBorder="1" applyAlignment="1">
      <alignment horizontal="center" wrapText="1"/>
    </xf>
    <xf numFmtId="170" fontId="41" fillId="14" borderId="9" xfId="0" applyNumberFormat="1" applyFont="1" applyFill="1" applyBorder="1" applyAlignment="1">
      <alignment horizontal="center"/>
    </xf>
    <xf numFmtId="0" fontId="41" fillId="14" borderId="6" xfId="0" applyFont="1" applyFill="1" applyBorder="1" applyAlignment="1">
      <alignment horizontal="left"/>
    </xf>
    <xf numFmtId="170" fontId="60" fillId="14" borderId="9" xfId="0" applyNumberFormat="1" applyFont="1" applyFill="1" applyBorder="1" applyAlignment="1">
      <alignment horizontal="right"/>
    </xf>
    <xf numFmtId="170" fontId="60" fillId="6" borderId="1" xfId="0" applyNumberFormat="1" applyFont="1" applyFill="1" applyBorder="1" applyAlignment="1">
      <alignment horizontal="right"/>
    </xf>
    <xf numFmtId="170" fontId="59" fillId="6" borderId="1" xfId="0" applyNumberFormat="1" applyFont="1" applyFill="1" applyBorder="1" applyAlignment="1">
      <alignment horizontal="right"/>
    </xf>
    <xf numFmtId="170" fontId="60" fillId="6" borderId="2" xfId="0" applyNumberFormat="1" applyFont="1" applyFill="1" applyBorder="1" applyAlignment="1">
      <alignment horizontal="right"/>
    </xf>
    <xf numFmtId="170" fontId="60" fillId="6" borderId="3" xfId="0" applyNumberFormat="1" applyFont="1" applyFill="1" applyBorder="1"/>
    <xf numFmtId="170" fontId="57" fillId="9" borderId="1" xfId="0" applyNumberFormat="1" applyFont="1" applyFill="1" applyBorder="1" applyAlignment="1">
      <alignment horizontal="right"/>
    </xf>
    <xf numFmtId="170" fontId="60" fillId="6" borderId="1" xfId="0" applyNumberFormat="1" applyFont="1" applyFill="1" applyBorder="1"/>
    <xf numFmtId="170" fontId="60" fillId="6" borderId="5" xfId="0" applyNumberFormat="1" applyFont="1" applyFill="1" applyBorder="1"/>
    <xf numFmtId="170" fontId="57" fillId="7" borderId="1" xfId="0" applyNumberFormat="1" applyFont="1" applyFill="1" applyBorder="1" applyAlignment="1">
      <alignment horizontal="right"/>
    </xf>
    <xf numFmtId="170" fontId="59" fillId="14" borderId="14" xfId="0" applyNumberFormat="1" applyFont="1" applyFill="1" applyBorder="1" applyAlignment="1">
      <alignment horizontal="right"/>
    </xf>
    <xf numFmtId="170" fontId="3" fillId="14" borderId="5" xfId="0" applyNumberFormat="1" applyFont="1" applyFill="1" applyBorder="1" applyAlignment="1">
      <alignment horizontal="right"/>
    </xf>
    <xf numFmtId="170" fontId="59" fillId="6" borderId="6" xfId="0" applyNumberFormat="1" applyFont="1" applyFill="1" applyBorder="1" applyAlignment="1">
      <alignment horizontal="right"/>
    </xf>
    <xf numFmtId="170" fontId="3" fillId="6" borderId="1" xfId="0" applyNumberFormat="1" applyFont="1" applyFill="1" applyBorder="1" applyAlignment="1">
      <alignment horizontal="center"/>
    </xf>
    <xf numFmtId="170" fontId="60" fillId="6" borderId="6" xfId="0" applyNumberFormat="1" applyFont="1" applyFill="1" applyBorder="1"/>
    <xf numFmtId="170" fontId="59" fillId="0" borderId="1" xfId="0" applyNumberFormat="1" applyFont="1" applyBorder="1"/>
    <xf numFmtId="170" fontId="60" fillId="14" borderId="3" xfId="0" applyNumberFormat="1" applyFont="1" applyFill="1" applyBorder="1" applyAlignment="1">
      <alignment horizontal="right"/>
    </xf>
    <xf numFmtId="170" fontId="60" fillId="6" borderId="5" xfId="0" applyNumberFormat="1" applyFont="1" applyFill="1" applyBorder="1" applyAlignment="1">
      <alignment horizontal="right"/>
    </xf>
    <xf numFmtId="9" fontId="60" fillId="6" borderId="14" xfId="0" applyNumberFormat="1" applyFont="1" applyFill="1" applyBorder="1" applyAlignment="1">
      <alignment horizontal="center"/>
    </xf>
    <xf numFmtId="9" fontId="3" fillId="6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3" fontId="0" fillId="6" borderId="16" xfId="0" applyNumberFormat="1" applyFill="1" applyBorder="1" applyAlignment="1">
      <alignment horizontal="right"/>
    </xf>
    <xf numFmtId="0" fontId="0" fillId="6" borderId="16" xfId="0" applyFill="1" applyBorder="1" applyAlignment="1">
      <alignment horizontal="right"/>
    </xf>
    <xf numFmtId="170" fontId="60" fillId="16" borderId="5" xfId="0" applyNumberFormat="1" applyFont="1" applyFill="1" applyBorder="1"/>
    <xf numFmtId="170" fontId="59" fillId="14" borderId="3" xfId="0" applyNumberFormat="1" applyFont="1" applyFill="1" applyBorder="1" applyAlignment="1">
      <alignment horizontal="right"/>
    </xf>
    <xf numFmtId="170" fontId="60" fillId="16" borderId="6" xfId="0" applyNumberFormat="1" applyFont="1" applyFill="1" applyBorder="1"/>
    <xf numFmtId="0" fontId="59" fillId="6" borderId="5" xfId="0" applyFont="1" applyFill="1" applyBorder="1" applyAlignment="1">
      <alignment horizontal="left" wrapText="1"/>
    </xf>
    <xf numFmtId="9" fontId="5" fillId="14" borderId="15" xfId="0" applyNumberFormat="1" applyFont="1" applyFill="1" applyBorder="1" applyAlignment="1">
      <alignment horizontal="center"/>
    </xf>
    <xf numFmtId="166" fontId="60" fillId="14" borderId="9" xfId="0" applyNumberFormat="1" applyFont="1" applyFill="1" applyBorder="1" applyAlignment="1">
      <alignment horizontal="left"/>
    </xf>
    <xf numFmtId="0" fontId="41" fillId="0" borderId="5" xfId="0" applyFont="1" applyBorder="1" applyAlignment="1">
      <alignment wrapText="1"/>
    </xf>
    <xf numFmtId="9" fontId="103" fillId="14" borderId="1" xfId="0" applyNumberFormat="1" applyFont="1" applyFill="1" applyBorder="1" applyAlignment="1">
      <alignment horizontal="center"/>
    </xf>
    <xf numFmtId="9" fontId="103" fillId="14" borderId="14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9" fontId="60" fillId="6" borderId="0" xfId="0" applyNumberFormat="1" applyFont="1" applyFill="1" applyAlignment="1">
      <alignment horizontal="left"/>
    </xf>
    <xf numFmtId="170" fontId="60" fillId="6" borderId="9" xfId="0" applyNumberFormat="1" applyFont="1" applyFill="1" applyBorder="1" applyAlignment="1">
      <alignment horizontal="center" wrapText="1"/>
    </xf>
    <xf numFmtId="9" fontId="5" fillId="6" borderId="3" xfId="0" applyNumberFormat="1" applyFont="1" applyFill="1" applyBorder="1" applyAlignment="1">
      <alignment horizontal="center"/>
    </xf>
    <xf numFmtId="0" fontId="41" fillId="14" borderId="8" xfId="0" applyFont="1" applyFill="1" applyBorder="1" applyAlignment="1">
      <alignment horizontal="left" wrapText="1"/>
    </xf>
    <xf numFmtId="166" fontId="59" fillId="14" borderId="3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9" fontId="3" fillId="14" borderId="15" xfId="0" applyNumberFormat="1" applyFont="1" applyFill="1" applyBorder="1" applyAlignment="1">
      <alignment horizontal="center"/>
    </xf>
    <xf numFmtId="170" fontId="59" fillId="16" borderId="5" xfId="0" applyNumberFormat="1" applyFont="1" applyFill="1" applyBorder="1" applyAlignment="1">
      <alignment horizontal="right"/>
    </xf>
    <xf numFmtId="169" fontId="60" fillId="16" borderId="5" xfId="0" applyNumberFormat="1" applyFont="1" applyFill="1" applyBorder="1"/>
    <xf numFmtId="9" fontId="60" fillId="16" borderId="6" xfId="0" applyNumberFormat="1" applyFont="1" applyFill="1" applyBorder="1" applyAlignment="1">
      <alignment horizontal="center"/>
    </xf>
    <xf numFmtId="0" fontId="3" fillId="16" borderId="13" xfId="0" applyFont="1" applyFill="1" applyBorder="1" applyAlignment="1">
      <alignment horizontal="center"/>
    </xf>
    <xf numFmtId="9" fontId="60" fillId="16" borderId="0" xfId="0" applyNumberFormat="1" applyFont="1" applyFill="1" applyAlignment="1">
      <alignment horizontal="center"/>
    </xf>
    <xf numFmtId="0" fontId="60" fillId="14" borderId="4" xfId="0" applyFont="1" applyFill="1" applyBorder="1" applyAlignment="1">
      <alignment horizontal="left" wrapText="1"/>
    </xf>
    <xf numFmtId="170" fontId="60" fillId="14" borderId="11" xfId="0" applyNumberFormat="1" applyFont="1" applyFill="1" applyBorder="1"/>
    <xf numFmtId="166" fontId="3" fillId="16" borderId="3" xfId="0" applyNumberFormat="1" applyFont="1" applyFill="1" applyBorder="1" applyAlignment="1">
      <alignment horizontal="center"/>
    </xf>
    <xf numFmtId="170" fontId="60" fillId="16" borderId="1" xfId="0" applyNumberFormat="1" applyFont="1" applyFill="1" applyBorder="1"/>
    <xf numFmtId="170" fontId="60" fillId="16" borderId="1" xfId="0" applyNumberFormat="1" applyFont="1" applyFill="1" applyBorder="1" applyAlignment="1">
      <alignment horizontal="right"/>
    </xf>
    <xf numFmtId="170" fontId="5" fillId="14" borderId="14" xfId="0" applyNumberFormat="1" applyFont="1" applyFill="1" applyBorder="1" applyAlignment="1">
      <alignment horizontal="right"/>
    </xf>
    <xf numFmtId="170" fontId="41" fillId="6" borderId="9" xfId="0" applyNumberFormat="1" applyFont="1" applyFill="1" applyBorder="1" applyAlignment="1">
      <alignment horizontal="center"/>
    </xf>
    <xf numFmtId="0" fontId="41" fillId="6" borderId="1" xfId="0" applyFont="1" applyFill="1" applyBorder="1"/>
    <xf numFmtId="0" fontId="23" fillId="6" borderId="0" xfId="0" applyFont="1" applyFill="1" applyAlignment="1">
      <alignment horizontal="center"/>
    </xf>
    <xf numFmtId="170" fontId="59" fillId="6" borderId="6" xfId="0" applyNumberFormat="1" applyFont="1" applyFill="1" applyBorder="1" applyAlignment="1">
      <alignment horizontal="center"/>
    </xf>
    <xf numFmtId="0" fontId="59" fillId="16" borderId="3" xfId="0" applyFont="1" applyFill="1" applyBorder="1" applyAlignment="1">
      <alignment horizontal="left"/>
    </xf>
    <xf numFmtId="170" fontId="60" fillId="14" borderId="6" xfId="0" applyNumberFormat="1" applyFont="1" applyFill="1" applyBorder="1" applyAlignment="1">
      <alignment horizontal="center"/>
    </xf>
    <xf numFmtId="170" fontId="3" fillId="14" borderId="3" xfId="0" applyNumberFormat="1" applyFont="1" applyFill="1" applyBorder="1" applyAlignment="1">
      <alignment horizontal="center"/>
    </xf>
    <xf numFmtId="0" fontId="3" fillId="14" borderId="11" xfId="0" applyFont="1" applyFill="1" applyBorder="1" applyAlignment="1">
      <alignment horizontal="center"/>
    </xf>
    <xf numFmtId="170" fontId="3" fillId="14" borderId="9" xfId="0" applyNumberFormat="1" applyFont="1" applyFill="1" applyBorder="1" applyAlignment="1">
      <alignment horizontal="center"/>
    </xf>
    <xf numFmtId="9" fontId="103" fillId="14" borderId="13" xfId="0" applyNumberFormat="1" applyFont="1" applyFill="1" applyBorder="1" applyAlignment="1">
      <alignment horizontal="center"/>
    </xf>
    <xf numFmtId="169" fontId="59" fillId="6" borderId="6" xfId="0" applyNumberFormat="1" applyFont="1" applyFill="1" applyBorder="1"/>
    <xf numFmtId="0" fontId="102" fillId="14" borderId="0" xfId="0" applyFont="1" applyFill="1" applyAlignment="1">
      <alignment horizontal="center"/>
    </xf>
    <xf numFmtId="9" fontId="57" fillId="14" borderId="2" xfId="0" applyNumberFormat="1" applyFont="1" applyFill="1" applyBorder="1" applyAlignment="1">
      <alignment horizontal="center"/>
    </xf>
    <xf numFmtId="170" fontId="60" fillId="14" borderId="8" xfId="0" applyNumberFormat="1" applyFont="1" applyFill="1" applyBorder="1" applyAlignment="1">
      <alignment horizontal="center"/>
    </xf>
    <xf numFmtId="9" fontId="3" fillId="14" borderId="9" xfId="0" applyNumberFormat="1" applyFont="1" applyFill="1" applyBorder="1" applyAlignment="1">
      <alignment horizontal="center"/>
    </xf>
    <xf numFmtId="166" fontId="0" fillId="14" borderId="9" xfId="0" applyNumberFormat="1" applyFill="1" applyBorder="1" applyAlignment="1">
      <alignment horizontal="center"/>
    </xf>
    <xf numFmtId="170" fontId="0" fillId="14" borderId="14" xfId="0" applyNumberFormat="1" applyFill="1" applyBorder="1" applyAlignment="1">
      <alignment horizontal="center"/>
    </xf>
    <xf numFmtId="9" fontId="3" fillId="14" borderId="5" xfId="0" applyNumberFormat="1" applyFont="1" applyFill="1" applyBorder="1" applyAlignment="1">
      <alignment horizontal="center"/>
    </xf>
    <xf numFmtId="9" fontId="104" fillId="14" borderId="6" xfId="0" applyNumberFormat="1" applyFont="1" applyFill="1" applyBorder="1" applyAlignment="1">
      <alignment horizontal="center"/>
    </xf>
    <xf numFmtId="9" fontId="77" fillId="14" borderId="0" xfId="0" applyNumberFormat="1" applyFont="1" applyFill="1" applyAlignment="1">
      <alignment horizontal="center"/>
    </xf>
    <xf numFmtId="170" fontId="60" fillId="14" borderId="9" xfId="0" applyNumberFormat="1" applyFont="1" applyFill="1" applyBorder="1" applyAlignment="1">
      <alignment horizontal="center"/>
    </xf>
    <xf numFmtId="0" fontId="59" fillId="14" borderId="1" xfId="0" applyFont="1" applyFill="1" applyBorder="1" applyAlignment="1">
      <alignment horizontal="left" wrapText="1"/>
    </xf>
    <xf numFmtId="0" fontId="41" fillId="14" borderId="12" xfId="0" applyFont="1" applyFill="1" applyBorder="1"/>
    <xf numFmtId="0" fontId="41" fillId="14" borderId="8" xfId="0" applyFont="1" applyFill="1" applyBorder="1"/>
    <xf numFmtId="0" fontId="41" fillId="14" borderId="7" xfId="0" applyFont="1" applyFill="1" applyBorder="1" applyAlignment="1">
      <alignment wrapText="1"/>
    </xf>
    <xf numFmtId="166" fontId="59" fillId="14" borderId="9" xfId="0" applyNumberFormat="1" applyFont="1" applyFill="1" applyBorder="1" applyAlignment="1">
      <alignment horizontal="right"/>
    </xf>
    <xf numFmtId="170" fontId="5" fillId="14" borderId="6" xfId="0" applyNumberFormat="1" applyFont="1" applyFill="1" applyBorder="1" applyAlignment="1">
      <alignment horizontal="right"/>
    </xf>
    <xf numFmtId="170" fontId="60" fillId="14" borderId="4" xfId="0" applyNumberFormat="1" applyFont="1" applyFill="1" applyBorder="1"/>
    <xf numFmtId="170" fontId="60" fillId="14" borderId="13" xfId="0" applyNumberFormat="1" applyFont="1" applyFill="1" applyBorder="1" applyAlignment="1">
      <alignment horizontal="center"/>
    </xf>
    <xf numFmtId="0" fontId="60" fillId="16" borderId="5" xfId="0" applyFont="1" applyFill="1" applyBorder="1" applyAlignment="1">
      <alignment horizontal="left" wrapText="1"/>
    </xf>
    <xf numFmtId="9" fontId="60" fillId="16" borderId="13" xfId="0" applyNumberFormat="1" applyFont="1" applyFill="1" applyBorder="1" applyAlignment="1">
      <alignment horizontal="left"/>
    </xf>
    <xf numFmtId="170" fontId="60" fillId="6" borderId="13" xfId="0" applyNumberFormat="1" applyFont="1" applyFill="1" applyBorder="1" applyAlignment="1">
      <alignment horizontal="center"/>
    </xf>
    <xf numFmtId="0" fontId="60" fillId="6" borderId="8" xfId="0" applyFont="1" applyFill="1" applyBorder="1" applyAlignment="1">
      <alignment horizontal="center"/>
    </xf>
    <xf numFmtId="9" fontId="59" fillId="0" borderId="6" xfId="0" applyNumberFormat="1" applyFont="1" applyBorder="1" applyAlignment="1">
      <alignment horizontal="center"/>
    </xf>
    <xf numFmtId="170" fontId="60" fillId="14" borderId="9" xfId="0" applyNumberFormat="1" applyFont="1" applyFill="1" applyBorder="1"/>
    <xf numFmtId="166" fontId="59" fillId="6" borderId="4" xfId="0" applyNumberFormat="1" applyFont="1" applyFill="1" applyBorder="1" applyAlignment="1">
      <alignment horizontal="right"/>
    </xf>
    <xf numFmtId="9" fontId="77" fillId="14" borderId="6" xfId="0" applyNumberFormat="1" applyFont="1" applyFill="1" applyBorder="1" applyAlignment="1">
      <alignment horizontal="center"/>
    </xf>
    <xf numFmtId="166" fontId="13" fillId="6" borderId="1" xfId="0" applyNumberFormat="1" applyFont="1" applyFill="1" applyBorder="1" applyAlignment="1">
      <alignment horizontal="right"/>
    </xf>
    <xf numFmtId="166" fontId="105" fillId="0" borderId="1" xfId="0" applyNumberFormat="1" applyFont="1" applyBorder="1"/>
    <xf numFmtId="9" fontId="77" fillId="14" borderId="9" xfId="0" applyNumberFormat="1" applyFont="1" applyFill="1" applyBorder="1" applyAlignment="1">
      <alignment horizontal="center"/>
    </xf>
    <xf numFmtId="9" fontId="84" fillId="14" borderId="1" xfId="0" applyNumberFormat="1" applyFont="1" applyFill="1" applyBorder="1" applyAlignment="1">
      <alignment horizontal="center"/>
    </xf>
    <xf numFmtId="9" fontId="84" fillId="6" borderId="1" xfId="0" applyNumberFormat="1" applyFont="1" applyFill="1" applyBorder="1" applyAlignment="1">
      <alignment horizontal="center"/>
    </xf>
    <xf numFmtId="9" fontId="106" fillId="14" borderId="1" xfId="0" applyNumberFormat="1" applyFont="1" applyFill="1" applyBorder="1" applyAlignment="1">
      <alignment horizontal="center"/>
    </xf>
    <xf numFmtId="170" fontId="57" fillId="14" borderId="1" xfId="0" applyNumberFormat="1" applyFont="1" applyFill="1" applyBorder="1" applyAlignment="1">
      <alignment horizontal="center"/>
    </xf>
    <xf numFmtId="170" fontId="60" fillId="16" borderId="6" xfId="0" applyNumberFormat="1" applyFont="1" applyFill="1" applyBorder="1" applyAlignment="1">
      <alignment horizontal="right"/>
    </xf>
    <xf numFmtId="0" fontId="4" fillId="0" borderId="12" xfId="0" applyFont="1" applyBorder="1"/>
    <xf numFmtId="0" fontId="9" fillId="16" borderId="8" xfId="0" applyFont="1" applyFill="1" applyBorder="1" applyAlignment="1">
      <alignment horizontal="center"/>
    </xf>
    <xf numFmtId="167" fontId="55" fillId="8" borderId="1" xfId="0" applyNumberFormat="1" applyFont="1" applyFill="1" applyBorder="1" applyAlignment="1">
      <alignment horizontal="center"/>
    </xf>
    <xf numFmtId="3" fontId="0" fillId="0" borderId="0" xfId="0" applyNumberFormat="1"/>
    <xf numFmtId="3" fontId="59" fillId="6" borderId="1" xfId="0" applyNumberFormat="1" applyFont="1" applyFill="1" applyBorder="1" applyAlignment="1">
      <alignment horizontal="center"/>
    </xf>
    <xf numFmtId="9" fontId="59" fillId="16" borderId="6" xfId="0" applyNumberFormat="1" applyFont="1" applyFill="1" applyBorder="1" applyAlignment="1">
      <alignment horizontal="center"/>
    </xf>
    <xf numFmtId="9" fontId="59" fillId="16" borderId="3" xfId="0" applyNumberFormat="1" applyFont="1" applyFill="1" applyBorder="1" applyAlignment="1">
      <alignment horizontal="center"/>
    </xf>
    <xf numFmtId="0" fontId="4" fillId="16" borderId="12" xfId="0" applyFont="1" applyFill="1" applyBorder="1"/>
    <xf numFmtId="0" fontId="41" fillId="14" borderId="3" xfId="0" applyFont="1" applyFill="1" applyBorder="1" applyAlignment="1">
      <alignment horizontal="left" wrapText="1"/>
    </xf>
    <xf numFmtId="9" fontId="9" fillId="14" borderId="8" xfId="0" applyNumberFormat="1" applyFont="1" applyFill="1" applyBorder="1" applyAlignment="1">
      <alignment horizontal="center"/>
    </xf>
    <xf numFmtId="9" fontId="60" fillId="16" borderId="14" xfId="0" applyNumberFormat="1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170" fontId="59" fillId="16" borderId="6" xfId="0" applyNumberFormat="1" applyFont="1" applyFill="1" applyBorder="1" applyAlignment="1">
      <alignment horizontal="right"/>
    </xf>
    <xf numFmtId="9" fontId="9" fillId="14" borderId="9" xfId="0" applyNumberFormat="1" applyFont="1" applyFill="1" applyBorder="1" applyAlignment="1">
      <alignment horizontal="center"/>
    </xf>
    <xf numFmtId="9" fontId="9" fillId="14" borderId="14" xfId="0" applyNumberFormat="1" applyFont="1" applyFill="1" applyBorder="1" applyAlignment="1">
      <alignment horizontal="center"/>
    </xf>
    <xf numFmtId="3" fontId="9" fillId="16" borderId="6" xfId="0" applyNumberFormat="1" applyFont="1" applyFill="1" applyBorder="1" applyAlignment="1">
      <alignment horizontal="center"/>
    </xf>
    <xf numFmtId="170" fontId="59" fillId="16" borderId="1" xfId="0" applyNumberFormat="1" applyFont="1" applyFill="1" applyBorder="1" applyAlignment="1">
      <alignment horizontal="right"/>
    </xf>
    <xf numFmtId="0" fontId="9" fillId="16" borderId="12" xfId="0" applyFont="1" applyFill="1" applyBorder="1" applyAlignment="1">
      <alignment horizontal="center"/>
    </xf>
    <xf numFmtId="0" fontId="41" fillId="16" borderId="5" xfId="0" applyFont="1" applyFill="1" applyBorder="1" applyAlignment="1">
      <alignment horizontal="left" wrapText="1"/>
    </xf>
    <xf numFmtId="0" fontId="5" fillId="16" borderId="1" xfId="0" applyFont="1" applyFill="1" applyBorder="1" applyAlignment="1">
      <alignment horizontal="left" wrapText="1"/>
    </xf>
    <xf numFmtId="170" fontId="59" fillId="16" borderId="6" xfId="0" applyNumberFormat="1" applyFont="1" applyFill="1" applyBorder="1"/>
    <xf numFmtId="170" fontId="59" fillId="6" borderId="1" xfId="0" applyNumberFormat="1" applyFont="1" applyFill="1" applyBorder="1"/>
    <xf numFmtId="169" fontId="60" fillId="6" borderId="1" xfId="0" applyNumberFormat="1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170" fontId="60" fillId="6" borderId="3" xfId="0" applyNumberFormat="1" applyFont="1" applyFill="1" applyBorder="1" applyAlignment="1">
      <alignment horizontal="center"/>
    </xf>
    <xf numFmtId="170" fontId="59" fillId="16" borderId="1" xfId="0" applyNumberFormat="1" applyFont="1" applyFill="1" applyBorder="1"/>
    <xf numFmtId="3" fontId="3" fillId="16" borderId="13" xfId="0" applyNumberFormat="1" applyFont="1" applyFill="1" applyBorder="1" applyAlignment="1">
      <alignment horizontal="center"/>
    </xf>
    <xf numFmtId="169" fontId="60" fillId="6" borderId="6" xfId="0" applyNumberFormat="1" applyFont="1" applyFill="1" applyBorder="1" applyAlignment="1">
      <alignment horizontal="center"/>
    </xf>
    <xf numFmtId="170" fontId="59" fillId="14" borderId="3" xfId="0" applyNumberFormat="1" applyFont="1" applyFill="1" applyBorder="1"/>
    <xf numFmtId="170" fontId="60" fillId="16" borderId="14" xfId="0" applyNumberFormat="1" applyFont="1" applyFill="1" applyBorder="1"/>
    <xf numFmtId="170" fontId="60" fillId="16" borderId="3" xfId="0" applyNumberFormat="1" applyFont="1" applyFill="1" applyBorder="1"/>
    <xf numFmtId="170" fontId="59" fillId="14" borderId="1" xfId="0" applyNumberFormat="1" applyFont="1" applyFill="1" applyBorder="1" applyAlignment="1">
      <alignment wrapText="1"/>
    </xf>
    <xf numFmtId="169" fontId="60" fillId="14" borderId="6" xfId="0" applyNumberFormat="1" applyFont="1" applyFill="1" applyBorder="1" applyAlignment="1">
      <alignment horizontal="center"/>
    </xf>
    <xf numFmtId="9" fontId="9" fillId="14" borderId="15" xfId="0" applyNumberFormat="1" applyFont="1" applyFill="1" applyBorder="1" applyAlignment="1">
      <alignment horizontal="center"/>
    </xf>
    <xf numFmtId="170" fontId="60" fillId="14" borderId="6" xfId="0" applyNumberFormat="1" applyFont="1" applyFill="1" applyBorder="1" applyAlignment="1">
      <alignment wrapText="1"/>
    </xf>
    <xf numFmtId="169" fontId="60" fillId="14" borderId="5" xfId="0" applyNumberFormat="1" applyFont="1" applyFill="1" applyBorder="1" applyAlignment="1">
      <alignment horizontal="center"/>
    </xf>
    <xf numFmtId="169" fontId="60" fillId="14" borderId="3" xfId="0" applyNumberFormat="1" applyFont="1" applyFill="1" applyBorder="1" applyAlignment="1">
      <alignment horizontal="center"/>
    </xf>
    <xf numFmtId="169" fontId="60" fillId="14" borderId="1" xfId="0" applyNumberFormat="1" applyFont="1" applyFill="1" applyBorder="1" applyAlignment="1">
      <alignment horizontal="center"/>
    </xf>
    <xf numFmtId="170" fontId="59" fillId="6" borderId="1" xfId="0" applyNumberFormat="1" applyFont="1" applyFill="1" applyBorder="1" applyAlignment="1">
      <alignment horizontal="left"/>
    </xf>
    <xf numFmtId="0" fontId="60" fillId="6" borderId="14" xfId="0" applyFont="1" applyFill="1" applyBorder="1" applyAlignment="1">
      <alignment horizontal="left" wrapText="1"/>
    </xf>
    <xf numFmtId="170" fontId="60" fillId="6" borderId="11" xfId="0" applyNumberFormat="1" applyFont="1" applyFill="1" applyBorder="1" applyAlignment="1">
      <alignment horizontal="center"/>
    </xf>
    <xf numFmtId="170" fontId="59" fillId="14" borderId="11" xfId="0" applyNumberFormat="1" applyFont="1" applyFill="1" applyBorder="1"/>
    <xf numFmtId="3" fontId="3" fillId="14" borderId="12" xfId="0" applyNumberFormat="1" applyFont="1" applyFill="1" applyBorder="1" applyAlignment="1">
      <alignment horizontal="center"/>
    </xf>
    <xf numFmtId="169" fontId="60" fillId="6" borderId="6" xfId="0" applyNumberFormat="1" applyFont="1" applyFill="1" applyBorder="1"/>
    <xf numFmtId="170" fontId="59" fillId="14" borderId="3" xfId="0" applyNumberFormat="1" applyFont="1" applyFill="1" applyBorder="1" applyAlignment="1">
      <alignment horizontal="left"/>
    </xf>
    <xf numFmtId="0" fontId="4" fillId="6" borderId="1" xfId="0" applyFont="1" applyFill="1" applyBorder="1"/>
    <xf numFmtId="0" fontId="41" fillId="0" borderId="4" xfId="0" applyFont="1" applyBorder="1"/>
    <xf numFmtId="170" fontId="59" fillId="6" borderId="9" xfId="0" applyNumberFormat="1" applyFont="1" applyFill="1" applyBorder="1" applyAlignment="1">
      <alignment horizontal="right"/>
    </xf>
    <xf numFmtId="0" fontId="41" fillId="0" borderId="3" xfId="0" applyFont="1" applyBorder="1"/>
    <xf numFmtId="170" fontId="59" fillId="16" borderId="1" xfId="0" applyNumberFormat="1" applyFont="1" applyFill="1" applyBorder="1" applyAlignment="1">
      <alignment horizontal="left" wrapText="1"/>
    </xf>
    <xf numFmtId="3" fontId="84" fillId="6" borderId="8" xfId="0" applyNumberFormat="1" applyFont="1" applyFill="1" applyBorder="1" applyAlignment="1">
      <alignment horizontal="center"/>
    </xf>
    <xf numFmtId="169" fontId="60" fillId="16" borderId="6" xfId="0" applyNumberFormat="1" applyFont="1" applyFill="1" applyBorder="1" applyAlignment="1">
      <alignment horizontal="center"/>
    </xf>
    <xf numFmtId="9" fontId="60" fillId="6" borderId="13" xfId="0" applyNumberFormat="1" applyFont="1" applyFill="1" applyBorder="1" applyAlignment="1">
      <alignment horizontal="center"/>
    </xf>
    <xf numFmtId="9" fontId="5" fillId="6" borderId="7" xfId="0" applyNumberFormat="1" applyFont="1" applyFill="1" applyBorder="1" applyAlignment="1">
      <alignment horizontal="center"/>
    </xf>
    <xf numFmtId="0" fontId="5" fillId="0" borderId="3" xfId="0" applyFont="1" applyBorder="1"/>
    <xf numFmtId="0" fontId="3" fillId="6" borderId="1" xfId="0" applyFont="1" applyFill="1" applyBorder="1" applyAlignment="1">
      <alignment horizontal="center"/>
    </xf>
    <xf numFmtId="0" fontId="60" fillId="6" borderId="1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36" fillId="0" borderId="26" xfId="0" applyFont="1" applyBorder="1" applyAlignment="1">
      <alignment wrapText="1"/>
    </xf>
    <xf numFmtId="0" fontId="36" fillId="0" borderId="27" xfId="0" applyFont="1" applyBorder="1" applyAlignment="1">
      <alignment wrapText="1"/>
    </xf>
    <xf numFmtId="0" fontId="49" fillId="0" borderId="0" xfId="0" applyFont="1" applyAlignment="1">
      <alignment wrapText="1"/>
    </xf>
    <xf numFmtId="0" fontId="50" fillId="6" borderId="30" xfId="0" applyFont="1" applyFill="1" applyBorder="1" applyAlignment="1">
      <alignment wrapText="1"/>
    </xf>
    <xf numFmtId="0" fontId="50" fillId="0" borderId="50" xfId="0" applyFont="1" applyBorder="1" applyAlignment="1">
      <alignment wrapText="1"/>
    </xf>
    <xf numFmtId="0" fontId="43" fillId="0" borderId="15" xfId="0" applyFont="1" applyBorder="1" applyAlignment="1">
      <alignment wrapText="1"/>
    </xf>
    <xf numFmtId="0" fontId="43" fillId="0" borderId="0" xfId="0" applyFont="1" applyAlignment="1">
      <alignment wrapText="1"/>
    </xf>
    <xf numFmtId="0" fontId="47" fillId="0" borderId="30" xfId="0" applyFont="1" applyBorder="1" applyAlignment="1">
      <alignment wrapText="1"/>
    </xf>
    <xf numFmtId="0" fontId="3" fillId="16" borderId="11" xfId="0" applyFont="1" applyFill="1" applyBorder="1" applyAlignment="1">
      <alignment horizontal="center"/>
    </xf>
    <xf numFmtId="0" fontId="41" fillId="16" borderId="3" xfId="0" applyFont="1" applyFill="1" applyBorder="1"/>
    <xf numFmtId="170" fontId="59" fillId="16" borderId="3" xfId="0" applyNumberFormat="1" applyFont="1" applyFill="1" applyBorder="1" applyAlignment="1">
      <alignment horizontal="right"/>
    </xf>
    <xf numFmtId="170" fontId="59" fillId="16" borderId="1" xfId="0" applyNumberFormat="1" applyFont="1" applyFill="1" applyBorder="1" applyAlignment="1">
      <alignment horizontal="left"/>
    </xf>
    <xf numFmtId="0" fontId="41" fillId="16" borderId="9" xfId="0" applyFont="1" applyFill="1" applyBorder="1" applyAlignment="1">
      <alignment horizontal="left"/>
    </xf>
    <xf numFmtId="170" fontId="59" fillId="16" borderId="9" xfId="0" applyNumberFormat="1" applyFont="1" applyFill="1" applyBorder="1" applyAlignment="1">
      <alignment horizontal="left"/>
    </xf>
    <xf numFmtId="170" fontId="59" fillId="16" borderId="6" xfId="0" applyNumberFormat="1" applyFont="1" applyFill="1" applyBorder="1" applyAlignment="1">
      <alignment horizontal="left"/>
    </xf>
    <xf numFmtId="169" fontId="60" fillId="14" borderId="14" xfId="0" applyNumberFormat="1" applyFont="1" applyFill="1" applyBorder="1" applyAlignment="1">
      <alignment horizontal="center"/>
    </xf>
    <xf numFmtId="9" fontId="4" fillId="14" borderId="9" xfId="0" applyNumberFormat="1" applyFont="1" applyFill="1" applyBorder="1" applyAlignment="1">
      <alignment horizontal="center"/>
    </xf>
    <xf numFmtId="170" fontId="3" fillId="16" borderId="1" xfId="0" applyNumberFormat="1" applyFont="1" applyFill="1" applyBorder="1" applyAlignment="1">
      <alignment horizontal="center"/>
    </xf>
    <xf numFmtId="169" fontId="0" fillId="6" borderId="1" xfId="0" applyNumberFormat="1" applyFill="1" applyBorder="1"/>
    <xf numFmtId="169" fontId="0" fillId="0" borderId="1" xfId="0" applyNumberFormat="1" applyBorder="1"/>
    <xf numFmtId="170" fontId="59" fillId="0" borderId="6" xfId="0" applyNumberFormat="1" applyFont="1" applyBorder="1"/>
    <xf numFmtId="0" fontId="55" fillId="14" borderId="5" xfId="0" applyFont="1" applyFill="1" applyBorder="1" applyAlignment="1">
      <alignment horizontal="left"/>
    </xf>
    <xf numFmtId="0" fontId="41" fillId="14" borderId="4" xfId="0" applyFont="1" applyFill="1" applyBorder="1" applyAlignment="1">
      <alignment horizontal="left" wrapText="1"/>
    </xf>
    <xf numFmtId="0" fontId="59" fillId="16" borderId="5" xfId="0" applyFont="1" applyFill="1" applyBorder="1" applyAlignment="1">
      <alignment horizontal="left" wrapText="1"/>
    </xf>
    <xf numFmtId="0" fontId="4" fillId="16" borderId="5" xfId="0" applyFont="1" applyFill="1" applyBorder="1"/>
    <xf numFmtId="170" fontId="59" fillId="16" borderId="3" xfId="0" applyNumberFormat="1" applyFont="1" applyFill="1" applyBorder="1" applyAlignment="1">
      <alignment horizontal="left"/>
    </xf>
    <xf numFmtId="169" fontId="59" fillId="6" borderId="6" xfId="0" applyNumberFormat="1" applyFont="1" applyFill="1" applyBorder="1" applyAlignment="1">
      <alignment horizontal="center"/>
    </xf>
    <xf numFmtId="0" fontId="41" fillId="14" borderId="8" xfId="0" applyFont="1" applyFill="1" applyBorder="1" applyAlignment="1">
      <alignment horizontal="left"/>
    </xf>
    <xf numFmtId="0" fontId="41" fillId="16" borderId="7" xfId="0" applyFont="1" applyFill="1" applyBorder="1" applyAlignment="1">
      <alignment horizontal="left" wrapText="1"/>
    </xf>
    <xf numFmtId="170" fontId="60" fillId="32" borderId="3" xfId="0" applyNumberFormat="1" applyFont="1" applyFill="1" applyBorder="1" applyAlignment="1">
      <alignment horizontal="left"/>
    </xf>
    <xf numFmtId="0" fontId="3" fillId="32" borderId="1" xfId="0" applyFont="1" applyFill="1" applyBorder="1" applyAlignment="1">
      <alignment horizontal="left"/>
    </xf>
    <xf numFmtId="0" fontId="4" fillId="16" borderId="10" xfId="0" applyFont="1" applyFill="1" applyBorder="1"/>
    <xf numFmtId="0" fontId="9" fillId="16" borderId="4" xfId="0" applyFont="1" applyFill="1" applyBorder="1" applyAlignment="1">
      <alignment horizontal="center"/>
    </xf>
    <xf numFmtId="0" fontId="41" fillId="14" borderId="7" xfId="0" applyFont="1" applyFill="1" applyBorder="1" applyAlignment="1">
      <alignment horizontal="left"/>
    </xf>
    <xf numFmtId="9" fontId="9" fillId="14" borderId="7" xfId="0" applyNumberFormat="1" applyFont="1" applyFill="1" applyBorder="1" applyAlignment="1">
      <alignment horizontal="center"/>
    </xf>
    <xf numFmtId="170" fontId="59" fillId="14" borderId="1" xfId="0" applyNumberFormat="1" applyFont="1" applyFill="1" applyBorder="1" applyAlignment="1">
      <alignment horizontal="left"/>
    </xf>
    <xf numFmtId="169" fontId="59" fillId="14" borderId="6" xfId="0" applyNumberFormat="1" applyFont="1" applyFill="1" applyBorder="1" applyAlignment="1">
      <alignment horizontal="right"/>
    </xf>
    <xf numFmtId="9" fontId="9" fillId="14" borderId="2" xfId="0" applyNumberFormat="1" applyFont="1" applyFill="1" applyBorder="1" applyAlignment="1">
      <alignment horizontal="center"/>
    </xf>
    <xf numFmtId="0" fontId="0" fillId="14" borderId="17" xfId="0" applyFill="1" applyBorder="1" applyAlignment="1">
      <alignment horizontal="left"/>
    </xf>
    <xf numFmtId="0" fontId="0" fillId="6" borderId="9" xfId="0" applyFill="1" applyBorder="1"/>
    <xf numFmtId="0" fontId="59" fillId="14" borderId="11" xfId="0" applyFont="1" applyFill="1" applyBorder="1"/>
    <xf numFmtId="0" fontId="0" fillId="18" borderId="18" xfId="0" applyFill="1" applyBorder="1" applyAlignment="1">
      <alignment horizontal="left"/>
    </xf>
    <xf numFmtId="0" fontId="0" fillId="18" borderId="40" xfId="0" applyFill="1" applyBorder="1" applyAlignment="1">
      <alignment horizontal="left"/>
    </xf>
    <xf numFmtId="0" fontId="107" fillId="0" borderId="1" xfId="0" applyFont="1" applyBorder="1"/>
    <xf numFmtId="0" fontId="0" fillId="18" borderId="9" xfId="0" applyFill="1" applyBorder="1"/>
    <xf numFmtId="0" fontId="0" fillId="18" borderId="12" xfId="0" applyFill="1" applyBorder="1"/>
    <xf numFmtId="0" fontId="107" fillId="14" borderId="1" xfId="0" applyFont="1" applyFill="1" applyBorder="1"/>
    <xf numFmtId="0" fontId="4" fillId="16" borderId="1" xfId="0" applyFont="1" applyFill="1" applyBorder="1" applyAlignment="1">
      <alignment horizontal="center"/>
    </xf>
    <xf numFmtId="0" fontId="60" fillId="32" borderId="1" xfId="0" applyFont="1" applyFill="1" applyBorder="1" applyAlignment="1">
      <alignment horizontal="left"/>
    </xf>
    <xf numFmtId="0" fontId="59" fillId="32" borderId="1" xfId="0" applyFont="1" applyFill="1" applyBorder="1" applyAlignment="1">
      <alignment horizontal="left"/>
    </xf>
    <xf numFmtId="170" fontId="60" fillId="16" borderId="6" xfId="0" applyNumberFormat="1" applyFont="1" applyFill="1" applyBorder="1" applyAlignment="1">
      <alignment horizontal="left"/>
    </xf>
    <xf numFmtId="169" fontId="60" fillId="16" borderId="1" xfId="0" applyNumberFormat="1" applyFont="1" applyFill="1" applyBorder="1" applyAlignment="1">
      <alignment horizontal="center"/>
    </xf>
    <xf numFmtId="3" fontId="84" fillId="16" borderId="13" xfId="0" applyNumberFormat="1" applyFont="1" applyFill="1" applyBorder="1" applyAlignment="1">
      <alignment horizontal="center"/>
    </xf>
    <xf numFmtId="9" fontId="9" fillId="6" borderId="9" xfId="0" applyNumberFormat="1" applyFont="1" applyFill="1" applyBorder="1" applyAlignment="1">
      <alignment horizontal="center"/>
    </xf>
    <xf numFmtId="9" fontId="9" fillId="6" borderId="1" xfId="0" applyNumberFormat="1" applyFont="1" applyFill="1" applyBorder="1" applyAlignment="1">
      <alignment horizontal="center"/>
    </xf>
    <xf numFmtId="0" fontId="59" fillId="16" borderId="7" xfId="0" applyFont="1" applyFill="1" applyBorder="1"/>
    <xf numFmtId="0" fontId="59" fillId="16" borderId="12" xfId="0" applyFont="1" applyFill="1" applyBorder="1"/>
    <xf numFmtId="0" fontId="59" fillId="16" borderId="8" xfId="0" applyFont="1" applyFill="1" applyBorder="1" applyAlignment="1">
      <alignment horizontal="left"/>
    </xf>
    <xf numFmtId="0" fontId="59" fillId="16" borderId="7" xfId="0" applyFont="1" applyFill="1" applyBorder="1" applyAlignment="1">
      <alignment horizontal="left"/>
    </xf>
    <xf numFmtId="0" fontId="4" fillId="16" borderId="12" xfId="0" applyFont="1" applyFill="1" applyBorder="1" applyAlignment="1">
      <alignment horizontal="center"/>
    </xf>
    <xf numFmtId="170" fontId="59" fillId="6" borderId="3" xfId="0" applyNumberFormat="1" applyFont="1" applyFill="1" applyBorder="1" applyAlignment="1">
      <alignment horizontal="left"/>
    </xf>
    <xf numFmtId="3" fontId="41" fillId="6" borderId="14" xfId="0" applyNumberFormat="1" applyFont="1" applyFill="1" applyBorder="1" applyAlignment="1">
      <alignment horizontal="center" wrapText="1"/>
    </xf>
    <xf numFmtId="0" fontId="2" fillId="6" borderId="4" xfId="0" applyFont="1" applyFill="1" applyBorder="1"/>
    <xf numFmtId="0" fontId="3" fillId="16" borderId="6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170" fontId="59" fillId="16" borderId="6" xfId="0" applyNumberFormat="1" applyFont="1" applyFill="1" applyBorder="1" applyAlignment="1">
      <alignment horizontal="center" vertical="center"/>
    </xf>
    <xf numFmtId="9" fontId="59" fillId="16" borderId="1" xfId="0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9" fontId="59" fillId="16" borderId="5" xfId="0" applyNumberFormat="1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9" fontId="59" fillId="16" borderId="6" xfId="0" applyNumberFormat="1" applyFont="1" applyFill="1" applyBorder="1" applyAlignment="1">
      <alignment horizontal="center" vertical="center"/>
    </xf>
    <xf numFmtId="170" fontId="59" fillId="16" borderId="3" xfId="0" applyNumberFormat="1" applyFont="1" applyFill="1" applyBorder="1" applyAlignment="1">
      <alignment horizontal="center" vertical="center"/>
    </xf>
    <xf numFmtId="170" fontId="59" fillId="16" borderId="1" xfId="0" applyNumberFormat="1" applyFont="1" applyFill="1" applyBorder="1" applyAlignment="1">
      <alignment horizontal="center" vertical="center"/>
    </xf>
    <xf numFmtId="9" fontId="60" fillId="16" borderId="1" xfId="0" applyNumberFormat="1" applyFont="1" applyFill="1" applyBorder="1" applyAlignment="1">
      <alignment horizontal="center" vertical="center"/>
    </xf>
    <xf numFmtId="3" fontId="3" fillId="16" borderId="1" xfId="0" applyNumberFormat="1" applyFont="1" applyFill="1" applyBorder="1" applyAlignment="1">
      <alignment horizontal="center" vertical="center"/>
    </xf>
    <xf numFmtId="166" fontId="60" fillId="16" borderId="1" xfId="0" applyNumberFormat="1" applyFont="1" applyFill="1" applyBorder="1" applyAlignment="1">
      <alignment horizontal="center" vertical="center"/>
    </xf>
    <xf numFmtId="0" fontId="60" fillId="16" borderId="1" xfId="0" applyFont="1" applyFill="1" applyBorder="1" applyAlignment="1">
      <alignment horizontal="center" vertical="center"/>
    </xf>
    <xf numFmtId="170" fontId="60" fillId="16" borderId="1" xfId="0" applyNumberFormat="1" applyFont="1" applyFill="1" applyBorder="1" applyAlignment="1">
      <alignment horizontal="center" vertical="center"/>
    </xf>
    <xf numFmtId="0" fontId="60" fillId="16" borderId="6" xfId="0" applyFont="1" applyFill="1" applyBorder="1" applyAlignment="1">
      <alignment horizontal="center" vertical="center"/>
    </xf>
    <xf numFmtId="3" fontId="60" fillId="16" borderId="1" xfId="0" applyNumberFormat="1" applyFont="1" applyFill="1" applyBorder="1" applyAlignment="1">
      <alignment horizontal="center" vertical="center"/>
    </xf>
    <xf numFmtId="9" fontId="60" fillId="16" borderId="6" xfId="0" applyNumberFormat="1" applyFont="1" applyFill="1" applyBorder="1" applyAlignment="1">
      <alignment horizontal="center" vertical="center"/>
    </xf>
    <xf numFmtId="3" fontId="3" fillId="16" borderId="8" xfId="0" applyNumberFormat="1" applyFont="1" applyFill="1" applyBorder="1" applyAlignment="1">
      <alignment horizontal="center" vertical="center"/>
    </xf>
    <xf numFmtId="0" fontId="60" fillId="6" borderId="13" xfId="0" applyFont="1" applyFill="1" applyBorder="1" applyAlignment="1">
      <alignment horizontal="center" vertical="center"/>
    </xf>
    <xf numFmtId="9" fontId="60" fillId="16" borderId="14" xfId="0" applyNumberFormat="1" applyFont="1" applyFill="1" applyBorder="1" applyAlignment="1">
      <alignment horizontal="center" vertical="center"/>
    </xf>
    <xf numFmtId="170" fontId="60" fillId="16" borderId="14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0" fontId="60" fillId="16" borderId="6" xfId="0" applyNumberFormat="1" applyFont="1" applyFill="1" applyBorder="1" applyAlignment="1">
      <alignment horizontal="center" vertical="center"/>
    </xf>
    <xf numFmtId="170" fontId="60" fillId="16" borderId="3" xfId="0" applyNumberFormat="1" applyFont="1" applyFill="1" applyBorder="1" applyAlignment="1">
      <alignment horizontal="center" vertical="center"/>
    </xf>
    <xf numFmtId="9" fontId="60" fillId="14" borderId="1" xfId="0" applyNumberFormat="1" applyFont="1" applyFill="1" applyBorder="1" applyAlignment="1">
      <alignment horizontal="center" vertical="center"/>
    </xf>
    <xf numFmtId="170" fontId="60" fillId="14" borderId="3" xfId="0" applyNumberFormat="1" applyFont="1" applyFill="1" applyBorder="1" applyAlignment="1">
      <alignment horizontal="center" vertical="center"/>
    </xf>
    <xf numFmtId="3" fontId="60" fillId="14" borderId="1" xfId="0" applyNumberFormat="1" applyFont="1" applyFill="1" applyBorder="1" applyAlignment="1">
      <alignment horizontal="center" vertical="center"/>
    </xf>
    <xf numFmtId="170" fontId="60" fillId="14" borderId="9" xfId="0" applyNumberFormat="1" applyFont="1" applyFill="1" applyBorder="1" applyAlignment="1">
      <alignment horizontal="center" vertical="center"/>
    </xf>
    <xf numFmtId="170" fontId="60" fillId="14" borderId="1" xfId="0" applyNumberFormat="1" applyFont="1" applyFill="1" applyBorder="1" applyAlignment="1">
      <alignment horizontal="center" vertical="center"/>
    </xf>
    <xf numFmtId="170" fontId="59" fillId="14" borderId="6" xfId="0" applyNumberFormat="1" applyFont="1" applyFill="1" applyBorder="1" applyAlignment="1">
      <alignment horizontal="center" vertical="center"/>
    </xf>
    <xf numFmtId="0" fontId="60" fillId="6" borderId="8" xfId="0" applyFont="1" applyFill="1" applyBorder="1" applyAlignment="1">
      <alignment horizontal="center" vertical="center"/>
    </xf>
    <xf numFmtId="0" fontId="59" fillId="6" borderId="2" xfId="0" applyFont="1" applyFill="1" applyBorder="1" applyAlignment="1">
      <alignment horizontal="center" vertical="center"/>
    </xf>
    <xf numFmtId="9" fontId="59" fillId="6" borderId="5" xfId="0" applyNumberFormat="1" applyFont="1" applyFill="1" applyBorder="1" applyAlignment="1">
      <alignment horizontal="center" vertical="center"/>
    </xf>
    <xf numFmtId="170" fontId="59" fillId="6" borderId="6" xfId="0" applyNumberFormat="1" applyFont="1" applyFill="1" applyBorder="1" applyAlignment="1">
      <alignment horizontal="center" vertical="center"/>
    </xf>
    <xf numFmtId="9" fontId="59" fillId="6" borderId="1" xfId="0" applyNumberFormat="1" applyFont="1" applyFill="1" applyBorder="1" applyAlignment="1">
      <alignment horizontal="center" vertical="center"/>
    </xf>
    <xf numFmtId="0" fontId="59" fillId="6" borderId="1" xfId="0" applyFont="1" applyFill="1" applyBorder="1" applyAlignment="1">
      <alignment horizontal="center" vertical="center"/>
    </xf>
    <xf numFmtId="170" fontId="59" fillId="6" borderId="1" xfId="0" applyNumberFormat="1" applyFont="1" applyFill="1" applyBorder="1" applyAlignment="1">
      <alignment horizontal="center" vertical="center"/>
    </xf>
    <xf numFmtId="9" fontId="60" fillId="6" borderId="6" xfId="0" applyNumberFormat="1" applyFont="1" applyFill="1" applyBorder="1" applyAlignment="1">
      <alignment horizontal="center" vertical="center"/>
    </xf>
    <xf numFmtId="3" fontId="3" fillId="6" borderId="8" xfId="0" applyNumberFormat="1" applyFont="1" applyFill="1" applyBorder="1" applyAlignment="1">
      <alignment horizontal="center" vertical="center"/>
    </xf>
    <xf numFmtId="166" fontId="60" fillId="6" borderId="1" xfId="0" applyNumberFormat="1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 vertical="center"/>
    </xf>
    <xf numFmtId="0" fontId="41" fillId="6" borderId="3" xfId="0" applyFont="1" applyFill="1" applyBorder="1" applyAlignment="1">
      <alignment horizontal="center" vertical="center" wrapText="1"/>
    </xf>
    <xf numFmtId="0" fontId="57" fillId="9" borderId="2" xfId="0" applyFont="1" applyFill="1" applyBorder="1" applyAlignment="1">
      <alignment horizontal="center" vertical="center"/>
    </xf>
    <xf numFmtId="0" fontId="57" fillId="9" borderId="5" xfId="0" applyFont="1" applyFill="1" applyBorder="1" applyAlignment="1">
      <alignment horizontal="center" vertical="center"/>
    </xf>
    <xf numFmtId="0" fontId="57" fillId="8" borderId="3" xfId="0" applyFont="1" applyFill="1" applyBorder="1" applyAlignment="1">
      <alignment horizontal="center" vertical="center"/>
    </xf>
    <xf numFmtId="170" fontId="57" fillId="9" borderId="1" xfId="0" applyNumberFormat="1" applyFont="1" applyFill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/>
    </xf>
    <xf numFmtId="166" fontId="57" fillId="9" borderId="1" xfId="0" applyNumberFormat="1" applyFont="1" applyFill="1" applyBorder="1" applyAlignment="1">
      <alignment horizontal="center" vertical="center"/>
    </xf>
    <xf numFmtId="0" fontId="57" fillId="9" borderId="8" xfId="0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56" fillId="14" borderId="1" xfId="0" applyFont="1" applyFill="1" applyBorder="1" applyAlignment="1">
      <alignment horizontal="center" vertical="center"/>
    </xf>
    <xf numFmtId="166" fontId="56" fillId="14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3" fontId="57" fillId="0" borderId="1" xfId="0" applyNumberFormat="1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166" fontId="57" fillId="0" borderId="15" xfId="0" applyNumberFormat="1" applyFont="1" applyBorder="1" applyAlignment="1">
      <alignment horizontal="center" vertical="center"/>
    </xf>
    <xf numFmtId="3" fontId="57" fillId="0" borderId="15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166" fontId="57" fillId="0" borderId="0" xfId="0" applyNumberFormat="1" applyFont="1" applyAlignment="1">
      <alignment horizontal="center" vertical="center"/>
    </xf>
    <xf numFmtId="3" fontId="57" fillId="0" borderId="0" xfId="0" applyNumberFormat="1" applyFont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16" borderId="13" xfId="0" applyFont="1" applyFill="1" applyBorder="1" applyAlignment="1">
      <alignment horizontal="center" vertical="center"/>
    </xf>
    <xf numFmtId="9" fontId="59" fillId="16" borderId="13" xfId="0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3" fontId="3" fillId="14" borderId="8" xfId="0" applyNumberFormat="1" applyFont="1" applyFill="1" applyBorder="1" applyAlignment="1">
      <alignment horizontal="center" vertical="center"/>
    </xf>
    <xf numFmtId="170" fontId="60" fillId="14" borderId="6" xfId="0" applyNumberFormat="1" applyFont="1" applyFill="1" applyBorder="1" applyAlignment="1">
      <alignment horizontal="center" vertical="center"/>
    </xf>
    <xf numFmtId="170" fontId="59" fillId="14" borderId="3" xfId="0" applyNumberFormat="1" applyFont="1" applyFill="1" applyBorder="1" applyAlignment="1">
      <alignment horizontal="center" vertical="center"/>
    </xf>
    <xf numFmtId="170" fontId="59" fillId="14" borderId="1" xfId="0" applyNumberFormat="1" applyFont="1" applyFill="1" applyBorder="1" applyAlignment="1">
      <alignment horizontal="center" vertical="center"/>
    </xf>
    <xf numFmtId="9" fontId="59" fillId="6" borderId="6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6" borderId="13" xfId="0" applyNumberFormat="1" applyFont="1" applyFill="1" applyBorder="1" applyAlignment="1">
      <alignment horizontal="center" vertical="center"/>
    </xf>
    <xf numFmtId="170" fontId="60" fillId="6" borderId="1" xfId="0" applyNumberFormat="1" applyFont="1" applyFill="1" applyBorder="1" applyAlignment="1">
      <alignment horizontal="center" vertical="center"/>
    </xf>
    <xf numFmtId="9" fontId="60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170" fontId="60" fillId="6" borderId="6" xfId="0" applyNumberFormat="1" applyFont="1" applyFill="1" applyBorder="1" applyAlignment="1">
      <alignment horizontal="center" vertical="center"/>
    </xf>
    <xf numFmtId="3" fontId="84" fillId="6" borderId="8" xfId="0" applyNumberFormat="1" applyFont="1" applyFill="1" applyBorder="1" applyAlignment="1">
      <alignment horizontal="center" vertical="center"/>
    </xf>
    <xf numFmtId="0" fontId="57" fillId="9" borderId="6" xfId="0" applyFont="1" applyFill="1" applyBorder="1" applyAlignment="1">
      <alignment horizontal="center" vertical="center"/>
    </xf>
    <xf numFmtId="0" fontId="57" fillId="8" borderId="1" xfId="0" applyFont="1" applyFill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170" fontId="3" fillId="14" borderId="1" xfId="0" applyNumberFormat="1" applyFont="1" applyFill="1" applyBorder="1" applyAlignment="1">
      <alignment horizontal="center"/>
    </xf>
    <xf numFmtId="170" fontId="59" fillId="6" borderId="3" xfId="0" applyNumberFormat="1" applyFont="1" applyFill="1" applyBorder="1"/>
    <xf numFmtId="0" fontId="41" fillId="16" borderId="3" xfId="0" applyFont="1" applyFill="1" applyBorder="1" applyAlignment="1">
      <alignment horizontal="left" vertical="center"/>
    </xf>
    <xf numFmtId="0" fontId="41" fillId="32" borderId="3" xfId="0" applyFont="1" applyFill="1" applyBorder="1" applyAlignment="1">
      <alignment horizontal="left" vertical="center"/>
    </xf>
    <xf numFmtId="0" fontId="41" fillId="16" borderId="3" xfId="0" applyFont="1" applyFill="1" applyBorder="1" applyAlignment="1">
      <alignment horizontal="left" vertical="center" wrapText="1"/>
    </xf>
    <xf numFmtId="0" fontId="60" fillId="16" borderId="1" xfId="0" applyFont="1" applyFill="1" applyBorder="1" applyAlignment="1">
      <alignment horizontal="left" vertical="center" wrapText="1"/>
    </xf>
    <xf numFmtId="0" fontId="60" fillId="16" borderId="14" xfId="0" applyFont="1" applyFill="1" applyBorder="1" applyAlignment="1">
      <alignment horizontal="left" vertical="center" wrapText="1"/>
    </xf>
    <xf numFmtId="0" fontId="41" fillId="16" borderId="6" xfId="0" applyFont="1" applyFill="1" applyBorder="1" applyAlignment="1">
      <alignment horizontal="left" vertical="center"/>
    </xf>
    <xf numFmtId="0" fontId="41" fillId="16" borderId="1" xfId="0" applyFont="1" applyFill="1" applyBorder="1" applyAlignment="1">
      <alignment horizontal="left" vertical="center" wrapText="1"/>
    </xf>
    <xf numFmtId="0" fontId="41" fillId="32" borderId="1" xfId="0" applyFont="1" applyFill="1" applyBorder="1" applyAlignment="1">
      <alignment horizontal="left" vertical="center"/>
    </xf>
    <xf numFmtId="0" fontId="60" fillId="16" borderId="9" xfId="0" applyFont="1" applyFill="1" applyBorder="1" applyAlignment="1">
      <alignment horizontal="left" vertical="center" wrapText="1"/>
    </xf>
    <xf numFmtId="0" fontId="41" fillId="16" borderId="14" xfId="0" applyFont="1" applyFill="1" applyBorder="1" applyAlignment="1">
      <alignment horizontal="left" vertical="center" wrapText="1"/>
    </xf>
    <xf numFmtId="0" fontId="60" fillId="14" borderId="1" xfId="0" applyFont="1" applyFill="1" applyBorder="1" applyAlignment="1">
      <alignment horizontal="left" vertical="center"/>
    </xf>
    <xf numFmtId="0" fontId="60" fillId="14" borderId="9" xfId="0" applyFont="1" applyFill="1" applyBorder="1" applyAlignment="1">
      <alignment horizontal="left" vertical="center" wrapText="1"/>
    </xf>
    <xf numFmtId="0" fontId="41" fillId="14" borderId="1" xfId="0" applyFont="1" applyFill="1" applyBorder="1" applyAlignment="1">
      <alignment horizontal="left" vertical="center" wrapText="1"/>
    </xf>
    <xf numFmtId="0" fontId="60" fillId="14" borderId="1" xfId="0" applyFont="1" applyFill="1" applyBorder="1" applyAlignment="1">
      <alignment horizontal="left" vertical="center" wrapText="1"/>
    </xf>
    <xf numFmtId="0" fontId="41" fillId="14" borderId="6" xfId="0" applyFont="1" applyFill="1" applyBorder="1" applyAlignment="1">
      <alignment horizontal="left" vertical="center"/>
    </xf>
    <xf numFmtId="0" fontId="41" fillId="14" borderId="6" xfId="0" applyFont="1" applyFill="1" applyBorder="1" applyAlignment="1">
      <alignment horizontal="left" vertical="center" wrapText="1"/>
    </xf>
    <xf numFmtId="0" fontId="41" fillId="14" borderId="3" xfId="0" applyFont="1" applyFill="1" applyBorder="1" applyAlignment="1">
      <alignment horizontal="left" vertical="center"/>
    </xf>
    <xf numFmtId="0" fontId="41" fillId="6" borderId="3" xfId="0" applyFont="1" applyFill="1" applyBorder="1" applyAlignment="1">
      <alignment horizontal="left" vertical="center"/>
    </xf>
    <xf numFmtId="0" fontId="59" fillId="6" borderId="1" xfId="0" applyFont="1" applyFill="1" applyBorder="1" applyAlignment="1">
      <alignment horizontal="left" vertical="center"/>
    </xf>
    <xf numFmtId="0" fontId="60" fillId="6" borderId="1" xfId="0" applyFont="1" applyFill="1" applyBorder="1" applyAlignment="1">
      <alignment horizontal="left" vertical="center"/>
    </xf>
    <xf numFmtId="0" fontId="60" fillId="16" borderId="1" xfId="0" applyFont="1" applyFill="1" applyBorder="1" applyAlignment="1">
      <alignment horizontal="left" vertical="center"/>
    </xf>
    <xf numFmtId="0" fontId="60" fillId="16" borderId="6" xfId="0" applyFont="1" applyFill="1" applyBorder="1" applyAlignment="1">
      <alignment horizontal="left"/>
    </xf>
    <xf numFmtId="166" fontId="59" fillId="16" borderId="1" xfId="0" applyNumberFormat="1" applyFont="1" applyFill="1" applyBorder="1" applyAlignment="1">
      <alignment horizontal="left"/>
    </xf>
    <xf numFmtId="166" fontId="59" fillId="6" borderId="1" xfId="0" applyNumberFormat="1" applyFont="1" applyFill="1" applyBorder="1" applyAlignment="1">
      <alignment horizontal="left"/>
    </xf>
    <xf numFmtId="0" fontId="57" fillId="6" borderId="6" xfId="0" applyFont="1" applyFill="1" applyBorder="1" applyAlignment="1">
      <alignment horizontal="left"/>
    </xf>
    <xf numFmtId="0" fontId="41" fillId="16" borderId="5" xfId="0" applyFont="1" applyFill="1" applyBorder="1" applyAlignment="1">
      <alignment horizontal="left" vertical="center"/>
    </xf>
    <xf numFmtId="0" fontId="41" fillId="16" borderId="5" xfId="0" applyFont="1" applyFill="1" applyBorder="1" applyAlignment="1">
      <alignment horizontal="left" vertical="center" wrapText="1"/>
    </xf>
    <xf numFmtId="0" fontId="41" fillId="14" borderId="5" xfId="0" applyFont="1" applyFill="1" applyBorder="1" applyAlignment="1">
      <alignment horizontal="left" vertical="center" wrapText="1"/>
    </xf>
    <xf numFmtId="0" fontId="41" fillId="14" borderId="1" xfId="0" applyFont="1" applyFill="1" applyBorder="1" applyAlignment="1">
      <alignment horizontal="left" vertical="center"/>
    </xf>
    <xf numFmtId="0" fontId="41" fillId="14" borderId="5" xfId="0" applyFont="1" applyFill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41" fillId="6" borderId="5" xfId="0" applyFont="1" applyFill="1" applyBorder="1" applyAlignment="1">
      <alignment horizontal="left" vertical="center" wrapText="1"/>
    </xf>
    <xf numFmtId="166" fontId="60" fillId="16" borderId="1" xfId="0" applyNumberFormat="1" applyFont="1" applyFill="1" applyBorder="1" applyAlignment="1">
      <alignment horizontal="left" vertical="center"/>
    </xf>
    <xf numFmtId="166" fontId="60" fillId="14" borderId="1" xfId="0" applyNumberFormat="1" applyFont="1" applyFill="1" applyBorder="1" applyAlignment="1">
      <alignment horizontal="left" vertical="center"/>
    </xf>
    <xf numFmtId="0" fontId="60" fillId="14" borderId="6" xfId="0" applyFont="1" applyFill="1" applyBorder="1" applyAlignment="1">
      <alignment horizontal="left" vertical="center"/>
    </xf>
    <xf numFmtId="9" fontId="60" fillId="14" borderId="13" xfId="0" applyNumberFormat="1" applyFont="1" applyFill="1" applyBorder="1" applyAlignment="1">
      <alignment horizontal="left" vertical="center"/>
    </xf>
    <xf numFmtId="0" fontId="59" fillId="6" borderId="9" xfId="0" applyFont="1" applyFill="1" applyBorder="1" applyAlignment="1">
      <alignment horizontal="left" vertical="center"/>
    </xf>
    <xf numFmtId="0" fontId="60" fillId="6" borderId="6" xfId="0" applyFont="1" applyFill="1" applyBorder="1" applyAlignment="1">
      <alignment horizontal="left" vertical="center"/>
    </xf>
    <xf numFmtId="9" fontId="60" fillId="6" borderId="13" xfId="0" applyNumberFormat="1" applyFont="1" applyFill="1" applyBorder="1" applyAlignment="1">
      <alignment horizontal="left" vertical="center"/>
    </xf>
    <xf numFmtId="0" fontId="108" fillId="14" borderId="1" xfId="0" applyFont="1" applyFill="1" applyBorder="1" applyAlignment="1">
      <alignment horizontal="center"/>
    </xf>
    <xf numFmtId="0" fontId="108" fillId="14" borderId="9" xfId="0" applyFont="1" applyFill="1" applyBorder="1" applyAlignment="1">
      <alignment horizontal="center"/>
    </xf>
    <xf numFmtId="0" fontId="109" fillId="14" borderId="1" xfId="0" applyFont="1" applyFill="1" applyBorder="1" applyAlignment="1">
      <alignment horizontal="center"/>
    </xf>
    <xf numFmtId="9" fontId="33" fillId="14" borderId="14" xfId="0" applyNumberFormat="1" applyFont="1" applyFill="1" applyBorder="1" applyAlignment="1">
      <alignment horizontal="center"/>
    </xf>
    <xf numFmtId="9" fontId="33" fillId="14" borderId="6" xfId="0" applyNumberFormat="1" applyFont="1" applyFill="1" applyBorder="1" applyAlignment="1">
      <alignment horizontal="center"/>
    </xf>
    <xf numFmtId="9" fontId="33" fillId="14" borderId="15" xfId="0" applyNumberFormat="1" applyFont="1" applyFill="1" applyBorder="1" applyAlignment="1">
      <alignment horizontal="center"/>
    </xf>
    <xf numFmtId="9" fontId="109" fillId="14" borderId="14" xfId="0" applyNumberFormat="1" applyFont="1" applyFill="1" applyBorder="1" applyAlignment="1">
      <alignment horizontal="center"/>
    </xf>
    <xf numFmtId="9" fontId="33" fillId="14" borderId="1" xfId="0" applyNumberFormat="1" applyFont="1" applyFill="1" applyBorder="1" applyAlignment="1">
      <alignment horizontal="center"/>
    </xf>
    <xf numFmtId="0" fontId="33" fillId="14" borderId="1" xfId="0" applyFont="1" applyFill="1" applyBorder="1" applyAlignment="1">
      <alignment horizontal="center"/>
    </xf>
    <xf numFmtId="0" fontId="109" fillId="14" borderId="4" xfId="0" applyFont="1" applyFill="1" applyBorder="1" applyAlignment="1">
      <alignment horizontal="center"/>
    </xf>
    <xf numFmtId="9" fontId="33" fillId="14" borderId="7" xfId="0" applyNumberFormat="1" applyFont="1" applyFill="1" applyBorder="1" applyAlignment="1">
      <alignment horizontal="center"/>
    </xf>
    <xf numFmtId="9" fontId="33" fillId="14" borderId="2" xfId="0" applyNumberFormat="1" applyFont="1" applyFill="1" applyBorder="1" applyAlignment="1">
      <alignment horizontal="center"/>
    </xf>
    <xf numFmtId="9" fontId="33" fillId="14" borderId="8" xfId="0" applyNumberFormat="1" applyFont="1" applyFill="1" applyBorder="1" applyAlignment="1">
      <alignment horizontal="center"/>
    </xf>
    <xf numFmtId="9" fontId="65" fillId="14" borderId="12" xfId="0" applyNumberFormat="1" applyFont="1" applyFill="1" applyBorder="1" applyAlignment="1">
      <alignment horizontal="center"/>
    </xf>
    <xf numFmtId="0" fontId="67" fillId="14" borderId="12" xfId="0" applyFont="1" applyFill="1" applyBorder="1" applyAlignment="1">
      <alignment horizontal="center"/>
    </xf>
    <xf numFmtId="9" fontId="65" fillId="14" borderId="1" xfId="0" applyNumberFormat="1" applyFont="1" applyFill="1" applyBorder="1" applyAlignment="1">
      <alignment horizontal="center"/>
    </xf>
    <xf numFmtId="0" fontId="109" fillId="14" borderId="12" xfId="0" applyFont="1" applyFill="1" applyBorder="1" applyAlignment="1">
      <alignment horizontal="center"/>
    </xf>
    <xf numFmtId="0" fontId="110" fillId="14" borderId="14" xfId="0" applyFont="1" applyFill="1" applyBorder="1" applyAlignment="1">
      <alignment horizontal="center" vertical="center"/>
    </xf>
    <xf numFmtId="9" fontId="110" fillId="14" borderId="6" xfId="0" applyNumberFormat="1" applyFont="1" applyFill="1" applyBorder="1" applyAlignment="1">
      <alignment horizontal="center" vertical="center"/>
    </xf>
    <xf numFmtId="9" fontId="65" fillId="14" borderId="13" xfId="0" applyNumberFormat="1" applyFont="1" applyFill="1" applyBorder="1" applyAlignment="1">
      <alignment horizontal="center" vertical="center"/>
    </xf>
    <xf numFmtId="0" fontId="110" fillId="14" borderId="6" xfId="0" applyFont="1" applyFill="1" applyBorder="1" applyAlignment="1">
      <alignment horizontal="center" vertical="center"/>
    </xf>
    <xf numFmtId="9" fontId="67" fillId="14" borderId="1" xfId="0" applyNumberFormat="1" applyFont="1" applyFill="1" applyBorder="1" applyAlignment="1">
      <alignment horizontal="center" vertical="center"/>
    </xf>
    <xf numFmtId="9" fontId="67" fillId="14" borderId="9" xfId="0" applyNumberFormat="1" applyFont="1" applyFill="1" applyBorder="1" applyAlignment="1">
      <alignment horizontal="center" vertical="center"/>
    </xf>
    <xf numFmtId="0" fontId="110" fillId="14" borderId="13" xfId="0" applyFont="1" applyFill="1" applyBorder="1" applyAlignment="1">
      <alignment horizontal="center" vertical="center"/>
    </xf>
    <xf numFmtId="0" fontId="65" fillId="14" borderId="2" xfId="0" applyFont="1" applyFill="1" applyBorder="1" applyAlignment="1">
      <alignment horizontal="center" vertical="center"/>
    </xf>
    <xf numFmtId="9" fontId="65" fillId="14" borderId="1" xfId="0" applyNumberFormat="1" applyFont="1" applyFill="1" applyBorder="1" applyAlignment="1">
      <alignment horizontal="center" vertical="center"/>
    </xf>
    <xf numFmtId="0" fontId="110" fillId="14" borderId="9" xfId="0" applyFont="1" applyFill="1" applyBorder="1" applyAlignment="1">
      <alignment horizontal="center"/>
    </xf>
    <xf numFmtId="9" fontId="110" fillId="14" borderId="9" xfId="0" applyNumberFormat="1" applyFont="1" applyFill="1" applyBorder="1" applyAlignment="1">
      <alignment horizontal="center"/>
    </xf>
    <xf numFmtId="9" fontId="110" fillId="14" borderId="1" xfId="0" applyNumberFormat="1" applyFont="1" applyFill="1" applyBorder="1" applyAlignment="1">
      <alignment horizontal="center"/>
    </xf>
    <xf numFmtId="0" fontId="110" fillId="14" borderId="5" xfId="0" applyFont="1" applyFill="1" applyBorder="1" applyAlignment="1">
      <alignment horizontal="center"/>
    </xf>
    <xf numFmtId="9" fontId="110" fillId="14" borderId="3" xfId="0" applyNumberFormat="1" applyFont="1" applyFill="1" applyBorder="1" applyAlignment="1">
      <alignment horizontal="center"/>
    </xf>
    <xf numFmtId="0" fontId="110" fillId="14" borderId="12" xfId="0" applyFont="1" applyFill="1" applyBorder="1" applyAlignment="1">
      <alignment horizontal="center"/>
    </xf>
    <xf numFmtId="9" fontId="66" fillId="14" borderId="12" xfId="0" applyNumberFormat="1" applyFont="1" applyFill="1" applyBorder="1" applyAlignment="1">
      <alignment horizontal="center"/>
    </xf>
    <xf numFmtId="9" fontId="66" fillId="14" borderId="1" xfId="0" applyNumberFormat="1" applyFont="1" applyFill="1" applyBorder="1" applyAlignment="1">
      <alignment horizontal="center"/>
    </xf>
    <xf numFmtId="0" fontId="65" fillId="14" borderId="1" xfId="0" applyFont="1" applyFill="1" applyBorder="1" applyAlignment="1">
      <alignment horizontal="center"/>
    </xf>
    <xf numFmtId="9" fontId="66" fillId="14" borderId="5" xfId="0" applyNumberFormat="1" applyFont="1" applyFill="1" applyBorder="1" applyAlignment="1">
      <alignment horizontal="center"/>
    </xf>
    <xf numFmtId="0" fontId="65" fillId="14" borderId="12" xfId="0" applyFont="1" applyFill="1" applyBorder="1" applyAlignment="1">
      <alignment horizontal="center"/>
    </xf>
    <xf numFmtId="0" fontId="58" fillId="16" borderId="12" xfId="0" applyFont="1" applyFill="1" applyBorder="1" applyAlignment="1">
      <alignment vertical="center"/>
    </xf>
    <xf numFmtId="0" fontId="59" fillId="16" borderId="12" xfId="0" applyFont="1" applyFill="1" applyBorder="1" applyAlignment="1">
      <alignment vertical="center"/>
    </xf>
    <xf numFmtId="0" fontId="111" fillId="14" borderId="1" xfId="0" applyFont="1" applyFill="1" applyBorder="1" applyAlignment="1">
      <alignment horizontal="center"/>
    </xf>
    <xf numFmtId="9" fontId="110" fillId="14" borderId="6" xfId="0" applyNumberFormat="1" applyFont="1" applyFill="1" applyBorder="1" applyAlignment="1">
      <alignment horizontal="center"/>
    </xf>
    <xf numFmtId="0" fontId="60" fillId="6" borderId="14" xfId="0" applyFont="1" applyFill="1" applyBorder="1" applyAlignment="1">
      <alignment horizontal="left"/>
    </xf>
    <xf numFmtId="0" fontId="60" fillId="6" borderId="12" xfId="0" applyFon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170" fontId="0" fillId="0" borderId="14" xfId="0" applyNumberFormat="1" applyBorder="1"/>
    <xf numFmtId="170" fontId="59" fillId="6" borderId="9" xfId="0" applyNumberFormat="1" applyFont="1" applyFill="1" applyBorder="1" applyAlignment="1">
      <alignment horizontal="left"/>
    </xf>
    <xf numFmtId="169" fontId="60" fillId="6" borderId="14" xfId="0" applyNumberFormat="1" applyFont="1" applyFill="1" applyBorder="1" applyAlignment="1">
      <alignment horizontal="right"/>
    </xf>
    <xf numFmtId="166" fontId="60" fillId="6" borderId="12" xfId="0" applyNumberFormat="1" applyFont="1" applyFill="1" applyBorder="1" applyAlignment="1">
      <alignment horizontal="right"/>
    </xf>
    <xf numFmtId="9" fontId="55" fillId="14" borderId="1" xfId="0" applyNumberFormat="1" applyFont="1" applyFill="1" applyBorder="1" applyAlignment="1">
      <alignment horizontal="center"/>
    </xf>
    <xf numFmtId="9" fontId="55" fillId="14" borderId="2" xfId="0" applyNumberFormat="1" applyFont="1" applyFill="1" applyBorder="1" applyAlignment="1">
      <alignment horizontal="center"/>
    </xf>
    <xf numFmtId="9" fontId="55" fillId="14" borderId="14" xfId="0" applyNumberFormat="1" applyFont="1" applyFill="1" applyBorder="1" applyAlignment="1">
      <alignment horizontal="center"/>
    </xf>
    <xf numFmtId="0" fontId="109" fillId="14" borderId="7" xfId="0" applyFont="1" applyFill="1" applyBorder="1" applyAlignment="1">
      <alignment horizontal="center"/>
    </xf>
    <xf numFmtId="9" fontId="33" fillId="14" borderId="0" xfId="0" applyNumberFormat="1" applyFont="1" applyFill="1" applyAlignment="1">
      <alignment horizontal="center"/>
    </xf>
    <xf numFmtId="0" fontId="41" fillId="6" borderId="6" xfId="0" applyFont="1" applyFill="1" applyBorder="1" applyAlignment="1">
      <alignment wrapText="1"/>
    </xf>
    <xf numFmtId="0" fontId="41" fillId="6" borderId="14" xfId="0" applyFont="1" applyFill="1" applyBorder="1" applyAlignment="1">
      <alignment wrapText="1"/>
    </xf>
    <xf numFmtId="170" fontId="59" fillId="6" borderId="14" xfId="0" applyNumberFormat="1" applyFont="1" applyFill="1" applyBorder="1" applyAlignment="1">
      <alignment horizontal="right"/>
    </xf>
    <xf numFmtId="0" fontId="2" fillId="14" borderId="1" xfId="0" applyFont="1" applyFill="1" applyBorder="1" applyAlignment="1">
      <alignment horizontal="center" vertical="center"/>
    </xf>
    <xf numFmtId="0" fontId="40" fillId="14" borderId="0" xfId="0" applyFont="1" applyFill="1" applyAlignment="1">
      <alignment horizontal="center" vertical="center"/>
    </xf>
    <xf numFmtId="0" fontId="60" fillId="6" borderId="6" xfId="0" applyFont="1" applyFill="1" applyBorder="1" applyAlignment="1">
      <alignment horizontal="left"/>
    </xf>
    <xf numFmtId="0" fontId="41" fillId="6" borderId="3" xfId="0" applyFont="1" applyFill="1" applyBorder="1"/>
    <xf numFmtId="170" fontId="59" fillId="14" borderId="0" xfId="0" applyNumberFormat="1" applyFont="1" applyFill="1" applyAlignment="1">
      <alignment horizontal="right"/>
    </xf>
    <xf numFmtId="170" fontId="59" fillId="14" borderId="8" xfId="0" applyNumberFormat="1" applyFont="1" applyFill="1" applyBorder="1"/>
    <xf numFmtId="170" fontId="59" fillId="14" borderId="2" xfId="0" applyNumberFormat="1" applyFont="1" applyFill="1" applyBorder="1"/>
    <xf numFmtId="170" fontId="3" fillId="14" borderId="8" xfId="0" applyNumberFormat="1" applyFont="1" applyFill="1" applyBorder="1" applyAlignment="1">
      <alignment horizontal="center"/>
    </xf>
    <xf numFmtId="169" fontId="60" fillId="16" borderId="9" xfId="0" applyNumberFormat="1" applyFont="1" applyFill="1" applyBorder="1"/>
    <xf numFmtId="166" fontId="60" fillId="14" borderId="11" xfId="0" applyNumberFormat="1" applyFont="1" applyFill="1" applyBorder="1" applyAlignment="1">
      <alignment horizontal="left"/>
    </xf>
    <xf numFmtId="166" fontId="60" fillId="14" borderId="3" xfId="0" applyNumberFormat="1" applyFont="1" applyFill="1" applyBorder="1" applyAlignment="1">
      <alignment horizontal="left"/>
    </xf>
    <xf numFmtId="0" fontId="3" fillId="14" borderId="6" xfId="0" applyFont="1" applyFill="1" applyBorder="1" applyAlignment="1">
      <alignment horizontal="left"/>
    </xf>
    <xf numFmtId="3" fontId="3" fillId="6" borderId="5" xfId="0" applyNumberFormat="1" applyFont="1" applyFill="1" applyBorder="1" applyAlignment="1">
      <alignment horizontal="center"/>
    </xf>
    <xf numFmtId="0" fontId="60" fillId="6" borderId="6" xfId="0" applyFont="1" applyFill="1" applyBorder="1"/>
    <xf numFmtId="9" fontId="110" fillId="14" borderId="1" xfId="0" applyNumberFormat="1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 wrapText="1"/>
    </xf>
    <xf numFmtId="0" fontId="59" fillId="6" borderId="8" xfId="0" applyFont="1" applyFill="1" applyBorder="1" applyAlignment="1">
      <alignment horizontal="center" vertical="center"/>
    </xf>
    <xf numFmtId="9" fontId="110" fillId="14" borderId="14" xfId="0" applyNumberFormat="1" applyFont="1" applyFill="1" applyBorder="1" applyAlignment="1">
      <alignment horizontal="center" vertical="center"/>
    </xf>
    <xf numFmtId="0" fontId="41" fillId="14" borderId="4" xfId="0" applyFont="1" applyFill="1" applyBorder="1" applyAlignment="1">
      <alignment horizontal="left" vertical="center"/>
    </xf>
    <xf numFmtId="0" fontId="57" fillId="9" borderId="3" xfId="0" applyFont="1" applyFill="1" applyBorder="1" applyAlignment="1">
      <alignment horizontal="center" vertical="center"/>
    </xf>
    <xf numFmtId="0" fontId="57" fillId="8" borderId="5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/>
    </xf>
    <xf numFmtId="0" fontId="55" fillId="14" borderId="3" xfId="0" applyFont="1" applyFill="1" applyBorder="1" applyAlignment="1">
      <alignment horizontal="left"/>
    </xf>
    <xf numFmtId="9" fontId="65" fillId="14" borderId="9" xfId="0" applyNumberFormat="1" applyFont="1" applyFill="1" applyBorder="1" applyAlignment="1">
      <alignment horizontal="center"/>
    </xf>
    <xf numFmtId="0" fontId="60" fillId="6" borderId="8" xfId="0" applyFont="1" applyFill="1" applyBorder="1" applyAlignment="1">
      <alignment horizontal="left"/>
    </xf>
    <xf numFmtId="9" fontId="9" fillId="6" borderId="14" xfId="0" applyNumberFormat="1" applyFont="1" applyFill="1" applyBorder="1" applyAlignment="1">
      <alignment horizontal="center"/>
    </xf>
    <xf numFmtId="9" fontId="55" fillId="6" borderId="1" xfId="0" applyNumberFormat="1" applyFont="1" applyFill="1" applyBorder="1" applyAlignment="1">
      <alignment horizontal="center"/>
    </xf>
    <xf numFmtId="0" fontId="41" fillId="6" borderId="9" xfId="0" applyFont="1" applyFill="1" applyBorder="1" applyAlignment="1">
      <alignment wrapText="1"/>
    </xf>
    <xf numFmtId="170" fontId="59" fillId="6" borderId="9" xfId="0" applyNumberFormat="1" applyFont="1" applyFill="1" applyBorder="1"/>
    <xf numFmtId="3" fontId="3" fillId="6" borderId="13" xfId="0" applyNumberFormat="1" applyFont="1" applyFill="1" applyBorder="1" applyAlignment="1">
      <alignment horizontal="center"/>
    </xf>
    <xf numFmtId="169" fontId="60" fillId="6" borderId="3" xfId="0" applyNumberFormat="1" applyFont="1" applyFill="1" applyBorder="1" applyAlignment="1">
      <alignment horizontal="center"/>
    </xf>
    <xf numFmtId="9" fontId="9" fillId="6" borderId="15" xfId="0" applyNumberFormat="1" applyFont="1" applyFill="1" applyBorder="1" applyAlignment="1">
      <alignment horizontal="center"/>
    </xf>
    <xf numFmtId="9" fontId="55" fillId="6" borderId="2" xfId="0" applyNumberFormat="1" applyFont="1" applyFill="1" applyBorder="1" applyAlignment="1">
      <alignment horizontal="center"/>
    </xf>
    <xf numFmtId="0" fontId="41" fillId="6" borderId="12" xfId="0" applyFont="1" applyFill="1" applyBorder="1" applyAlignment="1">
      <alignment wrapText="1"/>
    </xf>
    <xf numFmtId="169" fontId="60" fillId="6" borderId="14" xfId="0" applyNumberFormat="1" applyFont="1" applyFill="1" applyBorder="1" applyAlignment="1">
      <alignment horizontal="center"/>
    </xf>
    <xf numFmtId="3" fontId="84" fillId="6" borderId="12" xfId="0" applyNumberFormat="1" applyFont="1" applyFill="1" applyBorder="1" applyAlignment="1">
      <alignment horizontal="center"/>
    </xf>
    <xf numFmtId="166" fontId="60" fillId="6" borderId="9" xfId="0" applyNumberFormat="1" applyFont="1" applyFill="1" applyBorder="1" applyAlignment="1">
      <alignment horizontal="left"/>
    </xf>
    <xf numFmtId="9" fontId="55" fillId="6" borderId="9" xfId="0" applyNumberFormat="1" applyFont="1" applyFill="1" applyBorder="1" applyAlignment="1">
      <alignment horizontal="center"/>
    </xf>
    <xf numFmtId="0" fontId="41" fillId="6" borderId="5" xfId="0" applyFont="1" applyFill="1" applyBorder="1" applyAlignment="1">
      <alignment horizontal="left"/>
    </xf>
    <xf numFmtId="0" fontId="41" fillId="6" borderId="8" xfId="0" applyFont="1" applyFill="1" applyBorder="1" applyAlignment="1">
      <alignment horizontal="left"/>
    </xf>
    <xf numFmtId="9" fontId="9" fillId="6" borderId="7" xfId="0" applyNumberFormat="1" applyFont="1" applyFill="1" applyBorder="1" applyAlignment="1">
      <alignment horizontal="center"/>
    </xf>
    <xf numFmtId="0" fontId="41" fillId="6" borderId="8" xfId="0" applyFont="1" applyFill="1" applyBorder="1" applyAlignment="1">
      <alignment horizontal="left" wrapText="1"/>
    </xf>
    <xf numFmtId="9" fontId="9" fillId="6" borderId="2" xfId="0" applyNumberFormat="1" applyFont="1" applyFill="1" applyBorder="1" applyAlignment="1">
      <alignment horizontal="center"/>
    </xf>
    <xf numFmtId="169" fontId="59" fillId="6" borderId="6" xfId="0" applyNumberFormat="1" applyFont="1" applyFill="1" applyBorder="1" applyAlignment="1">
      <alignment horizontal="right"/>
    </xf>
    <xf numFmtId="9" fontId="55" fillId="6" borderId="14" xfId="0" applyNumberFormat="1" applyFont="1" applyFill="1" applyBorder="1" applyAlignment="1">
      <alignment horizontal="center"/>
    </xf>
    <xf numFmtId="0" fontId="41" fillId="6" borderId="9" xfId="0" applyFont="1" applyFill="1" applyBorder="1"/>
    <xf numFmtId="0" fontId="41" fillId="6" borderId="4" xfId="0" applyFont="1" applyFill="1" applyBorder="1"/>
    <xf numFmtId="9" fontId="65" fillId="6" borderId="1" xfId="0" applyNumberFormat="1" applyFont="1" applyFill="1" applyBorder="1" applyAlignment="1">
      <alignment horizontal="center"/>
    </xf>
    <xf numFmtId="166" fontId="112" fillId="6" borderId="1" xfId="0" applyNumberFormat="1" applyFont="1" applyFill="1" applyBorder="1" applyAlignment="1">
      <alignment horizontal="right"/>
    </xf>
    <xf numFmtId="9" fontId="84" fillId="14" borderId="12" xfId="0" applyNumberFormat="1" applyFont="1" applyFill="1" applyBorder="1" applyAlignment="1">
      <alignment horizontal="center"/>
    </xf>
    <xf numFmtId="9" fontId="84" fillId="6" borderId="12" xfId="0" applyNumberFormat="1" applyFont="1" applyFill="1" applyBorder="1" applyAlignment="1">
      <alignment horizontal="center"/>
    </xf>
    <xf numFmtId="0" fontId="41" fillId="0" borderId="0" xfId="0" applyFont="1"/>
    <xf numFmtId="166" fontId="112" fillId="0" borderId="1" xfId="0" applyNumberFormat="1" applyFont="1" applyBorder="1"/>
    <xf numFmtId="169" fontId="60" fillId="14" borderId="1" xfId="0" applyNumberFormat="1" applyFont="1" applyFill="1" applyBorder="1"/>
    <xf numFmtId="0" fontId="59" fillId="6" borderId="6" xfId="0" applyFont="1" applyFill="1" applyBorder="1" applyAlignment="1">
      <alignment horizontal="left" wrapText="1"/>
    </xf>
    <xf numFmtId="0" fontId="59" fillId="6" borderId="3" xfId="0" applyFont="1" applyFill="1" applyBorder="1" applyAlignment="1">
      <alignment horizontal="left" wrapText="1"/>
    </xf>
    <xf numFmtId="0" fontId="57" fillId="8" borderId="3" xfId="0" applyFont="1" applyFill="1" applyBorder="1" applyAlignment="1">
      <alignment horizontal="left"/>
    </xf>
    <xf numFmtId="170" fontId="59" fillId="14" borderId="14" xfId="0" applyNumberFormat="1" applyFont="1" applyFill="1" applyBorder="1" applyAlignment="1">
      <alignment horizontal="center" vertical="center"/>
    </xf>
    <xf numFmtId="0" fontId="59" fillId="14" borderId="9" xfId="0" applyFont="1" applyFill="1" applyBorder="1" applyAlignment="1">
      <alignment horizontal="left" vertical="center"/>
    </xf>
    <xf numFmtId="0" fontId="111" fillId="14" borderId="5" xfId="0" applyFont="1" applyFill="1" applyBorder="1" applyAlignment="1">
      <alignment horizontal="center"/>
    </xf>
    <xf numFmtId="0" fontId="3" fillId="14" borderId="1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wrapText="1"/>
    </xf>
    <xf numFmtId="0" fontId="60" fillId="12" borderId="1" xfId="0" applyFont="1" applyFill="1" applyBorder="1" applyAlignment="1">
      <alignment horizontal="left"/>
    </xf>
    <xf numFmtId="0" fontId="60" fillId="12" borderId="1" xfId="0" applyFont="1" applyFill="1" applyBorder="1" applyAlignment="1">
      <alignment horizontal="left" wrapText="1"/>
    </xf>
    <xf numFmtId="0" fontId="41" fillId="12" borderId="9" xfId="0" applyFont="1" applyFill="1" applyBorder="1" applyAlignment="1">
      <alignment wrapText="1"/>
    </xf>
    <xf numFmtId="0" fontId="41" fillId="12" borderId="5" xfId="0" applyFont="1" applyFill="1" applyBorder="1" applyAlignment="1">
      <alignment horizontal="left" wrapText="1"/>
    </xf>
    <xf numFmtId="0" fontId="41" fillId="12" borderId="12" xfId="0" applyFont="1" applyFill="1" applyBorder="1" applyAlignment="1">
      <alignment wrapText="1"/>
    </xf>
    <xf numFmtId="0" fontId="41" fillId="12" borderId="8" xfId="0" applyFont="1" applyFill="1" applyBorder="1" applyAlignment="1">
      <alignment wrapText="1"/>
    </xf>
    <xf numFmtId="0" fontId="41" fillId="12" borderId="1" xfId="0" applyFont="1" applyFill="1" applyBorder="1" applyAlignment="1">
      <alignment horizontal="left"/>
    </xf>
    <xf numFmtId="0" fontId="41" fillId="12" borderId="5" xfId="0" applyFont="1" applyFill="1" applyBorder="1" applyAlignment="1">
      <alignment horizontal="left"/>
    </xf>
    <xf numFmtId="0" fontId="41" fillId="12" borderId="8" xfId="0" applyFont="1" applyFill="1" applyBorder="1" applyAlignment="1">
      <alignment horizontal="left" wrapText="1"/>
    </xf>
    <xf numFmtId="0" fontId="41" fillId="12" borderId="8" xfId="0" applyFont="1" applyFill="1" applyBorder="1" applyAlignment="1">
      <alignment horizontal="left"/>
    </xf>
    <xf numFmtId="0" fontId="41" fillId="12" borderId="1" xfId="0" applyFont="1" applyFill="1" applyBorder="1"/>
    <xf numFmtId="0" fontId="41" fillId="12" borderId="9" xfId="0" applyFont="1" applyFill="1" applyBorder="1"/>
    <xf numFmtId="170" fontId="59" fillId="14" borderId="9" xfId="0" applyNumberFormat="1" applyFont="1" applyFill="1" applyBorder="1" applyAlignment="1">
      <alignment horizontal="center" vertical="center"/>
    </xf>
    <xf numFmtId="9" fontId="59" fillId="14" borderId="9" xfId="0" applyNumberFormat="1" applyFont="1" applyFill="1" applyBorder="1" applyAlignment="1">
      <alignment horizontal="center" vertical="center"/>
    </xf>
    <xf numFmtId="170" fontId="59" fillId="14" borderId="9" xfId="0" applyNumberFormat="1" applyFont="1" applyFill="1" applyBorder="1" applyAlignment="1">
      <alignment horizontal="left"/>
    </xf>
    <xf numFmtId="169" fontId="60" fillId="14" borderId="6" xfId="0" applyNumberFormat="1" applyFont="1" applyFill="1" applyBorder="1" applyAlignment="1">
      <alignment horizontal="right"/>
    </xf>
    <xf numFmtId="0" fontId="59" fillId="6" borderId="12" xfId="0" applyFont="1" applyFill="1" applyBorder="1" applyAlignment="1">
      <alignment horizontal="left"/>
    </xf>
    <xf numFmtId="0" fontId="3" fillId="6" borderId="6" xfId="0" applyFont="1" applyFill="1" applyBorder="1" applyAlignment="1">
      <alignment horizontal="left"/>
    </xf>
    <xf numFmtId="0" fontId="60" fillId="6" borderId="6" xfId="0" applyFont="1" applyFill="1" applyBorder="1" applyAlignment="1">
      <alignment horizontal="left" wrapText="1"/>
    </xf>
    <xf numFmtId="0" fontId="41" fillId="6" borderId="11" xfId="0" applyFont="1" applyFill="1" applyBorder="1"/>
    <xf numFmtId="170" fontId="59" fillId="6" borderId="5" xfId="0" applyNumberFormat="1" applyFont="1" applyFill="1" applyBorder="1" applyAlignment="1">
      <alignment horizontal="right"/>
    </xf>
    <xf numFmtId="169" fontId="60" fillId="6" borderId="3" xfId="0" applyNumberFormat="1" applyFont="1" applyFill="1" applyBorder="1"/>
    <xf numFmtId="166" fontId="60" fillId="6" borderId="5" xfId="0" applyNumberFormat="1" applyFont="1" applyFill="1" applyBorder="1" applyAlignment="1">
      <alignment horizontal="left"/>
    </xf>
    <xf numFmtId="0" fontId="60" fillId="6" borderId="3" xfId="0" applyFont="1" applyFill="1" applyBorder="1" applyAlignment="1">
      <alignment horizontal="left"/>
    </xf>
    <xf numFmtId="0" fontId="67" fillId="14" borderId="1" xfId="0" applyFont="1" applyFill="1" applyBorder="1" applyAlignment="1">
      <alignment horizontal="center"/>
    </xf>
    <xf numFmtId="9" fontId="59" fillId="14" borderId="1" xfId="0" applyNumberFormat="1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left"/>
    </xf>
    <xf numFmtId="0" fontId="67" fillId="6" borderId="1" xfId="0" applyFont="1" applyFill="1" applyBorder="1" applyAlignment="1">
      <alignment horizontal="center"/>
    </xf>
    <xf numFmtId="169" fontId="60" fillId="14" borderId="6" xfId="0" applyNumberFormat="1" applyFont="1" applyFill="1" applyBorder="1"/>
    <xf numFmtId="3" fontId="84" fillId="14" borderId="8" xfId="0" applyNumberFormat="1" applyFont="1" applyFill="1" applyBorder="1" applyAlignment="1">
      <alignment horizontal="center"/>
    </xf>
    <xf numFmtId="0" fontId="54" fillId="16" borderId="7" xfId="0" applyFont="1" applyFill="1" applyBorder="1" applyAlignment="1">
      <alignment horizontal="center"/>
    </xf>
    <xf numFmtId="9" fontId="60" fillId="16" borderId="7" xfId="0" applyNumberFormat="1" applyFont="1" applyFill="1" applyBorder="1" applyAlignment="1">
      <alignment horizontal="center"/>
    </xf>
    <xf numFmtId="170" fontId="60" fillId="16" borderId="3" xfId="0" applyNumberFormat="1" applyFont="1" applyFill="1" applyBorder="1" applyAlignment="1">
      <alignment horizontal="left"/>
    </xf>
    <xf numFmtId="9" fontId="60" fillId="6" borderId="1" xfId="0" applyNumberFormat="1" applyFont="1" applyFill="1" applyBorder="1"/>
    <xf numFmtId="166" fontId="60" fillId="6" borderId="8" xfId="0" applyNumberFormat="1" applyFont="1" applyFill="1" applyBorder="1" applyAlignment="1">
      <alignment horizontal="right"/>
    </xf>
    <xf numFmtId="0" fontId="59" fillId="6" borderId="1" xfId="0" applyFont="1" applyFill="1" applyBorder="1" applyAlignment="1">
      <alignment horizontal="left" wrapText="1"/>
    </xf>
    <xf numFmtId="0" fontId="3" fillId="6" borderId="6" xfId="0" applyFont="1" applyFill="1" applyBorder="1" applyAlignment="1">
      <alignment horizontal="center" vertical="center"/>
    </xf>
    <xf numFmtId="0" fontId="59" fillId="6" borderId="4" xfId="0" applyFont="1" applyFill="1" applyBorder="1"/>
    <xf numFmtId="0" fontId="3" fillId="14" borderId="12" xfId="0" applyFont="1" applyFill="1" applyBorder="1" applyAlignment="1">
      <alignment horizontal="center"/>
    </xf>
    <xf numFmtId="0" fontId="41" fillId="0" borderId="3" xfId="0" applyFont="1" applyBorder="1" applyAlignment="1">
      <alignment horizontal="left" wrapText="1"/>
    </xf>
    <xf numFmtId="0" fontId="3" fillId="16" borderId="10" xfId="0" applyFont="1" applyFill="1" applyBorder="1" applyAlignment="1">
      <alignment horizontal="center"/>
    </xf>
    <xf numFmtId="170" fontId="60" fillId="16" borderId="9" xfId="0" applyNumberFormat="1" applyFont="1" applyFill="1" applyBorder="1" applyAlignment="1">
      <alignment horizontal="right"/>
    </xf>
    <xf numFmtId="3" fontId="84" fillId="16" borderId="8" xfId="0" applyNumberFormat="1" applyFont="1" applyFill="1" applyBorder="1" applyAlignment="1">
      <alignment horizontal="center" vertical="center"/>
    </xf>
    <xf numFmtId="0" fontId="57" fillId="16" borderId="7" xfId="0" applyFont="1" applyFill="1" applyBorder="1"/>
    <xf numFmtId="0" fontId="3" fillId="6" borderId="13" xfId="0" applyFont="1" applyFill="1" applyBorder="1" applyAlignment="1">
      <alignment horizontal="center" vertical="center"/>
    </xf>
    <xf numFmtId="170" fontId="59" fillId="6" borderId="6" xfId="0" applyNumberFormat="1" applyFont="1" applyFill="1" applyBorder="1" applyAlignment="1">
      <alignment horizontal="left"/>
    </xf>
    <xf numFmtId="170" fontId="60" fillId="6" borderId="6" xfId="0" applyNumberFormat="1" applyFont="1" applyFill="1" applyBorder="1" applyAlignment="1">
      <alignment wrapText="1"/>
    </xf>
    <xf numFmtId="0" fontId="41" fillId="0" borderId="1" xfId="0" applyFont="1" applyBorder="1" applyAlignment="1">
      <alignment horizontal="left"/>
    </xf>
    <xf numFmtId="0" fontId="41" fillId="14" borderId="9" xfId="0" applyFont="1" applyFill="1" applyBorder="1" applyAlignment="1">
      <alignment horizontal="left"/>
    </xf>
    <xf numFmtId="9" fontId="3" fillId="14" borderId="3" xfId="0" applyNumberFormat="1" applyFont="1" applyFill="1" applyBorder="1" applyAlignment="1">
      <alignment horizontal="center"/>
    </xf>
    <xf numFmtId="9" fontId="65" fillId="14" borderId="3" xfId="0" applyNumberFormat="1" applyFont="1" applyFill="1" applyBorder="1" applyAlignment="1">
      <alignment horizontal="center" vertical="center"/>
    </xf>
    <xf numFmtId="9" fontId="59" fillId="6" borderId="3" xfId="0" applyNumberFormat="1" applyFont="1" applyFill="1" applyBorder="1" applyAlignment="1">
      <alignment horizontal="center" vertical="center"/>
    </xf>
    <xf numFmtId="0" fontId="65" fillId="14" borderId="1" xfId="0" applyFont="1" applyFill="1" applyBorder="1" applyAlignment="1">
      <alignment horizontal="center" vertical="center"/>
    </xf>
    <xf numFmtId="0" fontId="4" fillId="16" borderId="7" xfId="0" applyFont="1" applyFill="1" applyBorder="1"/>
    <xf numFmtId="9" fontId="65" fillId="14" borderId="2" xfId="0" applyNumberFormat="1" applyFont="1" applyFill="1" applyBorder="1" applyAlignment="1">
      <alignment horizontal="center"/>
    </xf>
    <xf numFmtId="169" fontId="59" fillId="14" borderId="6" xfId="0" applyNumberFormat="1" applyFont="1" applyFill="1" applyBorder="1" applyAlignment="1">
      <alignment horizontal="center"/>
    </xf>
    <xf numFmtId="0" fontId="84" fillId="6" borderId="12" xfId="0" applyFont="1" applyFill="1" applyBorder="1" applyAlignment="1">
      <alignment horizontal="center"/>
    </xf>
    <xf numFmtId="169" fontId="0" fillId="6" borderId="6" xfId="0" applyNumberFormat="1" applyFill="1" applyBorder="1"/>
    <xf numFmtId="170" fontId="59" fillId="6" borderId="5" xfId="0" applyNumberFormat="1" applyFont="1" applyFill="1" applyBorder="1" applyAlignment="1">
      <alignment wrapText="1"/>
    </xf>
    <xf numFmtId="171" fontId="60" fillId="6" borderId="6" xfId="0" applyNumberFormat="1" applyFont="1" applyFill="1" applyBorder="1" applyAlignment="1">
      <alignment horizontal="center"/>
    </xf>
    <xf numFmtId="9" fontId="3" fillId="14" borderId="12" xfId="0" applyNumberFormat="1" applyFont="1" applyFill="1" applyBorder="1" applyAlignment="1">
      <alignment horizontal="center"/>
    </xf>
    <xf numFmtId="9" fontId="56" fillId="6" borderId="1" xfId="0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left"/>
    </xf>
    <xf numFmtId="9" fontId="65" fillId="14" borderId="0" xfId="0" applyNumberFormat="1" applyFont="1" applyFill="1" applyAlignment="1">
      <alignment horizontal="center"/>
    </xf>
    <xf numFmtId="0" fontId="41" fillId="14" borderId="12" xfId="0" applyFont="1" applyFill="1" applyBorder="1" applyAlignment="1">
      <alignment wrapText="1"/>
    </xf>
    <xf numFmtId="9" fontId="9" fillId="6" borderId="5" xfId="0" applyNumberFormat="1" applyFont="1" applyFill="1" applyBorder="1" applyAlignment="1">
      <alignment horizontal="center"/>
    </xf>
    <xf numFmtId="9" fontId="57" fillId="6" borderId="8" xfId="0" applyNumberFormat="1" applyFont="1" applyFill="1" applyBorder="1" applyAlignment="1">
      <alignment horizontal="center"/>
    </xf>
    <xf numFmtId="9" fontId="5" fillId="6" borderId="8" xfId="0" applyNumberFormat="1" applyFont="1" applyFill="1" applyBorder="1" applyAlignment="1">
      <alignment horizontal="center"/>
    </xf>
    <xf numFmtId="0" fontId="55" fillId="14" borderId="7" xfId="0" applyFont="1" applyFill="1" applyBorder="1" applyAlignment="1">
      <alignment horizontal="left" wrapText="1"/>
    </xf>
    <xf numFmtId="170" fontId="55" fillId="6" borderId="7" xfId="0" applyNumberFormat="1" applyFont="1" applyFill="1" applyBorder="1" applyAlignment="1">
      <alignment horizontal="right"/>
    </xf>
    <xf numFmtId="0" fontId="22" fillId="14" borderId="1" xfId="0" applyFont="1" applyFill="1" applyBorder="1"/>
    <xf numFmtId="0" fontId="22" fillId="14" borderId="1" xfId="0" applyFont="1" applyFill="1" applyBorder="1" applyAlignment="1">
      <alignment horizontal="left" wrapText="1"/>
    </xf>
    <xf numFmtId="170" fontId="2" fillId="6" borderId="8" xfId="0" applyNumberFormat="1" applyFont="1" applyFill="1" applyBorder="1" applyAlignment="1">
      <alignment horizontal="center"/>
    </xf>
    <xf numFmtId="0" fontId="22" fillId="14" borderId="9" xfId="0" applyFont="1" applyFill="1" applyBorder="1" applyAlignment="1">
      <alignment horizontal="left" wrapText="1"/>
    </xf>
    <xf numFmtId="170" fontId="2" fillId="6" borderId="12" xfId="0" applyNumberFormat="1" applyFont="1" applyFill="1" applyBorder="1" applyAlignment="1">
      <alignment horizontal="center"/>
    </xf>
    <xf numFmtId="0" fontId="22" fillId="14" borderId="1" xfId="0" applyFont="1" applyFill="1" applyBorder="1" applyAlignment="1">
      <alignment wrapText="1"/>
    </xf>
    <xf numFmtId="170" fontId="55" fillId="6" borderId="8" xfId="0" applyNumberFormat="1" applyFont="1" applyFill="1" applyBorder="1" applyAlignment="1">
      <alignment horizontal="right"/>
    </xf>
    <xf numFmtId="0" fontId="22" fillId="14" borderId="1" xfId="0" applyFont="1" applyFill="1" applyBorder="1" applyAlignment="1">
      <alignment horizontal="left" vertical="center"/>
    </xf>
    <xf numFmtId="170" fontId="55" fillId="6" borderId="8" xfId="0" applyNumberFormat="1" applyFont="1" applyFill="1" applyBorder="1" applyAlignment="1">
      <alignment horizontal="center" vertical="center"/>
    </xf>
    <xf numFmtId="0" fontId="55" fillId="14" borderId="5" xfId="0" applyFont="1" applyFill="1" applyBorder="1" applyAlignment="1">
      <alignment horizontal="center" vertical="center"/>
    </xf>
    <xf numFmtId="9" fontId="55" fillId="14" borderId="3" xfId="0" applyNumberFormat="1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left" wrapText="1"/>
    </xf>
    <xf numFmtId="170" fontId="55" fillId="6" borderId="7" xfId="0" applyNumberFormat="1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left" vertical="center" wrapText="1"/>
    </xf>
    <xf numFmtId="170" fontId="54" fillId="6" borderId="13" xfId="0" applyNumberFormat="1" applyFont="1" applyFill="1" applyBorder="1" applyAlignment="1">
      <alignment horizontal="center" vertical="center"/>
    </xf>
    <xf numFmtId="0" fontId="112" fillId="33" borderId="8" xfId="0" applyFont="1" applyFill="1" applyBorder="1"/>
    <xf numFmtId="0" fontId="112" fillId="0" borderId="1" xfId="0" applyFont="1" applyBorder="1"/>
    <xf numFmtId="0" fontId="114" fillId="14" borderId="4" xfId="0" applyFont="1" applyFill="1" applyBorder="1" applyAlignment="1">
      <alignment horizontal="center"/>
    </xf>
    <xf numFmtId="9" fontId="114" fillId="14" borderId="10" xfId="0" applyNumberFormat="1" applyFont="1" applyFill="1" applyBorder="1" applyAlignment="1">
      <alignment horizontal="center"/>
    </xf>
    <xf numFmtId="0" fontId="114" fillId="14" borderId="12" xfId="0" applyFont="1" applyFill="1" applyBorder="1" applyAlignment="1">
      <alignment horizontal="center"/>
    </xf>
    <xf numFmtId="9" fontId="114" fillId="14" borderId="1" xfId="0" applyNumberFormat="1" applyFont="1" applyFill="1" applyBorder="1" applyAlignment="1">
      <alignment horizontal="center"/>
    </xf>
    <xf numFmtId="9" fontId="114" fillId="14" borderId="9" xfId="0" applyNumberFormat="1" applyFont="1" applyFill="1" applyBorder="1" applyAlignment="1">
      <alignment horizontal="center"/>
    </xf>
    <xf numFmtId="0" fontId="114" fillId="14" borderId="1" xfId="0" applyFont="1" applyFill="1" applyBorder="1" applyAlignment="1">
      <alignment horizontal="center"/>
    </xf>
    <xf numFmtId="0" fontId="55" fillId="14" borderId="1" xfId="0" applyFont="1" applyFill="1" applyBorder="1" applyAlignment="1">
      <alignment horizontal="center" vertical="center"/>
    </xf>
    <xf numFmtId="9" fontId="55" fillId="14" borderId="1" xfId="0" applyNumberFormat="1" applyFont="1" applyFill="1" applyBorder="1" applyAlignment="1">
      <alignment horizontal="center" vertical="center"/>
    </xf>
    <xf numFmtId="0" fontId="114" fillId="14" borderId="5" xfId="0" applyFont="1" applyFill="1" applyBorder="1" applyAlignment="1">
      <alignment horizontal="center" vertical="center"/>
    </xf>
    <xf numFmtId="0" fontId="115" fillId="33" borderId="8" xfId="0" applyFont="1" applyFill="1" applyBorder="1" applyAlignment="1">
      <alignment horizontal="center"/>
    </xf>
    <xf numFmtId="0" fontId="54" fillId="14" borderId="13" xfId="0" applyFont="1" applyFill="1" applyBorder="1" applyAlignment="1">
      <alignment wrapText="1"/>
    </xf>
    <xf numFmtId="0" fontId="54" fillId="14" borderId="13" xfId="0" applyFont="1" applyFill="1" applyBorder="1"/>
    <xf numFmtId="0" fontId="115" fillId="33" borderId="1" xfId="0" applyFont="1" applyFill="1" applyBorder="1" applyAlignment="1">
      <alignment horizontal="center"/>
    </xf>
    <xf numFmtId="0" fontId="115" fillId="14" borderId="1" xfId="0" applyFont="1" applyFill="1" applyBorder="1" applyAlignment="1">
      <alignment horizontal="center"/>
    </xf>
    <xf numFmtId="0" fontId="54" fillId="14" borderId="1" xfId="0" applyFont="1" applyFill="1" applyBorder="1"/>
    <xf numFmtId="0" fontId="54" fillId="14" borderId="1" xfId="0" applyFont="1" applyFill="1" applyBorder="1" applyAlignment="1">
      <alignment wrapText="1"/>
    </xf>
    <xf numFmtId="0" fontId="55" fillId="33" borderId="1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left" wrapText="1"/>
    </xf>
    <xf numFmtId="0" fontId="115" fillId="34" borderId="1" xfId="0" applyFont="1" applyFill="1" applyBorder="1" applyAlignment="1">
      <alignment horizontal="center" vertical="center"/>
    </xf>
    <xf numFmtId="0" fontId="115" fillId="14" borderId="13" xfId="0" applyFont="1" applyFill="1" applyBorder="1" applyAlignment="1">
      <alignment horizontal="center" vertical="center"/>
    </xf>
    <xf numFmtId="0" fontId="54" fillId="14" borderId="5" xfId="0" applyFont="1" applyFill="1" applyBorder="1" applyAlignment="1">
      <alignment horizontal="left" vertical="center" wrapText="1"/>
    </xf>
    <xf numFmtId="0" fontId="117" fillId="14" borderId="1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9" fontId="5" fillId="14" borderId="2" xfId="0" applyNumberFormat="1" applyFont="1" applyFill="1" applyBorder="1" applyAlignment="1">
      <alignment horizontal="center"/>
    </xf>
    <xf numFmtId="0" fontId="6" fillId="0" borderId="0" xfId="0" applyFont="1"/>
    <xf numFmtId="0" fontId="2" fillId="5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9" fillId="0" borderId="0" xfId="0" applyFont="1"/>
    <xf numFmtId="0" fontId="6" fillId="14" borderId="1" xfId="0" applyFont="1" applyFill="1" applyBorder="1"/>
    <xf numFmtId="0" fontId="9" fillId="0" borderId="11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/>
    </xf>
    <xf numFmtId="0" fontId="56" fillId="0" borderId="12" xfId="0" applyFont="1" applyBorder="1"/>
    <xf numFmtId="0" fontId="56" fillId="0" borderId="7" xfId="0" applyFont="1" applyBorder="1"/>
    <xf numFmtId="0" fontId="56" fillId="6" borderId="0" xfId="0" applyFont="1" applyFill="1" applyAlignment="1">
      <alignment horizontal="center" vertical="center"/>
    </xf>
    <xf numFmtId="0" fontId="54" fillId="16" borderId="1" xfId="0" applyFont="1" applyFill="1" applyBorder="1"/>
    <xf numFmtId="0" fontId="54" fillId="0" borderId="9" xfId="0" applyFont="1" applyBorder="1"/>
    <xf numFmtId="0" fontId="54" fillId="16" borderId="1" xfId="0" applyFont="1" applyFill="1" applyBorder="1" applyAlignment="1">
      <alignment horizontal="left"/>
    </xf>
    <xf numFmtId="0" fontId="94" fillId="14" borderId="0" xfId="0" applyFont="1" applyFill="1" applyAlignment="1">
      <alignment wrapText="1"/>
    </xf>
    <xf numFmtId="0" fontId="61" fillId="14" borderId="0" xfId="0" applyFont="1" applyFill="1" applyAlignment="1">
      <alignment wrapText="1"/>
    </xf>
    <xf numFmtId="0" fontId="54" fillId="14" borderId="1" xfId="0" applyFont="1" applyFill="1" applyBorder="1" applyAlignment="1">
      <alignment horizontal="right"/>
    </xf>
    <xf numFmtId="0" fontId="55" fillId="14" borderId="1" xfId="0" applyFont="1" applyFill="1" applyBorder="1"/>
    <xf numFmtId="0" fontId="55" fillId="14" borderId="9" xfId="0" applyFont="1" applyFill="1" applyBorder="1"/>
    <xf numFmtId="0" fontId="55" fillId="14" borderId="5" xfId="0" applyFont="1" applyFill="1" applyBorder="1"/>
    <xf numFmtId="0" fontId="55" fillId="14" borderId="8" xfId="0" applyFont="1" applyFill="1" applyBorder="1"/>
    <xf numFmtId="0" fontId="6" fillId="14" borderId="8" xfId="0" applyFont="1" applyFill="1" applyBorder="1"/>
    <xf numFmtId="0" fontId="6" fillId="0" borderId="12" xfId="0" applyFont="1" applyBorder="1"/>
    <xf numFmtId="0" fontId="2" fillId="5" borderId="10" xfId="0" applyFont="1" applyFill="1" applyBorder="1" applyAlignment="1">
      <alignment horizontal="center"/>
    </xf>
    <xf numFmtId="0" fontId="56" fillId="6" borderId="1" xfId="0" applyFont="1" applyFill="1" applyBorder="1" applyAlignment="1">
      <alignment horizontal="center" vertical="center"/>
    </xf>
    <xf numFmtId="0" fontId="54" fillId="16" borderId="5" xfId="0" applyFont="1" applyFill="1" applyBorder="1"/>
    <xf numFmtId="0" fontId="96" fillId="14" borderId="0" xfId="0" applyFont="1" applyFill="1" applyAlignment="1">
      <alignment wrapText="1"/>
    </xf>
    <xf numFmtId="0" fontId="61" fillId="14" borderId="0" xfId="0" applyFont="1" applyFill="1" applyAlignment="1">
      <alignment horizontal="center" wrapText="1"/>
    </xf>
    <xf numFmtId="0" fontId="54" fillId="14" borderId="1" xfId="0" applyFont="1" applyFill="1" applyBorder="1" applyAlignment="1">
      <alignment horizontal="center" wrapText="1"/>
    </xf>
    <xf numFmtId="0" fontId="55" fillId="14" borderId="5" xfId="0" applyFont="1" applyFill="1" applyBorder="1" applyAlignment="1">
      <alignment horizontal="center"/>
    </xf>
    <xf numFmtId="0" fontId="94" fillId="14" borderId="9" xfId="0" applyFont="1" applyFill="1" applyBorder="1" applyAlignment="1">
      <alignment horizontal="center" wrapText="1"/>
    </xf>
    <xf numFmtId="0" fontId="22" fillId="14" borderId="1" xfId="0" applyFont="1" applyFill="1" applyBorder="1" applyAlignment="1">
      <alignment horizontal="center" wrapText="1"/>
    </xf>
    <xf numFmtId="0" fontId="54" fillId="0" borderId="4" xfId="0" applyFont="1" applyBorder="1"/>
    <xf numFmtId="0" fontId="94" fillId="14" borderId="0" xfId="0" applyFont="1" applyFill="1" applyAlignment="1">
      <alignment horizontal="center" wrapText="1"/>
    </xf>
    <xf numFmtId="0" fontId="54" fillId="14" borderId="4" xfId="0" applyFont="1" applyFill="1" applyBorder="1" applyAlignment="1">
      <alignment horizontal="center"/>
    </xf>
    <xf numFmtId="0" fontId="6" fillId="14" borderId="8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/>
    </xf>
    <xf numFmtId="0" fontId="6" fillId="6" borderId="8" xfId="0" applyFont="1" applyFill="1" applyBorder="1"/>
    <xf numFmtId="0" fontId="2" fillId="5" borderId="12" xfId="0" applyFont="1" applyFill="1" applyBorder="1" applyAlignment="1">
      <alignment horizontal="center"/>
    </xf>
    <xf numFmtId="0" fontId="56" fillId="0" borderId="10" xfId="0" applyFont="1" applyBorder="1"/>
    <xf numFmtId="0" fontId="118" fillId="6" borderId="1" xfId="0" applyFont="1" applyFill="1" applyBorder="1" applyAlignment="1">
      <alignment horizontal="center" vertical="center" wrapText="1"/>
    </xf>
    <xf numFmtId="0" fontId="118" fillId="6" borderId="10" xfId="0" applyFont="1" applyFill="1" applyBorder="1" applyAlignment="1">
      <alignment horizontal="center" vertical="center" wrapText="1"/>
    </xf>
    <xf numFmtId="0" fontId="54" fillId="16" borderId="9" xfId="0" applyFont="1" applyFill="1" applyBorder="1" applyAlignment="1">
      <alignment horizontal="left"/>
    </xf>
    <xf numFmtId="0" fontId="54" fillId="0" borderId="5" xfId="0" applyFont="1" applyBorder="1"/>
    <xf numFmtId="0" fontId="94" fillId="14" borderId="0" xfId="0" applyFont="1" applyFill="1" applyAlignment="1">
      <alignment horizontal="center" vertical="center" wrapText="1"/>
    </xf>
    <xf numFmtId="0" fontId="54" fillId="6" borderId="5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2" xfId="0" applyFont="1" applyFill="1" applyBorder="1"/>
    <xf numFmtId="0" fontId="2" fillId="5" borderId="9" xfId="0" applyFont="1" applyFill="1" applyBorder="1" applyAlignment="1">
      <alignment horizontal="center"/>
    </xf>
    <xf numFmtId="0" fontId="120" fillId="6" borderId="9" xfId="0" applyFont="1" applyFill="1" applyBorder="1" applyAlignment="1">
      <alignment vertical="center"/>
    </xf>
    <xf numFmtId="0" fontId="119" fillId="6" borderId="4" xfId="0" applyFont="1" applyFill="1" applyBorder="1" applyAlignment="1">
      <alignment vertical="center" wrapText="1"/>
    </xf>
    <xf numFmtId="0" fontId="119" fillId="6" borderId="5" xfId="0" applyFont="1" applyFill="1" applyBorder="1" applyAlignment="1">
      <alignment vertical="center" wrapText="1"/>
    </xf>
    <xf numFmtId="0" fontId="121" fillId="14" borderId="1" xfId="0" applyFont="1" applyFill="1" applyBorder="1" applyAlignment="1">
      <alignment horizontal="center" wrapText="1"/>
    </xf>
    <xf numFmtId="0" fontId="54" fillId="6" borderId="1" xfId="0" applyFont="1" applyFill="1" applyBorder="1" applyAlignment="1">
      <alignment horizontal="center"/>
    </xf>
    <xf numFmtId="0" fontId="54" fillId="6" borderId="4" xfId="0" applyFont="1" applyFill="1" applyBorder="1"/>
    <xf numFmtId="0" fontId="54" fillId="16" borderId="9" xfId="0" applyFont="1" applyFill="1" applyBorder="1" applyAlignment="1">
      <alignment horizontal="center"/>
    </xf>
    <xf numFmtId="0" fontId="122" fillId="14" borderId="1" xfId="0" applyFont="1" applyFill="1" applyBorder="1" applyAlignment="1">
      <alignment horizontal="center" wrapText="1"/>
    </xf>
    <xf numFmtId="0" fontId="123" fillId="14" borderId="1" xfId="0" applyFont="1" applyFill="1" applyBorder="1" applyAlignment="1">
      <alignment horizontal="center" wrapText="1"/>
    </xf>
    <xf numFmtId="0" fontId="40" fillId="14" borderId="0" xfId="0" applyFont="1" applyFill="1" applyAlignment="1">
      <alignment horizontal="center" wrapText="1"/>
    </xf>
    <xf numFmtId="0" fontId="54" fillId="14" borderId="12" xfId="0" applyFont="1" applyFill="1" applyBorder="1" applyAlignment="1">
      <alignment horizontal="center"/>
    </xf>
    <xf numFmtId="0" fontId="54" fillId="0" borderId="12" xfId="0" applyFont="1" applyBorder="1"/>
    <xf numFmtId="0" fontId="6" fillId="6" borderId="1" xfId="0" applyFont="1" applyFill="1" applyBorder="1"/>
    <xf numFmtId="0" fontId="6" fillId="0" borderId="10" xfId="0" applyFont="1" applyBorder="1"/>
    <xf numFmtId="0" fontId="124" fillId="0" borderId="1" xfId="0" applyFont="1" applyBorder="1" applyAlignment="1">
      <alignment horizontal="center"/>
    </xf>
    <xf numFmtId="0" fontId="54" fillId="14" borderId="8" xfId="0" applyFont="1" applyFill="1" applyBorder="1" applyAlignment="1">
      <alignment horizontal="center"/>
    </xf>
    <xf numFmtId="0" fontId="54" fillId="14" borderId="10" xfId="0" applyFont="1" applyFill="1" applyBorder="1" applyAlignment="1">
      <alignment horizontal="center"/>
    </xf>
    <xf numFmtId="0" fontId="40" fillId="14" borderId="1" xfId="0" applyFont="1" applyFill="1" applyBorder="1" applyAlignment="1">
      <alignment horizontal="center" wrapText="1"/>
    </xf>
    <xf numFmtId="0" fontId="54" fillId="6" borderId="1" xfId="0" applyFont="1" applyFill="1" applyBorder="1"/>
    <xf numFmtId="0" fontId="122" fillId="14" borderId="12" xfId="0" applyFont="1" applyFill="1" applyBorder="1" applyAlignment="1">
      <alignment horizontal="center" wrapText="1"/>
    </xf>
    <xf numFmtId="0" fontId="40" fillId="14" borderId="0" xfId="0" applyFont="1" applyFill="1" applyAlignment="1">
      <alignment horizontal="center"/>
    </xf>
    <xf numFmtId="0" fontId="22" fillId="14" borderId="0" xfId="0" applyFont="1" applyFill="1" applyAlignment="1">
      <alignment horizontal="center" vertical="center"/>
    </xf>
    <xf numFmtId="0" fontId="108" fillId="14" borderId="0" xfId="0" applyFont="1" applyFill="1" applyAlignment="1">
      <alignment horizontal="center"/>
    </xf>
    <xf numFmtId="0" fontId="22" fillId="6" borderId="1" xfId="0" applyFont="1" applyFill="1" applyBorder="1" applyAlignment="1">
      <alignment wrapText="1"/>
    </xf>
    <xf numFmtId="0" fontId="54" fillId="16" borderId="12" xfId="0" applyFont="1" applyFill="1" applyBorder="1" applyAlignment="1">
      <alignment horizontal="center"/>
    </xf>
    <xf numFmtId="0" fontId="35" fillId="14" borderId="0" xfId="0" applyFont="1" applyFill="1" applyAlignment="1">
      <alignment horizontal="center"/>
    </xf>
    <xf numFmtId="0" fontId="4" fillId="16" borderId="9" xfId="0" applyFont="1" applyFill="1" applyBorder="1" applyAlignment="1">
      <alignment horizontal="center"/>
    </xf>
    <xf numFmtId="0" fontId="40" fillId="14" borderId="1" xfId="0" applyFont="1" applyFill="1" applyBorder="1" applyAlignment="1">
      <alignment horizontal="center"/>
    </xf>
    <xf numFmtId="0" fontId="22" fillId="14" borderId="1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7" fillId="14" borderId="9" xfId="0" applyFont="1" applyFill="1" applyBorder="1" applyAlignment="1">
      <alignment horizontal="center"/>
    </xf>
    <xf numFmtId="0" fontId="127" fillId="14" borderId="1" xfId="0" applyFont="1" applyFill="1" applyBorder="1" applyAlignment="1">
      <alignment horizontal="center"/>
    </xf>
    <xf numFmtId="0" fontId="54" fillId="14" borderId="9" xfId="0" applyFont="1" applyFill="1" applyBorder="1" applyAlignment="1">
      <alignment horizontal="center" vertical="center"/>
    </xf>
    <xf numFmtId="0" fontId="108" fillId="14" borderId="1" xfId="0" applyFont="1" applyFill="1" applyBorder="1" applyAlignment="1">
      <alignment horizontal="center" wrapText="1"/>
    </xf>
    <xf numFmtId="0" fontId="108" fillId="14" borderId="8" xfId="0" applyFont="1" applyFill="1" applyBorder="1" applyAlignment="1">
      <alignment horizontal="center"/>
    </xf>
    <xf numFmtId="0" fontId="22" fillId="14" borderId="12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/>
    </xf>
    <xf numFmtId="0" fontId="6" fillId="6" borderId="5" xfId="0" applyFont="1" applyFill="1" applyBorder="1"/>
    <xf numFmtId="0" fontId="6" fillId="0" borderId="9" xfId="0" applyFont="1" applyBorder="1"/>
    <xf numFmtId="0" fontId="35" fillId="0" borderId="5" xfId="0" applyFont="1" applyBorder="1" applyAlignment="1">
      <alignment horizontal="right"/>
    </xf>
    <xf numFmtId="0" fontId="35" fillId="0" borderId="1" xfId="0" applyFont="1" applyBorder="1" applyAlignment="1">
      <alignment horizontal="right"/>
    </xf>
    <xf numFmtId="0" fontId="9" fillId="13" borderId="0" xfId="0" applyFont="1" applyFill="1" applyAlignment="1">
      <alignment horizontal="center"/>
    </xf>
    <xf numFmtId="0" fontId="2" fillId="6" borderId="0" xfId="0" applyFont="1" applyFill="1"/>
    <xf numFmtId="0" fontId="69" fillId="6" borderId="4" xfId="0" applyFont="1" applyFill="1" applyBorder="1" applyAlignment="1">
      <alignment vertical="center"/>
    </xf>
    <xf numFmtId="0" fontId="125" fillId="6" borderId="4" xfId="0" applyFont="1" applyFill="1" applyBorder="1" applyAlignment="1">
      <alignment vertical="center"/>
    </xf>
    <xf numFmtId="0" fontId="125" fillId="6" borderId="5" xfId="0" applyFont="1" applyFill="1" applyBorder="1" applyAlignment="1">
      <alignment vertical="center"/>
    </xf>
    <xf numFmtId="0" fontId="56" fillId="0" borderId="10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/>
    </xf>
    <xf numFmtId="0" fontId="108" fillId="14" borderId="4" xfId="0" applyFont="1" applyFill="1" applyBorder="1" applyAlignment="1">
      <alignment horizontal="center"/>
    </xf>
    <xf numFmtId="0" fontId="6" fillId="0" borderId="5" xfId="0" applyFont="1" applyBorder="1"/>
    <xf numFmtId="0" fontId="128" fillId="0" borderId="1" xfId="0" applyFont="1" applyBorder="1"/>
    <xf numFmtId="0" fontId="9" fillId="13" borderId="0" xfId="0" applyFont="1" applyFill="1" applyAlignment="1">
      <alignment horizontal="left"/>
    </xf>
    <xf numFmtId="0" fontId="2" fillId="5" borderId="4" xfId="0" applyFont="1" applyFill="1" applyBorder="1" applyAlignment="1">
      <alignment horizontal="center" vertical="center"/>
    </xf>
    <xf numFmtId="0" fontId="54" fillId="16" borderId="7" xfId="0" applyFont="1" applyFill="1" applyBorder="1"/>
    <xf numFmtId="0" fontId="54" fillId="0" borderId="7" xfId="0" applyFont="1" applyBorder="1"/>
    <xf numFmtId="0" fontId="108" fillId="6" borderId="1" xfId="0" applyFont="1" applyFill="1" applyBorder="1" applyAlignment="1">
      <alignment horizontal="center"/>
    </xf>
    <xf numFmtId="0" fontId="22" fillId="0" borderId="0" xfId="0" applyFont="1"/>
    <xf numFmtId="0" fontId="108" fillId="0" borderId="1" xfId="0" applyFont="1" applyBorder="1" applyAlignment="1">
      <alignment horizontal="center"/>
    </xf>
    <xf numFmtId="0" fontId="108" fillId="6" borderId="4" xfId="0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/>
    </xf>
    <xf numFmtId="0" fontId="108" fillId="6" borderId="9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1" fillId="36" borderId="1" xfId="0" applyFont="1" applyFill="1" applyBorder="1"/>
    <xf numFmtId="0" fontId="59" fillId="36" borderId="1" xfId="0" applyFont="1" applyFill="1" applyBorder="1" applyAlignment="1">
      <alignment horizontal="left"/>
    </xf>
    <xf numFmtId="0" fontId="129" fillId="0" borderId="1" xfId="0" applyFont="1" applyBorder="1" applyAlignment="1">
      <alignment horizontal="left" wrapText="1"/>
    </xf>
    <xf numFmtId="170" fontId="77" fillId="6" borderId="1" xfId="0" applyNumberFormat="1" applyFont="1" applyFill="1" applyBorder="1" applyAlignment="1">
      <alignment horizontal="left"/>
    </xf>
    <xf numFmtId="0" fontId="129" fillId="0" borderId="1" xfId="0" applyFont="1" applyBorder="1"/>
    <xf numFmtId="0" fontId="0" fillId="16" borderId="5" xfId="0" applyFill="1" applyBorder="1"/>
    <xf numFmtId="0" fontId="108" fillId="14" borderId="5" xfId="0" applyFont="1" applyFill="1" applyBorder="1" applyAlignment="1">
      <alignment horizontal="center"/>
    </xf>
    <xf numFmtId="9" fontId="5" fillId="14" borderId="7" xfId="0" applyNumberFormat="1" applyFont="1" applyFill="1" applyBorder="1" applyAlignment="1">
      <alignment horizontal="center"/>
    </xf>
    <xf numFmtId="170" fontId="59" fillId="14" borderId="5" xfId="0" applyNumberFormat="1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9" fontId="65" fillId="0" borderId="5" xfId="0" applyNumberFormat="1" applyFont="1" applyBorder="1" applyAlignment="1">
      <alignment horizontal="center"/>
    </xf>
    <xf numFmtId="170" fontId="60" fillId="0" borderId="3" xfId="0" applyNumberFormat="1" applyFont="1" applyBorder="1"/>
    <xf numFmtId="9" fontId="60" fillId="0" borderId="8" xfId="0" applyNumberFormat="1" applyFont="1" applyBorder="1" applyAlignment="1">
      <alignment horizontal="center"/>
    </xf>
    <xf numFmtId="166" fontId="60" fillId="0" borderId="8" xfId="0" applyNumberFormat="1" applyFont="1" applyBorder="1" applyAlignment="1">
      <alignment horizontal="right"/>
    </xf>
    <xf numFmtId="166" fontId="60" fillId="14" borderId="8" xfId="0" applyNumberFormat="1" applyFont="1" applyFill="1" applyBorder="1" applyAlignment="1">
      <alignment horizontal="right"/>
    </xf>
    <xf numFmtId="0" fontId="57" fillId="9" borderId="8" xfId="0" applyFont="1" applyFill="1" applyBorder="1" applyAlignment="1">
      <alignment horizontal="center"/>
    </xf>
    <xf numFmtId="170" fontId="3" fillId="6" borderId="9" xfId="0" applyNumberFormat="1" applyFont="1" applyFill="1" applyBorder="1" applyAlignment="1">
      <alignment horizontal="center"/>
    </xf>
    <xf numFmtId="0" fontId="66" fillId="14" borderId="5" xfId="0" applyFont="1" applyFill="1" applyBorder="1" applyAlignment="1">
      <alignment horizontal="left"/>
    </xf>
    <xf numFmtId="3" fontId="57" fillId="0" borderId="5" xfId="0" applyNumberFormat="1" applyFont="1" applyBorder="1"/>
    <xf numFmtId="0" fontId="57" fillId="0" borderId="5" xfId="0" applyFont="1" applyBorder="1"/>
    <xf numFmtId="0" fontId="4" fillId="14" borderId="1" xfId="0" applyFont="1" applyFill="1" applyBorder="1" applyAlignment="1">
      <alignment horizontal="center" vertical="center" wrapText="1"/>
    </xf>
    <xf numFmtId="170" fontId="59" fillId="6" borderId="11" xfId="0" applyNumberFormat="1" applyFont="1" applyFill="1" applyBorder="1"/>
    <xf numFmtId="3" fontId="84" fillId="6" borderId="1" xfId="0" applyNumberFormat="1" applyFont="1" applyFill="1" applyBorder="1" applyAlignment="1">
      <alignment horizontal="center" vertical="center"/>
    </xf>
    <xf numFmtId="166" fontId="3" fillId="5" borderId="9" xfId="0" applyNumberFormat="1" applyFont="1" applyFill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56" fillId="14" borderId="5" xfId="0" applyFont="1" applyFill="1" applyBorder="1" applyAlignment="1">
      <alignment horizontal="center" vertical="center"/>
    </xf>
    <xf numFmtId="166" fontId="56" fillId="14" borderId="5" xfId="0" applyNumberFormat="1" applyFont="1" applyFill="1" applyBorder="1" applyAlignment="1">
      <alignment horizontal="center" vertical="center"/>
    </xf>
    <xf numFmtId="3" fontId="57" fillId="0" borderId="5" xfId="0" applyNumberFormat="1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60" fillId="14" borderId="1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/>
    </xf>
    <xf numFmtId="9" fontId="59" fillId="6" borderId="14" xfId="0" applyNumberFormat="1" applyFont="1" applyFill="1" applyBorder="1" applyAlignment="1">
      <alignment horizontal="center"/>
    </xf>
    <xf numFmtId="9" fontId="5" fillId="16" borderId="8" xfId="0" applyNumberFormat="1" applyFont="1" applyFill="1" applyBorder="1" applyAlignment="1">
      <alignment horizontal="center"/>
    </xf>
    <xf numFmtId="9" fontId="65" fillId="16" borderId="8" xfId="0" applyNumberFormat="1" applyFont="1" applyFill="1" applyBorder="1" applyAlignment="1">
      <alignment horizontal="center"/>
    </xf>
    <xf numFmtId="9" fontId="5" fillId="16" borderId="7" xfId="0" applyNumberFormat="1" applyFont="1" applyFill="1" applyBorder="1" applyAlignment="1">
      <alignment horizontal="center"/>
    </xf>
    <xf numFmtId="170" fontId="60" fillId="6" borderId="14" xfId="0" applyNumberFormat="1" applyFont="1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 wrapText="1"/>
    </xf>
    <xf numFmtId="0" fontId="57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4" fillId="16" borderId="7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 wrapText="1"/>
    </xf>
    <xf numFmtId="0" fontId="22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0" fontId="54" fillId="16" borderId="7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22" fillId="14" borderId="4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 wrapText="1"/>
    </xf>
    <xf numFmtId="166" fontId="59" fillId="6" borderId="5" xfId="0" applyNumberFormat="1" applyFont="1" applyFill="1" applyBorder="1" applyAlignment="1">
      <alignment horizontal="left"/>
    </xf>
    <xf numFmtId="0" fontId="4" fillId="14" borderId="7" xfId="0" applyFont="1" applyFill="1" applyBorder="1" applyAlignment="1">
      <alignment horizontal="center" vertical="center"/>
    </xf>
    <xf numFmtId="170" fontId="60" fillId="6" borderId="9" xfId="0" applyNumberFormat="1" applyFont="1" applyFill="1" applyBorder="1"/>
    <xf numFmtId="170" fontId="60" fillId="6" borderId="11" xfId="0" applyNumberFormat="1" applyFont="1" applyFill="1" applyBorder="1"/>
    <xf numFmtId="0" fontId="9" fillId="6" borderId="5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left"/>
    </xf>
    <xf numFmtId="0" fontId="59" fillId="6" borderId="14" xfId="0" applyFont="1" applyFill="1" applyBorder="1" applyAlignment="1">
      <alignment horizontal="center" vertical="center"/>
    </xf>
    <xf numFmtId="3" fontId="57" fillId="7" borderId="14" xfId="0" applyNumberFormat="1" applyFont="1" applyFill="1" applyBorder="1" applyAlignment="1">
      <alignment horizontal="center" vertical="center"/>
    </xf>
    <xf numFmtId="0" fontId="59" fillId="6" borderId="3" xfId="0" applyFont="1" applyFill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166" fontId="59" fillId="6" borderId="1" xfId="0" applyNumberFormat="1" applyFont="1" applyFill="1" applyBorder="1" applyAlignment="1">
      <alignment horizontal="center" vertical="center"/>
    </xf>
    <xf numFmtId="166" fontId="59" fillId="6" borderId="3" xfId="0" applyNumberFormat="1" applyFont="1" applyFill="1" applyBorder="1" applyAlignment="1">
      <alignment horizontal="center" vertical="center"/>
    </xf>
    <xf numFmtId="166" fontId="59" fillId="6" borderId="5" xfId="0" applyNumberFormat="1" applyFont="1" applyFill="1" applyBorder="1" applyAlignment="1">
      <alignment horizontal="center" vertical="center"/>
    </xf>
    <xf numFmtId="0" fontId="57" fillId="15" borderId="3" xfId="0" applyFont="1" applyFill="1" applyBorder="1" applyAlignment="1">
      <alignment horizontal="left"/>
    </xf>
    <xf numFmtId="0" fontId="57" fillId="15" borderId="5" xfId="0" applyFont="1" applyFill="1" applyBorder="1" applyAlignment="1">
      <alignment horizontal="left"/>
    </xf>
    <xf numFmtId="0" fontId="57" fillId="15" borderId="1" xfId="0" applyFont="1" applyFill="1" applyBorder="1" applyAlignment="1">
      <alignment horizontal="left"/>
    </xf>
    <xf numFmtId="0" fontId="57" fillId="15" borderId="3" xfId="0" applyFont="1" applyFill="1" applyBorder="1" applyAlignment="1">
      <alignment horizontal="center" vertical="center"/>
    </xf>
    <xf numFmtId="0" fontId="57" fillId="15" borderId="1" xfId="0" applyFont="1" applyFill="1" applyBorder="1" applyAlignment="1">
      <alignment horizontal="center" vertical="center"/>
    </xf>
    <xf numFmtId="168" fontId="5" fillId="12" borderId="1" xfId="0" applyNumberFormat="1" applyFont="1" applyFill="1" applyBorder="1" applyAlignment="1">
      <alignment horizontal="right"/>
    </xf>
    <xf numFmtId="168" fontId="5" fillId="37" borderId="1" xfId="0" applyNumberFormat="1" applyFont="1" applyFill="1" applyBorder="1" applyAlignment="1">
      <alignment horizontal="right"/>
    </xf>
    <xf numFmtId="3" fontId="5" fillId="6" borderId="2" xfId="0" applyNumberFormat="1" applyFont="1" applyFill="1" applyBorder="1" applyAlignment="1">
      <alignment horizontal="center"/>
    </xf>
    <xf numFmtId="166" fontId="5" fillId="11" borderId="11" xfId="0" applyNumberFormat="1" applyFont="1" applyFill="1" applyBorder="1" applyAlignment="1">
      <alignment horizontal="right"/>
    </xf>
    <xf numFmtId="0" fontId="41" fillId="14" borderId="0" xfId="0" applyFont="1" applyFill="1" applyAlignment="1">
      <alignment horizontal="center" vertical="center"/>
    </xf>
    <xf numFmtId="9" fontId="131" fillId="14" borderId="1" xfId="0" applyNumberFormat="1" applyFont="1" applyFill="1" applyBorder="1" applyAlignment="1">
      <alignment horizontal="center"/>
    </xf>
    <xf numFmtId="9" fontId="9" fillId="14" borderId="5" xfId="0" applyNumberFormat="1" applyFont="1" applyFill="1" applyBorder="1" applyAlignment="1">
      <alignment horizontal="center"/>
    </xf>
    <xf numFmtId="0" fontId="54" fillId="14" borderId="5" xfId="0" applyFont="1" applyFill="1" applyBorder="1" applyAlignment="1">
      <alignment horizontal="center" vertical="center"/>
    </xf>
    <xf numFmtId="0" fontId="54" fillId="14" borderId="1" xfId="0" applyFont="1" applyFill="1" applyBorder="1" applyAlignment="1">
      <alignment horizontal="center" vertical="center" wrapText="1"/>
    </xf>
    <xf numFmtId="0" fontId="54" fillId="14" borderId="7" xfId="0" applyFont="1" applyFill="1" applyBorder="1" applyAlignment="1">
      <alignment horizontal="center" vertical="center"/>
    </xf>
    <xf numFmtId="9" fontId="60" fillId="14" borderId="13" xfId="0" applyNumberFormat="1" applyFont="1" applyFill="1" applyBorder="1" applyAlignment="1">
      <alignment horizontal="center"/>
    </xf>
    <xf numFmtId="0" fontId="77" fillId="36" borderId="1" xfId="0" applyFont="1" applyFill="1" applyBorder="1" applyAlignment="1">
      <alignment horizontal="left"/>
    </xf>
    <xf numFmtId="0" fontId="56" fillId="6" borderId="5" xfId="0" applyFont="1" applyFill="1" applyBorder="1" applyAlignment="1">
      <alignment horizontal="center"/>
    </xf>
    <xf numFmtId="9" fontId="77" fillId="6" borderId="6" xfId="0" applyNumberFormat="1" applyFont="1" applyFill="1" applyBorder="1" applyAlignment="1">
      <alignment horizontal="center"/>
    </xf>
    <xf numFmtId="9" fontId="77" fillId="6" borderId="1" xfId="0" applyNumberFormat="1" applyFont="1" applyFill="1" applyBorder="1" applyAlignment="1">
      <alignment horizontal="center" vertical="center"/>
    </xf>
    <xf numFmtId="9" fontId="106" fillId="6" borderId="6" xfId="0" applyNumberFormat="1" applyFont="1" applyFill="1" applyBorder="1" applyAlignment="1">
      <alignment horizontal="center"/>
    </xf>
    <xf numFmtId="9" fontId="104" fillId="6" borderId="1" xfId="0" applyNumberFormat="1" applyFont="1" applyFill="1" applyBorder="1" applyAlignment="1">
      <alignment horizontal="center"/>
    </xf>
    <xf numFmtId="9" fontId="106" fillId="6" borderId="1" xfId="0" applyNumberFormat="1" applyFont="1" applyFill="1" applyBorder="1" applyAlignment="1">
      <alignment horizontal="center"/>
    </xf>
    <xf numFmtId="3" fontId="56" fillId="0" borderId="4" xfId="0" applyNumberFormat="1" applyFont="1" applyBorder="1"/>
    <xf numFmtId="9" fontId="3" fillId="6" borderId="9" xfId="0" applyNumberFormat="1" applyFont="1" applyFill="1" applyBorder="1" applyAlignment="1">
      <alignment horizontal="center"/>
    </xf>
    <xf numFmtId="9" fontId="84" fillId="6" borderId="9" xfId="0" applyNumberFormat="1" applyFont="1" applyFill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67" fontId="57" fillId="8" borderId="1" xfId="0" applyNumberFormat="1" applyFont="1" applyFill="1" applyBorder="1" applyAlignment="1">
      <alignment horizontal="right"/>
    </xf>
    <xf numFmtId="3" fontId="56" fillId="8" borderId="1" xfId="0" applyNumberFormat="1" applyFont="1" applyFill="1" applyBorder="1"/>
    <xf numFmtId="166" fontId="59" fillId="6" borderId="9" xfId="0" applyNumberFormat="1" applyFont="1" applyFill="1" applyBorder="1" applyAlignment="1">
      <alignment horizontal="left"/>
    </xf>
    <xf numFmtId="166" fontId="59" fillId="6" borderId="9" xfId="0" applyNumberFormat="1" applyFont="1" applyFill="1" applyBorder="1" applyAlignment="1">
      <alignment horizontal="center" vertical="center"/>
    </xf>
    <xf numFmtId="170" fontId="57" fillId="9" borderId="5" xfId="0" applyNumberFormat="1" applyFont="1" applyFill="1" applyBorder="1" applyAlignment="1">
      <alignment horizontal="right"/>
    </xf>
    <xf numFmtId="166" fontId="57" fillId="9" borderId="5" xfId="0" applyNumberFormat="1" applyFont="1" applyFill="1" applyBorder="1" applyAlignment="1">
      <alignment horizontal="right"/>
    </xf>
    <xf numFmtId="0" fontId="57" fillId="9" borderId="5" xfId="0" applyFont="1" applyFill="1" applyBorder="1"/>
    <xf numFmtId="166" fontId="5" fillId="35" borderId="3" xfId="0" applyNumberFormat="1" applyFont="1" applyFill="1" applyBorder="1" applyAlignment="1">
      <alignment horizontal="right"/>
    </xf>
    <xf numFmtId="0" fontId="84" fillId="6" borderId="1" xfId="0" applyFont="1" applyFill="1" applyBorder="1" applyAlignment="1">
      <alignment horizontal="center"/>
    </xf>
    <xf numFmtId="0" fontId="84" fillId="6" borderId="8" xfId="0" applyFont="1" applyFill="1" applyBorder="1" applyAlignment="1">
      <alignment horizontal="center"/>
    </xf>
    <xf numFmtId="9" fontId="4" fillId="16" borderId="8" xfId="0" applyNumberFormat="1" applyFont="1" applyFill="1" applyBorder="1" applyAlignment="1">
      <alignment horizontal="center"/>
    </xf>
    <xf numFmtId="0" fontId="60" fillId="6" borderId="5" xfId="0" applyFont="1" applyFill="1" applyBorder="1" applyAlignment="1">
      <alignment horizontal="center" vertical="center"/>
    </xf>
    <xf numFmtId="170" fontId="0" fillId="6" borderId="1" xfId="0" applyNumberFormat="1" applyFill="1" applyBorder="1" applyAlignment="1">
      <alignment horizontal="center"/>
    </xf>
    <xf numFmtId="170" fontId="3" fillId="6" borderId="14" xfId="0" applyNumberFormat="1" applyFont="1" applyFill="1" applyBorder="1" applyAlignment="1">
      <alignment horizontal="center"/>
    </xf>
    <xf numFmtId="166" fontId="41" fillId="16" borderId="1" xfId="0" applyNumberFormat="1" applyFont="1" applyFill="1" applyBorder="1" applyAlignment="1">
      <alignment wrapText="1"/>
    </xf>
    <xf numFmtId="9" fontId="33" fillId="16" borderId="1" xfId="0" applyNumberFormat="1" applyFont="1" applyFill="1" applyBorder="1" applyAlignment="1">
      <alignment horizontal="center"/>
    </xf>
    <xf numFmtId="0" fontId="41" fillId="6" borderId="6" xfId="0" applyFont="1" applyFill="1" applyBorder="1"/>
    <xf numFmtId="9" fontId="59" fillId="16" borderId="1" xfId="0" applyNumberFormat="1" applyFont="1" applyFill="1" applyBorder="1" applyAlignment="1">
      <alignment horizontal="left"/>
    </xf>
    <xf numFmtId="170" fontId="0" fillId="0" borderId="0" xfId="0" applyNumberFormat="1"/>
    <xf numFmtId="0" fontId="3" fillId="6" borderId="10" xfId="0" applyFont="1" applyFill="1" applyBorder="1"/>
    <xf numFmtId="0" fontId="4" fillId="14" borderId="3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/>
    </xf>
    <xf numFmtId="0" fontId="56" fillId="14" borderId="6" xfId="0" applyFont="1" applyFill="1" applyBorder="1" applyAlignment="1">
      <alignment horizontal="center"/>
    </xf>
    <xf numFmtId="0" fontId="54" fillId="16" borderId="6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center" vertical="center"/>
    </xf>
    <xf numFmtId="0" fontId="22" fillId="14" borderId="14" xfId="0" applyFont="1" applyFill="1" applyBorder="1" applyAlignment="1">
      <alignment horizontal="center" vertical="center"/>
    </xf>
    <xf numFmtId="0" fontId="54" fillId="14" borderId="6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 wrapText="1"/>
    </xf>
    <xf numFmtId="0" fontId="22" fillId="14" borderId="6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 wrapText="1"/>
    </xf>
    <xf numFmtId="0" fontId="22" fillId="16" borderId="6" xfId="0" applyFont="1" applyFill="1" applyBorder="1" applyAlignment="1">
      <alignment horizontal="center" vertical="center" wrapText="1"/>
    </xf>
    <xf numFmtId="0" fontId="22" fillId="16" borderId="6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7" fillId="7" borderId="6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9" fontId="131" fillId="14" borderId="8" xfId="0" applyNumberFormat="1" applyFont="1" applyFill="1" applyBorder="1" applyAlignment="1">
      <alignment horizontal="center"/>
    </xf>
    <xf numFmtId="9" fontId="74" fillId="6" borderId="6" xfId="0" applyNumberFormat="1" applyFont="1" applyFill="1" applyBorder="1" applyAlignment="1">
      <alignment horizontal="center" vertical="center"/>
    </xf>
    <xf numFmtId="9" fontId="74" fillId="6" borderId="1" xfId="0" applyNumberFormat="1" applyFont="1" applyFill="1" applyBorder="1" applyAlignment="1">
      <alignment horizontal="center"/>
    </xf>
    <xf numFmtId="0" fontId="56" fillId="6" borderId="3" xfId="0" applyFont="1" applyFill="1" applyBorder="1" applyAlignment="1">
      <alignment horizontal="center"/>
    </xf>
    <xf numFmtId="170" fontId="3" fillId="6" borderId="8" xfId="0" applyNumberFormat="1" applyFont="1" applyFill="1" applyBorder="1" applyAlignment="1">
      <alignment horizontal="center"/>
    </xf>
    <xf numFmtId="0" fontId="22" fillId="14" borderId="8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72" fontId="3" fillId="6" borderId="14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9" fontId="56" fillId="6" borderId="1" xfId="0" applyNumberFormat="1" applyFont="1" applyFill="1" applyBorder="1" applyAlignment="1">
      <alignment horizontal="center" vertical="center"/>
    </xf>
    <xf numFmtId="0" fontId="54" fillId="14" borderId="6" xfId="0" applyFont="1" applyFill="1" applyBorder="1" applyAlignment="1">
      <alignment horizontal="center" vertical="center" wrapText="1"/>
    </xf>
    <xf numFmtId="0" fontId="54" fillId="6" borderId="3" xfId="0" applyFont="1" applyFill="1" applyBorder="1" applyAlignment="1">
      <alignment horizontal="center" vertical="center"/>
    </xf>
    <xf numFmtId="0" fontId="54" fillId="14" borderId="2" xfId="0" applyFont="1" applyFill="1" applyBorder="1" applyAlignment="1">
      <alignment horizontal="center" vertical="center"/>
    </xf>
    <xf numFmtId="0" fontId="84" fillId="14" borderId="9" xfId="0" applyFont="1" applyFill="1" applyBorder="1" applyAlignment="1">
      <alignment horizontal="center"/>
    </xf>
    <xf numFmtId="0" fontId="2" fillId="14" borderId="9" xfId="0" applyFont="1" applyFill="1" applyBorder="1" applyAlignment="1">
      <alignment horizontal="center"/>
    </xf>
    <xf numFmtId="167" fontId="59" fillId="6" borderId="9" xfId="0" applyNumberFormat="1" applyFon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3" fontId="66" fillId="8" borderId="4" xfId="0" applyNumberFormat="1" applyFont="1" applyFill="1" applyBorder="1"/>
    <xf numFmtId="3" fontId="66" fillId="8" borderId="5" xfId="0" applyNumberFormat="1" applyFont="1" applyFill="1" applyBorder="1"/>
    <xf numFmtId="3" fontId="66" fillId="8" borderId="1" xfId="0" applyNumberFormat="1" applyFont="1" applyFill="1" applyBorder="1" applyAlignment="1">
      <alignment horizontal="center" vertical="center"/>
    </xf>
    <xf numFmtId="170" fontId="0" fillId="32" borderId="0" xfId="0" applyNumberFormat="1" applyFill="1"/>
    <xf numFmtId="3" fontId="66" fillId="8" borderId="5" xfId="0" applyNumberFormat="1" applyFont="1" applyFill="1" applyBorder="1" applyAlignment="1">
      <alignment horizontal="center" vertical="center"/>
    </xf>
    <xf numFmtId="166" fontId="57" fillId="9" borderId="9" xfId="0" applyNumberFormat="1" applyFont="1" applyFill="1" applyBorder="1" applyAlignment="1">
      <alignment horizontal="center" vertical="center"/>
    </xf>
    <xf numFmtId="0" fontId="84" fillId="6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5" fillId="6" borderId="12" xfId="0" applyFont="1" applyFill="1" applyBorder="1" applyAlignment="1">
      <alignment horizontal="center"/>
    </xf>
    <xf numFmtId="0" fontId="55" fillId="6" borderId="1" xfId="0" applyFont="1" applyFill="1" applyBorder="1" applyAlignment="1">
      <alignment horizontal="center"/>
    </xf>
    <xf numFmtId="0" fontId="55" fillId="6" borderId="8" xfId="0" applyFont="1" applyFill="1" applyBorder="1" applyAlignment="1">
      <alignment horizontal="center"/>
    </xf>
    <xf numFmtId="0" fontId="56" fillId="7" borderId="9" xfId="0" applyFont="1" applyFill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6" borderId="6" xfId="0" applyFont="1" applyFill="1" applyBorder="1" applyAlignment="1">
      <alignment horizontal="center"/>
    </xf>
    <xf numFmtId="0" fontId="56" fillId="9" borderId="1" xfId="0" applyFont="1" applyFill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6" fillId="0" borderId="0" xfId="0" applyFont="1" applyAlignment="1">
      <alignment horizontal="center"/>
    </xf>
    <xf numFmtId="0" fontId="54" fillId="6" borderId="6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56" fillId="0" borderId="5" xfId="0" applyFont="1" applyBorder="1" applyAlignment="1">
      <alignment horizontal="center"/>
    </xf>
    <xf numFmtId="0" fontId="54" fillId="6" borderId="1" xfId="0" applyFont="1" applyFill="1" applyBorder="1" applyAlignment="1">
      <alignment horizontal="center" vertical="center"/>
    </xf>
    <xf numFmtId="0" fontId="55" fillId="6" borderId="1" xfId="0" applyFont="1" applyFill="1" applyBorder="1" applyAlignment="1">
      <alignment horizontal="center" vertical="center"/>
    </xf>
    <xf numFmtId="0" fontId="56" fillId="9" borderId="1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9" fontId="54" fillId="6" borderId="1" xfId="0" applyNumberFormat="1" applyFont="1" applyFill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4" fillId="6" borderId="8" xfId="0" applyFont="1" applyFill="1" applyBorder="1" applyAlignment="1">
      <alignment horizontal="center"/>
    </xf>
    <xf numFmtId="0" fontId="54" fillId="6" borderId="12" xfId="0" applyFont="1" applyFill="1" applyBorder="1" applyAlignment="1">
      <alignment horizontal="center"/>
    </xf>
    <xf numFmtId="0" fontId="56" fillId="9" borderId="5" xfId="0" applyFont="1" applyFill="1" applyBorder="1" applyAlignment="1">
      <alignment horizontal="center"/>
    </xf>
    <xf numFmtId="0" fontId="54" fillId="6" borderId="8" xfId="0" applyFont="1" applyFill="1" applyBorder="1" applyAlignment="1">
      <alignment horizontal="center" vertical="center"/>
    </xf>
    <xf numFmtId="0" fontId="55" fillId="6" borderId="8" xfId="0" applyFont="1" applyFill="1" applyBorder="1" applyAlignment="1">
      <alignment horizontal="center" vertical="center"/>
    </xf>
    <xf numFmtId="0" fontId="84" fillId="5" borderId="9" xfId="0" applyFont="1" applyFill="1" applyBorder="1" applyAlignment="1">
      <alignment horizontal="center" vertical="center"/>
    </xf>
    <xf numFmtId="0" fontId="84" fillId="6" borderId="1" xfId="0" applyFont="1" applyFill="1" applyBorder="1" applyAlignment="1">
      <alignment horizontal="center" vertical="center"/>
    </xf>
    <xf numFmtId="0" fontId="84" fillId="6" borderId="9" xfId="0" applyFont="1" applyFill="1" applyBorder="1" applyAlignment="1">
      <alignment horizontal="center" vertical="center"/>
    </xf>
    <xf numFmtId="3" fontId="57" fillId="9" borderId="2" xfId="0" applyNumberFormat="1" applyFont="1" applyFill="1" applyBorder="1" applyAlignment="1">
      <alignment horizontal="center"/>
    </xf>
    <xf numFmtId="0" fontId="57" fillId="9" borderId="7" xfId="0" applyFont="1" applyFill="1" applyBorder="1" applyAlignment="1">
      <alignment horizontal="center" vertical="center"/>
    </xf>
    <xf numFmtId="0" fontId="84" fillId="5" borderId="1" xfId="0" applyFont="1" applyFill="1" applyBorder="1" applyAlignment="1">
      <alignment horizontal="center" vertical="center"/>
    </xf>
    <xf numFmtId="0" fontId="0" fillId="26" borderId="0" xfId="0" applyFill="1"/>
    <xf numFmtId="169" fontId="0" fillId="0" borderId="17" xfId="0" applyNumberFormat="1" applyBorder="1"/>
    <xf numFmtId="0" fontId="0" fillId="0" borderId="6" xfId="0" applyBorder="1" applyAlignment="1">
      <alignment horizontal="center"/>
    </xf>
    <xf numFmtId="166" fontId="56" fillId="10" borderId="55" xfId="0" applyNumberFormat="1" applyFont="1" applyFill="1" applyBorder="1"/>
    <xf numFmtId="166" fontId="57" fillId="11" borderId="56" xfId="0" applyNumberFormat="1" applyFont="1" applyFill="1" applyBorder="1" applyAlignment="1">
      <alignment horizontal="right"/>
    </xf>
    <xf numFmtId="166" fontId="57" fillId="35" borderId="56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56" fillId="6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165" fontId="1" fillId="14" borderId="0" xfId="0" applyNumberFormat="1" applyFont="1" applyFill="1" applyAlignment="1">
      <alignment horizontal="center"/>
    </xf>
    <xf numFmtId="0" fontId="12" fillId="39" borderId="8" xfId="0" applyFont="1" applyFill="1" applyBorder="1" applyAlignment="1">
      <alignment horizontal="center"/>
    </xf>
    <xf numFmtId="0" fontId="12" fillId="39" borderId="8" xfId="0" applyFont="1" applyFill="1" applyBorder="1" applyAlignment="1">
      <alignment horizontal="center" vertical="center"/>
    </xf>
    <xf numFmtId="0" fontId="12" fillId="39" borderId="9" xfId="0" applyFont="1" applyFill="1" applyBorder="1" applyAlignment="1">
      <alignment horizontal="center"/>
    </xf>
    <xf numFmtId="0" fontId="12" fillId="14" borderId="2" xfId="0" applyFont="1" applyFill="1" applyBorder="1" applyAlignment="1">
      <alignment horizontal="center"/>
    </xf>
    <xf numFmtId="0" fontId="12" fillId="14" borderId="0" xfId="0" applyFont="1" applyFill="1" applyAlignment="1">
      <alignment horizontal="center"/>
    </xf>
    <xf numFmtId="0" fontId="12" fillId="39" borderId="2" xfId="0" applyFont="1" applyFill="1" applyBorder="1" applyAlignment="1">
      <alignment horizontal="center"/>
    </xf>
    <xf numFmtId="0" fontId="12" fillId="39" borderId="0" xfId="0" applyFont="1" applyFill="1" applyAlignment="1">
      <alignment horizontal="center"/>
    </xf>
    <xf numFmtId="0" fontId="60" fillId="6" borderId="3" xfId="0" applyFont="1" applyFill="1" applyBorder="1" applyAlignment="1">
      <alignment horizontal="center" vertical="center"/>
    </xf>
    <xf numFmtId="0" fontId="60" fillId="6" borderId="6" xfId="0" applyFont="1" applyFill="1" applyBorder="1" applyAlignment="1">
      <alignment horizontal="center" vertical="center"/>
    </xf>
    <xf numFmtId="6" fontId="0" fillId="6" borderId="1" xfId="0" applyNumberFormat="1" applyFill="1" applyBorder="1"/>
    <xf numFmtId="170" fontId="6" fillId="0" borderId="1" xfId="0" applyNumberFormat="1" applyFont="1" applyBorder="1"/>
    <xf numFmtId="9" fontId="55" fillId="6" borderId="1" xfId="0" applyNumberFormat="1" applyFont="1" applyFill="1" applyBorder="1" applyAlignment="1">
      <alignment horizontal="center" vertical="center"/>
    </xf>
    <xf numFmtId="173" fontId="56" fillId="6" borderId="1" xfId="0" applyNumberFormat="1" applyFont="1" applyFill="1" applyBorder="1" applyAlignment="1">
      <alignment horizontal="right"/>
    </xf>
    <xf numFmtId="170" fontId="55" fillId="6" borderId="1" xfId="0" applyNumberFormat="1" applyFont="1" applyFill="1" applyBorder="1" applyAlignment="1">
      <alignment horizontal="center" vertical="center"/>
    </xf>
    <xf numFmtId="0" fontId="121" fillId="6" borderId="13" xfId="0" applyFont="1" applyFill="1" applyBorder="1" applyAlignment="1">
      <alignment horizontal="center"/>
    </xf>
    <xf numFmtId="170" fontId="6" fillId="0" borderId="1" xfId="0" applyNumberFormat="1" applyFont="1" applyBorder="1" applyAlignment="1">
      <alignment horizontal="left"/>
    </xf>
    <xf numFmtId="0" fontId="54" fillId="0" borderId="1" xfId="0" applyFont="1" applyBorder="1" applyAlignment="1">
      <alignment horizontal="center"/>
    </xf>
    <xf numFmtId="170" fontId="59" fillId="6" borderId="13" xfId="0" applyNumberFormat="1" applyFont="1" applyFill="1" applyBorder="1" applyAlignment="1">
      <alignment horizontal="center"/>
    </xf>
    <xf numFmtId="0" fontId="57" fillId="6" borderId="10" xfId="0" applyFont="1" applyFill="1" applyBorder="1" applyAlignment="1">
      <alignment horizontal="center"/>
    </xf>
    <xf numFmtId="170" fontId="59" fillId="6" borderId="4" xfId="0" applyNumberFormat="1" applyFont="1" applyFill="1" applyBorder="1" applyAlignment="1">
      <alignment horizontal="center"/>
    </xf>
    <xf numFmtId="0" fontId="57" fillId="0" borderId="10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9" fontId="0" fillId="0" borderId="0" xfId="0" applyNumberFormat="1" applyAlignment="1">
      <alignment horizontal="center"/>
    </xf>
    <xf numFmtId="9" fontId="3" fillId="5" borderId="0" xfId="0" applyNumberFormat="1" applyFont="1" applyFill="1" applyAlignment="1">
      <alignment horizontal="center"/>
    </xf>
    <xf numFmtId="9" fontId="65" fillId="0" borderId="15" xfId="0" applyNumberFormat="1" applyFont="1" applyBorder="1" applyAlignment="1">
      <alignment horizontal="center"/>
    </xf>
    <xf numFmtId="9" fontId="65" fillId="0" borderId="0" xfId="0" applyNumberFormat="1" applyFont="1" applyAlignment="1">
      <alignment horizontal="center"/>
    </xf>
    <xf numFmtId="9" fontId="65" fillId="0" borderId="1" xfId="0" applyNumberFormat="1" applyFont="1" applyBorder="1" applyAlignment="1">
      <alignment horizontal="center"/>
    </xf>
    <xf numFmtId="9" fontId="60" fillId="6" borderId="10" xfId="0" applyNumberFormat="1" applyFont="1" applyFill="1" applyBorder="1" applyAlignment="1">
      <alignment horizontal="center"/>
    </xf>
    <xf numFmtId="9" fontId="3" fillId="6" borderId="6" xfId="0" applyNumberFormat="1" applyFont="1" applyFill="1" applyBorder="1" applyAlignment="1">
      <alignment horizontal="center"/>
    </xf>
    <xf numFmtId="170" fontId="56" fillId="6" borderId="1" xfId="0" applyNumberFormat="1" applyFont="1" applyFill="1" applyBorder="1" applyAlignment="1">
      <alignment horizontal="left"/>
    </xf>
    <xf numFmtId="170" fontId="6" fillId="0" borderId="0" xfId="0" applyNumberFormat="1" applyFont="1" applyAlignment="1">
      <alignment horizontal="left"/>
    </xf>
    <xf numFmtId="0" fontId="121" fillId="6" borderId="1" xfId="0" applyFont="1" applyFill="1" applyBorder="1" applyAlignment="1">
      <alignment horizontal="left"/>
    </xf>
    <xf numFmtId="16" fontId="6" fillId="0" borderId="1" xfId="0" applyNumberFormat="1" applyFont="1" applyBorder="1"/>
    <xf numFmtId="14" fontId="0" fillId="6" borderId="1" xfId="0" applyNumberFormat="1" applyFill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18" borderId="16" xfId="0" applyNumberFormat="1" applyFill="1" applyBorder="1" applyAlignment="1">
      <alignment horizontal="center"/>
    </xf>
    <xf numFmtId="14" fontId="0" fillId="18" borderId="17" xfId="0" applyNumberFormat="1" applyFill="1" applyBorder="1" applyAlignment="1">
      <alignment horizontal="center"/>
    </xf>
    <xf numFmtId="14" fontId="0" fillId="18" borderId="1" xfId="0" applyNumberFormat="1" applyFill="1" applyBorder="1" applyAlignment="1">
      <alignment horizontal="center"/>
    </xf>
    <xf numFmtId="14" fontId="0" fillId="18" borderId="0" xfId="0" applyNumberFormat="1" applyFill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14" fontId="0" fillId="18" borderId="5" xfId="0" applyNumberFormat="1" applyFill="1" applyBorder="1" applyAlignment="1">
      <alignment horizontal="center"/>
    </xf>
    <xf numFmtId="0" fontId="0" fillId="18" borderId="19" xfId="0" applyFill="1" applyBorder="1" applyAlignment="1">
      <alignment horizontal="center"/>
    </xf>
    <xf numFmtId="14" fontId="0" fillId="18" borderId="9" xfId="0" applyNumberFormat="1" applyFill="1" applyBorder="1" applyAlignment="1">
      <alignment horizontal="center"/>
    </xf>
    <xf numFmtId="14" fontId="0" fillId="6" borderId="16" xfId="0" applyNumberFormat="1" applyFill="1" applyBorder="1" applyAlignment="1">
      <alignment horizontal="center"/>
    </xf>
    <xf numFmtId="0" fontId="107" fillId="0" borderId="6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20" borderId="1" xfId="0" applyFont="1" applyFill="1" applyBorder="1" applyAlignment="1">
      <alignment horizontal="center" vertical="center"/>
    </xf>
    <xf numFmtId="9" fontId="11" fillId="20" borderId="1" xfId="0" applyNumberFormat="1" applyFont="1" applyFill="1" applyBorder="1" applyAlignment="1">
      <alignment horizontal="center"/>
    </xf>
    <xf numFmtId="0" fontId="6" fillId="20" borderId="1" xfId="0" applyFont="1" applyFill="1" applyBorder="1"/>
    <xf numFmtId="0" fontId="6" fillId="20" borderId="1" xfId="0" applyFont="1" applyFill="1" applyBorder="1" applyAlignment="1">
      <alignment horizontal="left"/>
    </xf>
    <xf numFmtId="0" fontId="6" fillId="20" borderId="1" xfId="0" applyFont="1" applyFill="1" applyBorder="1" applyAlignment="1">
      <alignment horizontal="center"/>
    </xf>
    <xf numFmtId="0" fontId="71" fillId="40" borderId="9" xfId="0" applyFont="1" applyFill="1" applyBorder="1" applyAlignment="1">
      <alignment horizontal="center"/>
    </xf>
    <xf numFmtId="0" fontId="0" fillId="40" borderId="14" xfId="0" applyFill="1" applyBorder="1" applyAlignment="1">
      <alignment horizontal="center"/>
    </xf>
    <xf numFmtId="0" fontId="84" fillId="42" borderId="1" xfId="0" applyFont="1" applyFill="1" applyBorder="1" applyAlignment="1">
      <alignment horizontal="center"/>
    </xf>
    <xf numFmtId="0" fontId="84" fillId="42" borderId="1" xfId="0" applyFont="1" applyFill="1" applyBorder="1" applyAlignment="1">
      <alignment horizontal="center" vertical="center"/>
    </xf>
    <xf numFmtId="166" fontId="84" fillId="42" borderId="1" xfId="0" applyNumberFormat="1" applyFont="1" applyFill="1" applyBorder="1" applyAlignment="1">
      <alignment horizontal="center"/>
    </xf>
    <xf numFmtId="3" fontId="84" fillId="42" borderId="1" xfId="0" applyNumberFormat="1" applyFont="1" applyFill="1" applyBorder="1" applyAlignment="1">
      <alignment horizontal="center"/>
    </xf>
    <xf numFmtId="0" fontId="121" fillId="42" borderId="1" xfId="0" applyFont="1" applyFill="1" applyBorder="1" applyAlignment="1">
      <alignment horizontal="center"/>
    </xf>
    <xf numFmtId="0" fontId="2" fillId="42" borderId="1" xfId="0" applyFont="1" applyFill="1" applyBorder="1" applyAlignment="1">
      <alignment horizontal="center"/>
    </xf>
    <xf numFmtId="0" fontId="2" fillId="42" borderId="1" xfId="0" applyFont="1" applyFill="1" applyBorder="1" applyAlignment="1">
      <alignment horizontal="center" vertical="center"/>
    </xf>
    <xf numFmtId="166" fontId="2" fillId="42" borderId="1" xfId="0" applyNumberFormat="1" applyFont="1" applyFill="1" applyBorder="1" applyAlignment="1">
      <alignment horizontal="center"/>
    </xf>
    <xf numFmtId="3" fontId="2" fillId="42" borderId="1" xfId="0" applyNumberFormat="1" applyFont="1" applyFill="1" applyBorder="1" applyAlignment="1">
      <alignment horizontal="center"/>
    </xf>
    <xf numFmtId="9" fontId="2" fillId="42" borderId="1" xfId="0" applyNumberFormat="1" applyFont="1" applyFill="1" applyBorder="1" applyAlignment="1">
      <alignment horizontal="center"/>
    </xf>
    <xf numFmtId="0" fontId="6" fillId="40" borderId="1" xfId="0" applyFont="1" applyFill="1" applyBorder="1" applyAlignment="1">
      <alignment horizontal="center"/>
    </xf>
    <xf numFmtId="0" fontId="121" fillId="20" borderId="3" xfId="0" applyFont="1" applyFill="1" applyBorder="1" applyAlignment="1">
      <alignment horizontal="center" vertical="center"/>
    </xf>
    <xf numFmtId="9" fontId="121" fillId="20" borderId="5" xfId="0" applyNumberFormat="1" applyFont="1" applyFill="1" applyBorder="1" applyAlignment="1">
      <alignment horizontal="center"/>
    </xf>
    <xf numFmtId="0" fontId="121" fillId="20" borderId="3" xfId="0" applyFont="1" applyFill="1" applyBorder="1" applyAlignment="1">
      <alignment horizontal="left"/>
    </xf>
    <xf numFmtId="170" fontId="121" fillId="20" borderId="9" xfId="0" applyNumberFormat="1" applyFont="1" applyFill="1" applyBorder="1" applyAlignment="1">
      <alignment horizontal="left"/>
    </xf>
    <xf numFmtId="3" fontId="121" fillId="20" borderId="1" xfId="0" applyNumberFormat="1" applyFont="1" applyFill="1" applyBorder="1" applyAlignment="1">
      <alignment horizontal="left"/>
    </xf>
    <xf numFmtId="0" fontId="121" fillId="20" borderId="8" xfId="0" applyFont="1" applyFill="1" applyBorder="1" applyAlignment="1">
      <alignment horizontal="center" vertical="center"/>
    </xf>
    <xf numFmtId="0" fontId="121" fillId="20" borderId="8" xfId="0" applyFont="1" applyFill="1" applyBorder="1" applyAlignment="1">
      <alignment horizontal="center"/>
    </xf>
    <xf numFmtId="0" fontId="121" fillId="20" borderId="1" xfId="0" applyFont="1" applyFill="1" applyBorder="1" applyAlignment="1">
      <alignment horizontal="center"/>
    </xf>
    <xf numFmtId="0" fontId="121" fillId="20" borderId="8" xfId="0" applyFont="1" applyFill="1" applyBorder="1" applyAlignment="1">
      <alignment horizontal="left"/>
    </xf>
    <xf numFmtId="0" fontId="84" fillId="20" borderId="1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left"/>
    </xf>
    <xf numFmtId="170" fontId="121" fillId="20" borderId="1" xfId="0" applyNumberFormat="1" applyFont="1" applyFill="1" applyBorder="1" applyAlignment="1">
      <alignment horizontal="left"/>
    </xf>
    <xf numFmtId="0" fontId="6" fillId="20" borderId="6" xfId="0" applyFont="1" applyFill="1" applyBorder="1" applyAlignment="1">
      <alignment horizontal="left"/>
    </xf>
    <xf numFmtId="0" fontId="0" fillId="20" borderId="1" xfId="0" applyFill="1" applyBorder="1" applyAlignment="1">
      <alignment horizontal="center"/>
    </xf>
    <xf numFmtId="170" fontId="6" fillId="20" borderId="1" xfId="0" applyNumberFormat="1" applyFont="1" applyFill="1" applyBorder="1" applyAlignment="1">
      <alignment horizontal="left"/>
    </xf>
    <xf numFmtId="0" fontId="12" fillId="40" borderId="9" xfId="0" applyFont="1" applyFill="1" applyBorder="1" applyAlignment="1">
      <alignment horizontal="center"/>
    </xf>
    <xf numFmtId="0" fontId="6" fillId="40" borderId="14" xfId="0" applyFont="1" applyFill="1" applyBorder="1" applyAlignment="1">
      <alignment horizontal="center"/>
    </xf>
    <xf numFmtId="0" fontId="54" fillId="20" borderId="3" xfId="0" applyFont="1" applyFill="1" applyBorder="1" applyAlignment="1">
      <alignment horizontal="center" vertical="center"/>
    </xf>
    <xf numFmtId="9" fontId="56" fillId="20" borderId="5" xfId="0" applyNumberFormat="1" applyFont="1" applyFill="1" applyBorder="1" applyAlignment="1">
      <alignment horizontal="center"/>
    </xf>
    <xf numFmtId="0" fontId="6" fillId="20" borderId="3" xfId="0" applyFont="1" applyFill="1" applyBorder="1"/>
    <xf numFmtId="170" fontId="56" fillId="20" borderId="1" xfId="0" applyNumberFormat="1" applyFont="1" applyFill="1" applyBorder="1" applyAlignment="1">
      <alignment horizontal="left"/>
    </xf>
    <xf numFmtId="0" fontId="84" fillId="42" borderId="8" xfId="0" applyFont="1" applyFill="1" applyBorder="1" applyAlignment="1">
      <alignment horizontal="center"/>
    </xf>
    <xf numFmtId="170" fontId="6" fillId="20" borderId="1" xfId="0" applyNumberFormat="1" applyFont="1" applyFill="1" applyBorder="1"/>
    <xf numFmtId="0" fontId="0" fillId="20" borderId="1" xfId="0" applyFill="1" applyBorder="1"/>
    <xf numFmtId="0" fontId="0" fillId="20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left"/>
    </xf>
    <xf numFmtId="0" fontId="56" fillId="20" borderId="1" xfId="0" applyFont="1" applyFill="1" applyBorder="1" applyAlignment="1">
      <alignment horizontal="center"/>
    </xf>
    <xf numFmtId="0" fontId="54" fillId="20" borderId="1" xfId="0" applyFont="1" applyFill="1" applyBorder="1" applyAlignment="1">
      <alignment horizontal="center" vertical="center"/>
    </xf>
    <xf numFmtId="0" fontId="11" fillId="20" borderId="1" xfId="0" applyFont="1" applyFill="1" applyBorder="1"/>
    <xf numFmtId="0" fontId="4" fillId="0" borderId="9" xfId="0" applyFont="1" applyBorder="1" applyAlignment="1">
      <alignment horizontal="center"/>
    </xf>
    <xf numFmtId="0" fontId="9" fillId="44" borderId="9" xfId="0" applyFont="1" applyFill="1" applyBorder="1" applyAlignment="1">
      <alignment horizontal="center" vertical="center"/>
    </xf>
    <xf numFmtId="0" fontId="9" fillId="44" borderId="9" xfId="0" applyFont="1" applyFill="1" applyBorder="1" applyAlignment="1">
      <alignment horizontal="left"/>
    </xf>
    <xf numFmtId="0" fontId="4" fillId="44" borderId="9" xfId="0" applyFont="1" applyFill="1" applyBorder="1" applyAlignment="1">
      <alignment horizontal="center"/>
    </xf>
    <xf numFmtId="0" fontId="9" fillId="44" borderId="9" xfId="0" applyFont="1" applyFill="1" applyBorder="1" applyAlignment="1">
      <alignment horizontal="center"/>
    </xf>
    <xf numFmtId="0" fontId="136" fillId="44" borderId="1" xfId="0" applyFont="1" applyFill="1" applyBorder="1" applyAlignment="1">
      <alignment horizontal="center"/>
    </xf>
    <xf numFmtId="0" fontId="15" fillId="44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/>
    </xf>
    <xf numFmtId="164" fontId="11" fillId="45" borderId="1" xfId="0" applyNumberFormat="1" applyFont="1" applyFill="1" applyBorder="1" applyAlignment="1">
      <alignment horizontal="left"/>
    </xf>
    <xf numFmtId="0" fontId="15" fillId="44" borderId="1" xfId="0" applyFont="1" applyFill="1" applyBorder="1" applyAlignment="1">
      <alignment horizontal="center"/>
    </xf>
    <xf numFmtId="164" fontId="11" fillId="0" borderId="1" xfId="0" applyNumberFormat="1" applyFont="1" applyBorder="1"/>
    <xf numFmtId="0" fontId="15" fillId="0" borderId="1" xfId="0" applyFont="1" applyBorder="1"/>
    <xf numFmtId="9" fontId="4" fillId="46" borderId="1" xfId="0" applyNumberFormat="1" applyFont="1" applyFill="1" applyBorder="1" applyAlignment="1">
      <alignment horizontal="center"/>
    </xf>
    <xf numFmtId="164" fontId="9" fillId="46" borderId="1" xfId="0" applyNumberFormat="1" applyFont="1" applyFill="1" applyBorder="1" applyAlignment="1">
      <alignment horizontal="center"/>
    </xf>
    <xf numFmtId="0" fontId="11" fillId="20" borderId="1" xfId="0" applyFont="1" applyFill="1" applyBorder="1" applyAlignment="1">
      <alignment horizontal="center" vertical="center"/>
    </xf>
    <xf numFmtId="9" fontId="131" fillId="46" borderId="1" xfId="0" applyNumberFormat="1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0" fillId="48" borderId="17" xfId="0" applyFill="1" applyBorder="1"/>
    <xf numFmtId="0" fontId="0" fillId="48" borderId="17" xfId="0" applyFill="1" applyBorder="1" applyAlignment="1">
      <alignment horizontal="center"/>
    </xf>
    <xf numFmtId="0" fontId="0" fillId="48" borderId="1" xfId="0" applyFill="1" applyBorder="1" applyAlignment="1">
      <alignment horizontal="center"/>
    </xf>
    <xf numFmtId="14" fontId="0" fillId="48" borderId="1" xfId="0" applyNumberFormat="1" applyFill="1" applyBorder="1" applyAlignment="1">
      <alignment horizontal="center"/>
    </xf>
    <xf numFmtId="0" fontId="0" fillId="48" borderId="1" xfId="0" applyFill="1" applyBorder="1" applyAlignment="1">
      <alignment horizontal="left"/>
    </xf>
    <xf numFmtId="173" fontId="0" fillId="48" borderId="1" xfId="0" applyNumberFormat="1" applyFill="1" applyBorder="1" applyAlignment="1">
      <alignment horizontal="left"/>
    </xf>
    <xf numFmtId="0" fontId="0" fillId="48" borderId="1" xfId="0" applyFill="1" applyBorder="1"/>
    <xf numFmtId="0" fontId="0" fillId="48" borderId="9" xfId="0" applyFill="1" applyBorder="1" applyAlignment="1">
      <alignment horizontal="center"/>
    </xf>
    <xf numFmtId="0" fontId="0" fillId="48" borderId="9" xfId="0" applyFill="1" applyBorder="1" applyAlignment="1">
      <alignment horizontal="left"/>
    </xf>
    <xf numFmtId="173" fontId="0" fillId="48" borderId="9" xfId="0" applyNumberFormat="1" applyFill="1" applyBorder="1" applyAlignment="1">
      <alignment horizontal="left"/>
    </xf>
    <xf numFmtId="14" fontId="0" fillId="48" borderId="1" xfId="0" applyNumberFormat="1" applyFill="1" applyBorder="1" applyAlignment="1">
      <alignment horizontal="left"/>
    </xf>
    <xf numFmtId="0" fontId="82" fillId="48" borderId="9" xfId="0" applyFont="1" applyFill="1" applyBorder="1"/>
    <xf numFmtId="0" fontId="0" fillId="48" borderId="9" xfId="0" applyFill="1" applyBorder="1"/>
    <xf numFmtId="14" fontId="0" fillId="48" borderId="9" xfId="0" applyNumberFormat="1" applyFill="1" applyBorder="1" applyAlignment="1">
      <alignment horizontal="center"/>
    </xf>
    <xf numFmtId="0" fontId="75" fillId="20" borderId="1" xfId="0" applyFont="1" applyFill="1" applyBorder="1" applyAlignment="1">
      <alignment wrapText="1"/>
    </xf>
    <xf numFmtId="0" fontId="38" fillId="20" borderId="1" xfId="0" applyFont="1" applyFill="1" applyBorder="1" applyAlignment="1">
      <alignment wrapText="1"/>
    </xf>
    <xf numFmtId="169" fontId="39" fillId="20" borderId="1" xfId="0" applyNumberFormat="1" applyFont="1" applyFill="1" applyBorder="1" applyAlignment="1">
      <alignment wrapText="1"/>
    </xf>
    <xf numFmtId="0" fontId="39" fillId="20" borderId="1" xfId="0" applyFont="1" applyFill="1" applyBorder="1" applyAlignment="1">
      <alignment wrapText="1"/>
    </xf>
    <xf numFmtId="169" fontId="76" fillId="20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9" fillId="50" borderId="1" xfId="0" applyFont="1" applyFill="1" applyBorder="1" applyAlignment="1">
      <alignment vertical="center" wrapText="1"/>
    </xf>
    <xf numFmtId="0" fontId="29" fillId="50" borderId="1" xfId="0" applyFont="1" applyFill="1" applyBorder="1" applyAlignment="1">
      <alignment horizontal="center" vertical="center"/>
    </xf>
    <xf numFmtId="0" fontId="29" fillId="50" borderId="1" xfId="0" applyFont="1" applyFill="1" applyBorder="1" applyAlignment="1">
      <alignment wrapText="1"/>
    </xf>
    <xf numFmtId="0" fontId="29" fillId="50" borderId="1" xfId="0" applyFont="1" applyFill="1" applyBorder="1" applyAlignment="1">
      <alignment vertical="center"/>
    </xf>
    <xf numFmtId="0" fontId="29" fillId="50" borderId="9" xfId="0" applyFont="1" applyFill="1" applyBorder="1" applyAlignment="1">
      <alignment vertical="center"/>
    </xf>
    <xf numFmtId="0" fontId="29" fillId="50" borderId="9" xfId="0" applyFont="1" applyFill="1" applyBorder="1" applyAlignment="1">
      <alignment horizontal="center" vertical="center"/>
    </xf>
    <xf numFmtId="0" fontId="29" fillId="50" borderId="9" xfId="0" applyFont="1" applyFill="1" applyBorder="1" applyAlignment="1">
      <alignment wrapText="1"/>
    </xf>
    <xf numFmtId="0" fontId="23" fillId="0" borderId="0" xfId="0" applyFont="1"/>
    <xf numFmtId="0" fontId="84" fillId="0" borderId="0" xfId="0" applyFont="1"/>
    <xf numFmtId="0" fontId="84" fillId="0" borderId="1" xfId="0" applyFont="1" applyBorder="1"/>
    <xf numFmtId="0" fontId="0" fillId="0" borderId="40" xfId="0" applyBorder="1"/>
    <xf numFmtId="0" fontId="6" fillId="16" borderId="1" xfId="0" applyFont="1" applyFill="1" applyBorder="1" applyAlignment="1">
      <alignment horizontal="center" vertical="center"/>
    </xf>
    <xf numFmtId="9" fontId="11" fillId="16" borderId="1" xfId="0" applyNumberFormat="1" applyFont="1" applyFill="1" applyBorder="1" applyAlignment="1">
      <alignment horizontal="center"/>
    </xf>
    <xf numFmtId="0" fontId="6" fillId="16" borderId="1" xfId="0" applyFont="1" applyFill="1" applyBorder="1"/>
    <xf numFmtId="0" fontId="121" fillId="14" borderId="3" xfId="0" applyFont="1" applyFill="1" applyBorder="1" applyAlignment="1">
      <alignment horizontal="center" vertical="center"/>
    </xf>
    <xf numFmtId="9" fontId="121" fillId="14" borderId="5" xfId="0" applyNumberFormat="1" applyFont="1" applyFill="1" applyBorder="1" applyAlignment="1">
      <alignment horizontal="center"/>
    </xf>
    <xf numFmtId="0" fontId="121" fillId="14" borderId="3" xfId="0" applyFont="1" applyFill="1" applyBorder="1" applyAlignment="1">
      <alignment horizontal="left"/>
    </xf>
    <xf numFmtId="0" fontId="6" fillId="14" borderId="1" xfId="0" applyFont="1" applyFill="1" applyBorder="1" applyAlignment="1">
      <alignment horizontal="center" vertical="center"/>
    </xf>
    <xf numFmtId="9" fontId="11" fillId="14" borderId="1" xfId="0" applyNumberFormat="1" applyFont="1" applyFill="1" applyBorder="1" applyAlignment="1">
      <alignment horizontal="center"/>
    </xf>
    <xf numFmtId="9" fontId="121" fillId="20" borderId="1" xfId="0" applyNumberFormat="1" applyFont="1" applyFill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9" fontId="138" fillId="14" borderId="1" xfId="0" applyNumberFormat="1" applyFont="1" applyFill="1" applyBorder="1" applyAlignment="1">
      <alignment horizontal="center"/>
    </xf>
    <xf numFmtId="0" fontId="84" fillId="6" borderId="1" xfId="0" applyFont="1" applyFill="1" applyBorder="1"/>
    <xf numFmtId="0" fontId="86" fillId="6" borderId="1" xfId="0" applyFont="1" applyFill="1" applyBorder="1" applyAlignment="1">
      <alignment horizontal="left"/>
    </xf>
    <xf numFmtId="0" fontId="86" fillId="0" borderId="1" xfId="0" applyFont="1" applyBorder="1"/>
    <xf numFmtId="14" fontId="0" fillId="0" borderId="5" xfId="0" applyNumberFormat="1" applyBorder="1" applyAlignment="1">
      <alignment horizontal="center"/>
    </xf>
    <xf numFmtId="0" fontId="0" fillId="6" borderId="5" xfId="0" applyFill="1" applyBorder="1" applyAlignment="1">
      <alignment horizontal="left"/>
    </xf>
    <xf numFmtId="170" fontId="0" fillId="0" borderId="5" xfId="0" applyNumberFormat="1" applyBorder="1"/>
    <xf numFmtId="9" fontId="6" fillId="0" borderId="1" xfId="0" applyNumberFormat="1" applyFont="1" applyBorder="1" applyAlignment="1">
      <alignment horizontal="center"/>
    </xf>
    <xf numFmtId="0" fontId="40" fillId="14" borderId="0" xfId="0" applyFont="1" applyFill="1"/>
    <xf numFmtId="170" fontId="6" fillId="14" borderId="1" xfId="0" applyNumberFormat="1" applyFont="1" applyFill="1" applyBorder="1"/>
    <xf numFmtId="170" fontId="6" fillId="6" borderId="1" xfId="0" applyNumberFormat="1" applyFont="1" applyFill="1" applyBorder="1"/>
    <xf numFmtId="0" fontId="6" fillId="0" borderId="9" xfId="0" applyFont="1" applyBorder="1" applyAlignment="1">
      <alignment horizontal="center"/>
    </xf>
    <xf numFmtId="170" fontId="6" fillId="0" borderId="9" xfId="0" applyNumberFormat="1" applyFont="1" applyBorder="1"/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/>
    </xf>
    <xf numFmtId="170" fontId="6" fillId="11" borderId="1" xfId="0" applyNumberFormat="1" applyFont="1" applyFill="1" applyBorder="1"/>
    <xf numFmtId="9" fontId="138" fillId="0" borderId="1" xfId="0" applyNumberFormat="1" applyFont="1" applyBorder="1" applyAlignment="1">
      <alignment horizontal="center"/>
    </xf>
    <xf numFmtId="9" fontId="6" fillId="6" borderId="1" xfId="0" applyNumberFormat="1" applyFont="1" applyFill="1" applyBorder="1" applyAlignment="1">
      <alignment horizontal="center"/>
    </xf>
    <xf numFmtId="169" fontId="6" fillId="6" borderId="1" xfId="0" applyNumberFormat="1" applyFont="1" applyFill="1" applyBorder="1"/>
    <xf numFmtId="9" fontId="6" fillId="20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121" fillId="6" borderId="3" xfId="0" applyFont="1" applyFill="1" applyBorder="1" applyAlignment="1">
      <alignment horizontal="center" vertical="center"/>
    </xf>
    <xf numFmtId="9" fontId="121" fillId="6" borderId="5" xfId="0" applyNumberFormat="1" applyFont="1" applyFill="1" applyBorder="1" applyAlignment="1">
      <alignment horizontal="center"/>
    </xf>
    <xf numFmtId="0" fontId="121" fillId="6" borderId="3" xfId="0" applyFont="1" applyFill="1" applyBorder="1" applyAlignment="1">
      <alignment horizontal="left"/>
    </xf>
    <xf numFmtId="170" fontId="121" fillId="6" borderId="9" xfId="0" applyNumberFormat="1" applyFont="1" applyFill="1" applyBorder="1" applyAlignment="1">
      <alignment horizontal="left"/>
    </xf>
    <xf numFmtId="9" fontId="121" fillId="6" borderId="1" xfId="0" applyNumberFormat="1" applyFont="1" applyFill="1" applyBorder="1" applyAlignment="1">
      <alignment horizontal="left"/>
    </xf>
    <xf numFmtId="3" fontId="121" fillId="6" borderId="1" xfId="0" applyNumberFormat="1" applyFont="1" applyFill="1" applyBorder="1" applyAlignment="1">
      <alignment horizontal="left"/>
    </xf>
    <xf numFmtId="0" fontId="121" fillId="6" borderId="8" xfId="0" applyFont="1" applyFill="1" applyBorder="1" applyAlignment="1">
      <alignment horizontal="center" vertical="center"/>
    </xf>
    <xf numFmtId="0" fontId="121" fillId="6" borderId="8" xfId="0" applyFont="1" applyFill="1" applyBorder="1" applyAlignment="1">
      <alignment horizontal="center"/>
    </xf>
    <xf numFmtId="0" fontId="121" fillId="6" borderId="1" xfId="0" applyFont="1" applyFill="1" applyBorder="1" applyAlignment="1">
      <alignment horizontal="center"/>
    </xf>
    <xf numFmtId="0" fontId="121" fillId="6" borderId="8" xfId="0" applyFont="1" applyFill="1" applyBorder="1" applyAlignment="1">
      <alignment horizontal="left"/>
    </xf>
    <xf numFmtId="0" fontId="6" fillId="6" borderId="8" xfId="0" applyFont="1" applyFill="1" applyBorder="1" applyAlignment="1">
      <alignment horizontal="left"/>
    </xf>
    <xf numFmtId="170" fontId="121" fillId="6" borderId="1" xfId="0" applyNumberFormat="1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3" fontId="6" fillId="6" borderId="1" xfId="0" applyNumberFormat="1" applyFont="1" applyFill="1" applyBorder="1" applyAlignment="1">
      <alignment horizontal="left"/>
    </xf>
    <xf numFmtId="169" fontId="0" fillId="0" borderId="9" xfId="0" applyNumberFormat="1" applyBorder="1"/>
    <xf numFmtId="14" fontId="0" fillId="0" borderId="9" xfId="0" applyNumberFormat="1" applyBorder="1" applyAlignment="1">
      <alignment horizontal="center"/>
    </xf>
    <xf numFmtId="0" fontId="84" fillId="0" borderId="9" xfId="0" applyFont="1" applyBorder="1"/>
    <xf numFmtId="0" fontId="6" fillId="11" borderId="1" xfId="0" applyFont="1" applyFill="1" applyBorder="1" applyAlignment="1">
      <alignment horizontal="center" vertical="center"/>
    </xf>
    <xf numFmtId="9" fontId="138" fillId="11" borderId="1" xfId="0" applyNumberFormat="1" applyFont="1" applyFill="1" applyBorder="1" applyAlignment="1">
      <alignment horizontal="center"/>
    </xf>
    <xf numFmtId="0" fontId="139" fillId="24" borderId="1" xfId="0" applyFont="1" applyFill="1" applyBorder="1" applyAlignment="1">
      <alignment wrapText="1"/>
    </xf>
    <xf numFmtId="0" fontId="139" fillId="0" borderId="1" xfId="0" applyFont="1" applyBorder="1"/>
    <xf numFmtId="0" fontId="139" fillId="51" borderId="1" xfId="0" applyFont="1" applyFill="1" applyBorder="1" applyAlignment="1">
      <alignment wrapText="1"/>
    </xf>
    <xf numFmtId="0" fontId="139" fillId="0" borderId="1" xfId="0" applyFont="1" applyBorder="1" applyAlignment="1">
      <alignment wrapText="1"/>
    </xf>
    <xf numFmtId="0" fontId="139" fillId="24" borderId="1" xfId="0" applyFont="1" applyFill="1" applyBorder="1" applyAlignment="1">
      <alignment horizontal="right" wrapText="1"/>
    </xf>
    <xf numFmtId="0" fontId="139" fillId="24" borderId="1" xfId="0" applyFont="1" applyFill="1" applyBorder="1" applyAlignment="1">
      <alignment horizontal="left" wrapText="1"/>
    </xf>
    <xf numFmtId="0" fontId="140" fillId="24" borderId="1" xfId="0" applyFont="1" applyFill="1" applyBorder="1" applyAlignment="1">
      <alignment wrapText="1"/>
    </xf>
    <xf numFmtId="0" fontId="140" fillId="0" borderId="1" xfId="0" applyFont="1" applyBorder="1" applyAlignment="1">
      <alignment wrapText="1"/>
    </xf>
    <xf numFmtId="14" fontId="139" fillId="24" borderId="1" xfId="0" applyNumberFormat="1" applyFont="1" applyFill="1" applyBorder="1" applyAlignment="1">
      <alignment horizontal="right" wrapText="1"/>
    </xf>
    <xf numFmtId="0" fontId="140" fillId="0" borderId="1" xfId="0" applyFont="1" applyBorder="1" applyAlignment="1">
      <alignment horizontal="left" wrapText="1"/>
    </xf>
    <xf numFmtId="14" fontId="139" fillId="24" borderId="9" xfId="0" applyNumberFormat="1" applyFont="1" applyFill="1" applyBorder="1" applyAlignment="1">
      <alignment horizontal="right" wrapText="1"/>
    </xf>
    <xf numFmtId="0" fontId="139" fillId="24" borderId="9" xfId="0" applyFont="1" applyFill="1" applyBorder="1" applyAlignment="1">
      <alignment horizontal="left" wrapText="1"/>
    </xf>
    <xf numFmtId="0" fontId="139" fillId="0" borderId="9" xfId="0" applyFont="1" applyBorder="1" applyAlignment="1">
      <alignment wrapText="1"/>
    </xf>
    <xf numFmtId="0" fontId="140" fillId="24" borderId="9" xfId="0" applyFont="1" applyFill="1" applyBorder="1" applyAlignment="1">
      <alignment wrapText="1"/>
    </xf>
    <xf numFmtId="0" fontId="139" fillId="24" borderId="9" xfId="0" applyFont="1" applyFill="1" applyBorder="1" applyAlignment="1">
      <alignment wrapText="1"/>
    </xf>
    <xf numFmtId="0" fontId="140" fillId="0" borderId="9" xfId="0" applyFont="1" applyBorder="1" applyAlignment="1">
      <alignment wrapText="1"/>
    </xf>
    <xf numFmtId="14" fontId="139" fillId="24" borderId="5" xfId="0" applyNumberFormat="1" applyFont="1" applyFill="1" applyBorder="1" applyAlignment="1">
      <alignment horizontal="right" wrapText="1"/>
    </xf>
    <xf numFmtId="0" fontId="140" fillId="0" borderId="5" xfId="0" applyFont="1" applyBorder="1" applyAlignment="1">
      <alignment horizontal="left" wrapText="1"/>
    </xf>
    <xf numFmtId="0" fontId="139" fillId="0" borderId="5" xfId="0" applyFont="1" applyBorder="1"/>
    <xf numFmtId="0" fontId="140" fillId="24" borderId="5" xfId="0" applyFont="1" applyFill="1" applyBorder="1" applyAlignment="1">
      <alignment wrapText="1"/>
    </xf>
    <xf numFmtId="0" fontId="139" fillId="24" borderId="5" xfId="0" applyFont="1" applyFill="1" applyBorder="1" applyAlignment="1">
      <alignment wrapText="1"/>
    </xf>
    <xf numFmtId="0" fontId="140" fillId="0" borderId="5" xfId="0" applyFont="1" applyBorder="1" applyAlignment="1">
      <alignment wrapText="1"/>
    </xf>
    <xf numFmtId="0" fontId="141" fillId="0" borderId="1" xfId="0" applyFont="1" applyBorder="1"/>
    <xf numFmtId="0" fontId="140" fillId="0" borderId="6" xfId="0" applyFont="1" applyBorder="1" applyAlignment="1">
      <alignment wrapText="1"/>
    </xf>
    <xf numFmtId="0" fontId="67" fillId="0" borderId="5" xfId="0" applyFont="1" applyBorder="1" applyAlignment="1">
      <alignment wrapText="1"/>
    </xf>
    <xf numFmtId="0" fontId="141" fillId="6" borderId="1" xfId="0" applyFont="1" applyFill="1" applyBorder="1" applyAlignment="1">
      <alignment wrapText="1"/>
    </xf>
    <xf numFmtId="9" fontId="6" fillId="16" borderId="1" xfId="0" applyNumberFormat="1" applyFont="1" applyFill="1" applyBorder="1" applyAlignment="1">
      <alignment horizontal="center"/>
    </xf>
    <xf numFmtId="173" fontId="0" fillId="6" borderId="1" xfId="0" applyNumberFormat="1" applyFill="1" applyBorder="1" applyAlignment="1">
      <alignment horizontal="left"/>
    </xf>
    <xf numFmtId="9" fontId="138" fillId="16" borderId="1" xfId="0" applyNumberFormat="1" applyFont="1" applyFill="1" applyBorder="1" applyAlignment="1">
      <alignment horizontal="center"/>
    </xf>
    <xf numFmtId="9" fontId="11" fillId="6" borderId="1" xfId="0" applyNumberFormat="1" applyFont="1" applyFill="1" applyBorder="1" applyAlignment="1">
      <alignment horizontal="center"/>
    </xf>
    <xf numFmtId="9" fontId="138" fillId="6" borderId="1" xfId="0" applyNumberFormat="1" applyFont="1" applyFill="1" applyBorder="1" applyAlignment="1">
      <alignment horizontal="center"/>
    </xf>
    <xf numFmtId="16" fontId="6" fillId="6" borderId="1" xfId="0" applyNumberFormat="1" applyFont="1" applyFill="1" applyBorder="1"/>
    <xf numFmtId="170" fontId="6" fillId="6" borderId="9" xfId="0" applyNumberFormat="1" applyFont="1" applyFill="1" applyBorder="1"/>
    <xf numFmtId="9" fontId="11" fillId="0" borderId="1" xfId="0" applyNumberFormat="1" applyFont="1" applyBorder="1" applyAlignment="1">
      <alignment horizontal="center"/>
    </xf>
    <xf numFmtId="170" fontId="56" fillId="20" borderId="1" xfId="0" applyNumberFormat="1" applyFont="1" applyFill="1" applyBorder="1" applyAlignment="1">
      <alignment horizontal="center"/>
    </xf>
    <xf numFmtId="9" fontId="138" fillId="20" borderId="1" xfId="0" applyNumberFormat="1" applyFont="1" applyFill="1" applyBorder="1" applyAlignment="1">
      <alignment horizontal="center"/>
    </xf>
    <xf numFmtId="0" fontId="81" fillId="0" borderId="16" xfId="0" applyFont="1" applyBorder="1" applyAlignment="1">
      <alignment horizontal="center"/>
    </xf>
    <xf numFmtId="0" fontId="81" fillId="0" borderId="19" xfId="0" applyFont="1" applyBorder="1" applyAlignment="1">
      <alignment horizontal="center"/>
    </xf>
    <xf numFmtId="0" fontId="25" fillId="38" borderId="16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center"/>
    </xf>
    <xf numFmtId="17" fontId="24" fillId="40" borderId="0" xfId="0" applyNumberFormat="1" applyFont="1" applyFill="1" applyAlignment="1">
      <alignment horizontal="center" vertical="center"/>
    </xf>
    <xf numFmtId="0" fontId="24" fillId="40" borderId="0" xfId="0" applyFont="1" applyFill="1" applyAlignment="1">
      <alignment horizontal="center" vertical="center"/>
    </xf>
    <xf numFmtId="0" fontId="26" fillId="0" borderId="17" xfId="0" applyFont="1" applyBorder="1" applyAlignment="1">
      <alignment horizontal="center"/>
    </xf>
    <xf numFmtId="17" fontId="24" fillId="30" borderId="0" xfId="0" applyNumberFormat="1" applyFont="1" applyFill="1" applyAlignment="1">
      <alignment horizontal="center" vertical="center"/>
    </xf>
    <xf numFmtId="0" fontId="24" fillId="30" borderId="0" xfId="0" applyFont="1" applyFill="1" applyAlignment="1">
      <alignment horizontal="center" vertical="center"/>
    </xf>
    <xf numFmtId="0" fontId="25" fillId="30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25" fillId="29" borderId="16" xfId="0" applyFont="1" applyFill="1" applyBorder="1" applyAlignment="1">
      <alignment horizontal="center" vertical="center"/>
    </xf>
    <xf numFmtId="0" fontId="25" fillId="14" borderId="16" xfId="0" applyFont="1" applyFill="1" applyBorder="1" applyAlignment="1">
      <alignment horizontal="center" vertical="center"/>
    </xf>
    <xf numFmtId="17" fontId="24" fillId="29" borderId="0" xfId="0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center" vertical="center"/>
    </xf>
    <xf numFmtId="0" fontId="25" fillId="27" borderId="16" xfId="0" applyFont="1" applyFill="1" applyBorder="1" applyAlignment="1">
      <alignment horizontal="center" vertical="center"/>
    </xf>
    <xf numFmtId="17" fontId="24" fillId="14" borderId="0" xfId="0" applyNumberFormat="1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25" fillId="15" borderId="16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17" fontId="24" fillId="26" borderId="0" xfId="0" applyNumberFormat="1" applyFont="1" applyFill="1" applyAlignment="1">
      <alignment horizontal="center" vertical="center"/>
    </xf>
    <xf numFmtId="0" fontId="24" fillId="26" borderId="0" xfId="0" applyFont="1" applyFill="1" applyAlignment="1">
      <alignment horizontal="center" vertical="center"/>
    </xf>
    <xf numFmtId="17" fontId="24" fillId="16" borderId="0" xfId="0" applyNumberFormat="1" applyFont="1" applyFill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0" fontId="25" fillId="11" borderId="16" xfId="0" applyFont="1" applyFill="1" applyBorder="1" applyAlignment="1">
      <alignment horizontal="center" vertical="center"/>
    </xf>
    <xf numFmtId="0" fontId="25" fillId="8" borderId="16" xfId="0" applyFont="1" applyFill="1" applyBorder="1" applyAlignment="1">
      <alignment horizontal="center" vertical="center"/>
    </xf>
    <xf numFmtId="17" fontId="24" fillId="28" borderId="0" xfId="0" applyNumberFormat="1" applyFont="1" applyFill="1" applyAlignment="1">
      <alignment horizontal="center" vertical="center"/>
    </xf>
    <xf numFmtId="0" fontId="24" fillId="28" borderId="0" xfId="0" applyFont="1" applyFill="1" applyAlignment="1">
      <alignment horizontal="center" vertical="center"/>
    </xf>
    <xf numFmtId="17" fontId="24" fillId="31" borderId="0" xfId="0" applyNumberFormat="1" applyFont="1" applyFill="1" applyAlignment="1">
      <alignment horizontal="center" vertical="center"/>
    </xf>
    <xf numFmtId="0" fontId="24" fillId="31" borderId="0" xfId="0" applyFont="1" applyFill="1" applyAlignment="1">
      <alignment horizontal="center" vertical="center"/>
    </xf>
    <xf numFmtId="0" fontId="25" fillId="31" borderId="16" xfId="0" applyFont="1" applyFill="1" applyBorder="1" applyAlignment="1">
      <alignment horizontal="center" vertical="center"/>
    </xf>
    <xf numFmtId="0" fontId="56" fillId="12" borderId="8" xfId="0" applyFont="1" applyFill="1" applyBorder="1" applyAlignment="1">
      <alignment horizontal="center"/>
    </xf>
    <xf numFmtId="0" fontId="56" fillId="12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71" fillId="40" borderId="9" xfId="0" applyFont="1" applyFill="1" applyBorder="1" applyAlignment="1">
      <alignment horizontal="center"/>
    </xf>
    <xf numFmtId="0" fontId="56" fillId="10" borderId="8" xfId="0" applyFont="1" applyFill="1" applyBorder="1" applyAlignment="1">
      <alignment horizontal="center"/>
    </xf>
    <xf numFmtId="0" fontId="56" fillId="10" borderId="6" xfId="0" applyFont="1" applyFill="1" applyBorder="1" applyAlignment="1">
      <alignment horizontal="center"/>
    </xf>
    <xf numFmtId="0" fontId="134" fillId="11" borderId="8" xfId="0" applyFont="1" applyFill="1" applyBorder="1" applyAlignment="1">
      <alignment horizontal="center"/>
    </xf>
    <xf numFmtId="0" fontId="134" fillId="11" borderId="13" xfId="0" applyFont="1" applyFill="1" applyBorder="1" applyAlignment="1">
      <alignment horizontal="center"/>
    </xf>
    <xf numFmtId="165" fontId="135" fillId="40" borderId="8" xfId="0" applyNumberFormat="1" applyFont="1" applyFill="1" applyBorder="1" applyAlignment="1">
      <alignment horizontal="center"/>
    </xf>
    <xf numFmtId="165" fontId="135" fillId="40" borderId="13" xfId="0" applyNumberFormat="1" applyFont="1" applyFill="1" applyBorder="1" applyAlignment="1">
      <alignment horizontal="center"/>
    </xf>
    <xf numFmtId="165" fontId="135" fillId="40" borderId="6" xfId="0" applyNumberFormat="1" applyFont="1" applyFill="1" applyBorder="1" applyAlignment="1">
      <alignment horizontal="center"/>
    </xf>
    <xf numFmtId="0" fontId="12" fillId="40" borderId="9" xfId="0" applyFont="1" applyFill="1" applyBorder="1" applyAlignment="1">
      <alignment horizontal="center"/>
    </xf>
    <xf numFmtId="0" fontId="84" fillId="41" borderId="9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12" fillId="40" borderId="8" xfId="0" applyFont="1" applyFill="1" applyBorder="1" applyAlignment="1">
      <alignment horizontal="center"/>
    </xf>
    <xf numFmtId="0" fontId="12" fillId="40" borderId="13" xfId="0" applyFont="1" applyFill="1" applyBorder="1" applyAlignment="1">
      <alignment horizontal="center"/>
    </xf>
    <xf numFmtId="0" fontId="12" fillId="40" borderId="6" xfId="0" applyFont="1" applyFill="1" applyBorder="1" applyAlignment="1">
      <alignment horizontal="center"/>
    </xf>
    <xf numFmtId="0" fontId="2" fillId="41" borderId="8" xfId="0" applyFont="1" applyFill="1" applyBorder="1" applyAlignment="1">
      <alignment horizontal="center"/>
    </xf>
    <xf numFmtId="0" fontId="2" fillId="41" borderId="13" xfId="0" applyFont="1" applyFill="1" applyBorder="1" applyAlignment="1">
      <alignment horizontal="center"/>
    </xf>
    <xf numFmtId="0" fontId="2" fillId="41" borderId="6" xfId="0" applyFont="1" applyFill="1" applyBorder="1" applyAlignment="1">
      <alignment horizontal="center"/>
    </xf>
    <xf numFmtId="0" fontId="2" fillId="41" borderId="9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 vertical="center"/>
    </xf>
    <xf numFmtId="165" fontId="1" fillId="43" borderId="0" xfId="0" applyNumberFormat="1" applyFont="1" applyFill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5" fillId="13" borderId="13" xfId="0" applyFont="1" applyFill="1" applyBorder="1" applyAlignment="1">
      <alignment horizontal="center"/>
    </xf>
    <xf numFmtId="0" fontId="60" fillId="8" borderId="10" xfId="0" applyFont="1" applyFill="1" applyBorder="1" applyAlignment="1">
      <alignment horizontal="center"/>
    </xf>
    <xf numFmtId="0" fontId="56" fillId="14" borderId="8" xfId="0" applyFont="1" applyFill="1" applyBorder="1" applyAlignment="1">
      <alignment horizontal="left" vertical="center"/>
    </xf>
    <xf numFmtId="0" fontId="56" fillId="14" borderId="13" xfId="0" applyFont="1" applyFill="1" applyBorder="1" applyAlignment="1">
      <alignment horizontal="left" vertical="center"/>
    </xf>
    <xf numFmtId="0" fontId="56" fillId="14" borderId="6" xfId="0" applyFont="1" applyFill="1" applyBorder="1" applyAlignment="1">
      <alignment horizontal="left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8" fillId="11" borderId="8" xfId="0" applyFont="1" applyFill="1" applyBorder="1" applyAlignment="1">
      <alignment horizontal="center"/>
    </xf>
    <xf numFmtId="0" fontId="8" fillId="11" borderId="13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/>
    </xf>
    <xf numFmtId="0" fontId="5" fillId="12" borderId="13" xfId="0" applyFont="1" applyFill="1" applyBorder="1" applyAlignment="1">
      <alignment horizontal="center"/>
    </xf>
    <xf numFmtId="0" fontId="5" fillId="26" borderId="8" xfId="0" applyFont="1" applyFill="1" applyBorder="1" applyAlignment="1">
      <alignment horizontal="center"/>
    </xf>
    <xf numFmtId="0" fontId="5" fillId="26" borderId="13" xfId="0" applyFont="1" applyFill="1" applyBorder="1" applyAlignment="1">
      <alignment horizontal="center"/>
    </xf>
    <xf numFmtId="0" fontId="12" fillId="39" borderId="9" xfId="0" applyFont="1" applyFill="1" applyBorder="1" applyAlignment="1">
      <alignment horizontal="center"/>
    </xf>
    <xf numFmtId="0" fontId="71" fillId="39" borderId="9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9" fillId="13" borderId="15" xfId="0" applyFont="1" applyFill="1" applyBorder="1" applyAlignment="1">
      <alignment horizontal="center" vertical="center"/>
    </xf>
    <xf numFmtId="0" fontId="60" fillId="8" borderId="7" xfId="0" applyFont="1" applyFill="1" applyBorder="1" applyAlignment="1">
      <alignment horizontal="center"/>
    </xf>
    <xf numFmtId="0" fontId="5" fillId="37" borderId="8" xfId="0" applyFont="1" applyFill="1" applyBorder="1" applyAlignment="1">
      <alignment horizontal="center"/>
    </xf>
    <xf numFmtId="0" fontId="5" fillId="37" borderId="13" xfId="0" applyFont="1" applyFill="1" applyBorder="1" applyAlignment="1">
      <alignment horizontal="center"/>
    </xf>
    <xf numFmtId="0" fontId="130" fillId="5" borderId="4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/>
    </xf>
    <xf numFmtId="0" fontId="71" fillId="1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60" fillId="8" borderId="6" xfId="0" applyFont="1" applyFill="1" applyBorder="1" applyAlignment="1">
      <alignment horizontal="center"/>
    </xf>
    <xf numFmtId="0" fontId="130" fillId="6" borderId="4" xfId="0" applyFont="1" applyFill="1" applyBorder="1" applyAlignment="1">
      <alignment horizontal="center" vertical="center"/>
    </xf>
    <xf numFmtId="0" fontId="60" fillId="6" borderId="5" xfId="0" applyFont="1" applyFill="1" applyBorder="1" applyAlignment="1">
      <alignment horizontal="center"/>
    </xf>
    <xf numFmtId="0" fontId="12" fillId="14" borderId="10" xfId="0" applyFont="1" applyFill="1" applyBorder="1" applyAlignment="1">
      <alignment horizontal="center"/>
    </xf>
    <xf numFmtId="0" fontId="71" fillId="1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30" fillId="5" borderId="10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/>
    </xf>
    <xf numFmtId="0" fontId="71" fillId="14" borderId="8" xfId="0" applyFont="1" applyFill="1" applyBorder="1" applyAlignment="1">
      <alignment horizontal="center"/>
    </xf>
    <xf numFmtId="0" fontId="12" fillId="14" borderId="8" xfId="0" applyFont="1" applyFill="1" applyBorder="1" applyAlignment="1">
      <alignment horizontal="center" vertical="center"/>
    </xf>
    <xf numFmtId="0" fontId="71" fillId="14" borderId="8" xfId="0" applyFont="1" applyFill="1" applyBorder="1" applyAlignment="1">
      <alignment horizontal="center" vertical="center"/>
    </xf>
    <xf numFmtId="0" fontId="60" fillId="8" borderId="2" xfId="0" applyFont="1" applyFill="1" applyBorder="1" applyAlignment="1">
      <alignment horizontal="center"/>
    </xf>
    <xf numFmtId="0" fontId="130" fillId="6" borderId="9" xfId="0" applyFont="1" applyFill="1" applyBorder="1" applyAlignment="1">
      <alignment horizontal="center" vertical="center"/>
    </xf>
    <xf numFmtId="0" fontId="130" fillId="6" borderId="5" xfId="0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/>
    </xf>
    <xf numFmtId="0" fontId="12" fillId="39" borderId="10" xfId="0" applyFont="1" applyFill="1" applyBorder="1" applyAlignment="1">
      <alignment horizontal="center"/>
    </xf>
    <xf numFmtId="0" fontId="71" fillId="39" borderId="10" xfId="0" applyFont="1" applyFill="1" applyBorder="1" applyAlignment="1">
      <alignment horizontal="center"/>
    </xf>
    <xf numFmtId="0" fontId="5" fillId="16" borderId="8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165" fontId="1" fillId="14" borderId="0" xfId="0" applyNumberFormat="1" applyFont="1" applyFill="1" applyAlignment="1">
      <alignment horizontal="center"/>
    </xf>
    <xf numFmtId="165" fontId="130" fillId="14" borderId="0" xfId="0" applyNumberFormat="1" applyFont="1" applyFill="1" applyAlignment="1">
      <alignment horizontal="center"/>
    </xf>
    <xf numFmtId="0" fontId="12" fillId="39" borderId="1" xfId="0" applyFont="1" applyFill="1" applyBorder="1" applyAlignment="1">
      <alignment horizontal="center"/>
    </xf>
    <xf numFmtId="0" fontId="71" fillId="39" borderId="1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71" fillId="14" borderId="9" xfId="0" applyFont="1" applyFill="1" applyBorder="1" applyAlignment="1">
      <alignment horizontal="center"/>
    </xf>
    <xf numFmtId="0" fontId="60" fillId="8" borderId="13" xfId="0" applyFont="1" applyFill="1" applyBorder="1" applyAlignment="1">
      <alignment horizontal="center"/>
    </xf>
    <xf numFmtId="0" fontId="60" fillId="8" borderId="3" xfId="0" applyFont="1" applyFill="1" applyBorder="1" applyAlignment="1">
      <alignment horizontal="center"/>
    </xf>
    <xf numFmtId="0" fontId="12" fillId="39" borderId="8" xfId="0" applyFont="1" applyFill="1" applyBorder="1" applyAlignment="1">
      <alignment horizontal="center"/>
    </xf>
    <xf numFmtId="0" fontId="71" fillId="39" borderId="8" xfId="0" applyFont="1" applyFill="1" applyBorder="1" applyAlignment="1">
      <alignment horizontal="center"/>
    </xf>
    <xf numFmtId="0" fontId="60" fillId="8" borderId="8" xfId="0" applyFont="1" applyFill="1" applyBorder="1" applyAlignment="1">
      <alignment horizontal="center"/>
    </xf>
    <xf numFmtId="0" fontId="12" fillId="39" borderId="8" xfId="0" applyFont="1" applyFill="1" applyBorder="1" applyAlignment="1">
      <alignment horizontal="center" vertical="center"/>
    </xf>
    <xf numFmtId="0" fontId="71" fillId="39" borderId="8" xfId="0" applyFont="1" applyFill="1" applyBorder="1" applyAlignment="1">
      <alignment horizontal="center" vertical="center"/>
    </xf>
    <xf numFmtId="0" fontId="130" fillId="0" borderId="4" xfId="0" applyFont="1" applyBorder="1" applyAlignment="1">
      <alignment horizontal="center"/>
    </xf>
    <xf numFmtId="0" fontId="133" fillId="40" borderId="16" xfId="0" applyFont="1" applyFill="1" applyBorder="1" applyAlignment="1">
      <alignment horizontal="center" vertical="center"/>
    </xf>
    <xf numFmtId="0" fontId="133" fillId="40" borderId="17" xfId="0" applyFont="1" applyFill="1" applyBorder="1" applyAlignment="1">
      <alignment horizontal="center" vertical="center"/>
    </xf>
    <xf numFmtId="0" fontId="133" fillId="40" borderId="10" xfId="0" applyFont="1" applyFill="1" applyBorder="1" applyAlignment="1">
      <alignment horizontal="center" vertical="center"/>
    </xf>
    <xf numFmtId="0" fontId="133" fillId="40" borderId="0" xfId="0" applyFont="1" applyFill="1" applyAlignment="1">
      <alignment horizontal="center" vertical="center"/>
    </xf>
    <xf numFmtId="0" fontId="12" fillId="47" borderId="10" xfId="0" applyFont="1" applyFill="1" applyBorder="1" applyAlignment="1">
      <alignment horizontal="center" vertical="center"/>
    </xf>
    <xf numFmtId="0" fontId="12" fillId="47" borderId="0" xfId="0" applyFont="1" applyFill="1" applyAlignment="1">
      <alignment horizontal="center" vertical="center"/>
    </xf>
    <xf numFmtId="0" fontId="12" fillId="47" borderId="7" xfId="0" applyFont="1" applyFill="1" applyBorder="1" applyAlignment="1">
      <alignment horizontal="center" vertical="center"/>
    </xf>
    <xf numFmtId="0" fontId="12" fillId="47" borderId="2" xfId="0" applyFont="1" applyFill="1" applyBorder="1" applyAlignment="1">
      <alignment horizontal="center" vertical="center"/>
    </xf>
    <xf numFmtId="165" fontId="1" fillId="43" borderId="5" xfId="0" applyNumberFormat="1" applyFont="1" applyFill="1" applyBorder="1" applyAlignment="1">
      <alignment horizontal="center"/>
    </xf>
    <xf numFmtId="165" fontId="135" fillId="40" borderId="16" xfId="0" applyNumberFormat="1" applyFont="1" applyFill="1" applyBorder="1" applyAlignment="1">
      <alignment horizontal="center"/>
    </xf>
    <xf numFmtId="0" fontId="132" fillId="40" borderId="0" xfId="0" applyFont="1" applyFill="1" applyAlignment="1">
      <alignment horizontal="center" vertical="center"/>
    </xf>
    <xf numFmtId="0" fontId="132" fillId="40" borderId="2" xfId="0" applyFont="1" applyFill="1" applyBorder="1" applyAlignment="1">
      <alignment horizontal="center" vertical="center"/>
    </xf>
    <xf numFmtId="0" fontId="75" fillId="20" borderId="8" xfId="0" applyFont="1" applyFill="1" applyBorder="1" applyAlignment="1">
      <alignment horizontal="center" wrapText="1"/>
    </xf>
    <xf numFmtId="0" fontId="75" fillId="20" borderId="6" xfId="0" applyFont="1" applyFill="1" applyBorder="1" applyAlignment="1">
      <alignment horizontal="center" wrapText="1"/>
    </xf>
    <xf numFmtId="0" fontId="137" fillId="49" borderId="8" xfId="0" applyFont="1" applyFill="1" applyBorder="1" applyAlignment="1">
      <alignment horizontal="center"/>
    </xf>
    <xf numFmtId="0" fontId="137" fillId="49" borderId="13" xfId="0" applyFont="1" applyFill="1" applyBorder="1" applyAlignment="1">
      <alignment horizontal="center"/>
    </xf>
    <xf numFmtId="0" fontId="137" fillId="49" borderId="6" xfId="0" applyFont="1" applyFill="1" applyBorder="1" applyAlignment="1">
      <alignment horizontal="center"/>
    </xf>
    <xf numFmtId="0" fontId="116" fillId="35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112" fillId="17" borderId="1" xfId="0" applyFont="1" applyFill="1" applyBorder="1" applyAlignment="1">
      <alignment horizontal="center"/>
    </xf>
    <xf numFmtId="0" fontId="23" fillId="0" borderId="0" xfId="0" applyFont="1" applyAlignment="1">
      <alignment wrapText="1"/>
    </xf>
    <xf numFmtId="0" fontId="23" fillId="0" borderId="24" xfId="0" applyFont="1" applyBorder="1" applyAlignment="1">
      <alignment wrapText="1"/>
    </xf>
    <xf numFmtId="0" fontId="23" fillId="0" borderId="25" xfId="0" applyFont="1" applyBorder="1" applyAlignment="1">
      <alignment wrapText="1"/>
    </xf>
    <xf numFmtId="0" fontId="23" fillId="0" borderId="26" xfId="0" applyFont="1" applyBorder="1" applyAlignment="1">
      <alignment wrapText="1"/>
    </xf>
    <xf numFmtId="0" fontId="23" fillId="0" borderId="28" xfId="0" applyFont="1" applyBorder="1" applyAlignment="1">
      <alignment wrapText="1"/>
    </xf>
    <xf numFmtId="0" fontId="36" fillId="0" borderId="26" xfId="0" applyFont="1" applyBorder="1" applyAlignment="1">
      <alignment wrapText="1"/>
    </xf>
    <xf numFmtId="0" fontId="36" fillId="0" borderId="28" xfId="0" applyFont="1" applyBorder="1" applyAlignment="1">
      <alignment wrapText="1"/>
    </xf>
    <xf numFmtId="0" fontId="67" fillId="0" borderId="5" xfId="0" applyFont="1" applyBorder="1" applyAlignment="1">
      <alignment wrapText="1"/>
    </xf>
    <xf numFmtId="0" fontId="67" fillId="0" borderId="1" xfId="0" applyFont="1" applyBorder="1" applyAlignment="1">
      <alignment wrapText="1"/>
    </xf>
    <xf numFmtId="0" fontId="23" fillId="0" borderId="23" xfId="0" applyFont="1" applyBorder="1" applyAlignment="1">
      <alignment wrapText="1"/>
    </xf>
    <xf numFmtId="0" fontId="41" fillId="0" borderId="0" xfId="0" applyFont="1" applyAlignment="1">
      <alignment wrapText="1"/>
    </xf>
    <xf numFmtId="0" fontId="41" fillId="0" borderId="24" xfId="0" applyFont="1" applyBorder="1" applyAlignment="1">
      <alignment wrapText="1"/>
    </xf>
    <xf numFmtId="0" fontId="34" fillId="0" borderId="20" xfId="0" applyFont="1" applyBorder="1" applyAlignment="1">
      <alignment wrapText="1"/>
    </xf>
    <xf numFmtId="0" fontId="34" fillId="0" borderId="21" xfId="0" applyFont="1" applyBorder="1" applyAlignment="1">
      <alignment wrapText="1"/>
    </xf>
    <xf numFmtId="0" fontId="34" fillId="0" borderId="22" xfId="0" applyFont="1" applyBorder="1" applyAlignment="1">
      <alignment wrapText="1"/>
    </xf>
    <xf numFmtId="0" fontId="34" fillId="0" borderId="23" xfId="0" applyFont="1" applyBorder="1" applyAlignment="1">
      <alignment wrapText="1"/>
    </xf>
    <xf numFmtId="0" fontId="34" fillId="0" borderId="0" xfId="0" applyFont="1" applyAlignment="1">
      <alignment wrapText="1"/>
    </xf>
    <xf numFmtId="0" fontId="34" fillId="0" borderId="24" xfId="0" applyFont="1" applyBorder="1" applyAlignment="1">
      <alignment wrapText="1"/>
    </xf>
    <xf numFmtId="0" fontId="35" fillId="0" borderId="23" xfId="0" applyFont="1" applyBorder="1" applyAlignment="1">
      <alignment wrapText="1"/>
    </xf>
    <xf numFmtId="0" fontId="35" fillId="0" borderId="0" xfId="0" applyFont="1" applyAlignment="1">
      <alignment wrapText="1"/>
    </xf>
    <xf numFmtId="0" fontId="35" fillId="0" borderId="24" xfId="0" applyFont="1" applyBorder="1" applyAlignment="1">
      <alignment wrapText="1"/>
    </xf>
    <xf numFmtId="0" fontId="36" fillId="0" borderId="27" xfId="0" applyFont="1" applyBorder="1" applyAlignment="1">
      <alignment wrapText="1"/>
    </xf>
    <xf numFmtId="0" fontId="28" fillId="14" borderId="12" xfId="0" applyFont="1" applyFill="1" applyBorder="1" applyAlignment="1">
      <alignment horizontal="center" vertical="center"/>
    </xf>
    <xf numFmtId="0" fontId="20" fillId="14" borderId="15" xfId="0" applyFont="1" applyFill="1" applyBorder="1" applyAlignment="1">
      <alignment horizontal="center" vertical="center"/>
    </xf>
    <xf numFmtId="0" fontId="20" fillId="14" borderId="14" xfId="0" applyFont="1" applyFill="1" applyBorder="1" applyAlignment="1">
      <alignment horizontal="center" vertical="center"/>
    </xf>
    <xf numFmtId="0" fontId="20" fillId="14" borderId="10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0" fillId="14" borderId="11" xfId="0" applyFont="1" applyFill="1" applyBorder="1" applyAlignment="1">
      <alignment horizontal="center" vertical="center"/>
    </xf>
    <xf numFmtId="0" fontId="20" fillId="14" borderId="7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0" fillId="14" borderId="8" xfId="0" applyFont="1" applyFill="1" applyBorder="1" applyAlignment="1">
      <alignment horizontal="center" vertical="center"/>
    </xf>
    <xf numFmtId="0" fontId="20" fillId="14" borderId="9" xfId="0" applyFont="1" applyFill="1" applyBorder="1" applyAlignment="1">
      <alignment horizontal="center" vertical="center"/>
    </xf>
    <xf numFmtId="0" fontId="20" fillId="14" borderId="12" xfId="0" applyFont="1" applyFill="1" applyBorder="1" applyAlignment="1">
      <alignment horizontal="center" vertical="center"/>
    </xf>
    <xf numFmtId="0" fontId="13" fillId="30" borderId="8" xfId="0" applyFont="1" applyFill="1" applyBorder="1" applyAlignment="1">
      <alignment horizontal="center"/>
    </xf>
    <xf numFmtId="0" fontId="13" fillId="30" borderId="13" xfId="0" applyFont="1" applyFill="1" applyBorder="1" applyAlignment="1">
      <alignment horizontal="center"/>
    </xf>
    <xf numFmtId="0" fontId="5" fillId="26" borderId="6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1" fillId="6" borderId="10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60" fillId="8" borderId="1" xfId="0" applyFont="1" applyFill="1" applyBorder="1" applyAlignment="1">
      <alignment horizontal="center"/>
    </xf>
    <xf numFmtId="0" fontId="12" fillId="14" borderId="13" xfId="0" applyFont="1" applyFill="1" applyBorder="1" applyAlignment="1">
      <alignment horizontal="center"/>
    </xf>
    <xf numFmtId="0" fontId="12" fillId="14" borderId="6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 vertical="center"/>
    </xf>
    <xf numFmtId="0" fontId="12" fillId="14" borderId="13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0" fontId="28" fillId="31" borderId="12" xfId="0" applyFont="1" applyFill="1" applyBorder="1" applyAlignment="1">
      <alignment horizontal="center" vertical="center"/>
    </xf>
    <xf numFmtId="0" fontId="20" fillId="31" borderId="15" xfId="0" applyFont="1" applyFill="1" applyBorder="1" applyAlignment="1">
      <alignment horizontal="center" vertical="center"/>
    </xf>
    <xf numFmtId="0" fontId="20" fillId="31" borderId="14" xfId="0" applyFont="1" applyFill="1" applyBorder="1" applyAlignment="1">
      <alignment horizontal="center" vertical="center"/>
    </xf>
    <xf numFmtId="0" fontId="20" fillId="31" borderId="10" xfId="0" applyFont="1" applyFill="1" applyBorder="1" applyAlignment="1">
      <alignment horizontal="center" vertical="center"/>
    </xf>
    <xf numFmtId="0" fontId="20" fillId="31" borderId="0" xfId="0" applyFont="1" applyFill="1" applyAlignment="1">
      <alignment horizontal="center" vertical="center"/>
    </xf>
    <xf numFmtId="0" fontId="20" fillId="31" borderId="11" xfId="0" applyFont="1" applyFill="1" applyBorder="1" applyAlignment="1">
      <alignment horizontal="center" vertical="center"/>
    </xf>
    <xf numFmtId="0" fontId="20" fillId="31" borderId="7" xfId="0" applyFont="1" applyFill="1" applyBorder="1" applyAlignment="1">
      <alignment horizontal="center" vertical="center"/>
    </xf>
    <xf numFmtId="0" fontId="20" fillId="31" borderId="2" xfId="0" applyFont="1" applyFill="1" applyBorder="1" applyAlignment="1">
      <alignment horizontal="center" vertical="center"/>
    </xf>
    <xf numFmtId="0" fontId="20" fillId="31" borderId="3" xfId="0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horizontal="center" vertical="center"/>
    </xf>
    <xf numFmtId="0" fontId="20" fillId="31" borderId="8" xfId="0" applyFont="1" applyFill="1" applyBorder="1" applyAlignment="1">
      <alignment horizontal="center" vertical="center"/>
    </xf>
    <xf numFmtId="0" fontId="20" fillId="31" borderId="9" xfId="0" applyFont="1" applyFill="1" applyBorder="1" applyAlignment="1">
      <alignment horizontal="center" vertical="center"/>
    </xf>
    <xf numFmtId="0" fontId="20" fillId="31" borderId="12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21" fillId="6" borderId="9" xfId="0" applyFont="1" applyFill="1" applyBorder="1" applyAlignment="1">
      <alignment horizontal="center"/>
    </xf>
    <xf numFmtId="0" fontId="121" fillId="6" borderId="4" xfId="0" applyFont="1" applyFill="1" applyBorder="1" applyAlignment="1">
      <alignment horizontal="center"/>
    </xf>
    <xf numFmtId="0" fontId="121" fillId="6" borderId="5" xfId="0" applyFont="1" applyFill="1" applyBorder="1" applyAlignment="1">
      <alignment horizontal="center"/>
    </xf>
    <xf numFmtId="0" fontId="12" fillId="31" borderId="1" xfId="0" applyFont="1" applyFill="1" applyBorder="1" applyAlignment="1">
      <alignment horizontal="center"/>
    </xf>
    <xf numFmtId="0" fontId="12" fillId="31" borderId="8" xfId="0" applyFont="1" applyFill="1" applyBorder="1" applyAlignment="1">
      <alignment horizontal="center"/>
    </xf>
    <xf numFmtId="0" fontId="12" fillId="31" borderId="13" xfId="0" applyFont="1" applyFill="1" applyBorder="1" applyAlignment="1">
      <alignment horizontal="center"/>
    </xf>
    <xf numFmtId="0" fontId="12" fillId="31" borderId="6" xfId="0" applyFont="1" applyFill="1" applyBorder="1" applyAlignment="1">
      <alignment horizontal="center"/>
    </xf>
    <xf numFmtId="0" fontId="12" fillId="31" borderId="8" xfId="0" applyFont="1" applyFill="1" applyBorder="1" applyAlignment="1">
      <alignment horizontal="center" vertical="center"/>
    </xf>
    <xf numFmtId="0" fontId="12" fillId="31" borderId="13" xfId="0" applyFont="1" applyFill="1" applyBorder="1" applyAlignment="1">
      <alignment horizontal="center" vertical="center"/>
    </xf>
    <xf numFmtId="0" fontId="12" fillId="31" borderId="6" xfId="0" applyFont="1" applyFill="1" applyBorder="1" applyAlignment="1">
      <alignment horizontal="center" vertical="center"/>
    </xf>
    <xf numFmtId="165" fontId="1" fillId="31" borderId="0" xfId="0" applyNumberFormat="1" applyFont="1" applyFill="1" applyAlignment="1">
      <alignment horizontal="center"/>
    </xf>
    <xf numFmtId="0" fontId="12" fillId="31" borderId="9" xfId="0" applyFont="1" applyFill="1" applyBorder="1" applyAlignment="1">
      <alignment horizontal="center"/>
    </xf>
    <xf numFmtId="0" fontId="12" fillId="31" borderId="10" xfId="0" applyFont="1" applyFill="1" applyBorder="1" applyAlignment="1">
      <alignment horizontal="center"/>
    </xf>
    <xf numFmtId="0" fontId="125" fillId="6" borderId="12" xfId="0" applyFont="1" applyFill="1" applyBorder="1" applyAlignment="1">
      <alignment horizontal="center" vertical="center"/>
    </xf>
    <xf numFmtId="0" fontId="125" fillId="6" borderId="9" xfId="0" applyFont="1" applyFill="1" applyBorder="1" applyAlignment="1">
      <alignment horizontal="center" vertical="center"/>
    </xf>
    <xf numFmtId="0" fontId="126" fillId="6" borderId="4" xfId="0" applyFont="1" applyFill="1" applyBorder="1" applyAlignment="1">
      <alignment horizontal="center" vertical="center"/>
    </xf>
    <xf numFmtId="0" fontId="126" fillId="6" borderId="9" xfId="0" applyFont="1" applyFill="1" applyBorder="1" applyAlignment="1">
      <alignment horizontal="center" vertical="center"/>
    </xf>
    <xf numFmtId="0" fontId="28" fillId="30" borderId="12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8" xfId="0" applyFont="1" applyFill="1" applyBorder="1" applyAlignment="1">
      <alignment horizontal="center" vertical="center"/>
    </xf>
    <xf numFmtId="0" fontId="20" fillId="30" borderId="9" xfId="0" applyFont="1" applyFill="1" applyBorder="1" applyAlignment="1">
      <alignment horizontal="center" vertical="center"/>
    </xf>
    <xf numFmtId="0" fontId="20" fillId="30" borderId="12" xfId="0" applyFont="1" applyFill="1" applyBorder="1" applyAlignment="1">
      <alignment horizontal="center" vertical="center"/>
    </xf>
    <xf numFmtId="165" fontId="1" fillId="30" borderId="0" xfId="0" applyNumberFormat="1" applyFont="1" applyFill="1" applyAlignment="1">
      <alignment horizontal="center"/>
    </xf>
    <xf numFmtId="0" fontId="12" fillId="30" borderId="1" xfId="0" applyFont="1" applyFill="1" applyBorder="1" applyAlignment="1">
      <alignment horizontal="center"/>
    </xf>
    <xf numFmtId="0" fontId="28" fillId="29" borderId="12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12" fillId="29" borderId="8" xfId="0" applyFont="1" applyFill="1" applyBorder="1" applyAlignment="1">
      <alignment horizontal="center"/>
    </xf>
    <xf numFmtId="0" fontId="5" fillId="13" borderId="15" xfId="0" applyFont="1" applyFill="1" applyBorder="1" applyAlignment="1">
      <alignment horizontal="center"/>
    </xf>
    <xf numFmtId="0" fontId="125" fillId="6" borderId="9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2" fillId="30" borderId="8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/>
    </xf>
    <xf numFmtId="0" fontId="12" fillId="30" borderId="10" xfId="0" applyFont="1" applyFill="1" applyBorder="1" applyAlignment="1">
      <alignment horizontal="center"/>
    </xf>
    <xf numFmtId="165" fontId="1" fillId="29" borderId="0" xfId="0" applyNumberFormat="1" applyFont="1" applyFill="1" applyAlignment="1">
      <alignment horizontal="center"/>
    </xf>
    <xf numFmtId="0" fontId="12" fillId="29" borderId="1" xfId="0" applyFont="1" applyFill="1" applyBorder="1" applyAlignment="1">
      <alignment horizontal="center"/>
    </xf>
    <xf numFmtId="0" fontId="12" fillId="29" borderId="7" xfId="0" applyFont="1" applyFill="1" applyBorder="1" applyAlignment="1">
      <alignment horizontal="center"/>
    </xf>
    <xf numFmtId="0" fontId="119" fillId="6" borderId="9" xfId="0" applyFont="1" applyFill="1" applyBorder="1" applyAlignment="1">
      <alignment horizontal="center"/>
    </xf>
    <xf numFmtId="0" fontId="119" fillId="6" borderId="9" xfId="0" applyFont="1" applyFill="1" applyBorder="1" applyAlignment="1">
      <alignment vertical="center"/>
    </xf>
    <xf numFmtId="0" fontId="119" fillId="6" borderId="9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/>
    </xf>
    <xf numFmtId="0" fontId="60" fillId="8" borderId="12" xfId="0" applyFont="1" applyFill="1" applyBorder="1" applyAlignment="1">
      <alignment horizontal="center"/>
    </xf>
    <xf numFmtId="0" fontId="119" fillId="6" borderId="4" xfId="0" applyFont="1" applyFill="1" applyBorder="1" applyAlignment="1">
      <alignment horizontal="center" vertical="center"/>
    </xf>
    <xf numFmtId="0" fontId="119" fillId="6" borderId="12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19" fillId="6" borderId="1" xfId="0" applyFont="1" applyFill="1" applyBorder="1" applyAlignment="1">
      <alignment horizontal="center" vertical="center" wrapText="1"/>
    </xf>
    <xf numFmtId="0" fontId="28" fillId="11" borderId="10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1" fillId="11" borderId="0" xfId="0" applyNumberFormat="1" applyFont="1" applyFill="1" applyAlignment="1">
      <alignment horizontal="center"/>
    </xf>
    <xf numFmtId="0" fontId="119" fillId="6" borderId="4" xfId="0" applyFont="1" applyFill="1" applyBorder="1" applyAlignment="1">
      <alignment vertical="center"/>
    </xf>
    <xf numFmtId="0" fontId="12" fillId="11" borderId="7" xfId="0" applyFont="1" applyFill="1" applyBorder="1" applyAlignment="1">
      <alignment horizontal="center"/>
    </xf>
    <xf numFmtId="0" fontId="28" fillId="27" borderId="10" xfId="0" applyFont="1" applyFill="1" applyBorder="1" applyAlignment="1">
      <alignment horizontal="center" vertical="center"/>
    </xf>
    <xf numFmtId="0" fontId="28" fillId="27" borderId="12" xfId="0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/>
    </xf>
    <xf numFmtId="0" fontId="12" fillId="27" borderId="1" xfId="0" applyFont="1" applyFill="1" applyBorder="1" applyAlignment="1">
      <alignment horizontal="center"/>
    </xf>
    <xf numFmtId="165" fontId="1" fillId="27" borderId="0" xfId="0" applyNumberFormat="1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18" fillId="5" borderId="1" xfId="0" applyFont="1" applyFill="1" applyBorder="1" applyAlignment="1">
      <alignment horizontal="center" vertical="center" wrapText="1"/>
    </xf>
    <xf numFmtId="0" fontId="118" fillId="5" borderId="9" xfId="0" applyFont="1" applyFill="1" applyBorder="1" applyAlignment="1">
      <alignment horizontal="center" vertical="center" wrapText="1"/>
    </xf>
    <xf numFmtId="0" fontId="118" fillId="6" borderId="9" xfId="0" applyFont="1" applyFill="1" applyBorder="1" applyAlignment="1">
      <alignment vertical="center"/>
    </xf>
    <xf numFmtId="0" fontId="70" fillId="6" borderId="1" xfId="0" applyFont="1" applyFill="1" applyBorder="1" applyAlignment="1">
      <alignment horizontal="center" vertical="center"/>
    </xf>
    <xf numFmtId="0" fontId="59" fillId="8" borderId="1" xfId="0" applyFont="1" applyFill="1" applyBorder="1" applyAlignment="1">
      <alignment horizontal="center"/>
    </xf>
    <xf numFmtId="0" fontId="28" fillId="15" borderId="10" xfId="0" applyFont="1" applyFill="1" applyBorder="1" applyAlignment="1">
      <alignment horizontal="center" vertical="center"/>
    </xf>
    <xf numFmtId="0" fontId="28" fillId="15" borderId="12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12" fillId="27" borderId="7" xfId="0" applyFont="1" applyFill="1" applyBorder="1" applyAlignment="1">
      <alignment horizontal="center"/>
    </xf>
    <xf numFmtId="0" fontId="12" fillId="15" borderId="7" xfId="0" applyFont="1" applyFill="1" applyBorder="1" applyAlignment="1">
      <alignment horizontal="center"/>
    </xf>
    <xf numFmtId="0" fontId="69" fillId="0" borderId="4" xfId="0" applyFont="1" applyBorder="1" applyAlignment="1">
      <alignment horizontal="center" vertical="center"/>
    </xf>
    <xf numFmtId="0" fontId="71" fillId="15" borderId="4" xfId="0" applyFont="1" applyFill="1" applyBorder="1" applyAlignment="1">
      <alignment horizontal="center"/>
    </xf>
    <xf numFmtId="0" fontId="60" fillId="4" borderId="0" xfId="0" applyFont="1" applyFill="1" applyAlignment="1">
      <alignment horizontal="center"/>
    </xf>
    <xf numFmtId="165" fontId="1" fillId="15" borderId="0" xfId="0" applyNumberFormat="1" applyFont="1" applyFill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26" borderId="1" xfId="0" applyFont="1" applyFill="1" applyBorder="1" applyAlignment="1">
      <alignment horizontal="center"/>
    </xf>
    <xf numFmtId="0" fontId="28" fillId="26" borderId="12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55" fillId="8" borderId="1" xfId="0" applyFont="1" applyFill="1" applyBorder="1" applyAlignment="1">
      <alignment horizontal="center"/>
    </xf>
    <xf numFmtId="0" fontId="28" fillId="26" borderId="10" xfId="0" applyFont="1" applyFill="1" applyBorder="1" applyAlignment="1">
      <alignment horizontal="center" vertical="center"/>
    </xf>
    <xf numFmtId="0" fontId="12" fillId="26" borderId="7" xfId="0" applyFont="1" applyFill="1" applyBorder="1" applyAlignment="1">
      <alignment horizontal="center"/>
    </xf>
    <xf numFmtId="0" fontId="69" fillId="0" borderId="9" xfId="0" applyFont="1" applyBorder="1" applyAlignment="1">
      <alignment horizontal="center" vertical="center"/>
    </xf>
    <xf numFmtId="0" fontId="67" fillId="8" borderId="10" xfId="0" applyFont="1" applyFill="1" applyBorder="1" applyAlignment="1">
      <alignment horizontal="center"/>
    </xf>
    <xf numFmtId="0" fontId="71" fillId="26" borderId="4" xfId="0" applyFont="1" applyFill="1" applyBorder="1" applyAlignment="1">
      <alignment horizontal="center"/>
    </xf>
    <xf numFmtId="0" fontId="54" fillId="8" borderId="10" xfId="0" applyFont="1" applyFill="1" applyBorder="1" applyAlignment="1">
      <alignment horizontal="center"/>
    </xf>
    <xf numFmtId="165" fontId="1" fillId="19" borderId="0" xfId="0" applyNumberFormat="1" applyFont="1" applyFill="1" applyAlignment="1">
      <alignment horizontal="center"/>
    </xf>
    <xf numFmtId="0" fontId="12" fillId="21" borderId="1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6" fillId="8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7" fillId="6" borderId="14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 wrapText="1"/>
    </xf>
    <xf numFmtId="0" fontId="12" fillId="21" borderId="7" xfId="0" applyFont="1" applyFill="1" applyBorder="1" applyAlignment="1">
      <alignment horizontal="center"/>
    </xf>
    <xf numFmtId="0" fontId="20" fillId="15" borderId="12" xfId="0" applyFont="1" applyFill="1" applyBorder="1" applyAlignment="1">
      <alignment horizontal="center" vertical="center"/>
    </xf>
    <xf numFmtId="0" fontId="54" fillId="8" borderId="12" xfId="0" applyFont="1" applyFill="1" applyBorder="1" applyAlignment="1">
      <alignment horizontal="center"/>
    </xf>
    <xf numFmtId="0" fontId="63" fillId="21" borderId="4" xfId="0" applyFont="1" applyFill="1" applyBorder="1" applyAlignment="1">
      <alignment horizontal="center"/>
    </xf>
    <xf numFmtId="0" fontId="60" fillId="4" borderId="2" xfId="0" applyFont="1" applyFill="1" applyBorder="1" applyAlignment="1">
      <alignment horizontal="center"/>
    </xf>
    <xf numFmtId="165" fontId="1" fillId="26" borderId="0" xfId="0" applyNumberFormat="1" applyFont="1" applyFill="1" applyAlignment="1">
      <alignment horizontal="center"/>
    </xf>
    <xf numFmtId="0" fontId="55" fillId="8" borderId="9" xfId="0" applyFont="1" applyFill="1" applyBorder="1" applyAlignment="1">
      <alignment horizontal="center"/>
    </xf>
    <xf numFmtId="0" fontId="12" fillId="19" borderId="10" xfId="0" applyFont="1" applyFill="1" applyBorder="1" applyAlignment="1">
      <alignment horizontal="center" wrapText="1"/>
    </xf>
    <xf numFmtId="0" fontId="70" fillId="6" borderId="9" xfId="0" applyFont="1" applyFill="1" applyBorder="1" applyAlignment="1">
      <alignment horizontal="center" vertical="center"/>
    </xf>
    <xf numFmtId="0" fontId="67" fillId="0" borderId="15" xfId="0" applyFont="1" applyBorder="1" applyAlignment="1">
      <alignment horizontal="left"/>
    </xf>
    <xf numFmtId="0" fontId="52" fillId="0" borderId="18" xfId="0" applyFont="1" applyBorder="1" applyAlignment="1">
      <alignment wrapText="1"/>
    </xf>
    <xf numFmtId="0" fontId="52" fillId="0" borderId="31" xfId="0" applyFont="1" applyBorder="1" applyAlignment="1">
      <alignment wrapText="1"/>
    </xf>
    <xf numFmtId="0" fontId="52" fillId="0" borderId="39" xfId="0" applyFont="1" applyBorder="1" applyAlignment="1">
      <alignment wrapText="1"/>
    </xf>
    <xf numFmtId="0" fontId="52" fillId="0" borderId="49" xfId="0" applyFont="1" applyBorder="1" applyAlignment="1">
      <alignment wrapText="1"/>
    </xf>
    <xf numFmtId="0" fontId="53" fillId="0" borderId="18" xfId="0" applyFont="1" applyBorder="1" applyAlignment="1">
      <alignment wrapText="1"/>
    </xf>
    <xf numFmtId="0" fontId="53" fillId="0" borderId="31" xfId="0" applyFont="1" applyBorder="1" applyAlignment="1">
      <alignment wrapText="1"/>
    </xf>
    <xf numFmtId="0" fontId="42" fillId="25" borderId="39" xfId="0" applyFont="1" applyFill="1" applyBorder="1" applyAlignment="1">
      <alignment wrapText="1"/>
    </xf>
    <xf numFmtId="0" fontId="42" fillId="25" borderId="41" xfId="0" applyFont="1" applyFill="1" applyBorder="1" applyAlignment="1">
      <alignment wrapText="1"/>
    </xf>
    <xf numFmtId="0" fontId="42" fillId="0" borderId="39" xfId="0" applyFont="1" applyBorder="1" applyAlignment="1">
      <alignment wrapText="1"/>
    </xf>
    <xf numFmtId="0" fontId="42" fillId="0" borderId="49" xfId="0" applyFont="1" applyBorder="1" applyAlignment="1">
      <alignment wrapText="1"/>
    </xf>
    <xf numFmtId="0" fontId="50" fillId="0" borderId="50" xfId="0" applyFont="1" applyBorder="1" applyAlignment="1">
      <alignment wrapText="1"/>
    </xf>
    <xf numFmtId="0" fontId="50" fillId="0" borderId="36" xfId="0" applyFont="1" applyBorder="1" applyAlignment="1">
      <alignment wrapText="1"/>
    </xf>
    <xf numFmtId="0" fontId="50" fillId="0" borderId="37" xfId="0" applyFont="1" applyBorder="1" applyAlignment="1">
      <alignment wrapText="1"/>
    </xf>
    <xf numFmtId="0" fontId="50" fillId="0" borderId="52" xfId="0" applyFont="1" applyBorder="1" applyAlignment="1">
      <alignment wrapText="1"/>
    </xf>
    <xf numFmtId="0" fontId="50" fillId="0" borderId="42" xfId="0" applyFont="1" applyBorder="1" applyAlignment="1">
      <alignment wrapText="1"/>
    </xf>
    <xf numFmtId="0" fontId="50" fillId="0" borderId="43" xfId="0" applyFont="1" applyBorder="1" applyAlignment="1">
      <alignment wrapText="1"/>
    </xf>
    <xf numFmtId="0" fontId="53" fillId="0" borderId="40" xfId="0" applyFont="1" applyBorder="1" applyAlignment="1">
      <alignment wrapText="1"/>
    </xf>
    <xf numFmtId="0" fontId="53" fillId="0" borderId="37" xfId="0" applyFont="1" applyBorder="1" applyAlignment="1">
      <alignment wrapText="1"/>
    </xf>
    <xf numFmtId="0" fontId="53" fillId="0" borderId="38" xfId="0" applyFont="1" applyBorder="1" applyAlignment="1">
      <alignment wrapText="1"/>
    </xf>
    <xf numFmtId="0" fontId="53" fillId="0" borderId="30" xfId="0" applyFont="1" applyBorder="1" applyAlignment="1">
      <alignment wrapText="1"/>
    </xf>
    <xf numFmtId="0" fontId="42" fillId="25" borderId="40" xfId="0" applyFont="1" applyFill="1" applyBorder="1" applyAlignment="1">
      <alignment wrapText="1"/>
    </xf>
    <xf numFmtId="0" fontId="42" fillId="25" borderId="36" xfId="0" applyFont="1" applyFill="1" applyBorder="1" applyAlignment="1">
      <alignment wrapText="1"/>
    </xf>
    <xf numFmtId="0" fontId="42" fillId="25" borderId="47" xfId="0" applyFont="1" applyFill="1" applyBorder="1" applyAlignment="1">
      <alignment wrapText="1"/>
    </xf>
    <xf numFmtId="0" fontId="42" fillId="25" borderId="38" xfId="0" applyFont="1" applyFill="1" applyBorder="1" applyAlignment="1">
      <alignment wrapText="1"/>
    </xf>
    <xf numFmtId="0" fontId="42" fillId="25" borderId="0" xfId="0" applyFont="1" applyFill="1" applyAlignment="1">
      <alignment wrapText="1"/>
    </xf>
    <xf numFmtId="0" fontId="42" fillId="25" borderId="11" xfId="0" applyFont="1" applyFill="1" applyBorder="1" applyAlignment="1">
      <alignment wrapText="1"/>
    </xf>
    <xf numFmtId="0" fontId="49" fillId="0" borderId="53" xfId="0" applyFont="1" applyBorder="1" applyAlignment="1">
      <alignment wrapText="1"/>
    </xf>
    <xf numFmtId="0" fontId="49" fillId="0" borderId="35" xfId="0" applyFont="1" applyBorder="1" applyAlignment="1">
      <alignment wrapText="1"/>
    </xf>
    <xf numFmtId="0" fontId="49" fillId="0" borderId="54" xfId="0" applyFont="1" applyBorder="1" applyAlignment="1">
      <alignment wrapText="1"/>
    </xf>
    <xf numFmtId="0" fontId="49" fillId="0" borderId="7" xfId="0" applyFont="1" applyBorder="1" applyAlignment="1">
      <alignment wrapText="1"/>
    </xf>
    <xf numFmtId="0" fontId="49" fillId="0" borderId="2" xfId="0" applyFont="1" applyBorder="1" applyAlignment="1">
      <alignment wrapText="1"/>
    </xf>
    <xf numFmtId="0" fontId="49" fillId="0" borderId="3" xfId="0" applyFont="1" applyBorder="1" applyAlignment="1">
      <alignment wrapText="1"/>
    </xf>
    <xf numFmtId="0" fontId="52" fillId="6" borderId="39" xfId="0" applyFont="1" applyFill="1" applyBorder="1" applyAlignment="1">
      <alignment wrapText="1"/>
    </xf>
    <xf numFmtId="0" fontId="52" fillId="6" borderId="18" xfId="0" applyFont="1" applyFill="1" applyBorder="1" applyAlignment="1">
      <alignment wrapText="1"/>
    </xf>
    <xf numFmtId="0" fontId="52" fillId="6" borderId="31" xfId="0" applyFont="1" applyFill="1" applyBorder="1" applyAlignment="1">
      <alignment wrapText="1"/>
    </xf>
    <xf numFmtId="0" fontId="52" fillId="6" borderId="49" xfId="0" applyFont="1" applyFill="1" applyBorder="1" applyAlignment="1">
      <alignment wrapText="1"/>
    </xf>
    <xf numFmtId="0" fontId="43" fillId="0" borderId="15" xfId="0" applyFont="1" applyBorder="1" applyAlignment="1">
      <alignment wrapText="1"/>
    </xf>
    <xf numFmtId="0" fontId="43" fillId="0" borderId="44" xfId="0" applyFont="1" applyBorder="1" applyAlignment="1">
      <alignment wrapText="1"/>
    </xf>
    <xf numFmtId="0" fontId="43" fillId="0" borderId="0" xfId="0" applyFont="1" applyAlignment="1">
      <alignment wrapText="1"/>
    </xf>
    <xf numFmtId="0" fontId="43" fillId="0" borderId="30" xfId="0" applyFont="1" applyBorder="1" applyAlignment="1">
      <alignment wrapText="1"/>
    </xf>
    <xf numFmtId="0" fontId="45" fillId="0" borderId="0" xfId="0" applyFont="1" applyAlignment="1">
      <alignment wrapText="1"/>
    </xf>
    <xf numFmtId="0" fontId="45" fillId="0" borderId="26" xfId="0" applyFont="1" applyBorder="1" applyAlignment="1">
      <alignment wrapText="1"/>
    </xf>
    <xf numFmtId="0" fontId="47" fillId="0" borderId="0" xfId="0" applyFont="1" applyAlignment="1">
      <alignment wrapText="1"/>
    </xf>
    <xf numFmtId="0" fontId="47" fillId="0" borderId="30" xfId="0" applyFont="1" applyBorder="1" applyAlignment="1">
      <alignment wrapText="1"/>
    </xf>
    <xf numFmtId="0" fontId="49" fillId="0" borderId="0" xfId="0" applyFont="1" applyAlignment="1">
      <alignment wrapText="1"/>
    </xf>
    <xf numFmtId="0" fontId="49" fillId="0" borderId="30" xfId="0" applyFont="1" applyBorder="1" applyAlignment="1">
      <alignment wrapText="1"/>
    </xf>
    <xf numFmtId="0" fontId="50" fillId="6" borderId="8" xfId="0" applyFont="1" applyFill="1" applyBorder="1" applyAlignment="1">
      <alignment horizontal="center" wrapText="1"/>
    </xf>
    <xf numFmtId="0" fontId="50" fillId="6" borderId="13" xfId="0" applyFont="1" applyFill="1" applyBorder="1" applyAlignment="1">
      <alignment horizontal="center" wrapText="1"/>
    </xf>
    <xf numFmtId="0" fontId="50" fillId="6" borderId="6" xfId="0" applyFont="1" applyFill="1" applyBorder="1" applyAlignment="1">
      <alignment horizontal="center" wrapText="1"/>
    </xf>
    <xf numFmtId="0" fontId="50" fillId="6" borderId="10" xfId="0" applyFont="1" applyFill="1" applyBorder="1" applyAlignment="1">
      <alignment wrapText="1"/>
    </xf>
    <xf numFmtId="0" fontId="50" fillId="6" borderId="0" xfId="0" applyFont="1" applyFill="1" applyAlignment="1">
      <alignment wrapText="1"/>
    </xf>
    <xf numFmtId="0" fontId="50" fillId="6" borderId="30" xfId="0" applyFont="1" applyFill="1" applyBorder="1" applyAlignment="1">
      <alignment wrapText="1"/>
    </xf>
    <xf numFmtId="0" fontId="51" fillId="6" borderId="46" xfId="0" applyFont="1" applyFill="1" applyBorder="1" applyAlignment="1">
      <alignment wrapText="1"/>
    </xf>
    <xf numFmtId="0" fontId="51" fillId="6" borderId="39" xfId="0" applyFont="1" applyFill="1" applyBorder="1" applyAlignment="1">
      <alignment wrapText="1"/>
    </xf>
    <xf numFmtId="0" fontId="51" fillId="6" borderId="8" xfId="0" applyFont="1" applyFill="1" applyBorder="1" applyAlignment="1">
      <alignment horizontal="left" wrapText="1"/>
    </xf>
    <xf numFmtId="0" fontId="51" fillId="6" borderId="6" xfId="0" applyFont="1" applyFill="1" applyBorder="1" applyAlignment="1">
      <alignment horizontal="left" wrapText="1"/>
    </xf>
    <xf numFmtId="0" fontId="51" fillId="6" borderId="13" xfId="0" applyFont="1" applyFill="1" applyBorder="1" applyAlignment="1">
      <alignment horizontal="left" wrapText="1"/>
    </xf>
    <xf numFmtId="0" fontId="50" fillId="6" borderId="1" xfId="0" applyFont="1" applyFill="1" applyBorder="1" applyAlignment="1">
      <alignment wrapText="1"/>
    </xf>
    <xf numFmtId="0" fontId="50" fillId="6" borderId="6" xfId="0" applyFont="1" applyFill="1" applyBorder="1" applyAlignment="1">
      <alignment wrapText="1"/>
    </xf>
    <xf numFmtId="0" fontId="50" fillId="6" borderId="26" xfId="0" applyFont="1" applyFill="1" applyBorder="1" applyAlignment="1">
      <alignment wrapText="1"/>
    </xf>
    <xf numFmtId="0" fontId="50" fillId="6" borderId="28" xfId="0" applyFont="1" applyFill="1" applyBorder="1" applyAlignment="1">
      <alignment wrapText="1"/>
    </xf>
    <xf numFmtId="0" fontId="50" fillId="6" borderId="45" xfId="0" applyFont="1" applyFill="1" applyBorder="1" applyAlignment="1">
      <alignment wrapText="1"/>
    </xf>
    <xf numFmtId="0" fontId="50" fillId="6" borderId="39" xfId="0" applyFont="1" applyFill="1" applyBorder="1" applyAlignment="1">
      <alignment wrapText="1"/>
    </xf>
    <xf numFmtId="0" fontId="50" fillId="6" borderId="31" xfId="0" applyFont="1" applyFill="1" applyBorder="1" applyAlignment="1">
      <alignment wrapText="1"/>
    </xf>
    <xf numFmtId="0" fontId="51" fillId="6" borderId="31" xfId="0" applyFont="1" applyFill="1" applyBorder="1" applyAlignment="1">
      <alignment wrapText="1"/>
    </xf>
    <xf numFmtId="0" fontId="50" fillId="6" borderId="1" xfId="0" applyFont="1" applyFill="1" applyBorder="1" applyAlignment="1">
      <alignment horizontal="center" wrapText="1"/>
    </xf>
    <xf numFmtId="0" fontId="5" fillId="0" borderId="1" xfId="0" applyFont="1" applyBorder="1" applyAlignment="1"/>
    <xf numFmtId="0" fontId="5" fillId="11" borderId="3" xfId="0" applyFont="1" applyFill="1" applyBorder="1" applyAlignment="1"/>
    <xf numFmtId="0" fontId="5" fillId="12" borderId="3" xfId="0" applyFont="1" applyFill="1" applyBorder="1" applyAlignment="1"/>
    <xf numFmtId="0" fontId="5" fillId="0" borderId="3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D14F9F"/>
      <color rgb="FF3AEB0E"/>
      <color rgb="FFEB9A0E"/>
      <color rgb="FFEB660E"/>
      <color rgb="FF0C03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81447153-20C2-4746-A0DA-39A38B85B2DC}" userId="S::directoraarriendos@portadainmobiliaria.com::d25df4f4-b7a4-46be-966d-3ee9c0c18e5c" providerId="AD"/>
</personList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75" dT="2021-12-30T15:04:04.13" personId="{81447153-20C2-4746-A0DA-39A38B85B2DC}" id="{99D7C82A-DDB0-49E0-9C4B-C0326870866E}">
    <text xml:space="preserve">este seria el valor para sumar a la meta de la sede, del presente asesor. ya que un negocio solo le suma al asesor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641" dT="2021-06-29T22:07:42.56" personId="{81447153-20C2-4746-A0DA-39A38B85B2DC}" id="{5ABFB805-7D41-4F15-B137-4EBED671FD57}">
    <text xml:space="preserve">YA SE PAGO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5271-C0DE-4B33-BBB0-F318B833AC31}">
  <sheetPr>
    <tabColor theme="9" tint="0.39997558519241921"/>
  </sheetPr>
  <dimension ref="A1:K1922"/>
  <sheetViews>
    <sheetView topLeftCell="A1819" workbookViewId="0">
      <selection activeCell="A1834" sqref="A1834:XFD1834"/>
    </sheetView>
  </sheetViews>
  <sheetFormatPr defaultColWidth="11.42578125" defaultRowHeight="14.45"/>
  <cols>
    <col min="1" max="1" width="4.28515625" customWidth="1"/>
    <col min="2" max="2" width="20.42578125" style="1" customWidth="1"/>
    <col min="3" max="3" width="15.85546875" customWidth="1"/>
    <col min="4" max="4" width="81" customWidth="1"/>
    <col min="5" max="5" width="27.85546875" customWidth="1"/>
    <col min="6" max="6" width="17.7109375" customWidth="1"/>
    <col min="7" max="7" width="20" customWidth="1"/>
  </cols>
  <sheetData>
    <row r="1" spans="1:11" hidden="1">
      <c r="A1" s="2754" t="s">
        <v>0</v>
      </c>
      <c r="B1" s="2754"/>
      <c r="C1" s="2754"/>
      <c r="D1" s="2754"/>
      <c r="E1" s="2754"/>
      <c r="F1" s="2754"/>
      <c r="G1" s="2754"/>
      <c r="H1" s="2754"/>
      <c r="I1" s="2754"/>
      <c r="J1" s="2754"/>
    </row>
    <row r="2" spans="1:11" hidden="1">
      <c r="A2" s="2754"/>
      <c r="B2" s="2754"/>
      <c r="C2" s="2754"/>
      <c r="D2" s="2754"/>
      <c r="E2" s="2754"/>
      <c r="F2" s="2754"/>
      <c r="G2" s="2754"/>
      <c r="H2" s="2754"/>
      <c r="I2" s="2754"/>
      <c r="J2" s="2754"/>
    </row>
    <row r="3" spans="1:11" ht="46.15" hidden="1">
      <c r="B3" s="136"/>
      <c r="C3" s="136"/>
      <c r="D3" s="136"/>
      <c r="E3" s="136"/>
      <c r="F3" s="136"/>
      <c r="G3" s="136"/>
      <c r="H3" s="136"/>
      <c r="I3" s="136"/>
      <c r="J3" s="136"/>
    </row>
    <row r="4" spans="1:11" ht="23.45" hidden="1">
      <c r="A4" s="2753" t="s">
        <v>1</v>
      </c>
      <c r="B4" s="2753"/>
      <c r="C4" s="2753"/>
      <c r="D4" s="2753"/>
      <c r="E4" s="2753"/>
      <c r="F4" s="2753"/>
      <c r="G4" s="2753"/>
      <c r="H4" s="2753"/>
      <c r="I4" s="2753"/>
      <c r="J4" s="2753"/>
    </row>
    <row r="5" spans="1:11" ht="15.6" hidden="1">
      <c r="A5" s="2737" t="s">
        <v>2</v>
      </c>
      <c r="B5" s="2737"/>
      <c r="C5" s="2737"/>
      <c r="D5" s="2737"/>
      <c r="E5" s="2737"/>
      <c r="F5" s="2737"/>
      <c r="G5" s="2737"/>
      <c r="H5" s="2737"/>
      <c r="I5" s="2737"/>
      <c r="J5" s="2737"/>
    </row>
    <row r="6" spans="1:11" hidden="1">
      <c r="A6" s="137" t="s">
        <v>3</v>
      </c>
      <c r="B6" s="1749" t="s">
        <v>4</v>
      </c>
      <c r="C6" s="137" t="s">
        <v>5</v>
      </c>
      <c r="D6" s="137" t="s">
        <v>6</v>
      </c>
      <c r="E6" s="137" t="s">
        <v>7</v>
      </c>
      <c r="F6" s="137" t="s">
        <v>8</v>
      </c>
      <c r="G6" s="137" t="s">
        <v>9</v>
      </c>
      <c r="H6" s="137" t="s">
        <v>10</v>
      </c>
      <c r="I6" s="137" t="s">
        <v>11</v>
      </c>
      <c r="J6" s="137" t="s">
        <v>12</v>
      </c>
    </row>
    <row r="7" spans="1:11" hidden="1">
      <c r="A7" s="150">
        <v>1</v>
      </c>
      <c r="B7" s="2538">
        <v>44193</v>
      </c>
      <c r="C7" s="150" t="s">
        <v>13</v>
      </c>
      <c r="D7" s="150" t="s">
        <v>14</v>
      </c>
      <c r="E7" s="150" t="s">
        <v>15</v>
      </c>
      <c r="F7" s="151">
        <v>1200000</v>
      </c>
      <c r="G7" s="150" t="s">
        <v>16</v>
      </c>
      <c r="H7" s="150" t="s">
        <v>17</v>
      </c>
      <c r="I7" s="150" t="s">
        <v>17</v>
      </c>
      <c r="J7" s="137">
        <v>1</v>
      </c>
    </row>
    <row r="8" spans="1:11" hidden="1">
      <c r="A8" s="150">
        <v>2</v>
      </c>
      <c r="B8" s="2538">
        <v>44193</v>
      </c>
      <c r="C8" s="150" t="s">
        <v>13</v>
      </c>
      <c r="D8" s="150" t="s">
        <v>18</v>
      </c>
      <c r="E8" s="150" t="s">
        <v>19</v>
      </c>
      <c r="F8" s="151">
        <v>1300000</v>
      </c>
      <c r="G8" s="150" t="s">
        <v>20</v>
      </c>
      <c r="H8" s="150" t="s">
        <v>17</v>
      </c>
      <c r="I8" s="150" t="s">
        <v>17</v>
      </c>
      <c r="J8" s="137">
        <v>1</v>
      </c>
    </row>
    <row r="9" spans="1:11" hidden="1">
      <c r="A9" s="150">
        <v>3</v>
      </c>
      <c r="B9" s="2538">
        <v>44193</v>
      </c>
      <c r="C9" s="150" t="s">
        <v>13</v>
      </c>
      <c r="D9" s="150" t="s">
        <v>21</v>
      </c>
      <c r="E9" s="150" t="s">
        <v>19</v>
      </c>
      <c r="F9" s="151">
        <v>1200000</v>
      </c>
      <c r="G9" s="150" t="s">
        <v>20</v>
      </c>
      <c r="H9" s="150" t="s">
        <v>17</v>
      </c>
      <c r="I9" s="150" t="s">
        <v>17</v>
      </c>
      <c r="J9" s="137">
        <v>1</v>
      </c>
    </row>
    <row r="10" spans="1:11" hidden="1">
      <c r="A10" s="150">
        <v>4</v>
      </c>
      <c r="B10" s="2538">
        <v>44531</v>
      </c>
      <c r="C10" s="150" t="s">
        <v>13</v>
      </c>
      <c r="D10" s="150" t="s">
        <v>22</v>
      </c>
      <c r="E10" s="150" t="s">
        <v>19</v>
      </c>
      <c r="F10" s="151">
        <v>1350000</v>
      </c>
      <c r="G10" s="150" t="s">
        <v>23</v>
      </c>
      <c r="H10" s="150" t="s">
        <v>24</v>
      </c>
      <c r="I10" s="150" t="s">
        <v>24</v>
      </c>
      <c r="J10" s="137">
        <v>1</v>
      </c>
    </row>
    <row r="11" spans="1:11" hidden="1">
      <c r="A11" s="150">
        <v>5</v>
      </c>
      <c r="B11" s="1749" t="s">
        <v>25</v>
      </c>
      <c r="C11" s="150" t="s">
        <v>13</v>
      </c>
      <c r="D11" s="150" t="s">
        <v>26</v>
      </c>
      <c r="E11" s="150" t="s">
        <v>19</v>
      </c>
      <c r="F11" s="151">
        <v>1150000</v>
      </c>
      <c r="G11" s="150" t="s">
        <v>23</v>
      </c>
      <c r="H11" s="150" t="s">
        <v>17</v>
      </c>
      <c r="I11" s="150" t="s">
        <v>17</v>
      </c>
      <c r="J11" s="137">
        <v>1</v>
      </c>
      <c r="K11" t="s">
        <v>27</v>
      </c>
    </row>
    <row r="12" spans="1:11" hidden="1">
      <c r="A12" s="150">
        <v>6</v>
      </c>
      <c r="B12" s="1749" t="s">
        <v>25</v>
      </c>
      <c r="C12" s="150" t="s">
        <v>13</v>
      </c>
      <c r="D12" s="150" t="s">
        <v>28</v>
      </c>
      <c r="E12" s="150" t="s">
        <v>19</v>
      </c>
      <c r="F12" s="151">
        <v>1350000</v>
      </c>
      <c r="G12" s="150" t="s">
        <v>23</v>
      </c>
      <c r="H12" s="150" t="s">
        <v>17</v>
      </c>
      <c r="I12" s="150" t="s">
        <v>17</v>
      </c>
      <c r="J12" s="137">
        <v>1</v>
      </c>
      <c r="K12" t="s">
        <v>27</v>
      </c>
    </row>
    <row r="13" spans="1:11" hidden="1">
      <c r="A13" s="150">
        <v>7</v>
      </c>
      <c r="B13" s="1749" t="s">
        <v>25</v>
      </c>
      <c r="C13" s="150" t="s">
        <v>13</v>
      </c>
      <c r="D13" s="150" t="s">
        <v>29</v>
      </c>
      <c r="E13" s="150" t="s">
        <v>30</v>
      </c>
      <c r="F13" s="151">
        <v>850000</v>
      </c>
      <c r="G13" s="150" t="s">
        <v>31</v>
      </c>
      <c r="H13" s="150" t="s">
        <v>17</v>
      </c>
      <c r="I13" s="150" t="s">
        <v>17</v>
      </c>
      <c r="J13" s="137">
        <v>1</v>
      </c>
      <c r="K13" t="s">
        <v>32</v>
      </c>
    </row>
    <row r="14" spans="1:11" hidden="1">
      <c r="A14" s="150">
        <v>8</v>
      </c>
      <c r="B14" s="1749"/>
      <c r="C14" s="150"/>
      <c r="D14" s="150"/>
      <c r="E14" s="150"/>
      <c r="F14" s="151"/>
      <c r="G14" s="150"/>
      <c r="H14" s="150"/>
      <c r="I14" s="150"/>
      <c r="J14" s="137"/>
    </row>
    <row r="15" spans="1:11" hidden="1">
      <c r="A15" s="137">
        <v>9</v>
      </c>
      <c r="B15" s="1749"/>
      <c r="C15" s="137"/>
      <c r="D15" s="137"/>
      <c r="E15" s="137"/>
      <c r="F15" s="138"/>
      <c r="G15" s="137"/>
      <c r="H15" s="137"/>
      <c r="I15" s="137"/>
      <c r="J15" s="137"/>
    </row>
    <row r="16" spans="1:11" hidden="1">
      <c r="A16" s="137">
        <v>10</v>
      </c>
      <c r="B16" s="1749"/>
      <c r="C16" s="137"/>
      <c r="D16" s="137"/>
      <c r="E16" s="137"/>
      <c r="F16" s="138"/>
      <c r="G16" s="137"/>
      <c r="H16" s="137"/>
      <c r="I16" s="137"/>
      <c r="J16" s="137"/>
    </row>
    <row r="17" spans="1:11" hidden="1">
      <c r="A17" s="137">
        <v>11</v>
      </c>
      <c r="B17" s="1749"/>
      <c r="C17" s="137"/>
      <c r="D17" s="137"/>
      <c r="E17" s="137"/>
      <c r="F17" s="138"/>
      <c r="G17" s="137"/>
      <c r="H17" s="137"/>
      <c r="I17" s="137"/>
      <c r="J17" s="137"/>
    </row>
    <row r="18" spans="1:11" hidden="1">
      <c r="A18" s="137">
        <v>12</v>
      </c>
      <c r="B18" s="1749"/>
      <c r="C18" s="137"/>
      <c r="D18" s="137"/>
      <c r="E18" s="137"/>
      <c r="F18" s="138"/>
      <c r="G18" s="137"/>
      <c r="H18" s="137"/>
      <c r="I18" s="137"/>
      <c r="J18" s="137"/>
    </row>
    <row r="19" spans="1:11" hidden="1">
      <c r="A19" s="137">
        <v>13</v>
      </c>
      <c r="B19" s="1749"/>
      <c r="C19" s="137"/>
      <c r="D19" s="137"/>
      <c r="E19" s="137"/>
      <c r="F19" s="138"/>
      <c r="G19" s="137"/>
      <c r="H19" s="137"/>
      <c r="I19" s="137"/>
      <c r="J19" s="137"/>
    </row>
    <row r="20" spans="1:11" hidden="1">
      <c r="A20" s="137">
        <v>14</v>
      </c>
      <c r="B20" s="1749"/>
      <c r="C20" s="137"/>
      <c r="D20" s="137"/>
      <c r="E20" s="137"/>
      <c r="F20" s="138"/>
      <c r="G20" s="137"/>
      <c r="H20" s="137"/>
      <c r="I20" s="137"/>
      <c r="J20" s="137"/>
    </row>
    <row r="21" spans="1:11" hidden="1">
      <c r="A21" s="137">
        <v>15</v>
      </c>
      <c r="B21" s="1749"/>
      <c r="C21" s="137"/>
      <c r="D21" s="137"/>
      <c r="E21" s="137"/>
      <c r="F21" s="138"/>
      <c r="G21" s="137"/>
      <c r="H21" s="137"/>
      <c r="I21" s="137"/>
      <c r="J21" s="137"/>
    </row>
    <row r="22" spans="1:11" hidden="1">
      <c r="A22" s="137">
        <v>16</v>
      </c>
      <c r="B22" s="1749"/>
      <c r="C22" s="137"/>
      <c r="D22" s="137"/>
      <c r="E22" s="137"/>
      <c r="F22" s="138"/>
      <c r="G22" s="137"/>
      <c r="H22" s="137"/>
      <c r="I22" s="137"/>
      <c r="J22" s="137"/>
    </row>
    <row r="23" spans="1:11" hidden="1">
      <c r="A23" s="137">
        <v>17</v>
      </c>
      <c r="B23" s="1749"/>
      <c r="C23" s="137"/>
      <c r="D23" s="137"/>
      <c r="E23" s="137"/>
      <c r="F23" s="138"/>
      <c r="G23" s="137"/>
      <c r="H23" s="137"/>
      <c r="I23" s="137"/>
      <c r="J23" s="137"/>
    </row>
    <row r="24" spans="1:11" hidden="1">
      <c r="A24" s="137">
        <v>18</v>
      </c>
      <c r="B24" s="1749"/>
      <c r="C24" s="137"/>
      <c r="D24" s="137"/>
      <c r="E24" s="137"/>
      <c r="F24" s="138"/>
      <c r="G24" s="137"/>
      <c r="H24" s="137"/>
      <c r="I24" s="137"/>
      <c r="J24" s="137"/>
    </row>
    <row r="25" spans="1:11" hidden="1">
      <c r="A25" s="137">
        <v>19</v>
      </c>
      <c r="B25" s="1749"/>
      <c r="C25" s="137"/>
      <c r="D25" s="137"/>
      <c r="E25" s="137"/>
      <c r="F25" s="138"/>
      <c r="G25" s="137"/>
      <c r="H25" s="137"/>
      <c r="I25" s="137"/>
      <c r="J25" s="137"/>
    </row>
    <row r="26" spans="1:11" hidden="1">
      <c r="A26" s="137">
        <v>20</v>
      </c>
      <c r="B26" s="1749"/>
      <c r="C26" s="137"/>
      <c r="D26" s="137"/>
      <c r="E26" s="137"/>
      <c r="F26" s="138"/>
      <c r="G26" s="137"/>
      <c r="H26" s="137"/>
      <c r="I26" s="137"/>
      <c r="J26" s="137"/>
    </row>
    <row r="27" spans="1:11" ht="21" hidden="1">
      <c r="A27" s="137"/>
      <c r="B27" s="1749"/>
      <c r="C27" s="137"/>
      <c r="D27" s="137"/>
      <c r="E27" s="137"/>
      <c r="F27" s="138"/>
      <c r="G27" s="137"/>
      <c r="H27" s="137"/>
      <c r="I27" s="137"/>
      <c r="J27" s="139">
        <f>SUM(J7:J26)</f>
        <v>7</v>
      </c>
    </row>
    <row r="28" spans="1:11" hidden="1">
      <c r="A28" s="2744" t="s">
        <v>33</v>
      </c>
      <c r="B28" s="2744"/>
      <c r="C28" s="2744"/>
      <c r="D28" s="2744"/>
      <c r="E28" s="2744"/>
      <c r="F28" s="2744"/>
      <c r="G28" s="2744"/>
      <c r="H28" s="2744"/>
      <c r="I28" s="2744"/>
      <c r="J28" s="2744"/>
    </row>
    <row r="29" spans="1:11" hidden="1">
      <c r="A29" s="137" t="s">
        <v>3</v>
      </c>
      <c r="B29" s="1749" t="s">
        <v>4</v>
      </c>
      <c r="C29" s="137" t="s">
        <v>5</v>
      </c>
      <c r="D29" s="137" t="s">
        <v>6</v>
      </c>
      <c r="E29" s="137" t="s">
        <v>7</v>
      </c>
      <c r="F29" s="137" t="s">
        <v>8</v>
      </c>
      <c r="G29" s="137" t="s">
        <v>9</v>
      </c>
      <c r="H29" s="137" t="s">
        <v>10</v>
      </c>
      <c r="I29" s="137" t="s">
        <v>11</v>
      </c>
      <c r="J29" s="137" t="s">
        <v>12</v>
      </c>
    </row>
    <row r="30" spans="1:11" hidden="1">
      <c r="A30" s="152">
        <v>1</v>
      </c>
      <c r="B30" s="2539">
        <v>44409</v>
      </c>
      <c r="C30" s="152" t="s">
        <v>13</v>
      </c>
      <c r="D30" s="152" t="s">
        <v>34</v>
      </c>
      <c r="E30" s="152" t="s">
        <v>30</v>
      </c>
      <c r="F30" s="152" t="s">
        <v>35</v>
      </c>
      <c r="G30" s="152" t="s">
        <v>16</v>
      </c>
      <c r="H30" s="152" t="s">
        <v>36</v>
      </c>
      <c r="I30" s="152" t="s">
        <v>17</v>
      </c>
      <c r="J30" s="140">
        <v>1</v>
      </c>
      <c r="K30" t="s">
        <v>27</v>
      </c>
    </row>
    <row r="31" spans="1:11" hidden="1">
      <c r="A31" s="152">
        <v>2</v>
      </c>
      <c r="B31" s="2539" t="s">
        <v>25</v>
      </c>
      <c r="C31" s="152" t="s">
        <v>37</v>
      </c>
      <c r="D31" s="152" t="s">
        <v>38</v>
      </c>
      <c r="E31" s="152" t="s">
        <v>39</v>
      </c>
      <c r="F31" s="152"/>
      <c r="G31" s="152" t="s">
        <v>40</v>
      </c>
      <c r="H31" s="152" t="s">
        <v>36</v>
      </c>
      <c r="I31" s="152" t="s">
        <v>36</v>
      </c>
      <c r="J31" s="140">
        <v>1</v>
      </c>
      <c r="K31" t="s">
        <v>32</v>
      </c>
    </row>
    <row r="32" spans="1:11" hidden="1">
      <c r="A32" s="152">
        <v>3</v>
      </c>
      <c r="B32" s="2539" t="s">
        <v>41</v>
      </c>
      <c r="C32" s="152" t="s">
        <v>37</v>
      </c>
      <c r="D32" s="152" t="s">
        <v>42</v>
      </c>
      <c r="E32" s="152" t="s">
        <v>39</v>
      </c>
      <c r="F32" s="152">
        <v>217000000</v>
      </c>
      <c r="G32" s="152" t="s">
        <v>43</v>
      </c>
      <c r="H32" s="152" t="s">
        <v>44</v>
      </c>
      <c r="I32" s="152" t="s">
        <v>36</v>
      </c>
      <c r="J32" s="140">
        <v>1</v>
      </c>
      <c r="K32" t="s">
        <v>32</v>
      </c>
    </row>
    <row r="33" spans="1:11" hidden="1">
      <c r="A33" s="152">
        <v>4</v>
      </c>
      <c r="B33" s="2539" t="s">
        <v>45</v>
      </c>
      <c r="C33" s="152" t="s">
        <v>37</v>
      </c>
      <c r="D33" s="152" t="s">
        <v>46</v>
      </c>
      <c r="E33" s="152" t="s">
        <v>39</v>
      </c>
      <c r="F33" s="152">
        <v>130000000</v>
      </c>
      <c r="G33" s="152" t="s">
        <v>43</v>
      </c>
      <c r="H33" s="152" t="s">
        <v>44</v>
      </c>
      <c r="I33" s="152" t="s">
        <v>36</v>
      </c>
      <c r="J33" s="140">
        <v>1</v>
      </c>
      <c r="K33" t="s">
        <v>27</v>
      </c>
    </row>
    <row r="34" spans="1:11" hidden="1">
      <c r="A34" s="152">
        <v>5</v>
      </c>
      <c r="B34" s="2539"/>
      <c r="C34" s="152"/>
      <c r="D34" s="152"/>
      <c r="E34" s="152"/>
      <c r="F34" s="152"/>
      <c r="G34" s="152"/>
      <c r="H34" s="152"/>
      <c r="I34" s="152"/>
      <c r="J34" s="140"/>
    </row>
    <row r="35" spans="1:11" hidden="1">
      <c r="A35" s="152">
        <v>6</v>
      </c>
      <c r="B35" s="541"/>
      <c r="C35" s="152"/>
      <c r="D35" s="152"/>
      <c r="E35" s="152"/>
      <c r="F35" s="152"/>
      <c r="G35" s="152"/>
      <c r="H35" s="152"/>
      <c r="I35" s="152"/>
      <c r="J35" s="140"/>
    </row>
    <row r="36" spans="1:11" hidden="1">
      <c r="A36" s="152">
        <v>7</v>
      </c>
      <c r="B36" s="541"/>
      <c r="C36" s="152"/>
      <c r="D36" s="152"/>
      <c r="E36" s="152"/>
      <c r="F36" s="152"/>
      <c r="G36" s="152"/>
      <c r="H36" s="152"/>
      <c r="I36" s="152"/>
      <c r="J36" s="140"/>
    </row>
    <row r="37" spans="1:11" hidden="1">
      <c r="A37" s="152">
        <v>8</v>
      </c>
      <c r="B37" s="541"/>
      <c r="C37" s="152"/>
      <c r="D37" s="152"/>
      <c r="E37" s="152"/>
      <c r="F37" s="152"/>
      <c r="G37" s="152"/>
      <c r="H37" s="152"/>
      <c r="I37" s="152"/>
      <c r="J37" s="140"/>
    </row>
    <row r="38" spans="1:11" hidden="1">
      <c r="A38" s="152">
        <v>9</v>
      </c>
      <c r="B38" s="541"/>
      <c r="C38" s="152"/>
      <c r="D38" s="152"/>
      <c r="E38" s="152"/>
      <c r="F38" s="152"/>
      <c r="G38" s="152"/>
      <c r="H38" s="152"/>
      <c r="I38" s="152"/>
      <c r="J38" s="140"/>
    </row>
    <row r="39" spans="1:11" hidden="1">
      <c r="A39" s="152">
        <v>10</v>
      </c>
      <c r="B39" s="541"/>
      <c r="C39" s="152"/>
      <c r="D39" s="152"/>
      <c r="E39" s="152"/>
      <c r="F39" s="152"/>
      <c r="G39" s="152"/>
      <c r="H39" s="152"/>
      <c r="I39" s="152"/>
      <c r="J39" s="140"/>
    </row>
    <row r="40" spans="1:11" ht="20.45" hidden="1">
      <c r="A40" s="141"/>
      <c r="B40" s="859"/>
      <c r="C40" s="141"/>
      <c r="D40" s="141"/>
      <c r="E40" s="141"/>
      <c r="F40" s="141"/>
      <c r="G40" s="141"/>
      <c r="H40" s="141"/>
      <c r="I40" s="141"/>
      <c r="J40" s="142">
        <f>SUM(J30:J39)</f>
        <v>4</v>
      </c>
    </row>
    <row r="41" spans="1:11" hidden="1"/>
    <row r="42" spans="1:11" ht="23.45" hidden="1">
      <c r="A42" s="2753" t="s">
        <v>47</v>
      </c>
      <c r="B42" s="2753"/>
      <c r="C42" s="2753"/>
      <c r="D42" s="2753"/>
      <c r="E42" s="2753"/>
      <c r="F42" s="2753"/>
      <c r="G42" s="2753"/>
      <c r="H42" s="2753"/>
      <c r="I42" s="2753"/>
      <c r="J42" s="2753"/>
    </row>
    <row r="43" spans="1:11" ht="15.6" hidden="1">
      <c r="A43" s="2737" t="s">
        <v>2</v>
      </c>
      <c r="B43" s="2737"/>
      <c r="C43" s="2737"/>
      <c r="D43" s="2737"/>
      <c r="E43" s="2737"/>
      <c r="F43" s="2737"/>
      <c r="G43" s="2737"/>
      <c r="H43" s="2737"/>
      <c r="I43" s="2737"/>
      <c r="J43" s="2737"/>
    </row>
    <row r="44" spans="1:11" hidden="1">
      <c r="A44" s="137" t="s">
        <v>3</v>
      </c>
      <c r="B44" s="1749" t="s">
        <v>4</v>
      </c>
      <c r="C44" s="137" t="s">
        <v>5</v>
      </c>
      <c r="D44" s="137" t="s">
        <v>6</v>
      </c>
      <c r="E44" s="137" t="s">
        <v>7</v>
      </c>
      <c r="F44" s="137" t="s">
        <v>8</v>
      </c>
      <c r="G44" s="137" t="s">
        <v>9</v>
      </c>
      <c r="H44" s="137" t="s">
        <v>10</v>
      </c>
      <c r="I44" s="137" t="s">
        <v>11</v>
      </c>
      <c r="J44" s="137" t="s">
        <v>12</v>
      </c>
    </row>
    <row r="45" spans="1:11" hidden="1">
      <c r="A45" s="150">
        <v>1</v>
      </c>
      <c r="B45" s="2538">
        <v>44202</v>
      </c>
      <c r="C45" s="150" t="s">
        <v>48</v>
      </c>
      <c r="D45" s="150" t="s">
        <v>49</v>
      </c>
      <c r="E45" s="150" t="s">
        <v>30</v>
      </c>
      <c r="F45" s="151">
        <v>1200000</v>
      </c>
      <c r="G45" s="150" t="s">
        <v>50</v>
      </c>
      <c r="H45" s="150" t="s">
        <v>51</v>
      </c>
      <c r="I45" s="150" t="s">
        <v>17</v>
      </c>
      <c r="J45" s="137">
        <v>1</v>
      </c>
    </row>
    <row r="46" spans="1:11" hidden="1">
      <c r="A46" s="150">
        <v>2</v>
      </c>
      <c r="B46" s="2538">
        <v>44217</v>
      </c>
      <c r="C46" s="150" t="s">
        <v>37</v>
      </c>
      <c r="D46" s="150" t="s">
        <v>52</v>
      </c>
      <c r="E46" s="150" t="s">
        <v>39</v>
      </c>
      <c r="F46" s="150">
        <v>1200000</v>
      </c>
      <c r="G46" s="150" t="s">
        <v>53</v>
      </c>
      <c r="H46" s="150" t="s">
        <v>36</v>
      </c>
      <c r="I46" s="150" t="s">
        <v>36</v>
      </c>
      <c r="J46" s="137">
        <v>1</v>
      </c>
      <c r="K46" t="s">
        <v>32</v>
      </c>
    </row>
    <row r="47" spans="1:11" hidden="1">
      <c r="A47" s="150">
        <v>3</v>
      </c>
      <c r="B47" s="2538">
        <v>44217</v>
      </c>
      <c r="C47" s="150" t="s">
        <v>37</v>
      </c>
      <c r="D47" s="150" t="s">
        <v>54</v>
      </c>
      <c r="E47" s="150" t="s">
        <v>39</v>
      </c>
      <c r="F47" s="150">
        <v>1200000</v>
      </c>
      <c r="G47" s="150" t="s">
        <v>55</v>
      </c>
      <c r="H47" s="150" t="s">
        <v>36</v>
      </c>
      <c r="I47" s="150" t="s">
        <v>36</v>
      </c>
      <c r="J47" s="137">
        <v>1</v>
      </c>
      <c r="K47" t="s">
        <v>27</v>
      </c>
    </row>
    <row r="48" spans="1:11" hidden="1">
      <c r="A48" s="150">
        <v>4</v>
      </c>
      <c r="B48" s="1749"/>
      <c r="C48" s="150"/>
      <c r="D48" s="150"/>
      <c r="E48" s="150"/>
      <c r="F48" s="150"/>
      <c r="G48" s="150"/>
      <c r="H48" s="150"/>
      <c r="I48" s="150"/>
      <c r="J48" s="137"/>
    </row>
    <row r="49" spans="1:10" hidden="1">
      <c r="A49" s="150">
        <v>5</v>
      </c>
      <c r="B49" s="1749"/>
      <c r="C49" s="150"/>
      <c r="D49" s="150"/>
      <c r="E49" s="150"/>
      <c r="F49" s="150"/>
      <c r="G49" s="150"/>
      <c r="H49" s="150"/>
      <c r="I49" s="150"/>
      <c r="J49" s="137"/>
    </row>
    <row r="50" spans="1:10" hidden="1">
      <c r="A50" s="150">
        <v>6</v>
      </c>
      <c r="B50" s="1749"/>
      <c r="C50" s="150"/>
      <c r="D50" s="150"/>
      <c r="E50" s="150"/>
      <c r="F50" s="150"/>
      <c r="G50" s="150"/>
      <c r="H50" s="150"/>
      <c r="I50" s="150"/>
      <c r="J50" s="137"/>
    </row>
    <row r="51" spans="1:10" hidden="1">
      <c r="A51" s="137">
        <v>7</v>
      </c>
      <c r="B51" s="1749"/>
      <c r="C51" s="137"/>
      <c r="D51" s="137"/>
      <c r="E51" s="137"/>
      <c r="F51" s="137"/>
      <c r="G51" s="137"/>
      <c r="H51" s="137"/>
      <c r="I51" s="137"/>
      <c r="J51" s="137"/>
    </row>
    <row r="52" spans="1:10" hidden="1">
      <c r="A52" s="137">
        <v>8</v>
      </c>
      <c r="B52" s="1749"/>
      <c r="C52" s="137"/>
      <c r="D52" s="137"/>
      <c r="E52" s="137"/>
      <c r="F52" s="137"/>
      <c r="G52" s="137"/>
      <c r="H52" s="137"/>
      <c r="I52" s="137"/>
      <c r="J52" s="137"/>
    </row>
    <row r="53" spans="1:10" hidden="1">
      <c r="A53" s="137">
        <v>9</v>
      </c>
      <c r="B53" s="1749"/>
      <c r="C53" s="137"/>
      <c r="D53" s="137"/>
      <c r="E53" s="137"/>
      <c r="F53" s="137"/>
      <c r="G53" s="137"/>
      <c r="H53" s="137"/>
      <c r="I53" s="137"/>
      <c r="J53" s="137"/>
    </row>
    <row r="54" spans="1:10" hidden="1">
      <c r="A54" s="137">
        <v>10</v>
      </c>
      <c r="B54" s="1749"/>
      <c r="C54" s="137"/>
      <c r="D54" s="137"/>
      <c r="E54" s="137"/>
      <c r="F54" s="137"/>
      <c r="G54" s="137"/>
      <c r="H54" s="137"/>
      <c r="I54" s="137"/>
      <c r="J54" s="137"/>
    </row>
    <row r="55" spans="1:10" hidden="1">
      <c r="A55" s="137">
        <v>11</v>
      </c>
      <c r="B55" s="1749"/>
      <c r="C55" s="137"/>
      <c r="D55" s="137"/>
      <c r="E55" s="137"/>
      <c r="F55" s="137"/>
      <c r="G55" s="137"/>
      <c r="H55" s="137"/>
      <c r="I55" s="137"/>
      <c r="J55" s="137"/>
    </row>
    <row r="56" spans="1:10" hidden="1">
      <c r="A56" s="137">
        <v>12</v>
      </c>
      <c r="B56" s="1749"/>
      <c r="C56" s="137"/>
      <c r="D56" s="137"/>
      <c r="E56" s="137"/>
      <c r="F56" s="137"/>
      <c r="G56" s="137"/>
      <c r="H56" s="137"/>
      <c r="I56" s="137"/>
      <c r="J56" s="137"/>
    </row>
    <row r="57" spans="1:10" hidden="1">
      <c r="A57" s="137">
        <v>13</v>
      </c>
      <c r="B57" s="1749"/>
      <c r="C57" s="137"/>
      <c r="D57" s="137"/>
      <c r="E57" s="137"/>
      <c r="F57" s="137"/>
      <c r="G57" s="137"/>
      <c r="H57" s="137"/>
      <c r="I57" s="137"/>
      <c r="J57" s="137"/>
    </row>
    <row r="58" spans="1:10" hidden="1">
      <c r="A58" s="137">
        <v>14</v>
      </c>
      <c r="B58" s="1749"/>
      <c r="C58" s="137"/>
      <c r="D58" s="137"/>
      <c r="E58" s="137"/>
      <c r="F58" s="137"/>
      <c r="G58" s="137"/>
      <c r="H58" s="137"/>
      <c r="I58" s="137"/>
      <c r="J58" s="137"/>
    </row>
    <row r="59" spans="1:10" hidden="1">
      <c r="A59" s="137">
        <v>15</v>
      </c>
      <c r="B59" s="1749"/>
      <c r="C59" s="137"/>
      <c r="D59" s="137"/>
      <c r="E59" s="137"/>
      <c r="F59" s="137"/>
      <c r="G59" s="137"/>
      <c r="H59" s="137"/>
      <c r="I59" s="137"/>
      <c r="J59" s="137"/>
    </row>
    <row r="60" spans="1:10" hidden="1">
      <c r="A60" s="137">
        <v>16</v>
      </c>
      <c r="B60" s="1749"/>
      <c r="C60" s="137"/>
      <c r="D60" s="137"/>
      <c r="E60" s="137"/>
      <c r="F60" s="137"/>
      <c r="G60" s="137"/>
      <c r="H60" s="137"/>
      <c r="I60" s="137"/>
      <c r="J60" s="137"/>
    </row>
    <row r="61" spans="1:10" hidden="1">
      <c r="A61" s="137">
        <v>17</v>
      </c>
      <c r="B61" s="1749"/>
      <c r="C61" s="137"/>
      <c r="D61" s="137"/>
      <c r="E61" s="137"/>
      <c r="F61" s="137"/>
      <c r="G61" s="137"/>
      <c r="H61" s="137"/>
      <c r="I61" s="137"/>
      <c r="J61" s="137"/>
    </row>
    <row r="62" spans="1:10" hidden="1">
      <c r="A62" s="137">
        <v>18</v>
      </c>
      <c r="B62" s="1749"/>
      <c r="C62" s="137"/>
      <c r="D62" s="137"/>
      <c r="E62" s="137"/>
      <c r="F62" s="137"/>
      <c r="G62" s="137"/>
      <c r="H62" s="137"/>
      <c r="I62" s="137"/>
      <c r="J62" s="137"/>
    </row>
    <row r="63" spans="1:10" hidden="1">
      <c r="A63" s="137">
        <v>19</v>
      </c>
      <c r="B63" s="1749"/>
      <c r="C63" s="137"/>
      <c r="D63" s="137"/>
      <c r="E63" s="137"/>
      <c r="F63" s="137"/>
      <c r="G63" s="137"/>
      <c r="H63" s="137"/>
      <c r="I63" s="137"/>
      <c r="J63" s="137"/>
    </row>
    <row r="64" spans="1:10" hidden="1">
      <c r="A64" s="137">
        <v>20</v>
      </c>
      <c r="B64" s="1749"/>
      <c r="C64" s="137"/>
      <c r="D64" s="137"/>
      <c r="E64" s="137"/>
      <c r="F64" s="137"/>
      <c r="G64" s="137"/>
      <c r="H64" s="137"/>
      <c r="I64" s="137"/>
      <c r="J64" s="137"/>
    </row>
    <row r="65" spans="1:11" ht="21" hidden="1">
      <c r="A65" s="137"/>
      <c r="B65" s="1749"/>
      <c r="C65" s="137"/>
      <c r="D65" s="137"/>
      <c r="E65" s="137"/>
      <c r="F65" s="137"/>
      <c r="G65" s="137"/>
      <c r="H65" s="137"/>
      <c r="I65" s="137"/>
      <c r="J65" s="139">
        <f>SUM(J45:J64)</f>
        <v>3</v>
      </c>
    </row>
    <row r="66" spans="1:11" hidden="1">
      <c r="A66" s="2744" t="s">
        <v>33</v>
      </c>
      <c r="B66" s="2744"/>
      <c r="C66" s="2744"/>
      <c r="D66" s="2744"/>
      <c r="E66" s="2744"/>
      <c r="F66" s="2744"/>
      <c r="G66" s="2744"/>
      <c r="H66" s="2744"/>
      <c r="I66" s="2744"/>
      <c r="J66" s="2744"/>
    </row>
    <row r="67" spans="1:11" hidden="1">
      <c r="A67" s="137" t="s">
        <v>3</v>
      </c>
      <c r="B67" s="1749" t="s">
        <v>4</v>
      </c>
      <c r="C67" s="137" t="s">
        <v>5</v>
      </c>
      <c r="D67" s="137" t="s">
        <v>6</v>
      </c>
      <c r="E67" s="137" t="s">
        <v>7</v>
      </c>
      <c r="F67" s="137" t="s">
        <v>8</v>
      </c>
      <c r="G67" s="137" t="s">
        <v>9</v>
      </c>
      <c r="H67" s="137" t="s">
        <v>10</v>
      </c>
      <c r="I67" s="137" t="s">
        <v>11</v>
      </c>
      <c r="J67" s="137" t="s">
        <v>12</v>
      </c>
    </row>
    <row r="68" spans="1:11" hidden="1">
      <c r="A68" s="152">
        <v>1</v>
      </c>
      <c r="B68" s="2539">
        <v>44194</v>
      </c>
      <c r="C68" s="152" t="s">
        <v>13</v>
      </c>
      <c r="D68" s="152" t="s">
        <v>56</v>
      </c>
      <c r="E68" s="152" t="s">
        <v>57</v>
      </c>
      <c r="F68" s="153">
        <v>380000000</v>
      </c>
      <c r="G68" s="152" t="s">
        <v>16</v>
      </c>
      <c r="H68" s="152" t="s">
        <v>51</v>
      </c>
      <c r="I68" s="152" t="s">
        <v>17</v>
      </c>
      <c r="J68" s="140">
        <v>1</v>
      </c>
    </row>
    <row r="69" spans="1:11" hidden="1">
      <c r="A69" s="152">
        <v>2</v>
      </c>
      <c r="B69" s="2539">
        <v>44195</v>
      </c>
      <c r="C69" s="152" t="s">
        <v>48</v>
      </c>
      <c r="D69" s="152" t="s">
        <v>58</v>
      </c>
      <c r="E69" s="152" t="s">
        <v>59</v>
      </c>
      <c r="F69" s="153">
        <v>250000000</v>
      </c>
      <c r="G69" s="152" t="s">
        <v>50</v>
      </c>
      <c r="H69" s="152" t="s">
        <v>51</v>
      </c>
      <c r="I69" s="152" t="s">
        <v>17</v>
      </c>
      <c r="J69" s="140">
        <v>1</v>
      </c>
    </row>
    <row r="70" spans="1:11" hidden="1">
      <c r="A70" s="152">
        <v>3</v>
      </c>
      <c r="B70" s="2539">
        <v>44195</v>
      </c>
      <c r="C70" s="152" t="s">
        <v>13</v>
      </c>
      <c r="D70" s="152" t="s">
        <v>60</v>
      </c>
      <c r="E70" s="152" t="s">
        <v>59</v>
      </c>
      <c r="F70" s="153">
        <v>211000000</v>
      </c>
      <c r="G70" s="152" t="s">
        <v>16</v>
      </c>
      <c r="H70" s="152" t="s">
        <v>36</v>
      </c>
      <c r="I70" s="152" t="s">
        <v>36</v>
      </c>
      <c r="J70" s="140">
        <v>1</v>
      </c>
    </row>
    <row r="71" spans="1:11" hidden="1">
      <c r="A71" s="152">
        <v>4</v>
      </c>
      <c r="B71" s="2539">
        <v>44409</v>
      </c>
      <c r="C71" s="152" t="s">
        <v>13</v>
      </c>
      <c r="D71" s="152" t="s">
        <v>61</v>
      </c>
      <c r="E71" s="152" t="s">
        <v>39</v>
      </c>
      <c r="F71" s="153">
        <v>200000000</v>
      </c>
      <c r="G71" s="152" t="s">
        <v>62</v>
      </c>
      <c r="H71" s="152" t="s">
        <v>36</v>
      </c>
      <c r="I71" s="152" t="s">
        <v>17</v>
      </c>
      <c r="J71" s="140">
        <v>1</v>
      </c>
    </row>
    <row r="72" spans="1:11" hidden="1">
      <c r="A72" s="154">
        <v>5</v>
      </c>
      <c r="B72" s="2540">
        <v>44044</v>
      </c>
      <c r="C72" s="154" t="s">
        <v>13</v>
      </c>
      <c r="D72" s="154" t="s">
        <v>63</v>
      </c>
      <c r="E72" s="154" t="s">
        <v>64</v>
      </c>
      <c r="F72" s="155">
        <v>150000000</v>
      </c>
      <c r="G72" s="154" t="s">
        <v>65</v>
      </c>
      <c r="H72" s="154" t="s">
        <v>51</v>
      </c>
      <c r="I72" s="154" t="s">
        <v>36</v>
      </c>
      <c r="J72" s="143">
        <v>1</v>
      </c>
      <c r="K72" t="s">
        <v>27</v>
      </c>
    </row>
    <row r="73" spans="1:11" hidden="1">
      <c r="A73" s="156">
        <v>6</v>
      </c>
      <c r="B73" s="2541" t="s">
        <v>66</v>
      </c>
      <c r="C73" s="156" t="s">
        <v>37</v>
      </c>
      <c r="D73" s="156" t="s">
        <v>67</v>
      </c>
      <c r="E73" s="156" t="s">
        <v>68</v>
      </c>
      <c r="F73" s="157">
        <v>230000000</v>
      </c>
      <c r="G73" s="156" t="s">
        <v>69</v>
      </c>
      <c r="H73" s="156" t="s">
        <v>44</v>
      </c>
      <c r="I73" s="156" t="s">
        <v>36</v>
      </c>
      <c r="J73" s="144">
        <v>1</v>
      </c>
      <c r="K73" t="s">
        <v>32</v>
      </c>
    </row>
    <row r="74" spans="1:11" hidden="1">
      <c r="A74" s="156">
        <v>7</v>
      </c>
      <c r="B74" s="2541" t="s">
        <v>70</v>
      </c>
      <c r="C74" s="156" t="s">
        <v>37</v>
      </c>
      <c r="D74" s="156" t="s">
        <v>71</v>
      </c>
      <c r="E74" s="156" t="s">
        <v>68</v>
      </c>
      <c r="F74" s="157">
        <v>220000000</v>
      </c>
      <c r="G74" s="156" t="s">
        <v>72</v>
      </c>
      <c r="H74" s="156" t="s">
        <v>44</v>
      </c>
      <c r="I74" s="156" t="s">
        <v>36</v>
      </c>
      <c r="J74" s="144">
        <v>1</v>
      </c>
      <c r="K74" t="s">
        <v>27</v>
      </c>
    </row>
    <row r="75" spans="1:11" hidden="1">
      <c r="A75" s="156">
        <v>8</v>
      </c>
      <c r="B75" s="2541" t="s">
        <v>73</v>
      </c>
      <c r="C75" s="156" t="s">
        <v>74</v>
      </c>
      <c r="D75" s="156" t="s">
        <v>75</v>
      </c>
      <c r="E75" s="156" t="s">
        <v>76</v>
      </c>
      <c r="F75" s="157">
        <v>270000000</v>
      </c>
      <c r="G75" s="156" t="s">
        <v>43</v>
      </c>
      <c r="H75" s="156" t="s">
        <v>44</v>
      </c>
      <c r="I75" s="156" t="s">
        <v>36</v>
      </c>
      <c r="J75" s="144">
        <v>1</v>
      </c>
    </row>
    <row r="76" spans="1:11" hidden="1">
      <c r="A76" s="156">
        <v>9</v>
      </c>
      <c r="B76" s="2541" t="s">
        <v>41</v>
      </c>
      <c r="C76" s="156" t="s">
        <v>37</v>
      </c>
      <c r="D76" s="156" t="s">
        <v>77</v>
      </c>
      <c r="E76" s="156" t="s">
        <v>78</v>
      </c>
      <c r="F76" s="157">
        <v>185000000</v>
      </c>
      <c r="G76" s="156" t="s">
        <v>79</v>
      </c>
      <c r="H76" s="156" t="s">
        <v>36</v>
      </c>
      <c r="I76" s="156" t="s">
        <v>36</v>
      </c>
      <c r="J76" s="144">
        <v>1</v>
      </c>
    </row>
    <row r="77" spans="1:11" hidden="1">
      <c r="A77" s="156">
        <v>10</v>
      </c>
      <c r="B77" s="2541"/>
      <c r="C77" s="156"/>
      <c r="D77" s="156"/>
      <c r="E77" s="156"/>
      <c r="F77" s="157"/>
      <c r="G77" s="156"/>
      <c r="H77" s="156"/>
      <c r="I77" s="156"/>
      <c r="J77" s="144"/>
    </row>
    <row r="78" spans="1:11" ht="21" hidden="1">
      <c r="A78" s="141"/>
      <c r="B78" s="2542"/>
      <c r="C78" s="141"/>
      <c r="D78" s="141"/>
      <c r="E78" s="141"/>
      <c r="F78" s="145"/>
      <c r="G78" s="141"/>
      <c r="H78" s="141"/>
      <c r="I78" s="141"/>
      <c r="J78" s="146">
        <f>SUM(J68:J77)</f>
        <v>9</v>
      </c>
    </row>
    <row r="79" spans="1:11" hidden="1"/>
    <row r="80" spans="1:11" ht="23.45" hidden="1">
      <c r="A80" s="2753" t="s">
        <v>80</v>
      </c>
      <c r="B80" s="2753"/>
      <c r="C80" s="2753"/>
      <c r="D80" s="2753"/>
      <c r="E80" s="2753"/>
      <c r="F80" s="2753"/>
      <c r="G80" s="2753"/>
      <c r="H80" s="2753"/>
      <c r="I80" s="2753"/>
      <c r="J80" s="2753"/>
    </row>
    <row r="81" spans="1:11" ht="15.6" hidden="1">
      <c r="A81" s="2737" t="s">
        <v>2</v>
      </c>
      <c r="B81" s="2737"/>
      <c r="C81" s="2737"/>
      <c r="D81" s="2737"/>
      <c r="E81" s="2737"/>
      <c r="F81" s="2737"/>
      <c r="G81" s="2737"/>
      <c r="H81" s="2737"/>
      <c r="I81" s="2737"/>
      <c r="J81" s="2737"/>
    </row>
    <row r="82" spans="1:11" hidden="1">
      <c r="A82" s="150" t="s">
        <v>3</v>
      </c>
      <c r="B82" s="1749" t="s">
        <v>4</v>
      </c>
      <c r="C82" s="150" t="s">
        <v>5</v>
      </c>
      <c r="D82" s="150" t="s">
        <v>6</v>
      </c>
      <c r="E82" s="150" t="s">
        <v>7</v>
      </c>
      <c r="F82" s="150" t="s">
        <v>8</v>
      </c>
      <c r="G82" s="150" t="s">
        <v>9</v>
      </c>
      <c r="H82" s="150" t="s">
        <v>10</v>
      </c>
      <c r="I82" s="150" t="s">
        <v>11</v>
      </c>
      <c r="J82" s="137" t="s">
        <v>12</v>
      </c>
    </row>
    <row r="83" spans="1:11" hidden="1">
      <c r="A83" s="150">
        <v>1</v>
      </c>
      <c r="B83" s="1749" t="s">
        <v>81</v>
      </c>
      <c r="C83" s="150" t="s">
        <v>13</v>
      </c>
      <c r="D83" s="150" t="s">
        <v>82</v>
      </c>
      <c r="E83" s="150" t="s">
        <v>19</v>
      </c>
      <c r="F83" s="150">
        <v>1100000</v>
      </c>
      <c r="G83" s="150" t="s">
        <v>16</v>
      </c>
      <c r="H83" s="150" t="s">
        <v>24</v>
      </c>
      <c r="I83" s="150" t="s">
        <v>24</v>
      </c>
      <c r="J83" s="137">
        <v>1</v>
      </c>
    </row>
    <row r="84" spans="1:11" hidden="1">
      <c r="A84" s="150">
        <v>2</v>
      </c>
      <c r="B84" s="1749" t="s">
        <v>83</v>
      </c>
      <c r="C84" s="150" t="s">
        <v>13</v>
      </c>
      <c r="D84" s="150" t="s">
        <v>84</v>
      </c>
      <c r="E84" s="150" t="s">
        <v>59</v>
      </c>
      <c r="F84" s="150">
        <v>1350000</v>
      </c>
      <c r="G84" s="150" t="s">
        <v>85</v>
      </c>
      <c r="H84" s="150" t="s">
        <v>24</v>
      </c>
      <c r="I84" s="150" t="s">
        <v>24</v>
      </c>
      <c r="J84" s="137">
        <v>1</v>
      </c>
    </row>
    <row r="85" spans="1:11" hidden="1">
      <c r="A85" s="150">
        <v>3</v>
      </c>
      <c r="B85" s="2538">
        <v>44409</v>
      </c>
      <c r="C85" s="150" t="s">
        <v>13</v>
      </c>
      <c r="D85" s="150" t="s">
        <v>86</v>
      </c>
      <c r="E85" s="150" t="s">
        <v>87</v>
      </c>
      <c r="F85" s="150">
        <v>1150000</v>
      </c>
      <c r="G85" s="150" t="s">
        <v>88</v>
      </c>
      <c r="H85" s="150" t="s">
        <v>24</v>
      </c>
      <c r="I85" s="150" t="s">
        <v>24</v>
      </c>
      <c r="J85" s="137">
        <v>1</v>
      </c>
    </row>
    <row r="86" spans="1:11" hidden="1">
      <c r="A86" s="150">
        <v>4</v>
      </c>
      <c r="B86" s="2543" t="s">
        <v>89</v>
      </c>
      <c r="C86" s="158" t="s">
        <v>13</v>
      </c>
      <c r="D86" s="158" t="s">
        <v>90</v>
      </c>
      <c r="E86" s="158" t="s">
        <v>59</v>
      </c>
      <c r="F86" s="158">
        <v>1100000</v>
      </c>
      <c r="G86" s="158" t="s">
        <v>91</v>
      </c>
      <c r="H86" s="158" t="s">
        <v>24</v>
      </c>
      <c r="I86" s="158" t="s">
        <v>24</v>
      </c>
      <c r="J86" s="147">
        <v>1</v>
      </c>
    </row>
    <row r="87" spans="1:11" hidden="1">
      <c r="A87" s="159">
        <v>5</v>
      </c>
      <c r="B87" s="2" t="s">
        <v>25</v>
      </c>
      <c r="C87" s="160" t="s">
        <v>92</v>
      </c>
      <c r="D87" s="160" t="s">
        <v>93</v>
      </c>
      <c r="E87" s="160" t="s">
        <v>39</v>
      </c>
      <c r="F87" s="160">
        <v>1200000</v>
      </c>
      <c r="G87" s="160" t="s">
        <v>94</v>
      </c>
      <c r="H87" s="160" t="s">
        <v>36</v>
      </c>
      <c r="I87" s="160" t="s">
        <v>36</v>
      </c>
      <c r="J87" s="11">
        <v>1</v>
      </c>
      <c r="K87" t="s">
        <v>32</v>
      </c>
    </row>
    <row r="88" spans="1:11" hidden="1">
      <c r="A88" s="159">
        <v>6</v>
      </c>
      <c r="B88" s="2" t="s">
        <v>95</v>
      </c>
      <c r="C88" s="160" t="s">
        <v>92</v>
      </c>
      <c r="D88" s="160" t="s">
        <v>96</v>
      </c>
      <c r="E88" s="160" t="s">
        <v>39</v>
      </c>
      <c r="F88" s="160">
        <v>950000</v>
      </c>
      <c r="G88" s="160" t="s">
        <v>43</v>
      </c>
      <c r="H88" s="160" t="s">
        <v>36</v>
      </c>
      <c r="I88" s="160" t="s">
        <v>36</v>
      </c>
      <c r="J88" s="11">
        <v>1</v>
      </c>
      <c r="K88" t="s">
        <v>32</v>
      </c>
    </row>
    <row r="89" spans="1:11" hidden="1">
      <c r="A89" s="159">
        <v>7</v>
      </c>
      <c r="B89" s="2" t="s">
        <v>97</v>
      </c>
      <c r="C89" s="160" t="s">
        <v>74</v>
      </c>
      <c r="D89" s="160" t="s">
        <v>98</v>
      </c>
      <c r="E89" s="160" t="s">
        <v>39</v>
      </c>
      <c r="F89" s="160">
        <v>700000</v>
      </c>
      <c r="G89" s="160" t="s">
        <v>43</v>
      </c>
      <c r="H89" s="160" t="s">
        <v>36</v>
      </c>
      <c r="I89" s="160" t="s">
        <v>36</v>
      </c>
      <c r="J89" s="11">
        <v>1</v>
      </c>
      <c r="K89" t="s">
        <v>27</v>
      </c>
    </row>
    <row r="90" spans="1:11" hidden="1">
      <c r="A90" s="159">
        <v>8</v>
      </c>
      <c r="B90" s="2" t="s">
        <v>99</v>
      </c>
      <c r="C90" s="160" t="s">
        <v>100</v>
      </c>
      <c r="D90" s="160" t="s">
        <v>101</v>
      </c>
      <c r="E90" s="160" t="s">
        <v>39</v>
      </c>
      <c r="F90" s="160">
        <v>1200000</v>
      </c>
      <c r="G90" s="160" t="s">
        <v>102</v>
      </c>
      <c r="H90" s="160" t="s">
        <v>36</v>
      </c>
      <c r="I90" s="160" t="s">
        <v>36</v>
      </c>
      <c r="J90" s="11">
        <v>1</v>
      </c>
      <c r="K90" t="s">
        <v>27</v>
      </c>
    </row>
    <row r="91" spans="1:11" hidden="1">
      <c r="A91" s="150">
        <v>9</v>
      </c>
      <c r="B91" s="2544" t="s">
        <v>103</v>
      </c>
      <c r="C91" s="161" t="s">
        <v>92</v>
      </c>
      <c r="D91" s="161" t="s">
        <v>104</v>
      </c>
      <c r="E91" s="161" t="s">
        <v>105</v>
      </c>
      <c r="F91" s="161">
        <v>2200000</v>
      </c>
      <c r="G91" s="161" t="s">
        <v>94</v>
      </c>
      <c r="H91" s="161" t="s">
        <v>36</v>
      </c>
      <c r="I91" s="161" t="s">
        <v>36</v>
      </c>
      <c r="J91" s="148">
        <v>1</v>
      </c>
      <c r="K91" t="s">
        <v>32</v>
      </c>
    </row>
    <row r="92" spans="1:11" hidden="1">
      <c r="A92" s="150">
        <v>10</v>
      </c>
      <c r="B92" s="1749" t="s">
        <v>106</v>
      </c>
      <c r="C92" s="150" t="s">
        <v>92</v>
      </c>
      <c r="D92" s="150" t="s">
        <v>107</v>
      </c>
      <c r="E92" s="150" t="s">
        <v>39</v>
      </c>
      <c r="F92" s="150">
        <v>1100000</v>
      </c>
      <c r="G92" s="150" t="s">
        <v>108</v>
      </c>
      <c r="H92" s="150" t="s">
        <v>36</v>
      </c>
      <c r="I92" s="150" t="s">
        <v>36</v>
      </c>
      <c r="J92" s="137">
        <v>1</v>
      </c>
      <c r="K92" t="s">
        <v>32</v>
      </c>
    </row>
    <row r="93" spans="1:11" hidden="1">
      <c r="A93" s="150">
        <v>11</v>
      </c>
      <c r="B93" s="1749" t="s">
        <v>109</v>
      </c>
      <c r="C93" s="150" t="s">
        <v>37</v>
      </c>
      <c r="D93" s="150" t="s">
        <v>110</v>
      </c>
      <c r="E93" s="150" t="s">
        <v>39</v>
      </c>
      <c r="F93" s="150">
        <v>1500000</v>
      </c>
      <c r="G93" s="150" t="s">
        <v>111</v>
      </c>
      <c r="H93" s="150" t="s">
        <v>36</v>
      </c>
      <c r="I93" s="150" t="s">
        <v>36</v>
      </c>
      <c r="J93" s="137">
        <v>1</v>
      </c>
      <c r="K93" t="s">
        <v>27</v>
      </c>
    </row>
    <row r="94" spans="1:11" hidden="1">
      <c r="A94" s="150">
        <v>12</v>
      </c>
      <c r="B94" s="1749"/>
      <c r="C94" s="150"/>
      <c r="D94" s="150"/>
      <c r="E94" s="150"/>
      <c r="F94" s="150"/>
      <c r="G94" s="150"/>
      <c r="H94" s="150"/>
      <c r="I94" s="150"/>
      <c r="J94" s="137"/>
    </row>
    <row r="95" spans="1:11" hidden="1">
      <c r="A95" s="150">
        <v>13</v>
      </c>
      <c r="B95" s="1749"/>
      <c r="C95" s="150"/>
      <c r="D95" s="150"/>
      <c r="E95" s="150"/>
      <c r="F95" s="150"/>
      <c r="G95" s="150"/>
      <c r="H95" s="150"/>
      <c r="I95" s="150"/>
      <c r="J95" s="137"/>
    </row>
    <row r="96" spans="1:11" hidden="1">
      <c r="A96" s="137">
        <v>14</v>
      </c>
      <c r="B96" s="1749"/>
      <c r="C96" s="137"/>
      <c r="D96" s="137"/>
      <c r="E96" s="137"/>
      <c r="F96" s="137"/>
      <c r="G96" s="137"/>
      <c r="H96" s="137"/>
      <c r="I96" s="137"/>
      <c r="J96" s="137"/>
    </row>
    <row r="97" spans="1:11" hidden="1">
      <c r="A97" s="137">
        <v>15</v>
      </c>
      <c r="B97" s="1749"/>
      <c r="C97" s="137"/>
      <c r="D97" s="137"/>
      <c r="E97" s="137"/>
      <c r="F97" s="137"/>
      <c r="G97" s="137"/>
      <c r="H97" s="137"/>
      <c r="I97" s="137"/>
      <c r="J97" s="137"/>
    </row>
    <row r="98" spans="1:11" hidden="1">
      <c r="A98" s="137">
        <v>16</v>
      </c>
      <c r="B98" s="1749"/>
      <c r="C98" s="137"/>
      <c r="D98" s="137"/>
      <c r="E98" s="137"/>
      <c r="F98" s="137"/>
      <c r="G98" s="137"/>
      <c r="H98" s="137"/>
      <c r="I98" s="137"/>
      <c r="J98" s="137"/>
    </row>
    <row r="99" spans="1:11" hidden="1">
      <c r="A99" s="137">
        <v>17</v>
      </c>
      <c r="B99" s="1749"/>
      <c r="C99" s="137"/>
      <c r="D99" s="137"/>
      <c r="E99" s="137"/>
      <c r="F99" s="137"/>
      <c r="G99" s="137"/>
      <c r="H99" s="137"/>
      <c r="I99" s="137"/>
      <c r="J99" s="137"/>
    </row>
    <row r="100" spans="1:11" hidden="1">
      <c r="A100" s="137">
        <v>18</v>
      </c>
      <c r="B100" s="1749"/>
      <c r="C100" s="137"/>
      <c r="D100" s="137"/>
      <c r="E100" s="137"/>
      <c r="F100" s="137"/>
      <c r="G100" s="137"/>
      <c r="H100" s="137"/>
      <c r="I100" s="137"/>
      <c r="J100" s="137"/>
    </row>
    <row r="101" spans="1:11" hidden="1">
      <c r="A101" s="137">
        <v>19</v>
      </c>
      <c r="B101" s="1749"/>
      <c r="C101" s="137"/>
      <c r="D101" s="137"/>
      <c r="E101" s="137"/>
      <c r="F101" s="137"/>
      <c r="G101" s="137"/>
      <c r="H101" s="137"/>
      <c r="I101" s="137"/>
      <c r="J101" s="137"/>
    </row>
    <row r="102" spans="1:11" hidden="1">
      <c r="A102" s="137">
        <v>20</v>
      </c>
      <c r="B102" s="1749"/>
      <c r="C102" s="137"/>
      <c r="D102" s="137"/>
      <c r="E102" s="137"/>
      <c r="F102" s="137"/>
      <c r="G102" s="137"/>
      <c r="H102" s="137"/>
      <c r="I102" s="137"/>
      <c r="J102" s="137"/>
    </row>
    <row r="103" spans="1:11" ht="21" hidden="1">
      <c r="A103" s="137"/>
      <c r="B103" s="1749"/>
      <c r="C103" s="137"/>
      <c r="D103" s="137"/>
      <c r="E103" s="137"/>
      <c r="F103" s="137"/>
      <c r="G103" s="137"/>
      <c r="H103" s="137"/>
      <c r="I103" s="137"/>
      <c r="J103" s="139">
        <f>SUM(J83:J102)</f>
        <v>11</v>
      </c>
    </row>
    <row r="104" spans="1:11" hidden="1">
      <c r="A104" s="2744" t="s">
        <v>33</v>
      </c>
      <c r="B104" s="2744"/>
      <c r="C104" s="2744"/>
      <c r="D104" s="2744"/>
      <c r="E104" s="2744"/>
      <c r="F104" s="2744"/>
      <c r="G104" s="2744"/>
      <c r="H104" s="2744"/>
      <c r="I104" s="2744"/>
      <c r="J104" s="2744"/>
    </row>
    <row r="105" spans="1:11" hidden="1">
      <c r="A105" s="150" t="s">
        <v>3</v>
      </c>
      <c r="B105" s="1749" t="s">
        <v>4</v>
      </c>
      <c r="C105" s="150" t="s">
        <v>5</v>
      </c>
      <c r="D105" s="150" t="s">
        <v>6</v>
      </c>
      <c r="E105" s="150" t="s">
        <v>7</v>
      </c>
      <c r="F105" s="150" t="s">
        <v>8</v>
      </c>
      <c r="G105" s="150" t="s">
        <v>9</v>
      </c>
      <c r="H105" s="150" t="s">
        <v>10</v>
      </c>
      <c r="I105" s="150" t="s">
        <v>11</v>
      </c>
      <c r="J105" s="137" t="s">
        <v>12</v>
      </c>
    </row>
    <row r="106" spans="1:11" hidden="1">
      <c r="A106" s="152">
        <v>1</v>
      </c>
      <c r="B106" s="2539">
        <v>44348</v>
      </c>
      <c r="C106" s="152" t="s">
        <v>13</v>
      </c>
      <c r="D106" s="152" t="s">
        <v>112</v>
      </c>
      <c r="E106" s="152" t="s">
        <v>113</v>
      </c>
      <c r="F106" s="162">
        <v>220500000</v>
      </c>
      <c r="G106" s="152" t="s">
        <v>16</v>
      </c>
      <c r="H106" s="152" t="s">
        <v>24</v>
      </c>
      <c r="I106" s="152" t="s">
        <v>24</v>
      </c>
      <c r="J106" s="140">
        <v>1</v>
      </c>
      <c r="K106" t="s">
        <v>32</v>
      </c>
    </row>
    <row r="107" spans="1:11" hidden="1">
      <c r="A107" s="152">
        <v>2</v>
      </c>
      <c r="B107" s="2539">
        <v>44348</v>
      </c>
      <c r="C107" s="152" t="s">
        <v>13</v>
      </c>
      <c r="D107" s="152" t="s">
        <v>114</v>
      </c>
      <c r="E107" s="152" t="s">
        <v>113</v>
      </c>
      <c r="F107" s="162">
        <v>198500000</v>
      </c>
      <c r="G107" s="152" t="s">
        <v>88</v>
      </c>
      <c r="H107" s="152" t="s">
        <v>24</v>
      </c>
      <c r="I107" s="152" t="s">
        <v>24</v>
      </c>
      <c r="J107" s="140">
        <v>1</v>
      </c>
      <c r="K107" t="s">
        <v>115</v>
      </c>
    </row>
    <row r="108" spans="1:11" hidden="1">
      <c r="A108" s="152">
        <v>3</v>
      </c>
      <c r="B108" s="2539">
        <v>44348</v>
      </c>
      <c r="C108" s="152" t="s">
        <v>13</v>
      </c>
      <c r="D108" s="152" t="s">
        <v>116</v>
      </c>
      <c r="E108" s="152" t="s">
        <v>113</v>
      </c>
      <c r="F108" s="162">
        <v>195500000</v>
      </c>
      <c r="G108" s="152" t="s">
        <v>88</v>
      </c>
      <c r="H108" s="152" t="s">
        <v>24</v>
      </c>
      <c r="I108" s="152" t="s">
        <v>24</v>
      </c>
      <c r="J108" s="140">
        <v>1</v>
      </c>
      <c r="K108" t="s">
        <v>32</v>
      </c>
    </row>
    <row r="109" spans="1:11" hidden="1">
      <c r="A109" s="152">
        <v>4</v>
      </c>
      <c r="B109" s="2539">
        <v>44348</v>
      </c>
      <c r="C109" s="152" t="s">
        <v>13</v>
      </c>
      <c r="D109" s="152" t="s">
        <v>117</v>
      </c>
      <c r="E109" s="152" t="s">
        <v>113</v>
      </c>
      <c r="F109" s="162">
        <v>207500000</v>
      </c>
      <c r="G109" s="152" t="s">
        <v>16</v>
      </c>
      <c r="H109" s="152" t="s">
        <v>24</v>
      </c>
      <c r="I109" s="152" t="s">
        <v>24</v>
      </c>
      <c r="J109" s="140">
        <v>1</v>
      </c>
      <c r="K109" t="s">
        <v>115</v>
      </c>
    </row>
    <row r="110" spans="1:11" hidden="1">
      <c r="A110" s="152">
        <v>5</v>
      </c>
      <c r="B110" s="2539"/>
      <c r="C110" s="152"/>
      <c r="D110" s="152"/>
      <c r="E110" s="152"/>
      <c r="F110" s="162"/>
      <c r="G110" s="152"/>
      <c r="H110" s="152"/>
      <c r="I110" s="152"/>
      <c r="J110" s="140"/>
    </row>
    <row r="111" spans="1:11" hidden="1">
      <c r="A111" s="152">
        <v>6</v>
      </c>
      <c r="B111" s="2539"/>
      <c r="C111" s="152"/>
      <c r="D111" s="152"/>
      <c r="E111" s="152"/>
      <c r="F111" s="162"/>
      <c r="G111" s="152"/>
      <c r="H111" s="152"/>
      <c r="I111" s="152"/>
      <c r="J111" s="140"/>
    </row>
    <row r="112" spans="1:11" hidden="1">
      <c r="A112" s="152">
        <v>7</v>
      </c>
      <c r="B112" s="2539"/>
      <c r="C112" s="152"/>
      <c r="D112" s="152"/>
      <c r="E112" s="152"/>
      <c r="F112" s="162"/>
      <c r="G112" s="152"/>
      <c r="H112" s="152"/>
      <c r="I112" s="152"/>
      <c r="J112" s="140"/>
    </row>
    <row r="113" spans="1:11" hidden="1">
      <c r="A113" s="152">
        <v>8</v>
      </c>
      <c r="B113" s="2539"/>
      <c r="C113" s="152"/>
      <c r="D113" s="152"/>
      <c r="E113" s="152"/>
      <c r="F113" s="162"/>
      <c r="G113" s="152"/>
      <c r="H113" s="152"/>
      <c r="I113" s="152"/>
      <c r="J113" s="140"/>
    </row>
    <row r="114" spans="1:11" hidden="1">
      <c r="A114" s="140">
        <v>9</v>
      </c>
      <c r="B114" s="2539"/>
      <c r="C114" s="140"/>
      <c r="D114" s="140"/>
      <c r="E114" s="140"/>
      <c r="F114" s="149"/>
      <c r="G114" s="140"/>
      <c r="H114" s="140"/>
      <c r="I114" s="140"/>
      <c r="J114" s="140"/>
    </row>
    <row r="115" spans="1:11" hidden="1">
      <c r="A115" s="140">
        <v>10</v>
      </c>
      <c r="B115" s="541"/>
      <c r="C115" s="140"/>
      <c r="D115" s="140"/>
      <c r="E115" s="140"/>
      <c r="F115" s="149"/>
      <c r="G115" s="140"/>
      <c r="H115" s="140"/>
      <c r="I115" s="140"/>
      <c r="J115" s="140"/>
    </row>
    <row r="116" spans="1:11" ht="21" hidden="1">
      <c r="A116" s="140"/>
      <c r="B116" s="541"/>
      <c r="C116" s="140"/>
      <c r="D116" s="140"/>
      <c r="E116" s="140"/>
      <c r="F116" s="149"/>
      <c r="G116" s="140"/>
      <c r="H116" s="140"/>
      <c r="I116" s="140"/>
      <c r="J116" s="139">
        <f>SUM(J106:J115)</f>
        <v>4</v>
      </c>
    </row>
    <row r="117" spans="1:11" ht="23.45" hidden="1">
      <c r="A117" s="2753" t="s">
        <v>118</v>
      </c>
      <c r="B117" s="2753"/>
      <c r="C117" s="2753"/>
      <c r="D117" s="2753"/>
      <c r="E117" s="2753"/>
      <c r="F117" s="2753"/>
      <c r="G117" s="2753"/>
      <c r="H117" s="2753"/>
      <c r="I117" s="2753"/>
      <c r="J117" s="2753"/>
    </row>
    <row r="118" spans="1:11" ht="15.6" hidden="1">
      <c r="A118" s="2737" t="s">
        <v>2</v>
      </c>
      <c r="B118" s="2737"/>
      <c r="C118" s="2737"/>
      <c r="D118" s="2737"/>
      <c r="E118" s="2737"/>
      <c r="F118" s="2737"/>
      <c r="G118" s="2737"/>
      <c r="H118" s="2737"/>
      <c r="I118" s="2737"/>
      <c r="J118" s="2737"/>
    </row>
    <row r="119" spans="1:11" hidden="1">
      <c r="A119" s="137" t="s">
        <v>3</v>
      </c>
      <c r="B119" s="1749" t="s">
        <v>4</v>
      </c>
      <c r="C119" s="137" t="s">
        <v>5</v>
      </c>
      <c r="D119" s="137" t="s">
        <v>6</v>
      </c>
      <c r="E119" s="137" t="s">
        <v>7</v>
      </c>
      <c r="F119" s="137" t="s">
        <v>8</v>
      </c>
      <c r="G119" s="137" t="s">
        <v>9</v>
      </c>
      <c r="H119" s="137" t="s">
        <v>10</v>
      </c>
      <c r="I119" s="137" t="s">
        <v>11</v>
      </c>
      <c r="J119" s="137" t="s">
        <v>12</v>
      </c>
    </row>
    <row r="120" spans="1:11" hidden="1">
      <c r="A120" s="150">
        <v>1</v>
      </c>
      <c r="B120" s="2538">
        <v>44348</v>
      </c>
      <c r="C120" s="150" t="s">
        <v>119</v>
      </c>
      <c r="D120" s="150" t="s">
        <v>120</v>
      </c>
      <c r="E120" s="150" t="s">
        <v>121</v>
      </c>
      <c r="F120" s="151">
        <v>1100000</v>
      </c>
      <c r="G120" s="150" t="s">
        <v>88</v>
      </c>
      <c r="H120" s="150" t="s">
        <v>24</v>
      </c>
      <c r="I120" s="150" t="s">
        <v>24</v>
      </c>
      <c r="J120" s="137">
        <v>1</v>
      </c>
    </row>
    <row r="121" spans="1:11" hidden="1">
      <c r="A121" s="150">
        <v>2</v>
      </c>
      <c r="B121" s="2538" t="s">
        <v>99</v>
      </c>
      <c r="C121" s="150" t="s">
        <v>37</v>
      </c>
      <c r="D121" s="150" t="s">
        <v>122</v>
      </c>
      <c r="E121" s="150" t="s">
        <v>39</v>
      </c>
      <c r="F121" s="151">
        <v>1750000</v>
      </c>
      <c r="G121" s="150" t="s">
        <v>123</v>
      </c>
      <c r="H121" s="150" t="s">
        <v>36</v>
      </c>
      <c r="I121" s="150" t="s">
        <v>36</v>
      </c>
      <c r="J121" s="137">
        <v>1</v>
      </c>
      <c r="K121" t="s">
        <v>32</v>
      </c>
    </row>
    <row r="122" spans="1:11" hidden="1">
      <c r="A122" s="150">
        <v>3</v>
      </c>
      <c r="B122" s="2538">
        <v>44222</v>
      </c>
      <c r="C122" s="150" t="s">
        <v>37</v>
      </c>
      <c r="D122" s="150" t="s">
        <v>124</v>
      </c>
      <c r="E122" s="150" t="s">
        <v>125</v>
      </c>
      <c r="F122" s="151">
        <v>750000</v>
      </c>
      <c r="G122" s="150" t="s">
        <v>43</v>
      </c>
      <c r="H122" s="150" t="s">
        <v>36</v>
      </c>
      <c r="I122" s="150" t="s">
        <v>36</v>
      </c>
      <c r="J122" s="137">
        <v>1</v>
      </c>
    </row>
    <row r="123" spans="1:11" hidden="1">
      <c r="A123" s="150">
        <v>4</v>
      </c>
      <c r="B123" s="1749" t="s">
        <v>126</v>
      </c>
      <c r="C123" s="150" t="s">
        <v>37</v>
      </c>
      <c r="D123" s="150" t="s">
        <v>127</v>
      </c>
      <c r="E123" s="150" t="s">
        <v>128</v>
      </c>
      <c r="F123" s="150">
        <v>1400000</v>
      </c>
      <c r="G123" s="150" t="s">
        <v>43</v>
      </c>
      <c r="H123" s="150" t="s">
        <v>36</v>
      </c>
      <c r="I123" s="150" t="s">
        <v>36</v>
      </c>
      <c r="J123" s="137">
        <v>1</v>
      </c>
    </row>
    <row r="124" spans="1:11" hidden="1">
      <c r="A124" s="137">
        <v>5</v>
      </c>
      <c r="B124" s="1749"/>
      <c r="C124" s="137"/>
      <c r="D124" s="137"/>
      <c r="E124" s="137"/>
      <c r="F124" s="137"/>
      <c r="G124" s="137"/>
      <c r="H124" s="137"/>
      <c r="I124" s="137"/>
      <c r="J124" s="137"/>
    </row>
    <row r="125" spans="1:11" hidden="1">
      <c r="A125" s="137">
        <v>6</v>
      </c>
      <c r="B125" s="1749"/>
      <c r="C125" s="137"/>
      <c r="D125" s="137"/>
      <c r="E125" s="137"/>
      <c r="F125" s="137"/>
      <c r="G125" s="137"/>
      <c r="H125" s="137"/>
      <c r="I125" s="137"/>
      <c r="J125" s="137"/>
    </row>
    <row r="126" spans="1:11" hidden="1">
      <c r="A126" s="137">
        <v>7</v>
      </c>
      <c r="B126" s="1749"/>
      <c r="C126" s="137"/>
      <c r="D126" s="137"/>
      <c r="E126" s="137"/>
      <c r="F126" s="137"/>
      <c r="G126" s="137"/>
      <c r="H126" s="137"/>
      <c r="I126" s="137"/>
      <c r="J126" s="137"/>
    </row>
    <row r="127" spans="1:11" hidden="1">
      <c r="A127" s="137">
        <v>8</v>
      </c>
      <c r="B127" s="1749"/>
      <c r="C127" s="137"/>
      <c r="D127" s="137"/>
      <c r="E127" s="137"/>
      <c r="F127" s="137"/>
      <c r="G127" s="137"/>
      <c r="H127" s="137"/>
      <c r="I127" s="137"/>
      <c r="J127" s="137"/>
    </row>
    <row r="128" spans="1:11" hidden="1">
      <c r="A128" s="137">
        <v>9</v>
      </c>
      <c r="B128" s="1749"/>
      <c r="C128" s="137"/>
      <c r="D128" s="137"/>
      <c r="E128" s="137"/>
      <c r="F128" s="137"/>
      <c r="G128" s="137"/>
      <c r="H128" s="137"/>
      <c r="I128" s="137"/>
      <c r="J128" s="137"/>
    </row>
    <row r="129" spans="1:11" ht="21" hidden="1">
      <c r="A129" s="137">
        <v>10</v>
      </c>
      <c r="B129" s="1749"/>
      <c r="C129" s="137"/>
      <c r="D129" s="137"/>
      <c r="E129" s="137"/>
      <c r="F129" s="137"/>
      <c r="G129" s="137"/>
      <c r="H129" s="137"/>
      <c r="I129" s="137"/>
      <c r="J129" s="139">
        <f>SUM(J120:J128)</f>
        <v>4</v>
      </c>
    </row>
    <row r="130" spans="1:11" hidden="1"/>
    <row r="131" spans="1:11" hidden="1"/>
    <row r="132" spans="1:11" hidden="1"/>
    <row r="133" spans="1:11" hidden="1"/>
    <row r="134" spans="1:11" hidden="1">
      <c r="A134" s="2750" t="s">
        <v>129</v>
      </c>
      <c r="B134" s="2751"/>
      <c r="C134" s="2751"/>
      <c r="D134" s="2751"/>
      <c r="E134" s="2751"/>
      <c r="F134" s="2751"/>
      <c r="G134" s="2751"/>
      <c r="H134" s="2751"/>
      <c r="I134" s="2751"/>
      <c r="J134" s="2751"/>
    </row>
    <row r="135" spans="1:11" hidden="1">
      <c r="A135" s="2751"/>
      <c r="B135" s="2751"/>
      <c r="C135" s="2751"/>
      <c r="D135" s="2751"/>
      <c r="E135" s="2751"/>
      <c r="F135" s="2751"/>
      <c r="G135" s="2751"/>
      <c r="H135" s="2751"/>
      <c r="I135" s="2751"/>
      <c r="J135" s="2751"/>
    </row>
    <row r="136" spans="1:11" ht="46.15" hidden="1">
      <c r="B136" s="136"/>
      <c r="C136" s="136"/>
      <c r="D136" s="136"/>
      <c r="E136" s="136"/>
      <c r="F136" s="136"/>
      <c r="G136" s="136"/>
      <c r="H136" s="136"/>
      <c r="I136" s="136"/>
      <c r="J136" s="136"/>
    </row>
    <row r="137" spans="1:11" ht="23.45" hidden="1">
      <c r="A137" s="2753" t="s">
        <v>1</v>
      </c>
      <c r="B137" s="2753"/>
      <c r="C137" s="2753"/>
      <c r="D137" s="2753"/>
      <c r="E137" s="2753"/>
      <c r="F137" s="2753"/>
      <c r="G137" s="2753"/>
      <c r="H137" s="2753"/>
      <c r="I137" s="2753"/>
      <c r="J137" s="2753"/>
    </row>
    <row r="138" spans="1:11" ht="15.6" hidden="1">
      <c r="A138" s="2737" t="s">
        <v>2</v>
      </c>
      <c r="B138" s="2737"/>
      <c r="C138" s="2737"/>
      <c r="D138" s="2737"/>
      <c r="E138" s="2737"/>
      <c r="F138" s="2737"/>
      <c r="G138" s="2737"/>
      <c r="H138" s="2737"/>
      <c r="I138" s="2737"/>
      <c r="J138" s="2737"/>
    </row>
    <row r="139" spans="1:11" hidden="1">
      <c r="A139" s="137" t="s">
        <v>3</v>
      </c>
      <c r="B139" s="1749" t="s">
        <v>4</v>
      </c>
      <c r="C139" s="137" t="s">
        <v>5</v>
      </c>
      <c r="D139" s="137" t="s">
        <v>6</v>
      </c>
      <c r="E139" s="137" t="s">
        <v>7</v>
      </c>
      <c r="F139" s="137" t="s">
        <v>8</v>
      </c>
      <c r="G139" s="137" t="s">
        <v>9</v>
      </c>
      <c r="H139" s="137" t="s">
        <v>10</v>
      </c>
      <c r="I139" s="137" t="s">
        <v>11</v>
      </c>
      <c r="J139" s="137" t="s">
        <v>12</v>
      </c>
    </row>
    <row r="140" spans="1:11" hidden="1">
      <c r="A140" s="150">
        <v>1</v>
      </c>
      <c r="B140" s="2538" t="s">
        <v>130</v>
      </c>
      <c r="C140" s="150" t="s">
        <v>131</v>
      </c>
      <c r="D140" s="150" t="s">
        <v>132</v>
      </c>
      <c r="E140" s="150" t="s">
        <v>39</v>
      </c>
      <c r="F140" s="151">
        <v>5000000</v>
      </c>
      <c r="G140" s="150" t="s">
        <v>43</v>
      </c>
      <c r="H140" s="150" t="s">
        <v>44</v>
      </c>
      <c r="I140" s="150" t="s">
        <v>36</v>
      </c>
      <c r="J140" s="137">
        <v>1</v>
      </c>
      <c r="K140" t="s">
        <v>133</v>
      </c>
    </row>
    <row r="141" spans="1:11" hidden="1">
      <c r="A141" s="150">
        <v>2</v>
      </c>
      <c r="B141" s="2538" t="s">
        <v>134</v>
      </c>
      <c r="C141" s="150" t="s">
        <v>135</v>
      </c>
      <c r="D141" s="150" t="s">
        <v>136</v>
      </c>
      <c r="E141" s="150" t="s">
        <v>39</v>
      </c>
      <c r="F141" s="151">
        <v>1200000</v>
      </c>
      <c r="G141" s="150" t="s">
        <v>43</v>
      </c>
      <c r="H141" s="150" t="s">
        <v>36</v>
      </c>
      <c r="I141" s="150" t="s">
        <v>36</v>
      </c>
      <c r="J141" s="137">
        <v>1</v>
      </c>
      <c r="K141" t="s">
        <v>32</v>
      </c>
    </row>
    <row r="142" spans="1:11" hidden="1">
      <c r="A142" s="150">
        <v>3</v>
      </c>
      <c r="B142" s="2538" t="s">
        <v>137</v>
      </c>
      <c r="C142" s="150" t="s">
        <v>138</v>
      </c>
      <c r="D142" s="150" t="s">
        <v>139</v>
      </c>
      <c r="E142" s="150" t="s">
        <v>39</v>
      </c>
      <c r="F142" s="151">
        <v>1200000</v>
      </c>
      <c r="G142" s="150" t="s">
        <v>140</v>
      </c>
      <c r="H142" s="150" t="s">
        <v>36</v>
      </c>
      <c r="I142" s="150" t="s">
        <v>36</v>
      </c>
      <c r="J142" s="137">
        <v>1</v>
      </c>
      <c r="K142" t="s">
        <v>133</v>
      </c>
    </row>
    <row r="143" spans="1:11" hidden="1">
      <c r="A143" s="150">
        <v>4</v>
      </c>
      <c r="B143" s="2538" t="s">
        <v>141</v>
      </c>
      <c r="C143" s="150" t="s">
        <v>138</v>
      </c>
      <c r="D143" s="150" t="s">
        <v>142</v>
      </c>
      <c r="E143" s="150" t="s">
        <v>39</v>
      </c>
      <c r="F143" s="151">
        <v>1350000</v>
      </c>
      <c r="G143" s="150" t="s">
        <v>40</v>
      </c>
      <c r="H143" s="150" t="s">
        <v>36</v>
      </c>
      <c r="I143" s="150" t="s">
        <v>36</v>
      </c>
      <c r="J143" s="137">
        <v>1</v>
      </c>
      <c r="K143" t="s">
        <v>133</v>
      </c>
    </row>
    <row r="144" spans="1:11" hidden="1">
      <c r="A144" s="150">
        <v>5</v>
      </c>
      <c r="B144" s="1749" t="s">
        <v>141</v>
      </c>
      <c r="C144" s="150" t="s">
        <v>138</v>
      </c>
      <c r="D144" s="150" t="s">
        <v>143</v>
      </c>
      <c r="E144" s="150" t="s">
        <v>39</v>
      </c>
      <c r="F144" s="151">
        <v>1200000</v>
      </c>
      <c r="G144" s="150" t="s">
        <v>144</v>
      </c>
      <c r="H144" s="150" t="s">
        <v>36</v>
      </c>
      <c r="I144" s="150" t="s">
        <v>36</v>
      </c>
      <c r="J144" s="137">
        <v>1</v>
      </c>
      <c r="K144" t="s">
        <v>133</v>
      </c>
    </row>
    <row r="145" spans="1:11" hidden="1">
      <c r="A145" s="150">
        <v>6</v>
      </c>
      <c r="B145" s="1749" t="s">
        <v>145</v>
      </c>
      <c r="C145" s="150" t="s">
        <v>146</v>
      </c>
      <c r="D145" s="150" t="s">
        <v>147</v>
      </c>
      <c r="E145" s="150" t="s">
        <v>148</v>
      </c>
      <c r="F145" s="151">
        <v>800000</v>
      </c>
      <c r="G145" s="150" t="s">
        <v>43</v>
      </c>
      <c r="H145" s="150" t="s">
        <v>44</v>
      </c>
      <c r="I145" s="150" t="s">
        <v>36</v>
      </c>
      <c r="J145" s="137">
        <v>1</v>
      </c>
      <c r="K145" t="s">
        <v>133</v>
      </c>
    </row>
    <row r="146" spans="1:11" hidden="1">
      <c r="A146" s="150">
        <v>7</v>
      </c>
      <c r="B146" s="1749" t="s">
        <v>145</v>
      </c>
      <c r="C146" s="150" t="s">
        <v>138</v>
      </c>
      <c r="D146" s="150" t="s">
        <v>149</v>
      </c>
      <c r="E146" s="150" t="s">
        <v>39</v>
      </c>
      <c r="F146" s="151">
        <v>1400000</v>
      </c>
      <c r="G146" s="150" t="s">
        <v>144</v>
      </c>
      <c r="H146" s="150" t="s">
        <v>36</v>
      </c>
      <c r="I146" s="150" t="s">
        <v>36</v>
      </c>
      <c r="J146" s="137">
        <v>1</v>
      </c>
      <c r="K146" t="s">
        <v>133</v>
      </c>
    </row>
    <row r="147" spans="1:11" hidden="1">
      <c r="A147" s="150">
        <v>8</v>
      </c>
      <c r="B147" s="1749" t="s">
        <v>150</v>
      </c>
      <c r="C147" s="150" t="s">
        <v>138</v>
      </c>
      <c r="D147" s="150" t="s">
        <v>151</v>
      </c>
      <c r="E147" s="150" t="s">
        <v>39</v>
      </c>
      <c r="F147" s="151">
        <v>850000</v>
      </c>
      <c r="G147" s="150" t="s">
        <v>43</v>
      </c>
      <c r="H147" s="150" t="s">
        <v>36</v>
      </c>
      <c r="I147" s="150" t="s">
        <v>36</v>
      </c>
      <c r="J147" s="137">
        <v>1</v>
      </c>
      <c r="K147" t="s">
        <v>133</v>
      </c>
    </row>
    <row r="148" spans="1:11" hidden="1">
      <c r="A148" s="137">
        <v>9</v>
      </c>
      <c r="B148" s="1749" t="s">
        <v>152</v>
      </c>
      <c r="C148" s="137" t="s">
        <v>138</v>
      </c>
      <c r="D148" s="137" t="s">
        <v>153</v>
      </c>
      <c r="E148" s="137" t="s">
        <v>39</v>
      </c>
      <c r="F148" s="151">
        <v>1200000</v>
      </c>
      <c r="G148" s="137" t="s">
        <v>144</v>
      </c>
      <c r="H148" s="137" t="s">
        <v>36</v>
      </c>
      <c r="I148" s="137" t="s">
        <v>36</v>
      </c>
      <c r="J148" s="137">
        <v>1</v>
      </c>
      <c r="K148" t="s">
        <v>133</v>
      </c>
    </row>
    <row r="149" spans="1:11" hidden="1">
      <c r="A149" s="137">
        <v>10</v>
      </c>
      <c r="B149" s="1749" t="s">
        <v>154</v>
      </c>
      <c r="C149" s="137" t="s">
        <v>138</v>
      </c>
      <c r="D149" s="137" t="s">
        <v>155</v>
      </c>
      <c r="E149" s="137" t="s">
        <v>39</v>
      </c>
      <c r="F149" s="151">
        <v>720000</v>
      </c>
      <c r="G149" s="137" t="s">
        <v>43</v>
      </c>
      <c r="H149" s="137" t="s">
        <v>36</v>
      </c>
      <c r="I149" s="137" t="s">
        <v>36</v>
      </c>
      <c r="J149" s="137">
        <v>1</v>
      </c>
      <c r="K149" t="s">
        <v>133</v>
      </c>
    </row>
    <row r="150" spans="1:11" hidden="1">
      <c r="A150" s="137">
        <v>11</v>
      </c>
      <c r="B150" s="1749" t="s">
        <v>156</v>
      </c>
      <c r="C150" s="137" t="s">
        <v>138</v>
      </c>
      <c r="D150" s="137" t="s">
        <v>157</v>
      </c>
      <c r="E150" s="137" t="s">
        <v>39</v>
      </c>
      <c r="F150" s="151">
        <v>750000</v>
      </c>
      <c r="G150" s="137" t="s">
        <v>43</v>
      </c>
      <c r="H150" s="137" t="s">
        <v>36</v>
      </c>
      <c r="I150" s="137" t="s">
        <v>36</v>
      </c>
      <c r="J150" s="137">
        <v>1</v>
      </c>
      <c r="K150" t="s">
        <v>133</v>
      </c>
    </row>
    <row r="151" spans="1:11" hidden="1">
      <c r="A151" s="137">
        <v>12</v>
      </c>
      <c r="B151" s="1749" t="s">
        <v>158</v>
      </c>
      <c r="C151" s="137" t="s">
        <v>138</v>
      </c>
      <c r="D151" s="137" t="s">
        <v>159</v>
      </c>
      <c r="E151" s="137" t="s">
        <v>39</v>
      </c>
      <c r="F151" s="151">
        <v>1330000</v>
      </c>
      <c r="G151" s="137" t="s">
        <v>43</v>
      </c>
      <c r="H151" s="137" t="s">
        <v>36</v>
      </c>
      <c r="I151" s="137" t="s">
        <v>36</v>
      </c>
      <c r="J151" s="137">
        <v>1</v>
      </c>
      <c r="K151" t="s">
        <v>133</v>
      </c>
    </row>
    <row r="152" spans="1:11" hidden="1">
      <c r="A152" s="137">
        <v>13</v>
      </c>
      <c r="B152" s="1749" t="s">
        <v>160</v>
      </c>
      <c r="C152" s="137" t="s">
        <v>146</v>
      </c>
      <c r="D152" s="137" t="s">
        <v>161</v>
      </c>
      <c r="E152" s="137" t="s">
        <v>148</v>
      </c>
      <c r="F152" s="151">
        <v>900000</v>
      </c>
      <c r="G152" s="137" t="s">
        <v>43</v>
      </c>
      <c r="H152" s="137" t="s">
        <v>36</v>
      </c>
      <c r="I152" s="137" t="s">
        <v>36</v>
      </c>
      <c r="J152" s="137">
        <v>1</v>
      </c>
      <c r="K152" t="s">
        <v>133</v>
      </c>
    </row>
    <row r="153" spans="1:11" hidden="1">
      <c r="A153" s="137">
        <v>14</v>
      </c>
      <c r="B153" s="1749" t="s">
        <v>158</v>
      </c>
      <c r="C153" s="137" t="s">
        <v>138</v>
      </c>
      <c r="D153" s="137" t="s">
        <v>162</v>
      </c>
      <c r="E153" s="137" t="s">
        <v>39</v>
      </c>
      <c r="F153" s="151">
        <v>1030000</v>
      </c>
      <c r="G153" s="137" t="s">
        <v>163</v>
      </c>
      <c r="H153" s="137" t="s">
        <v>36</v>
      </c>
      <c r="I153" s="137" t="s">
        <v>36</v>
      </c>
      <c r="J153" s="137">
        <v>1</v>
      </c>
      <c r="K153" t="s">
        <v>133</v>
      </c>
    </row>
    <row r="154" spans="1:11" hidden="1">
      <c r="A154" s="137">
        <v>15</v>
      </c>
      <c r="B154" s="1749" t="s">
        <v>158</v>
      </c>
      <c r="C154" s="137" t="s">
        <v>138</v>
      </c>
      <c r="D154" s="137" t="s">
        <v>164</v>
      </c>
      <c r="E154" s="137" t="s">
        <v>39</v>
      </c>
      <c r="F154" s="151">
        <v>1200000</v>
      </c>
      <c r="G154" s="137" t="s">
        <v>43</v>
      </c>
      <c r="H154" s="137" t="s">
        <v>44</v>
      </c>
      <c r="I154" s="137" t="s">
        <v>36</v>
      </c>
      <c r="J154" s="137">
        <v>1</v>
      </c>
      <c r="K154" t="s">
        <v>133</v>
      </c>
    </row>
    <row r="155" spans="1:11" hidden="1">
      <c r="A155" s="137">
        <v>16</v>
      </c>
      <c r="B155" s="1749" t="s">
        <v>158</v>
      </c>
      <c r="C155" s="137" t="s">
        <v>138</v>
      </c>
      <c r="D155" s="137" t="s">
        <v>165</v>
      </c>
      <c r="E155" s="137" t="s">
        <v>39</v>
      </c>
      <c r="F155" s="151">
        <v>1100000</v>
      </c>
      <c r="G155" s="137" t="s">
        <v>43</v>
      </c>
      <c r="H155" s="137" t="s">
        <v>44</v>
      </c>
      <c r="I155" s="137" t="s">
        <v>36</v>
      </c>
      <c r="J155" s="137">
        <v>1</v>
      </c>
      <c r="K155" t="s">
        <v>133</v>
      </c>
    </row>
    <row r="156" spans="1:11" hidden="1">
      <c r="A156" s="137">
        <v>17</v>
      </c>
      <c r="B156" s="1749"/>
      <c r="C156" s="137"/>
      <c r="D156" s="137"/>
      <c r="E156" s="137"/>
      <c r="F156" s="138"/>
      <c r="G156" s="137"/>
      <c r="H156" s="137"/>
      <c r="I156" s="137"/>
      <c r="J156" s="137"/>
    </row>
    <row r="157" spans="1:11" hidden="1">
      <c r="A157" s="137">
        <v>18</v>
      </c>
      <c r="B157" s="1749"/>
      <c r="C157" s="137"/>
      <c r="D157" s="137"/>
      <c r="E157" s="137"/>
      <c r="F157" s="138"/>
      <c r="G157" s="137"/>
      <c r="H157" s="137"/>
      <c r="I157" s="137"/>
      <c r="J157" s="137"/>
    </row>
    <row r="158" spans="1:11" hidden="1">
      <c r="A158" s="137">
        <v>19</v>
      </c>
      <c r="B158" s="1749"/>
      <c r="C158" s="137"/>
      <c r="D158" s="137"/>
      <c r="E158" s="137"/>
      <c r="F158" s="138"/>
      <c r="G158" s="137"/>
      <c r="H158" s="137"/>
      <c r="I158" s="137"/>
      <c r="J158" s="137"/>
    </row>
    <row r="159" spans="1:11" hidden="1">
      <c r="A159" s="137">
        <v>20</v>
      </c>
      <c r="B159" s="1749"/>
      <c r="C159" s="137"/>
      <c r="D159" s="137"/>
      <c r="E159" s="137"/>
      <c r="F159" s="138"/>
      <c r="G159" s="137"/>
      <c r="H159" s="137"/>
      <c r="I159" s="137"/>
      <c r="J159" s="137"/>
    </row>
    <row r="160" spans="1:11" ht="21" hidden="1">
      <c r="A160" s="137"/>
      <c r="B160" s="1749"/>
      <c r="C160" s="137"/>
      <c r="D160" s="137"/>
      <c r="E160" s="137"/>
      <c r="F160" s="138"/>
      <c r="G160" s="137"/>
      <c r="H160" s="137"/>
      <c r="I160" s="137"/>
      <c r="J160" s="139">
        <f>SUM(J140:J159)</f>
        <v>16</v>
      </c>
    </row>
    <row r="161" spans="1:11" hidden="1">
      <c r="A161" s="2744" t="s">
        <v>33</v>
      </c>
      <c r="B161" s="2744"/>
      <c r="C161" s="2744"/>
      <c r="D161" s="2744"/>
      <c r="E161" s="2744"/>
      <c r="F161" s="2744"/>
      <c r="G161" s="2744"/>
      <c r="H161" s="2744"/>
      <c r="I161" s="2744"/>
      <c r="J161" s="2744"/>
    </row>
    <row r="162" spans="1:11" hidden="1">
      <c r="A162" s="137" t="s">
        <v>3</v>
      </c>
      <c r="B162" s="1749" t="s">
        <v>4</v>
      </c>
      <c r="C162" s="137" t="s">
        <v>5</v>
      </c>
      <c r="D162" s="137" t="s">
        <v>6</v>
      </c>
      <c r="E162" s="137" t="s">
        <v>7</v>
      </c>
      <c r="F162" s="137" t="s">
        <v>8</v>
      </c>
      <c r="G162" s="137" t="s">
        <v>9</v>
      </c>
      <c r="H162" s="137" t="s">
        <v>10</v>
      </c>
      <c r="I162" s="137" t="s">
        <v>11</v>
      </c>
      <c r="J162" s="137" t="s">
        <v>12</v>
      </c>
    </row>
    <row r="163" spans="1:11" hidden="1">
      <c r="A163" s="152">
        <v>1</v>
      </c>
      <c r="B163" s="2539" t="s">
        <v>166</v>
      </c>
      <c r="C163" s="152" t="s">
        <v>37</v>
      </c>
      <c r="D163" s="152" t="s">
        <v>167</v>
      </c>
      <c r="E163" s="152" t="s">
        <v>125</v>
      </c>
      <c r="F163" s="152">
        <v>275000000</v>
      </c>
      <c r="G163" s="152" t="s">
        <v>168</v>
      </c>
      <c r="H163" s="152" t="s">
        <v>36</v>
      </c>
      <c r="I163" s="152" t="s">
        <v>36</v>
      </c>
      <c r="J163" s="200">
        <v>1</v>
      </c>
      <c r="K163" s="201" t="s">
        <v>27</v>
      </c>
    </row>
    <row r="164" spans="1:11" hidden="1">
      <c r="A164" s="152">
        <v>2</v>
      </c>
      <c r="B164" s="2539" t="s">
        <v>166</v>
      </c>
      <c r="C164" s="152" t="s">
        <v>37</v>
      </c>
      <c r="D164" s="152" t="s">
        <v>169</v>
      </c>
      <c r="E164" s="152" t="s">
        <v>125</v>
      </c>
      <c r="F164" s="152">
        <v>260000000</v>
      </c>
      <c r="G164" s="152" t="s">
        <v>168</v>
      </c>
      <c r="H164" s="152" t="s">
        <v>36</v>
      </c>
      <c r="I164" s="152" t="s">
        <v>36</v>
      </c>
      <c r="J164" s="200">
        <v>1</v>
      </c>
      <c r="K164" s="201" t="s">
        <v>27</v>
      </c>
    </row>
    <row r="165" spans="1:11" hidden="1">
      <c r="A165" s="152">
        <v>3</v>
      </c>
      <c r="B165" s="2539" t="s">
        <v>166</v>
      </c>
      <c r="C165" s="152" t="s">
        <v>37</v>
      </c>
      <c r="D165" s="152" t="s">
        <v>170</v>
      </c>
      <c r="E165" s="152" t="s">
        <v>125</v>
      </c>
      <c r="F165" s="152">
        <v>260000000</v>
      </c>
      <c r="G165" s="152" t="s">
        <v>168</v>
      </c>
      <c r="H165" s="152" t="s">
        <v>36</v>
      </c>
      <c r="I165" s="152" t="s">
        <v>36</v>
      </c>
      <c r="J165" s="200">
        <v>1</v>
      </c>
      <c r="K165" s="201" t="s">
        <v>32</v>
      </c>
    </row>
    <row r="166" spans="1:11" hidden="1">
      <c r="A166" s="152">
        <v>4</v>
      </c>
      <c r="B166" s="2539" t="s">
        <v>166</v>
      </c>
      <c r="C166" s="152" t="s">
        <v>37</v>
      </c>
      <c r="D166" s="152" t="s">
        <v>171</v>
      </c>
      <c r="E166" s="152" t="s">
        <v>125</v>
      </c>
      <c r="F166" s="152">
        <v>260000000</v>
      </c>
      <c r="G166" s="152" t="s">
        <v>168</v>
      </c>
      <c r="H166" s="152" t="s">
        <v>36</v>
      </c>
      <c r="I166" s="152" t="s">
        <v>36</v>
      </c>
      <c r="J166" s="200">
        <v>1</v>
      </c>
      <c r="K166" s="201" t="s">
        <v>32</v>
      </c>
    </row>
    <row r="167" spans="1:11" hidden="1">
      <c r="A167" s="152">
        <v>5</v>
      </c>
      <c r="B167" s="2539" t="s">
        <v>172</v>
      </c>
      <c r="C167" s="152" t="s">
        <v>138</v>
      </c>
      <c r="D167" s="152" t="s">
        <v>173</v>
      </c>
      <c r="E167" s="152" t="s">
        <v>78</v>
      </c>
      <c r="F167" s="152">
        <v>200000000</v>
      </c>
      <c r="G167" s="152" t="s">
        <v>43</v>
      </c>
      <c r="H167" s="152" t="s">
        <v>44</v>
      </c>
      <c r="I167" s="152" t="s">
        <v>36</v>
      </c>
      <c r="J167" s="200">
        <v>1</v>
      </c>
      <c r="K167" s="11" t="s">
        <v>133</v>
      </c>
    </row>
    <row r="168" spans="1:11" hidden="1">
      <c r="A168" s="152">
        <v>6</v>
      </c>
      <c r="B168" s="541" t="s">
        <v>172</v>
      </c>
      <c r="C168" s="152" t="s">
        <v>138</v>
      </c>
      <c r="D168" s="152" t="s">
        <v>174</v>
      </c>
      <c r="E168" s="152" t="s">
        <v>78</v>
      </c>
      <c r="F168" s="152">
        <v>160000000</v>
      </c>
      <c r="G168" s="152" t="s">
        <v>43</v>
      </c>
      <c r="H168" s="152" t="s">
        <v>44</v>
      </c>
      <c r="I168" s="152" t="s">
        <v>36</v>
      </c>
      <c r="J168" s="140">
        <v>1</v>
      </c>
      <c r="K168" t="s">
        <v>133</v>
      </c>
    </row>
    <row r="169" spans="1:11" hidden="1">
      <c r="A169" s="152">
        <v>7</v>
      </c>
      <c r="B169" s="541" t="s">
        <v>172</v>
      </c>
      <c r="C169" s="152" t="s">
        <v>175</v>
      </c>
      <c r="D169" s="152" t="s">
        <v>176</v>
      </c>
      <c r="E169" s="152" t="s">
        <v>78</v>
      </c>
      <c r="F169" s="152">
        <v>100000000</v>
      </c>
      <c r="G169" s="152" t="s">
        <v>43</v>
      </c>
      <c r="H169" s="152" t="s">
        <v>44</v>
      </c>
      <c r="I169" s="152" t="s">
        <v>36</v>
      </c>
      <c r="J169" s="140">
        <v>1</v>
      </c>
      <c r="K169" t="s">
        <v>133</v>
      </c>
    </row>
    <row r="170" spans="1:11" hidden="1">
      <c r="A170" s="152">
        <v>8</v>
      </c>
      <c r="B170" s="541" t="s">
        <v>177</v>
      </c>
      <c r="C170" s="152" t="s">
        <v>135</v>
      </c>
      <c r="D170" s="152" t="s">
        <v>178</v>
      </c>
      <c r="E170" s="152" t="s">
        <v>78</v>
      </c>
      <c r="F170" s="152">
        <v>230000000</v>
      </c>
      <c r="G170" s="152" t="s">
        <v>43</v>
      </c>
      <c r="H170" s="152" t="s">
        <v>44</v>
      </c>
      <c r="I170" s="152" t="s">
        <v>36</v>
      </c>
      <c r="J170" s="140">
        <v>1</v>
      </c>
      <c r="K170" t="s">
        <v>133</v>
      </c>
    </row>
    <row r="171" spans="1:11" hidden="1">
      <c r="A171" s="152">
        <v>9</v>
      </c>
      <c r="B171" s="541" t="s">
        <v>179</v>
      </c>
      <c r="C171" s="152" t="s">
        <v>138</v>
      </c>
      <c r="D171" s="152" t="s">
        <v>139</v>
      </c>
      <c r="E171" s="152" t="s">
        <v>180</v>
      </c>
      <c r="F171" s="152">
        <v>300000000</v>
      </c>
      <c r="G171" s="152" t="s">
        <v>140</v>
      </c>
      <c r="H171" s="152" t="s">
        <v>44</v>
      </c>
      <c r="I171" s="152" t="s">
        <v>36</v>
      </c>
      <c r="J171" s="140">
        <v>1</v>
      </c>
      <c r="K171" t="s">
        <v>181</v>
      </c>
    </row>
    <row r="172" spans="1:11" hidden="1">
      <c r="A172" s="154">
        <v>10</v>
      </c>
      <c r="B172" s="583" t="s">
        <v>182</v>
      </c>
      <c r="C172" s="154" t="s">
        <v>138</v>
      </c>
      <c r="D172" s="154" t="s">
        <v>183</v>
      </c>
      <c r="E172" s="154" t="s">
        <v>180</v>
      </c>
      <c r="F172" s="154">
        <v>260000000</v>
      </c>
      <c r="G172" s="154" t="s">
        <v>43</v>
      </c>
      <c r="H172" s="154" t="s">
        <v>36</v>
      </c>
      <c r="I172" s="154" t="s">
        <v>36</v>
      </c>
      <c r="J172" s="143">
        <v>1</v>
      </c>
      <c r="K172" t="s">
        <v>181</v>
      </c>
    </row>
    <row r="173" spans="1:11" s="11" customFormat="1" hidden="1">
      <c r="A173" s="156">
        <v>11</v>
      </c>
      <c r="B173" s="581" t="s">
        <v>184</v>
      </c>
      <c r="C173" s="156" t="s">
        <v>185</v>
      </c>
      <c r="D173" s="156" t="s">
        <v>151</v>
      </c>
      <c r="E173" s="156" t="s">
        <v>39</v>
      </c>
      <c r="F173" s="156"/>
      <c r="G173" s="156" t="s">
        <v>43</v>
      </c>
      <c r="H173" s="156" t="s">
        <v>36</v>
      </c>
      <c r="I173" s="156" t="s">
        <v>36</v>
      </c>
      <c r="J173" s="144">
        <v>1</v>
      </c>
      <c r="K173" s="11" t="s">
        <v>181</v>
      </c>
    </row>
    <row r="174" spans="1:11" ht="20.45" hidden="1">
      <c r="A174" s="141"/>
      <c r="B174" s="859"/>
      <c r="C174" s="141"/>
      <c r="D174" s="141"/>
      <c r="E174" s="141"/>
      <c r="F174" s="141"/>
      <c r="G174" s="141"/>
      <c r="H174" s="141"/>
      <c r="I174" s="141"/>
      <c r="J174" s="142">
        <f>SUM(J163:J173)</f>
        <v>11</v>
      </c>
    </row>
    <row r="175" spans="1:11" hidden="1"/>
    <row r="176" spans="1:11" ht="23.45" hidden="1">
      <c r="A176" s="2753" t="s">
        <v>47</v>
      </c>
      <c r="B176" s="2753"/>
      <c r="C176" s="2753"/>
      <c r="D176" s="2753"/>
      <c r="E176" s="2753"/>
      <c r="F176" s="2753"/>
      <c r="G176" s="2753"/>
      <c r="H176" s="2753"/>
      <c r="I176" s="2753"/>
      <c r="J176" s="2753"/>
    </row>
    <row r="177" spans="1:11" ht="15.6" hidden="1">
      <c r="A177" s="2737" t="s">
        <v>2</v>
      </c>
      <c r="B177" s="2737"/>
      <c r="C177" s="2737"/>
      <c r="D177" s="2737"/>
      <c r="E177" s="2737"/>
      <c r="F177" s="2737"/>
      <c r="G177" s="2737"/>
      <c r="H177" s="2737"/>
      <c r="I177" s="2737"/>
      <c r="J177" s="2737"/>
    </row>
    <row r="178" spans="1:11" hidden="1">
      <c r="A178" s="137" t="s">
        <v>3</v>
      </c>
      <c r="B178" s="1749" t="s">
        <v>4</v>
      </c>
      <c r="C178" s="137" t="s">
        <v>5</v>
      </c>
      <c r="D178" s="137" t="s">
        <v>6</v>
      </c>
      <c r="E178" s="137" t="s">
        <v>7</v>
      </c>
      <c r="F178" s="137" t="s">
        <v>8</v>
      </c>
      <c r="G178" s="137" t="s">
        <v>9</v>
      </c>
      <c r="H178" s="137" t="s">
        <v>10</v>
      </c>
      <c r="I178" s="137" t="s">
        <v>11</v>
      </c>
      <c r="J178" s="137" t="s">
        <v>12</v>
      </c>
    </row>
    <row r="179" spans="1:11" hidden="1">
      <c r="A179" s="150">
        <v>1</v>
      </c>
      <c r="B179" s="2538" t="s">
        <v>186</v>
      </c>
      <c r="C179" s="150" t="s">
        <v>138</v>
      </c>
      <c r="D179" s="150" t="s">
        <v>187</v>
      </c>
      <c r="E179" s="150" t="s">
        <v>125</v>
      </c>
      <c r="F179" s="151">
        <v>1200000</v>
      </c>
      <c r="G179" s="150" t="s">
        <v>188</v>
      </c>
      <c r="H179" s="150" t="s">
        <v>36</v>
      </c>
      <c r="I179" s="150" t="s">
        <v>36</v>
      </c>
      <c r="J179" s="264">
        <v>1</v>
      </c>
    </row>
    <row r="180" spans="1:11" hidden="1">
      <c r="A180" s="150">
        <v>2</v>
      </c>
      <c r="B180" s="2538" t="s">
        <v>166</v>
      </c>
      <c r="C180" s="150" t="s">
        <v>138</v>
      </c>
      <c r="D180" s="150" t="s">
        <v>189</v>
      </c>
      <c r="E180" s="150" t="s">
        <v>125</v>
      </c>
      <c r="F180" s="150">
        <v>1200000</v>
      </c>
      <c r="G180" s="150" t="s">
        <v>108</v>
      </c>
      <c r="H180" s="150" t="s">
        <v>36</v>
      </c>
      <c r="I180" s="150" t="s">
        <v>36</v>
      </c>
      <c r="J180" s="264">
        <v>1</v>
      </c>
    </row>
    <row r="181" spans="1:11" hidden="1">
      <c r="A181" s="150">
        <v>3</v>
      </c>
      <c r="B181" s="2538" t="s">
        <v>130</v>
      </c>
      <c r="C181" s="150" t="s">
        <v>138</v>
      </c>
      <c r="D181" s="150" t="s">
        <v>190</v>
      </c>
      <c r="E181" s="150" t="s">
        <v>125</v>
      </c>
      <c r="F181" s="150">
        <v>1200000</v>
      </c>
      <c r="G181" s="150" t="s">
        <v>168</v>
      </c>
      <c r="H181" s="150" t="s">
        <v>36</v>
      </c>
      <c r="I181" s="150" t="s">
        <v>36</v>
      </c>
      <c r="J181" s="264">
        <v>1</v>
      </c>
      <c r="K181" t="s">
        <v>133</v>
      </c>
    </row>
    <row r="182" spans="1:11" hidden="1">
      <c r="A182" s="150">
        <v>4</v>
      </c>
      <c r="B182" s="1749" t="s">
        <v>191</v>
      </c>
      <c r="C182" s="150" t="s">
        <v>138</v>
      </c>
      <c r="D182" s="150" t="s">
        <v>192</v>
      </c>
      <c r="E182" s="150" t="s">
        <v>39</v>
      </c>
      <c r="F182" s="150">
        <v>1320000</v>
      </c>
      <c r="G182" s="150" t="s">
        <v>108</v>
      </c>
      <c r="H182" s="150" t="s">
        <v>36</v>
      </c>
      <c r="I182" s="150" t="s">
        <v>36</v>
      </c>
      <c r="J182" s="264">
        <v>1</v>
      </c>
      <c r="K182" t="s">
        <v>133</v>
      </c>
    </row>
    <row r="183" spans="1:11" hidden="1">
      <c r="A183" s="150">
        <v>5</v>
      </c>
      <c r="B183" s="1749" t="s">
        <v>172</v>
      </c>
      <c r="C183" s="150" t="s">
        <v>138</v>
      </c>
      <c r="D183" s="150" t="s">
        <v>193</v>
      </c>
      <c r="E183" s="150" t="s">
        <v>194</v>
      </c>
      <c r="F183" s="150">
        <v>2000000</v>
      </c>
      <c r="G183" s="150" t="s">
        <v>43</v>
      </c>
      <c r="H183" s="150" t="s">
        <v>36</v>
      </c>
      <c r="I183" s="150" t="s">
        <v>36</v>
      </c>
      <c r="J183" s="264">
        <v>1</v>
      </c>
      <c r="K183" t="s">
        <v>32</v>
      </c>
    </row>
    <row r="184" spans="1:11" hidden="1">
      <c r="A184" s="150">
        <v>6</v>
      </c>
      <c r="B184" s="1749" t="s">
        <v>195</v>
      </c>
      <c r="C184" s="150" t="s">
        <v>138</v>
      </c>
      <c r="D184" s="150" t="s">
        <v>196</v>
      </c>
      <c r="E184" s="150" t="s">
        <v>39</v>
      </c>
      <c r="F184" s="150">
        <v>750000</v>
      </c>
      <c r="G184" s="150" t="s">
        <v>197</v>
      </c>
      <c r="H184" s="150" t="s">
        <v>36</v>
      </c>
      <c r="I184" s="150" t="s">
        <v>36</v>
      </c>
      <c r="J184" s="264">
        <v>1</v>
      </c>
      <c r="K184" t="s">
        <v>133</v>
      </c>
    </row>
    <row r="185" spans="1:11" hidden="1">
      <c r="A185" s="137">
        <v>7</v>
      </c>
      <c r="B185" s="1749" t="s">
        <v>198</v>
      </c>
      <c r="C185" s="150" t="s">
        <v>138</v>
      </c>
      <c r="D185" s="150" t="s">
        <v>199</v>
      </c>
      <c r="E185" s="150" t="s">
        <v>39</v>
      </c>
      <c r="F185" s="150">
        <v>1100000</v>
      </c>
      <c r="G185" s="150" t="s">
        <v>200</v>
      </c>
      <c r="H185" s="150" t="s">
        <v>36</v>
      </c>
      <c r="I185" s="150" t="s">
        <v>36</v>
      </c>
      <c r="J185" s="264">
        <v>1</v>
      </c>
      <c r="K185" t="s">
        <v>133</v>
      </c>
    </row>
    <row r="186" spans="1:11" hidden="1">
      <c r="A186" s="137">
        <v>8</v>
      </c>
      <c r="B186" s="1749" t="s">
        <v>184</v>
      </c>
      <c r="C186" s="150" t="s">
        <v>138</v>
      </c>
      <c r="D186" s="150" t="s">
        <v>201</v>
      </c>
      <c r="E186" s="150" t="s">
        <v>39</v>
      </c>
      <c r="F186" s="150">
        <v>1050000</v>
      </c>
      <c r="G186" s="150" t="s">
        <v>43</v>
      </c>
      <c r="H186" s="150" t="s">
        <v>36</v>
      </c>
      <c r="I186" s="150" t="s">
        <v>36</v>
      </c>
      <c r="J186" s="264">
        <v>1</v>
      </c>
      <c r="K186" t="s">
        <v>133</v>
      </c>
    </row>
    <row r="187" spans="1:11" hidden="1">
      <c r="A187" s="137">
        <v>9</v>
      </c>
      <c r="B187" s="1749" t="s">
        <v>184</v>
      </c>
      <c r="C187" s="137" t="s">
        <v>138</v>
      </c>
      <c r="D187" s="137" t="s">
        <v>202</v>
      </c>
      <c r="E187" s="137" t="s">
        <v>39</v>
      </c>
      <c r="F187" s="150">
        <v>870000</v>
      </c>
      <c r="G187" s="137" t="s">
        <v>203</v>
      </c>
      <c r="H187" s="137" t="s">
        <v>36</v>
      </c>
      <c r="I187" s="137" t="s">
        <v>36</v>
      </c>
      <c r="J187" s="137">
        <v>1</v>
      </c>
      <c r="K187" t="s">
        <v>133</v>
      </c>
    </row>
    <row r="188" spans="1:11" hidden="1">
      <c r="A188" s="137">
        <v>10</v>
      </c>
      <c r="B188" s="1749"/>
      <c r="C188" s="137"/>
      <c r="D188" s="137"/>
      <c r="E188" s="137"/>
      <c r="F188" s="137"/>
      <c r="G188" s="137"/>
      <c r="H188" s="137"/>
      <c r="I188" s="137"/>
      <c r="J188" s="137"/>
    </row>
    <row r="189" spans="1:11" hidden="1">
      <c r="A189" s="137">
        <v>11</v>
      </c>
      <c r="B189" s="1749"/>
      <c r="C189" s="137"/>
      <c r="D189" s="137"/>
      <c r="E189" s="137"/>
      <c r="F189" s="137"/>
      <c r="G189" s="137"/>
      <c r="H189" s="137"/>
      <c r="I189" s="137"/>
      <c r="J189" s="137"/>
    </row>
    <row r="190" spans="1:11" hidden="1">
      <c r="A190" s="137">
        <v>12</v>
      </c>
      <c r="B190" s="1749"/>
      <c r="C190" s="137"/>
      <c r="D190" s="137"/>
      <c r="E190" s="137"/>
      <c r="F190" s="137"/>
      <c r="G190" s="137"/>
      <c r="H190" s="137"/>
      <c r="I190" s="137"/>
      <c r="J190" s="137"/>
    </row>
    <row r="191" spans="1:11" hidden="1">
      <c r="A191" s="137">
        <v>13</v>
      </c>
      <c r="B191" s="1749"/>
      <c r="C191" s="137"/>
      <c r="D191" s="137"/>
      <c r="E191" s="137"/>
      <c r="F191" s="137"/>
      <c r="G191" s="137"/>
      <c r="H191" s="137"/>
      <c r="I191" s="137"/>
      <c r="J191" s="137"/>
    </row>
    <row r="192" spans="1:11" hidden="1">
      <c r="A192" s="137">
        <v>14</v>
      </c>
      <c r="B192" s="1749"/>
      <c r="C192" s="137"/>
      <c r="D192" s="137"/>
      <c r="E192" s="137"/>
      <c r="F192" s="137"/>
      <c r="G192" s="137"/>
      <c r="H192" s="137"/>
      <c r="I192" s="137"/>
      <c r="J192" s="137"/>
    </row>
    <row r="193" spans="1:11" hidden="1">
      <c r="A193" s="137">
        <v>15</v>
      </c>
      <c r="B193" s="1749"/>
      <c r="C193" s="137"/>
      <c r="D193" s="137"/>
      <c r="E193" s="137"/>
      <c r="F193" s="137"/>
      <c r="G193" s="137"/>
      <c r="H193" s="137"/>
      <c r="I193" s="137"/>
      <c r="J193" s="137"/>
    </row>
    <row r="194" spans="1:11" hidden="1">
      <c r="A194" s="137">
        <v>16</v>
      </c>
      <c r="B194" s="1749"/>
      <c r="C194" s="137"/>
      <c r="D194" s="137"/>
      <c r="E194" s="137"/>
      <c r="F194" s="137"/>
      <c r="G194" s="137"/>
      <c r="H194" s="137"/>
      <c r="I194" s="137"/>
      <c r="J194" s="137"/>
    </row>
    <row r="195" spans="1:11" hidden="1">
      <c r="A195" s="137">
        <v>17</v>
      </c>
      <c r="B195" s="1749"/>
      <c r="C195" s="137"/>
      <c r="D195" s="137"/>
      <c r="E195" s="137"/>
      <c r="F195" s="137"/>
      <c r="G195" s="137"/>
      <c r="H195" s="137"/>
      <c r="I195" s="137"/>
      <c r="J195" s="137"/>
    </row>
    <row r="196" spans="1:11" hidden="1">
      <c r="A196" s="137">
        <v>18</v>
      </c>
      <c r="B196" s="1749"/>
      <c r="C196" s="137"/>
      <c r="D196" s="137"/>
      <c r="E196" s="137"/>
      <c r="F196" s="137"/>
      <c r="G196" s="137"/>
      <c r="H196" s="137"/>
      <c r="I196" s="137"/>
      <c r="J196" s="137"/>
    </row>
    <row r="197" spans="1:11" hidden="1">
      <c r="A197" s="137">
        <v>19</v>
      </c>
      <c r="B197" s="1749"/>
      <c r="C197" s="137"/>
      <c r="D197" s="137"/>
      <c r="E197" s="137"/>
      <c r="F197" s="137"/>
      <c r="G197" s="137"/>
      <c r="H197" s="137"/>
      <c r="I197" s="137"/>
      <c r="J197" s="137"/>
    </row>
    <row r="198" spans="1:11" hidden="1">
      <c r="A198" s="137">
        <v>20</v>
      </c>
      <c r="B198" s="1749"/>
      <c r="C198" s="137"/>
      <c r="D198" s="137"/>
      <c r="E198" s="137"/>
      <c r="F198" s="137"/>
      <c r="G198" s="137"/>
      <c r="H198" s="137"/>
      <c r="I198" s="137"/>
      <c r="J198" s="137"/>
    </row>
    <row r="199" spans="1:11" ht="21" hidden="1">
      <c r="A199" s="137"/>
      <c r="B199" s="1749"/>
      <c r="C199" s="137"/>
      <c r="D199" s="137"/>
      <c r="E199" s="137"/>
      <c r="F199" s="137"/>
      <c r="G199" s="137"/>
      <c r="H199" s="137"/>
      <c r="I199" s="137"/>
      <c r="J199" s="139">
        <f>SUM(J179:J198)</f>
        <v>9</v>
      </c>
    </row>
    <row r="200" spans="1:11" hidden="1">
      <c r="A200" s="2744" t="s">
        <v>33</v>
      </c>
      <c r="B200" s="2744"/>
      <c r="C200" s="2744"/>
      <c r="D200" s="2744"/>
      <c r="E200" s="2744"/>
      <c r="F200" s="2744"/>
      <c r="G200" s="2744"/>
      <c r="H200" s="2744"/>
      <c r="I200" s="2744"/>
      <c r="J200" s="2744"/>
    </row>
    <row r="201" spans="1:11" hidden="1">
      <c r="A201" s="137" t="s">
        <v>3</v>
      </c>
      <c r="B201" s="1749" t="s">
        <v>4</v>
      </c>
      <c r="C201" s="137" t="s">
        <v>5</v>
      </c>
      <c r="D201" s="137" t="s">
        <v>6</v>
      </c>
      <c r="E201" s="137" t="s">
        <v>7</v>
      </c>
      <c r="F201" s="137" t="s">
        <v>8</v>
      </c>
      <c r="G201" s="137" t="s">
        <v>9</v>
      </c>
      <c r="H201" s="137" t="s">
        <v>10</v>
      </c>
      <c r="I201" s="137" t="s">
        <v>11</v>
      </c>
      <c r="J201" s="137" t="s">
        <v>12</v>
      </c>
    </row>
    <row r="202" spans="1:11" hidden="1">
      <c r="A202" s="152">
        <v>1</v>
      </c>
      <c r="B202" s="2539" t="s">
        <v>166</v>
      </c>
      <c r="C202" s="152" t="s">
        <v>138</v>
      </c>
      <c r="D202" s="152" t="s">
        <v>204</v>
      </c>
      <c r="E202" s="152" t="s">
        <v>125</v>
      </c>
      <c r="F202" s="153">
        <v>155000000</v>
      </c>
      <c r="G202" s="152" t="s">
        <v>168</v>
      </c>
      <c r="H202" s="152" t="s">
        <v>36</v>
      </c>
      <c r="I202" s="152" t="s">
        <v>36</v>
      </c>
      <c r="J202" s="140">
        <v>1</v>
      </c>
    </row>
    <row r="203" spans="1:11" hidden="1">
      <c r="A203" s="152">
        <v>2</v>
      </c>
      <c r="B203" s="2539" t="s">
        <v>205</v>
      </c>
      <c r="C203" s="152" t="s">
        <v>138</v>
      </c>
      <c r="D203" s="152" t="s">
        <v>206</v>
      </c>
      <c r="E203" s="152" t="s">
        <v>39</v>
      </c>
      <c r="F203" s="153">
        <v>300000000</v>
      </c>
      <c r="G203" s="152" t="s">
        <v>207</v>
      </c>
      <c r="H203" s="152" t="s">
        <v>44</v>
      </c>
      <c r="I203" s="152" t="s">
        <v>36</v>
      </c>
      <c r="J203" s="140">
        <v>1</v>
      </c>
    </row>
    <row r="204" spans="1:11" hidden="1">
      <c r="A204" s="152">
        <v>3</v>
      </c>
      <c r="B204" s="2539" t="s">
        <v>137</v>
      </c>
      <c r="C204" s="152" t="s">
        <v>138</v>
      </c>
      <c r="D204" s="152" t="s">
        <v>208</v>
      </c>
      <c r="E204" s="152" t="s">
        <v>39</v>
      </c>
      <c r="F204" s="153">
        <v>180000000</v>
      </c>
      <c r="G204" s="152" t="s">
        <v>43</v>
      </c>
      <c r="H204" s="152" t="s">
        <v>36</v>
      </c>
      <c r="I204" s="152" t="s">
        <v>36</v>
      </c>
      <c r="J204" s="140">
        <v>1</v>
      </c>
      <c r="K204" t="s">
        <v>181</v>
      </c>
    </row>
    <row r="205" spans="1:11" hidden="1">
      <c r="A205" s="152">
        <v>4</v>
      </c>
      <c r="B205" s="2539" t="s">
        <v>141</v>
      </c>
      <c r="C205" s="152" t="s">
        <v>138</v>
      </c>
      <c r="D205" s="152" t="s">
        <v>209</v>
      </c>
      <c r="E205" s="152" t="s">
        <v>39</v>
      </c>
      <c r="F205" s="153">
        <v>150000000</v>
      </c>
      <c r="G205" s="152" t="s">
        <v>210</v>
      </c>
      <c r="H205" s="152" t="s">
        <v>44</v>
      </c>
      <c r="I205" s="152" t="s">
        <v>36</v>
      </c>
      <c r="J205" s="140">
        <v>1</v>
      </c>
      <c r="K205" t="s">
        <v>181</v>
      </c>
    </row>
    <row r="206" spans="1:11" hidden="1">
      <c r="A206" s="154">
        <v>5</v>
      </c>
      <c r="B206" s="2540"/>
      <c r="C206" s="154"/>
      <c r="D206" s="154"/>
      <c r="E206" s="154"/>
      <c r="F206" s="155"/>
      <c r="G206" s="154"/>
      <c r="H206" s="154"/>
      <c r="I206" s="154"/>
      <c r="J206" s="143"/>
    </row>
    <row r="207" spans="1:11" hidden="1">
      <c r="A207" s="156">
        <v>6</v>
      </c>
      <c r="B207" s="2541"/>
      <c r="C207" s="156"/>
      <c r="D207" s="156"/>
      <c r="E207" s="156"/>
      <c r="F207" s="157"/>
      <c r="G207" s="156"/>
      <c r="H207" s="156"/>
      <c r="I207" s="156"/>
      <c r="J207" s="144"/>
    </row>
    <row r="208" spans="1:11" hidden="1">
      <c r="A208" s="156">
        <v>7</v>
      </c>
      <c r="B208" s="2541"/>
      <c r="C208" s="156"/>
      <c r="D208" s="156"/>
      <c r="E208" s="156"/>
      <c r="F208" s="157"/>
      <c r="G208" s="156"/>
      <c r="H208" s="156"/>
      <c r="I208" s="156"/>
      <c r="J208" s="144"/>
    </row>
    <row r="209" spans="1:11" hidden="1">
      <c r="A209" s="156">
        <v>8</v>
      </c>
      <c r="B209" s="2541"/>
      <c r="C209" s="156"/>
      <c r="D209" s="156"/>
      <c r="E209" s="156"/>
      <c r="F209" s="157"/>
      <c r="G209" s="156"/>
      <c r="H209" s="156"/>
      <c r="I209" s="156"/>
      <c r="J209" s="144"/>
    </row>
    <row r="210" spans="1:11" hidden="1">
      <c r="A210" s="156">
        <v>9</v>
      </c>
      <c r="B210" s="2541"/>
      <c r="C210" s="156"/>
      <c r="D210" s="156"/>
      <c r="E210" s="156"/>
      <c r="F210" s="157"/>
      <c r="G210" s="156"/>
      <c r="H210" s="156"/>
      <c r="I210" s="156"/>
      <c r="J210" s="144"/>
    </row>
    <row r="211" spans="1:11" hidden="1">
      <c r="A211" s="156">
        <v>10</v>
      </c>
      <c r="B211" s="2541"/>
      <c r="C211" s="156"/>
      <c r="D211" s="156"/>
      <c r="E211" s="156"/>
      <c r="F211" s="157"/>
      <c r="G211" s="156"/>
      <c r="H211" s="156"/>
      <c r="I211" s="156"/>
      <c r="J211" s="144"/>
    </row>
    <row r="212" spans="1:11" ht="21" hidden="1">
      <c r="A212" s="141"/>
      <c r="B212" s="2542"/>
      <c r="C212" s="141"/>
      <c r="D212" s="141"/>
      <c r="E212" s="141"/>
      <c r="F212" s="145"/>
      <c r="G212" s="141"/>
      <c r="H212" s="141"/>
      <c r="I212" s="141"/>
      <c r="J212" s="146">
        <f>SUM(J202:J211)</f>
        <v>4</v>
      </c>
    </row>
    <row r="213" spans="1:11" hidden="1"/>
    <row r="214" spans="1:11" ht="23.45" hidden="1">
      <c r="A214" s="2753" t="s">
        <v>80</v>
      </c>
      <c r="B214" s="2753"/>
      <c r="C214" s="2753"/>
      <c r="D214" s="2753"/>
      <c r="E214" s="2753"/>
      <c r="F214" s="2753"/>
      <c r="G214" s="2753"/>
      <c r="H214" s="2753"/>
      <c r="I214" s="2753"/>
      <c r="J214" s="2753"/>
    </row>
    <row r="215" spans="1:11" ht="15.6" hidden="1">
      <c r="A215" s="2737" t="s">
        <v>2</v>
      </c>
      <c r="B215" s="2737"/>
      <c r="C215" s="2737"/>
      <c r="D215" s="2737"/>
      <c r="E215" s="2737"/>
      <c r="F215" s="2737"/>
      <c r="G215" s="2737"/>
      <c r="H215" s="2737"/>
      <c r="I215" s="2737"/>
      <c r="J215" s="2737"/>
    </row>
    <row r="216" spans="1:11" hidden="1">
      <c r="A216" s="150" t="s">
        <v>3</v>
      </c>
      <c r="B216" s="1749" t="s">
        <v>4</v>
      </c>
      <c r="C216" s="150" t="s">
        <v>5</v>
      </c>
      <c r="D216" s="150" t="s">
        <v>6</v>
      </c>
      <c r="E216" s="150" t="s">
        <v>7</v>
      </c>
      <c r="F216" s="150" t="s">
        <v>8</v>
      </c>
      <c r="G216" s="150" t="s">
        <v>9</v>
      </c>
      <c r="H216" s="150" t="s">
        <v>10</v>
      </c>
      <c r="I216" s="150" t="s">
        <v>11</v>
      </c>
      <c r="J216" s="137" t="s">
        <v>12</v>
      </c>
    </row>
    <row r="217" spans="1:11" hidden="1">
      <c r="A217" s="150">
        <v>1</v>
      </c>
      <c r="B217" s="1749" t="s">
        <v>186</v>
      </c>
      <c r="C217" s="137" t="s">
        <v>37</v>
      </c>
      <c r="D217" s="137" t="s">
        <v>211</v>
      </c>
      <c r="E217" s="137" t="s">
        <v>125</v>
      </c>
      <c r="F217" s="137">
        <v>1200000</v>
      </c>
      <c r="G217" s="137" t="s">
        <v>40</v>
      </c>
      <c r="H217" s="137" t="s">
        <v>36</v>
      </c>
      <c r="I217" s="137" t="s">
        <v>36</v>
      </c>
      <c r="J217" s="137">
        <v>1</v>
      </c>
      <c r="K217" t="s">
        <v>32</v>
      </c>
    </row>
    <row r="218" spans="1:11" hidden="1">
      <c r="A218" s="150">
        <v>2</v>
      </c>
      <c r="B218" s="1749" t="s">
        <v>212</v>
      </c>
      <c r="C218" s="137" t="s">
        <v>138</v>
      </c>
      <c r="D218" s="137" t="s">
        <v>213</v>
      </c>
      <c r="E218" s="137" t="s">
        <v>125</v>
      </c>
      <c r="F218" s="137">
        <v>700000</v>
      </c>
      <c r="G218" s="137" t="s">
        <v>168</v>
      </c>
      <c r="H218" s="137" t="s">
        <v>36</v>
      </c>
      <c r="I218" s="137" t="s">
        <v>36</v>
      </c>
      <c r="J218" s="137">
        <v>1</v>
      </c>
      <c r="K218" t="s">
        <v>115</v>
      </c>
    </row>
    <row r="219" spans="1:11" hidden="1">
      <c r="A219" s="150">
        <v>3</v>
      </c>
      <c r="B219" s="2538" t="s">
        <v>186</v>
      </c>
      <c r="C219" s="137" t="s">
        <v>138</v>
      </c>
      <c r="D219" s="137" t="s">
        <v>214</v>
      </c>
      <c r="E219" s="137" t="s">
        <v>125</v>
      </c>
      <c r="F219" s="137">
        <v>750000</v>
      </c>
      <c r="G219" s="137" t="s">
        <v>168</v>
      </c>
      <c r="H219" s="137" t="s">
        <v>36</v>
      </c>
      <c r="I219" s="137" t="s">
        <v>36</v>
      </c>
      <c r="J219" s="137">
        <v>1</v>
      </c>
      <c r="K219" t="s">
        <v>32</v>
      </c>
    </row>
    <row r="220" spans="1:11" hidden="1">
      <c r="A220" s="150">
        <v>4</v>
      </c>
      <c r="B220" s="2543" t="s">
        <v>186</v>
      </c>
      <c r="C220" s="147" t="s">
        <v>138</v>
      </c>
      <c r="D220" s="147" t="s">
        <v>215</v>
      </c>
      <c r="E220" s="147" t="s">
        <v>216</v>
      </c>
      <c r="F220" s="147">
        <v>950000</v>
      </c>
      <c r="G220" s="147" t="s">
        <v>168</v>
      </c>
      <c r="H220" s="147" t="s">
        <v>36</v>
      </c>
      <c r="I220" s="147" t="s">
        <v>36</v>
      </c>
      <c r="J220" s="147">
        <v>1</v>
      </c>
      <c r="K220" t="s">
        <v>217</v>
      </c>
    </row>
    <row r="221" spans="1:11" hidden="1">
      <c r="A221" s="159">
        <v>5</v>
      </c>
      <c r="B221" s="2" t="s">
        <v>166</v>
      </c>
      <c r="C221" s="11" t="s">
        <v>138</v>
      </c>
      <c r="D221" s="11" t="s">
        <v>218</v>
      </c>
      <c r="E221" s="11" t="s">
        <v>125</v>
      </c>
      <c r="F221" s="11">
        <v>1100000</v>
      </c>
      <c r="G221" s="11" t="s">
        <v>188</v>
      </c>
      <c r="H221" s="11" t="s">
        <v>36</v>
      </c>
      <c r="I221" s="11" t="s">
        <v>36</v>
      </c>
      <c r="J221" s="11">
        <v>1</v>
      </c>
      <c r="K221" t="s">
        <v>133</v>
      </c>
    </row>
    <row r="222" spans="1:11" hidden="1">
      <c r="A222" s="159">
        <v>6</v>
      </c>
      <c r="B222" s="2" t="s">
        <v>205</v>
      </c>
      <c r="C222" s="11" t="s">
        <v>219</v>
      </c>
      <c r="D222" s="11" t="s">
        <v>220</v>
      </c>
      <c r="E222" s="11" t="s">
        <v>216</v>
      </c>
      <c r="F222" s="11">
        <v>1100000</v>
      </c>
      <c r="G222" s="11" t="s">
        <v>168</v>
      </c>
      <c r="H222" s="11" t="s">
        <v>36</v>
      </c>
      <c r="I222" s="11" t="s">
        <v>36</v>
      </c>
      <c r="J222" s="11">
        <v>1</v>
      </c>
      <c r="K222" t="s">
        <v>133</v>
      </c>
    </row>
    <row r="223" spans="1:11" hidden="1">
      <c r="A223" s="159">
        <v>7</v>
      </c>
      <c r="B223" s="2" t="s">
        <v>205</v>
      </c>
      <c r="C223" s="11" t="s">
        <v>138</v>
      </c>
      <c r="D223" s="11" t="s">
        <v>221</v>
      </c>
      <c r="E223" s="11" t="s">
        <v>39</v>
      </c>
      <c r="F223" s="11">
        <v>1300000</v>
      </c>
      <c r="G223" s="11" t="s">
        <v>94</v>
      </c>
      <c r="H223" s="11" t="s">
        <v>36</v>
      </c>
      <c r="I223" s="11" t="s">
        <v>36</v>
      </c>
      <c r="J223" s="11">
        <v>1</v>
      </c>
      <c r="K223" t="s">
        <v>133</v>
      </c>
    </row>
    <row r="224" spans="1:11" hidden="1">
      <c r="A224" s="159">
        <v>8</v>
      </c>
      <c r="B224" s="2" t="s">
        <v>172</v>
      </c>
      <c r="C224" s="11" t="s">
        <v>138</v>
      </c>
      <c r="D224" s="11" t="s">
        <v>222</v>
      </c>
      <c r="E224" s="11" t="s">
        <v>39</v>
      </c>
      <c r="F224" s="11">
        <v>1400000</v>
      </c>
      <c r="G224" s="11" t="s">
        <v>108</v>
      </c>
      <c r="H224" s="11" t="s">
        <v>36</v>
      </c>
      <c r="I224" s="11" t="s">
        <v>36</v>
      </c>
      <c r="J224" s="11">
        <v>1</v>
      </c>
      <c r="K224" t="s">
        <v>32</v>
      </c>
    </row>
    <row r="225" spans="1:11" hidden="1">
      <c r="A225" s="150">
        <v>9</v>
      </c>
      <c r="B225" s="2544" t="s">
        <v>172</v>
      </c>
      <c r="C225" s="148" t="s">
        <v>223</v>
      </c>
      <c r="D225" s="148" t="s">
        <v>224</v>
      </c>
      <c r="E225" s="148" t="s">
        <v>39</v>
      </c>
      <c r="F225" s="148">
        <v>1600000</v>
      </c>
      <c r="G225" s="148" t="s">
        <v>43</v>
      </c>
      <c r="H225" s="148" t="s">
        <v>36</v>
      </c>
      <c r="I225" s="148" t="s">
        <v>36</v>
      </c>
      <c r="J225" s="148">
        <v>1</v>
      </c>
      <c r="K225" t="s">
        <v>32</v>
      </c>
    </row>
    <row r="226" spans="1:11" hidden="1">
      <c r="A226" s="150">
        <v>10</v>
      </c>
      <c r="B226" s="1749" t="s">
        <v>172</v>
      </c>
      <c r="C226" s="137" t="s">
        <v>138</v>
      </c>
      <c r="D226" s="137" t="s">
        <v>225</v>
      </c>
      <c r="E226" s="137" t="s">
        <v>39</v>
      </c>
      <c r="F226" s="137">
        <v>1200000</v>
      </c>
      <c r="G226" s="137" t="s">
        <v>108</v>
      </c>
      <c r="H226" s="137" t="s">
        <v>36</v>
      </c>
      <c r="I226" s="137" t="s">
        <v>36</v>
      </c>
      <c r="J226" s="137">
        <v>1</v>
      </c>
      <c r="K226" t="s">
        <v>32</v>
      </c>
    </row>
    <row r="227" spans="1:11" hidden="1">
      <c r="A227" s="150">
        <v>11</v>
      </c>
      <c r="B227" s="1749" t="s">
        <v>195</v>
      </c>
      <c r="C227" s="137" t="s">
        <v>138</v>
      </c>
      <c r="D227" s="137" t="s">
        <v>226</v>
      </c>
      <c r="E227" s="137" t="s">
        <v>39</v>
      </c>
      <c r="F227" s="137">
        <v>1350000</v>
      </c>
      <c r="G227" s="137" t="s">
        <v>40</v>
      </c>
      <c r="H227" s="137" t="s">
        <v>36</v>
      </c>
      <c r="I227" s="137" t="s">
        <v>36</v>
      </c>
      <c r="J227" s="137">
        <v>1</v>
      </c>
      <c r="K227" t="s">
        <v>133</v>
      </c>
    </row>
    <row r="228" spans="1:11" hidden="1">
      <c r="A228" s="150">
        <v>12</v>
      </c>
      <c r="B228" s="1749" t="s">
        <v>195</v>
      </c>
      <c r="C228" s="137" t="s">
        <v>138</v>
      </c>
      <c r="D228" s="137" t="s">
        <v>227</v>
      </c>
      <c r="E228" s="137" t="s">
        <v>39</v>
      </c>
      <c r="F228" s="137">
        <v>1200000</v>
      </c>
      <c r="G228" s="137" t="s">
        <v>40</v>
      </c>
      <c r="H228" s="137" t="s">
        <v>36</v>
      </c>
      <c r="I228" s="137" t="s">
        <v>36</v>
      </c>
      <c r="J228" s="137">
        <v>1</v>
      </c>
      <c r="K228" t="s">
        <v>133</v>
      </c>
    </row>
    <row r="229" spans="1:11" hidden="1">
      <c r="A229" s="150">
        <v>13</v>
      </c>
      <c r="B229" s="1749" t="s">
        <v>195</v>
      </c>
      <c r="C229" s="137" t="s">
        <v>138</v>
      </c>
      <c r="D229" s="137" t="s">
        <v>228</v>
      </c>
      <c r="E229" s="137" t="s">
        <v>39</v>
      </c>
      <c r="F229" s="137">
        <v>1200000</v>
      </c>
      <c r="G229" s="137" t="s">
        <v>40</v>
      </c>
      <c r="H229" s="137" t="s">
        <v>36</v>
      </c>
      <c r="I229" s="137" t="s">
        <v>36</v>
      </c>
      <c r="J229" s="137">
        <v>1</v>
      </c>
      <c r="K229" t="s">
        <v>133</v>
      </c>
    </row>
    <row r="230" spans="1:11" hidden="1">
      <c r="A230" s="137">
        <v>14</v>
      </c>
      <c r="B230" s="1749" t="s">
        <v>229</v>
      </c>
      <c r="C230" s="137" t="s">
        <v>138</v>
      </c>
      <c r="D230" s="137" t="s">
        <v>230</v>
      </c>
      <c r="E230" s="137" t="s">
        <v>39</v>
      </c>
      <c r="F230" s="137">
        <v>1100000</v>
      </c>
      <c r="G230" s="137" t="s">
        <v>231</v>
      </c>
      <c r="H230" s="137" t="s">
        <v>36</v>
      </c>
      <c r="I230" s="137" t="s">
        <v>36</v>
      </c>
      <c r="J230" s="137">
        <v>1</v>
      </c>
      <c r="K230" t="s">
        <v>133</v>
      </c>
    </row>
    <row r="231" spans="1:11" hidden="1">
      <c r="A231" s="137">
        <v>15</v>
      </c>
      <c r="B231" s="1749" t="s">
        <v>137</v>
      </c>
      <c r="C231" s="137" t="s">
        <v>138</v>
      </c>
      <c r="D231" s="137" t="s">
        <v>232</v>
      </c>
      <c r="E231" s="137" t="s">
        <v>128</v>
      </c>
      <c r="F231" s="137">
        <v>800000</v>
      </c>
      <c r="G231" s="137" t="s">
        <v>233</v>
      </c>
      <c r="H231" s="137" t="s">
        <v>36</v>
      </c>
      <c r="I231" s="137" t="s">
        <v>36</v>
      </c>
      <c r="J231" s="137">
        <v>1</v>
      </c>
      <c r="K231" t="s">
        <v>133</v>
      </c>
    </row>
    <row r="232" spans="1:11" hidden="1">
      <c r="A232" s="137">
        <v>16</v>
      </c>
      <c r="B232" s="1749" t="s">
        <v>137</v>
      </c>
      <c r="C232" s="137" t="s">
        <v>138</v>
      </c>
      <c r="D232" s="137" t="s">
        <v>234</v>
      </c>
      <c r="E232" s="137" t="s">
        <v>39</v>
      </c>
      <c r="F232" s="137">
        <v>900000</v>
      </c>
      <c r="G232" s="137" t="s">
        <v>235</v>
      </c>
      <c r="H232" s="137" t="s">
        <v>36</v>
      </c>
      <c r="I232" s="137" t="s">
        <v>36</v>
      </c>
      <c r="J232" s="137">
        <v>1</v>
      </c>
      <c r="K232" t="s">
        <v>133</v>
      </c>
    </row>
    <row r="233" spans="1:11" hidden="1">
      <c r="A233" s="137">
        <v>17</v>
      </c>
      <c r="B233" s="1749" t="s">
        <v>182</v>
      </c>
      <c r="C233" s="137" t="s">
        <v>138</v>
      </c>
      <c r="D233" s="137" t="s">
        <v>236</v>
      </c>
      <c r="E233" s="137" t="s">
        <v>39</v>
      </c>
      <c r="F233" s="137">
        <v>1600000</v>
      </c>
      <c r="G233" s="137" t="s">
        <v>235</v>
      </c>
      <c r="H233" s="137" t="s">
        <v>36</v>
      </c>
      <c r="I233" s="137" t="s">
        <v>36</v>
      </c>
      <c r="J233" s="137">
        <v>1</v>
      </c>
      <c r="K233" t="s">
        <v>133</v>
      </c>
    </row>
    <row r="234" spans="1:11" hidden="1">
      <c r="A234" s="137">
        <v>18</v>
      </c>
      <c r="B234" s="1749" t="s">
        <v>237</v>
      </c>
      <c r="C234" s="137" t="s">
        <v>138</v>
      </c>
      <c r="D234" s="137" t="s">
        <v>238</v>
      </c>
      <c r="E234" s="137" t="s">
        <v>239</v>
      </c>
      <c r="F234" s="137">
        <v>5800000</v>
      </c>
      <c r="G234" s="137" t="s">
        <v>43</v>
      </c>
      <c r="H234" s="137" t="s">
        <v>36</v>
      </c>
      <c r="I234" s="137" t="s">
        <v>36</v>
      </c>
      <c r="J234" s="137">
        <v>1</v>
      </c>
      <c r="K234" t="s">
        <v>133</v>
      </c>
    </row>
    <row r="235" spans="1:11" hidden="1">
      <c r="A235" s="137">
        <v>19</v>
      </c>
      <c r="B235" s="1749" t="s">
        <v>240</v>
      </c>
      <c r="C235" s="137" t="s">
        <v>138</v>
      </c>
      <c r="D235" s="137" t="s">
        <v>241</v>
      </c>
      <c r="E235" s="137" t="s">
        <v>125</v>
      </c>
      <c r="F235" s="137">
        <v>1350000</v>
      </c>
      <c r="G235" s="137" t="s">
        <v>102</v>
      </c>
      <c r="H235" s="137" t="s">
        <v>36</v>
      </c>
      <c r="I235" s="137" t="s">
        <v>36</v>
      </c>
      <c r="J235" s="137">
        <v>1</v>
      </c>
      <c r="K235" t="s">
        <v>133</v>
      </c>
    </row>
    <row r="236" spans="1:11" hidden="1">
      <c r="A236" s="137">
        <v>20</v>
      </c>
      <c r="B236" s="1749" t="s">
        <v>242</v>
      </c>
      <c r="C236" s="137" t="s">
        <v>138</v>
      </c>
      <c r="D236" s="137" t="s">
        <v>243</v>
      </c>
      <c r="E236" s="137" t="s">
        <v>39</v>
      </c>
      <c r="F236" s="137">
        <v>1600000</v>
      </c>
      <c r="G236" s="137" t="s">
        <v>43</v>
      </c>
      <c r="H236" s="137" t="s">
        <v>36</v>
      </c>
      <c r="I236" s="137" t="s">
        <v>36</v>
      </c>
      <c r="J236" s="137">
        <v>1</v>
      </c>
      <c r="K236" t="s">
        <v>133</v>
      </c>
    </row>
    <row r="237" spans="1:11" ht="21" hidden="1">
      <c r="A237" s="137"/>
      <c r="B237" s="1749"/>
      <c r="C237" s="137"/>
      <c r="D237" s="137"/>
      <c r="E237" s="137"/>
      <c r="F237" s="137"/>
      <c r="G237" s="137"/>
      <c r="H237" s="137"/>
      <c r="I237" s="137"/>
      <c r="J237" s="139">
        <f>SUM(J217:J236)</f>
        <v>20</v>
      </c>
    </row>
    <row r="238" spans="1:11" hidden="1">
      <c r="A238" s="2744" t="s">
        <v>33</v>
      </c>
      <c r="B238" s="2744"/>
      <c r="C238" s="2744"/>
      <c r="D238" s="2744"/>
      <c r="E238" s="2744"/>
      <c r="F238" s="2744"/>
      <c r="G238" s="2744"/>
      <c r="H238" s="2744"/>
      <c r="I238" s="2744"/>
      <c r="J238" s="2744"/>
    </row>
    <row r="239" spans="1:11" hidden="1">
      <c r="A239" s="150" t="s">
        <v>3</v>
      </c>
      <c r="B239" s="1749" t="s">
        <v>4</v>
      </c>
      <c r="C239" s="150" t="s">
        <v>5</v>
      </c>
      <c r="D239" s="150" t="s">
        <v>6</v>
      </c>
      <c r="E239" s="150" t="s">
        <v>7</v>
      </c>
      <c r="F239" s="150" t="s">
        <v>8</v>
      </c>
      <c r="G239" s="150" t="s">
        <v>9</v>
      </c>
      <c r="H239" s="150" t="s">
        <v>10</v>
      </c>
      <c r="I239" s="150" t="s">
        <v>11</v>
      </c>
      <c r="J239" s="137" t="s">
        <v>12</v>
      </c>
    </row>
    <row r="240" spans="1:11" hidden="1">
      <c r="A240" s="152">
        <v>1</v>
      </c>
      <c r="B240" s="2539" t="s">
        <v>195</v>
      </c>
      <c r="C240" s="152" t="s">
        <v>138</v>
      </c>
      <c r="D240" s="152" t="s">
        <v>244</v>
      </c>
      <c r="E240" s="152" t="s">
        <v>125</v>
      </c>
      <c r="F240" s="162">
        <v>370000000</v>
      </c>
      <c r="G240" s="152" t="s">
        <v>235</v>
      </c>
      <c r="H240" s="152" t="s">
        <v>36</v>
      </c>
      <c r="I240" s="152" t="s">
        <v>36</v>
      </c>
      <c r="J240" s="140">
        <v>1</v>
      </c>
      <c r="K240" t="s">
        <v>181</v>
      </c>
    </row>
    <row r="241" spans="1:11" hidden="1">
      <c r="A241" s="152">
        <v>2</v>
      </c>
      <c r="B241" s="2539" t="s">
        <v>245</v>
      </c>
      <c r="C241" s="152" t="s">
        <v>138</v>
      </c>
      <c r="D241" s="152" t="s">
        <v>246</v>
      </c>
      <c r="E241" s="152" t="s">
        <v>125</v>
      </c>
      <c r="F241" s="162">
        <v>210000000</v>
      </c>
      <c r="G241" s="152" t="s">
        <v>235</v>
      </c>
      <c r="H241" s="152" t="s">
        <v>36</v>
      </c>
      <c r="I241" s="152" t="s">
        <v>36</v>
      </c>
      <c r="J241" s="140">
        <v>1</v>
      </c>
      <c r="K241" t="s">
        <v>181</v>
      </c>
    </row>
    <row r="242" spans="1:11" hidden="1">
      <c r="A242" s="152">
        <v>3</v>
      </c>
      <c r="B242" s="2539" t="s">
        <v>137</v>
      </c>
      <c r="C242" s="152" t="s">
        <v>138</v>
      </c>
      <c r="D242" s="152" t="s">
        <v>247</v>
      </c>
      <c r="E242" s="152" t="s">
        <v>128</v>
      </c>
      <c r="F242" s="162">
        <v>195000000</v>
      </c>
      <c r="G242" s="152" t="s">
        <v>233</v>
      </c>
      <c r="H242" s="152" t="s">
        <v>36</v>
      </c>
      <c r="I242" s="152" t="s">
        <v>36</v>
      </c>
      <c r="J242" s="140">
        <v>1</v>
      </c>
      <c r="K242" t="s">
        <v>181</v>
      </c>
    </row>
    <row r="243" spans="1:11" hidden="1">
      <c r="A243" s="152">
        <v>4</v>
      </c>
      <c r="B243" s="2539"/>
      <c r="C243" s="152"/>
      <c r="D243" s="152"/>
      <c r="E243" s="152"/>
      <c r="F243" s="162"/>
      <c r="G243" s="152"/>
      <c r="H243" s="152"/>
      <c r="I243" s="152"/>
      <c r="J243" s="140"/>
    </row>
    <row r="244" spans="1:11" hidden="1">
      <c r="A244" s="152">
        <v>5</v>
      </c>
      <c r="B244" s="2539"/>
      <c r="C244" s="152"/>
      <c r="D244" s="152"/>
      <c r="E244" s="152"/>
      <c r="F244" s="162"/>
      <c r="G244" s="152"/>
      <c r="H244" s="152"/>
      <c r="I244" s="152"/>
      <c r="J244" s="140"/>
    </row>
    <row r="245" spans="1:11" hidden="1">
      <c r="A245" s="152">
        <v>6</v>
      </c>
      <c r="B245" s="2539"/>
      <c r="C245" s="152"/>
      <c r="D245" s="152"/>
      <c r="E245" s="152"/>
      <c r="F245" s="162"/>
      <c r="G245" s="152"/>
      <c r="H245" s="152"/>
      <c r="I245" s="152"/>
      <c r="J245" s="140"/>
    </row>
    <row r="246" spans="1:11" hidden="1">
      <c r="A246" s="152">
        <v>7</v>
      </c>
      <c r="B246" s="2539"/>
      <c r="C246" s="152"/>
      <c r="D246" s="152"/>
      <c r="E246" s="152"/>
      <c r="F246" s="162"/>
      <c r="G246" s="152"/>
      <c r="H246" s="152"/>
      <c r="I246" s="152"/>
      <c r="J246" s="140"/>
    </row>
    <row r="247" spans="1:11" hidden="1">
      <c r="A247" s="152">
        <v>8</v>
      </c>
      <c r="B247" s="2539"/>
      <c r="C247" s="152"/>
      <c r="D247" s="152"/>
      <c r="E247" s="152"/>
      <c r="F247" s="162"/>
      <c r="G247" s="152"/>
      <c r="H247" s="152"/>
      <c r="I247" s="152"/>
      <c r="J247" s="140"/>
    </row>
    <row r="248" spans="1:11" hidden="1">
      <c r="A248" s="140">
        <v>9</v>
      </c>
      <c r="B248" s="2539"/>
      <c r="C248" s="140"/>
      <c r="D248" s="140"/>
      <c r="E248" s="140"/>
      <c r="F248" s="149"/>
      <c r="G248" s="140"/>
      <c r="H248" s="140"/>
      <c r="I248" s="140"/>
      <c r="J248" s="140"/>
    </row>
    <row r="249" spans="1:11" hidden="1">
      <c r="A249" s="140">
        <v>10</v>
      </c>
      <c r="B249" s="541"/>
      <c r="C249" s="140"/>
      <c r="D249" s="140"/>
      <c r="E249" s="140"/>
      <c r="F249" s="149"/>
      <c r="G249" s="140"/>
      <c r="H249" s="140"/>
      <c r="I249" s="140"/>
      <c r="J249" s="140"/>
    </row>
    <row r="250" spans="1:11" ht="21" hidden="1">
      <c r="A250" s="140"/>
      <c r="B250" s="541"/>
      <c r="C250" s="140"/>
      <c r="D250" s="140"/>
      <c r="E250" s="140"/>
      <c r="F250" s="149"/>
      <c r="G250" s="140"/>
      <c r="H250" s="140"/>
      <c r="I250" s="140"/>
      <c r="J250" s="139">
        <v>3</v>
      </c>
    </row>
    <row r="251" spans="1:11" ht="23.45" hidden="1">
      <c r="A251" s="2753" t="s">
        <v>118</v>
      </c>
      <c r="B251" s="2753"/>
      <c r="C251" s="2753"/>
      <c r="D251" s="2753"/>
      <c r="E251" s="2753"/>
      <c r="F251" s="2753"/>
      <c r="G251" s="2753"/>
      <c r="H251" s="2753"/>
      <c r="I251" s="2753"/>
      <c r="J251" s="2753"/>
    </row>
    <row r="252" spans="1:11" ht="15.6" hidden="1">
      <c r="A252" s="2737" t="s">
        <v>2</v>
      </c>
      <c r="B252" s="2737"/>
      <c r="C252" s="2737"/>
      <c r="D252" s="2737"/>
      <c r="E252" s="2737"/>
      <c r="F252" s="2737"/>
      <c r="G252" s="2737"/>
      <c r="H252" s="2737"/>
      <c r="I252" s="2737"/>
      <c r="J252" s="2737"/>
    </row>
    <row r="253" spans="1:11" hidden="1">
      <c r="A253" s="137" t="s">
        <v>3</v>
      </c>
      <c r="B253" s="1749" t="s">
        <v>4</v>
      </c>
      <c r="C253" s="137" t="s">
        <v>5</v>
      </c>
      <c r="D253" s="137" t="s">
        <v>6</v>
      </c>
      <c r="E253" s="137" t="s">
        <v>7</v>
      </c>
      <c r="F253" s="137" t="s">
        <v>8</v>
      </c>
      <c r="G253" s="137" t="s">
        <v>9</v>
      </c>
      <c r="H253" s="137" t="s">
        <v>10</v>
      </c>
      <c r="I253" s="137" t="s">
        <v>11</v>
      </c>
      <c r="J253" s="137" t="s">
        <v>12</v>
      </c>
    </row>
    <row r="254" spans="1:11" hidden="1">
      <c r="A254" s="150">
        <v>1</v>
      </c>
      <c r="B254" s="2538" t="s">
        <v>137</v>
      </c>
      <c r="C254" s="150" t="s">
        <v>138</v>
      </c>
      <c r="D254" s="150" t="s">
        <v>248</v>
      </c>
      <c r="E254" s="150" t="s">
        <v>125</v>
      </c>
      <c r="F254" s="151">
        <v>1200000</v>
      </c>
      <c r="G254" s="150" t="s">
        <v>249</v>
      </c>
      <c r="H254" s="150" t="s">
        <v>36</v>
      </c>
      <c r="I254" s="150" t="s">
        <v>36</v>
      </c>
      <c r="J254" s="137">
        <v>1</v>
      </c>
    </row>
    <row r="255" spans="1:11" hidden="1">
      <c r="A255" s="150">
        <v>2</v>
      </c>
      <c r="B255" s="2538" t="s">
        <v>240</v>
      </c>
      <c r="C255" s="150" t="s">
        <v>138</v>
      </c>
      <c r="D255" s="150" t="s">
        <v>250</v>
      </c>
      <c r="E255" s="150" t="s">
        <v>125</v>
      </c>
      <c r="F255" s="151">
        <v>800000</v>
      </c>
      <c r="G255" s="150" t="s">
        <v>43</v>
      </c>
      <c r="H255" s="150" t="s">
        <v>36</v>
      </c>
      <c r="I255" s="150" t="s">
        <v>36</v>
      </c>
      <c r="J255" s="137">
        <v>1</v>
      </c>
    </row>
    <row r="256" spans="1:11" hidden="1">
      <c r="A256" s="150">
        <v>3</v>
      </c>
      <c r="B256" s="2538"/>
      <c r="C256" s="150"/>
      <c r="D256" s="150"/>
      <c r="E256" s="150"/>
      <c r="F256" s="151"/>
      <c r="G256" s="150"/>
      <c r="H256" s="150"/>
      <c r="I256" s="150"/>
      <c r="J256" s="137"/>
    </row>
    <row r="257" spans="1:10" hidden="1">
      <c r="A257" s="150">
        <v>4</v>
      </c>
      <c r="B257" s="1749"/>
      <c r="C257" s="150"/>
      <c r="D257" s="150"/>
      <c r="E257" s="150"/>
      <c r="F257" s="150"/>
      <c r="G257" s="150"/>
      <c r="H257" s="150"/>
      <c r="I257" s="150"/>
      <c r="J257" s="137"/>
    </row>
    <row r="258" spans="1:10" hidden="1">
      <c r="A258" s="137">
        <v>5</v>
      </c>
      <c r="B258" s="1749"/>
      <c r="C258" s="137"/>
      <c r="D258" s="137"/>
      <c r="E258" s="137"/>
      <c r="F258" s="137"/>
      <c r="G258" s="137"/>
      <c r="H258" s="137"/>
      <c r="I258" s="137"/>
      <c r="J258" s="137"/>
    </row>
    <row r="259" spans="1:10" hidden="1">
      <c r="A259" s="137">
        <v>6</v>
      </c>
      <c r="B259" s="1749"/>
      <c r="C259" s="137"/>
      <c r="D259" s="137"/>
      <c r="E259" s="137"/>
      <c r="F259" s="137"/>
      <c r="G259" s="137"/>
      <c r="H259" s="137"/>
      <c r="I259" s="137"/>
      <c r="J259" s="137"/>
    </row>
    <row r="260" spans="1:10" hidden="1">
      <c r="A260" s="137">
        <v>7</v>
      </c>
      <c r="B260" s="1749"/>
      <c r="C260" s="137"/>
      <c r="D260" s="137"/>
      <c r="E260" s="137"/>
      <c r="F260" s="137"/>
      <c r="G260" s="137"/>
      <c r="H260" s="137"/>
      <c r="I260" s="137"/>
      <c r="J260" s="137"/>
    </row>
    <row r="261" spans="1:10" hidden="1">
      <c r="A261" s="137">
        <v>8</v>
      </c>
      <c r="B261" s="1749"/>
      <c r="C261" s="137"/>
      <c r="D261" s="137"/>
      <c r="E261" s="137"/>
      <c r="F261" s="137"/>
      <c r="G261" s="137"/>
      <c r="H261" s="137"/>
      <c r="I261" s="137"/>
      <c r="J261" s="137"/>
    </row>
    <row r="262" spans="1:10" hidden="1">
      <c r="A262" s="137">
        <v>9</v>
      </c>
      <c r="B262" s="1749"/>
      <c r="C262" s="137"/>
      <c r="D262" s="137"/>
      <c r="E262" s="137"/>
      <c r="F262" s="137"/>
      <c r="G262" s="137"/>
      <c r="H262" s="137"/>
      <c r="I262" s="137"/>
      <c r="J262" s="137"/>
    </row>
    <row r="263" spans="1:10" ht="21" hidden="1">
      <c r="A263" s="137">
        <v>10</v>
      </c>
      <c r="B263" s="1749"/>
      <c r="C263" s="137"/>
      <c r="D263" s="137"/>
      <c r="E263" s="137"/>
      <c r="F263" s="137"/>
      <c r="G263" s="137"/>
      <c r="H263" s="137"/>
      <c r="I263" s="137"/>
      <c r="J263" s="139">
        <f>SUM(J254:J262)</f>
        <v>2</v>
      </c>
    </row>
    <row r="264" spans="1:10" hidden="1">
      <c r="A264" s="2744" t="s">
        <v>33</v>
      </c>
      <c r="B264" s="2744"/>
      <c r="C264" s="2744"/>
      <c r="D264" s="2744"/>
      <c r="E264" s="2744"/>
      <c r="F264" s="2744"/>
      <c r="G264" s="2744"/>
      <c r="H264" s="2744"/>
      <c r="I264" s="2744"/>
      <c r="J264" s="2744"/>
    </row>
    <row r="265" spans="1:10" hidden="1">
      <c r="A265" s="150" t="s">
        <v>3</v>
      </c>
      <c r="B265" s="1749" t="s">
        <v>4</v>
      </c>
      <c r="C265" s="150" t="s">
        <v>5</v>
      </c>
      <c r="D265" s="150" t="s">
        <v>6</v>
      </c>
      <c r="E265" s="150" t="s">
        <v>7</v>
      </c>
      <c r="F265" s="150" t="s">
        <v>8</v>
      </c>
      <c r="G265" s="150" t="s">
        <v>9</v>
      </c>
      <c r="H265" s="150" t="s">
        <v>10</v>
      </c>
      <c r="I265" s="150" t="s">
        <v>11</v>
      </c>
      <c r="J265" s="137" t="s">
        <v>12</v>
      </c>
    </row>
    <row r="266" spans="1:10" hidden="1">
      <c r="A266" s="152">
        <v>1</v>
      </c>
      <c r="B266" s="2539" t="s">
        <v>205</v>
      </c>
      <c r="C266" s="152" t="s">
        <v>37</v>
      </c>
      <c r="D266" s="152" t="s">
        <v>251</v>
      </c>
      <c r="E266" s="152" t="s">
        <v>125</v>
      </c>
      <c r="F266" s="162">
        <v>222000000</v>
      </c>
      <c r="G266" s="152" t="s">
        <v>168</v>
      </c>
      <c r="H266" s="152" t="s">
        <v>36</v>
      </c>
      <c r="I266" s="152" t="s">
        <v>36</v>
      </c>
      <c r="J266" s="140">
        <v>1</v>
      </c>
    </row>
    <row r="267" spans="1:10" hidden="1">
      <c r="A267" s="152">
        <v>2</v>
      </c>
      <c r="B267" s="2539" t="s">
        <v>205</v>
      </c>
      <c r="C267" s="152" t="s">
        <v>74</v>
      </c>
      <c r="D267" s="152" t="s">
        <v>252</v>
      </c>
      <c r="E267" s="152" t="s">
        <v>253</v>
      </c>
      <c r="F267" s="162">
        <v>1300000000</v>
      </c>
      <c r="G267" s="152" t="s">
        <v>43</v>
      </c>
      <c r="H267" s="152" t="s">
        <v>36</v>
      </c>
      <c r="I267" s="152" t="s">
        <v>36</v>
      </c>
      <c r="J267" s="140">
        <v>1</v>
      </c>
    </row>
    <row r="268" spans="1:10" hidden="1">
      <c r="A268" s="152">
        <v>3</v>
      </c>
      <c r="B268" s="2539" t="s">
        <v>205</v>
      </c>
      <c r="C268" s="152" t="s">
        <v>74</v>
      </c>
      <c r="D268" s="152" t="s">
        <v>254</v>
      </c>
      <c r="E268" s="152" t="s">
        <v>253</v>
      </c>
      <c r="F268" s="162">
        <v>1450000000</v>
      </c>
      <c r="G268" s="152" t="s">
        <v>43</v>
      </c>
      <c r="H268" s="152" t="s">
        <v>36</v>
      </c>
      <c r="I268" s="152" t="s">
        <v>36</v>
      </c>
      <c r="J268" s="140">
        <v>1</v>
      </c>
    </row>
    <row r="269" spans="1:10" hidden="1">
      <c r="A269" s="152">
        <v>4</v>
      </c>
      <c r="B269" s="2539" t="s">
        <v>255</v>
      </c>
      <c r="C269" s="152" t="s">
        <v>138</v>
      </c>
      <c r="D269" s="152" t="s">
        <v>256</v>
      </c>
      <c r="E269" s="152" t="s">
        <v>125</v>
      </c>
      <c r="F269" s="162">
        <v>315000000</v>
      </c>
      <c r="G269" s="152" t="s">
        <v>43</v>
      </c>
      <c r="H269" s="152" t="s">
        <v>44</v>
      </c>
      <c r="I269" s="152" t="s">
        <v>36</v>
      </c>
      <c r="J269" s="140">
        <v>1</v>
      </c>
    </row>
    <row r="270" spans="1:10" hidden="1">
      <c r="A270" s="152">
        <v>5</v>
      </c>
      <c r="B270" s="2539" t="s">
        <v>255</v>
      </c>
      <c r="C270" s="152" t="s">
        <v>138</v>
      </c>
      <c r="D270" s="152" t="s">
        <v>257</v>
      </c>
      <c r="E270" s="152" t="s">
        <v>125</v>
      </c>
      <c r="F270" s="162">
        <v>197000000</v>
      </c>
      <c r="G270" s="152" t="s">
        <v>43</v>
      </c>
      <c r="H270" s="152" t="s">
        <v>36</v>
      </c>
      <c r="I270" s="152" t="s">
        <v>36</v>
      </c>
      <c r="J270" s="140">
        <v>1</v>
      </c>
    </row>
    <row r="271" spans="1:10" hidden="1">
      <c r="A271" s="152">
        <v>6</v>
      </c>
      <c r="B271" s="2539"/>
      <c r="C271" s="152"/>
      <c r="D271" s="152"/>
      <c r="E271" s="152"/>
      <c r="F271" s="162"/>
      <c r="G271" s="152"/>
      <c r="H271" s="152"/>
      <c r="I271" s="152"/>
      <c r="J271" s="140"/>
    </row>
    <row r="272" spans="1:10" hidden="1">
      <c r="A272" s="152">
        <v>7</v>
      </c>
      <c r="B272" s="2539"/>
      <c r="C272" s="152"/>
      <c r="D272" s="152"/>
      <c r="E272" s="152"/>
      <c r="F272" s="162"/>
      <c r="G272" s="152"/>
      <c r="H272" s="152"/>
      <c r="I272" s="152"/>
      <c r="J272" s="140">
        <f>SUM(J266:J271)</f>
        <v>5</v>
      </c>
    </row>
    <row r="273" spans="1:10" hidden="1"/>
    <row r="274" spans="1:10" hidden="1"/>
    <row r="275" spans="1:10" hidden="1"/>
    <row r="276" spans="1:10" hidden="1"/>
    <row r="277" spans="1:10" hidden="1">
      <c r="A277" s="2755" t="s">
        <v>258</v>
      </c>
      <c r="B277" s="2756"/>
      <c r="C277" s="2756"/>
      <c r="D277" s="2756"/>
      <c r="E277" s="2756"/>
      <c r="F277" s="2756"/>
      <c r="G277" s="2756"/>
      <c r="H277" s="2756"/>
      <c r="I277" s="2756"/>
      <c r="J277" s="2756"/>
    </row>
    <row r="278" spans="1:10" hidden="1">
      <c r="A278" s="2756"/>
      <c r="B278" s="2756"/>
      <c r="C278" s="2756"/>
      <c r="D278" s="2756"/>
      <c r="E278" s="2756"/>
      <c r="F278" s="2756"/>
      <c r="G278" s="2756"/>
      <c r="H278" s="2756"/>
      <c r="I278" s="2756"/>
      <c r="J278" s="2756"/>
    </row>
    <row r="279" spans="1:10" ht="46.15" hidden="1">
      <c r="B279" s="136"/>
      <c r="C279" s="136"/>
      <c r="D279" s="136"/>
      <c r="E279" s="136"/>
      <c r="F279" s="136"/>
      <c r="G279" s="136"/>
      <c r="H279" s="136"/>
      <c r="I279" s="136"/>
      <c r="J279" s="136"/>
    </row>
    <row r="280" spans="1:10" ht="23.45" hidden="1">
      <c r="A280" s="2753" t="s">
        <v>1</v>
      </c>
      <c r="B280" s="2753"/>
      <c r="C280" s="2753"/>
      <c r="D280" s="2753"/>
      <c r="E280" s="2753"/>
      <c r="F280" s="2753"/>
      <c r="G280" s="2753"/>
      <c r="H280" s="2753"/>
      <c r="I280" s="2753"/>
      <c r="J280" s="2753"/>
    </row>
    <row r="281" spans="1:10" ht="15.6" hidden="1">
      <c r="A281" s="2737" t="s">
        <v>2</v>
      </c>
      <c r="B281" s="2737"/>
      <c r="C281" s="2737"/>
      <c r="D281" s="2737"/>
      <c r="E281" s="2737"/>
      <c r="F281" s="2737"/>
      <c r="G281" s="2737"/>
      <c r="H281" s="2737"/>
      <c r="I281" s="2737"/>
      <c r="J281" s="2737"/>
    </row>
    <row r="282" spans="1:10" hidden="1">
      <c r="A282" s="137" t="s">
        <v>3</v>
      </c>
      <c r="B282" s="1749" t="s">
        <v>4</v>
      </c>
      <c r="C282" s="137" t="s">
        <v>5</v>
      </c>
      <c r="D282" s="137" t="s">
        <v>6</v>
      </c>
      <c r="E282" s="137" t="s">
        <v>7</v>
      </c>
      <c r="F282" s="137" t="s">
        <v>8</v>
      </c>
      <c r="G282" s="137" t="s">
        <v>9</v>
      </c>
      <c r="H282" s="137" t="s">
        <v>10</v>
      </c>
      <c r="I282" s="137" t="s">
        <v>11</v>
      </c>
      <c r="J282" s="137" t="s">
        <v>12</v>
      </c>
    </row>
    <row r="283" spans="1:10" hidden="1">
      <c r="A283" s="1749">
        <v>1</v>
      </c>
      <c r="B283" s="2538" t="s">
        <v>259</v>
      </c>
      <c r="C283" s="150" t="s">
        <v>138</v>
      </c>
      <c r="D283" s="627" t="s">
        <v>260</v>
      </c>
      <c r="E283" s="150" t="s">
        <v>253</v>
      </c>
      <c r="F283" s="151">
        <v>1200000</v>
      </c>
      <c r="G283" s="150" t="s">
        <v>144</v>
      </c>
      <c r="H283" s="150" t="s">
        <v>36</v>
      </c>
      <c r="I283" s="150" t="s">
        <v>36</v>
      </c>
      <c r="J283" s="137">
        <v>1</v>
      </c>
    </row>
    <row r="284" spans="1:10" hidden="1">
      <c r="A284" s="1749">
        <v>2</v>
      </c>
      <c r="B284" s="2538" t="s">
        <v>259</v>
      </c>
      <c r="C284" s="150" t="s">
        <v>138</v>
      </c>
      <c r="D284" s="627" t="s">
        <v>261</v>
      </c>
      <c r="E284" s="150" t="s">
        <v>239</v>
      </c>
      <c r="F284" s="151">
        <v>1500000</v>
      </c>
      <c r="G284" s="150" t="s">
        <v>43</v>
      </c>
      <c r="H284" s="150" t="s">
        <v>36</v>
      </c>
      <c r="I284" s="150" t="s">
        <v>36</v>
      </c>
      <c r="J284" s="137">
        <v>1</v>
      </c>
    </row>
    <row r="285" spans="1:10" hidden="1">
      <c r="A285" s="1749">
        <v>3</v>
      </c>
      <c r="B285" s="2538" t="s">
        <v>259</v>
      </c>
      <c r="C285" s="150" t="s">
        <v>138</v>
      </c>
      <c r="D285" s="627" t="s">
        <v>262</v>
      </c>
      <c r="E285" s="150" t="s">
        <v>125</v>
      </c>
      <c r="F285" s="151">
        <v>1200000</v>
      </c>
      <c r="G285" s="150" t="s">
        <v>144</v>
      </c>
      <c r="H285" s="150" t="s">
        <v>36</v>
      </c>
      <c r="I285" s="150" t="s">
        <v>36</v>
      </c>
      <c r="J285" s="137">
        <v>1</v>
      </c>
    </row>
    <row r="286" spans="1:10" hidden="1">
      <c r="A286" s="1749">
        <v>4</v>
      </c>
      <c r="B286" s="2538" t="s">
        <v>259</v>
      </c>
      <c r="C286" s="150" t="s">
        <v>138</v>
      </c>
      <c r="D286" s="627" t="s">
        <v>263</v>
      </c>
      <c r="E286" s="150" t="s">
        <v>125</v>
      </c>
      <c r="F286" s="151">
        <v>1250000</v>
      </c>
      <c r="G286" s="150" t="s">
        <v>144</v>
      </c>
      <c r="H286" s="150" t="s">
        <v>36</v>
      </c>
      <c r="I286" s="150" t="s">
        <v>36</v>
      </c>
      <c r="J286" s="137">
        <v>1</v>
      </c>
    </row>
    <row r="287" spans="1:10" hidden="1">
      <c r="A287" s="1749">
        <v>5</v>
      </c>
      <c r="B287" s="1749" t="s">
        <v>264</v>
      </c>
      <c r="C287" s="150" t="s">
        <v>138</v>
      </c>
      <c r="D287" s="627" t="s">
        <v>183</v>
      </c>
      <c r="E287" s="150" t="s">
        <v>125</v>
      </c>
      <c r="F287" s="151">
        <v>1350000</v>
      </c>
      <c r="G287" s="150" t="s">
        <v>43</v>
      </c>
      <c r="H287" s="150" t="s">
        <v>36</v>
      </c>
      <c r="I287" s="150" t="s">
        <v>36</v>
      </c>
      <c r="J287" s="137">
        <v>1</v>
      </c>
    </row>
    <row r="288" spans="1:10" hidden="1">
      <c r="A288" s="1749">
        <v>6</v>
      </c>
      <c r="B288" s="1749" t="s">
        <v>265</v>
      </c>
      <c r="C288" s="150" t="s">
        <v>138</v>
      </c>
      <c r="D288" s="627" t="s">
        <v>266</v>
      </c>
      <c r="E288" s="150" t="s">
        <v>125</v>
      </c>
      <c r="F288" s="151">
        <v>1400000</v>
      </c>
      <c r="G288" s="150" t="s">
        <v>43</v>
      </c>
      <c r="H288" s="150" t="s">
        <v>36</v>
      </c>
      <c r="I288" s="150" t="s">
        <v>36</v>
      </c>
      <c r="J288" s="137">
        <v>1</v>
      </c>
    </row>
    <row r="289" spans="1:10" hidden="1">
      <c r="A289" s="1749">
        <v>7</v>
      </c>
      <c r="B289" s="1749" t="s">
        <v>267</v>
      </c>
      <c r="C289" s="150" t="s">
        <v>146</v>
      </c>
      <c r="D289" s="627" t="s">
        <v>268</v>
      </c>
      <c r="E289" s="150" t="s">
        <v>125</v>
      </c>
      <c r="F289" s="151">
        <v>950000</v>
      </c>
      <c r="G289" s="150" t="s">
        <v>43</v>
      </c>
      <c r="H289" s="150" t="s">
        <v>44</v>
      </c>
      <c r="I289" s="150" t="s">
        <v>36</v>
      </c>
      <c r="J289" s="137">
        <v>1</v>
      </c>
    </row>
    <row r="290" spans="1:10" hidden="1">
      <c r="A290" s="1749">
        <v>8</v>
      </c>
      <c r="B290" s="1749" t="s">
        <v>269</v>
      </c>
      <c r="C290" s="150" t="s">
        <v>138</v>
      </c>
      <c r="D290" s="627" t="s">
        <v>270</v>
      </c>
      <c r="E290" s="150" t="s">
        <v>253</v>
      </c>
      <c r="F290" s="151">
        <v>800000</v>
      </c>
      <c r="G290" s="150" t="s">
        <v>43</v>
      </c>
      <c r="H290" s="150" t="s">
        <v>271</v>
      </c>
      <c r="I290" s="150" t="s">
        <v>36</v>
      </c>
      <c r="J290" s="137">
        <v>1</v>
      </c>
    </row>
    <row r="291" spans="1:10" hidden="1">
      <c r="A291" s="1749">
        <v>9</v>
      </c>
      <c r="B291" s="1749" t="s">
        <v>272</v>
      </c>
      <c r="C291" s="137" t="s">
        <v>273</v>
      </c>
      <c r="D291" s="628" t="s">
        <v>274</v>
      </c>
      <c r="E291" s="137" t="s">
        <v>216</v>
      </c>
      <c r="F291" s="151">
        <v>780000</v>
      </c>
      <c r="G291" s="137" t="s">
        <v>43</v>
      </c>
      <c r="H291" s="137" t="s">
        <v>36</v>
      </c>
      <c r="I291" s="137" t="s">
        <v>36</v>
      </c>
      <c r="J291" s="137">
        <v>1</v>
      </c>
    </row>
    <row r="292" spans="1:10" hidden="1">
      <c r="A292" s="1749">
        <v>10</v>
      </c>
      <c r="B292" s="1749" t="s">
        <v>275</v>
      </c>
      <c r="C292" s="137" t="s">
        <v>37</v>
      </c>
      <c r="D292" s="628" t="s">
        <v>276</v>
      </c>
      <c r="E292" s="137" t="s">
        <v>125</v>
      </c>
      <c r="F292" s="151">
        <v>700000</v>
      </c>
      <c r="G292" s="137" t="s">
        <v>277</v>
      </c>
      <c r="H292" s="137" t="s">
        <v>271</v>
      </c>
      <c r="I292" s="137" t="s">
        <v>36</v>
      </c>
      <c r="J292" s="137">
        <v>1</v>
      </c>
    </row>
    <row r="293" spans="1:10" hidden="1">
      <c r="A293" s="1749">
        <v>11</v>
      </c>
      <c r="B293" s="1749" t="s">
        <v>278</v>
      </c>
      <c r="C293" s="137" t="s">
        <v>146</v>
      </c>
      <c r="D293" s="628" t="s">
        <v>279</v>
      </c>
      <c r="E293" s="137" t="s">
        <v>239</v>
      </c>
      <c r="F293" s="151">
        <v>1000000</v>
      </c>
      <c r="G293" s="137" t="s">
        <v>43</v>
      </c>
      <c r="H293" s="137" t="s">
        <v>271</v>
      </c>
      <c r="I293" s="137" t="s">
        <v>36</v>
      </c>
      <c r="J293" s="137">
        <v>1</v>
      </c>
    </row>
    <row r="294" spans="1:10" hidden="1">
      <c r="A294" s="1749">
        <v>12</v>
      </c>
      <c r="B294" s="1749" t="s">
        <v>280</v>
      </c>
      <c r="C294" s="137" t="s">
        <v>37</v>
      </c>
      <c r="D294" s="628" t="s">
        <v>281</v>
      </c>
      <c r="E294" s="137" t="s">
        <v>125</v>
      </c>
      <c r="F294" s="151">
        <v>1250000</v>
      </c>
      <c r="G294" s="137" t="s">
        <v>43</v>
      </c>
      <c r="H294" s="137" t="s">
        <v>271</v>
      </c>
      <c r="I294" s="137" t="s">
        <v>36</v>
      </c>
      <c r="J294" s="137">
        <v>1</v>
      </c>
    </row>
    <row r="295" spans="1:10" hidden="1">
      <c r="A295" s="1749">
        <v>13</v>
      </c>
      <c r="B295" s="1749" t="s">
        <v>282</v>
      </c>
      <c r="C295" s="137" t="s">
        <v>37</v>
      </c>
      <c r="D295" s="628" t="s">
        <v>283</v>
      </c>
      <c r="E295" s="137" t="s">
        <v>125</v>
      </c>
      <c r="F295" s="151">
        <v>820000</v>
      </c>
      <c r="G295" s="137" t="s">
        <v>284</v>
      </c>
      <c r="H295" s="137" t="s">
        <v>271</v>
      </c>
      <c r="I295" s="137" t="s">
        <v>36</v>
      </c>
      <c r="J295" s="137">
        <v>1</v>
      </c>
    </row>
    <row r="296" spans="1:10" hidden="1">
      <c r="A296" s="1749">
        <v>14</v>
      </c>
      <c r="B296" s="1749" t="s">
        <v>285</v>
      </c>
      <c r="C296" s="137" t="s">
        <v>37</v>
      </c>
      <c r="D296" s="628" t="s">
        <v>286</v>
      </c>
      <c r="E296" s="137" t="s">
        <v>125</v>
      </c>
      <c r="F296" s="151">
        <v>1300000</v>
      </c>
      <c r="G296" s="137" t="s">
        <v>43</v>
      </c>
      <c r="H296" s="137" t="s">
        <v>271</v>
      </c>
      <c r="I296" s="137" t="s">
        <v>36</v>
      </c>
      <c r="J296" s="137">
        <v>1</v>
      </c>
    </row>
    <row r="297" spans="1:10" hidden="1">
      <c r="A297" s="1749">
        <v>15</v>
      </c>
      <c r="B297" s="1749" t="s">
        <v>287</v>
      </c>
      <c r="C297" s="137" t="s">
        <v>37</v>
      </c>
      <c r="D297" s="628" t="s">
        <v>288</v>
      </c>
      <c r="E297" s="137" t="s">
        <v>125</v>
      </c>
      <c r="F297" s="151">
        <v>1300000</v>
      </c>
      <c r="G297" s="137" t="s">
        <v>289</v>
      </c>
      <c r="H297" s="137" t="s">
        <v>271</v>
      </c>
      <c r="I297" s="137" t="s">
        <v>36</v>
      </c>
      <c r="J297" s="137">
        <v>1</v>
      </c>
    </row>
    <row r="298" spans="1:10" hidden="1">
      <c r="A298" s="1749">
        <v>16</v>
      </c>
      <c r="B298" s="1749" t="s">
        <v>287</v>
      </c>
      <c r="C298" s="137" t="s">
        <v>37</v>
      </c>
      <c r="D298" s="628" t="s">
        <v>290</v>
      </c>
      <c r="E298" s="137" t="s">
        <v>291</v>
      </c>
      <c r="F298" s="151">
        <v>1200000</v>
      </c>
      <c r="G298" s="137" t="s">
        <v>43</v>
      </c>
      <c r="H298" s="137" t="s">
        <v>271</v>
      </c>
      <c r="I298" s="137" t="s">
        <v>36</v>
      </c>
      <c r="J298" s="137">
        <v>1</v>
      </c>
    </row>
    <row r="299" spans="1:10" hidden="1">
      <c r="A299" s="1749">
        <v>17</v>
      </c>
      <c r="B299" s="1749" t="s">
        <v>292</v>
      </c>
      <c r="C299" s="137" t="s">
        <v>37</v>
      </c>
      <c r="D299" s="628" t="s">
        <v>293</v>
      </c>
      <c r="E299" s="137" t="s">
        <v>294</v>
      </c>
      <c r="F299" s="151">
        <v>960000</v>
      </c>
      <c r="G299" s="137" t="s">
        <v>295</v>
      </c>
      <c r="H299" s="137" t="s">
        <v>271</v>
      </c>
      <c r="I299" s="137" t="s">
        <v>36</v>
      </c>
      <c r="J299" s="137">
        <v>1</v>
      </c>
    </row>
    <row r="300" spans="1:10" hidden="1">
      <c r="A300" s="1749">
        <v>18</v>
      </c>
      <c r="B300" s="1749" t="s">
        <v>296</v>
      </c>
      <c r="C300" s="137" t="s">
        <v>37</v>
      </c>
      <c r="D300" s="628" t="s">
        <v>297</v>
      </c>
      <c r="E300" s="137" t="s">
        <v>125</v>
      </c>
      <c r="F300" s="151">
        <v>1200000</v>
      </c>
      <c r="G300" s="137" t="s">
        <v>43</v>
      </c>
      <c r="H300" s="137" t="s">
        <v>271</v>
      </c>
      <c r="I300" s="137" t="s">
        <v>36</v>
      </c>
      <c r="J300" s="137">
        <v>1</v>
      </c>
    </row>
    <row r="301" spans="1:10" hidden="1">
      <c r="A301" s="1749">
        <v>19</v>
      </c>
      <c r="B301" s="1749" t="s">
        <v>292</v>
      </c>
      <c r="C301" s="137" t="s">
        <v>37</v>
      </c>
      <c r="D301" s="628" t="s">
        <v>298</v>
      </c>
      <c r="E301" s="137" t="s">
        <v>125</v>
      </c>
      <c r="F301" s="151">
        <v>850000</v>
      </c>
      <c r="G301" s="137" t="s">
        <v>299</v>
      </c>
      <c r="H301" s="137" t="s">
        <v>271</v>
      </c>
      <c r="I301" s="137" t="s">
        <v>36</v>
      </c>
      <c r="J301" s="137">
        <v>1</v>
      </c>
    </row>
    <row r="302" spans="1:10" hidden="1">
      <c r="A302" s="1749">
        <v>20</v>
      </c>
      <c r="B302" s="1749" t="s">
        <v>300</v>
      </c>
      <c r="C302" s="137" t="s">
        <v>146</v>
      </c>
      <c r="D302" s="137" t="s">
        <v>301</v>
      </c>
      <c r="E302" s="137" t="s">
        <v>125</v>
      </c>
      <c r="F302" s="151">
        <v>1500000</v>
      </c>
      <c r="G302" s="137" t="s">
        <v>43</v>
      </c>
      <c r="H302" s="137" t="s">
        <v>271</v>
      </c>
      <c r="I302" s="137" t="s">
        <v>36</v>
      </c>
      <c r="J302" s="137">
        <v>1</v>
      </c>
    </row>
    <row r="303" spans="1:10" ht="21" hidden="1">
      <c r="A303" s="137"/>
      <c r="B303" s="1749"/>
      <c r="C303" s="137"/>
      <c r="D303" s="137"/>
      <c r="E303" s="137"/>
      <c r="F303" s="138"/>
      <c r="G303" s="137"/>
      <c r="H303" s="137"/>
      <c r="I303" s="137"/>
      <c r="J303" s="139">
        <f>SUM(J283:J302)</f>
        <v>20</v>
      </c>
    </row>
    <row r="304" spans="1:10" hidden="1">
      <c r="A304" s="2744" t="s">
        <v>33</v>
      </c>
      <c r="B304" s="2744"/>
      <c r="C304" s="2744"/>
      <c r="D304" s="2744"/>
      <c r="E304" s="2744"/>
      <c r="F304" s="2744"/>
      <c r="G304" s="2744"/>
      <c r="H304" s="2744"/>
      <c r="I304" s="2744"/>
      <c r="J304" s="2744"/>
    </row>
    <row r="305" spans="1:10" hidden="1">
      <c r="A305" s="137" t="s">
        <v>3</v>
      </c>
      <c r="B305" s="1749" t="s">
        <v>4</v>
      </c>
      <c r="C305" s="137" t="s">
        <v>5</v>
      </c>
      <c r="D305" s="137" t="s">
        <v>6</v>
      </c>
      <c r="E305" s="137" t="s">
        <v>7</v>
      </c>
      <c r="F305" s="137" t="s">
        <v>8</v>
      </c>
      <c r="G305" s="137" t="s">
        <v>9</v>
      </c>
      <c r="H305" s="137" t="s">
        <v>10</v>
      </c>
      <c r="I305" s="137" t="s">
        <v>11</v>
      </c>
      <c r="J305" s="137" t="s">
        <v>12</v>
      </c>
    </row>
    <row r="306" spans="1:10" hidden="1">
      <c r="A306" s="541">
        <v>1</v>
      </c>
      <c r="B306" s="2539" t="s">
        <v>259</v>
      </c>
      <c r="C306" s="152" t="s">
        <v>138</v>
      </c>
      <c r="D306" s="152" t="s">
        <v>302</v>
      </c>
      <c r="E306" s="152" t="s">
        <v>125</v>
      </c>
      <c r="F306" s="152">
        <v>145000</v>
      </c>
      <c r="G306" s="152" t="s">
        <v>43</v>
      </c>
      <c r="H306" s="152" t="s">
        <v>36</v>
      </c>
      <c r="I306" s="152" t="s">
        <v>36</v>
      </c>
      <c r="J306" s="200">
        <v>1</v>
      </c>
    </row>
    <row r="307" spans="1:10" hidden="1">
      <c r="A307" s="541">
        <v>2</v>
      </c>
      <c r="B307" s="2539" t="s">
        <v>264</v>
      </c>
      <c r="C307" s="152" t="s">
        <v>146</v>
      </c>
      <c r="D307" s="152" t="s">
        <v>303</v>
      </c>
      <c r="E307" s="152" t="s">
        <v>148</v>
      </c>
      <c r="F307" s="152">
        <v>100000000</v>
      </c>
      <c r="G307" s="152" t="s">
        <v>43</v>
      </c>
      <c r="H307" s="152" t="s">
        <v>44</v>
      </c>
      <c r="I307" s="152" t="s">
        <v>36</v>
      </c>
      <c r="J307" s="200">
        <v>1</v>
      </c>
    </row>
    <row r="308" spans="1:10" hidden="1">
      <c r="A308" s="583">
        <v>3</v>
      </c>
      <c r="B308" s="2540" t="s">
        <v>264</v>
      </c>
      <c r="C308" s="154" t="s">
        <v>146</v>
      </c>
      <c r="D308" s="154" t="s">
        <v>304</v>
      </c>
      <c r="E308" s="154" t="s">
        <v>148</v>
      </c>
      <c r="F308" s="154">
        <v>100000000</v>
      </c>
      <c r="G308" s="154" t="s">
        <v>43</v>
      </c>
      <c r="H308" s="154" t="s">
        <v>44</v>
      </c>
      <c r="I308" s="154" t="s">
        <v>36</v>
      </c>
      <c r="J308" s="584">
        <v>1</v>
      </c>
    </row>
    <row r="309" spans="1:10" hidden="1">
      <c r="A309" s="581">
        <v>4</v>
      </c>
      <c r="B309" s="2541" t="s">
        <v>305</v>
      </c>
      <c r="C309" s="156" t="s">
        <v>138</v>
      </c>
      <c r="D309" s="156" t="s">
        <v>306</v>
      </c>
      <c r="E309" s="156" t="s">
        <v>125</v>
      </c>
      <c r="F309" s="156">
        <v>140000000</v>
      </c>
      <c r="G309" s="156" t="s">
        <v>43</v>
      </c>
      <c r="H309" s="156" t="s">
        <v>271</v>
      </c>
      <c r="I309" s="156" t="s">
        <v>36</v>
      </c>
      <c r="J309" s="144">
        <v>1</v>
      </c>
    </row>
    <row r="310" spans="1:10" hidden="1">
      <c r="A310" s="581">
        <v>5</v>
      </c>
      <c r="B310" s="2541" t="s">
        <v>307</v>
      </c>
      <c r="C310" s="156" t="s">
        <v>37</v>
      </c>
      <c r="D310" s="156" t="s">
        <v>308</v>
      </c>
      <c r="E310" s="156" t="s">
        <v>253</v>
      </c>
      <c r="F310" s="156">
        <v>200000000</v>
      </c>
      <c r="G310" s="156" t="s">
        <v>43</v>
      </c>
      <c r="H310" s="156" t="s">
        <v>44</v>
      </c>
      <c r="I310" s="156" t="s">
        <v>36</v>
      </c>
      <c r="J310" s="144">
        <v>1</v>
      </c>
    </row>
    <row r="311" spans="1:10" ht="20.45" hidden="1">
      <c r="A311" s="144"/>
      <c r="B311" s="581"/>
      <c r="C311" s="144"/>
      <c r="D311" s="144"/>
      <c r="E311" s="144"/>
      <c r="F311" s="144"/>
      <c r="G311" s="144"/>
      <c r="H311" s="144"/>
      <c r="I311" s="144"/>
      <c r="J311" s="582">
        <f>SUM(J306:J310)</f>
        <v>5</v>
      </c>
    </row>
    <row r="312" spans="1:10" hidden="1"/>
    <row r="313" spans="1:10" ht="23.45" hidden="1">
      <c r="A313" s="2753" t="s">
        <v>47</v>
      </c>
      <c r="B313" s="2753"/>
      <c r="C313" s="2753"/>
      <c r="D313" s="2753"/>
      <c r="E313" s="2753"/>
      <c r="F313" s="2753"/>
      <c r="G313" s="2753"/>
      <c r="H313" s="2753"/>
      <c r="I313" s="2753"/>
      <c r="J313" s="2753"/>
    </row>
    <row r="314" spans="1:10" ht="15.6" hidden="1">
      <c r="A314" s="2737" t="s">
        <v>2</v>
      </c>
      <c r="B314" s="2737"/>
      <c r="C314" s="2737"/>
      <c r="D314" s="2737"/>
      <c r="E314" s="2737"/>
      <c r="F314" s="2737"/>
      <c r="G314" s="2737"/>
      <c r="H314" s="2737"/>
      <c r="I314" s="2737"/>
      <c r="J314" s="2737"/>
    </row>
    <row r="315" spans="1:10" hidden="1">
      <c r="A315" s="137" t="s">
        <v>3</v>
      </c>
      <c r="B315" s="1749" t="s">
        <v>4</v>
      </c>
      <c r="C315" s="137" t="s">
        <v>5</v>
      </c>
      <c r="D315" s="137" t="s">
        <v>6</v>
      </c>
      <c r="E315" s="137" t="s">
        <v>7</v>
      </c>
      <c r="F315" s="137" t="s">
        <v>8</v>
      </c>
      <c r="G315" s="137" t="s">
        <v>9</v>
      </c>
      <c r="H315" s="137" t="s">
        <v>10</v>
      </c>
      <c r="I315" s="137" t="s">
        <v>11</v>
      </c>
      <c r="J315" s="137" t="s">
        <v>12</v>
      </c>
    </row>
    <row r="316" spans="1:10" hidden="1">
      <c r="A316" s="1749">
        <v>1</v>
      </c>
      <c r="B316" s="2538" t="s">
        <v>264</v>
      </c>
      <c r="C316" s="150" t="s">
        <v>138</v>
      </c>
      <c r="D316" s="150" t="s">
        <v>309</v>
      </c>
      <c r="E316" s="150" t="s">
        <v>125</v>
      </c>
      <c r="F316" s="151">
        <v>1300000</v>
      </c>
      <c r="G316" s="150" t="s">
        <v>43</v>
      </c>
      <c r="H316" s="150" t="s">
        <v>36</v>
      </c>
      <c r="I316" s="150" t="s">
        <v>36</v>
      </c>
      <c r="J316" s="264">
        <v>1</v>
      </c>
    </row>
    <row r="317" spans="1:10" hidden="1">
      <c r="A317" s="1749">
        <v>2</v>
      </c>
      <c r="B317" s="2538" t="s">
        <v>264</v>
      </c>
      <c r="C317" s="150" t="s">
        <v>138</v>
      </c>
      <c r="D317" s="150" t="s">
        <v>310</v>
      </c>
      <c r="E317" s="150" t="s">
        <v>125</v>
      </c>
      <c r="F317" s="150">
        <v>950000</v>
      </c>
      <c r="G317" s="150" t="s">
        <v>43</v>
      </c>
      <c r="H317" s="150" t="s">
        <v>271</v>
      </c>
      <c r="I317" s="150" t="s">
        <v>36</v>
      </c>
      <c r="J317" s="264">
        <v>1</v>
      </c>
    </row>
    <row r="318" spans="1:10" hidden="1">
      <c r="A318" s="1749">
        <v>3</v>
      </c>
      <c r="B318" s="2538" t="s">
        <v>265</v>
      </c>
      <c r="C318" s="150" t="s">
        <v>138</v>
      </c>
      <c r="D318" s="150" t="s">
        <v>311</v>
      </c>
      <c r="E318" s="150" t="s">
        <v>125</v>
      </c>
      <c r="F318" s="150">
        <v>850</v>
      </c>
      <c r="G318" s="150" t="s">
        <v>43</v>
      </c>
      <c r="H318" s="150" t="s">
        <v>271</v>
      </c>
      <c r="I318" s="150" t="s">
        <v>36</v>
      </c>
      <c r="J318" s="264">
        <v>1</v>
      </c>
    </row>
    <row r="319" spans="1:10" hidden="1">
      <c r="A319" s="1749">
        <v>4</v>
      </c>
      <c r="B319" s="1749" t="s">
        <v>312</v>
      </c>
      <c r="C319" s="150" t="s">
        <v>219</v>
      </c>
      <c r="D319" s="150" t="s">
        <v>313</v>
      </c>
      <c r="E319" s="150" t="s">
        <v>216</v>
      </c>
      <c r="F319" s="150">
        <v>700000</v>
      </c>
      <c r="G319" s="150" t="s">
        <v>43</v>
      </c>
      <c r="H319" s="150" t="s">
        <v>271</v>
      </c>
      <c r="I319" s="150" t="s">
        <v>36</v>
      </c>
      <c r="J319" s="264">
        <v>1</v>
      </c>
    </row>
    <row r="320" spans="1:10" hidden="1">
      <c r="A320" s="1749">
        <v>5</v>
      </c>
      <c r="B320" s="1749"/>
      <c r="C320" s="150"/>
      <c r="D320" s="150"/>
      <c r="E320" s="150"/>
      <c r="F320" s="150"/>
      <c r="G320" s="150"/>
      <c r="H320" s="150"/>
      <c r="I320" s="150"/>
      <c r="J320" s="264"/>
    </row>
    <row r="321" spans="1:10" hidden="1">
      <c r="A321" s="1749">
        <v>6</v>
      </c>
      <c r="B321" s="1749"/>
      <c r="C321" s="150"/>
      <c r="D321" s="150"/>
      <c r="E321" s="150"/>
      <c r="F321" s="150"/>
      <c r="G321" s="150"/>
      <c r="H321" s="150"/>
      <c r="I321" s="150"/>
      <c r="J321" s="264"/>
    </row>
    <row r="322" spans="1:10" hidden="1">
      <c r="A322" s="1749">
        <v>7</v>
      </c>
      <c r="B322" s="1749"/>
      <c r="C322" s="150"/>
      <c r="D322" s="150"/>
      <c r="E322" s="150"/>
      <c r="F322" s="150"/>
      <c r="G322" s="150"/>
      <c r="H322" s="150"/>
      <c r="I322" s="150"/>
      <c r="J322" s="264"/>
    </row>
    <row r="323" spans="1:10" hidden="1">
      <c r="A323" s="1749">
        <v>8</v>
      </c>
      <c r="B323" s="1749"/>
      <c r="C323" s="150"/>
      <c r="D323" s="150"/>
      <c r="E323" s="150"/>
      <c r="F323" s="150"/>
      <c r="G323" s="150"/>
      <c r="H323" s="150"/>
      <c r="I323" s="150"/>
      <c r="J323" s="264"/>
    </row>
    <row r="324" spans="1:10" hidden="1">
      <c r="A324" s="1749">
        <v>9</v>
      </c>
      <c r="B324" s="1749"/>
      <c r="C324" s="137"/>
      <c r="D324" s="137"/>
      <c r="E324" s="137"/>
      <c r="F324" s="150"/>
      <c r="G324" s="137"/>
      <c r="H324" s="137"/>
      <c r="I324" s="137"/>
      <c r="J324" s="137"/>
    </row>
    <row r="325" spans="1:10" hidden="1">
      <c r="A325" s="1749">
        <v>10</v>
      </c>
      <c r="B325" s="1749"/>
      <c r="C325" s="137"/>
      <c r="D325" s="137"/>
      <c r="E325" s="137"/>
      <c r="F325" s="137"/>
      <c r="G325" s="137"/>
      <c r="H325" s="137"/>
      <c r="I325" s="137"/>
      <c r="J325" s="137"/>
    </row>
    <row r="326" spans="1:10" hidden="1">
      <c r="A326" s="1749">
        <v>11</v>
      </c>
      <c r="B326" s="1749"/>
      <c r="C326" s="137"/>
      <c r="D326" s="137"/>
      <c r="E326" s="137"/>
      <c r="F326" s="137"/>
      <c r="G326" s="137"/>
      <c r="H326" s="137"/>
      <c r="I326" s="137"/>
      <c r="J326" s="137"/>
    </row>
    <row r="327" spans="1:10" hidden="1">
      <c r="A327" s="1749">
        <v>12</v>
      </c>
      <c r="B327" s="1749"/>
      <c r="C327" s="137"/>
      <c r="D327" s="137"/>
      <c r="E327" s="137"/>
      <c r="F327" s="137"/>
      <c r="G327" s="137"/>
      <c r="H327" s="137"/>
      <c r="I327" s="137"/>
      <c r="J327" s="137"/>
    </row>
    <row r="328" spans="1:10" hidden="1">
      <c r="A328" s="1749">
        <v>13</v>
      </c>
      <c r="B328" s="1749"/>
      <c r="C328" s="137"/>
      <c r="D328" s="137"/>
      <c r="E328" s="137"/>
      <c r="F328" s="137"/>
      <c r="G328" s="137"/>
      <c r="H328" s="137"/>
      <c r="I328" s="137"/>
      <c r="J328" s="137"/>
    </row>
    <row r="329" spans="1:10" hidden="1">
      <c r="A329" s="1749">
        <v>14</v>
      </c>
      <c r="B329" s="1749"/>
      <c r="C329" s="137"/>
      <c r="D329" s="137"/>
      <c r="E329" s="137"/>
      <c r="F329" s="137"/>
      <c r="G329" s="137"/>
      <c r="H329" s="137"/>
      <c r="I329" s="137"/>
      <c r="J329" s="137"/>
    </row>
    <row r="330" spans="1:10" hidden="1">
      <c r="A330" s="1749">
        <v>15</v>
      </c>
      <c r="B330" s="1749"/>
      <c r="C330" s="137"/>
      <c r="D330" s="137"/>
      <c r="E330" s="137"/>
      <c r="F330" s="137"/>
      <c r="G330" s="137"/>
      <c r="H330" s="137"/>
      <c r="I330" s="137"/>
      <c r="J330" s="137"/>
    </row>
    <row r="331" spans="1:10" hidden="1">
      <c r="A331" s="1749">
        <v>16</v>
      </c>
      <c r="B331" s="1749"/>
      <c r="C331" s="137"/>
      <c r="D331" s="137"/>
      <c r="E331" s="137"/>
      <c r="F331" s="137"/>
      <c r="G331" s="137"/>
      <c r="H331" s="137"/>
      <c r="I331" s="137"/>
      <c r="J331" s="137"/>
    </row>
    <row r="332" spans="1:10" hidden="1">
      <c r="A332" s="1749">
        <v>17</v>
      </c>
      <c r="B332" s="1749"/>
      <c r="C332" s="137"/>
      <c r="D332" s="137"/>
      <c r="E332" s="137"/>
      <c r="F332" s="137"/>
      <c r="G332" s="137"/>
      <c r="H332" s="137"/>
      <c r="I332" s="137"/>
      <c r="J332" s="137"/>
    </row>
    <row r="333" spans="1:10" hidden="1">
      <c r="A333" s="1749">
        <v>18</v>
      </c>
      <c r="B333" s="1749"/>
      <c r="C333" s="137"/>
      <c r="D333" s="137"/>
      <c r="E333" s="137"/>
      <c r="F333" s="137"/>
      <c r="G333" s="137"/>
      <c r="H333" s="137"/>
      <c r="I333" s="137"/>
      <c r="J333" s="137"/>
    </row>
    <row r="334" spans="1:10" hidden="1">
      <c r="A334" s="1749">
        <v>19</v>
      </c>
      <c r="B334" s="1749"/>
      <c r="C334" s="137"/>
      <c r="D334" s="137"/>
      <c r="E334" s="137"/>
      <c r="F334" s="137"/>
      <c r="G334" s="137"/>
      <c r="H334" s="137"/>
      <c r="I334" s="137"/>
      <c r="J334" s="137"/>
    </row>
    <row r="335" spans="1:10" hidden="1">
      <c r="A335" s="1749">
        <v>20</v>
      </c>
      <c r="B335" s="1749"/>
      <c r="C335" s="137"/>
      <c r="D335" s="137"/>
      <c r="E335" s="137"/>
      <c r="F335" s="137"/>
      <c r="G335" s="137"/>
      <c r="H335" s="137"/>
      <c r="I335" s="137"/>
      <c r="J335" s="137"/>
    </row>
    <row r="336" spans="1:10" ht="21" hidden="1">
      <c r="A336" s="137"/>
      <c r="B336" s="1749"/>
      <c r="C336" s="137"/>
      <c r="D336" s="137"/>
      <c r="E336" s="137"/>
      <c r="F336" s="137"/>
      <c r="G336" s="137"/>
      <c r="H336" s="137"/>
      <c r="I336" s="137"/>
      <c r="J336" s="139">
        <f>SUM(J316:J335)</f>
        <v>4</v>
      </c>
    </row>
    <row r="337" spans="1:10" hidden="1">
      <c r="A337" s="2744" t="s">
        <v>33</v>
      </c>
      <c r="B337" s="2744"/>
      <c r="C337" s="2744"/>
      <c r="D337" s="2744"/>
      <c r="E337" s="2744"/>
      <c r="F337" s="2744"/>
      <c r="G337" s="2744"/>
      <c r="H337" s="2744"/>
      <c r="I337" s="2744"/>
      <c r="J337" s="2744"/>
    </row>
    <row r="338" spans="1:10" hidden="1">
      <c r="A338" s="137" t="s">
        <v>3</v>
      </c>
      <c r="B338" s="1749" t="s">
        <v>4</v>
      </c>
      <c r="C338" s="137" t="s">
        <v>5</v>
      </c>
      <c r="D338" s="137" t="s">
        <v>6</v>
      </c>
      <c r="E338" s="137" t="s">
        <v>7</v>
      </c>
      <c r="F338" s="137" t="s">
        <v>8</v>
      </c>
      <c r="G338" s="137" t="s">
        <v>9</v>
      </c>
      <c r="H338" s="137" t="s">
        <v>10</v>
      </c>
      <c r="I338" s="137" t="s">
        <v>11</v>
      </c>
      <c r="J338" s="137" t="s">
        <v>12</v>
      </c>
    </row>
    <row r="339" spans="1:10" hidden="1">
      <c r="A339" s="541">
        <v>1</v>
      </c>
      <c r="B339" s="2539" t="s">
        <v>314</v>
      </c>
      <c r="C339" s="152" t="s">
        <v>138</v>
      </c>
      <c r="D339" s="152" t="s">
        <v>315</v>
      </c>
      <c r="E339" s="152" t="s">
        <v>125</v>
      </c>
      <c r="F339" s="153">
        <v>270000000</v>
      </c>
      <c r="G339" s="152" t="s">
        <v>316</v>
      </c>
      <c r="H339" s="152" t="s">
        <v>36</v>
      </c>
      <c r="I339" s="152" t="s">
        <v>36</v>
      </c>
      <c r="J339" s="140">
        <v>1</v>
      </c>
    </row>
    <row r="340" spans="1:10" hidden="1">
      <c r="A340" s="541">
        <v>2</v>
      </c>
      <c r="B340" s="2539" t="s">
        <v>317</v>
      </c>
      <c r="C340" s="152" t="s">
        <v>138</v>
      </c>
      <c r="D340" s="152" t="s">
        <v>318</v>
      </c>
      <c r="E340" s="152" t="s">
        <v>125</v>
      </c>
      <c r="F340" s="153">
        <v>180000000</v>
      </c>
      <c r="G340" s="152" t="s">
        <v>79</v>
      </c>
      <c r="H340" s="152" t="s">
        <v>44</v>
      </c>
      <c r="I340" s="152" t="s">
        <v>36</v>
      </c>
      <c r="J340" s="140">
        <v>1</v>
      </c>
    </row>
    <row r="341" spans="1:10" hidden="1">
      <c r="A341" s="583">
        <v>3</v>
      </c>
      <c r="B341" s="2540" t="s">
        <v>317</v>
      </c>
      <c r="C341" s="154" t="s">
        <v>37</v>
      </c>
      <c r="D341" s="154" t="s">
        <v>319</v>
      </c>
      <c r="E341" s="154" t="s">
        <v>125</v>
      </c>
      <c r="F341" s="155">
        <v>250000000</v>
      </c>
      <c r="G341" s="154" t="s">
        <v>233</v>
      </c>
      <c r="H341" s="154" t="s">
        <v>271</v>
      </c>
      <c r="I341" s="154" t="s">
        <v>36</v>
      </c>
      <c r="J341" s="143">
        <v>1</v>
      </c>
    </row>
    <row r="342" spans="1:10" hidden="1">
      <c r="A342" s="581">
        <v>4</v>
      </c>
      <c r="B342" s="2541" t="s">
        <v>320</v>
      </c>
      <c r="C342" s="156" t="s">
        <v>37</v>
      </c>
      <c r="D342" s="156" t="s">
        <v>321</v>
      </c>
      <c r="E342" s="156" t="s">
        <v>322</v>
      </c>
      <c r="F342" s="157">
        <v>250000000</v>
      </c>
      <c r="G342" s="156" t="s">
        <v>323</v>
      </c>
      <c r="H342" s="156" t="s">
        <v>271</v>
      </c>
      <c r="I342" s="156" t="s">
        <v>36</v>
      </c>
      <c r="J342" s="144">
        <v>1</v>
      </c>
    </row>
    <row r="343" spans="1:10" ht="21" hidden="1">
      <c r="A343" s="141"/>
      <c r="B343" s="2542"/>
      <c r="C343" s="141"/>
      <c r="D343" s="141"/>
      <c r="E343" s="141"/>
      <c r="F343" s="145"/>
      <c r="G343" s="141"/>
      <c r="H343" s="141"/>
      <c r="I343" s="141"/>
      <c r="J343" s="146">
        <v>4</v>
      </c>
    </row>
    <row r="344" spans="1:10" hidden="1"/>
    <row r="345" spans="1:10" ht="23.45" hidden="1">
      <c r="A345" s="2753" t="s">
        <v>80</v>
      </c>
      <c r="B345" s="2753"/>
      <c r="C345" s="2753"/>
      <c r="D345" s="2753"/>
      <c r="E345" s="2753"/>
      <c r="F345" s="2753"/>
      <c r="G345" s="2753"/>
      <c r="H345" s="2753"/>
      <c r="I345" s="2753"/>
      <c r="J345" s="2753"/>
    </row>
    <row r="346" spans="1:10" ht="15.6" hidden="1">
      <c r="A346" s="2737" t="s">
        <v>2</v>
      </c>
      <c r="B346" s="2737"/>
      <c r="C346" s="2737"/>
      <c r="D346" s="2737"/>
      <c r="E346" s="2737"/>
      <c r="F346" s="2737"/>
      <c r="G346" s="2737"/>
      <c r="H346" s="2737"/>
      <c r="I346" s="2737"/>
      <c r="J346" s="2737"/>
    </row>
    <row r="347" spans="1:10" hidden="1">
      <c r="A347" s="150" t="s">
        <v>3</v>
      </c>
      <c r="B347" s="1749" t="s">
        <v>4</v>
      </c>
      <c r="C347" s="150" t="s">
        <v>5</v>
      </c>
      <c r="D347" s="150" t="s">
        <v>6</v>
      </c>
      <c r="E347" s="150" t="s">
        <v>7</v>
      </c>
      <c r="F347" s="150" t="s">
        <v>8</v>
      </c>
      <c r="G347" s="150" t="s">
        <v>9</v>
      </c>
      <c r="H347" s="150" t="s">
        <v>10</v>
      </c>
      <c r="I347" s="150" t="s">
        <v>11</v>
      </c>
      <c r="J347" s="137" t="s">
        <v>12</v>
      </c>
    </row>
    <row r="348" spans="1:10" hidden="1">
      <c r="A348" s="1749">
        <v>1</v>
      </c>
      <c r="B348" s="1749" t="s">
        <v>324</v>
      </c>
      <c r="C348" s="137" t="s">
        <v>37</v>
      </c>
      <c r="D348" s="137" t="s">
        <v>325</v>
      </c>
      <c r="E348" s="137" t="s">
        <v>125</v>
      </c>
      <c r="F348" s="137">
        <v>1200000</v>
      </c>
      <c r="G348" s="137" t="s">
        <v>102</v>
      </c>
      <c r="H348" s="137" t="s">
        <v>36</v>
      </c>
      <c r="I348" s="137" t="s">
        <v>36</v>
      </c>
      <c r="J348" s="137">
        <v>1</v>
      </c>
    </row>
    <row r="349" spans="1:10" hidden="1">
      <c r="A349" s="1749">
        <v>2</v>
      </c>
      <c r="B349" s="1749" t="s">
        <v>314</v>
      </c>
      <c r="C349" s="137" t="s">
        <v>138</v>
      </c>
      <c r="D349" s="137" t="s">
        <v>326</v>
      </c>
      <c r="E349" s="137" t="s">
        <v>125</v>
      </c>
      <c r="F349" s="137">
        <v>1250000</v>
      </c>
      <c r="G349" s="137" t="s">
        <v>43</v>
      </c>
      <c r="H349" s="137" t="s">
        <v>36</v>
      </c>
      <c r="I349" s="137" t="s">
        <v>36</v>
      </c>
      <c r="J349" s="137">
        <v>1</v>
      </c>
    </row>
    <row r="350" spans="1:10" hidden="1">
      <c r="A350" s="1749">
        <v>3</v>
      </c>
      <c r="B350" s="2538" t="s">
        <v>327</v>
      </c>
      <c r="C350" s="137" t="s">
        <v>138</v>
      </c>
      <c r="D350" s="137" t="s">
        <v>328</v>
      </c>
      <c r="E350" s="137" t="s">
        <v>125</v>
      </c>
      <c r="F350" s="137">
        <v>1300000</v>
      </c>
      <c r="G350" s="137" t="s">
        <v>329</v>
      </c>
      <c r="H350" s="137" t="s">
        <v>271</v>
      </c>
      <c r="I350" s="137" t="s">
        <v>36</v>
      </c>
      <c r="J350" s="137">
        <v>1</v>
      </c>
    </row>
    <row r="351" spans="1:10" hidden="1">
      <c r="A351" s="1749">
        <v>4</v>
      </c>
      <c r="B351" s="2543" t="s">
        <v>327</v>
      </c>
      <c r="C351" s="147" t="s">
        <v>138</v>
      </c>
      <c r="D351" s="147" t="s">
        <v>330</v>
      </c>
      <c r="E351" s="147" t="s">
        <v>125</v>
      </c>
      <c r="F351" s="147">
        <v>800000</v>
      </c>
      <c r="G351" s="147" t="s">
        <v>331</v>
      </c>
      <c r="H351" s="147" t="s">
        <v>271</v>
      </c>
      <c r="I351" s="147" t="s">
        <v>36</v>
      </c>
      <c r="J351" s="147">
        <v>1</v>
      </c>
    </row>
    <row r="352" spans="1:10" hidden="1">
      <c r="A352" s="542">
        <v>5</v>
      </c>
      <c r="B352" s="2" t="s">
        <v>332</v>
      </c>
      <c r="C352" s="11" t="s">
        <v>138</v>
      </c>
      <c r="D352" s="11" t="s">
        <v>333</v>
      </c>
      <c r="E352" s="11" t="s">
        <v>125</v>
      </c>
      <c r="F352" s="11">
        <v>750000</v>
      </c>
      <c r="G352" s="11" t="s">
        <v>331</v>
      </c>
      <c r="H352" s="11" t="s">
        <v>271</v>
      </c>
      <c r="I352" s="11" t="s">
        <v>36</v>
      </c>
      <c r="J352" s="11">
        <v>1</v>
      </c>
    </row>
    <row r="353" spans="1:10" hidden="1">
      <c r="A353" s="542">
        <v>6</v>
      </c>
      <c r="B353" s="2" t="s">
        <v>305</v>
      </c>
      <c r="C353" s="11" t="s">
        <v>138</v>
      </c>
      <c r="D353" s="11" t="s">
        <v>334</v>
      </c>
      <c r="E353" s="11" t="s">
        <v>125</v>
      </c>
      <c r="F353" s="11">
        <v>1000000</v>
      </c>
      <c r="G353" s="11" t="s">
        <v>235</v>
      </c>
      <c r="H353" s="11" t="s">
        <v>271</v>
      </c>
      <c r="I353" s="11" t="s">
        <v>36</v>
      </c>
      <c r="J353" s="11">
        <v>1</v>
      </c>
    </row>
    <row r="354" spans="1:10" hidden="1">
      <c r="A354" s="542">
        <v>7</v>
      </c>
      <c r="B354" s="2" t="s">
        <v>305</v>
      </c>
      <c r="C354" s="11" t="s">
        <v>138</v>
      </c>
      <c r="D354" s="11" t="s">
        <v>335</v>
      </c>
      <c r="E354" s="11" t="s">
        <v>125</v>
      </c>
      <c r="F354" s="11">
        <v>1350000</v>
      </c>
      <c r="G354" s="11" t="s">
        <v>43</v>
      </c>
      <c r="H354" s="11" t="s">
        <v>271</v>
      </c>
      <c r="I354" s="11" t="s">
        <v>36</v>
      </c>
      <c r="J354" s="11">
        <v>1</v>
      </c>
    </row>
    <row r="355" spans="1:10" hidden="1">
      <c r="A355" s="542">
        <v>8</v>
      </c>
      <c r="B355" s="2" t="s">
        <v>317</v>
      </c>
      <c r="C355" s="11" t="s">
        <v>138</v>
      </c>
      <c r="D355" s="11" t="s">
        <v>336</v>
      </c>
      <c r="E355" s="11" t="s">
        <v>125</v>
      </c>
      <c r="F355" s="11">
        <v>1200000</v>
      </c>
      <c r="G355" s="11" t="s">
        <v>108</v>
      </c>
      <c r="H355" s="11" t="s">
        <v>271</v>
      </c>
      <c r="I355" s="11" t="s">
        <v>36</v>
      </c>
      <c r="J355" s="11">
        <v>1</v>
      </c>
    </row>
    <row r="356" spans="1:10" hidden="1">
      <c r="A356" s="1749">
        <v>9</v>
      </c>
      <c r="B356" s="2544" t="s">
        <v>317</v>
      </c>
      <c r="C356" s="148" t="s">
        <v>138</v>
      </c>
      <c r="D356" s="148" t="s">
        <v>337</v>
      </c>
      <c r="E356" s="148" t="s">
        <v>125</v>
      </c>
      <c r="F356" s="148">
        <v>1000000</v>
      </c>
      <c r="G356" s="148" t="s">
        <v>43</v>
      </c>
      <c r="H356" s="148" t="s">
        <v>271</v>
      </c>
      <c r="I356" s="148" t="s">
        <v>36</v>
      </c>
      <c r="J356" s="148">
        <v>1</v>
      </c>
    </row>
    <row r="357" spans="1:10" hidden="1">
      <c r="A357" s="1749">
        <v>10</v>
      </c>
      <c r="B357" s="1749" t="s">
        <v>338</v>
      </c>
      <c r="C357" s="137" t="s">
        <v>37</v>
      </c>
      <c r="D357" s="137" t="s">
        <v>339</v>
      </c>
      <c r="E357" s="137" t="s">
        <v>125</v>
      </c>
      <c r="F357" s="137">
        <v>1350000</v>
      </c>
      <c r="G357" s="137" t="s">
        <v>144</v>
      </c>
      <c r="H357" s="137" t="s">
        <v>271</v>
      </c>
      <c r="I357" s="137" t="s">
        <v>36</v>
      </c>
      <c r="J357" s="137">
        <v>1</v>
      </c>
    </row>
    <row r="358" spans="1:10" hidden="1">
      <c r="A358" s="1749">
        <v>11</v>
      </c>
      <c r="B358" s="1749" t="s">
        <v>338</v>
      </c>
      <c r="C358" s="137" t="s">
        <v>37</v>
      </c>
      <c r="D358" s="137" t="s">
        <v>340</v>
      </c>
      <c r="E358" s="137" t="s">
        <v>125</v>
      </c>
      <c r="F358" s="137">
        <v>1200000</v>
      </c>
      <c r="G358" s="137" t="s">
        <v>144</v>
      </c>
      <c r="H358" s="137" t="s">
        <v>271</v>
      </c>
      <c r="I358" s="137" t="s">
        <v>36</v>
      </c>
      <c r="J358" s="137">
        <v>1</v>
      </c>
    </row>
    <row r="359" spans="1:10" hidden="1">
      <c r="A359" s="1749">
        <v>12</v>
      </c>
      <c r="B359" s="1749" t="s">
        <v>341</v>
      </c>
      <c r="C359" s="137" t="s">
        <v>37</v>
      </c>
      <c r="D359" s="137" t="s">
        <v>342</v>
      </c>
      <c r="E359" s="137" t="s">
        <v>125</v>
      </c>
      <c r="F359" s="137">
        <v>1700000</v>
      </c>
      <c r="G359" s="137" t="s">
        <v>43</v>
      </c>
      <c r="H359" s="137" t="s">
        <v>271</v>
      </c>
      <c r="I359" s="137" t="s">
        <v>36</v>
      </c>
      <c r="J359" s="137">
        <v>1</v>
      </c>
    </row>
    <row r="360" spans="1:10" hidden="1">
      <c r="A360" s="1749">
        <v>13</v>
      </c>
      <c r="B360" s="1749" t="s">
        <v>341</v>
      </c>
      <c r="C360" s="137" t="s">
        <v>37</v>
      </c>
      <c r="D360" s="137" t="s">
        <v>343</v>
      </c>
      <c r="E360" s="137" t="s">
        <v>125</v>
      </c>
      <c r="F360" s="137">
        <v>1800000</v>
      </c>
      <c r="G360" s="137" t="s">
        <v>43</v>
      </c>
      <c r="H360" s="137" t="s">
        <v>271</v>
      </c>
      <c r="I360" s="137" t="s">
        <v>36</v>
      </c>
      <c r="J360" s="137">
        <v>1</v>
      </c>
    </row>
    <row r="361" spans="1:10" hidden="1">
      <c r="A361" s="1749">
        <v>14</v>
      </c>
      <c r="B361" s="1749" t="s">
        <v>344</v>
      </c>
      <c r="C361" s="137" t="s">
        <v>37</v>
      </c>
      <c r="D361" s="137" t="s">
        <v>345</v>
      </c>
      <c r="E361" s="137" t="s">
        <v>125</v>
      </c>
      <c r="F361" s="137">
        <v>1300000</v>
      </c>
      <c r="G361" s="137" t="s">
        <v>346</v>
      </c>
      <c r="H361" s="137" t="s">
        <v>271</v>
      </c>
      <c r="I361" s="137" t="s">
        <v>36</v>
      </c>
      <c r="J361" s="137">
        <v>1</v>
      </c>
    </row>
    <row r="362" spans="1:10" hidden="1">
      <c r="A362" s="1749">
        <v>15</v>
      </c>
      <c r="B362" s="1749" t="s">
        <v>341</v>
      </c>
      <c r="C362" s="137" t="s">
        <v>37</v>
      </c>
      <c r="D362" s="137" t="s">
        <v>347</v>
      </c>
      <c r="E362" s="137" t="s">
        <v>125</v>
      </c>
      <c r="F362" s="137">
        <v>1250000</v>
      </c>
      <c r="G362" s="137" t="s">
        <v>346</v>
      </c>
      <c r="H362" s="137" t="s">
        <v>271</v>
      </c>
      <c r="I362" s="137" t="s">
        <v>36</v>
      </c>
      <c r="J362" s="137">
        <v>1</v>
      </c>
    </row>
    <row r="363" spans="1:10" hidden="1">
      <c r="A363" s="1749">
        <v>16</v>
      </c>
      <c r="B363" s="1749" t="s">
        <v>278</v>
      </c>
      <c r="C363" s="137" t="s">
        <v>138</v>
      </c>
      <c r="D363" s="137" t="s">
        <v>348</v>
      </c>
      <c r="E363" s="137" t="s">
        <v>125</v>
      </c>
      <c r="F363" s="137">
        <v>1500000</v>
      </c>
      <c r="G363" s="137" t="s">
        <v>346</v>
      </c>
      <c r="H363" s="137" t="s">
        <v>271</v>
      </c>
      <c r="I363" s="137" t="s">
        <v>36</v>
      </c>
      <c r="J363" s="137">
        <v>1</v>
      </c>
    </row>
    <row r="364" spans="1:10" hidden="1">
      <c r="A364" s="1749">
        <v>17</v>
      </c>
      <c r="B364" s="1749" t="s">
        <v>280</v>
      </c>
      <c r="C364" s="137" t="s">
        <v>37</v>
      </c>
      <c r="D364" s="137" t="s">
        <v>349</v>
      </c>
      <c r="E364" s="137" t="s">
        <v>125</v>
      </c>
      <c r="F364" s="137">
        <v>1350000</v>
      </c>
      <c r="G364" s="137" t="s">
        <v>144</v>
      </c>
      <c r="H364" s="137" t="s">
        <v>271</v>
      </c>
      <c r="I364" s="137" t="s">
        <v>36</v>
      </c>
      <c r="J364" s="137">
        <v>1</v>
      </c>
    </row>
    <row r="365" spans="1:10" hidden="1">
      <c r="A365" s="1749">
        <v>18</v>
      </c>
      <c r="B365" s="1749" t="s">
        <v>285</v>
      </c>
      <c r="C365" s="137" t="s">
        <v>138</v>
      </c>
      <c r="D365" s="137" t="s">
        <v>350</v>
      </c>
      <c r="E365" s="137" t="s">
        <v>125</v>
      </c>
      <c r="F365" s="137">
        <v>1550000</v>
      </c>
      <c r="G365" s="137" t="s">
        <v>235</v>
      </c>
      <c r="H365" s="137" t="s">
        <v>271</v>
      </c>
      <c r="I365" s="137" t="s">
        <v>36</v>
      </c>
      <c r="J365" s="137">
        <v>1</v>
      </c>
    </row>
    <row r="366" spans="1:10" hidden="1">
      <c r="A366" s="1749">
        <v>19</v>
      </c>
      <c r="B366" s="1749" t="s">
        <v>285</v>
      </c>
      <c r="C366" s="137" t="s">
        <v>138</v>
      </c>
      <c r="D366" s="137" t="s">
        <v>351</v>
      </c>
      <c r="E366" s="137" t="s">
        <v>352</v>
      </c>
      <c r="F366" s="137">
        <v>1300000</v>
      </c>
      <c r="G366" s="137" t="s">
        <v>43</v>
      </c>
      <c r="H366" s="137" t="s">
        <v>271</v>
      </c>
      <c r="I366" s="137" t="s">
        <v>36</v>
      </c>
      <c r="J366" s="137">
        <v>1</v>
      </c>
    </row>
    <row r="367" spans="1:10" hidden="1">
      <c r="A367" s="1749">
        <v>20</v>
      </c>
      <c r="B367" s="1749" t="s">
        <v>353</v>
      </c>
      <c r="C367" s="137" t="s">
        <v>37</v>
      </c>
      <c r="D367" s="137" t="s">
        <v>354</v>
      </c>
      <c r="E367" s="137" t="s">
        <v>125</v>
      </c>
      <c r="F367" s="137">
        <v>1350000</v>
      </c>
      <c r="G367" s="137" t="s">
        <v>144</v>
      </c>
      <c r="H367" s="137" t="s">
        <v>271</v>
      </c>
      <c r="I367" s="137" t="s">
        <v>36</v>
      </c>
      <c r="J367" s="137">
        <v>1</v>
      </c>
    </row>
    <row r="368" spans="1:10" ht="21" hidden="1">
      <c r="A368" s="137"/>
      <c r="B368" s="1749"/>
      <c r="C368" s="137"/>
      <c r="D368" s="137"/>
      <c r="E368" s="137"/>
      <c r="F368" s="137"/>
      <c r="G368" s="137"/>
      <c r="H368" s="137"/>
      <c r="I368" s="137"/>
      <c r="J368" s="139">
        <f>SUM(J348:J367)</f>
        <v>20</v>
      </c>
    </row>
    <row r="369" spans="1:10" hidden="1">
      <c r="A369" s="2744" t="s">
        <v>33</v>
      </c>
      <c r="B369" s="2744"/>
      <c r="C369" s="2744"/>
      <c r="D369" s="2744"/>
      <c r="E369" s="2744"/>
      <c r="F369" s="2744"/>
      <c r="G369" s="2744"/>
      <c r="H369" s="2744"/>
      <c r="I369" s="2744"/>
      <c r="J369" s="2744"/>
    </row>
    <row r="370" spans="1:10" hidden="1">
      <c r="A370" s="150" t="s">
        <v>3</v>
      </c>
      <c r="B370" s="1749" t="s">
        <v>4</v>
      </c>
      <c r="C370" s="150" t="s">
        <v>5</v>
      </c>
      <c r="D370" s="150" t="s">
        <v>6</v>
      </c>
      <c r="E370" s="150" t="s">
        <v>7</v>
      </c>
      <c r="F370" s="150" t="s">
        <v>8</v>
      </c>
      <c r="G370" s="150" t="s">
        <v>9</v>
      </c>
      <c r="H370" s="150" t="s">
        <v>10</v>
      </c>
      <c r="I370" s="150" t="s">
        <v>11</v>
      </c>
      <c r="J370" s="137" t="s">
        <v>12</v>
      </c>
    </row>
    <row r="371" spans="1:10" hidden="1">
      <c r="A371" s="541">
        <v>1</v>
      </c>
      <c r="B371" s="2539" t="s">
        <v>355</v>
      </c>
      <c r="C371" s="152" t="s">
        <v>37</v>
      </c>
      <c r="D371" s="152" t="s">
        <v>250</v>
      </c>
      <c r="E371" s="152" t="s">
        <v>76</v>
      </c>
      <c r="F371" s="162">
        <v>130000000</v>
      </c>
      <c r="G371" s="152" t="s">
        <v>43</v>
      </c>
      <c r="H371" s="152" t="s">
        <v>36</v>
      </c>
      <c r="I371" s="152" t="s">
        <v>36</v>
      </c>
      <c r="J371" s="140">
        <v>1</v>
      </c>
    </row>
    <row r="372" spans="1:10" hidden="1">
      <c r="A372" s="541">
        <v>2</v>
      </c>
      <c r="B372" s="2539" t="s">
        <v>332</v>
      </c>
      <c r="C372" s="152" t="s">
        <v>138</v>
      </c>
      <c r="D372" s="152" t="s">
        <v>241</v>
      </c>
      <c r="E372" s="152" t="s">
        <v>125</v>
      </c>
      <c r="F372" s="162">
        <v>310000000</v>
      </c>
      <c r="G372" s="152" t="s">
        <v>144</v>
      </c>
      <c r="H372" s="152" t="s">
        <v>271</v>
      </c>
      <c r="I372" s="152" t="s">
        <v>36</v>
      </c>
      <c r="J372" s="140">
        <v>1</v>
      </c>
    </row>
    <row r="373" spans="1:10" hidden="1">
      <c r="A373" s="541">
        <v>3</v>
      </c>
      <c r="B373" s="2539" t="s">
        <v>356</v>
      </c>
      <c r="C373" s="152" t="s">
        <v>138</v>
      </c>
      <c r="D373" s="152" t="s">
        <v>357</v>
      </c>
      <c r="E373" s="152" t="s">
        <v>358</v>
      </c>
      <c r="F373" s="162">
        <v>230000000</v>
      </c>
      <c r="G373" s="152" t="s">
        <v>359</v>
      </c>
      <c r="H373" s="152" t="s">
        <v>44</v>
      </c>
      <c r="I373" s="152" t="s">
        <v>36</v>
      </c>
      <c r="J373" s="140">
        <v>1</v>
      </c>
    </row>
    <row r="374" spans="1:10" ht="21" hidden="1">
      <c r="A374" s="541"/>
      <c r="B374" s="541"/>
      <c r="C374" s="140"/>
      <c r="D374" s="140"/>
      <c r="E374" s="140"/>
      <c r="F374" s="149"/>
      <c r="G374" s="140"/>
      <c r="H374" s="140"/>
      <c r="I374" s="140"/>
      <c r="J374" s="139">
        <f>SUM(J371:J373)</f>
        <v>3</v>
      </c>
    </row>
    <row r="375" spans="1:10" ht="23.45" hidden="1">
      <c r="A375" s="2753" t="s">
        <v>118</v>
      </c>
      <c r="B375" s="2753"/>
      <c r="C375" s="2753"/>
      <c r="D375" s="2753"/>
      <c r="E375" s="2753"/>
      <c r="F375" s="2753"/>
      <c r="G375" s="2753"/>
      <c r="H375" s="2753"/>
      <c r="I375" s="2753"/>
      <c r="J375" s="2753"/>
    </row>
    <row r="376" spans="1:10" ht="15.6" hidden="1">
      <c r="A376" s="2737" t="s">
        <v>2</v>
      </c>
      <c r="B376" s="2737"/>
      <c r="C376" s="2737"/>
      <c r="D376" s="2737"/>
      <c r="E376" s="2737"/>
      <c r="F376" s="2737"/>
      <c r="G376" s="2737"/>
      <c r="H376" s="2737"/>
      <c r="I376" s="2737"/>
      <c r="J376" s="2737"/>
    </row>
    <row r="377" spans="1:10" hidden="1">
      <c r="A377" s="137" t="s">
        <v>3</v>
      </c>
      <c r="B377" s="1749" t="s">
        <v>4</v>
      </c>
      <c r="C377" s="137" t="s">
        <v>5</v>
      </c>
      <c r="D377" s="137" t="s">
        <v>6</v>
      </c>
      <c r="E377" s="137" t="s">
        <v>7</v>
      </c>
      <c r="F377" s="137" t="s">
        <v>8</v>
      </c>
      <c r="G377" s="137" t="s">
        <v>9</v>
      </c>
      <c r="H377" s="137" t="s">
        <v>10</v>
      </c>
      <c r="I377" s="137" t="s">
        <v>11</v>
      </c>
      <c r="J377" s="137" t="s">
        <v>12</v>
      </c>
    </row>
    <row r="378" spans="1:10" hidden="1">
      <c r="A378" s="1749">
        <v>1</v>
      </c>
      <c r="B378" s="2538" t="s">
        <v>265</v>
      </c>
      <c r="C378" s="150" t="s">
        <v>37</v>
      </c>
      <c r="D378" s="150" t="s">
        <v>360</v>
      </c>
      <c r="E378" s="150" t="s">
        <v>125</v>
      </c>
      <c r="F378" s="151">
        <v>1550000</v>
      </c>
      <c r="G378" s="150" t="s">
        <v>43</v>
      </c>
      <c r="H378" s="150" t="s">
        <v>271</v>
      </c>
      <c r="I378" s="150" t="s">
        <v>36</v>
      </c>
      <c r="J378" s="137">
        <v>1</v>
      </c>
    </row>
    <row r="379" spans="1:10" hidden="1">
      <c r="A379" s="1749">
        <v>2</v>
      </c>
      <c r="B379" s="2538" t="s">
        <v>327</v>
      </c>
      <c r="C379" s="150" t="s">
        <v>138</v>
      </c>
      <c r="D379" s="150" t="s">
        <v>361</v>
      </c>
      <c r="E379" s="150" t="s">
        <v>125</v>
      </c>
      <c r="F379" s="151">
        <v>2600000</v>
      </c>
      <c r="G379" s="150" t="s">
        <v>43</v>
      </c>
      <c r="H379" s="150" t="s">
        <v>44</v>
      </c>
      <c r="I379" s="150" t="s">
        <v>36</v>
      </c>
      <c r="J379" s="137">
        <v>1</v>
      </c>
    </row>
    <row r="380" spans="1:10" hidden="1">
      <c r="A380" s="1749">
        <v>3</v>
      </c>
      <c r="B380" s="2538" t="s">
        <v>356</v>
      </c>
      <c r="C380" s="150" t="s">
        <v>138</v>
      </c>
      <c r="D380" s="150" t="s">
        <v>362</v>
      </c>
      <c r="E380" s="150" t="s">
        <v>125</v>
      </c>
      <c r="F380" s="151">
        <v>960000</v>
      </c>
      <c r="G380" s="150" t="s">
        <v>43</v>
      </c>
      <c r="H380" s="150" t="s">
        <v>271</v>
      </c>
      <c r="I380" s="150" t="s">
        <v>36</v>
      </c>
      <c r="J380" s="137">
        <v>1</v>
      </c>
    </row>
    <row r="381" spans="1:10" hidden="1">
      <c r="A381" s="1749">
        <v>4</v>
      </c>
      <c r="B381" s="1749" t="s">
        <v>341</v>
      </c>
      <c r="C381" s="150" t="s">
        <v>138</v>
      </c>
      <c r="D381" s="150" t="s">
        <v>363</v>
      </c>
      <c r="E381" s="150" t="s">
        <v>125</v>
      </c>
      <c r="F381" s="150">
        <v>1000000</v>
      </c>
      <c r="G381" s="150" t="s">
        <v>43</v>
      </c>
      <c r="H381" s="150" t="s">
        <v>271</v>
      </c>
      <c r="I381" s="150" t="s">
        <v>36</v>
      </c>
      <c r="J381" s="137">
        <v>1</v>
      </c>
    </row>
    <row r="382" spans="1:10" hidden="1">
      <c r="A382" s="1749">
        <v>5</v>
      </c>
      <c r="B382" s="1749" t="s">
        <v>282</v>
      </c>
      <c r="C382" s="137" t="s">
        <v>138</v>
      </c>
      <c r="D382" s="137" t="s">
        <v>364</v>
      </c>
      <c r="E382" s="137" t="s">
        <v>125</v>
      </c>
      <c r="F382" s="137">
        <v>500000</v>
      </c>
      <c r="G382" s="137" t="s">
        <v>43</v>
      </c>
      <c r="H382" s="137" t="s">
        <v>271</v>
      </c>
      <c r="I382" s="137" t="s">
        <v>36</v>
      </c>
      <c r="J382" s="137">
        <v>1</v>
      </c>
    </row>
    <row r="383" spans="1:10" hidden="1">
      <c r="A383" s="1749">
        <v>6</v>
      </c>
      <c r="B383" s="1749" t="s">
        <v>353</v>
      </c>
      <c r="C383" s="137" t="s">
        <v>138</v>
      </c>
      <c r="D383" s="137" t="s">
        <v>365</v>
      </c>
      <c r="E383" s="137" t="s">
        <v>294</v>
      </c>
      <c r="F383" s="137">
        <v>500000</v>
      </c>
      <c r="G383" s="137" t="s">
        <v>43</v>
      </c>
      <c r="H383" s="137" t="s">
        <v>271</v>
      </c>
      <c r="I383" s="137" t="s">
        <v>36</v>
      </c>
      <c r="J383" s="137">
        <v>1</v>
      </c>
    </row>
    <row r="384" spans="1:10" hidden="1">
      <c r="A384" s="1749">
        <v>7</v>
      </c>
      <c r="B384" s="1749"/>
      <c r="C384" s="137"/>
      <c r="D384" s="137"/>
      <c r="E384" s="137"/>
      <c r="F384" s="137"/>
      <c r="G384" s="137"/>
      <c r="H384" s="137"/>
      <c r="I384" s="137"/>
      <c r="J384" s="137"/>
    </row>
    <row r="385" spans="1:10" hidden="1">
      <c r="A385" s="1749">
        <v>8</v>
      </c>
      <c r="B385" s="1749"/>
      <c r="C385" s="137"/>
      <c r="D385" s="137"/>
      <c r="E385" s="137"/>
      <c r="F385" s="137"/>
      <c r="G385" s="137"/>
      <c r="H385" s="137"/>
      <c r="I385" s="137"/>
      <c r="J385" s="137"/>
    </row>
    <row r="386" spans="1:10" hidden="1">
      <c r="A386" s="1749">
        <v>9</v>
      </c>
      <c r="B386" s="1749"/>
      <c r="C386" s="137"/>
      <c r="D386" s="137"/>
      <c r="E386" s="137"/>
      <c r="F386" s="137"/>
      <c r="G386" s="137"/>
      <c r="H386" s="137"/>
      <c r="I386" s="137"/>
      <c r="J386" s="137"/>
    </row>
    <row r="387" spans="1:10" ht="21" hidden="1">
      <c r="A387" s="1749">
        <v>10</v>
      </c>
      <c r="B387" s="1749"/>
      <c r="C387" s="137"/>
      <c r="D387" s="137"/>
      <c r="E387" s="137"/>
      <c r="F387" s="137"/>
      <c r="G387" s="137"/>
      <c r="H387" s="137"/>
      <c r="I387" s="137"/>
      <c r="J387" s="139">
        <f>SUM(J378:J386)</f>
        <v>6</v>
      </c>
    </row>
    <row r="388" spans="1:10" hidden="1">
      <c r="A388" s="2744" t="s">
        <v>33</v>
      </c>
      <c r="B388" s="2744"/>
      <c r="C388" s="2744"/>
      <c r="D388" s="2744"/>
      <c r="E388" s="2744"/>
      <c r="F388" s="2744"/>
      <c r="G388" s="2744"/>
      <c r="H388" s="2744"/>
      <c r="I388" s="2744"/>
      <c r="J388" s="2744"/>
    </row>
    <row r="389" spans="1:10" hidden="1">
      <c r="A389" s="150" t="s">
        <v>3</v>
      </c>
      <c r="B389" s="1749" t="s">
        <v>4</v>
      </c>
      <c r="C389" s="150" t="s">
        <v>5</v>
      </c>
      <c r="D389" s="150" t="s">
        <v>6</v>
      </c>
      <c r="E389" s="150" t="s">
        <v>7</v>
      </c>
      <c r="F389" s="150" t="s">
        <v>8</v>
      </c>
      <c r="G389" s="150" t="s">
        <v>9</v>
      </c>
      <c r="H389" s="150" t="s">
        <v>10</v>
      </c>
      <c r="I389" s="150" t="s">
        <v>11</v>
      </c>
      <c r="J389" s="137" t="s">
        <v>12</v>
      </c>
    </row>
    <row r="390" spans="1:10" hidden="1">
      <c r="A390" s="541">
        <v>1</v>
      </c>
      <c r="B390" s="2539" t="s">
        <v>327</v>
      </c>
      <c r="C390" s="152" t="s">
        <v>138</v>
      </c>
      <c r="D390" s="572" t="s">
        <v>361</v>
      </c>
      <c r="E390" s="152" t="s">
        <v>125</v>
      </c>
      <c r="F390" s="162">
        <v>650000000</v>
      </c>
      <c r="G390" s="152" t="s">
        <v>43</v>
      </c>
      <c r="H390" s="152" t="s">
        <v>44</v>
      </c>
      <c r="I390" s="152" t="s">
        <v>36</v>
      </c>
      <c r="J390" s="140">
        <v>1</v>
      </c>
    </row>
    <row r="391" spans="1:10" hidden="1">
      <c r="A391" s="541">
        <v>2</v>
      </c>
      <c r="B391" s="2539"/>
      <c r="C391" s="152"/>
      <c r="D391" s="152"/>
      <c r="E391" s="152"/>
      <c r="F391" s="162"/>
      <c r="G391" s="152"/>
      <c r="H391" s="152"/>
      <c r="I391" s="152"/>
      <c r="J391" s="140"/>
    </row>
    <row r="392" spans="1:10" hidden="1">
      <c r="A392" s="541">
        <v>3</v>
      </c>
      <c r="B392" s="2539"/>
      <c r="C392" s="152"/>
      <c r="D392" s="152"/>
      <c r="E392" s="152"/>
      <c r="F392" s="162"/>
      <c r="G392" s="152"/>
      <c r="H392" s="152"/>
      <c r="I392" s="152"/>
      <c r="J392" s="140"/>
    </row>
    <row r="393" spans="1:10" hidden="1">
      <c r="J393">
        <f>SUM(J390:J392)</f>
        <v>1</v>
      </c>
    </row>
    <row r="394" spans="1:10" hidden="1"/>
    <row r="395" spans="1:10" hidden="1"/>
    <row r="396" spans="1:10" hidden="1"/>
    <row r="397" spans="1:10" hidden="1">
      <c r="A397" s="2750" t="s">
        <v>366</v>
      </c>
      <c r="B397" s="2751"/>
      <c r="C397" s="2751"/>
      <c r="D397" s="2751"/>
      <c r="E397" s="2751"/>
      <c r="F397" s="2751"/>
      <c r="G397" s="2751"/>
      <c r="H397" s="2751"/>
      <c r="I397" s="2751"/>
      <c r="J397" s="2751"/>
    </row>
    <row r="398" spans="1:10" hidden="1">
      <c r="A398" s="2751"/>
      <c r="B398" s="2751"/>
      <c r="C398" s="2751"/>
      <c r="D398" s="2751"/>
      <c r="E398" s="2751"/>
      <c r="F398" s="2751"/>
      <c r="G398" s="2751"/>
      <c r="H398" s="2751"/>
      <c r="I398" s="2751"/>
      <c r="J398" s="2751"/>
    </row>
    <row r="399" spans="1:10" ht="46.15" hidden="1">
      <c r="B399" s="136"/>
      <c r="C399" s="136"/>
      <c r="D399" s="136"/>
      <c r="E399" s="136"/>
      <c r="F399" s="136"/>
      <c r="G399" s="136"/>
      <c r="H399" s="136"/>
      <c r="I399" s="136"/>
      <c r="J399" s="136"/>
    </row>
    <row r="400" spans="1:10" ht="23.45" hidden="1">
      <c r="A400" s="2752" t="s">
        <v>1</v>
      </c>
      <c r="B400" s="2752"/>
      <c r="C400" s="2752"/>
      <c r="D400" s="2752"/>
      <c r="E400" s="2752"/>
      <c r="F400" s="2752"/>
      <c r="G400" s="2752"/>
      <c r="H400" s="2752"/>
      <c r="I400" s="2752"/>
      <c r="J400" s="2752"/>
    </row>
    <row r="401" spans="1:10" ht="15.6" hidden="1">
      <c r="A401" s="2737" t="s">
        <v>2</v>
      </c>
      <c r="B401" s="2737"/>
      <c r="C401" s="2737"/>
      <c r="D401" s="2737"/>
      <c r="E401" s="2737"/>
      <c r="F401" s="2737"/>
      <c r="G401" s="2737"/>
      <c r="H401" s="2737"/>
      <c r="I401" s="2737"/>
      <c r="J401" s="2737"/>
    </row>
    <row r="402" spans="1:10" hidden="1">
      <c r="A402" s="137" t="s">
        <v>3</v>
      </c>
      <c r="B402" s="1749" t="s">
        <v>4</v>
      </c>
      <c r="C402" s="137" t="s">
        <v>5</v>
      </c>
      <c r="D402" s="137" t="s">
        <v>6</v>
      </c>
      <c r="E402" s="137" t="s">
        <v>7</v>
      </c>
      <c r="F402" s="137" t="s">
        <v>8</v>
      </c>
      <c r="G402" s="137" t="s">
        <v>9</v>
      </c>
      <c r="H402" s="137" t="s">
        <v>10</v>
      </c>
      <c r="I402" s="137" t="s">
        <v>11</v>
      </c>
      <c r="J402" s="137" t="s">
        <v>12</v>
      </c>
    </row>
    <row r="403" spans="1:10" hidden="1">
      <c r="A403" s="1749">
        <v>1</v>
      </c>
      <c r="B403" s="2538" t="s">
        <v>367</v>
      </c>
      <c r="C403" s="150" t="s">
        <v>146</v>
      </c>
      <c r="D403" s="627" t="s">
        <v>368</v>
      </c>
      <c r="E403" s="150" t="s">
        <v>125</v>
      </c>
      <c r="F403" s="151">
        <v>1600000</v>
      </c>
      <c r="G403" s="150" t="s">
        <v>43</v>
      </c>
      <c r="H403" s="150" t="s">
        <v>271</v>
      </c>
      <c r="I403" s="150" t="s">
        <v>36</v>
      </c>
      <c r="J403" s="137">
        <v>1</v>
      </c>
    </row>
    <row r="404" spans="1:10" hidden="1">
      <c r="A404" s="1749">
        <v>2</v>
      </c>
      <c r="B404" s="2538" t="s">
        <v>369</v>
      </c>
      <c r="C404" s="150" t="s">
        <v>146</v>
      </c>
      <c r="D404" s="627" t="s">
        <v>370</v>
      </c>
      <c r="E404" s="150" t="s">
        <v>125</v>
      </c>
      <c r="F404" s="151">
        <v>1700000</v>
      </c>
      <c r="G404" s="150" t="s">
        <v>43</v>
      </c>
      <c r="H404" s="150" t="s">
        <v>271</v>
      </c>
      <c r="I404" s="150" t="s">
        <v>36</v>
      </c>
      <c r="J404" s="137">
        <v>1</v>
      </c>
    </row>
    <row r="405" spans="1:10" hidden="1">
      <c r="A405" s="1749">
        <v>3</v>
      </c>
      <c r="B405" s="2538" t="s">
        <v>369</v>
      </c>
      <c r="C405" s="150" t="s">
        <v>146</v>
      </c>
      <c r="D405" s="627" t="s">
        <v>371</v>
      </c>
      <c r="E405" s="150" t="s">
        <v>125</v>
      </c>
      <c r="F405" s="151">
        <v>1700000</v>
      </c>
      <c r="G405" s="150" t="s">
        <v>43</v>
      </c>
      <c r="H405" s="150" t="s">
        <v>271</v>
      </c>
      <c r="I405" s="150" t="s">
        <v>36</v>
      </c>
      <c r="J405" s="137">
        <v>1</v>
      </c>
    </row>
    <row r="406" spans="1:10" hidden="1">
      <c r="A406" s="1749">
        <v>4</v>
      </c>
      <c r="B406" s="2538" t="s">
        <v>372</v>
      </c>
      <c r="C406" s="150" t="s">
        <v>138</v>
      </c>
      <c r="D406" s="627" t="s">
        <v>373</v>
      </c>
      <c r="E406" s="150" t="s">
        <v>125</v>
      </c>
      <c r="F406" s="151">
        <v>1400000</v>
      </c>
      <c r="G406" s="150" t="s">
        <v>144</v>
      </c>
      <c r="H406" s="150" t="s">
        <v>271</v>
      </c>
      <c r="I406" s="150" t="s">
        <v>36</v>
      </c>
      <c r="J406" s="137">
        <v>1</v>
      </c>
    </row>
    <row r="407" spans="1:10" hidden="1">
      <c r="A407" s="1749">
        <v>5</v>
      </c>
      <c r="B407" s="1749" t="s">
        <v>374</v>
      </c>
      <c r="C407" s="150" t="s">
        <v>138</v>
      </c>
      <c r="D407" s="627" t="s">
        <v>375</v>
      </c>
      <c r="E407" s="150" t="s">
        <v>125</v>
      </c>
      <c r="F407" s="151">
        <v>1200000</v>
      </c>
      <c r="G407" s="150" t="s">
        <v>144</v>
      </c>
      <c r="H407" s="150" t="s">
        <v>271</v>
      </c>
      <c r="I407" s="150" t="s">
        <v>36</v>
      </c>
      <c r="J407" s="137">
        <v>1</v>
      </c>
    </row>
    <row r="408" spans="1:10" hidden="1">
      <c r="A408" s="1749">
        <v>6</v>
      </c>
      <c r="B408" s="1749" t="s">
        <v>376</v>
      </c>
      <c r="C408" s="150" t="s">
        <v>138</v>
      </c>
      <c r="D408" s="627" t="s">
        <v>377</v>
      </c>
      <c r="E408" s="150" t="s">
        <v>125</v>
      </c>
      <c r="F408" s="151">
        <v>1320000</v>
      </c>
      <c r="G408" s="150" t="s">
        <v>43</v>
      </c>
      <c r="H408" s="150" t="s">
        <v>271</v>
      </c>
      <c r="I408" s="150" t="s">
        <v>36</v>
      </c>
      <c r="J408" s="137">
        <v>1</v>
      </c>
    </row>
    <row r="409" spans="1:10" hidden="1">
      <c r="A409" s="1749">
        <v>7</v>
      </c>
      <c r="B409" s="1749" t="s">
        <v>372</v>
      </c>
      <c r="C409" s="150" t="s">
        <v>138</v>
      </c>
      <c r="D409" s="627" t="s">
        <v>315</v>
      </c>
      <c r="E409" s="150" t="s">
        <v>125</v>
      </c>
      <c r="F409" s="151">
        <v>1250000</v>
      </c>
      <c r="G409" s="150" t="s">
        <v>144</v>
      </c>
      <c r="H409" s="150" t="s">
        <v>271</v>
      </c>
      <c r="I409" s="150" t="s">
        <v>36</v>
      </c>
      <c r="J409" s="137">
        <v>1</v>
      </c>
    </row>
    <row r="410" spans="1:10" hidden="1">
      <c r="A410" s="1749">
        <v>8</v>
      </c>
      <c r="B410" s="1749" t="s">
        <v>378</v>
      </c>
      <c r="C410" s="150" t="s">
        <v>138</v>
      </c>
      <c r="D410" s="627" t="s">
        <v>379</v>
      </c>
      <c r="E410" s="150" t="s">
        <v>125</v>
      </c>
      <c r="F410" s="151">
        <v>1200000</v>
      </c>
      <c r="G410" s="150" t="s">
        <v>144</v>
      </c>
      <c r="H410" s="150" t="s">
        <v>271</v>
      </c>
      <c r="I410" s="150" t="s">
        <v>36</v>
      </c>
      <c r="J410" s="137">
        <v>1</v>
      </c>
    </row>
    <row r="411" spans="1:10" hidden="1">
      <c r="A411" s="1749">
        <v>9</v>
      </c>
      <c r="B411" s="1749" t="s">
        <v>380</v>
      </c>
      <c r="C411" s="137" t="s">
        <v>138</v>
      </c>
      <c r="D411" s="628" t="s">
        <v>381</v>
      </c>
      <c r="E411" s="137" t="s">
        <v>125</v>
      </c>
      <c r="F411" s="151">
        <v>1400000</v>
      </c>
      <c r="G411" s="137" t="s">
        <v>43</v>
      </c>
      <c r="H411" s="137" t="s">
        <v>271</v>
      </c>
      <c r="I411" s="137" t="s">
        <v>36</v>
      </c>
      <c r="J411" s="137">
        <v>1</v>
      </c>
    </row>
    <row r="412" spans="1:10" hidden="1">
      <c r="A412" s="1749">
        <v>10</v>
      </c>
      <c r="B412" s="1749" t="s">
        <v>382</v>
      </c>
      <c r="C412" s="137" t="s">
        <v>138</v>
      </c>
      <c r="D412" s="628" t="s">
        <v>383</v>
      </c>
      <c r="E412" s="137" t="s">
        <v>125</v>
      </c>
      <c r="F412" s="151">
        <v>800</v>
      </c>
      <c r="G412" s="137" t="s">
        <v>43</v>
      </c>
      <c r="H412" s="137" t="s">
        <v>271</v>
      </c>
      <c r="I412" s="137" t="s">
        <v>36</v>
      </c>
      <c r="J412" s="137">
        <v>1</v>
      </c>
    </row>
    <row r="413" spans="1:10" hidden="1">
      <c r="A413" s="1749">
        <v>11</v>
      </c>
      <c r="B413" s="1749"/>
      <c r="C413" s="137"/>
      <c r="D413" s="628"/>
      <c r="E413" s="137"/>
      <c r="F413" s="151"/>
      <c r="G413" s="137"/>
      <c r="H413" s="137"/>
      <c r="I413" s="137"/>
      <c r="J413" s="137"/>
    </row>
    <row r="414" spans="1:10" hidden="1">
      <c r="A414" s="1749">
        <v>12</v>
      </c>
      <c r="B414" s="1749"/>
      <c r="C414" s="137"/>
      <c r="D414" s="628"/>
      <c r="E414" s="137"/>
      <c r="F414" s="151"/>
      <c r="G414" s="137"/>
      <c r="H414" s="137"/>
      <c r="I414" s="137"/>
      <c r="J414" s="137"/>
    </row>
    <row r="415" spans="1:10" hidden="1">
      <c r="A415" s="1749">
        <v>13</v>
      </c>
      <c r="B415" s="1749"/>
      <c r="C415" s="137"/>
      <c r="D415" s="628"/>
      <c r="E415" s="137"/>
      <c r="F415" s="151"/>
      <c r="G415" s="137"/>
      <c r="H415" s="137"/>
      <c r="I415" s="137"/>
      <c r="J415" s="137"/>
    </row>
    <row r="416" spans="1:10" hidden="1">
      <c r="A416" s="1749">
        <v>14</v>
      </c>
      <c r="B416" s="1749"/>
      <c r="C416" s="137"/>
      <c r="D416" s="628"/>
      <c r="E416" s="137"/>
      <c r="F416" s="151"/>
      <c r="G416" s="137"/>
      <c r="H416" s="137"/>
      <c r="I416" s="137"/>
      <c r="J416" s="137"/>
    </row>
    <row r="417" spans="1:10" hidden="1">
      <c r="A417" s="1749">
        <v>15</v>
      </c>
      <c r="B417" s="1749"/>
      <c r="C417" s="137"/>
      <c r="D417" s="628"/>
      <c r="E417" s="137"/>
      <c r="F417" s="151"/>
      <c r="G417" s="137"/>
      <c r="H417" s="137"/>
      <c r="I417" s="137"/>
      <c r="J417" s="137"/>
    </row>
    <row r="418" spans="1:10" hidden="1">
      <c r="A418" s="1749">
        <v>16</v>
      </c>
      <c r="B418" s="1749"/>
      <c r="C418" s="137"/>
      <c r="D418" s="628"/>
      <c r="E418" s="137"/>
      <c r="F418" s="151"/>
      <c r="G418" s="137"/>
      <c r="H418" s="137"/>
      <c r="I418" s="137"/>
      <c r="J418" s="137"/>
    </row>
    <row r="419" spans="1:10" hidden="1">
      <c r="A419" s="1749">
        <v>17</v>
      </c>
      <c r="B419" s="1749"/>
      <c r="C419" s="137"/>
      <c r="D419" s="628"/>
      <c r="E419" s="137"/>
      <c r="F419" s="151"/>
      <c r="G419" s="137"/>
      <c r="H419" s="137"/>
      <c r="I419" s="137"/>
      <c r="J419" s="137"/>
    </row>
    <row r="420" spans="1:10" hidden="1">
      <c r="A420" s="1749">
        <v>18</v>
      </c>
      <c r="B420" s="1749"/>
      <c r="C420" s="137"/>
      <c r="D420" s="628"/>
      <c r="E420" s="137"/>
      <c r="F420" s="151"/>
      <c r="G420" s="137"/>
      <c r="H420" s="137"/>
      <c r="I420" s="137"/>
      <c r="J420" s="137"/>
    </row>
    <row r="421" spans="1:10" hidden="1">
      <c r="A421" s="1749">
        <v>19</v>
      </c>
      <c r="B421" s="1749"/>
      <c r="C421" s="137"/>
      <c r="D421" s="628"/>
      <c r="E421" s="137"/>
      <c r="F421" s="151"/>
      <c r="G421" s="137"/>
      <c r="H421" s="137"/>
      <c r="I421" s="137"/>
      <c r="J421" s="137"/>
    </row>
    <row r="422" spans="1:10" hidden="1">
      <c r="A422" s="1749">
        <v>20</v>
      </c>
      <c r="B422" s="1749"/>
      <c r="C422" s="137"/>
      <c r="D422" s="137"/>
      <c r="E422" s="137"/>
      <c r="F422" s="151"/>
      <c r="G422" s="137"/>
      <c r="H422" s="137"/>
      <c r="I422" s="137"/>
      <c r="J422" s="137"/>
    </row>
    <row r="423" spans="1:10" ht="21" hidden="1">
      <c r="A423" s="137"/>
      <c r="B423" s="1749"/>
      <c r="C423" s="137"/>
      <c r="D423" s="137"/>
      <c r="E423" s="137"/>
      <c r="F423" s="138"/>
      <c r="G423" s="137"/>
      <c r="H423" s="137"/>
      <c r="I423" s="137"/>
      <c r="J423" s="139"/>
    </row>
    <row r="424" spans="1:10" hidden="1">
      <c r="A424" s="2744" t="s">
        <v>33</v>
      </c>
      <c r="B424" s="2744"/>
      <c r="C424" s="2744"/>
      <c r="D424" s="2744"/>
      <c r="E424" s="2744"/>
      <c r="F424" s="2744"/>
      <c r="G424" s="2744"/>
      <c r="H424" s="2744"/>
      <c r="I424" s="2744"/>
      <c r="J424" s="2744"/>
    </row>
    <row r="425" spans="1:10" hidden="1">
      <c r="A425" s="137" t="s">
        <v>3</v>
      </c>
      <c r="B425" s="1749" t="s">
        <v>4</v>
      </c>
      <c r="C425" s="137" t="s">
        <v>5</v>
      </c>
      <c r="D425" s="137" t="s">
        <v>6</v>
      </c>
      <c r="E425" s="137" t="s">
        <v>7</v>
      </c>
      <c r="F425" s="137" t="s">
        <v>8</v>
      </c>
      <c r="G425" s="137" t="s">
        <v>9</v>
      </c>
      <c r="H425" s="137" t="s">
        <v>10</v>
      </c>
      <c r="I425" s="137" t="s">
        <v>11</v>
      </c>
      <c r="J425" s="137" t="s">
        <v>12</v>
      </c>
    </row>
    <row r="426" spans="1:10" hidden="1">
      <c r="A426" s="541">
        <v>1</v>
      </c>
      <c r="B426" s="2539" t="s">
        <v>369</v>
      </c>
      <c r="C426" s="152" t="s">
        <v>138</v>
      </c>
      <c r="D426" s="152" t="s">
        <v>384</v>
      </c>
      <c r="E426" s="152" t="s">
        <v>294</v>
      </c>
      <c r="F426" s="152">
        <v>235000000</v>
      </c>
      <c r="G426" s="152" t="s">
        <v>385</v>
      </c>
      <c r="H426" s="152" t="s">
        <v>271</v>
      </c>
      <c r="I426" s="152" t="s">
        <v>36</v>
      </c>
      <c r="J426" s="200">
        <v>1</v>
      </c>
    </row>
    <row r="427" spans="1:10" hidden="1">
      <c r="A427" s="541">
        <v>2</v>
      </c>
      <c r="B427" s="2539" t="s">
        <v>369</v>
      </c>
      <c r="C427" s="152" t="s">
        <v>138</v>
      </c>
      <c r="D427" s="152" t="s">
        <v>386</v>
      </c>
      <c r="E427" s="152" t="s">
        <v>294</v>
      </c>
      <c r="F427" s="152">
        <v>190000000</v>
      </c>
      <c r="G427" s="152" t="s">
        <v>385</v>
      </c>
      <c r="H427" s="152" t="s">
        <v>271</v>
      </c>
      <c r="I427" s="152" t="s">
        <v>36</v>
      </c>
      <c r="J427" s="200">
        <v>1</v>
      </c>
    </row>
    <row r="428" spans="1:10" hidden="1">
      <c r="A428" s="583">
        <v>3</v>
      </c>
      <c r="B428" s="2540" t="s">
        <v>369</v>
      </c>
      <c r="C428" s="154" t="s">
        <v>138</v>
      </c>
      <c r="D428" s="154" t="s">
        <v>283</v>
      </c>
      <c r="E428" s="154" t="s">
        <v>387</v>
      </c>
      <c r="F428" s="154">
        <v>125000000</v>
      </c>
      <c r="G428" s="154" t="s">
        <v>284</v>
      </c>
      <c r="H428" s="154" t="s">
        <v>271</v>
      </c>
      <c r="I428" s="154" t="s">
        <v>36</v>
      </c>
      <c r="J428" s="584">
        <v>1</v>
      </c>
    </row>
    <row r="429" spans="1:10" hidden="1">
      <c r="A429" s="581">
        <v>4</v>
      </c>
      <c r="B429" s="2541"/>
      <c r="C429" s="156"/>
      <c r="D429" s="156"/>
      <c r="E429" s="156"/>
      <c r="F429" s="156"/>
      <c r="G429" s="156"/>
      <c r="H429" s="156"/>
      <c r="I429" s="156"/>
      <c r="J429" s="144"/>
    </row>
    <row r="430" spans="1:10" hidden="1">
      <c r="A430" s="581">
        <v>5</v>
      </c>
      <c r="B430" s="2541"/>
      <c r="C430" s="156"/>
      <c r="D430" s="156"/>
      <c r="E430" s="156"/>
      <c r="F430" s="156"/>
      <c r="G430" s="156"/>
      <c r="H430" s="156"/>
      <c r="I430" s="156"/>
      <c r="J430" s="144"/>
    </row>
    <row r="431" spans="1:10" ht="20.45" hidden="1">
      <c r="A431" s="144"/>
      <c r="B431" s="581"/>
      <c r="C431" s="144"/>
      <c r="D431" s="144"/>
      <c r="E431" s="144"/>
      <c r="F431" s="144"/>
      <c r="G431" s="144"/>
      <c r="H431" s="144"/>
      <c r="I431" s="144"/>
      <c r="J431" s="582">
        <f>J426+J427+J428</f>
        <v>3</v>
      </c>
    </row>
    <row r="432" spans="1:10" hidden="1"/>
    <row r="433" spans="1:10" ht="23.45" hidden="1">
      <c r="A433" s="2753" t="s">
        <v>47</v>
      </c>
      <c r="B433" s="2753"/>
      <c r="C433" s="2753"/>
      <c r="D433" s="2753"/>
      <c r="E433" s="2753"/>
      <c r="F433" s="2753"/>
      <c r="G433" s="2753"/>
      <c r="H433" s="2753"/>
      <c r="I433" s="2753"/>
      <c r="J433" s="2753"/>
    </row>
    <row r="434" spans="1:10" ht="15.6" hidden="1">
      <c r="A434" s="2737" t="s">
        <v>2</v>
      </c>
      <c r="B434" s="2737"/>
      <c r="C434" s="2737"/>
      <c r="D434" s="2737"/>
      <c r="E434" s="2737"/>
      <c r="F434" s="2737"/>
      <c r="G434" s="2737"/>
      <c r="H434" s="2737"/>
      <c r="I434" s="2737"/>
      <c r="J434" s="2737"/>
    </row>
    <row r="435" spans="1:10" hidden="1">
      <c r="A435" s="137" t="s">
        <v>3</v>
      </c>
      <c r="B435" s="1749" t="s">
        <v>4</v>
      </c>
      <c r="C435" s="137" t="s">
        <v>5</v>
      </c>
      <c r="D435" s="137" t="s">
        <v>6</v>
      </c>
      <c r="E435" s="137" t="s">
        <v>7</v>
      </c>
      <c r="F435" s="137" t="s">
        <v>8</v>
      </c>
      <c r="G435" s="137" t="s">
        <v>9</v>
      </c>
      <c r="H435" s="137" t="s">
        <v>10</v>
      </c>
      <c r="I435" s="137" t="s">
        <v>11</v>
      </c>
      <c r="J435" s="137" t="s">
        <v>12</v>
      </c>
    </row>
    <row r="436" spans="1:10" hidden="1">
      <c r="A436" s="1749">
        <v>1</v>
      </c>
      <c r="B436" s="2538" t="s">
        <v>388</v>
      </c>
      <c r="C436" s="150" t="s">
        <v>138</v>
      </c>
      <c r="D436" s="150" t="s">
        <v>389</v>
      </c>
      <c r="E436" s="150" t="s">
        <v>390</v>
      </c>
      <c r="F436" s="151">
        <v>1100000</v>
      </c>
      <c r="G436" s="150" t="s">
        <v>391</v>
      </c>
      <c r="H436" s="150" t="s">
        <v>271</v>
      </c>
      <c r="I436" s="150" t="s">
        <v>36</v>
      </c>
      <c r="J436" s="264">
        <v>1</v>
      </c>
    </row>
    <row r="437" spans="1:10" hidden="1">
      <c r="A437" s="1749">
        <v>2</v>
      </c>
      <c r="B437" s="2538" t="s">
        <v>372</v>
      </c>
      <c r="C437" s="150" t="s">
        <v>138</v>
      </c>
      <c r="D437" s="150" t="s">
        <v>392</v>
      </c>
      <c r="E437" s="150" t="s">
        <v>125</v>
      </c>
      <c r="F437" s="150">
        <v>1200000</v>
      </c>
      <c r="G437" s="150" t="s">
        <v>144</v>
      </c>
      <c r="H437" s="150" t="s">
        <v>271</v>
      </c>
      <c r="I437" s="150" t="s">
        <v>36</v>
      </c>
      <c r="J437" s="264">
        <v>1</v>
      </c>
    </row>
    <row r="438" spans="1:10" hidden="1">
      <c r="A438" s="1749">
        <v>3</v>
      </c>
      <c r="B438" s="2538" t="s">
        <v>372</v>
      </c>
      <c r="C438" s="150" t="s">
        <v>138</v>
      </c>
      <c r="D438" s="150" t="s">
        <v>77</v>
      </c>
      <c r="E438" s="150" t="s">
        <v>393</v>
      </c>
      <c r="F438" s="150">
        <v>1100000</v>
      </c>
      <c r="G438" s="150" t="s">
        <v>394</v>
      </c>
      <c r="H438" s="150" t="s">
        <v>271</v>
      </c>
      <c r="I438" s="150" t="s">
        <v>36</v>
      </c>
      <c r="J438" s="264">
        <v>1</v>
      </c>
    </row>
    <row r="439" spans="1:10" hidden="1">
      <c r="A439" s="1749">
        <v>4</v>
      </c>
      <c r="B439" s="1749" t="s">
        <v>395</v>
      </c>
      <c r="C439" s="150" t="s">
        <v>138</v>
      </c>
      <c r="D439" s="150" t="s">
        <v>396</v>
      </c>
      <c r="E439" s="150" t="s">
        <v>125</v>
      </c>
      <c r="F439" s="150">
        <v>1300000</v>
      </c>
      <c r="G439" s="150" t="s">
        <v>397</v>
      </c>
      <c r="H439" s="150" t="s">
        <v>271</v>
      </c>
      <c r="I439" s="150" t="s">
        <v>36</v>
      </c>
      <c r="J439" s="264">
        <v>1</v>
      </c>
    </row>
    <row r="440" spans="1:10" hidden="1">
      <c r="A440" s="1749">
        <v>5</v>
      </c>
      <c r="B440" s="1749"/>
      <c r="C440" s="150"/>
      <c r="D440" s="150"/>
      <c r="E440" s="150"/>
      <c r="F440" s="150"/>
      <c r="G440" s="150"/>
      <c r="H440" s="150"/>
      <c r="I440" s="150"/>
      <c r="J440" s="264"/>
    </row>
    <row r="441" spans="1:10" hidden="1">
      <c r="A441" s="1749">
        <v>6</v>
      </c>
      <c r="B441" s="1749"/>
      <c r="C441" s="150"/>
      <c r="D441" s="150"/>
      <c r="E441" s="150"/>
      <c r="F441" s="150"/>
      <c r="G441" s="150"/>
      <c r="H441" s="150"/>
      <c r="I441" s="150"/>
      <c r="J441" s="264"/>
    </row>
    <row r="442" spans="1:10" hidden="1">
      <c r="A442" s="1749">
        <v>7</v>
      </c>
      <c r="B442" s="1749"/>
      <c r="C442" s="150"/>
      <c r="D442" s="150"/>
      <c r="E442" s="150"/>
      <c r="F442" s="150"/>
      <c r="G442" s="150"/>
      <c r="H442" s="150"/>
      <c r="I442" s="150"/>
      <c r="J442" s="264"/>
    </row>
    <row r="443" spans="1:10" hidden="1">
      <c r="A443" s="1749">
        <v>8</v>
      </c>
      <c r="B443" s="1749"/>
      <c r="C443" s="150"/>
      <c r="D443" s="150"/>
      <c r="E443" s="150"/>
      <c r="F443" s="150"/>
      <c r="G443" s="150"/>
      <c r="H443" s="150"/>
      <c r="I443" s="150"/>
      <c r="J443" s="264"/>
    </row>
    <row r="444" spans="1:10" hidden="1">
      <c r="A444" s="1749">
        <v>9</v>
      </c>
      <c r="B444" s="1749"/>
      <c r="C444" s="137"/>
      <c r="D444" s="137"/>
      <c r="E444" s="137"/>
      <c r="F444" s="150"/>
      <c r="G444" s="137"/>
      <c r="H444" s="137"/>
      <c r="I444" s="137"/>
      <c r="J444" s="137"/>
    </row>
    <row r="445" spans="1:10" hidden="1">
      <c r="A445" s="1749">
        <v>10</v>
      </c>
      <c r="B445" s="1749"/>
      <c r="C445" s="137"/>
      <c r="D445" s="137"/>
      <c r="E445" s="137"/>
      <c r="F445" s="137"/>
      <c r="G445" s="137"/>
      <c r="H445" s="137"/>
      <c r="I445" s="137"/>
      <c r="J445" s="137"/>
    </row>
    <row r="446" spans="1:10" hidden="1">
      <c r="A446" s="1749">
        <v>11</v>
      </c>
      <c r="B446" s="1749"/>
      <c r="C446" s="137"/>
      <c r="D446" s="137"/>
      <c r="E446" s="137"/>
      <c r="F446" s="137"/>
      <c r="G446" s="137"/>
      <c r="H446" s="137"/>
      <c r="I446" s="137"/>
      <c r="J446" s="137"/>
    </row>
    <row r="447" spans="1:10" hidden="1">
      <c r="A447" s="1749">
        <v>12</v>
      </c>
      <c r="B447" s="1749"/>
      <c r="C447" s="137"/>
      <c r="D447" s="137"/>
      <c r="E447" s="137"/>
      <c r="F447" s="137"/>
      <c r="G447" s="137"/>
      <c r="H447" s="137"/>
      <c r="I447" s="137"/>
      <c r="J447" s="137"/>
    </row>
    <row r="448" spans="1:10" hidden="1">
      <c r="A448" s="1749">
        <v>13</v>
      </c>
      <c r="B448" s="1749"/>
      <c r="C448" s="137"/>
      <c r="D448" s="137"/>
      <c r="E448" s="137"/>
      <c r="F448" s="137"/>
      <c r="G448" s="137"/>
      <c r="H448" s="137"/>
      <c r="I448" s="137"/>
      <c r="J448" s="137"/>
    </row>
    <row r="449" spans="1:10" hidden="1">
      <c r="A449" s="1749">
        <v>14</v>
      </c>
      <c r="B449" s="1749"/>
      <c r="C449" s="137"/>
      <c r="D449" s="137"/>
      <c r="E449" s="137"/>
      <c r="F449" s="137"/>
      <c r="G449" s="137"/>
      <c r="H449" s="137"/>
      <c r="I449" s="137"/>
      <c r="J449" s="137"/>
    </row>
    <row r="450" spans="1:10" hidden="1">
      <c r="A450" s="1749">
        <v>15</v>
      </c>
      <c r="B450" s="1749"/>
      <c r="C450" s="137"/>
      <c r="D450" s="137"/>
      <c r="E450" s="137"/>
      <c r="F450" s="137"/>
      <c r="G450" s="137"/>
      <c r="H450" s="137"/>
      <c r="I450" s="137"/>
      <c r="J450" s="137"/>
    </row>
    <row r="451" spans="1:10" hidden="1">
      <c r="A451" s="1749">
        <v>16</v>
      </c>
      <c r="B451" s="1749"/>
      <c r="C451" s="137"/>
      <c r="D451" s="137"/>
      <c r="E451" s="137"/>
      <c r="F451" s="137"/>
      <c r="G451" s="137"/>
      <c r="H451" s="137"/>
      <c r="I451" s="137"/>
      <c r="J451" s="137"/>
    </row>
    <row r="452" spans="1:10" hidden="1">
      <c r="A452" s="1749">
        <v>17</v>
      </c>
      <c r="B452" s="1749"/>
      <c r="C452" s="137"/>
      <c r="D452" s="137"/>
      <c r="E452" s="137"/>
      <c r="F452" s="137"/>
      <c r="G452" s="137"/>
      <c r="H452" s="137"/>
      <c r="I452" s="137"/>
      <c r="J452" s="137"/>
    </row>
    <row r="453" spans="1:10" hidden="1">
      <c r="A453" s="1749">
        <v>18</v>
      </c>
      <c r="B453" s="1749"/>
      <c r="C453" s="137"/>
      <c r="D453" s="137"/>
      <c r="E453" s="137"/>
      <c r="F453" s="137"/>
      <c r="G453" s="137"/>
      <c r="H453" s="137"/>
      <c r="I453" s="137"/>
      <c r="J453" s="137"/>
    </row>
    <row r="454" spans="1:10" hidden="1">
      <c r="A454" s="1749">
        <v>19</v>
      </c>
      <c r="B454" s="1749"/>
      <c r="C454" s="137"/>
      <c r="D454" s="137"/>
      <c r="E454" s="137"/>
      <c r="F454" s="137"/>
      <c r="G454" s="137"/>
      <c r="H454" s="137"/>
      <c r="I454" s="137"/>
      <c r="J454" s="137"/>
    </row>
    <row r="455" spans="1:10" hidden="1">
      <c r="A455" s="1749">
        <v>20</v>
      </c>
      <c r="B455" s="1749"/>
      <c r="C455" s="137"/>
      <c r="D455" s="137"/>
      <c r="E455" s="137"/>
      <c r="F455" s="137"/>
      <c r="G455" s="137"/>
      <c r="H455" s="137"/>
      <c r="I455" s="137"/>
      <c r="J455" s="137"/>
    </row>
    <row r="456" spans="1:10" ht="21" hidden="1">
      <c r="A456" s="137"/>
      <c r="B456" s="1749"/>
      <c r="C456" s="137"/>
      <c r="D456" s="137"/>
      <c r="E456" s="137"/>
      <c r="F456" s="137"/>
      <c r="G456" s="137"/>
      <c r="H456" s="137"/>
      <c r="I456" s="137"/>
      <c r="J456" s="139">
        <f>SUM(J436:J455)</f>
        <v>4</v>
      </c>
    </row>
    <row r="457" spans="1:10" hidden="1">
      <c r="A457" s="2744" t="s">
        <v>33</v>
      </c>
      <c r="B457" s="2744"/>
      <c r="C457" s="2744"/>
      <c r="D457" s="2744"/>
      <c r="E457" s="2744"/>
      <c r="F457" s="2744"/>
      <c r="G457" s="2744"/>
      <c r="H457" s="2744"/>
      <c r="I457" s="2744"/>
      <c r="J457" s="2744"/>
    </row>
    <row r="458" spans="1:10" hidden="1">
      <c r="A458" s="137" t="s">
        <v>3</v>
      </c>
      <c r="B458" s="1749" t="s">
        <v>4</v>
      </c>
      <c r="C458" s="137" t="s">
        <v>5</v>
      </c>
      <c r="D458" s="137" t="s">
        <v>6</v>
      </c>
      <c r="E458" s="137" t="s">
        <v>7</v>
      </c>
      <c r="F458" s="137" t="s">
        <v>8</v>
      </c>
      <c r="G458" s="137" t="s">
        <v>9</v>
      </c>
      <c r="H458" s="137" t="s">
        <v>10</v>
      </c>
      <c r="I458" s="137" t="s">
        <v>11</v>
      </c>
      <c r="J458" s="137" t="s">
        <v>12</v>
      </c>
    </row>
    <row r="459" spans="1:10" hidden="1">
      <c r="A459" s="541">
        <v>1</v>
      </c>
      <c r="B459" s="2539" t="s">
        <v>398</v>
      </c>
      <c r="C459" s="152" t="s">
        <v>138</v>
      </c>
      <c r="D459" s="152" t="s">
        <v>399</v>
      </c>
      <c r="E459" s="152" t="s">
        <v>322</v>
      </c>
      <c r="F459" s="153">
        <v>170000000</v>
      </c>
      <c r="G459" s="152" t="s">
        <v>400</v>
      </c>
      <c r="H459" s="152" t="s">
        <v>44</v>
      </c>
      <c r="I459" s="152" t="s">
        <v>36</v>
      </c>
      <c r="J459" s="140">
        <v>1</v>
      </c>
    </row>
    <row r="460" spans="1:10" hidden="1">
      <c r="A460" s="541">
        <v>2</v>
      </c>
      <c r="B460" s="2539"/>
      <c r="C460" s="152"/>
      <c r="D460" s="152"/>
      <c r="E460" s="152"/>
      <c r="F460" s="153"/>
      <c r="G460" s="152"/>
      <c r="H460" s="152"/>
      <c r="I460" s="152"/>
      <c r="J460" s="140"/>
    </row>
    <row r="461" spans="1:10" hidden="1">
      <c r="A461" s="583">
        <v>3</v>
      </c>
      <c r="B461" s="2540"/>
      <c r="C461" s="154"/>
      <c r="D461" s="154"/>
      <c r="E461" s="154"/>
      <c r="F461" s="155"/>
      <c r="G461" s="154"/>
      <c r="H461" s="154"/>
      <c r="I461" s="154"/>
      <c r="J461" s="143"/>
    </row>
    <row r="462" spans="1:10" hidden="1">
      <c r="A462" s="581">
        <v>4</v>
      </c>
      <c r="B462" s="2541"/>
      <c r="C462" s="156"/>
      <c r="D462" s="156"/>
      <c r="E462" s="156"/>
      <c r="F462" s="157"/>
      <c r="G462" s="156"/>
      <c r="H462" s="156"/>
      <c r="I462" s="156"/>
      <c r="J462" s="144"/>
    </row>
    <row r="463" spans="1:10" ht="21" hidden="1">
      <c r="A463" s="141"/>
      <c r="B463" s="2542"/>
      <c r="C463" s="141"/>
      <c r="D463" s="141"/>
      <c r="E463" s="141"/>
      <c r="F463" s="145"/>
      <c r="G463" s="141"/>
      <c r="H463" s="141"/>
      <c r="I463" s="141"/>
      <c r="J463" s="146"/>
    </row>
    <row r="464" spans="1:10" hidden="1"/>
    <row r="465" spans="1:10" ht="23.45" hidden="1">
      <c r="A465" s="2752" t="s">
        <v>80</v>
      </c>
      <c r="B465" s="2752"/>
      <c r="C465" s="2752"/>
      <c r="D465" s="2752"/>
      <c r="E465" s="2752"/>
      <c r="F465" s="2752"/>
      <c r="G465" s="2752"/>
      <c r="H465" s="2752"/>
      <c r="I465" s="2752"/>
      <c r="J465" s="2752"/>
    </row>
    <row r="466" spans="1:10" ht="15.6" hidden="1">
      <c r="A466" s="2737" t="s">
        <v>2</v>
      </c>
      <c r="B466" s="2737"/>
      <c r="C466" s="2737"/>
      <c r="D466" s="2737"/>
      <c r="E466" s="2737"/>
      <c r="F466" s="2737"/>
      <c r="G466" s="2737"/>
      <c r="H466" s="2737"/>
      <c r="I466" s="2737"/>
      <c r="J466" s="2737"/>
    </row>
    <row r="467" spans="1:10" hidden="1">
      <c r="A467" s="150" t="s">
        <v>3</v>
      </c>
      <c r="B467" s="1749" t="s">
        <v>4</v>
      </c>
      <c r="C467" s="150" t="s">
        <v>5</v>
      </c>
      <c r="D467" s="150" t="s">
        <v>6</v>
      </c>
      <c r="E467" s="150" t="s">
        <v>7</v>
      </c>
      <c r="F467" s="150" t="s">
        <v>8</v>
      </c>
      <c r="G467" s="150" t="s">
        <v>9</v>
      </c>
      <c r="H467" s="150" t="s">
        <v>10</v>
      </c>
      <c r="I467" s="150" t="s">
        <v>11</v>
      </c>
      <c r="J467" s="137" t="s">
        <v>12</v>
      </c>
    </row>
    <row r="468" spans="1:10" hidden="1">
      <c r="A468" s="1749">
        <v>1</v>
      </c>
      <c r="B468" s="1749" t="s">
        <v>401</v>
      </c>
      <c r="C468" s="137" t="s">
        <v>138</v>
      </c>
      <c r="D468" s="137" t="s">
        <v>402</v>
      </c>
      <c r="E468" s="137" t="s">
        <v>39</v>
      </c>
      <c r="F468" s="264">
        <v>750000</v>
      </c>
      <c r="G468" s="137" t="s">
        <v>43</v>
      </c>
      <c r="H468" s="137" t="s">
        <v>271</v>
      </c>
      <c r="I468" s="137" t="s">
        <v>36</v>
      </c>
      <c r="J468" s="137">
        <v>1</v>
      </c>
    </row>
    <row r="469" spans="1:10" hidden="1">
      <c r="A469" s="1749">
        <v>2</v>
      </c>
      <c r="B469" s="1749" t="s">
        <v>401</v>
      </c>
      <c r="C469" s="137" t="s">
        <v>138</v>
      </c>
      <c r="D469" s="137" t="s">
        <v>403</v>
      </c>
      <c r="E469" s="137" t="s">
        <v>125</v>
      </c>
      <c r="F469" s="264">
        <v>1100000</v>
      </c>
      <c r="G469" s="137" t="s">
        <v>43</v>
      </c>
      <c r="H469" s="137" t="s">
        <v>271</v>
      </c>
      <c r="I469" s="137" t="s">
        <v>36</v>
      </c>
      <c r="J469" s="137">
        <v>1</v>
      </c>
    </row>
    <row r="470" spans="1:10" hidden="1">
      <c r="A470" s="1749">
        <v>3</v>
      </c>
      <c r="B470" s="2538" t="s">
        <v>401</v>
      </c>
      <c r="C470" s="137" t="s">
        <v>135</v>
      </c>
      <c r="D470" s="137" t="s">
        <v>404</v>
      </c>
      <c r="E470" s="137" t="s">
        <v>125</v>
      </c>
      <c r="F470" s="264">
        <v>1100000</v>
      </c>
      <c r="G470" s="137" t="s">
        <v>108</v>
      </c>
      <c r="H470" s="137" t="s">
        <v>271</v>
      </c>
      <c r="I470" s="137" t="s">
        <v>36</v>
      </c>
      <c r="J470" s="137">
        <v>1</v>
      </c>
    </row>
    <row r="471" spans="1:10" hidden="1">
      <c r="A471" s="1749">
        <v>4</v>
      </c>
      <c r="B471" s="2543" t="s">
        <v>405</v>
      </c>
      <c r="C471" s="147" t="s">
        <v>138</v>
      </c>
      <c r="D471" s="147" t="s">
        <v>406</v>
      </c>
      <c r="E471" s="147" t="s">
        <v>125</v>
      </c>
      <c r="F471" s="693">
        <v>980000</v>
      </c>
      <c r="G471" s="147" t="s">
        <v>43</v>
      </c>
      <c r="H471" s="147" t="s">
        <v>271</v>
      </c>
      <c r="I471" s="147" t="s">
        <v>36</v>
      </c>
      <c r="J471" s="147">
        <v>1</v>
      </c>
    </row>
    <row r="472" spans="1:10" hidden="1">
      <c r="A472" s="542">
        <v>5</v>
      </c>
      <c r="B472" s="2" t="s">
        <v>407</v>
      </c>
      <c r="C472" s="11" t="s">
        <v>138</v>
      </c>
      <c r="D472" s="11" t="s">
        <v>408</v>
      </c>
      <c r="E472" s="11" t="s">
        <v>125</v>
      </c>
      <c r="F472" s="694">
        <v>1650000</v>
      </c>
      <c r="G472" s="11" t="s">
        <v>409</v>
      </c>
      <c r="H472" s="11" t="s">
        <v>271</v>
      </c>
      <c r="I472" s="11" t="s">
        <v>36</v>
      </c>
      <c r="J472" s="11">
        <v>1</v>
      </c>
    </row>
    <row r="473" spans="1:10" hidden="1">
      <c r="A473" s="542">
        <v>6</v>
      </c>
      <c r="B473" s="2" t="s">
        <v>405</v>
      </c>
      <c r="C473" s="11" t="s">
        <v>138</v>
      </c>
      <c r="D473" s="11" t="s">
        <v>410</v>
      </c>
      <c r="E473" s="11" t="s">
        <v>125</v>
      </c>
      <c r="F473" s="694">
        <v>1200000</v>
      </c>
      <c r="G473" s="11" t="s">
        <v>40</v>
      </c>
      <c r="H473" s="11" t="s">
        <v>271</v>
      </c>
      <c r="I473" s="11" t="s">
        <v>36</v>
      </c>
      <c r="J473" s="11">
        <v>1</v>
      </c>
    </row>
    <row r="474" spans="1:10" hidden="1">
      <c r="A474" s="542">
        <v>7</v>
      </c>
      <c r="B474" s="2" t="s">
        <v>411</v>
      </c>
      <c r="C474" s="11" t="s">
        <v>138</v>
      </c>
      <c r="D474" s="11" t="s">
        <v>412</v>
      </c>
      <c r="E474" s="11" t="s">
        <v>125</v>
      </c>
      <c r="F474" s="694">
        <v>950000</v>
      </c>
      <c r="G474" s="11" t="s">
        <v>43</v>
      </c>
      <c r="H474" s="11" t="s">
        <v>271</v>
      </c>
      <c r="I474" s="11" t="s">
        <v>36</v>
      </c>
      <c r="J474" s="11">
        <v>1</v>
      </c>
    </row>
    <row r="475" spans="1:10" hidden="1">
      <c r="A475" s="542">
        <v>8</v>
      </c>
      <c r="B475" s="2" t="s">
        <v>413</v>
      </c>
      <c r="C475" s="11" t="s">
        <v>138</v>
      </c>
      <c r="D475" s="11" t="s">
        <v>414</v>
      </c>
      <c r="E475" s="11" t="s">
        <v>125</v>
      </c>
      <c r="F475" s="694">
        <v>1150000</v>
      </c>
      <c r="G475" s="11" t="s">
        <v>94</v>
      </c>
      <c r="H475" s="11" t="s">
        <v>271</v>
      </c>
      <c r="I475" s="11" t="s">
        <v>36</v>
      </c>
      <c r="J475" s="11">
        <v>1</v>
      </c>
    </row>
    <row r="476" spans="1:10" hidden="1">
      <c r="A476" s="1749">
        <v>9</v>
      </c>
      <c r="B476" s="2544" t="s">
        <v>374</v>
      </c>
      <c r="C476" s="148" t="s">
        <v>138</v>
      </c>
      <c r="D476" s="148" t="s">
        <v>415</v>
      </c>
      <c r="E476" s="148" t="s">
        <v>125</v>
      </c>
      <c r="F476" s="695">
        <v>1200000</v>
      </c>
      <c r="G476" s="148" t="s">
        <v>416</v>
      </c>
      <c r="H476" s="148" t="s">
        <v>271</v>
      </c>
      <c r="I476" s="148" t="s">
        <v>36</v>
      </c>
      <c r="J476" s="148">
        <v>1</v>
      </c>
    </row>
    <row r="477" spans="1:10" hidden="1">
      <c r="A477" s="1749">
        <v>10</v>
      </c>
      <c r="B477" s="1749" t="s">
        <v>376</v>
      </c>
      <c r="C477" s="137" t="s">
        <v>138</v>
      </c>
      <c r="D477" s="137" t="s">
        <v>417</v>
      </c>
      <c r="E477" s="137" t="s">
        <v>125</v>
      </c>
      <c r="F477" s="264" t="s">
        <v>418</v>
      </c>
      <c r="G477" s="137" t="s">
        <v>419</v>
      </c>
      <c r="H477" s="137" t="s">
        <v>271</v>
      </c>
      <c r="I477" s="137" t="s">
        <v>36</v>
      </c>
      <c r="J477" s="137">
        <v>1</v>
      </c>
    </row>
    <row r="478" spans="1:10" hidden="1">
      <c r="A478" s="1749">
        <v>11</v>
      </c>
      <c r="B478" s="1749" t="s">
        <v>376</v>
      </c>
      <c r="C478" s="137" t="s">
        <v>138</v>
      </c>
      <c r="D478" s="137" t="s">
        <v>420</v>
      </c>
      <c r="E478" s="137" t="s">
        <v>125</v>
      </c>
      <c r="F478" s="264">
        <v>940000</v>
      </c>
      <c r="G478" s="137" t="s">
        <v>235</v>
      </c>
      <c r="H478" s="137" t="s">
        <v>271</v>
      </c>
      <c r="I478" s="137" t="s">
        <v>36</v>
      </c>
      <c r="J478" s="137">
        <v>1</v>
      </c>
    </row>
    <row r="479" spans="1:10" hidden="1">
      <c r="A479" s="1749">
        <v>12</v>
      </c>
      <c r="B479" s="1749" t="s">
        <v>421</v>
      </c>
      <c r="C479" s="137" t="s">
        <v>138</v>
      </c>
      <c r="D479" s="137" t="s">
        <v>422</v>
      </c>
      <c r="E479" s="137" t="s">
        <v>125</v>
      </c>
      <c r="F479" s="137">
        <v>1200000</v>
      </c>
      <c r="G479" s="137" t="s">
        <v>346</v>
      </c>
      <c r="H479" s="137" t="s">
        <v>271</v>
      </c>
      <c r="I479" s="137" t="s">
        <v>36</v>
      </c>
      <c r="J479" s="137">
        <v>1</v>
      </c>
    </row>
    <row r="480" spans="1:10" hidden="1">
      <c r="A480" s="1749">
        <v>13</v>
      </c>
      <c r="B480" s="1749" t="s">
        <v>423</v>
      </c>
      <c r="C480" s="137" t="s">
        <v>138</v>
      </c>
      <c r="D480" s="137" t="s">
        <v>424</v>
      </c>
      <c r="E480" s="137" t="s">
        <v>125</v>
      </c>
      <c r="F480" s="137">
        <v>1300000</v>
      </c>
      <c r="G480" s="137" t="s">
        <v>235</v>
      </c>
      <c r="H480" s="137" t="s">
        <v>271</v>
      </c>
      <c r="I480" s="137" t="s">
        <v>36</v>
      </c>
      <c r="J480" s="137">
        <v>1</v>
      </c>
    </row>
    <row r="481" spans="1:10" hidden="1">
      <c r="A481" s="1749">
        <v>14</v>
      </c>
      <c r="B481" s="1749" t="s">
        <v>398</v>
      </c>
      <c r="C481" s="137" t="s">
        <v>138</v>
      </c>
      <c r="D481" s="137" t="s">
        <v>425</v>
      </c>
      <c r="E481" s="137" t="s">
        <v>125</v>
      </c>
      <c r="F481" s="137">
        <v>1350000</v>
      </c>
      <c r="G481" s="137" t="s">
        <v>359</v>
      </c>
      <c r="H481" s="137" t="s">
        <v>271</v>
      </c>
      <c r="I481" s="137" t="s">
        <v>36</v>
      </c>
      <c r="J481" s="137">
        <v>1</v>
      </c>
    </row>
    <row r="482" spans="1:10" hidden="1">
      <c r="A482" s="1749">
        <v>15</v>
      </c>
      <c r="B482" s="1749" t="s">
        <v>398</v>
      </c>
      <c r="C482" s="137" t="s">
        <v>138</v>
      </c>
      <c r="D482" s="137" t="s">
        <v>426</v>
      </c>
      <c r="E482" s="137" t="s">
        <v>125</v>
      </c>
      <c r="F482" s="137">
        <v>1200000</v>
      </c>
      <c r="G482" s="137" t="s">
        <v>40</v>
      </c>
      <c r="H482" s="137" t="s">
        <v>271</v>
      </c>
      <c r="I482" s="137" t="s">
        <v>36</v>
      </c>
      <c r="J482" s="137">
        <v>1</v>
      </c>
    </row>
    <row r="483" spans="1:10" hidden="1">
      <c r="A483" s="1749">
        <v>16</v>
      </c>
      <c r="B483" s="1749" t="s">
        <v>398</v>
      </c>
      <c r="C483" s="137" t="s">
        <v>138</v>
      </c>
      <c r="D483" s="137" t="s">
        <v>427</v>
      </c>
      <c r="E483" s="137" t="s">
        <v>125</v>
      </c>
      <c r="F483" s="137">
        <v>1400000</v>
      </c>
      <c r="G483" s="137" t="s">
        <v>40</v>
      </c>
      <c r="H483" s="137" t="s">
        <v>271</v>
      </c>
      <c r="I483" s="137" t="s">
        <v>36</v>
      </c>
      <c r="J483" s="137">
        <v>1</v>
      </c>
    </row>
    <row r="484" spans="1:10" hidden="1">
      <c r="A484" s="1749">
        <v>17</v>
      </c>
      <c r="B484" s="1749" t="s">
        <v>428</v>
      </c>
      <c r="C484" s="137" t="s">
        <v>138</v>
      </c>
      <c r="D484" s="137" t="s">
        <v>429</v>
      </c>
      <c r="E484" s="137" t="s">
        <v>125</v>
      </c>
      <c r="F484" s="137">
        <v>800000</v>
      </c>
      <c r="G484" s="137" t="s">
        <v>430</v>
      </c>
      <c r="H484" s="137" t="s">
        <v>271</v>
      </c>
      <c r="I484" s="137" t="s">
        <v>36</v>
      </c>
      <c r="J484" s="137">
        <v>1</v>
      </c>
    </row>
    <row r="485" spans="1:10" hidden="1">
      <c r="A485" s="1749">
        <v>18</v>
      </c>
      <c r="B485" s="1749" t="s">
        <v>428</v>
      </c>
      <c r="C485" s="137" t="s">
        <v>138</v>
      </c>
      <c r="D485" s="137" t="s">
        <v>431</v>
      </c>
      <c r="E485" s="137" t="s">
        <v>239</v>
      </c>
      <c r="F485" s="137">
        <v>2000000</v>
      </c>
      <c r="G485" s="137" t="s">
        <v>43</v>
      </c>
      <c r="H485" s="137" t="s">
        <v>271</v>
      </c>
      <c r="I485" s="137" t="s">
        <v>36</v>
      </c>
      <c r="J485" s="137">
        <v>1</v>
      </c>
    </row>
    <row r="486" spans="1:10" hidden="1">
      <c r="A486" s="1749">
        <v>19</v>
      </c>
      <c r="B486" s="1749" t="s">
        <v>428</v>
      </c>
      <c r="C486" s="137" t="s">
        <v>138</v>
      </c>
      <c r="D486" s="137" t="s">
        <v>432</v>
      </c>
      <c r="E486" s="137" t="s">
        <v>125</v>
      </c>
      <c r="F486" s="137">
        <v>1300000</v>
      </c>
      <c r="G486" s="137" t="s">
        <v>289</v>
      </c>
      <c r="H486" s="137" t="s">
        <v>271</v>
      </c>
      <c r="I486" s="137" t="s">
        <v>36</v>
      </c>
      <c r="J486" s="137">
        <v>1</v>
      </c>
    </row>
    <row r="487" spans="1:10" hidden="1">
      <c r="A487" s="1749">
        <v>20</v>
      </c>
      <c r="B487" s="1749" t="s">
        <v>428</v>
      </c>
      <c r="C487" s="137" t="s">
        <v>138</v>
      </c>
      <c r="D487" s="137" t="s">
        <v>433</v>
      </c>
      <c r="E487" s="137" t="s">
        <v>434</v>
      </c>
      <c r="F487" s="137">
        <v>700</v>
      </c>
      <c r="G487" s="137" t="s">
        <v>43</v>
      </c>
      <c r="H487" s="137" t="s">
        <v>271</v>
      </c>
      <c r="I487" s="137" t="s">
        <v>36</v>
      </c>
      <c r="J487" s="137">
        <v>1</v>
      </c>
    </row>
    <row r="488" spans="1:10" ht="21" hidden="1">
      <c r="A488" s="137"/>
      <c r="B488" s="1749"/>
      <c r="C488" s="137"/>
      <c r="D488" s="137"/>
      <c r="E488" s="137"/>
      <c r="F488" s="137"/>
      <c r="G488" s="137"/>
      <c r="H488" s="137"/>
      <c r="I488" s="137"/>
      <c r="J488" s="139"/>
    </row>
    <row r="489" spans="1:10" hidden="1">
      <c r="A489" s="2744" t="s">
        <v>33</v>
      </c>
      <c r="B489" s="2744"/>
      <c r="C489" s="2744"/>
      <c r="D489" s="2744"/>
      <c r="E489" s="2744"/>
      <c r="F489" s="2744"/>
      <c r="G489" s="2744"/>
      <c r="H489" s="2744"/>
      <c r="I489" s="2744"/>
      <c r="J489" s="2744"/>
    </row>
    <row r="490" spans="1:10" hidden="1">
      <c r="A490" s="150" t="s">
        <v>3</v>
      </c>
      <c r="B490" s="1749" t="s">
        <v>4</v>
      </c>
      <c r="C490" s="150" t="s">
        <v>5</v>
      </c>
      <c r="D490" s="150" t="s">
        <v>6</v>
      </c>
      <c r="E490" s="150" t="s">
        <v>7</v>
      </c>
      <c r="F490" s="150" t="s">
        <v>8</v>
      </c>
      <c r="G490" s="150" t="s">
        <v>9</v>
      </c>
      <c r="H490" s="150" t="s">
        <v>10</v>
      </c>
      <c r="I490" s="150" t="s">
        <v>11</v>
      </c>
      <c r="J490" s="137" t="s">
        <v>12</v>
      </c>
    </row>
    <row r="491" spans="1:10" hidden="1">
      <c r="A491" s="541">
        <v>1</v>
      </c>
      <c r="B491" s="2539" t="s">
        <v>369</v>
      </c>
      <c r="C491" s="152" t="s">
        <v>138</v>
      </c>
      <c r="D491" s="152" t="s">
        <v>435</v>
      </c>
      <c r="E491" s="152" t="s">
        <v>436</v>
      </c>
      <c r="F491" s="162">
        <v>175000000</v>
      </c>
      <c r="G491" s="152" t="s">
        <v>168</v>
      </c>
      <c r="H491" s="152" t="s">
        <v>44</v>
      </c>
      <c r="I491" s="152" t="s">
        <v>36</v>
      </c>
      <c r="J491" s="140">
        <v>1</v>
      </c>
    </row>
    <row r="492" spans="1:10" hidden="1">
      <c r="A492" s="541">
        <v>2</v>
      </c>
      <c r="B492" s="2539" t="s">
        <v>369</v>
      </c>
      <c r="C492" s="152" t="s">
        <v>138</v>
      </c>
      <c r="D492" s="152" t="s">
        <v>437</v>
      </c>
      <c r="E492" s="152" t="s">
        <v>436</v>
      </c>
      <c r="F492" s="162">
        <v>205000000</v>
      </c>
      <c r="G492" s="152" t="s">
        <v>359</v>
      </c>
      <c r="H492" s="152" t="s">
        <v>44</v>
      </c>
      <c r="I492" s="152" t="s">
        <v>36</v>
      </c>
      <c r="J492" s="140">
        <v>1</v>
      </c>
    </row>
    <row r="493" spans="1:10" hidden="1">
      <c r="A493" s="541">
        <v>3</v>
      </c>
      <c r="B493" s="2539" t="s">
        <v>369</v>
      </c>
      <c r="C493" s="152" t="s">
        <v>138</v>
      </c>
      <c r="D493" s="152" t="s">
        <v>438</v>
      </c>
      <c r="E493" s="152" t="s">
        <v>439</v>
      </c>
      <c r="F493" s="162">
        <v>345000000</v>
      </c>
      <c r="G493" s="152" t="s">
        <v>168</v>
      </c>
      <c r="H493" s="152" t="s">
        <v>271</v>
      </c>
      <c r="I493" s="152">
        <v>1</v>
      </c>
      <c r="J493" s="140">
        <v>1</v>
      </c>
    </row>
    <row r="494" spans="1:10" hidden="1">
      <c r="A494" s="541">
        <v>4</v>
      </c>
      <c r="B494" s="2539" t="s">
        <v>376</v>
      </c>
      <c r="C494" s="152" t="s">
        <v>138</v>
      </c>
      <c r="D494" s="152" t="s">
        <v>440</v>
      </c>
      <c r="E494" s="152" t="s">
        <v>441</v>
      </c>
      <c r="F494" s="162">
        <v>580000</v>
      </c>
      <c r="G494" s="152" t="s">
        <v>442</v>
      </c>
      <c r="H494" s="152" t="s">
        <v>44</v>
      </c>
      <c r="I494" s="152" t="s">
        <v>36</v>
      </c>
      <c r="J494" s="140">
        <v>1</v>
      </c>
    </row>
    <row r="495" spans="1:10" ht="21" hidden="1">
      <c r="A495" s="541"/>
      <c r="B495" s="541"/>
      <c r="C495" s="140"/>
      <c r="D495" s="140"/>
      <c r="E495" s="140"/>
      <c r="F495" s="149"/>
      <c r="G495" s="140"/>
      <c r="H495" s="140"/>
      <c r="I495" s="140"/>
      <c r="J495" s="139"/>
    </row>
    <row r="496" spans="1:10" ht="23.45" hidden="1">
      <c r="A496" s="2752" t="s">
        <v>118</v>
      </c>
      <c r="B496" s="2752"/>
      <c r="C496" s="2752"/>
      <c r="D496" s="2752"/>
      <c r="E496" s="2752"/>
      <c r="F496" s="2752"/>
      <c r="G496" s="2752"/>
      <c r="H496" s="2752"/>
      <c r="I496" s="2752"/>
      <c r="J496" s="2752"/>
    </row>
    <row r="497" spans="1:10" ht="15.6" hidden="1">
      <c r="A497" s="2737" t="s">
        <v>2</v>
      </c>
      <c r="B497" s="2737"/>
      <c r="C497" s="2737"/>
      <c r="D497" s="2737"/>
      <c r="E497" s="2737"/>
      <c r="F497" s="2737"/>
      <c r="G497" s="2737"/>
      <c r="H497" s="2737"/>
      <c r="I497" s="2737"/>
      <c r="J497" s="2737"/>
    </row>
    <row r="498" spans="1:10" hidden="1">
      <c r="A498" s="137" t="s">
        <v>3</v>
      </c>
      <c r="B498" s="1749" t="s">
        <v>4</v>
      </c>
      <c r="C498" s="137" t="s">
        <v>5</v>
      </c>
      <c r="D498" s="137" t="s">
        <v>6</v>
      </c>
      <c r="E498" s="137" t="s">
        <v>7</v>
      </c>
      <c r="F498" s="137" t="s">
        <v>8</v>
      </c>
      <c r="G498" s="137" t="s">
        <v>9</v>
      </c>
      <c r="H498" s="137" t="s">
        <v>10</v>
      </c>
      <c r="I498" s="137" t="s">
        <v>11</v>
      </c>
      <c r="J498" s="137" t="s">
        <v>12</v>
      </c>
    </row>
    <row r="499" spans="1:10" hidden="1">
      <c r="A499" s="1749">
        <v>1</v>
      </c>
      <c r="B499" s="2538" t="s">
        <v>443</v>
      </c>
      <c r="C499" s="150" t="s">
        <v>138</v>
      </c>
      <c r="D499" s="150" t="s">
        <v>444</v>
      </c>
      <c r="E499" s="150" t="s">
        <v>125</v>
      </c>
      <c r="F499" s="151">
        <v>900000</v>
      </c>
      <c r="G499" s="150" t="s">
        <v>43</v>
      </c>
      <c r="H499" s="150" t="s">
        <v>271</v>
      </c>
      <c r="I499" s="150" t="s">
        <v>36</v>
      </c>
      <c r="J499" s="137">
        <v>1</v>
      </c>
    </row>
    <row r="500" spans="1:10" hidden="1">
      <c r="A500" s="1749">
        <v>2</v>
      </c>
      <c r="B500" s="2538" t="s">
        <v>395</v>
      </c>
      <c r="C500" s="150" t="s">
        <v>135</v>
      </c>
      <c r="D500" s="150" t="s">
        <v>445</v>
      </c>
      <c r="E500" s="150" t="s">
        <v>446</v>
      </c>
      <c r="F500" s="151">
        <v>5000000</v>
      </c>
      <c r="G500" s="150" t="s">
        <v>43</v>
      </c>
      <c r="H500" s="150" t="s">
        <v>271</v>
      </c>
      <c r="I500" s="150" t="s">
        <v>36</v>
      </c>
      <c r="J500" s="137">
        <v>1</v>
      </c>
    </row>
    <row r="501" spans="1:10" hidden="1">
      <c r="A501" s="1749">
        <v>3</v>
      </c>
      <c r="B501" s="2538"/>
      <c r="C501" s="150"/>
      <c r="D501" s="150"/>
      <c r="E501" s="150"/>
      <c r="F501" s="151"/>
      <c r="G501" s="150"/>
      <c r="H501" s="150"/>
      <c r="I501" s="150"/>
      <c r="J501" s="137"/>
    </row>
    <row r="502" spans="1:10" hidden="1">
      <c r="A502" s="1749">
        <v>4</v>
      </c>
      <c r="B502" s="1749"/>
      <c r="C502" s="150"/>
      <c r="D502" s="150"/>
      <c r="E502" s="150"/>
      <c r="F502" s="150"/>
      <c r="G502" s="150"/>
      <c r="H502" s="150"/>
      <c r="I502" s="150"/>
      <c r="J502" s="137"/>
    </row>
    <row r="503" spans="1:10" hidden="1">
      <c r="A503" s="1749">
        <v>5</v>
      </c>
      <c r="B503" s="1749"/>
      <c r="C503" s="137"/>
      <c r="D503" s="137"/>
      <c r="E503" s="137"/>
      <c r="F503" s="137"/>
      <c r="G503" s="137"/>
      <c r="H503" s="137"/>
      <c r="I503" s="137"/>
      <c r="J503" s="137"/>
    </row>
    <row r="504" spans="1:10" hidden="1">
      <c r="A504" s="1749">
        <v>6</v>
      </c>
      <c r="B504" s="1749"/>
      <c r="C504" s="137"/>
      <c r="D504" s="137"/>
      <c r="E504" s="137"/>
      <c r="F504" s="137"/>
      <c r="G504" s="137"/>
      <c r="H504" s="137"/>
      <c r="I504" s="137"/>
      <c r="J504" s="137"/>
    </row>
    <row r="505" spans="1:10" hidden="1">
      <c r="A505" s="1749">
        <v>7</v>
      </c>
      <c r="B505" s="1749"/>
      <c r="C505" s="137"/>
      <c r="D505" s="137"/>
      <c r="E505" s="137"/>
      <c r="F505" s="137"/>
      <c r="G505" s="137"/>
      <c r="H505" s="137"/>
      <c r="I505" s="137"/>
      <c r="J505" s="137"/>
    </row>
    <row r="506" spans="1:10" hidden="1">
      <c r="A506" s="1749">
        <v>8</v>
      </c>
      <c r="B506" s="1749"/>
      <c r="C506" s="137"/>
      <c r="D506" s="137"/>
      <c r="E506" s="137"/>
      <c r="F506" s="137"/>
      <c r="G506" s="137"/>
      <c r="H506" s="137"/>
      <c r="I506" s="137"/>
      <c r="J506" s="137"/>
    </row>
    <row r="507" spans="1:10" hidden="1">
      <c r="A507" s="1749">
        <v>9</v>
      </c>
      <c r="B507" s="1749"/>
      <c r="C507" s="137"/>
      <c r="D507" s="137"/>
      <c r="E507" s="137"/>
      <c r="F507" s="137"/>
      <c r="G507" s="137"/>
      <c r="H507" s="137"/>
      <c r="I507" s="137"/>
      <c r="J507" s="137"/>
    </row>
    <row r="508" spans="1:10" ht="21" hidden="1">
      <c r="A508" s="1749">
        <v>10</v>
      </c>
      <c r="B508" s="1749"/>
      <c r="C508" s="137"/>
      <c r="D508" s="137"/>
      <c r="E508" s="137"/>
      <c r="F508" s="137"/>
      <c r="G508" s="137"/>
      <c r="H508" s="137"/>
      <c r="I508" s="137"/>
      <c r="J508" s="139"/>
    </row>
    <row r="509" spans="1:10" hidden="1">
      <c r="A509" s="2744" t="s">
        <v>33</v>
      </c>
      <c r="B509" s="2744"/>
      <c r="C509" s="2744"/>
      <c r="D509" s="2744"/>
      <c r="E509" s="2744"/>
      <c r="F509" s="2744"/>
      <c r="G509" s="2744"/>
      <c r="H509" s="2744"/>
      <c r="I509" s="2744"/>
      <c r="J509" s="2744"/>
    </row>
    <row r="510" spans="1:10" hidden="1">
      <c r="A510" s="150" t="s">
        <v>3</v>
      </c>
      <c r="B510" s="1749" t="s">
        <v>4</v>
      </c>
      <c r="C510" s="150" t="s">
        <v>5</v>
      </c>
      <c r="D510" s="150" t="s">
        <v>6</v>
      </c>
      <c r="E510" s="150" t="s">
        <v>7</v>
      </c>
      <c r="F510" s="150" t="s">
        <v>8</v>
      </c>
      <c r="G510" s="150" t="s">
        <v>9</v>
      </c>
      <c r="H510" s="150" t="s">
        <v>10</v>
      </c>
      <c r="I510" s="150" t="s">
        <v>11</v>
      </c>
      <c r="J510" s="137" t="s">
        <v>12</v>
      </c>
    </row>
    <row r="511" spans="1:10" hidden="1">
      <c r="A511" s="541">
        <v>1</v>
      </c>
      <c r="B511" s="2539" t="s">
        <v>369</v>
      </c>
      <c r="C511" s="152" t="s">
        <v>135</v>
      </c>
      <c r="D511" s="572" t="s">
        <v>447</v>
      </c>
      <c r="E511" s="152" t="s">
        <v>448</v>
      </c>
      <c r="F511" s="162">
        <v>410000000</v>
      </c>
      <c r="G511" s="152" t="s">
        <v>168</v>
      </c>
      <c r="H511" s="152" t="s">
        <v>44</v>
      </c>
      <c r="I511" s="152" t="s">
        <v>36</v>
      </c>
      <c r="J511" s="140">
        <v>1</v>
      </c>
    </row>
    <row r="512" spans="1:10" hidden="1">
      <c r="A512" s="541">
        <v>2</v>
      </c>
      <c r="B512" s="2539" t="s">
        <v>372</v>
      </c>
      <c r="C512" s="152" t="s">
        <v>138</v>
      </c>
      <c r="D512" s="152" t="s">
        <v>449</v>
      </c>
      <c r="E512" s="152" t="s">
        <v>450</v>
      </c>
      <c r="F512" s="162">
        <v>177000000</v>
      </c>
      <c r="G512" s="152" t="s">
        <v>168</v>
      </c>
      <c r="H512" s="152" t="s">
        <v>44</v>
      </c>
      <c r="I512" s="152" t="s">
        <v>36</v>
      </c>
      <c r="J512" s="140">
        <v>1</v>
      </c>
    </row>
    <row r="513" spans="1:10" hidden="1">
      <c r="A513" s="541">
        <v>3</v>
      </c>
      <c r="B513" s="2539" t="s">
        <v>395</v>
      </c>
      <c r="C513" s="152" t="s">
        <v>135</v>
      </c>
      <c r="D513" s="152" t="s">
        <v>445</v>
      </c>
      <c r="E513" s="152" t="s">
        <v>446</v>
      </c>
      <c r="F513" s="162">
        <v>1700000000</v>
      </c>
      <c r="G513" s="152" t="s">
        <v>43</v>
      </c>
      <c r="H513" s="152" t="s">
        <v>271</v>
      </c>
      <c r="I513" s="152" t="s">
        <v>36</v>
      </c>
      <c r="J513" s="140">
        <v>1</v>
      </c>
    </row>
    <row r="514" spans="1:10" hidden="1"/>
    <row r="515" spans="1:10" hidden="1"/>
    <row r="516" spans="1:10" hidden="1"/>
    <row r="517" spans="1:10" hidden="1"/>
    <row r="518" spans="1:10" hidden="1">
      <c r="A518" s="2757" t="s">
        <v>451</v>
      </c>
      <c r="B518" s="2758"/>
      <c r="C518" s="2758"/>
      <c r="D518" s="2758"/>
      <c r="E518" s="2758"/>
      <c r="F518" s="2758"/>
      <c r="G518" s="2758"/>
      <c r="H518" s="2758"/>
      <c r="I518" s="2758"/>
      <c r="J518" s="2758"/>
    </row>
    <row r="519" spans="1:10" hidden="1">
      <c r="A519" s="2758"/>
      <c r="B519" s="2758"/>
      <c r="C519" s="2758"/>
      <c r="D519" s="2758"/>
      <c r="E519" s="2758"/>
      <c r="F519" s="2758"/>
      <c r="G519" s="2758"/>
      <c r="H519" s="2758"/>
      <c r="I519" s="2758"/>
      <c r="J519" s="2758"/>
    </row>
    <row r="520" spans="1:10" ht="46.15" hidden="1">
      <c r="B520" s="136"/>
      <c r="C520" s="136"/>
      <c r="D520" s="136"/>
      <c r="E520" s="136"/>
      <c r="F520" s="136"/>
      <c r="G520" s="136"/>
      <c r="H520" s="136"/>
      <c r="I520" s="136"/>
      <c r="J520" s="136"/>
    </row>
    <row r="521" spans="1:10" ht="23.45" hidden="1">
      <c r="A521" s="2759" t="s">
        <v>1</v>
      </c>
      <c r="B521" s="2759"/>
      <c r="C521" s="2759"/>
      <c r="D521" s="2759"/>
      <c r="E521" s="2759"/>
      <c r="F521" s="2759"/>
      <c r="G521" s="2759"/>
      <c r="H521" s="2759"/>
      <c r="I521" s="2759"/>
      <c r="J521" s="2759"/>
    </row>
    <row r="522" spans="1:10" ht="15.6" hidden="1">
      <c r="A522" s="2737" t="s">
        <v>2</v>
      </c>
      <c r="B522" s="2737"/>
      <c r="C522" s="2737"/>
      <c r="D522" s="2737"/>
      <c r="E522" s="2737"/>
      <c r="F522" s="2737"/>
      <c r="G522" s="2737"/>
      <c r="H522" s="2737"/>
      <c r="I522" s="2737"/>
      <c r="J522" s="2737"/>
    </row>
    <row r="523" spans="1:10" hidden="1">
      <c r="A523" s="137" t="s">
        <v>3</v>
      </c>
      <c r="B523" s="1749" t="s">
        <v>4</v>
      </c>
      <c r="C523" s="137" t="s">
        <v>5</v>
      </c>
      <c r="D523" s="137" t="s">
        <v>6</v>
      </c>
      <c r="E523" s="137" t="s">
        <v>7</v>
      </c>
      <c r="F523" s="137" t="s">
        <v>8</v>
      </c>
      <c r="G523" s="137" t="s">
        <v>9</v>
      </c>
      <c r="H523" s="137" t="s">
        <v>10</v>
      </c>
      <c r="I523" s="137" t="s">
        <v>11</v>
      </c>
      <c r="J523" s="137" t="s">
        <v>12</v>
      </c>
    </row>
    <row r="524" spans="1:10" hidden="1">
      <c r="A524" s="1749">
        <v>1</v>
      </c>
      <c r="B524" s="2538" t="s">
        <v>452</v>
      </c>
      <c r="C524" s="150" t="s">
        <v>138</v>
      </c>
      <c r="D524" s="627" t="s">
        <v>453</v>
      </c>
      <c r="E524" s="150" t="s">
        <v>125</v>
      </c>
      <c r="F524" s="151">
        <v>1250000</v>
      </c>
      <c r="G524" s="150" t="s">
        <v>40</v>
      </c>
      <c r="H524" s="150" t="s">
        <v>271</v>
      </c>
      <c r="I524" s="150" t="s">
        <v>36</v>
      </c>
      <c r="J524" s="137">
        <v>1</v>
      </c>
    </row>
    <row r="525" spans="1:10" hidden="1">
      <c r="A525" s="1749">
        <v>2</v>
      </c>
      <c r="B525" s="2538" t="s">
        <v>454</v>
      </c>
      <c r="C525" s="150" t="s">
        <v>37</v>
      </c>
      <c r="D525" s="627" t="s">
        <v>455</v>
      </c>
      <c r="E525" s="150" t="s">
        <v>125</v>
      </c>
      <c r="F525" s="151">
        <v>980000</v>
      </c>
      <c r="G525" s="150" t="s">
        <v>299</v>
      </c>
      <c r="H525" s="150" t="s">
        <v>271</v>
      </c>
      <c r="I525" s="150" t="s">
        <v>36</v>
      </c>
      <c r="J525" s="137">
        <v>1</v>
      </c>
    </row>
    <row r="526" spans="1:10" hidden="1">
      <c r="A526" s="1749">
        <v>3</v>
      </c>
      <c r="B526" s="2538" t="s">
        <v>456</v>
      </c>
      <c r="C526" s="150" t="s">
        <v>138</v>
      </c>
      <c r="D526" s="627" t="s">
        <v>457</v>
      </c>
      <c r="E526" s="150" t="s">
        <v>125</v>
      </c>
      <c r="F526" s="151">
        <v>1200000</v>
      </c>
      <c r="G526" s="150" t="s">
        <v>43</v>
      </c>
      <c r="H526" s="150" t="s">
        <v>271</v>
      </c>
      <c r="I526" s="150" t="s">
        <v>36</v>
      </c>
      <c r="J526" s="137">
        <v>1</v>
      </c>
    </row>
    <row r="527" spans="1:10" hidden="1">
      <c r="A527" s="1749">
        <v>4</v>
      </c>
      <c r="B527" s="2538" t="s">
        <v>456</v>
      </c>
      <c r="C527" s="150" t="s">
        <v>458</v>
      </c>
      <c r="D527" s="627" t="s">
        <v>459</v>
      </c>
      <c r="E527" s="150" t="s">
        <v>216</v>
      </c>
      <c r="F527" s="151" t="s">
        <v>460</v>
      </c>
      <c r="G527" s="150" t="s">
        <v>43</v>
      </c>
      <c r="H527" s="150" t="s">
        <v>271</v>
      </c>
      <c r="I527" s="150" t="s">
        <v>36</v>
      </c>
      <c r="J527" s="137">
        <v>1</v>
      </c>
    </row>
    <row r="528" spans="1:10" hidden="1">
      <c r="A528" s="1749">
        <v>5</v>
      </c>
      <c r="B528" s="1749" t="s">
        <v>461</v>
      </c>
      <c r="C528" s="150" t="s">
        <v>138</v>
      </c>
      <c r="D528" s="627" t="s">
        <v>462</v>
      </c>
      <c r="E528" s="150" t="s">
        <v>125</v>
      </c>
      <c r="F528" s="151">
        <v>1100000</v>
      </c>
      <c r="G528" s="150" t="s">
        <v>463</v>
      </c>
      <c r="H528" s="150" t="s">
        <v>271</v>
      </c>
      <c r="I528" s="150" t="s">
        <v>36</v>
      </c>
      <c r="J528" s="137">
        <v>1</v>
      </c>
    </row>
    <row r="529" spans="1:10" hidden="1">
      <c r="A529" s="1749">
        <v>6</v>
      </c>
      <c r="B529" s="1749"/>
      <c r="C529" s="150"/>
      <c r="D529" s="627"/>
      <c r="E529" s="150"/>
      <c r="F529" s="151"/>
      <c r="G529" s="150"/>
      <c r="H529" s="150"/>
      <c r="I529" s="150"/>
      <c r="J529" s="137"/>
    </row>
    <row r="530" spans="1:10" hidden="1">
      <c r="A530" s="2744" t="s">
        <v>33</v>
      </c>
      <c r="B530" s="2744"/>
      <c r="C530" s="2744"/>
      <c r="D530" s="2744"/>
      <c r="E530" s="2744"/>
      <c r="F530" s="2744"/>
      <c r="G530" s="2744"/>
      <c r="H530" s="2744"/>
      <c r="I530" s="2744"/>
      <c r="J530" s="2744"/>
    </row>
    <row r="531" spans="1:10" hidden="1">
      <c r="A531" s="137" t="s">
        <v>3</v>
      </c>
      <c r="B531" s="1749" t="s">
        <v>4</v>
      </c>
      <c r="C531" s="137" t="s">
        <v>5</v>
      </c>
      <c r="D531" s="137" t="s">
        <v>6</v>
      </c>
      <c r="E531" s="137" t="s">
        <v>7</v>
      </c>
      <c r="F531" s="137" t="s">
        <v>8</v>
      </c>
      <c r="G531" s="137" t="s">
        <v>9</v>
      </c>
      <c r="H531" s="137" t="s">
        <v>10</v>
      </c>
      <c r="I531" s="137" t="s">
        <v>11</v>
      </c>
      <c r="J531" s="137" t="s">
        <v>12</v>
      </c>
    </row>
    <row r="532" spans="1:10" hidden="1">
      <c r="A532" s="541">
        <v>1</v>
      </c>
      <c r="B532" s="2539" t="s">
        <v>464</v>
      </c>
      <c r="C532" s="152" t="s">
        <v>138</v>
      </c>
      <c r="D532" s="152" t="s">
        <v>465</v>
      </c>
      <c r="E532" s="152" t="s">
        <v>125</v>
      </c>
      <c r="F532" s="152">
        <v>250000</v>
      </c>
      <c r="G532" s="152" t="s">
        <v>466</v>
      </c>
      <c r="H532" s="152" t="s">
        <v>271</v>
      </c>
      <c r="I532" s="152" t="s">
        <v>36</v>
      </c>
      <c r="J532" s="200">
        <v>1</v>
      </c>
    </row>
    <row r="533" spans="1:10" hidden="1">
      <c r="A533" s="541">
        <v>2</v>
      </c>
      <c r="B533" s="2539" t="s">
        <v>467</v>
      </c>
      <c r="C533" s="152" t="s">
        <v>138</v>
      </c>
      <c r="D533" s="152" t="s">
        <v>192</v>
      </c>
      <c r="E533" s="152" t="s">
        <v>125</v>
      </c>
      <c r="F533" s="152">
        <v>320000</v>
      </c>
      <c r="G533" s="152" t="s">
        <v>43</v>
      </c>
      <c r="H533" s="152" t="s">
        <v>271</v>
      </c>
      <c r="I533" s="152" t="s">
        <v>36</v>
      </c>
      <c r="J533" s="200">
        <v>1</v>
      </c>
    </row>
    <row r="534" spans="1:10" hidden="1">
      <c r="A534" s="583">
        <v>3</v>
      </c>
      <c r="B534" s="2540"/>
      <c r="C534" s="154"/>
      <c r="D534" s="154"/>
      <c r="E534" s="154"/>
      <c r="F534" s="154"/>
      <c r="G534" s="154"/>
      <c r="H534" s="154"/>
      <c r="I534" s="154"/>
      <c r="J534" s="584"/>
    </row>
    <row r="535" spans="1:10" hidden="1">
      <c r="A535" s="581">
        <v>4</v>
      </c>
      <c r="B535" s="2541"/>
      <c r="C535" s="156"/>
      <c r="D535" s="156"/>
      <c r="E535" s="156"/>
      <c r="F535" s="156"/>
      <c r="G535" s="156"/>
      <c r="H535" s="156"/>
      <c r="I535" s="156"/>
      <c r="J535" s="144"/>
    </row>
    <row r="536" spans="1:10" hidden="1">
      <c r="A536" s="581">
        <v>5</v>
      </c>
      <c r="B536" s="2541"/>
      <c r="C536" s="156"/>
      <c r="D536" s="156"/>
      <c r="E536" s="156"/>
      <c r="F536" s="156"/>
      <c r="G536" s="156"/>
      <c r="H536" s="156"/>
      <c r="I536" s="156"/>
      <c r="J536" s="144"/>
    </row>
    <row r="537" spans="1:10" ht="20.45" hidden="1">
      <c r="A537" s="144"/>
      <c r="B537" s="581"/>
      <c r="C537" s="144"/>
      <c r="D537" s="144"/>
      <c r="E537" s="144"/>
      <c r="F537" s="144"/>
      <c r="G537" s="144"/>
      <c r="H537" s="144"/>
      <c r="I537" s="144"/>
      <c r="J537" s="582">
        <f>J532+J533+J534</f>
        <v>2</v>
      </c>
    </row>
    <row r="538" spans="1:10" hidden="1"/>
    <row r="539" spans="1:10" hidden="1"/>
    <row r="540" spans="1:10" ht="23.45" hidden="1">
      <c r="A540" s="2760" t="s">
        <v>80</v>
      </c>
      <c r="B540" s="2760"/>
      <c r="C540" s="2760"/>
      <c r="D540" s="2760"/>
      <c r="E540" s="2760"/>
      <c r="F540" s="2760"/>
      <c r="G540" s="2760"/>
      <c r="H540" s="2760"/>
      <c r="I540" s="2760"/>
      <c r="J540" s="2760"/>
    </row>
    <row r="541" spans="1:10" ht="15.6" hidden="1">
      <c r="A541" s="2737" t="s">
        <v>2</v>
      </c>
      <c r="B541" s="2737"/>
      <c r="C541" s="2737"/>
      <c r="D541" s="2737"/>
      <c r="E541" s="2737"/>
      <c r="F541" s="2737"/>
      <c r="G541" s="2737"/>
      <c r="H541" s="2737"/>
      <c r="I541" s="2737"/>
      <c r="J541" s="2737"/>
    </row>
    <row r="542" spans="1:10" hidden="1">
      <c r="A542" s="150" t="s">
        <v>3</v>
      </c>
      <c r="B542" s="1749" t="s">
        <v>4</v>
      </c>
      <c r="C542" s="150" t="s">
        <v>5</v>
      </c>
      <c r="D542" s="150" t="s">
        <v>6</v>
      </c>
      <c r="E542" s="150" t="s">
        <v>7</v>
      </c>
      <c r="F542" s="150" t="s">
        <v>8</v>
      </c>
      <c r="G542" s="150" t="s">
        <v>9</v>
      </c>
      <c r="H542" s="150" t="s">
        <v>10</v>
      </c>
      <c r="I542" s="150" t="s">
        <v>11</v>
      </c>
      <c r="J542" s="137" t="s">
        <v>12</v>
      </c>
    </row>
    <row r="543" spans="1:10" hidden="1">
      <c r="A543" s="1749">
        <v>1</v>
      </c>
      <c r="B543" s="1749" t="s">
        <v>452</v>
      </c>
      <c r="C543" s="137" t="s">
        <v>37</v>
      </c>
      <c r="D543" s="137" t="s">
        <v>468</v>
      </c>
      <c r="E543" s="137" t="s">
        <v>441</v>
      </c>
      <c r="F543" s="264">
        <v>1800000</v>
      </c>
      <c r="G543" s="137" t="s">
        <v>168</v>
      </c>
      <c r="H543" s="137" t="s">
        <v>36</v>
      </c>
      <c r="I543" s="137" t="s">
        <v>36</v>
      </c>
      <c r="J543" s="137">
        <v>1</v>
      </c>
    </row>
    <row r="544" spans="1:10" hidden="1">
      <c r="A544" s="1749">
        <v>2</v>
      </c>
      <c r="B544" s="1749" t="s">
        <v>454</v>
      </c>
      <c r="C544" s="137" t="s">
        <v>37</v>
      </c>
      <c r="D544" s="137" t="s">
        <v>469</v>
      </c>
      <c r="E544" s="137" t="s">
        <v>125</v>
      </c>
      <c r="F544" s="264">
        <v>1150000</v>
      </c>
      <c r="G544" s="137" t="s">
        <v>346</v>
      </c>
      <c r="H544" s="137" t="s">
        <v>36</v>
      </c>
      <c r="I544" s="137" t="s">
        <v>36</v>
      </c>
      <c r="J544" s="137">
        <v>1</v>
      </c>
    </row>
    <row r="545" spans="1:10" hidden="1">
      <c r="A545" s="1749">
        <v>3</v>
      </c>
      <c r="B545" s="2538" t="s">
        <v>470</v>
      </c>
      <c r="C545" s="137" t="s">
        <v>138</v>
      </c>
      <c r="D545" s="137" t="s">
        <v>471</v>
      </c>
      <c r="E545" s="137" t="s">
        <v>125</v>
      </c>
      <c r="F545" s="264">
        <v>1250000</v>
      </c>
      <c r="G545" s="137" t="s">
        <v>346</v>
      </c>
      <c r="H545" s="137" t="s">
        <v>271</v>
      </c>
      <c r="I545" s="137" t="s">
        <v>36</v>
      </c>
      <c r="J545" s="137">
        <v>1</v>
      </c>
    </row>
    <row r="546" spans="1:10" hidden="1">
      <c r="A546" s="1749">
        <v>4</v>
      </c>
      <c r="B546" s="2543" t="s">
        <v>470</v>
      </c>
      <c r="C546" s="147" t="s">
        <v>138</v>
      </c>
      <c r="D546" s="147" t="s">
        <v>472</v>
      </c>
      <c r="E546" s="147" t="s">
        <v>125</v>
      </c>
      <c r="F546" s="693">
        <v>1300000</v>
      </c>
      <c r="G546" s="147" t="s">
        <v>397</v>
      </c>
      <c r="H546" s="147" t="s">
        <v>271</v>
      </c>
      <c r="I546" s="147" t="s">
        <v>36</v>
      </c>
      <c r="J546" s="147">
        <v>1</v>
      </c>
    </row>
    <row r="547" spans="1:10" hidden="1">
      <c r="A547" s="542">
        <v>5</v>
      </c>
      <c r="B547" s="2" t="s">
        <v>473</v>
      </c>
      <c r="C547" s="11" t="s">
        <v>138</v>
      </c>
      <c r="D547" s="11" t="s">
        <v>357</v>
      </c>
      <c r="E547" s="11" t="s">
        <v>125</v>
      </c>
      <c r="F547" s="694">
        <v>1250000</v>
      </c>
      <c r="G547" s="11" t="s">
        <v>359</v>
      </c>
      <c r="H547" s="11" t="s">
        <v>271</v>
      </c>
      <c r="I547" s="11" t="s">
        <v>36</v>
      </c>
      <c r="J547" s="11">
        <v>1</v>
      </c>
    </row>
    <row r="548" spans="1:10" hidden="1">
      <c r="A548" s="542">
        <v>6</v>
      </c>
      <c r="B548" s="2" t="s">
        <v>461</v>
      </c>
      <c r="C548" s="11" t="s">
        <v>138</v>
      </c>
      <c r="D548" s="11" t="s">
        <v>474</v>
      </c>
      <c r="E548" s="11" t="s">
        <v>125</v>
      </c>
      <c r="F548" s="694">
        <v>1150000</v>
      </c>
      <c r="G548" s="11" t="s">
        <v>475</v>
      </c>
      <c r="H548" s="11" t="s">
        <v>271</v>
      </c>
      <c r="I548" s="11" t="s">
        <v>36</v>
      </c>
      <c r="J548" s="11">
        <v>1</v>
      </c>
    </row>
    <row r="549" spans="1:10" hidden="1">
      <c r="A549" s="542">
        <v>7</v>
      </c>
      <c r="B549" s="2" t="s">
        <v>464</v>
      </c>
      <c r="C549" s="11" t="s">
        <v>138</v>
      </c>
      <c r="D549" s="11" t="s">
        <v>476</v>
      </c>
      <c r="E549" s="11" t="s">
        <v>125</v>
      </c>
      <c r="F549" s="694">
        <v>1300000</v>
      </c>
      <c r="G549" s="11" t="s">
        <v>43</v>
      </c>
      <c r="H549" s="11" t="s">
        <v>271</v>
      </c>
      <c r="I549" s="11" t="s">
        <v>36</v>
      </c>
      <c r="J549" s="11">
        <v>1</v>
      </c>
    </row>
    <row r="550" spans="1:10" hidden="1">
      <c r="A550" s="542">
        <v>8</v>
      </c>
      <c r="B550" s="2" t="s">
        <v>477</v>
      </c>
      <c r="C550" s="11" t="s">
        <v>138</v>
      </c>
      <c r="D550" s="11" t="s">
        <v>478</v>
      </c>
      <c r="E550" s="11" t="s">
        <v>125</v>
      </c>
      <c r="F550" s="694">
        <v>1200000</v>
      </c>
      <c r="G550" s="11" t="s">
        <v>475</v>
      </c>
      <c r="H550" s="11" t="s">
        <v>271</v>
      </c>
      <c r="I550" s="11" t="s">
        <v>36</v>
      </c>
      <c r="J550" s="11">
        <v>1</v>
      </c>
    </row>
    <row r="551" spans="1:10" hidden="1">
      <c r="A551" s="1749">
        <v>9</v>
      </c>
      <c r="B551" s="2544" t="s">
        <v>479</v>
      </c>
      <c r="C551" s="148" t="s">
        <v>138</v>
      </c>
      <c r="D551" s="148" t="s">
        <v>480</v>
      </c>
      <c r="E551" s="148" t="s">
        <v>125</v>
      </c>
      <c r="F551" s="695">
        <v>1300000</v>
      </c>
      <c r="G551" s="148" t="s">
        <v>481</v>
      </c>
      <c r="H551" s="148" t="s">
        <v>271</v>
      </c>
      <c r="I551" s="148" t="s">
        <v>36</v>
      </c>
      <c r="J551" s="148">
        <v>1</v>
      </c>
    </row>
    <row r="552" spans="1:10" hidden="1">
      <c r="A552" s="1749">
        <v>10</v>
      </c>
      <c r="B552" s="1749"/>
      <c r="C552" s="137"/>
      <c r="D552" s="137"/>
      <c r="E552" s="137"/>
      <c r="F552" s="264"/>
      <c r="G552" s="137"/>
      <c r="H552" s="137"/>
      <c r="I552" s="137"/>
      <c r="J552" s="137"/>
    </row>
    <row r="553" spans="1:10" hidden="1">
      <c r="A553" s="1749">
        <v>11</v>
      </c>
      <c r="B553" s="1749"/>
      <c r="C553" s="137"/>
      <c r="D553" s="137"/>
      <c r="E553" s="137"/>
      <c r="F553" s="264"/>
      <c r="G553" s="137"/>
      <c r="H553" s="137"/>
      <c r="I553" s="137"/>
      <c r="J553" s="137"/>
    </row>
    <row r="554" spans="1:10" hidden="1">
      <c r="A554" s="1749">
        <v>12</v>
      </c>
      <c r="B554" s="1749"/>
      <c r="C554" s="137"/>
      <c r="D554" s="137"/>
      <c r="E554" s="137"/>
      <c r="F554" s="137"/>
      <c r="G554" s="137"/>
      <c r="H554" s="137"/>
      <c r="I554" s="137"/>
      <c r="J554" s="137"/>
    </row>
    <row r="555" spans="1:10" hidden="1">
      <c r="A555" s="1749">
        <v>13</v>
      </c>
      <c r="B555" s="1749"/>
      <c r="C555" s="137"/>
      <c r="D555" s="137"/>
      <c r="E555" s="137"/>
      <c r="F555" s="137"/>
      <c r="G555" s="137"/>
      <c r="H555" s="137"/>
      <c r="I555" s="137"/>
      <c r="J555" s="137"/>
    </row>
    <row r="556" spans="1:10" hidden="1">
      <c r="A556" s="1749">
        <v>14</v>
      </c>
      <c r="B556" s="1749"/>
      <c r="C556" s="137"/>
      <c r="D556" s="137"/>
      <c r="E556" s="137"/>
      <c r="F556" s="137"/>
      <c r="G556" s="137"/>
      <c r="H556" s="137"/>
      <c r="I556" s="137"/>
      <c r="J556" s="137"/>
    </row>
    <row r="557" spans="1:10" hidden="1">
      <c r="A557" s="1749">
        <v>15</v>
      </c>
      <c r="B557" s="1749"/>
      <c r="C557" s="137"/>
      <c r="D557" s="137"/>
      <c r="E557" s="137"/>
      <c r="F557" s="137"/>
      <c r="G557" s="137"/>
      <c r="H557" s="137"/>
      <c r="I557" s="137"/>
      <c r="J557" s="137"/>
    </row>
    <row r="558" spans="1:10" hidden="1">
      <c r="A558" s="1749">
        <v>16</v>
      </c>
      <c r="B558" s="1749"/>
      <c r="C558" s="137"/>
      <c r="D558" s="137"/>
      <c r="E558" s="137"/>
      <c r="F558" s="137"/>
      <c r="G558" s="137"/>
      <c r="H558" s="137"/>
      <c r="I558" s="137"/>
      <c r="J558" s="137"/>
    </row>
    <row r="559" spans="1:10" hidden="1">
      <c r="A559" s="1749">
        <v>17</v>
      </c>
      <c r="B559" s="1749"/>
      <c r="C559" s="137"/>
      <c r="D559" s="137"/>
      <c r="E559" s="137"/>
      <c r="F559" s="137"/>
      <c r="G559" s="137"/>
      <c r="H559" s="137"/>
      <c r="I559" s="137"/>
      <c r="J559" s="137"/>
    </row>
    <row r="560" spans="1:10" hidden="1">
      <c r="A560" s="1749">
        <v>18</v>
      </c>
      <c r="B560" s="1749"/>
      <c r="C560" s="137"/>
      <c r="D560" s="137"/>
      <c r="E560" s="137"/>
      <c r="F560" s="137"/>
      <c r="G560" s="137"/>
      <c r="H560" s="137"/>
      <c r="I560" s="137"/>
      <c r="J560" s="137"/>
    </row>
    <row r="561" spans="1:10" hidden="1">
      <c r="A561" s="1749">
        <v>19</v>
      </c>
      <c r="B561" s="1749"/>
      <c r="C561" s="137"/>
      <c r="D561" s="137"/>
      <c r="E561" s="137"/>
      <c r="F561" s="137"/>
      <c r="G561" s="137"/>
      <c r="H561" s="137"/>
      <c r="I561" s="137"/>
      <c r="J561" s="137"/>
    </row>
    <row r="562" spans="1:10" hidden="1">
      <c r="A562" s="1749">
        <v>20</v>
      </c>
      <c r="B562" s="1749"/>
      <c r="C562" s="137"/>
      <c r="D562" s="137"/>
      <c r="E562" s="137"/>
      <c r="F562" s="137"/>
      <c r="G562" s="137"/>
      <c r="H562" s="137"/>
      <c r="I562" s="137"/>
      <c r="J562" s="137"/>
    </row>
    <row r="563" spans="1:10" ht="21" hidden="1">
      <c r="A563" s="137"/>
      <c r="B563" s="1749"/>
      <c r="C563" s="137"/>
      <c r="D563" s="137"/>
      <c r="E563" s="137"/>
      <c r="F563" s="137"/>
      <c r="G563" s="137"/>
      <c r="H563" s="137"/>
      <c r="I563" s="137"/>
      <c r="J563" s="139"/>
    </row>
    <row r="564" spans="1:10" hidden="1">
      <c r="A564" s="2744" t="s">
        <v>33</v>
      </c>
      <c r="B564" s="2744"/>
      <c r="C564" s="2744"/>
      <c r="D564" s="2744"/>
      <c r="E564" s="2744"/>
      <c r="F564" s="2744"/>
      <c r="G564" s="2744"/>
      <c r="H564" s="2744"/>
      <c r="I564" s="2744"/>
      <c r="J564" s="2744"/>
    </row>
    <row r="565" spans="1:10" hidden="1">
      <c r="A565" s="150" t="s">
        <v>3</v>
      </c>
      <c r="B565" s="1749" t="s">
        <v>4</v>
      </c>
      <c r="C565" s="150" t="s">
        <v>5</v>
      </c>
      <c r="D565" s="150" t="s">
        <v>6</v>
      </c>
      <c r="E565" s="150" t="s">
        <v>7</v>
      </c>
      <c r="F565" s="150" t="s">
        <v>8</v>
      </c>
      <c r="G565" s="150" t="s">
        <v>9</v>
      </c>
      <c r="H565" s="150" t="s">
        <v>10</v>
      </c>
      <c r="I565" s="150" t="s">
        <v>11</v>
      </c>
      <c r="J565" s="137" t="s">
        <v>12</v>
      </c>
    </row>
    <row r="566" spans="1:10" hidden="1">
      <c r="A566" s="541">
        <v>1</v>
      </c>
      <c r="B566" s="2539" t="s">
        <v>454</v>
      </c>
      <c r="C566" s="152" t="s">
        <v>138</v>
      </c>
      <c r="D566" s="152" t="s">
        <v>482</v>
      </c>
      <c r="E566" s="152" t="s">
        <v>125</v>
      </c>
      <c r="F566" s="162">
        <v>240000000</v>
      </c>
      <c r="G566" s="152" t="s">
        <v>289</v>
      </c>
      <c r="H566" s="152" t="s">
        <v>271</v>
      </c>
      <c r="I566" s="152" t="s">
        <v>36</v>
      </c>
      <c r="J566" s="140">
        <v>1</v>
      </c>
    </row>
    <row r="567" spans="1:10" hidden="1">
      <c r="A567" s="541">
        <v>2</v>
      </c>
      <c r="B567" s="2539" t="s">
        <v>454</v>
      </c>
      <c r="C567" s="152" t="s">
        <v>138</v>
      </c>
      <c r="D567" s="152" t="s">
        <v>425</v>
      </c>
      <c r="E567" s="152" t="s">
        <v>125</v>
      </c>
      <c r="F567" s="162">
        <v>300000000</v>
      </c>
      <c r="G567" s="152" t="s">
        <v>359</v>
      </c>
      <c r="H567" s="152" t="s">
        <v>271</v>
      </c>
      <c r="I567" s="152" t="s">
        <v>36</v>
      </c>
      <c r="J567" s="140">
        <v>1</v>
      </c>
    </row>
    <row r="568" spans="1:10" hidden="1">
      <c r="A568" s="541">
        <v>3</v>
      </c>
      <c r="B568" s="2539"/>
      <c r="C568" s="152"/>
      <c r="D568" s="152"/>
      <c r="E568" s="152"/>
      <c r="F568" s="162"/>
      <c r="G568" s="152"/>
      <c r="H568" s="152"/>
      <c r="I568" s="152"/>
      <c r="J568" s="140"/>
    </row>
    <row r="569" spans="1:10" hidden="1">
      <c r="A569" s="541">
        <v>4</v>
      </c>
      <c r="B569" s="2539"/>
      <c r="C569" s="152"/>
      <c r="D569" s="152"/>
      <c r="E569" s="152"/>
      <c r="F569" s="162"/>
      <c r="G569" s="152"/>
      <c r="H569" s="152"/>
      <c r="I569" s="152"/>
      <c r="J569" s="140"/>
    </row>
    <row r="570" spans="1:10" hidden="1">
      <c r="A570" s="541"/>
      <c r="B570" s="2539"/>
      <c r="C570" s="152"/>
      <c r="D570" s="152"/>
      <c r="E570" s="152"/>
      <c r="F570" s="162"/>
      <c r="G570" s="152"/>
      <c r="H570" s="152"/>
      <c r="I570" s="152"/>
      <c r="J570" s="140"/>
    </row>
    <row r="571" spans="1:10" ht="21" hidden="1">
      <c r="A571" s="541"/>
      <c r="B571" s="541"/>
      <c r="C571" s="140"/>
      <c r="D571" s="140"/>
      <c r="E571" s="140"/>
      <c r="F571" s="149"/>
      <c r="G571" s="140"/>
      <c r="H571" s="140"/>
      <c r="I571" s="140"/>
      <c r="J571" s="139"/>
    </row>
    <row r="572" spans="1:10" ht="21" hidden="1">
      <c r="A572" s="744"/>
      <c r="B572" s="744"/>
      <c r="C572" s="628"/>
      <c r="D572" s="628"/>
      <c r="E572" s="628"/>
      <c r="F572" s="745"/>
      <c r="G572" s="628"/>
      <c r="H572" s="628"/>
      <c r="I572" s="628"/>
      <c r="J572" s="746"/>
    </row>
    <row r="573" spans="1:10" ht="23.45" hidden="1">
      <c r="A573" s="2760" t="s">
        <v>118</v>
      </c>
      <c r="B573" s="2760"/>
      <c r="C573" s="2760"/>
      <c r="D573" s="2760"/>
      <c r="E573" s="2760"/>
      <c r="F573" s="2760"/>
      <c r="G573" s="2760"/>
      <c r="H573" s="2760"/>
      <c r="I573" s="2760"/>
      <c r="J573" s="2760"/>
    </row>
    <row r="574" spans="1:10" ht="15.6" hidden="1">
      <c r="A574" s="2737" t="s">
        <v>2</v>
      </c>
      <c r="B574" s="2737"/>
      <c r="C574" s="2737"/>
      <c r="D574" s="2737"/>
      <c r="E574" s="2737"/>
      <c r="F574" s="2737"/>
      <c r="G574" s="2737"/>
      <c r="H574" s="2737"/>
      <c r="I574" s="2737"/>
      <c r="J574" s="2737"/>
    </row>
    <row r="575" spans="1:10" hidden="1">
      <c r="A575" s="137" t="s">
        <v>3</v>
      </c>
      <c r="B575" s="1749" t="s">
        <v>4</v>
      </c>
      <c r="C575" s="137" t="s">
        <v>5</v>
      </c>
      <c r="D575" s="137" t="s">
        <v>6</v>
      </c>
      <c r="E575" s="137" t="s">
        <v>7</v>
      </c>
      <c r="F575" s="137" t="s">
        <v>8</v>
      </c>
      <c r="G575" s="137" t="s">
        <v>9</v>
      </c>
      <c r="H575" s="137" t="s">
        <v>10</v>
      </c>
      <c r="I575" s="137" t="s">
        <v>11</v>
      </c>
      <c r="J575" s="137" t="s">
        <v>12</v>
      </c>
    </row>
    <row r="576" spans="1:10" hidden="1">
      <c r="A576" s="1749">
        <v>1</v>
      </c>
      <c r="B576" s="2538" t="s">
        <v>470</v>
      </c>
      <c r="C576" s="150" t="s">
        <v>37</v>
      </c>
      <c r="D576" s="150" t="s">
        <v>483</v>
      </c>
      <c r="E576" s="150" t="s">
        <v>125</v>
      </c>
      <c r="F576" s="151">
        <v>1000000</v>
      </c>
      <c r="G576" s="150" t="s">
        <v>43</v>
      </c>
      <c r="H576" s="150" t="s">
        <v>36</v>
      </c>
      <c r="I576" s="150" t="s">
        <v>36</v>
      </c>
      <c r="J576" s="137">
        <v>1</v>
      </c>
    </row>
    <row r="577" spans="1:10" hidden="1">
      <c r="A577" s="1749">
        <v>2</v>
      </c>
      <c r="B577" s="2538" t="s">
        <v>461</v>
      </c>
      <c r="C577" s="150" t="s">
        <v>138</v>
      </c>
      <c r="D577" s="150" t="s">
        <v>484</v>
      </c>
      <c r="E577" s="150" t="s">
        <v>125</v>
      </c>
      <c r="F577" s="151"/>
      <c r="G577" s="150" t="s">
        <v>43</v>
      </c>
      <c r="H577" s="150" t="s">
        <v>271</v>
      </c>
      <c r="I577" s="150" t="s">
        <v>36</v>
      </c>
      <c r="J577" s="137">
        <v>1</v>
      </c>
    </row>
    <row r="578" spans="1:10" hidden="1">
      <c r="A578" s="1749">
        <v>3</v>
      </c>
      <c r="B578" s="2538" t="s">
        <v>485</v>
      </c>
      <c r="C578" s="150" t="s">
        <v>138</v>
      </c>
      <c r="D578" s="150" t="s">
        <v>486</v>
      </c>
      <c r="E578" s="150" t="s">
        <v>125</v>
      </c>
      <c r="F578" s="151">
        <v>900000</v>
      </c>
      <c r="G578" s="150" t="s">
        <v>43</v>
      </c>
      <c r="H578" s="150" t="s">
        <v>271</v>
      </c>
      <c r="I578" s="150" t="s">
        <v>36</v>
      </c>
      <c r="J578" s="137">
        <v>1</v>
      </c>
    </row>
    <row r="579" spans="1:10" hidden="1">
      <c r="A579" s="1749">
        <v>4</v>
      </c>
      <c r="B579" s="1749" t="s">
        <v>487</v>
      </c>
      <c r="C579" s="150" t="s">
        <v>135</v>
      </c>
      <c r="D579" s="150" t="s">
        <v>488</v>
      </c>
      <c r="E579" s="150" t="s">
        <v>125</v>
      </c>
      <c r="F579" s="150">
        <v>1150000</v>
      </c>
      <c r="G579" s="150" t="s">
        <v>43</v>
      </c>
      <c r="H579" s="150" t="s">
        <v>271</v>
      </c>
      <c r="I579" s="150" t="s">
        <v>36</v>
      </c>
      <c r="J579" s="137">
        <v>1</v>
      </c>
    </row>
    <row r="580" spans="1:10" hidden="1">
      <c r="A580" s="1749">
        <v>5</v>
      </c>
      <c r="B580" s="1749"/>
      <c r="C580" s="137"/>
      <c r="D580" s="137"/>
      <c r="E580" s="137"/>
      <c r="F580" s="137"/>
      <c r="G580" s="137"/>
      <c r="H580" s="137"/>
      <c r="I580" s="137"/>
      <c r="J580" s="137"/>
    </row>
    <row r="581" spans="1:10" hidden="1">
      <c r="A581" s="1749">
        <v>6</v>
      </c>
      <c r="B581" s="1749"/>
      <c r="C581" s="137"/>
      <c r="D581" s="137"/>
      <c r="E581" s="137"/>
      <c r="F581" s="137"/>
      <c r="G581" s="137"/>
      <c r="H581" s="137"/>
      <c r="I581" s="137"/>
      <c r="J581" s="137"/>
    </row>
    <row r="582" spans="1:10" hidden="1">
      <c r="A582" s="1749">
        <v>7</v>
      </c>
      <c r="B582" s="1749"/>
      <c r="C582" s="137"/>
      <c r="D582" s="137"/>
      <c r="E582" s="137"/>
      <c r="F582" s="137"/>
      <c r="G582" s="137"/>
      <c r="H582" s="137"/>
      <c r="I582" s="137"/>
      <c r="J582" s="137"/>
    </row>
    <row r="583" spans="1:10" hidden="1">
      <c r="A583" s="1749">
        <v>8</v>
      </c>
      <c r="B583" s="1749"/>
      <c r="C583" s="137"/>
      <c r="D583" s="137"/>
      <c r="E583" s="137"/>
      <c r="F583" s="137"/>
      <c r="G583" s="137"/>
      <c r="H583" s="137"/>
      <c r="I583" s="137"/>
      <c r="J583" s="137"/>
    </row>
    <row r="584" spans="1:10" hidden="1">
      <c r="A584" s="1749">
        <v>9</v>
      </c>
      <c r="B584" s="1749"/>
      <c r="C584" s="137"/>
      <c r="D584" s="137"/>
      <c r="E584" s="137"/>
      <c r="F584" s="137"/>
      <c r="G584" s="137"/>
      <c r="H584" s="137"/>
      <c r="I584" s="137"/>
      <c r="J584" s="137"/>
    </row>
    <row r="585" spans="1:10" ht="21" hidden="1">
      <c r="A585" s="1749">
        <v>10</v>
      </c>
      <c r="B585" s="1749"/>
      <c r="C585" s="137"/>
      <c r="D585" s="137"/>
      <c r="E585" s="137"/>
      <c r="F585" s="137"/>
      <c r="G585" s="137"/>
      <c r="H585" s="137"/>
      <c r="I585" s="137"/>
      <c r="J585" s="139"/>
    </row>
    <row r="586" spans="1:10" hidden="1">
      <c r="A586" s="2744" t="s">
        <v>33</v>
      </c>
      <c r="B586" s="2744"/>
      <c r="C586" s="2744"/>
      <c r="D586" s="2744"/>
      <c r="E586" s="2744"/>
      <c r="F586" s="2744"/>
      <c r="G586" s="2744"/>
      <c r="H586" s="2744"/>
      <c r="I586" s="2744"/>
      <c r="J586" s="2744"/>
    </row>
    <row r="587" spans="1:10" hidden="1">
      <c r="A587" s="150" t="s">
        <v>3</v>
      </c>
      <c r="B587" s="1749" t="s">
        <v>4</v>
      </c>
      <c r="C587" s="150" t="s">
        <v>5</v>
      </c>
      <c r="D587" s="150" t="s">
        <v>6</v>
      </c>
      <c r="E587" s="150" t="s">
        <v>7</v>
      </c>
      <c r="F587" s="150" t="s">
        <v>8</v>
      </c>
      <c r="G587" s="150" t="s">
        <v>9</v>
      </c>
      <c r="H587" s="150" t="s">
        <v>10</v>
      </c>
      <c r="I587" s="150" t="s">
        <v>11</v>
      </c>
      <c r="J587" s="137" t="s">
        <v>12</v>
      </c>
    </row>
    <row r="588" spans="1:10" hidden="1">
      <c r="A588" s="541">
        <v>1</v>
      </c>
      <c r="B588" s="2539"/>
      <c r="C588" s="152"/>
      <c r="D588" s="572"/>
      <c r="E588" s="152"/>
      <c r="F588" s="162"/>
      <c r="G588" s="152"/>
      <c r="H588" s="152"/>
      <c r="I588" s="152"/>
      <c r="J588" s="140"/>
    </row>
    <row r="589" spans="1:10" hidden="1">
      <c r="A589" s="541">
        <v>2</v>
      </c>
      <c r="B589" s="2539"/>
      <c r="C589" s="152"/>
      <c r="D589" s="152"/>
      <c r="E589" s="152"/>
      <c r="F589" s="162"/>
      <c r="G589" s="152"/>
      <c r="H589" s="152"/>
      <c r="I589" s="152"/>
      <c r="J589" s="140"/>
    </row>
    <row r="590" spans="1:10" hidden="1">
      <c r="A590" s="541">
        <v>3</v>
      </c>
      <c r="B590" s="2539"/>
      <c r="C590" s="152"/>
      <c r="D590" s="152"/>
      <c r="E590" s="152"/>
      <c r="F590" s="162"/>
      <c r="G590" s="152"/>
      <c r="H590" s="152"/>
      <c r="I590" s="152"/>
      <c r="J590" s="140"/>
    </row>
    <row r="591" spans="1:10" hidden="1"/>
    <row r="592" spans="1:10" hidden="1"/>
    <row r="593" spans="1:10" ht="23.45" hidden="1">
      <c r="A593" s="2760" t="s">
        <v>489</v>
      </c>
      <c r="B593" s="2760"/>
      <c r="C593" s="2760"/>
      <c r="D593" s="2760"/>
      <c r="E593" s="2760"/>
      <c r="F593" s="2760"/>
      <c r="G593" s="2760"/>
      <c r="H593" s="2760"/>
      <c r="I593" s="2760"/>
      <c r="J593" s="2760"/>
    </row>
    <row r="594" spans="1:10" ht="15.6" hidden="1">
      <c r="A594" s="2737" t="s">
        <v>2</v>
      </c>
      <c r="B594" s="2737"/>
      <c r="C594" s="2737"/>
      <c r="D594" s="2737"/>
      <c r="E594" s="2737"/>
      <c r="F594" s="2737"/>
      <c r="G594" s="2737"/>
      <c r="H594" s="2737"/>
      <c r="I594" s="2737"/>
      <c r="J594" s="2737"/>
    </row>
    <row r="595" spans="1:10" hidden="1">
      <c r="A595" s="137" t="s">
        <v>3</v>
      </c>
      <c r="B595" s="1749" t="s">
        <v>4</v>
      </c>
      <c r="C595" s="137" t="s">
        <v>5</v>
      </c>
      <c r="D595" s="137" t="s">
        <v>6</v>
      </c>
      <c r="E595" s="137" t="s">
        <v>7</v>
      </c>
      <c r="F595" s="137" t="s">
        <v>8</v>
      </c>
      <c r="G595" s="137" t="s">
        <v>9</v>
      </c>
      <c r="H595" s="137" t="s">
        <v>10</v>
      </c>
      <c r="I595" s="137" t="s">
        <v>11</v>
      </c>
      <c r="J595" s="137" t="s">
        <v>12</v>
      </c>
    </row>
    <row r="596" spans="1:10" hidden="1">
      <c r="A596" s="1749">
        <v>1</v>
      </c>
      <c r="B596" s="2538" t="s">
        <v>487</v>
      </c>
      <c r="C596" s="150" t="s">
        <v>138</v>
      </c>
      <c r="D596" s="150" t="s">
        <v>490</v>
      </c>
      <c r="E596" s="150" t="s">
        <v>39</v>
      </c>
      <c r="F596" s="151">
        <v>1000000</v>
      </c>
      <c r="G596" s="150" t="s">
        <v>481</v>
      </c>
      <c r="H596" s="150" t="s">
        <v>271</v>
      </c>
      <c r="I596" s="150" t="s">
        <v>36</v>
      </c>
      <c r="J596" s="137">
        <v>1</v>
      </c>
    </row>
    <row r="597" spans="1:10" hidden="1">
      <c r="A597" s="1749">
        <v>2</v>
      </c>
      <c r="B597" s="2538" t="s">
        <v>487</v>
      </c>
      <c r="C597" s="150" t="s">
        <v>138</v>
      </c>
      <c r="D597" s="150" t="s">
        <v>491</v>
      </c>
      <c r="E597" s="150" t="s">
        <v>39</v>
      </c>
      <c r="F597" s="151">
        <v>970000</v>
      </c>
      <c r="G597" s="150" t="s">
        <v>481</v>
      </c>
      <c r="H597" s="150" t="s">
        <v>271</v>
      </c>
      <c r="I597" s="150" t="s">
        <v>36</v>
      </c>
      <c r="J597" s="137">
        <v>1</v>
      </c>
    </row>
    <row r="598" spans="1:10" hidden="1">
      <c r="A598" s="1749">
        <v>3</v>
      </c>
      <c r="B598" s="2538" t="s">
        <v>492</v>
      </c>
      <c r="C598" s="150" t="s">
        <v>138</v>
      </c>
      <c r="D598" s="150" t="s">
        <v>493</v>
      </c>
      <c r="E598" s="150" t="s">
        <v>39</v>
      </c>
      <c r="F598" s="151">
        <v>1200000</v>
      </c>
      <c r="G598" s="150" t="s">
        <v>494</v>
      </c>
      <c r="H598" s="150" t="s">
        <v>271</v>
      </c>
      <c r="I598" s="150" t="s">
        <v>36</v>
      </c>
      <c r="J598" s="137">
        <v>1</v>
      </c>
    </row>
    <row r="599" spans="1:10" hidden="1">
      <c r="A599" s="1749">
        <v>4</v>
      </c>
      <c r="B599" s="1749" t="s">
        <v>495</v>
      </c>
      <c r="C599" s="150" t="s">
        <v>138</v>
      </c>
      <c r="D599" s="150" t="s">
        <v>496</v>
      </c>
      <c r="E599" s="150" t="s">
        <v>39</v>
      </c>
      <c r="F599" s="150">
        <v>1000000</v>
      </c>
      <c r="G599" s="150" t="s">
        <v>494</v>
      </c>
      <c r="H599" s="150" t="s">
        <v>271</v>
      </c>
      <c r="I599" s="150" t="s">
        <v>36</v>
      </c>
      <c r="J599" s="137">
        <v>1</v>
      </c>
    </row>
    <row r="600" spans="1:10" hidden="1">
      <c r="A600" s="1749">
        <v>5</v>
      </c>
      <c r="B600" s="1749" t="s">
        <v>492</v>
      </c>
      <c r="C600" s="137" t="s">
        <v>138</v>
      </c>
      <c r="D600" s="137" t="s">
        <v>497</v>
      </c>
      <c r="E600" s="137" t="s">
        <v>39</v>
      </c>
      <c r="F600" s="137">
        <v>900000</v>
      </c>
      <c r="G600" s="137" t="s">
        <v>498</v>
      </c>
      <c r="H600" s="137" t="s">
        <v>271</v>
      </c>
      <c r="I600" s="137" t="s">
        <v>36</v>
      </c>
      <c r="J600" s="137">
        <v>1</v>
      </c>
    </row>
    <row r="601" spans="1:10" hidden="1">
      <c r="A601" s="1749">
        <v>6</v>
      </c>
      <c r="B601" s="1749" t="s">
        <v>499</v>
      </c>
      <c r="C601" s="137" t="s">
        <v>138</v>
      </c>
      <c r="D601" s="137" t="s">
        <v>500</v>
      </c>
      <c r="E601" s="137" t="s">
        <v>39</v>
      </c>
      <c r="F601" s="137">
        <v>950000</v>
      </c>
      <c r="G601" s="137" t="s">
        <v>501</v>
      </c>
      <c r="H601" s="137" t="s">
        <v>271</v>
      </c>
      <c r="I601" s="137" t="s">
        <v>36</v>
      </c>
      <c r="J601" s="137">
        <v>1</v>
      </c>
    </row>
    <row r="602" spans="1:10" hidden="1">
      <c r="A602" s="1749">
        <v>7</v>
      </c>
      <c r="B602" s="1749" t="s">
        <v>499</v>
      </c>
      <c r="C602" s="137" t="s">
        <v>138</v>
      </c>
      <c r="D602" s="137" t="s">
        <v>321</v>
      </c>
      <c r="E602" s="137" t="s">
        <v>358</v>
      </c>
      <c r="F602" s="137">
        <v>1300000</v>
      </c>
      <c r="G602" s="137" t="s">
        <v>502</v>
      </c>
      <c r="H602" s="137" t="s">
        <v>271</v>
      </c>
      <c r="I602" s="137" t="s">
        <v>36</v>
      </c>
      <c r="J602" s="137">
        <v>1</v>
      </c>
    </row>
    <row r="603" spans="1:10" hidden="1">
      <c r="A603" s="1749">
        <v>8</v>
      </c>
      <c r="B603" s="1749" t="s">
        <v>499</v>
      </c>
      <c r="C603" s="137" t="s">
        <v>138</v>
      </c>
      <c r="D603" s="137" t="s">
        <v>503</v>
      </c>
      <c r="E603" s="137" t="s">
        <v>504</v>
      </c>
      <c r="F603" s="137">
        <v>900000</v>
      </c>
      <c r="G603" s="137" t="s">
        <v>505</v>
      </c>
      <c r="H603" s="137" t="s">
        <v>271</v>
      </c>
      <c r="I603" s="137" t="s">
        <v>36</v>
      </c>
      <c r="J603" s="137">
        <v>1</v>
      </c>
    </row>
    <row r="604" spans="1:10" hidden="1">
      <c r="A604" s="1749">
        <v>9</v>
      </c>
      <c r="B604" s="1749" t="s">
        <v>506</v>
      </c>
      <c r="C604" s="137" t="s">
        <v>138</v>
      </c>
      <c r="D604" s="137" t="s">
        <v>507</v>
      </c>
      <c r="E604" s="137" t="s">
        <v>508</v>
      </c>
      <c r="F604" s="137">
        <v>950000</v>
      </c>
      <c r="G604" s="137" t="s">
        <v>509</v>
      </c>
      <c r="H604" s="137" t="s">
        <v>271</v>
      </c>
      <c r="I604" s="137" t="s">
        <v>36</v>
      </c>
      <c r="J604" s="137">
        <v>1</v>
      </c>
    </row>
    <row r="605" spans="1:10" ht="21" hidden="1">
      <c r="A605" s="1749">
        <v>10</v>
      </c>
      <c r="B605" s="1749"/>
      <c r="C605" s="137"/>
      <c r="D605" s="137"/>
      <c r="E605" s="137"/>
      <c r="F605" s="137"/>
      <c r="G605" s="137"/>
      <c r="H605" s="137"/>
      <c r="I605" s="137"/>
      <c r="J605" s="139"/>
    </row>
    <row r="606" spans="1:10" hidden="1">
      <c r="A606" s="2744" t="s">
        <v>33</v>
      </c>
      <c r="B606" s="2744"/>
      <c r="C606" s="2744"/>
      <c r="D606" s="2744"/>
      <c r="E606" s="2744"/>
      <c r="F606" s="2744"/>
      <c r="G606" s="2744"/>
      <c r="H606" s="2744"/>
      <c r="I606" s="2744"/>
      <c r="J606" s="2744"/>
    </row>
    <row r="607" spans="1:10" hidden="1">
      <c r="A607" s="150" t="s">
        <v>3</v>
      </c>
      <c r="B607" s="1749" t="s">
        <v>4</v>
      </c>
      <c r="C607" s="150" t="s">
        <v>5</v>
      </c>
      <c r="D607" s="150" t="s">
        <v>6</v>
      </c>
      <c r="E607" s="150" t="s">
        <v>7</v>
      </c>
      <c r="F607" s="150" t="s">
        <v>8</v>
      </c>
      <c r="G607" s="150" t="s">
        <v>9</v>
      </c>
      <c r="H607" s="150" t="s">
        <v>10</v>
      </c>
      <c r="I607" s="150" t="s">
        <v>11</v>
      </c>
      <c r="J607" s="137" t="s">
        <v>12</v>
      </c>
    </row>
    <row r="608" spans="1:10" hidden="1">
      <c r="A608" s="541">
        <v>1</v>
      </c>
      <c r="B608" s="2539"/>
      <c r="C608" s="152"/>
      <c r="D608" s="572"/>
      <c r="E608" s="152"/>
      <c r="F608" s="162"/>
      <c r="G608" s="152"/>
      <c r="H608" s="152"/>
      <c r="I608" s="152"/>
      <c r="J608" s="140"/>
    </row>
    <row r="609" spans="1:10" hidden="1">
      <c r="A609" s="541">
        <v>2</v>
      </c>
      <c r="B609" s="2539"/>
      <c r="C609" s="152"/>
      <c r="D609" s="152"/>
      <c r="E609" s="152"/>
      <c r="F609" s="162"/>
      <c r="G609" s="152"/>
      <c r="H609" s="152"/>
      <c r="I609" s="152"/>
      <c r="J609" s="140"/>
    </row>
    <row r="610" spans="1:10" hidden="1">
      <c r="A610" s="541">
        <v>3</v>
      </c>
      <c r="B610" s="2539"/>
      <c r="C610" s="152"/>
      <c r="D610" s="152"/>
      <c r="E610" s="152"/>
      <c r="F610" s="162"/>
      <c r="G610" s="152"/>
      <c r="H610" s="152"/>
      <c r="I610" s="152"/>
      <c r="J610" s="140"/>
    </row>
    <row r="611" spans="1:10" hidden="1"/>
    <row r="612" spans="1:10" hidden="1"/>
    <row r="613" spans="1:10" ht="23.45" hidden="1">
      <c r="A613" s="2760" t="s">
        <v>510</v>
      </c>
      <c r="B613" s="2760"/>
      <c r="C613" s="2760"/>
      <c r="D613" s="2760"/>
      <c r="E613" s="2760"/>
      <c r="F613" s="2760"/>
      <c r="G613" s="2760"/>
      <c r="H613" s="2760"/>
      <c r="I613" s="2760"/>
      <c r="J613" s="2760"/>
    </row>
    <row r="614" spans="1:10" ht="15.6" hidden="1">
      <c r="A614" s="2737" t="s">
        <v>2</v>
      </c>
      <c r="B614" s="2737"/>
      <c r="C614" s="2737"/>
      <c r="D614" s="2737"/>
      <c r="E614" s="2737"/>
      <c r="F614" s="2737"/>
      <c r="G614" s="2737"/>
      <c r="H614" s="2737"/>
      <c r="I614" s="2737"/>
      <c r="J614" s="2737"/>
    </row>
    <row r="615" spans="1:10" hidden="1">
      <c r="A615" s="137" t="s">
        <v>3</v>
      </c>
      <c r="B615" s="1749" t="s">
        <v>4</v>
      </c>
      <c r="C615" s="137" t="s">
        <v>5</v>
      </c>
      <c r="D615" s="137" t="s">
        <v>6</v>
      </c>
      <c r="E615" s="137" t="s">
        <v>7</v>
      </c>
      <c r="F615" s="137" t="s">
        <v>8</v>
      </c>
      <c r="G615" s="137" t="s">
        <v>9</v>
      </c>
      <c r="H615" s="137" t="s">
        <v>10</v>
      </c>
      <c r="I615" s="137" t="s">
        <v>11</v>
      </c>
      <c r="J615" s="137" t="s">
        <v>12</v>
      </c>
    </row>
    <row r="616" spans="1:10" hidden="1">
      <c r="A616" s="1749">
        <v>1</v>
      </c>
      <c r="B616" s="2538" t="s">
        <v>492</v>
      </c>
      <c r="C616" s="150" t="s">
        <v>138</v>
      </c>
      <c r="D616" s="150" t="s">
        <v>511</v>
      </c>
      <c r="E616" s="150" t="s">
        <v>39</v>
      </c>
      <c r="F616" s="151">
        <v>1000000</v>
      </c>
      <c r="G616" s="150" t="s">
        <v>512</v>
      </c>
      <c r="H616" s="150" t="s">
        <v>271</v>
      </c>
      <c r="I616" s="150" t="s">
        <v>36</v>
      </c>
      <c r="J616" s="137">
        <v>1</v>
      </c>
    </row>
    <row r="617" spans="1:10" hidden="1">
      <c r="A617" s="1749">
        <v>2</v>
      </c>
      <c r="B617" s="2538" t="s">
        <v>492</v>
      </c>
      <c r="C617" s="150" t="s">
        <v>138</v>
      </c>
      <c r="D617" s="150" t="s">
        <v>513</v>
      </c>
      <c r="E617" s="150" t="s">
        <v>39</v>
      </c>
      <c r="F617" s="151">
        <v>1200000</v>
      </c>
      <c r="G617" s="150" t="s">
        <v>494</v>
      </c>
      <c r="H617" s="150" t="s">
        <v>271</v>
      </c>
      <c r="I617" s="150" t="s">
        <v>36</v>
      </c>
      <c r="J617" s="137">
        <v>1</v>
      </c>
    </row>
    <row r="618" spans="1:10" hidden="1">
      <c r="A618" s="1749">
        <v>3</v>
      </c>
      <c r="B618" s="2538" t="s">
        <v>514</v>
      </c>
      <c r="C618" s="150" t="s">
        <v>138</v>
      </c>
      <c r="D618" s="150" t="s">
        <v>515</v>
      </c>
      <c r="E618" s="150" t="s">
        <v>39</v>
      </c>
      <c r="F618" s="151">
        <v>1100000</v>
      </c>
      <c r="G618" s="150" t="s">
        <v>168</v>
      </c>
      <c r="H618" s="150" t="s">
        <v>271</v>
      </c>
      <c r="I618" s="150" t="s">
        <v>36</v>
      </c>
      <c r="J618" s="137">
        <v>1</v>
      </c>
    </row>
    <row r="619" spans="1:10" hidden="1">
      <c r="A619" s="1749">
        <v>4</v>
      </c>
      <c r="B619" s="1749" t="s">
        <v>514</v>
      </c>
      <c r="C619" s="150" t="s">
        <v>138</v>
      </c>
      <c r="D619" s="150" t="s">
        <v>516</v>
      </c>
      <c r="E619" s="150" t="s">
        <v>39</v>
      </c>
      <c r="F619" s="150">
        <v>1100000</v>
      </c>
      <c r="G619" s="150" t="s">
        <v>517</v>
      </c>
      <c r="H619" s="150" t="s">
        <v>271</v>
      </c>
      <c r="I619" s="150" t="s">
        <v>36</v>
      </c>
      <c r="J619" s="137">
        <v>1</v>
      </c>
    </row>
    <row r="620" spans="1:10" hidden="1">
      <c r="A620" s="1749">
        <v>5</v>
      </c>
      <c r="B620" s="1749" t="s">
        <v>518</v>
      </c>
      <c r="C620" s="137" t="s">
        <v>138</v>
      </c>
      <c r="D620" s="137" t="s">
        <v>519</v>
      </c>
      <c r="E620" s="137" t="s">
        <v>39</v>
      </c>
      <c r="F620" s="150">
        <v>850000</v>
      </c>
      <c r="G620" s="137" t="s">
        <v>520</v>
      </c>
      <c r="H620" s="137" t="s">
        <v>271</v>
      </c>
      <c r="I620" s="137" t="s">
        <v>36</v>
      </c>
      <c r="J620" s="137">
        <v>1</v>
      </c>
    </row>
    <row r="621" spans="1:10" hidden="1">
      <c r="A621" s="1749">
        <v>6</v>
      </c>
      <c r="B621" s="1749"/>
      <c r="C621" s="137"/>
      <c r="D621" s="137"/>
      <c r="E621" s="137"/>
      <c r="F621" s="137"/>
      <c r="G621" s="137"/>
      <c r="H621" s="137"/>
      <c r="I621" s="137"/>
      <c r="J621" s="137"/>
    </row>
    <row r="622" spans="1:10" hidden="1">
      <c r="A622" s="1749">
        <v>7</v>
      </c>
      <c r="B622" s="1749"/>
      <c r="C622" s="137"/>
      <c r="D622" s="137"/>
      <c r="E622" s="137"/>
      <c r="F622" s="137"/>
      <c r="G622" s="137"/>
      <c r="H622" s="137"/>
      <c r="I622" s="137"/>
      <c r="J622" s="137"/>
    </row>
    <row r="623" spans="1:10" hidden="1">
      <c r="A623" s="1749">
        <v>8</v>
      </c>
      <c r="B623" s="1749"/>
      <c r="C623" s="137"/>
      <c r="D623" s="137"/>
      <c r="E623" s="137"/>
      <c r="F623" s="137"/>
      <c r="G623" s="137"/>
      <c r="H623" s="137"/>
      <c r="I623" s="137"/>
      <c r="J623" s="137"/>
    </row>
    <row r="624" spans="1:10" hidden="1">
      <c r="A624" s="1749">
        <v>9</v>
      </c>
      <c r="B624" s="1749"/>
      <c r="C624" s="137"/>
      <c r="D624" s="137"/>
      <c r="E624" s="137"/>
      <c r="F624" s="137"/>
      <c r="G624" s="137"/>
      <c r="H624" s="137"/>
      <c r="I624" s="137"/>
      <c r="J624" s="137"/>
    </row>
    <row r="625" spans="1:10" ht="21" hidden="1">
      <c r="A625" s="1749">
        <v>10</v>
      </c>
      <c r="B625" s="1749"/>
      <c r="C625" s="137"/>
      <c r="D625" s="137"/>
      <c r="E625" s="137"/>
      <c r="F625" s="137"/>
      <c r="G625" s="137"/>
      <c r="H625" s="137"/>
      <c r="I625" s="137"/>
      <c r="J625" s="139"/>
    </row>
    <row r="626" spans="1:10" hidden="1">
      <c r="A626" s="2744" t="s">
        <v>33</v>
      </c>
      <c r="B626" s="2744"/>
      <c r="C626" s="2744"/>
      <c r="D626" s="2744"/>
      <c r="E626" s="2744"/>
      <c r="F626" s="2744"/>
      <c r="G626" s="2744"/>
      <c r="H626" s="2744"/>
      <c r="I626" s="2744"/>
      <c r="J626" s="2744"/>
    </row>
    <row r="627" spans="1:10" hidden="1">
      <c r="A627" s="150" t="s">
        <v>3</v>
      </c>
      <c r="B627" s="1749" t="s">
        <v>4</v>
      </c>
      <c r="C627" s="150" t="s">
        <v>5</v>
      </c>
      <c r="D627" s="150" t="s">
        <v>6</v>
      </c>
      <c r="E627" s="150" t="s">
        <v>7</v>
      </c>
      <c r="F627" s="150" t="s">
        <v>8</v>
      </c>
      <c r="G627" s="150" t="s">
        <v>9</v>
      </c>
      <c r="H627" s="150" t="s">
        <v>10</v>
      </c>
      <c r="I627" s="150" t="s">
        <v>11</v>
      </c>
      <c r="J627" s="137" t="s">
        <v>12</v>
      </c>
    </row>
    <row r="628" spans="1:10" hidden="1">
      <c r="A628" s="541">
        <v>1</v>
      </c>
      <c r="B628" s="2539" t="s">
        <v>492</v>
      </c>
      <c r="C628" s="152" t="s">
        <v>138</v>
      </c>
      <c r="D628" s="572" t="s">
        <v>521</v>
      </c>
      <c r="E628" s="152" t="s">
        <v>39</v>
      </c>
      <c r="F628" s="162">
        <v>235000000</v>
      </c>
      <c r="G628" s="152" t="s">
        <v>512</v>
      </c>
      <c r="H628" s="152" t="s">
        <v>44</v>
      </c>
      <c r="I628" s="152" t="s">
        <v>36</v>
      </c>
      <c r="J628" s="140">
        <v>1</v>
      </c>
    </row>
    <row r="629" spans="1:10" hidden="1">
      <c r="A629" s="541">
        <v>2</v>
      </c>
      <c r="B629" s="2539" t="s">
        <v>492</v>
      </c>
      <c r="C629" s="152" t="s">
        <v>138</v>
      </c>
      <c r="D629" s="152" t="s">
        <v>513</v>
      </c>
      <c r="E629" s="152" t="s">
        <v>39</v>
      </c>
      <c r="F629" s="162">
        <v>255000000</v>
      </c>
      <c r="G629" s="152" t="s">
        <v>494</v>
      </c>
      <c r="H629" s="152" t="s">
        <v>271</v>
      </c>
      <c r="I629" s="152" t="s">
        <v>36</v>
      </c>
      <c r="J629" s="140">
        <v>1</v>
      </c>
    </row>
    <row r="630" spans="1:10" hidden="1">
      <c r="A630" s="541">
        <v>3</v>
      </c>
      <c r="B630" s="2539" t="s">
        <v>514</v>
      </c>
      <c r="C630" s="152" t="s">
        <v>138</v>
      </c>
      <c r="D630" s="152" t="s">
        <v>516</v>
      </c>
      <c r="E630" s="152" t="s">
        <v>39</v>
      </c>
      <c r="F630" s="162">
        <v>225000000</v>
      </c>
      <c r="G630" s="152" t="s">
        <v>522</v>
      </c>
      <c r="H630" s="152" t="s">
        <v>271</v>
      </c>
      <c r="I630" s="152" t="s">
        <v>36</v>
      </c>
      <c r="J630" s="140">
        <v>1</v>
      </c>
    </row>
    <row r="631" spans="1:10" hidden="1"/>
    <row r="632" spans="1:10" hidden="1"/>
    <row r="633" spans="1:10" hidden="1"/>
    <row r="634" spans="1:10" ht="23.45" hidden="1">
      <c r="A634" s="2760" t="s">
        <v>523</v>
      </c>
      <c r="B634" s="2760"/>
      <c r="C634" s="2760"/>
      <c r="D634" s="2760"/>
      <c r="E634" s="2760"/>
      <c r="F634" s="2760"/>
      <c r="G634" s="2760"/>
      <c r="H634" s="2760"/>
      <c r="I634" s="2760"/>
      <c r="J634" s="2760"/>
    </row>
    <row r="635" spans="1:10" ht="15.6" hidden="1">
      <c r="A635" s="2737" t="s">
        <v>2</v>
      </c>
      <c r="B635" s="2737"/>
      <c r="C635" s="2737"/>
      <c r="D635" s="2737"/>
      <c r="E635" s="2737"/>
      <c r="F635" s="2737"/>
      <c r="G635" s="2737"/>
      <c r="H635" s="2737"/>
      <c r="I635" s="2737"/>
      <c r="J635" s="2737"/>
    </row>
    <row r="636" spans="1:10" hidden="1">
      <c r="A636" s="137" t="s">
        <v>3</v>
      </c>
      <c r="B636" s="1749" t="s">
        <v>4</v>
      </c>
      <c r="C636" s="137" t="s">
        <v>5</v>
      </c>
      <c r="D636" s="137" t="s">
        <v>6</v>
      </c>
      <c r="E636" s="137" t="s">
        <v>7</v>
      </c>
      <c r="F636" s="137" t="s">
        <v>8</v>
      </c>
      <c r="G636" s="137" t="s">
        <v>9</v>
      </c>
      <c r="H636" s="137" t="s">
        <v>10</v>
      </c>
      <c r="I636" s="137" t="s">
        <v>11</v>
      </c>
      <c r="J636" s="137" t="s">
        <v>12</v>
      </c>
    </row>
    <row r="637" spans="1:10" hidden="1">
      <c r="A637" s="1749">
        <v>1</v>
      </c>
      <c r="B637" s="2538" t="s">
        <v>499</v>
      </c>
      <c r="C637" s="150" t="s">
        <v>138</v>
      </c>
      <c r="D637" s="150" t="s">
        <v>524</v>
      </c>
      <c r="E637" s="150" t="s">
        <v>358</v>
      </c>
      <c r="F637" s="151">
        <v>1400000</v>
      </c>
      <c r="G637" s="150" t="s">
        <v>525</v>
      </c>
      <c r="H637" s="150" t="s">
        <v>271</v>
      </c>
      <c r="I637" s="150" t="s">
        <v>36</v>
      </c>
      <c r="J637" s="137">
        <v>1</v>
      </c>
    </row>
    <row r="638" spans="1:10" hidden="1">
      <c r="A638" s="1749">
        <v>2</v>
      </c>
    </row>
    <row r="639" spans="1:10" hidden="1">
      <c r="A639" s="1749">
        <v>3</v>
      </c>
      <c r="B639" s="2538"/>
      <c r="C639" s="150"/>
      <c r="D639" s="150"/>
      <c r="E639" s="150"/>
      <c r="F639" s="151"/>
      <c r="G639" s="150"/>
      <c r="H639" s="150"/>
      <c r="I639" s="150"/>
      <c r="J639" s="137"/>
    </row>
    <row r="640" spans="1:10" hidden="1">
      <c r="A640" s="1749">
        <v>4</v>
      </c>
      <c r="B640" s="1749"/>
      <c r="C640" s="150"/>
      <c r="D640" s="150"/>
      <c r="E640" s="150"/>
      <c r="F640" s="150"/>
      <c r="G640" s="150"/>
      <c r="H640" s="150"/>
      <c r="I640" s="150"/>
      <c r="J640" s="137"/>
    </row>
    <row r="641" spans="1:10" hidden="1">
      <c r="A641" s="1749">
        <v>5</v>
      </c>
      <c r="B641" s="1749"/>
      <c r="C641" s="137"/>
      <c r="D641" s="137"/>
      <c r="E641" s="137"/>
      <c r="F641" s="137"/>
      <c r="G641" s="137"/>
      <c r="H641" s="137"/>
      <c r="I641" s="137"/>
      <c r="J641" s="137"/>
    </row>
    <row r="642" spans="1:10" hidden="1">
      <c r="A642" s="1749">
        <v>6</v>
      </c>
      <c r="B642" s="1749"/>
      <c r="C642" s="137"/>
      <c r="D642" s="137"/>
      <c r="E642" s="137"/>
      <c r="F642" s="137"/>
      <c r="G642" s="137"/>
      <c r="H642" s="137"/>
      <c r="I642" s="137"/>
      <c r="J642" s="137"/>
    </row>
    <row r="643" spans="1:10" hidden="1">
      <c r="A643" s="1749">
        <v>7</v>
      </c>
      <c r="B643" s="1749"/>
      <c r="C643" s="137"/>
      <c r="D643" s="137"/>
      <c r="E643" s="137"/>
      <c r="F643" s="137"/>
      <c r="G643" s="137"/>
      <c r="H643" s="137"/>
      <c r="I643" s="137"/>
      <c r="J643" s="137"/>
    </row>
    <row r="644" spans="1:10" hidden="1">
      <c r="A644" s="1749">
        <v>8</v>
      </c>
      <c r="B644" s="1749"/>
      <c r="C644" s="137"/>
      <c r="D644" s="137"/>
      <c r="E644" s="137"/>
      <c r="F644" s="137"/>
      <c r="G644" s="137"/>
      <c r="H644" s="137"/>
      <c r="I644" s="137"/>
      <c r="J644" s="137"/>
    </row>
    <row r="645" spans="1:10" hidden="1">
      <c r="A645" s="1749">
        <v>9</v>
      </c>
      <c r="B645" s="1749"/>
      <c r="C645" s="137"/>
      <c r="D645" s="137"/>
      <c r="E645" s="137"/>
      <c r="F645" s="137"/>
      <c r="G645" s="137"/>
      <c r="H645" s="137"/>
      <c r="I645" s="137"/>
      <c r="J645" s="137"/>
    </row>
    <row r="646" spans="1:10" ht="21" hidden="1">
      <c r="A646" s="1749">
        <v>10</v>
      </c>
      <c r="B646" s="1749"/>
      <c r="C646" s="137"/>
      <c r="D646" s="137"/>
      <c r="E646" s="137"/>
      <c r="F646" s="137"/>
      <c r="G646" s="137"/>
      <c r="H646" s="137"/>
      <c r="I646" s="137"/>
      <c r="J646" s="139"/>
    </row>
    <row r="647" spans="1:10" hidden="1">
      <c r="A647" s="2744" t="s">
        <v>33</v>
      </c>
      <c r="B647" s="2744"/>
      <c r="C647" s="2744"/>
      <c r="D647" s="2744"/>
      <c r="E647" s="2744"/>
      <c r="F647" s="2744"/>
      <c r="G647" s="2744"/>
      <c r="H647" s="2744"/>
      <c r="I647" s="2744"/>
      <c r="J647" s="2744"/>
    </row>
    <row r="648" spans="1:10" hidden="1">
      <c r="A648" s="150" t="s">
        <v>3</v>
      </c>
      <c r="B648" s="1749" t="s">
        <v>4</v>
      </c>
      <c r="C648" s="150" t="s">
        <v>5</v>
      </c>
      <c r="D648" s="150" t="s">
        <v>6</v>
      </c>
      <c r="E648" s="150" t="s">
        <v>7</v>
      </c>
      <c r="F648" s="150" t="s">
        <v>8</v>
      </c>
      <c r="G648" s="150" t="s">
        <v>9</v>
      </c>
      <c r="H648" s="150" t="s">
        <v>10</v>
      </c>
      <c r="I648" s="150" t="s">
        <v>11</v>
      </c>
      <c r="J648" s="137" t="s">
        <v>12</v>
      </c>
    </row>
    <row r="649" spans="1:10" hidden="1">
      <c r="A649" s="541">
        <v>1</v>
      </c>
      <c r="B649" s="2539"/>
      <c r="C649" s="152"/>
      <c r="D649" s="572"/>
      <c r="E649" s="152"/>
      <c r="F649" s="162"/>
      <c r="G649" s="152"/>
      <c r="H649" s="152"/>
      <c r="I649" s="152"/>
      <c r="J649" s="140"/>
    </row>
    <row r="650" spans="1:10" hidden="1">
      <c r="A650" s="541">
        <v>2</v>
      </c>
      <c r="B650" s="2539"/>
      <c r="C650" s="152"/>
      <c r="D650" s="152"/>
      <c r="E650" s="152"/>
      <c r="F650" s="162"/>
      <c r="G650" s="152"/>
      <c r="H650" s="152"/>
      <c r="I650" s="152"/>
      <c r="J650" s="140"/>
    </row>
    <row r="651" spans="1:10" hidden="1">
      <c r="A651" s="541">
        <v>3</v>
      </c>
      <c r="B651" s="2539"/>
      <c r="C651" s="152"/>
      <c r="D651" s="152"/>
      <c r="E651" s="152"/>
      <c r="F651" s="162"/>
      <c r="G651" s="152"/>
      <c r="H651" s="152"/>
      <c r="I651" s="152"/>
      <c r="J651" s="140"/>
    </row>
    <row r="652" spans="1:10" hidden="1"/>
    <row r="653" spans="1:10" hidden="1"/>
    <row r="654" spans="1:10" hidden="1"/>
    <row r="655" spans="1:10" hidden="1">
      <c r="A655" s="2761" t="s">
        <v>526</v>
      </c>
      <c r="B655" s="2762"/>
      <c r="C655" s="2762"/>
      <c r="D655" s="2762"/>
      <c r="E655" s="2762"/>
      <c r="F655" s="2762"/>
      <c r="G655" s="2762"/>
      <c r="H655" s="2762"/>
      <c r="I655" s="2762"/>
      <c r="J655" s="2762"/>
    </row>
    <row r="656" spans="1:10" hidden="1">
      <c r="A656" s="2762"/>
      <c r="B656" s="2762"/>
      <c r="C656" s="2762"/>
      <c r="D656" s="2762"/>
      <c r="E656" s="2762"/>
      <c r="F656" s="2762"/>
      <c r="G656" s="2762"/>
      <c r="H656" s="2762"/>
      <c r="I656" s="2762"/>
      <c r="J656" s="2762"/>
    </row>
    <row r="657" spans="1:10" ht="46.15" hidden="1">
      <c r="B657" s="136"/>
      <c r="C657" s="136"/>
      <c r="D657" s="136"/>
      <c r="E657" s="136"/>
      <c r="F657" s="136"/>
      <c r="G657" s="136"/>
      <c r="H657" s="136"/>
      <c r="I657" s="136"/>
      <c r="J657" s="136"/>
    </row>
    <row r="658" spans="1:10" ht="23.45" hidden="1">
      <c r="A658" s="2749" t="s">
        <v>527</v>
      </c>
      <c r="B658" s="2749"/>
      <c r="C658" s="2749"/>
      <c r="D658" s="2749"/>
      <c r="E658" s="2749"/>
      <c r="F658" s="2749"/>
      <c r="G658" s="2749"/>
      <c r="H658" s="2749"/>
      <c r="I658" s="2749"/>
      <c r="J658" s="2749"/>
    </row>
    <row r="659" spans="1:10" ht="15.6" hidden="1">
      <c r="A659" s="2737" t="s">
        <v>2</v>
      </c>
      <c r="B659" s="2737"/>
      <c r="C659" s="2737"/>
      <c r="D659" s="2737"/>
      <c r="E659" s="2737"/>
      <c r="F659" s="2737"/>
      <c r="G659" s="2737"/>
      <c r="H659" s="2737"/>
      <c r="I659" s="2737"/>
      <c r="J659" s="2737"/>
    </row>
    <row r="660" spans="1:10" hidden="1">
      <c r="A660" s="137" t="s">
        <v>3</v>
      </c>
      <c r="B660" s="1749" t="s">
        <v>4</v>
      </c>
      <c r="C660" s="137" t="s">
        <v>5</v>
      </c>
      <c r="D660" s="137" t="s">
        <v>6</v>
      </c>
      <c r="E660" s="137" t="s">
        <v>7</v>
      </c>
      <c r="F660" s="137" t="s">
        <v>8</v>
      </c>
      <c r="G660" s="137" t="s">
        <v>9</v>
      </c>
      <c r="H660" s="137" t="s">
        <v>10</v>
      </c>
      <c r="I660" s="137" t="s">
        <v>11</v>
      </c>
      <c r="J660" s="137" t="s">
        <v>12</v>
      </c>
    </row>
    <row r="661" spans="1:10" hidden="1">
      <c r="A661" s="137">
        <v>1</v>
      </c>
      <c r="B661" s="1749" t="s">
        <v>528</v>
      </c>
      <c r="C661" s="137" t="s">
        <v>138</v>
      </c>
      <c r="D661" s="137" t="s">
        <v>529</v>
      </c>
      <c r="E661" s="137" t="s">
        <v>436</v>
      </c>
      <c r="F661" s="137">
        <v>1200000</v>
      </c>
      <c r="G661" s="137" t="s">
        <v>530</v>
      </c>
      <c r="H661" s="137" t="s">
        <v>271</v>
      </c>
      <c r="I661" s="137" t="s">
        <v>36</v>
      </c>
      <c r="J661" s="137">
        <v>1</v>
      </c>
    </row>
    <row r="662" spans="1:10" hidden="1">
      <c r="A662" s="137">
        <v>2</v>
      </c>
      <c r="B662" s="1749" t="s">
        <v>528</v>
      </c>
      <c r="C662" s="137" t="s">
        <v>138</v>
      </c>
      <c r="D662" s="137" t="s">
        <v>531</v>
      </c>
      <c r="E662" s="137" t="s">
        <v>436</v>
      </c>
      <c r="F662" s="137">
        <v>1300000</v>
      </c>
      <c r="G662" s="137" t="s">
        <v>532</v>
      </c>
      <c r="H662" s="137" t="s">
        <v>271</v>
      </c>
      <c r="I662" s="137" t="s">
        <v>36</v>
      </c>
      <c r="J662" s="137">
        <v>1</v>
      </c>
    </row>
    <row r="663" spans="1:10" hidden="1">
      <c r="A663" s="137">
        <v>3</v>
      </c>
      <c r="B663" s="1749" t="s">
        <v>533</v>
      </c>
      <c r="C663" s="137" t="s">
        <v>138</v>
      </c>
      <c r="D663" s="137" t="s">
        <v>534</v>
      </c>
      <c r="E663" s="137" t="s">
        <v>535</v>
      </c>
      <c r="F663" s="137">
        <v>780000</v>
      </c>
      <c r="G663" s="137" t="s">
        <v>536</v>
      </c>
      <c r="H663" s="137" t="s">
        <v>271</v>
      </c>
      <c r="I663" s="137" t="s">
        <v>36</v>
      </c>
      <c r="J663" s="137">
        <v>1</v>
      </c>
    </row>
    <row r="664" spans="1:10" hidden="1">
      <c r="A664" s="137">
        <v>4</v>
      </c>
      <c r="B664" s="1749" t="s">
        <v>537</v>
      </c>
      <c r="C664" s="137" t="s">
        <v>138</v>
      </c>
      <c r="D664" s="137" t="s">
        <v>538</v>
      </c>
      <c r="E664" s="137" t="s">
        <v>358</v>
      </c>
      <c r="F664" s="137">
        <v>950000</v>
      </c>
      <c r="G664" s="137" t="s">
        <v>539</v>
      </c>
      <c r="H664" s="137" t="s">
        <v>271</v>
      </c>
      <c r="I664" s="137" t="s">
        <v>36</v>
      </c>
      <c r="J664" s="137">
        <v>1</v>
      </c>
    </row>
    <row r="665" spans="1:10" hidden="1">
      <c r="A665" s="137">
        <v>5</v>
      </c>
      <c r="B665" s="1749" t="s">
        <v>537</v>
      </c>
      <c r="C665" s="137" t="s">
        <v>138</v>
      </c>
      <c r="D665" s="137" t="s">
        <v>540</v>
      </c>
      <c r="E665" s="137" t="s">
        <v>541</v>
      </c>
      <c r="F665" s="137">
        <v>930000</v>
      </c>
      <c r="G665" s="137" t="s">
        <v>542</v>
      </c>
      <c r="H665" s="137" t="s">
        <v>271</v>
      </c>
      <c r="I665" s="137" t="s">
        <v>36</v>
      </c>
      <c r="J665" s="137">
        <v>1</v>
      </c>
    </row>
    <row r="666" spans="1:10" hidden="1">
      <c r="A666" s="137">
        <v>6</v>
      </c>
      <c r="B666" s="1749" t="s">
        <v>543</v>
      </c>
      <c r="C666" s="137" t="s">
        <v>138</v>
      </c>
      <c r="D666" s="137" t="s">
        <v>544</v>
      </c>
      <c r="E666" s="137" t="s">
        <v>541</v>
      </c>
      <c r="F666" s="137">
        <v>1000000</v>
      </c>
      <c r="G666" s="137" t="s">
        <v>542</v>
      </c>
      <c r="H666" s="137" t="s">
        <v>271</v>
      </c>
      <c r="I666" s="137" t="s">
        <v>36</v>
      </c>
      <c r="J666" s="137">
        <v>1</v>
      </c>
    </row>
    <row r="667" spans="1:10" hidden="1">
      <c r="A667" s="137">
        <v>7</v>
      </c>
      <c r="B667" s="1749" t="s">
        <v>545</v>
      </c>
      <c r="C667" s="137" t="s">
        <v>138</v>
      </c>
      <c r="D667" s="137" t="s">
        <v>546</v>
      </c>
      <c r="E667" s="137" t="s">
        <v>436</v>
      </c>
      <c r="F667" s="137">
        <v>1150000</v>
      </c>
      <c r="G667" s="137" t="s">
        <v>539</v>
      </c>
      <c r="H667" s="137" t="s">
        <v>271</v>
      </c>
      <c r="I667" s="137" t="s">
        <v>36</v>
      </c>
      <c r="J667" s="137">
        <v>1</v>
      </c>
    </row>
    <row r="668" spans="1:10" hidden="1">
      <c r="A668" s="137">
        <v>8</v>
      </c>
      <c r="B668" s="1749" t="s">
        <v>547</v>
      </c>
      <c r="C668" s="137" t="s">
        <v>138</v>
      </c>
      <c r="D668" s="137" t="s">
        <v>548</v>
      </c>
      <c r="E668" s="137" t="s">
        <v>549</v>
      </c>
      <c r="F668" s="137">
        <v>1150000</v>
      </c>
      <c r="G668" s="137" t="s">
        <v>550</v>
      </c>
      <c r="H668" s="137" t="s">
        <v>271</v>
      </c>
      <c r="I668" s="137" t="s">
        <v>36</v>
      </c>
      <c r="J668" s="137">
        <v>1</v>
      </c>
    </row>
    <row r="669" spans="1:10" hidden="1">
      <c r="A669" s="137">
        <v>9</v>
      </c>
      <c r="B669" s="1749" t="s">
        <v>551</v>
      </c>
      <c r="C669" s="137" t="s">
        <v>138</v>
      </c>
      <c r="D669" s="137" t="s">
        <v>552</v>
      </c>
      <c r="E669" s="137" t="s">
        <v>549</v>
      </c>
      <c r="F669" s="137">
        <v>950000</v>
      </c>
      <c r="G669" s="137" t="s">
        <v>553</v>
      </c>
      <c r="H669" s="137" t="s">
        <v>271</v>
      </c>
      <c r="I669" s="137" t="s">
        <v>36</v>
      </c>
      <c r="J669" s="137">
        <v>1</v>
      </c>
    </row>
    <row r="670" spans="1:10" hidden="1">
      <c r="A670" s="137">
        <v>10</v>
      </c>
      <c r="B670" s="1749" t="s">
        <v>551</v>
      </c>
      <c r="C670" s="137" t="s">
        <v>138</v>
      </c>
      <c r="D670" s="137" t="s">
        <v>554</v>
      </c>
      <c r="E670" s="137" t="s">
        <v>322</v>
      </c>
      <c r="F670" s="137">
        <v>800000</v>
      </c>
      <c r="G670" s="137" t="s">
        <v>555</v>
      </c>
      <c r="H670" s="137" t="s">
        <v>271</v>
      </c>
      <c r="I670" s="137" t="s">
        <v>36</v>
      </c>
      <c r="J670" s="137">
        <v>1</v>
      </c>
    </row>
    <row r="671" spans="1:10" hidden="1">
      <c r="A671" s="137">
        <v>11</v>
      </c>
      <c r="B671" s="1749" t="s">
        <v>551</v>
      </c>
      <c r="C671" s="137" t="s">
        <v>138</v>
      </c>
      <c r="D671" s="137" t="s">
        <v>556</v>
      </c>
      <c r="E671" s="137" t="s">
        <v>557</v>
      </c>
      <c r="F671" s="137">
        <v>1100000</v>
      </c>
      <c r="G671" s="137" t="s">
        <v>558</v>
      </c>
      <c r="H671" s="137" t="s">
        <v>271</v>
      </c>
      <c r="I671" s="137" t="s">
        <v>36</v>
      </c>
      <c r="J671" s="137">
        <v>1</v>
      </c>
    </row>
    <row r="672" spans="1:10" hidden="1">
      <c r="A672" s="137">
        <v>12</v>
      </c>
      <c r="B672" s="1749" t="s">
        <v>551</v>
      </c>
      <c r="C672" s="137" t="s">
        <v>138</v>
      </c>
      <c r="D672" s="137" t="s">
        <v>559</v>
      </c>
      <c r="E672" s="137" t="s">
        <v>560</v>
      </c>
      <c r="F672" s="137">
        <v>850000</v>
      </c>
      <c r="G672" s="137" t="s">
        <v>561</v>
      </c>
      <c r="H672" s="137" t="s">
        <v>271</v>
      </c>
      <c r="I672" s="137" t="s">
        <v>36</v>
      </c>
      <c r="J672" s="137">
        <v>1</v>
      </c>
    </row>
    <row r="673" spans="1:10" hidden="1">
      <c r="A673" s="137">
        <v>13</v>
      </c>
      <c r="B673" s="1749" t="s">
        <v>551</v>
      </c>
      <c r="C673" s="137" t="s">
        <v>138</v>
      </c>
      <c r="D673" s="137" t="s">
        <v>562</v>
      </c>
      <c r="E673" s="137" t="s">
        <v>541</v>
      </c>
      <c r="F673" s="137">
        <v>1050000</v>
      </c>
      <c r="G673" s="137" t="s">
        <v>553</v>
      </c>
      <c r="H673" s="137" t="s">
        <v>271</v>
      </c>
      <c r="I673" s="137" t="s">
        <v>36</v>
      </c>
      <c r="J673" s="137">
        <v>1</v>
      </c>
    </row>
    <row r="674" spans="1:10" hidden="1">
      <c r="A674" s="137">
        <v>14</v>
      </c>
      <c r="B674" s="1749" t="s">
        <v>563</v>
      </c>
      <c r="C674" s="137" t="s">
        <v>138</v>
      </c>
      <c r="D674" s="137" t="s">
        <v>564</v>
      </c>
      <c r="E674" s="137" t="s">
        <v>565</v>
      </c>
      <c r="F674" s="137">
        <v>1100000</v>
      </c>
      <c r="G674" s="137" t="s">
        <v>550</v>
      </c>
      <c r="H674" s="137" t="s">
        <v>271</v>
      </c>
      <c r="I674" s="137" t="s">
        <v>36</v>
      </c>
      <c r="J674" s="137">
        <v>1</v>
      </c>
    </row>
    <row r="675" spans="1:10" hidden="1">
      <c r="A675" s="1749">
        <v>15</v>
      </c>
      <c r="B675" s="2538" t="s">
        <v>563</v>
      </c>
      <c r="C675" s="150" t="s">
        <v>138</v>
      </c>
      <c r="D675" s="627" t="s">
        <v>566</v>
      </c>
      <c r="E675" s="150" t="s">
        <v>565</v>
      </c>
      <c r="F675" s="151">
        <v>1200000</v>
      </c>
      <c r="G675" s="150" t="s">
        <v>550</v>
      </c>
      <c r="H675" s="150" t="s">
        <v>271</v>
      </c>
      <c r="I675" s="150" t="s">
        <v>36</v>
      </c>
      <c r="J675" s="137">
        <v>1</v>
      </c>
    </row>
    <row r="676" spans="1:10" hidden="1">
      <c r="A676" s="1749">
        <v>16</v>
      </c>
      <c r="B676" s="2538" t="s">
        <v>567</v>
      </c>
      <c r="C676" s="150" t="s">
        <v>138</v>
      </c>
      <c r="D676" s="627" t="s">
        <v>568</v>
      </c>
      <c r="E676" s="150" t="s">
        <v>358</v>
      </c>
      <c r="F676" s="151">
        <v>1100000</v>
      </c>
      <c r="G676" s="150" t="s">
        <v>569</v>
      </c>
      <c r="H676" s="150" t="s">
        <v>271</v>
      </c>
      <c r="I676" s="150" t="s">
        <v>36</v>
      </c>
      <c r="J676" s="137">
        <v>1</v>
      </c>
    </row>
    <row r="677" spans="1:10" hidden="1">
      <c r="A677" s="1749">
        <v>17</v>
      </c>
      <c r="B677" s="2538" t="s">
        <v>570</v>
      </c>
      <c r="C677" s="150" t="s">
        <v>138</v>
      </c>
      <c r="D677" s="627" t="s">
        <v>571</v>
      </c>
      <c r="E677" s="150" t="s">
        <v>557</v>
      </c>
      <c r="F677" s="151">
        <v>1100000</v>
      </c>
      <c r="G677" s="150" t="s">
        <v>558</v>
      </c>
      <c r="H677" s="150" t="s">
        <v>271</v>
      </c>
      <c r="I677" s="150" t="s">
        <v>36</v>
      </c>
      <c r="J677" s="137">
        <v>1</v>
      </c>
    </row>
    <row r="678" spans="1:10" hidden="1">
      <c r="A678" s="1749">
        <v>18</v>
      </c>
      <c r="B678" s="2538" t="s">
        <v>570</v>
      </c>
      <c r="C678" s="150" t="s">
        <v>138</v>
      </c>
      <c r="D678" s="627" t="s">
        <v>572</v>
      </c>
      <c r="E678" s="150" t="s">
        <v>565</v>
      </c>
      <c r="F678" s="151">
        <v>1100000</v>
      </c>
      <c r="G678" s="150" t="s">
        <v>550</v>
      </c>
      <c r="H678" s="150" t="s">
        <v>271</v>
      </c>
      <c r="I678" s="150" t="s">
        <v>36</v>
      </c>
      <c r="J678" s="137">
        <v>1</v>
      </c>
    </row>
    <row r="679" spans="1:10" hidden="1">
      <c r="A679" s="1749">
        <v>19</v>
      </c>
      <c r="B679" s="1749" t="s">
        <v>570</v>
      </c>
      <c r="C679" s="150" t="s">
        <v>138</v>
      </c>
      <c r="D679" s="627" t="s">
        <v>573</v>
      </c>
      <c r="E679" s="150" t="s">
        <v>358</v>
      </c>
      <c r="F679" s="151">
        <v>1150000</v>
      </c>
      <c r="G679" s="150" t="s">
        <v>532</v>
      </c>
      <c r="H679" s="150" t="s">
        <v>271</v>
      </c>
      <c r="I679" s="150" t="s">
        <v>36</v>
      </c>
      <c r="J679" s="137">
        <v>1</v>
      </c>
    </row>
    <row r="680" spans="1:10" hidden="1">
      <c r="A680" s="1749">
        <v>20</v>
      </c>
      <c r="B680" s="1749" t="s">
        <v>574</v>
      </c>
      <c r="C680" s="150" t="s">
        <v>138</v>
      </c>
      <c r="D680" s="627" t="s">
        <v>500</v>
      </c>
      <c r="E680" s="150" t="s">
        <v>575</v>
      </c>
      <c r="F680" s="151">
        <v>950000</v>
      </c>
      <c r="G680" s="150" t="s">
        <v>576</v>
      </c>
      <c r="H680" s="150" t="s">
        <v>271</v>
      </c>
      <c r="I680" s="150" t="s">
        <v>36</v>
      </c>
      <c r="J680" s="137">
        <v>1</v>
      </c>
    </row>
    <row r="681" spans="1:10" ht="24.6" hidden="1">
      <c r="A681" s="1749"/>
      <c r="B681" s="1749"/>
      <c r="C681" s="150"/>
      <c r="D681" s="627"/>
      <c r="E681" s="150"/>
      <c r="F681" s="151"/>
      <c r="G681" s="150"/>
      <c r="H681" s="150"/>
      <c r="I681" s="150"/>
      <c r="J681" s="905">
        <f>SUM(J661:J680)</f>
        <v>20</v>
      </c>
    </row>
    <row r="682" spans="1:10" hidden="1">
      <c r="A682" s="2744" t="s">
        <v>33</v>
      </c>
      <c r="B682" s="2744"/>
      <c r="C682" s="2744"/>
      <c r="D682" s="2744"/>
      <c r="E682" s="2744"/>
      <c r="F682" s="2744"/>
      <c r="G682" s="2744"/>
      <c r="H682" s="2744"/>
      <c r="I682" s="2744"/>
      <c r="J682" s="2744"/>
    </row>
    <row r="683" spans="1:10" hidden="1">
      <c r="A683" s="137" t="s">
        <v>3</v>
      </c>
      <c r="B683" s="1749" t="s">
        <v>4</v>
      </c>
      <c r="C683" s="137" t="s">
        <v>5</v>
      </c>
      <c r="D683" s="137" t="s">
        <v>6</v>
      </c>
      <c r="E683" s="137" t="s">
        <v>7</v>
      </c>
      <c r="F683" s="137" t="s">
        <v>8</v>
      </c>
      <c r="G683" s="137" t="s">
        <v>9</v>
      </c>
      <c r="H683" s="137" t="s">
        <v>10</v>
      </c>
      <c r="I683" s="137" t="s">
        <v>11</v>
      </c>
      <c r="J683" s="137" t="s">
        <v>12</v>
      </c>
    </row>
    <row r="684" spans="1:10" hidden="1">
      <c r="A684" s="541">
        <v>1</v>
      </c>
      <c r="B684" s="2539" t="s">
        <v>543</v>
      </c>
      <c r="C684" s="152" t="s">
        <v>135</v>
      </c>
      <c r="D684" s="152" t="s">
        <v>577</v>
      </c>
      <c r="E684" s="152" t="s">
        <v>78</v>
      </c>
      <c r="F684" s="152">
        <v>230000000</v>
      </c>
      <c r="G684" s="152" t="s">
        <v>168</v>
      </c>
      <c r="H684" s="152" t="s">
        <v>271</v>
      </c>
      <c r="I684" s="152" t="s">
        <v>36</v>
      </c>
      <c r="J684" s="200">
        <v>1</v>
      </c>
    </row>
    <row r="685" spans="1:10" hidden="1">
      <c r="A685" s="541">
        <v>2</v>
      </c>
      <c r="B685" s="2539" t="s">
        <v>543</v>
      </c>
      <c r="C685" s="152" t="s">
        <v>135</v>
      </c>
      <c r="D685" s="152" t="s">
        <v>578</v>
      </c>
      <c r="E685" s="152" t="s">
        <v>78</v>
      </c>
      <c r="F685" s="152">
        <v>290000000</v>
      </c>
      <c r="G685" s="152" t="s">
        <v>43</v>
      </c>
      <c r="H685" s="152" t="s">
        <v>271</v>
      </c>
      <c r="I685" s="152" t="s">
        <v>36</v>
      </c>
      <c r="J685" s="200">
        <v>1</v>
      </c>
    </row>
    <row r="686" spans="1:10" hidden="1">
      <c r="A686" s="583">
        <v>3</v>
      </c>
      <c r="B686" s="2540" t="s">
        <v>543</v>
      </c>
      <c r="C686" s="154" t="s">
        <v>138</v>
      </c>
      <c r="D686" s="154" t="s">
        <v>579</v>
      </c>
      <c r="E686" s="154" t="s">
        <v>78</v>
      </c>
      <c r="F686" s="154">
        <v>225000000</v>
      </c>
      <c r="G686" s="154" t="s">
        <v>532</v>
      </c>
      <c r="H686" s="154" t="s">
        <v>271</v>
      </c>
      <c r="I686" s="154" t="s">
        <v>36</v>
      </c>
      <c r="J686" s="584">
        <v>1</v>
      </c>
    </row>
    <row r="687" spans="1:10" hidden="1">
      <c r="A687" s="859">
        <v>4</v>
      </c>
      <c r="B687" s="2541" t="s">
        <v>543</v>
      </c>
      <c r="C687" s="156" t="s">
        <v>138</v>
      </c>
      <c r="D687" s="156" t="s">
        <v>580</v>
      </c>
      <c r="E687" s="156" t="s">
        <v>78</v>
      </c>
      <c r="F687" s="156">
        <v>230000000</v>
      </c>
      <c r="G687" s="156" t="s">
        <v>532</v>
      </c>
      <c r="H687" s="156" t="s">
        <v>271</v>
      </c>
      <c r="I687" s="156" t="s">
        <v>36</v>
      </c>
      <c r="J687" s="144">
        <v>1</v>
      </c>
    </row>
    <row r="688" spans="1:10" hidden="1">
      <c r="A688" s="859"/>
      <c r="B688" s="2545" t="s">
        <v>581</v>
      </c>
      <c r="C688" s="861" t="s">
        <v>138</v>
      </c>
      <c r="D688" s="861" t="s">
        <v>548</v>
      </c>
      <c r="E688" s="861" t="s">
        <v>390</v>
      </c>
      <c r="F688" s="861">
        <v>250000000</v>
      </c>
      <c r="G688" s="861" t="s">
        <v>550</v>
      </c>
      <c r="H688" s="861" t="s">
        <v>271</v>
      </c>
      <c r="I688" s="861" t="s">
        <v>36</v>
      </c>
      <c r="J688" s="860">
        <v>1</v>
      </c>
    </row>
    <row r="689" spans="1:10" ht="24.6" hidden="1">
      <c r="A689" s="144"/>
      <c r="B689" s="895"/>
      <c r="C689" s="860"/>
      <c r="D689" s="860"/>
      <c r="E689" s="860"/>
      <c r="F689" s="860"/>
      <c r="G689" s="860"/>
      <c r="H689" s="860"/>
      <c r="I689" s="860"/>
      <c r="J689" s="906">
        <f>J684+J685+J686+J687+J688</f>
        <v>5</v>
      </c>
    </row>
    <row r="690" spans="1:10" hidden="1"/>
    <row r="691" spans="1:10" hidden="1"/>
    <row r="692" spans="1:10" hidden="1"/>
    <row r="693" spans="1:10" ht="23.45" hidden="1">
      <c r="A693" s="2749" t="s">
        <v>582</v>
      </c>
      <c r="B693" s="2749"/>
      <c r="C693" s="2749"/>
      <c r="D693" s="2749"/>
      <c r="E693" s="2749"/>
      <c r="F693" s="2749"/>
      <c r="G693" s="2749"/>
      <c r="H693" s="2749"/>
      <c r="I693" s="2749"/>
      <c r="J693" s="2749"/>
    </row>
    <row r="694" spans="1:10" ht="15.6" hidden="1">
      <c r="A694" s="2737" t="s">
        <v>2</v>
      </c>
      <c r="B694" s="2737"/>
      <c r="C694" s="2737"/>
      <c r="D694" s="2737"/>
      <c r="E694" s="2737"/>
      <c r="F694" s="2737"/>
      <c r="G694" s="2737"/>
      <c r="H694" s="2737"/>
      <c r="I694" s="2737"/>
      <c r="J694" s="2737"/>
    </row>
    <row r="695" spans="1:10" hidden="1">
      <c r="A695" s="137" t="s">
        <v>3</v>
      </c>
      <c r="B695" s="1749" t="s">
        <v>4</v>
      </c>
      <c r="C695" s="137" t="s">
        <v>5</v>
      </c>
      <c r="D695" s="137" t="s">
        <v>6</v>
      </c>
      <c r="E695" s="137" t="s">
        <v>7</v>
      </c>
      <c r="F695" s="137" t="s">
        <v>8</v>
      </c>
      <c r="G695" s="137" t="s">
        <v>9</v>
      </c>
      <c r="H695" s="137" t="s">
        <v>10</v>
      </c>
      <c r="I695" s="137" t="s">
        <v>11</v>
      </c>
      <c r="J695" s="137" t="s">
        <v>12</v>
      </c>
    </row>
    <row r="696" spans="1:10" hidden="1">
      <c r="A696" s="137">
        <v>1</v>
      </c>
      <c r="B696" s="1749" t="s">
        <v>537</v>
      </c>
      <c r="C696" s="137" t="s">
        <v>138</v>
      </c>
      <c r="D696" s="137" t="s">
        <v>583</v>
      </c>
      <c r="E696" s="137" t="s">
        <v>584</v>
      </c>
      <c r="F696" s="150">
        <v>1400000</v>
      </c>
      <c r="G696" s="137" t="s">
        <v>585</v>
      </c>
      <c r="H696" s="137" t="s">
        <v>271</v>
      </c>
      <c r="I696" s="137" t="s">
        <v>36</v>
      </c>
      <c r="J696" s="137">
        <v>1</v>
      </c>
    </row>
    <row r="697" spans="1:10" hidden="1">
      <c r="A697" s="137">
        <v>2</v>
      </c>
      <c r="B697" s="1749" t="s">
        <v>537</v>
      </c>
      <c r="C697" s="137" t="s">
        <v>138</v>
      </c>
      <c r="D697" s="137" t="s">
        <v>586</v>
      </c>
      <c r="E697" s="137" t="s">
        <v>584</v>
      </c>
      <c r="F697" s="150">
        <v>1000000</v>
      </c>
      <c r="G697" s="137" t="s">
        <v>235</v>
      </c>
      <c r="H697" s="137" t="s">
        <v>271</v>
      </c>
      <c r="I697" s="137" t="s">
        <v>36</v>
      </c>
      <c r="J697" s="137">
        <v>1</v>
      </c>
    </row>
    <row r="698" spans="1:10" hidden="1">
      <c r="A698" s="137">
        <v>3</v>
      </c>
      <c r="B698" s="1749" t="s">
        <v>543</v>
      </c>
      <c r="C698" s="137" t="s">
        <v>138</v>
      </c>
      <c r="D698" s="137" t="s">
        <v>587</v>
      </c>
      <c r="E698" s="137" t="s">
        <v>588</v>
      </c>
      <c r="F698" s="150">
        <v>1200000</v>
      </c>
      <c r="G698" s="137" t="s">
        <v>144</v>
      </c>
      <c r="H698" s="137" t="s">
        <v>271</v>
      </c>
      <c r="I698" s="137" t="s">
        <v>36</v>
      </c>
      <c r="J698" s="137">
        <v>1</v>
      </c>
    </row>
    <row r="699" spans="1:10" hidden="1">
      <c r="A699" s="137">
        <v>4</v>
      </c>
      <c r="B699" s="1749" t="s">
        <v>543</v>
      </c>
      <c r="C699" s="137" t="s">
        <v>138</v>
      </c>
      <c r="D699" s="137" t="s">
        <v>589</v>
      </c>
      <c r="E699" s="137" t="s">
        <v>590</v>
      </c>
      <c r="F699" s="150">
        <v>1600000</v>
      </c>
      <c r="G699" s="137" t="s">
        <v>591</v>
      </c>
      <c r="H699" s="137" t="s">
        <v>271</v>
      </c>
      <c r="I699" s="137" t="s">
        <v>36</v>
      </c>
      <c r="J699" s="137">
        <v>1</v>
      </c>
    </row>
    <row r="700" spans="1:10" hidden="1">
      <c r="A700" s="137">
        <v>5</v>
      </c>
      <c r="B700" s="1749" t="s">
        <v>543</v>
      </c>
      <c r="C700" s="137" t="s">
        <v>138</v>
      </c>
      <c r="D700" s="137" t="s">
        <v>592</v>
      </c>
      <c r="E700" s="137" t="s">
        <v>588</v>
      </c>
      <c r="F700" s="150">
        <v>1200000</v>
      </c>
      <c r="G700" s="137" t="s">
        <v>144</v>
      </c>
      <c r="H700" s="137" t="s">
        <v>271</v>
      </c>
      <c r="I700" s="137" t="s">
        <v>36</v>
      </c>
      <c r="J700" s="137">
        <v>1</v>
      </c>
    </row>
    <row r="701" spans="1:10" hidden="1">
      <c r="A701" s="137">
        <v>6</v>
      </c>
      <c r="B701" s="1749" t="s">
        <v>593</v>
      </c>
      <c r="C701" s="137" t="s">
        <v>138</v>
      </c>
      <c r="D701" s="137" t="s">
        <v>594</v>
      </c>
      <c r="E701" s="137" t="s">
        <v>595</v>
      </c>
      <c r="F701" s="150">
        <v>1200000</v>
      </c>
      <c r="G701" s="137" t="s">
        <v>596</v>
      </c>
      <c r="H701" s="137" t="s">
        <v>271</v>
      </c>
      <c r="I701" s="137" t="s">
        <v>36</v>
      </c>
      <c r="J701" s="137">
        <v>1</v>
      </c>
    </row>
    <row r="702" spans="1:10" hidden="1">
      <c r="A702" s="137">
        <v>7</v>
      </c>
      <c r="B702" s="1749" t="s">
        <v>543</v>
      </c>
      <c r="C702" s="137" t="s">
        <v>138</v>
      </c>
      <c r="D702" s="137" t="s">
        <v>597</v>
      </c>
      <c r="E702" s="137" t="s">
        <v>595</v>
      </c>
      <c r="F702" s="150">
        <v>1300000</v>
      </c>
      <c r="G702" s="137" t="s">
        <v>598</v>
      </c>
      <c r="H702" s="137" t="s">
        <v>271</v>
      </c>
      <c r="I702" s="137" t="s">
        <v>36</v>
      </c>
      <c r="J702" s="137">
        <v>1</v>
      </c>
    </row>
    <row r="703" spans="1:10" hidden="1">
      <c r="A703" s="137">
        <v>8</v>
      </c>
      <c r="B703" s="1749" t="s">
        <v>454</v>
      </c>
      <c r="C703" s="137" t="s">
        <v>138</v>
      </c>
      <c r="D703" s="137" t="s">
        <v>599</v>
      </c>
      <c r="E703" s="137" t="s">
        <v>590</v>
      </c>
      <c r="F703" s="150">
        <v>1250000</v>
      </c>
      <c r="G703" s="137" t="s">
        <v>475</v>
      </c>
      <c r="H703" s="137" t="s">
        <v>271</v>
      </c>
      <c r="I703" s="137" t="s">
        <v>36</v>
      </c>
      <c r="J703" s="137">
        <v>1</v>
      </c>
    </row>
    <row r="704" spans="1:10" hidden="1">
      <c r="A704" s="137">
        <v>9</v>
      </c>
      <c r="B704" s="1749" t="s">
        <v>600</v>
      </c>
      <c r="C704" s="137" t="s">
        <v>135</v>
      </c>
      <c r="D704" s="137" t="s">
        <v>601</v>
      </c>
      <c r="E704" s="137" t="s">
        <v>602</v>
      </c>
      <c r="F704" s="150">
        <v>1200000</v>
      </c>
      <c r="G704" s="137" t="s">
        <v>43</v>
      </c>
      <c r="H704" s="137" t="s">
        <v>271</v>
      </c>
      <c r="I704" s="137" t="s">
        <v>36</v>
      </c>
      <c r="J704" s="137">
        <v>1</v>
      </c>
    </row>
    <row r="705" spans="1:10" hidden="1">
      <c r="A705" s="137">
        <v>10</v>
      </c>
      <c r="B705" s="1749" t="s">
        <v>600</v>
      </c>
      <c r="C705" s="137" t="s">
        <v>138</v>
      </c>
      <c r="D705" s="137" t="s">
        <v>603</v>
      </c>
      <c r="E705" s="137" t="s">
        <v>584</v>
      </c>
      <c r="F705" s="150">
        <v>950000</v>
      </c>
      <c r="G705" s="137" t="s">
        <v>604</v>
      </c>
      <c r="H705" s="137" t="s">
        <v>271</v>
      </c>
      <c r="I705" s="137" t="s">
        <v>36</v>
      </c>
      <c r="J705" s="137">
        <v>1</v>
      </c>
    </row>
    <row r="706" spans="1:10" hidden="1">
      <c r="A706" s="137">
        <v>11</v>
      </c>
      <c r="B706" s="1749" t="s">
        <v>581</v>
      </c>
      <c r="C706" s="137" t="s">
        <v>138</v>
      </c>
      <c r="D706" s="137" t="s">
        <v>605</v>
      </c>
      <c r="E706" s="137" t="s">
        <v>450</v>
      </c>
      <c r="F706" s="150">
        <v>1300000</v>
      </c>
      <c r="G706" s="137" t="s">
        <v>144</v>
      </c>
      <c r="H706" s="137" t="s">
        <v>271</v>
      </c>
      <c r="I706" s="137" t="s">
        <v>36</v>
      </c>
      <c r="J706" s="137">
        <v>1</v>
      </c>
    </row>
    <row r="707" spans="1:10" hidden="1">
      <c r="A707" s="137">
        <v>12</v>
      </c>
      <c r="B707" s="1749" t="s">
        <v>581</v>
      </c>
      <c r="C707" s="137" t="s">
        <v>135</v>
      </c>
      <c r="D707" s="137" t="s">
        <v>606</v>
      </c>
      <c r="E707" s="137" t="s">
        <v>607</v>
      </c>
      <c r="F707" s="150">
        <v>1500000</v>
      </c>
      <c r="G707" s="137" t="s">
        <v>43</v>
      </c>
      <c r="H707" s="137" t="s">
        <v>271</v>
      </c>
      <c r="I707" s="137" t="s">
        <v>36</v>
      </c>
      <c r="J707" s="137">
        <v>1</v>
      </c>
    </row>
    <row r="708" spans="1:10" hidden="1">
      <c r="A708" s="137">
        <v>13</v>
      </c>
      <c r="B708" s="1749" t="s">
        <v>608</v>
      </c>
      <c r="C708" s="137" t="s">
        <v>138</v>
      </c>
      <c r="D708" s="137" t="s">
        <v>609</v>
      </c>
      <c r="E708" s="137" t="s">
        <v>595</v>
      </c>
      <c r="F708" s="150">
        <v>1500000</v>
      </c>
      <c r="G708" s="137" t="s">
        <v>610</v>
      </c>
      <c r="H708" s="137" t="s">
        <v>271</v>
      </c>
      <c r="I708" s="137" t="s">
        <v>36</v>
      </c>
      <c r="J708" s="137">
        <v>1</v>
      </c>
    </row>
    <row r="709" spans="1:10" hidden="1">
      <c r="A709" s="137">
        <v>14</v>
      </c>
      <c r="B709" s="1749" t="s">
        <v>608</v>
      </c>
      <c r="C709" s="137" t="s">
        <v>138</v>
      </c>
      <c r="D709" s="137" t="s">
        <v>611</v>
      </c>
      <c r="E709" s="137" t="s">
        <v>590</v>
      </c>
      <c r="F709" s="150">
        <v>1400000</v>
      </c>
      <c r="G709" s="137" t="s">
        <v>612</v>
      </c>
      <c r="H709" s="137" t="s">
        <v>271</v>
      </c>
      <c r="I709" s="137" t="s">
        <v>36</v>
      </c>
      <c r="J709" s="137">
        <v>1</v>
      </c>
    </row>
    <row r="710" spans="1:10" hidden="1">
      <c r="A710" s="1749">
        <v>15</v>
      </c>
      <c r="B710" s="2538" t="s">
        <v>563</v>
      </c>
      <c r="C710" s="150" t="s">
        <v>138</v>
      </c>
      <c r="D710" s="627" t="s">
        <v>613</v>
      </c>
      <c r="E710" s="150" t="s">
        <v>595</v>
      </c>
      <c r="F710" s="151">
        <v>1300000</v>
      </c>
      <c r="G710" s="150" t="s">
        <v>610</v>
      </c>
      <c r="H710" s="150" t="s">
        <v>271</v>
      </c>
      <c r="I710" s="150" t="s">
        <v>36</v>
      </c>
      <c r="J710" s="137">
        <v>1</v>
      </c>
    </row>
    <row r="711" spans="1:10" hidden="1">
      <c r="A711" s="1749">
        <v>16</v>
      </c>
      <c r="B711" s="2538" t="s">
        <v>570</v>
      </c>
      <c r="C711" s="150" t="s">
        <v>138</v>
      </c>
      <c r="D711" s="627" t="s">
        <v>614</v>
      </c>
      <c r="E711" s="150" t="s">
        <v>595</v>
      </c>
      <c r="F711" s="151">
        <v>1300000</v>
      </c>
      <c r="G711" s="150" t="s">
        <v>610</v>
      </c>
      <c r="H711" s="150" t="s">
        <v>271</v>
      </c>
      <c r="I711" s="150" t="s">
        <v>36</v>
      </c>
      <c r="J711" s="137">
        <v>1</v>
      </c>
    </row>
    <row r="712" spans="1:10" hidden="1">
      <c r="A712" s="1749">
        <v>17</v>
      </c>
      <c r="B712" s="2538" t="s">
        <v>615</v>
      </c>
      <c r="C712" s="150" t="s">
        <v>138</v>
      </c>
      <c r="D712" s="627" t="s">
        <v>616</v>
      </c>
      <c r="E712" s="150" t="s">
        <v>450</v>
      </c>
      <c r="F712" s="151">
        <v>1250000</v>
      </c>
      <c r="G712" s="150" t="s">
        <v>144</v>
      </c>
      <c r="H712" s="150" t="s">
        <v>271</v>
      </c>
      <c r="I712" s="150" t="s">
        <v>36</v>
      </c>
      <c r="J712" s="137">
        <v>1</v>
      </c>
    </row>
    <row r="713" spans="1:10" hidden="1">
      <c r="A713" s="1749">
        <v>18</v>
      </c>
      <c r="B713" s="2538" t="s">
        <v>615</v>
      </c>
      <c r="C713" s="150" t="s">
        <v>138</v>
      </c>
      <c r="D713" s="627" t="s">
        <v>617</v>
      </c>
      <c r="E713" s="150" t="s">
        <v>450</v>
      </c>
      <c r="F713" s="151">
        <v>1400000</v>
      </c>
      <c r="G713" s="150" t="s">
        <v>144</v>
      </c>
      <c r="H713" s="150" t="s">
        <v>271</v>
      </c>
      <c r="I713" s="150" t="s">
        <v>36</v>
      </c>
      <c r="J713" s="137">
        <v>1</v>
      </c>
    </row>
    <row r="714" spans="1:10" hidden="1">
      <c r="A714" s="1749">
        <v>19</v>
      </c>
      <c r="B714" s="1749" t="s">
        <v>618</v>
      </c>
      <c r="C714" s="150" t="s">
        <v>138</v>
      </c>
      <c r="D714" s="627" t="s">
        <v>619</v>
      </c>
      <c r="E714" s="150" t="s">
        <v>620</v>
      </c>
      <c r="F714" s="151">
        <v>1100000</v>
      </c>
      <c r="G714" s="150" t="s">
        <v>235</v>
      </c>
      <c r="H714" s="150" t="s">
        <v>271</v>
      </c>
      <c r="I714" s="150" t="s">
        <v>36</v>
      </c>
      <c r="J714" s="137">
        <v>1</v>
      </c>
    </row>
    <row r="715" spans="1:10" hidden="1">
      <c r="A715" s="1749">
        <v>20</v>
      </c>
      <c r="B715" s="1749" t="s">
        <v>621</v>
      </c>
      <c r="C715" s="150" t="s">
        <v>138</v>
      </c>
      <c r="D715" s="627" t="s">
        <v>622</v>
      </c>
      <c r="E715" s="150" t="s">
        <v>620</v>
      </c>
      <c r="F715" s="151">
        <v>1200000</v>
      </c>
      <c r="G715" s="150" t="s">
        <v>235</v>
      </c>
      <c r="H715" s="150" t="s">
        <v>271</v>
      </c>
      <c r="I715" s="150" t="s">
        <v>36</v>
      </c>
      <c r="J715" s="137">
        <v>1</v>
      </c>
    </row>
    <row r="716" spans="1:10" ht="25.9" hidden="1">
      <c r="A716" s="1749"/>
      <c r="B716" s="1749"/>
      <c r="C716" s="150"/>
      <c r="D716" s="627"/>
      <c r="E716" s="150"/>
      <c r="F716" s="151"/>
      <c r="G716" s="150"/>
      <c r="H716" s="150"/>
      <c r="I716" s="150"/>
      <c r="J716" s="907">
        <f>SUM(J696:J715)</f>
        <v>20</v>
      </c>
    </row>
    <row r="717" spans="1:10" hidden="1">
      <c r="A717" s="2744" t="s">
        <v>33</v>
      </c>
      <c r="B717" s="2744"/>
      <c r="C717" s="2744"/>
      <c r="D717" s="2744"/>
      <c r="E717" s="2744"/>
      <c r="F717" s="2744"/>
      <c r="G717" s="2744"/>
      <c r="H717" s="2744"/>
      <c r="I717" s="2744"/>
      <c r="J717" s="2744"/>
    </row>
    <row r="718" spans="1:10" hidden="1">
      <c r="A718" s="137" t="s">
        <v>3</v>
      </c>
      <c r="B718" s="1749" t="s">
        <v>4</v>
      </c>
      <c r="C718" s="137" t="s">
        <v>5</v>
      </c>
      <c r="D718" s="137" t="s">
        <v>6</v>
      </c>
      <c r="E718" s="137" t="s">
        <v>7</v>
      </c>
      <c r="F718" s="137" t="s">
        <v>8</v>
      </c>
      <c r="G718" s="137" t="s">
        <v>9</v>
      </c>
      <c r="H718" s="137" t="s">
        <v>10</v>
      </c>
      <c r="I718" s="137" t="s">
        <v>11</v>
      </c>
      <c r="J718" s="137" t="s">
        <v>12</v>
      </c>
    </row>
    <row r="719" spans="1:10" hidden="1">
      <c r="A719" s="541">
        <v>1</v>
      </c>
      <c r="B719" s="2539" t="s">
        <v>600</v>
      </c>
      <c r="C719" s="152" t="s">
        <v>138</v>
      </c>
      <c r="D719" s="152" t="s">
        <v>603</v>
      </c>
      <c r="E719" s="152" t="s">
        <v>595</v>
      </c>
      <c r="F719" s="152">
        <v>200000000</v>
      </c>
      <c r="G719" s="152" t="s">
        <v>397</v>
      </c>
      <c r="H719" s="152" t="s">
        <v>271</v>
      </c>
      <c r="I719" s="152" t="s">
        <v>36</v>
      </c>
      <c r="J719" s="200">
        <v>1</v>
      </c>
    </row>
    <row r="720" spans="1:10" hidden="1">
      <c r="A720" s="541">
        <v>2</v>
      </c>
      <c r="B720" s="2539" t="s">
        <v>563</v>
      </c>
      <c r="C720" s="152" t="s">
        <v>138</v>
      </c>
      <c r="D720" s="152" t="s">
        <v>594</v>
      </c>
      <c r="E720" s="152" t="s">
        <v>595</v>
      </c>
      <c r="F720" s="152">
        <v>240000000</v>
      </c>
      <c r="G720" s="152" t="s">
        <v>596</v>
      </c>
      <c r="H720" s="152" t="s">
        <v>271</v>
      </c>
      <c r="I720" s="152" t="s">
        <v>36</v>
      </c>
      <c r="J720" s="200">
        <v>1</v>
      </c>
    </row>
    <row r="721" spans="1:10" hidden="1">
      <c r="A721" s="583">
        <v>3</v>
      </c>
      <c r="B721" s="2540" t="s">
        <v>623</v>
      </c>
      <c r="C721" s="154" t="s">
        <v>138</v>
      </c>
      <c r="D721" s="154" t="s">
        <v>624</v>
      </c>
      <c r="E721" s="154" t="s">
        <v>625</v>
      </c>
      <c r="F721" s="154">
        <v>190000000</v>
      </c>
      <c r="G721" s="154" t="s">
        <v>43</v>
      </c>
      <c r="H721" s="154" t="s">
        <v>271</v>
      </c>
      <c r="I721" s="154" t="s">
        <v>36</v>
      </c>
      <c r="J721" s="584">
        <v>1</v>
      </c>
    </row>
    <row r="722" spans="1:10" ht="24.6" hidden="1">
      <c r="A722" s="144"/>
      <c r="B722" s="581"/>
      <c r="C722" s="144"/>
      <c r="D722" s="144"/>
      <c r="E722" s="144"/>
      <c r="F722" s="144"/>
      <c r="G722" s="144"/>
      <c r="H722" s="144"/>
      <c r="I722" s="144"/>
      <c r="J722" s="908">
        <f>J719+J720+J721</f>
        <v>3</v>
      </c>
    </row>
    <row r="723" spans="1:10" hidden="1"/>
    <row r="724" spans="1:10" hidden="1"/>
    <row r="725" spans="1:10" ht="23.45" hidden="1">
      <c r="A725" s="2749" t="s">
        <v>523</v>
      </c>
      <c r="B725" s="2749"/>
      <c r="C725" s="2749"/>
      <c r="D725" s="2749"/>
      <c r="E725" s="2749"/>
      <c r="F725" s="2749"/>
      <c r="G725" s="2749"/>
      <c r="H725" s="2749"/>
      <c r="I725" s="2749"/>
      <c r="J725" s="2749"/>
    </row>
    <row r="726" spans="1:10" ht="15.6" hidden="1">
      <c r="A726" s="2737" t="s">
        <v>2</v>
      </c>
      <c r="B726" s="2737"/>
      <c r="C726" s="2737"/>
      <c r="D726" s="2737"/>
      <c r="E726" s="2737"/>
      <c r="F726" s="2737"/>
      <c r="G726" s="2737"/>
      <c r="H726" s="2737"/>
      <c r="I726" s="2737"/>
      <c r="J726" s="2737"/>
    </row>
    <row r="727" spans="1:10" hidden="1">
      <c r="A727" s="137" t="s">
        <v>3</v>
      </c>
      <c r="B727" s="1749" t="s">
        <v>4</v>
      </c>
      <c r="C727" s="137" t="s">
        <v>5</v>
      </c>
      <c r="D727" s="137" t="s">
        <v>6</v>
      </c>
      <c r="E727" s="137" t="s">
        <v>7</v>
      </c>
      <c r="F727" s="137" t="s">
        <v>8</v>
      </c>
      <c r="G727" s="137" t="s">
        <v>9</v>
      </c>
      <c r="H727" s="137" t="s">
        <v>10</v>
      </c>
      <c r="I727" s="137" t="s">
        <v>11</v>
      </c>
      <c r="J727" s="137" t="s">
        <v>12</v>
      </c>
    </row>
    <row r="728" spans="1:10" hidden="1">
      <c r="A728" s="137">
        <v>1</v>
      </c>
      <c r="B728" s="2538" t="s">
        <v>626</v>
      </c>
      <c r="C728" s="150" t="s">
        <v>138</v>
      </c>
      <c r="D728" s="150" t="s">
        <v>627</v>
      </c>
      <c r="E728" s="150" t="s">
        <v>620</v>
      </c>
      <c r="F728" s="151">
        <v>1200000</v>
      </c>
      <c r="G728" s="150" t="s">
        <v>628</v>
      </c>
      <c r="H728" s="150" t="s">
        <v>271</v>
      </c>
      <c r="I728" s="150" t="s">
        <v>36</v>
      </c>
      <c r="J728" s="137">
        <v>1</v>
      </c>
    </row>
    <row r="729" spans="1:10" hidden="1">
      <c r="A729" s="137">
        <v>2</v>
      </c>
      <c r="B729" s="1749" t="s">
        <v>629</v>
      </c>
      <c r="C729" s="137" t="s">
        <v>138</v>
      </c>
      <c r="D729" s="137" t="s">
        <v>630</v>
      </c>
      <c r="E729" s="137" t="s">
        <v>631</v>
      </c>
      <c r="F729" s="137">
        <v>1100000</v>
      </c>
      <c r="G729" s="137" t="s">
        <v>632</v>
      </c>
      <c r="H729" s="137" t="s">
        <v>271</v>
      </c>
      <c r="I729" s="137" t="s">
        <v>36</v>
      </c>
      <c r="J729" s="137">
        <v>1</v>
      </c>
    </row>
    <row r="730" spans="1:10" hidden="1">
      <c r="A730" s="137">
        <v>3</v>
      </c>
      <c r="B730" s="1749" t="s">
        <v>528</v>
      </c>
      <c r="C730" s="137" t="s">
        <v>138</v>
      </c>
      <c r="D730" s="137" t="s">
        <v>633</v>
      </c>
      <c r="E730" s="137" t="s">
        <v>620</v>
      </c>
      <c r="F730" s="137">
        <v>1200000</v>
      </c>
      <c r="G730" s="811" t="s">
        <v>634</v>
      </c>
      <c r="H730" s="137" t="s">
        <v>271</v>
      </c>
      <c r="I730" s="137" t="s">
        <v>36</v>
      </c>
      <c r="J730" s="137">
        <v>1</v>
      </c>
    </row>
    <row r="731" spans="1:10" hidden="1">
      <c r="A731" s="137">
        <v>4</v>
      </c>
      <c r="B731" s="1749" t="s">
        <v>533</v>
      </c>
      <c r="C731" s="137" t="s">
        <v>138</v>
      </c>
      <c r="D731" s="137" t="s">
        <v>635</v>
      </c>
      <c r="E731" s="137" t="s">
        <v>636</v>
      </c>
      <c r="F731" s="137">
        <v>110000</v>
      </c>
      <c r="G731" s="137" t="s">
        <v>637</v>
      </c>
      <c r="H731" s="137" t="s">
        <v>271</v>
      </c>
      <c r="I731" s="137" t="s">
        <v>36</v>
      </c>
      <c r="J731" s="137">
        <v>1</v>
      </c>
    </row>
    <row r="732" spans="1:10" hidden="1">
      <c r="A732" s="137">
        <v>5</v>
      </c>
      <c r="B732" s="1749" t="s">
        <v>533</v>
      </c>
      <c r="C732" s="137" t="s">
        <v>138</v>
      </c>
      <c r="D732" s="137" t="s">
        <v>638</v>
      </c>
      <c r="E732" s="137" t="s">
        <v>639</v>
      </c>
      <c r="F732" s="137">
        <v>900000</v>
      </c>
      <c r="G732" s="137" t="s">
        <v>637</v>
      </c>
      <c r="H732" s="137" t="s">
        <v>271</v>
      </c>
      <c r="I732" s="137" t="s">
        <v>36</v>
      </c>
      <c r="J732" s="137">
        <v>1</v>
      </c>
    </row>
    <row r="733" spans="1:10" hidden="1">
      <c r="A733" s="137">
        <v>6</v>
      </c>
      <c r="B733" s="1749" t="s">
        <v>543</v>
      </c>
      <c r="C733" s="137" t="s">
        <v>138</v>
      </c>
      <c r="D733" s="137" t="s">
        <v>640</v>
      </c>
      <c r="E733" s="137" t="s">
        <v>588</v>
      </c>
      <c r="F733" s="137">
        <v>1150000</v>
      </c>
      <c r="G733" s="137" t="s">
        <v>40</v>
      </c>
      <c r="H733" s="137" t="s">
        <v>271</v>
      </c>
      <c r="I733" s="137" t="s">
        <v>36</v>
      </c>
      <c r="J733" s="137">
        <v>1</v>
      </c>
    </row>
    <row r="734" spans="1:10" hidden="1">
      <c r="A734" s="137">
        <v>7</v>
      </c>
      <c r="B734" s="1749" t="s">
        <v>543</v>
      </c>
      <c r="C734" s="137" t="s">
        <v>138</v>
      </c>
      <c r="D734" s="137" t="s">
        <v>641</v>
      </c>
      <c r="E734" s="137" t="s">
        <v>588</v>
      </c>
      <c r="F734" s="137">
        <v>1300000</v>
      </c>
      <c r="G734" s="137" t="s">
        <v>642</v>
      </c>
      <c r="H734" s="137" t="s">
        <v>271</v>
      </c>
      <c r="I734" s="137" t="s">
        <v>36</v>
      </c>
      <c r="J734" s="137">
        <v>1</v>
      </c>
    </row>
    <row r="735" spans="1:10" hidden="1">
      <c r="A735" s="137">
        <v>8</v>
      </c>
      <c r="B735" s="1749" t="s">
        <v>643</v>
      </c>
      <c r="C735" s="137" t="s">
        <v>138</v>
      </c>
      <c r="D735" s="137" t="s">
        <v>644</v>
      </c>
      <c r="E735" s="137" t="s">
        <v>645</v>
      </c>
      <c r="F735" s="137">
        <v>1000000</v>
      </c>
      <c r="G735" s="137" t="s">
        <v>646</v>
      </c>
      <c r="H735" s="137" t="s">
        <v>271</v>
      </c>
      <c r="I735" s="137" t="s">
        <v>36</v>
      </c>
      <c r="J735" s="137">
        <v>1</v>
      </c>
    </row>
    <row r="736" spans="1:10" hidden="1">
      <c r="A736" s="137">
        <v>9</v>
      </c>
      <c r="B736" s="1749" t="s">
        <v>647</v>
      </c>
      <c r="C736" s="137" t="s">
        <v>138</v>
      </c>
      <c r="D736" s="137" t="s">
        <v>648</v>
      </c>
      <c r="E736" s="137" t="s">
        <v>450</v>
      </c>
      <c r="F736" s="137">
        <v>1100000</v>
      </c>
      <c r="G736" s="137" t="s">
        <v>642</v>
      </c>
      <c r="H736" s="137" t="s">
        <v>271</v>
      </c>
      <c r="I736" s="137" t="s">
        <v>36</v>
      </c>
      <c r="J736" s="137">
        <v>1</v>
      </c>
    </row>
    <row r="737" spans="1:10" hidden="1">
      <c r="A737" s="137">
        <v>10</v>
      </c>
      <c r="B737" s="1749" t="s">
        <v>649</v>
      </c>
      <c r="C737" s="137" t="s">
        <v>138</v>
      </c>
      <c r="D737" s="137" t="s">
        <v>650</v>
      </c>
      <c r="E737" s="137" t="s">
        <v>651</v>
      </c>
      <c r="F737" s="137">
        <v>1030000</v>
      </c>
      <c r="G737" s="137" t="s">
        <v>652</v>
      </c>
      <c r="H737" s="137" t="s">
        <v>271</v>
      </c>
      <c r="I737" s="137" t="s">
        <v>36</v>
      </c>
      <c r="J737" s="137">
        <v>1</v>
      </c>
    </row>
    <row r="738" spans="1:10" hidden="1">
      <c r="A738" s="137">
        <v>11</v>
      </c>
      <c r="B738" s="1749" t="s">
        <v>647</v>
      </c>
      <c r="C738" s="137" t="s">
        <v>138</v>
      </c>
      <c r="D738" s="137" t="s">
        <v>653</v>
      </c>
      <c r="E738" s="137" t="s">
        <v>654</v>
      </c>
      <c r="F738" s="137">
        <v>1800000</v>
      </c>
      <c r="G738" s="137" t="s">
        <v>655</v>
      </c>
      <c r="H738" s="137" t="s">
        <v>271</v>
      </c>
      <c r="I738" s="137" t="s">
        <v>36</v>
      </c>
      <c r="J738" s="137">
        <v>1</v>
      </c>
    </row>
    <row r="739" spans="1:10" hidden="1">
      <c r="A739" s="137">
        <v>12</v>
      </c>
      <c r="B739" s="1749" t="s">
        <v>581</v>
      </c>
      <c r="C739" s="137" t="s">
        <v>138</v>
      </c>
      <c r="D739" s="137" t="s">
        <v>656</v>
      </c>
      <c r="E739" s="137" t="s">
        <v>657</v>
      </c>
      <c r="F739" s="137">
        <v>1700000</v>
      </c>
      <c r="G739" s="137" t="s">
        <v>168</v>
      </c>
      <c r="H739" s="137" t="s">
        <v>271</v>
      </c>
      <c r="I739" s="137" t="s">
        <v>36</v>
      </c>
      <c r="J739" s="137">
        <v>1</v>
      </c>
    </row>
    <row r="740" spans="1:10" hidden="1">
      <c r="A740" s="137">
        <v>13</v>
      </c>
      <c r="B740" s="1749" t="s">
        <v>658</v>
      </c>
      <c r="C740" s="137" t="s">
        <v>138</v>
      </c>
      <c r="D740" s="137" t="s">
        <v>659</v>
      </c>
      <c r="E740" s="137" t="s">
        <v>660</v>
      </c>
      <c r="F740" s="137">
        <v>950000</v>
      </c>
      <c r="G740" s="137"/>
      <c r="H740" s="137" t="s">
        <v>271</v>
      </c>
      <c r="I740" s="137" t="s">
        <v>36</v>
      </c>
      <c r="J740" s="137">
        <v>1</v>
      </c>
    </row>
    <row r="741" spans="1:10" hidden="1">
      <c r="A741" s="137">
        <v>14</v>
      </c>
      <c r="B741" s="1749" t="s">
        <v>661</v>
      </c>
      <c r="C741" s="137" t="s">
        <v>662</v>
      </c>
      <c r="D741" s="137" t="s">
        <v>663</v>
      </c>
      <c r="E741" s="137" t="s">
        <v>664</v>
      </c>
      <c r="F741" s="137">
        <v>3500000</v>
      </c>
      <c r="G741" s="137" t="s">
        <v>43</v>
      </c>
      <c r="H741" s="137" t="s">
        <v>271</v>
      </c>
      <c r="I741" s="137" t="s">
        <v>36</v>
      </c>
      <c r="J741" s="137">
        <v>1</v>
      </c>
    </row>
    <row r="742" spans="1:10" hidden="1">
      <c r="A742" s="1749">
        <v>15</v>
      </c>
      <c r="B742" s="2538" t="s">
        <v>661</v>
      </c>
      <c r="C742" s="150" t="s">
        <v>138</v>
      </c>
      <c r="D742" s="627" t="s">
        <v>665</v>
      </c>
      <c r="E742" s="150" t="s">
        <v>645</v>
      </c>
      <c r="F742" s="151">
        <v>1000000</v>
      </c>
      <c r="G742" s="150" t="s">
        <v>666</v>
      </c>
      <c r="H742" s="150" t="s">
        <v>271</v>
      </c>
      <c r="I742" s="150" t="s">
        <v>36</v>
      </c>
      <c r="J742" s="137">
        <v>1</v>
      </c>
    </row>
    <row r="743" spans="1:10" hidden="1">
      <c r="A743" s="1749">
        <v>16</v>
      </c>
      <c r="B743" s="2538" t="s">
        <v>667</v>
      </c>
      <c r="C743" s="150" t="s">
        <v>138</v>
      </c>
      <c r="D743" s="627" t="s">
        <v>668</v>
      </c>
      <c r="E743" s="150" t="s">
        <v>669</v>
      </c>
      <c r="F743" s="151">
        <v>1100000</v>
      </c>
      <c r="G743" s="150" t="s">
        <v>43</v>
      </c>
      <c r="H743" s="150" t="s">
        <v>670</v>
      </c>
      <c r="I743" s="150" t="s">
        <v>36</v>
      </c>
      <c r="J743" s="137">
        <v>1</v>
      </c>
    </row>
    <row r="744" spans="1:10" hidden="1">
      <c r="A744" s="1749">
        <v>17</v>
      </c>
      <c r="B744" s="2538" t="s">
        <v>563</v>
      </c>
      <c r="C744" s="150" t="s">
        <v>138</v>
      </c>
      <c r="D744" s="627" t="s">
        <v>671</v>
      </c>
      <c r="E744" s="150" t="s">
        <v>607</v>
      </c>
      <c r="F744" s="151">
        <v>1210000</v>
      </c>
      <c r="G744" s="150" t="s">
        <v>672</v>
      </c>
      <c r="H744" s="150" t="s">
        <v>271</v>
      </c>
      <c r="I744" s="150" t="s">
        <v>36</v>
      </c>
      <c r="J744" s="137">
        <v>1</v>
      </c>
    </row>
    <row r="745" spans="1:10" hidden="1">
      <c r="A745" s="1749">
        <v>18</v>
      </c>
      <c r="B745" s="2538" t="s">
        <v>563</v>
      </c>
      <c r="C745" s="150" t="s">
        <v>138</v>
      </c>
      <c r="D745" s="627" t="s">
        <v>673</v>
      </c>
      <c r="E745" s="150" t="s">
        <v>674</v>
      </c>
      <c r="F745" s="151">
        <v>850000</v>
      </c>
      <c r="G745" s="150" t="s">
        <v>675</v>
      </c>
      <c r="H745" s="150" t="s">
        <v>271</v>
      </c>
      <c r="I745" s="150" t="s">
        <v>36</v>
      </c>
      <c r="J745" s="137">
        <v>1</v>
      </c>
    </row>
    <row r="746" spans="1:10" hidden="1">
      <c r="A746" s="1749">
        <v>19</v>
      </c>
      <c r="B746" s="1749" t="s">
        <v>621</v>
      </c>
      <c r="C746" s="150" t="s">
        <v>138</v>
      </c>
      <c r="D746" s="627" t="s">
        <v>676</v>
      </c>
      <c r="E746" s="150" t="s">
        <v>677</v>
      </c>
      <c r="F746" s="151">
        <v>1050000</v>
      </c>
      <c r="G746" s="150" t="s">
        <v>442</v>
      </c>
      <c r="H746" s="150" t="s">
        <v>36</v>
      </c>
      <c r="I746" s="150" t="s">
        <v>36</v>
      </c>
      <c r="J746" s="137">
        <v>1</v>
      </c>
    </row>
    <row r="747" spans="1:10" hidden="1">
      <c r="A747" s="1749">
        <v>20</v>
      </c>
      <c r="B747" s="1749" t="s">
        <v>621</v>
      </c>
      <c r="C747" s="150" t="s">
        <v>138</v>
      </c>
      <c r="D747" s="627" t="s">
        <v>678</v>
      </c>
      <c r="E747" s="150" t="s">
        <v>679</v>
      </c>
      <c r="F747" s="151">
        <v>950000</v>
      </c>
      <c r="G747" s="150" t="s">
        <v>680</v>
      </c>
      <c r="H747" s="150" t="s">
        <v>271</v>
      </c>
      <c r="I747" s="150" t="s">
        <v>36</v>
      </c>
      <c r="J747" s="137">
        <v>1</v>
      </c>
    </row>
    <row r="748" spans="1:10" hidden="1">
      <c r="A748" s="1749">
        <v>21</v>
      </c>
      <c r="B748" s="1749" t="s">
        <v>621</v>
      </c>
      <c r="C748" s="150" t="s">
        <v>138</v>
      </c>
      <c r="D748" s="627" t="s">
        <v>681</v>
      </c>
      <c r="E748" s="150" t="s">
        <v>450</v>
      </c>
      <c r="F748" s="151">
        <v>1200000</v>
      </c>
      <c r="G748" s="150" t="s">
        <v>144</v>
      </c>
      <c r="H748" s="150" t="s">
        <v>271</v>
      </c>
      <c r="I748" s="150" t="s">
        <v>36</v>
      </c>
      <c r="J748" s="137">
        <v>1</v>
      </c>
    </row>
    <row r="749" spans="1:10" hidden="1">
      <c r="A749" s="1749"/>
      <c r="B749" s="1749"/>
      <c r="C749" s="150"/>
      <c r="D749" s="627"/>
      <c r="E749" s="150"/>
      <c r="F749" s="151"/>
      <c r="G749" s="150"/>
      <c r="H749" s="150"/>
      <c r="I749" s="150"/>
      <c r="J749" s="137"/>
    </row>
    <row r="750" spans="1:10" ht="25.9" hidden="1">
      <c r="A750" s="1749"/>
      <c r="B750" s="1749"/>
      <c r="C750" s="150"/>
      <c r="D750" s="627"/>
      <c r="E750" s="150"/>
      <c r="F750" s="151"/>
      <c r="G750" s="150"/>
      <c r="H750" s="150"/>
      <c r="I750" s="150"/>
      <c r="J750" s="907">
        <f>SUM(J728:J748)</f>
        <v>21</v>
      </c>
    </row>
    <row r="751" spans="1:10" hidden="1">
      <c r="A751" s="2744" t="s">
        <v>33</v>
      </c>
      <c r="B751" s="2744"/>
      <c r="C751" s="2744"/>
      <c r="D751" s="2744"/>
      <c r="E751" s="2744"/>
      <c r="F751" s="2744"/>
      <c r="G751" s="2744"/>
      <c r="H751" s="2744"/>
      <c r="I751" s="2744"/>
      <c r="J751" s="2744"/>
    </row>
    <row r="752" spans="1:10" hidden="1">
      <c r="A752" s="137" t="s">
        <v>3</v>
      </c>
      <c r="B752" s="1749" t="s">
        <v>4</v>
      </c>
      <c r="C752" s="137" t="s">
        <v>5</v>
      </c>
      <c r="D752" s="137" t="s">
        <v>6</v>
      </c>
      <c r="E752" s="137" t="s">
        <v>7</v>
      </c>
      <c r="F752" s="137" t="s">
        <v>8</v>
      </c>
      <c r="G752" s="137" t="s">
        <v>9</v>
      </c>
      <c r="H752" s="137" t="s">
        <v>10</v>
      </c>
      <c r="I752" s="137" t="s">
        <v>11</v>
      </c>
      <c r="J752" s="137" t="s">
        <v>12</v>
      </c>
    </row>
    <row r="753" spans="1:10" hidden="1">
      <c r="A753" s="541">
        <v>1</v>
      </c>
      <c r="B753" s="2539" t="s">
        <v>537</v>
      </c>
      <c r="C753" s="152" t="s">
        <v>138</v>
      </c>
      <c r="D753" s="152" t="s">
        <v>630</v>
      </c>
      <c r="E753" s="152" t="s">
        <v>575</v>
      </c>
      <c r="F753" s="152" t="s">
        <v>682</v>
      </c>
      <c r="G753" s="152" t="s">
        <v>632</v>
      </c>
      <c r="H753" s="152" t="s">
        <v>271</v>
      </c>
      <c r="I753" s="152" t="s">
        <v>36</v>
      </c>
      <c r="J753" s="200">
        <v>1</v>
      </c>
    </row>
    <row r="754" spans="1:10" hidden="1">
      <c r="A754" s="541">
        <v>2</v>
      </c>
      <c r="B754" s="2539" t="s">
        <v>563</v>
      </c>
      <c r="C754" s="152" t="s">
        <v>138</v>
      </c>
      <c r="D754" s="152" t="s">
        <v>683</v>
      </c>
      <c r="E754" s="152" t="s">
        <v>607</v>
      </c>
      <c r="F754" s="152">
        <v>380000000</v>
      </c>
      <c r="G754" s="152" t="s">
        <v>43</v>
      </c>
      <c r="H754" s="152" t="s">
        <v>670</v>
      </c>
      <c r="I754" s="152" t="s">
        <v>36</v>
      </c>
      <c r="J754" s="200">
        <v>1</v>
      </c>
    </row>
    <row r="755" spans="1:10" hidden="1">
      <c r="A755" s="583">
        <v>3</v>
      </c>
      <c r="B755" s="2540" t="s">
        <v>547</v>
      </c>
      <c r="C755" s="154" t="s">
        <v>138</v>
      </c>
      <c r="D755" s="154" t="s">
        <v>644</v>
      </c>
      <c r="E755" s="154" t="s">
        <v>684</v>
      </c>
      <c r="F755" s="154">
        <v>170000</v>
      </c>
      <c r="G755" s="154" t="s">
        <v>646</v>
      </c>
      <c r="H755" s="154" t="s">
        <v>271</v>
      </c>
      <c r="I755" s="154" t="s">
        <v>36</v>
      </c>
      <c r="J755" s="584">
        <v>1</v>
      </c>
    </row>
    <row r="756" spans="1:10" ht="24.6" hidden="1">
      <c r="A756" s="144"/>
      <c r="B756" s="581"/>
      <c r="C756" s="144"/>
      <c r="D756" s="144"/>
      <c r="E756" s="144"/>
      <c r="F756" s="144"/>
      <c r="G756" s="144"/>
      <c r="H756" s="144"/>
      <c r="I756" s="144"/>
      <c r="J756" s="908">
        <f>J753+J754+J755</f>
        <v>3</v>
      </c>
    </row>
    <row r="757" spans="1:10" hidden="1"/>
    <row r="758" spans="1:10" hidden="1"/>
    <row r="759" spans="1:10" ht="23.45" hidden="1">
      <c r="A759" s="2749" t="s">
        <v>510</v>
      </c>
      <c r="B759" s="2749"/>
      <c r="C759" s="2749"/>
      <c r="D759" s="2749"/>
      <c r="E759" s="2749"/>
      <c r="F759" s="2749"/>
      <c r="G759" s="2749"/>
      <c r="H759" s="2749"/>
      <c r="I759" s="2749"/>
      <c r="J759" s="2749"/>
    </row>
    <row r="760" spans="1:10" ht="15.6" hidden="1">
      <c r="A760" s="2737" t="s">
        <v>2</v>
      </c>
      <c r="B760" s="2737"/>
      <c r="C760" s="2737"/>
      <c r="D760" s="2737"/>
      <c r="E760" s="2737"/>
      <c r="F760" s="2737"/>
      <c r="G760" s="2737"/>
      <c r="H760" s="2737"/>
      <c r="I760" s="2737"/>
      <c r="J760" s="2737"/>
    </row>
    <row r="761" spans="1:10" hidden="1">
      <c r="A761" s="137" t="s">
        <v>3</v>
      </c>
      <c r="B761" s="1749" t="s">
        <v>4</v>
      </c>
      <c r="C761" s="137" t="s">
        <v>5</v>
      </c>
      <c r="D761" s="137" t="s">
        <v>6</v>
      </c>
      <c r="E761" s="137" t="s">
        <v>7</v>
      </c>
      <c r="F761" s="137" t="s">
        <v>8</v>
      </c>
      <c r="G761" s="137" t="s">
        <v>9</v>
      </c>
      <c r="H761" s="137" t="s">
        <v>10</v>
      </c>
      <c r="I761" s="137" t="s">
        <v>11</v>
      </c>
      <c r="J761" s="137" t="s">
        <v>12</v>
      </c>
    </row>
    <row r="762" spans="1:10" hidden="1">
      <c r="A762" s="137">
        <v>1</v>
      </c>
      <c r="B762" s="1749" t="s">
        <v>528</v>
      </c>
      <c r="C762" s="137" t="s">
        <v>138</v>
      </c>
      <c r="D762" s="137" t="s">
        <v>190</v>
      </c>
      <c r="E762" s="137" t="s">
        <v>358</v>
      </c>
      <c r="F762" s="137">
        <v>1200000</v>
      </c>
      <c r="G762" s="137" t="s">
        <v>685</v>
      </c>
      <c r="H762" s="137" t="s">
        <v>271</v>
      </c>
      <c r="I762" s="137" t="s">
        <v>36</v>
      </c>
      <c r="J762" s="137">
        <v>1</v>
      </c>
    </row>
    <row r="763" spans="1:10" hidden="1">
      <c r="A763" s="137">
        <v>2</v>
      </c>
      <c r="B763" s="1" t="s">
        <v>581</v>
      </c>
      <c r="C763" t="s">
        <v>138</v>
      </c>
      <c r="D763" t="s">
        <v>686</v>
      </c>
      <c r="E763" t="s">
        <v>358</v>
      </c>
      <c r="F763">
        <v>1700000</v>
      </c>
      <c r="G763" t="s">
        <v>687</v>
      </c>
      <c r="H763" t="s">
        <v>271</v>
      </c>
      <c r="I763" t="s">
        <v>36</v>
      </c>
      <c r="J763">
        <v>1</v>
      </c>
    </row>
    <row r="764" spans="1:10" hidden="1">
      <c r="A764" s="137">
        <v>3</v>
      </c>
      <c r="B764" s="1749" t="s">
        <v>581</v>
      </c>
      <c r="C764" s="137" t="s">
        <v>138</v>
      </c>
      <c r="D764" s="137" t="s">
        <v>688</v>
      </c>
      <c r="E764" s="137" t="s">
        <v>504</v>
      </c>
      <c r="F764" s="137">
        <v>1100000</v>
      </c>
      <c r="G764" s="137" t="s">
        <v>689</v>
      </c>
      <c r="H764" s="137" t="s">
        <v>271</v>
      </c>
      <c r="I764" s="137" t="s">
        <v>36</v>
      </c>
      <c r="J764" s="137">
        <v>1</v>
      </c>
    </row>
    <row r="765" spans="1:10" hidden="1">
      <c r="A765" s="137">
        <v>4</v>
      </c>
      <c r="B765" s="1749" t="s">
        <v>581</v>
      </c>
      <c r="C765" s="137" t="s">
        <v>662</v>
      </c>
      <c r="D765" s="137" t="s">
        <v>690</v>
      </c>
      <c r="E765" s="137" t="s">
        <v>691</v>
      </c>
      <c r="F765" s="137">
        <v>1100000</v>
      </c>
      <c r="G765" s="137" t="s">
        <v>397</v>
      </c>
      <c r="H765" s="137" t="s">
        <v>271</v>
      </c>
      <c r="I765" s="137" t="s">
        <v>36</v>
      </c>
      <c r="J765" s="137">
        <v>1</v>
      </c>
    </row>
    <row r="766" spans="1:10" hidden="1">
      <c r="A766" s="137">
        <v>5</v>
      </c>
      <c r="B766" s="1749" t="s">
        <v>581</v>
      </c>
      <c r="C766" s="137" t="s">
        <v>74</v>
      </c>
      <c r="D766" s="137" t="s">
        <v>692</v>
      </c>
      <c r="E766" s="137" t="s">
        <v>693</v>
      </c>
      <c r="F766" s="137">
        <v>1200000</v>
      </c>
      <c r="G766" s="137" t="s">
        <v>168</v>
      </c>
      <c r="H766" s="137" t="s">
        <v>271</v>
      </c>
      <c r="I766" s="137" t="s">
        <v>36</v>
      </c>
      <c r="J766" s="137">
        <v>1</v>
      </c>
    </row>
    <row r="767" spans="1:10" hidden="1">
      <c r="A767" s="137">
        <v>6</v>
      </c>
      <c r="B767" s="1749" t="s">
        <v>581</v>
      </c>
      <c r="C767" s="137" t="s">
        <v>138</v>
      </c>
      <c r="D767" s="137" t="s">
        <v>694</v>
      </c>
      <c r="E767" s="137" t="s">
        <v>358</v>
      </c>
      <c r="F767" s="137">
        <v>1200000</v>
      </c>
      <c r="G767" s="137" t="s">
        <v>359</v>
      </c>
      <c r="H767" s="137" t="s">
        <v>271</v>
      </c>
      <c r="I767" s="137" t="s">
        <v>36</v>
      </c>
      <c r="J767" s="137">
        <v>1</v>
      </c>
    </row>
    <row r="768" spans="1:10" hidden="1">
      <c r="A768" s="137">
        <v>7</v>
      </c>
      <c r="B768" s="1749" t="s">
        <v>563</v>
      </c>
      <c r="C768" s="137" t="s">
        <v>138</v>
      </c>
      <c r="D768" s="137" t="s">
        <v>695</v>
      </c>
      <c r="E768" s="137" t="s">
        <v>358</v>
      </c>
      <c r="F768" s="137">
        <v>950000</v>
      </c>
      <c r="G768" s="137" t="s">
        <v>696</v>
      </c>
      <c r="H768" s="137" t="s">
        <v>271</v>
      </c>
      <c r="I768" s="137" t="s">
        <v>36</v>
      </c>
      <c r="J768" s="137">
        <v>1</v>
      </c>
    </row>
    <row r="769" spans="1:10" hidden="1">
      <c r="A769" s="137">
        <v>8</v>
      </c>
      <c r="B769" s="1749" t="s">
        <v>563</v>
      </c>
      <c r="C769" s="137" t="s">
        <v>138</v>
      </c>
      <c r="D769" s="137" t="s">
        <v>697</v>
      </c>
      <c r="E769" s="137" t="s">
        <v>698</v>
      </c>
      <c r="F769" s="137">
        <v>660000</v>
      </c>
      <c r="G769" s="137" t="s">
        <v>696</v>
      </c>
      <c r="H769" s="137" t="s">
        <v>271</v>
      </c>
      <c r="I769" s="137" t="s">
        <v>36</v>
      </c>
      <c r="J769" s="137">
        <v>1</v>
      </c>
    </row>
    <row r="770" spans="1:10" hidden="1">
      <c r="A770" s="137">
        <v>9</v>
      </c>
      <c r="B770" s="1749" t="s">
        <v>563</v>
      </c>
      <c r="C770" s="137" t="s">
        <v>138</v>
      </c>
      <c r="D770" s="137" t="s">
        <v>699</v>
      </c>
      <c r="E770" s="137" t="s">
        <v>358</v>
      </c>
      <c r="F770" s="137">
        <v>630000</v>
      </c>
      <c r="G770" s="137" t="s">
        <v>696</v>
      </c>
      <c r="H770" s="137" t="s">
        <v>271</v>
      </c>
      <c r="I770" s="137" t="s">
        <v>36</v>
      </c>
      <c r="J770" s="137">
        <v>1</v>
      </c>
    </row>
    <row r="771" spans="1:10" hidden="1">
      <c r="A771" s="137">
        <v>10</v>
      </c>
      <c r="B771" s="1749" t="s">
        <v>700</v>
      </c>
      <c r="C771" s="137" t="s">
        <v>138</v>
      </c>
      <c r="D771" s="137" t="s">
        <v>701</v>
      </c>
      <c r="E771" s="137" t="s">
        <v>702</v>
      </c>
      <c r="F771" s="137">
        <v>830000</v>
      </c>
      <c r="G771" s="137" t="s">
        <v>703</v>
      </c>
      <c r="H771" s="137" t="s">
        <v>271</v>
      </c>
      <c r="I771" s="137" t="s">
        <v>36</v>
      </c>
      <c r="J771" s="137">
        <v>1</v>
      </c>
    </row>
    <row r="772" spans="1:10" hidden="1">
      <c r="A772" s="137">
        <v>11</v>
      </c>
      <c r="B772" s="1749" t="s">
        <v>700</v>
      </c>
      <c r="C772" s="137" t="s">
        <v>138</v>
      </c>
      <c r="D772" s="137" t="s">
        <v>704</v>
      </c>
      <c r="E772" s="137" t="s">
        <v>595</v>
      </c>
      <c r="F772" s="137">
        <v>1050000</v>
      </c>
      <c r="G772" s="137" t="s">
        <v>705</v>
      </c>
      <c r="H772" s="137" t="s">
        <v>271</v>
      </c>
      <c r="I772" s="137" t="s">
        <v>36</v>
      </c>
      <c r="J772" s="137">
        <v>1</v>
      </c>
    </row>
    <row r="773" spans="1:10" hidden="1">
      <c r="A773" s="137">
        <v>12</v>
      </c>
      <c r="B773" s="1749" t="s">
        <v>700</v>
      </c>
      <c r="C773" s="137" t="s">
        <v>138</v>
      </c>
      <c r="D773" s="137" t="s">
        <v>706</v>
      </c>
      <c r="E773" s="137" t="s">
        <v>707</v>
      </c>
      <c r="F773" s="137">
        <v>950000</v>
      </c>
      <c r="G773" s="137" t="s">
        <v>703</v>
      </c>
      <c r="H773" s="137" t="s">
        <v>271</v>
      </c>
      <c r="I773" s="137" t="s">
        <v>36</v>
      </c>
      <c r="J773" s="137">
        <v>1</v>
      </c>
    </row>
    <row r="774" spans="1:10" hidden="1">
      <c r="A774" s="137">
        <v>13</v>
      </c>
      <c r="B774" s="1749" t="s">
        <v>700</v>
      </c>
      <c r="C774" s="137" t="s">
        <v>138</v>
      </c>
      <c r="D774" s="137" t="s">
        <v>708</v>
      </c>
      <c r="E774" s="137" t="s">
        <v>358</v>
      </c>
      <c r="F774" s="137">
        <v>900000</v>
      </c>
      <c r="G774" s="137" t="s">
        <v>498</v>
      </c>
      <c r="H774" s="137" t="s">
        <v>271</v>
      </c>
      <c r="I774" s="137" t="s">
        <v>36</v>
      </c>
      <c r="J774" s="137">
        <v>1</v>
      </c>
    </row>
    <row r="775" spans="1:10" hidden="1">
      <c r="A775" s="137">
        <v>14</v>
      </c>
      <c r="B775" s="1749" t="s">
        <v>709</v>
      </c>
      <c r="C775" s="137" t="s">
        <v>138</v>
      </c>
      <c r="D775" s="137" t="s">
        <v>710</v>
      </c>
      <c r="E775" s="137" t="s">
        <v>711</v>
      </c>
      <c r="F775" s="137">
        <v>1200000</v>
      </c>
      <c r="G775" s="137" t="s">
        <v>235</v>
      </c>
      <c r="H775" s="137" t="s">
        <v>271</v>
      </c>
      <c r="I775" s="137" t="s">
        <v>36</v>
      </c>
      <c r="J775" s="137">
        <v>1</v>
      </c>
    </row>
    <row r="776" spans="1:10" hidden="1">
      <c r="A776" s="1749">
        <v>15</v>
      </c>
      <c r="B776" s="2538" t="s">
        <v>712</v>
      </c>
      <c r="C776" s="150" t="s">
        <v>138</v>
      </c>
      <c r="D776" s="627" t="s">
        <v>713</v>
      </c>
      <c r="E776" s="150" t="s">
        <v>620</v>
      </c>
      <c r="F776" s="151">
        <v>1200000</v>
      </c>
      <c r="G776" s="150" t="s">
        <v>235</v>
      </c>
      <c r="H776" s="150" t="s">
        <v>271</v>
      </c>
      <c r="I776" s="150" t="s">
        <v>36</v>
      </c>
      <c r="J776" s="137">
        <v>1</v>
      </c>
    </row>
    <row r="777" spans="1:10" hidden="1">
      <c r="A777" s="1749">
        <v>16</v>
      </c>
      <c r="B777" s="2538" t="s">
        <v>714</v>
      </c>
      <c r="C777" s="150" t="s">
        <v>138</v>
      </c>
      <c r="D777" s="627" t="s">
        <v>715</v>
      </c>
      <c r="E777" s="150" t="s">
        <v>620</v>
      </c>
      <c r="F777" s="151">
        <v>1000000</v>
      </c>
      <c r="G777" s="150" t="s">
        <v>235</v>
      </c>
      <c r="H777" s="150" t="s">
        <v>271</v>
      </c>
      <c r="I777" s="150" t="s">
        <v>36</v>
      </c>
      <c r="J777" s="137">
        <v>1</v>
      </c>
    </row>
    <row r="778" spans="1:10" hidden="1">
      <c r="A778" s="1749">
        <v>17</v>
      </c>
      <c r="B778" s="2538" t="s">
        <v>621</v>
      </c>
      <c r="C778" s="150" t="s">
        <v>138</v>
      </c>
      <c r="D778" s="627" t="s">
        <v>716</v>
      </c>
      <c r="E778" s="150" t="s">
        <v>436</v>
      </c>
      <c r="F778" s="151">
        <v>1700000</v>
      </c>
      <c r="G778" s="150" t="s">
        <v>539</v>
      </c>
      <c r="H778" s="150" t="s">
        <v>271</v>
      </c>
      <c r="I778" s="150" t="s">
        <v>36</v>
      </c>
      <c r="J778" s="137">
        <v>1</v>
      </c>
    </row>
    <row r="779" spans="1:10" hidden="1">
      <c r="A779" s="1749">
        <v>18</v>
      </c>
      <c r="B779" s="2538" t="s">
        <v>714</v>
      </c>
      <c r="C779" s="150" t="s">
        <v>138</v>
      </c>
      <c r="D779" s="627" t="s">
        <v>717</v>
      </c>
      <c r="E779" s="150" t="s">
        <v>620</v>
      </c>
      <c r="F779" s="151">
        <v>1200000</v>
      </c>
      <c r="G779" s="150" t="s">
        <v>235</v>
      </c>
      <c r="H779" s="150" t="s">
        <v>271</v>
      </c>
      <c r="I779" s="150" t="s">
        <v>36</v>
      </c>
      <c r="J779" s="137">
        <v>1</v>
      </c>
    </row>
    <row r="780" spans="1:10" hidden="1">
      <c r="A780" s="1749">
        <v>19</v>
      </c>
      <c r="B780" s="1749" t="s">
        <v>718</v>
      </c>
      <c r="C780" s="150" t="s">
        <v>138</v>
      </c>
      <c r="D780" s="627" t="s">
        <v>719</v>
      </c>
      <c r="E780" s="150" t="s">
        <v>436</v>
      </c>
      <c r="F780" s="151">
        <v>900000</v>
      </c>
      <c r="G780" s="150" t="s">
        <v>43</v>
      </c>
      <c r="H780" s="150" t="s">
        <v>271</v>
      </c>
      <c r="I780" s="150" t="s">
        <v>36</v>
      </c>
      <c r="J780" s="137">
        <v>1</v>
      </c>
    </row>
    <row r="781" spans="1:10" hidden="1">
      <c r="A781" s="1749">
        <v>20</v>
      </c>
      <c r="B781" s="1749"/>
      <c r="C781" s="150"/>
      <c r="D781" s="627"/>
      <c r="E781" s="150"/>
      <c r="F781" s="151"/>
      <c r="G781" s="150"/>
      <c r="H781" s="150"/>
      <c r="I781" s="150"/>
      <c r="J781" s="137"/>
    </row>
    <row r="782" spans="1:10" ht="25.9" hidden="1">
      <c r="A782" s="1749"/>
      <c r="B782" s="1749"/>
      <c r="C782" s="150"/>
      <c r="D782" s="627"/>
      <c r="E782" s="150"/>
      <c r="F782" s="151"/>
      <c r="G782" s="150"/>
      <c r="H782" s="150"/>
      <c r="I782" s="150"/>
      <c r="J782" s="907">
        <f>SUM(J762:J781)</f>
        <v>19</v>
      </c>
    </row>
    <row r="783" spans="1:10" hidden="1">
      <c r="A783" s="2744" t="s">
        <v>33</v>
      </c>
      <c r="B783" s="2744"/>
      <c r="C783" s="2744"/>
      <c r="D783" s="2744"/>
      <c r="E783" s="2744"/>
      <c r="F783" s="2744"/>
      <c r="G783" s="2744"/>
      <c r="H783" s="2744"/>
      <c r="I783" s="2744"/>
      <c r="J783" s="2744"/>
    </row>
    <row r="784" spans="1:10" hidden="1">
      <c r="A784" s="137" t="s">
        <v>3</v>
      </c>
      <c r="B784" s="1749" t="s">
        <v>4</v>
      </c>
      <c r="C784" s="137" t="s">
        <v>5</v>
      </c>
      <c r="D784" s="137" t="s">
        <v>6</v>
      </c>
      <c r="E784" s="137" t="s">
        <v>7</v>
      </c>
      <c r="F784" s="137" t="s">
        <v>8</v>
      </c>
      <c r="G784" s="137" t="s">
        <v>9</v>
      </c>
      <c r="H784" s="137" t="s">
        <v>10</v>
      </c>
      <c r="I784" s="137" t="s">
        <v>11</v>
      </c>
      <c r="J784" s="137" t="s">
        <v>12</v>
      </c>
    </row>
    <row r="785" spans="1:10" hidden="1">
      <c r="A785" s="541">
        <v>1</v>
      </c>
      <c r="B785" s="2539" t="s">
        <v>647</v>
      </c>
      <c r="C785" s="152" t="s">
        <v>138</v>
      </c>
      <c r="D785" s="152" t="s">
        <v>720</v>
      </c>
      <c r="E785" s="152" t="s">
        <v>549</v>
      </c>
      <c r="F785" s="152">
        <v>245000000</v>
      </c>
      <c r="G785" s="152" t="s">
        <v>721</v>
      </c>
      <c r="H785" s="152" t="s">
        <v>271</v>
      </c>
      <c r="I785" s="152" t="s">
        <v>36</v>
      </c>
      <c r="J785" s="200">
        <v>1</v>
      </c>
    </row>
    <row r="786" spans="1:10" hidden="1">
      <c r="A786" s="541">
        <v>2</v>
      </c>
      <c r="B786" s="2539" t="s">
        <v>647</v>
      </c>
      <c r="C786" s="152" t="s">
        <v>138</v>
      </c>
      <c r="D786" s="152" t="s">
        <v>722</v>
      </c>
      <c r="E786" s="152" t="s">
        <v>358</v>
      </c>
      <c r="F786" s="152">
        <v>280000000</v>
      </c>
      <c r="G786" s="152" t="s">
        <v>498</v>
      </c>
      <c r="H786" s="152" t="s">
        <v>271</v>
      </c>
      <c r="I786" s="152" t="s">
        <v>36</v>
      </c>
      <c r="J786" s="200">
        <v>1</v>
      </c>
    </row>
    <row r="787" spans="1:10" hidden="1">
      <c r="A787" s="583">
        <v>3</v>
      </c>
      <c r="B787" s="2540" t="s">
        <v>647</v>
      </c>
      <c r="C787" s="154" t="s">
        <v>138</v>
      </c>
      <c r="D787" s="154" t="s">
        <v>723</v>
      </c>
      <c r="E787" s="154" t="s">
        <v>358</v>
      </c>
      <c r="F787" s="154">
        <v>180000000</v>
      </c>
      <c r="G787" s="154" t="s">
        <v>512</v>
      </c>
      <c r="H787" s="154" t="s">
        <v>271</v>
      </c>
      <c r="I787" s="154" t="s">
        <v>36</v>
      </c>
      <c r="J787" s="584">
        <v>1</v>
      </c>
    </row>
    <row r="788" spans="1:10" hidden="1">
      <c r="A788" s="581">
        <v>4</v>
      </c>
      <c r="B788" s="2541" t="s">
        <v>581</v>
      </c>
      <c r="C788" s="156" t="s">
        <v>662</v>
      </c>
      <c r="D788" s="156" t="s">
        <v>690</v>
      </c>
      <c r="E788" s="156" t="s">
        <v>691</v>
      </c>
      <c r="F788" s="156">
        <v>85000000</v>
      </c>
      <c r="G788" s="156" t="s">
        <v>724</v>
      </c>
      <c r="H788" s="156" t="s">
        <v>271</v>
      </c>
      <c r="I788" s="156" t="s">
        <v>36</v>
      </c>
      <c r="J788" s="144">
        <v>1</v>
      </c>
    </row>
    <row r="789" spans="1:10" hidden="1">
      <c r="A789" s="895">
        <v>5</v>
      </c>
      <c r="B789" s="2545" t="s">
        <v>700</v>
      </c>
      <c r="C789" s="861" t="s">
        <v>138</v>
      </c>
      <c r="D789" s="861" t="s">
        <v>725</v>
      </c>
      <c r="E789" s="861" t="s">
        <v>726</v>
      </c>
      <c r="F789" s="861">
        <v>265000000</v>
      </c>
      <c r="G789" s="861" t="s">
        <v>727</v>
      </c>
      <c r="H789" s="861" t="s">
        <v>271</v>
      </c>
      <c r="I789" s="861" t="s">
        <v>36</v>
      </c>
      <c r="J789" s="860">
        <v>1</v>
      </c>
    </row>
    <row r="790" spans="1:10" ht="24.6" hidden="1">
      <c r="A790" s="860"/>
      <c r="B790" s="895"/>
      <c r="C790" s="860"/>
      <c r="D790" s="860"/>
      <c r="E790" s="860"/>
      <c r="F790" s="860"/>
      <c r="G790" s="860"/>
      <c r="H790" s="860"/>
      <c r="I790" s="860"/>
      <c r="J790" s="906">
        <f>J785+J786+J788+J787+J789</f>
        <v>5</v>
      </c>
    </row>
    <row r="791" spans="1:10" hidden="1"/>
    <row r="792" spans="1:10" hidden="1"/>
    <row r="793" spans="1:10" hidden="1"/>
    <row r="794" spans="1:10" ht="23.45" hidden="1">
      <c r="A794" s="2749" t="s">
        <v>442</v>
      </c>
      <c r="B794" s="2749"/>
      <c r="C794" s="2749"/>
      <c r="D794" s="2749"/>
      <c r="E794" s="2749"/>
      <c r="F794" s="2749"/>
      <c r="G794" s="2749"/>
      <c r="H794" s="2749"/>
      <c r="I794" s="2749"/>
      <c r="J794" s="2749"/>
    </row>
    <row r="795" spans="1:10" ht="15.6" hidden="1">
      <c r="A795" s="2737" t="s">
        <v>2</v>
      </c>
      <c r="B795" s="2737"/>
      <c r="C795" s="2737"/>
      <c r="D795" s="2737"/>
      <c r="E795" s="2737"/>
      <c r="F795" s="2737"/>
      <c r="G795" s="2737"/>
      <c r="H795" s="2737"/>
      <c r="I795" s="2737"/>
      <c r="J795" s="2737"/>
    </row>
    <row r="796" spans="1:10" hidden="1">
      <c r="A796" s="137" t="s">
        <v>3</v>
      </c>
      <c r="B796" s="1749" t="s">
        <v>4</v>
      </c>
      <c r="C796" s="137" t="s">
        <v>5</v>
      </c>
      <c r="D796" s="137" t="s">
        <v>6</v>
      </c>
      <c r="E796" s="137" t="s">
        <v>7</v>
      </c>
      <c r="F796" s="137" t="s">
        <v>8</v>
      </c>
      <c r="G796" s="137" t="s">
        <v>9</v>
      </c>
      <c r="H796" s="137" t="s">
        <v>10</v>
      </c>
      <c r="I796" s="137" t="s">
        <v>11</v>
      </c>
      <c r="J796" s="137" t="s">
        <v>12</v>
      </c>
    </row>
    <row r="797" spans="1:10" hidden="1">
      <c r="A797" s="137">
        <v>1</v>
      </c>
      <c r="B797" s="1749" t="s">
        <v>661</v>
      </c>
      <c r="C797" s="137" t="s">
        <v>138</v>
      </c>
      <c r="D797" s="137" t="s">
        <v>728</v>
      </c>
      <c r="E797" s="137" t="s">
        <v>726</v>
      </c>
      <c r="F797" s="137">
        <v>2600000</v>
      </c>
      <c r="G797" s="137" t="s">
        <v>729</v>
      </c>
      <c r="H797" s="137" t="s">
        <v>271</v>
      </c>
      <c r="I797" s="137" t="s">
        <v>36</v>
      </c>
      <c r="J797" s="137">
        <v>1</v>
      </c>
    </row>
    <row r="798" spans="1:10" hidden="1">
      <c r="A798" s="137">
        <v>2</v>
      </c>
      <c r="B798" s="1749" t="s">
        <v>730</v>
      </c>
      <c r="C798" s="137" t="s">
        <v>138</v>
      </c>
      <c r="D798" s="137" t="s">
        <v>731</v>
      </c>
      <c r="E798" s="137" t="s">
        <v>620</v>
      </c>
      <c r="F798" s="137">
        <v>1100000</v>
      </c>
      <c r="G798" s="137" t="s">
        <v>235</v>
      </c>
      <c r="H798" s="137" t="s">
        <v>271</v>
      </c>
      <c r="I798" s="137" t="s">
        <v>36</v>
      </c>
      <c r="J798" s="137">
        <v>1</v>
      </c>
    </row>
    <row r="799" spans="1:10" hidden="1">
      <c r="A799" s="137">
        <v>3</v>
      </c>
      <c r="B799" s="1749"/>
      <c r="C799" s="137"/>
      <c r="D799" s="137"/>
      <c r="E799" s="137"/>
      <c r="F799" s="137"/>
      <c r="G799" s="137"/>
      <c r="H799" s="137"/>
      <c r="I799" s="137"/>
      <c r="J799" s="137"/>
    </row>
    <row r="800" spans="1:10" hidden="1">
      <c r="A800" s="137">
        <v>4</v>
      </c>
      <c r="B800" s="1749"/>
      <c r="C800" s="137"/>
      <c r="D800" s="137"/>
      <c r="E800" s="137"/>
      <c r="F800" s="137"/>
      <c r="G800" s="137"/>
      <c r="H800" s="137"/>
      <c r="I800" s="137"/>
      <c r="J800" s="137"/>
    </row>
    <row r="801" spans="1:10" hidden="1">
      <c r="A801" s="137">
        <v>5</v>
      </c>
      <c r="B801" s="1749"/>
      <c r="C801" s="137"/>
      <c r="D801" s="137"/>
      <c r="E801" s="137"/>
      <c r="F801" s="137"/>
      <c r="G801" s="137"/>
      <c r="H801" s="137"/>
      <c r="I801" s="137"/>
      <c r="J801" s="137"/>
    </row>
    <row r="802" spans="1:10" hidden="1">
      <c r="A802" s="137">
        <v>6</v>
      </c>
      <c r="B802" s="1749"/>
      <c r="C802" s="137"/>
      <c r="D802" s="137"/>
      <c r="E802" s="137"/>
      <c r="F802" s="137"/>
      <c r="G802" s="137"/>
      <c r="H802" s="137"/>
      <c r="I802" s="137"/>
      <c r="J802" s="137"/>
    </row>
    <row r="803" spans="1:10" hidden="1">
      <c r="A803" s="137">
        <v>7</v>
      </c>
      <c r="B803" s="1749"/>
      <c r="C803" s="137"/>
      <c r="D803" s="137"/>
      <c r="E803" s="137"/>
      <c r="F803" s="137"/>
      <c r="G803" s="137"/>
      <c r="H803" s="137"/>
      <c r="I803" s="137"/>
      <c r="J803" s="137"/>
    </row>
    <row r="804" spans="1:10" hidden="1">
      <c r="A804" s="137">
        <v>8</v>
      </c>
      <c r="B804" s="1749"/>
      <c r="C804" s="137"/>
      <c r="D804" s="137"/>
      <c r="E804" s="137"/>
      <c r="F804" s="137"/>
      <c r="G804" s="137"/>
      <c r="H804" s="137"/>
      <c r="I804" s="137"/>
      <c r="J804" s="137"/>
    </row>
    <row r="805" spans="1:10" hidden="1">
      <c r="A805" s="137">
        <v>9</v>
      </c>
      <c r="B805" s="1749"/>
      <c r="C805" s="137"/>
      <c r="D805" s="137"/>
      <c r="E805" s="137"/>
      <c r="F805" s="137"/>
      <c r="G805" s="137"/>
      <c r="H805" s="137"/>
      <c r="I805" s="137"/>
      <c r="J805" s="137"/>
    </row>
    <row r="806" spans="1:10" hidden="1">
      <c r="A806" s="137">
        <v>10</v>
      </c>
      <c r="B806" s="1749"/>
      <c r="C806" s="137"/>
      <c r="D806" s="137"/>
      <c r="E806" s="137"/>
      <c r="F806" s="137"/>
      <c r="G806" s="137"/>
      <c r="H806" s="137"/>
      <c r="I806" s="137"/>
      <c r="J806" s="137"/>
    </row>
    <row r="807" spans="1:10" hidden="1">
      <c r="A807" s="137">
        <v>11</v>
      </c>
      <c r="B807" s="1749"/>
      <c r="C807" s="137"/>
      <c r="D807" s="137"/>
      <c r="E807" s="137"/>
      <c r="F807" s="137"/>
      <c r="G807" s="137"/>
      <c r="H807" s="137"/>
      <c r="I807" s="137"/>
      <c r="J807" s="137"/>
    </row>
    <row r="808" spans="1:10" hidden="1">
      <c r="A808" s="137">
        <v>12</v>
      </c>
      <c r="B808" s="1749"/>
      <c r="C808" s="137"/>
      <c r="D808" s="137"/>
      <c r="E808" s="137"/>
      <c r="F808" s="137"/>
      <c r="G808" s="137"/>
      <c r="H808" s="137"/>
      <c r="I808" s="137"/>
      <c r="J808" s="137"/>
    </row>
    <row r="809" spans="1:10" hidden="1">
      <c r="A809" s="137">
        <v>13</v>
      </c>
      <c r="B809" s="1749"/>
      <c r="C809" s="137"/>
      <c r="D809" s="137"/>
      <c r="E809" s="137"/>
      <c r="F809" s="137"/>
      <c r="G809" s="137"/>
      <c r="H809" s="137"/>
      <c r="I809" s="137"/>
      <c r="J809" s="137"/>
    </row>
    <row r="810" spans="1:10" hidden="1">
      <c r="A810" s="137">
        <v>14</v>
      </c>
      <c r="B810" s="1749"/>
      <c r="C810" s="137"/>
      <c r="D810" s="137"/>
      <c r="E810" s="137"/>
      <c r="F810" s="137"/>
      <c r="G810" s="137"/>
      <c r="H810" s="137"/>
      <c r="I810" s="137"/>
      <c r="J810" s="137"/>
    </row>
    <row r="811" spans="1:10" hidden="1">
      <c r="A811" s="1749">
        <v>15</v>
      </c>
      <c r="B811" s="2538"/>
      <c r="C811" s="150"/>
      <c r="D811" s="627"/>
      <c r="E811" s="150"/>
      <c r="F811" s="151"/>
      <c r="G811" s="150"/>
      <c r="H811" s="150"/>
      <c r="I811" s="150"/>
      <c r="J811" s="137"/>
    </row>
    <row r="812" spans="1:10" hidden="1">
      <c r="A812" s="1749">
        <v>16</v>
      </c>
      <c r="B812" s="2538"/>
      <c r="C812" s="150"/>
      <c r="D812" s="627"/>
      <c r="E812" s="150"/>
      <c r="F812" s="151"/>
      <c r="G812" s="150"/>
      <c r="H812" s="150"/>
      <c r="I812" s="150"/>
      <c r="J812" s="137"/>
    </row>
    <row r="813" spans="1:10" hidden="1">
      <c r="A813" s="1749">
        <v>17</v>
      </c>
      <c r="B813" s="2538"/>
      <c r="C813" s="150"/>
      <c r="D813" s="627"/>
      <c r="E813" s="150"/>
      <c r="F813" s="151"/>
      <c r="G813" s="150"/>
      <c r="H813" s="150"/>
      <c r="I813" s="150"/>
      <c r="J813" s="137"/>
    </row>
    <row r="814" spans="1:10" hidden="1">
      <c r="A814" s="1749">
        <v>18</v>
      </c>
      <c r="B814" s="2538"/>
      <c r="C814" s="150"/>
      <c r="D814" s="627"/>
      <c r="E814" s="150"/>
      <c r="F814" s="151"/>
      <c r="G814" s="150"/>
      <c r="H814" s="150"/>
      <c r="I814" s="150"/>
      <c r="J814" s="137"/>
    </row>
    <row r="815" spans="1:10" hidden="1">
      <c r="A815" s="1749">
        <v>19</v>
      </c>
      <c r="B815" s="1749"/>
      <c r="C815" s="150"/>
      <c r="D815" s="627"/>
      <c r="E815" s="150"/>
      <c r="F815" s="151"/>
      <c r="G815" s="150"/>
      <c r="H815" s="150"/>
      <c r="I815" s="150"/>
      <c r="J815" s="137"/>
    </row>
    <row r="816" spans="1:10" hidden="1">
      <c r="A816" s="1749">
        <v>20</v>
      </c>
      <c r="B816" s="1749"/>
      <c r="C816" s="150"/>
      <c r="D816" s="627"/>
      <c r="E816" s="150"/>
      <c r="F816" s="151"/>
      <c r="G816" s="150"/>
      <c r="H816" s="150"/>
      <c r="I816" s="150"/>
      <c r="J816" s="137"/>
    </row>
    <row r="817" spans="1:10" ht="25.9" hidden="1">
      <c r="A817" s="1749"/>
      <c r="B817" s="1749"/>
      <c r="C817" s="150"/>
      <c r="D817" s="627"/>
      <c r="E817" s="150"/>
      <c r="F817" s="151"/>
      <c r="G817" s="150"/>
      <c r="H817" s="150"/>
      <c r="I817" s="150"/>
      <c r="J817" s="907">
        <f>SUM(J797:J798)</f>
        <v>2</v>
      </c>
    </row>
    <row r="818" spans="1:10" hidden="1">
      <c r="A818" s="2744" t="s">
        <v>33</v>
      </c>
      <c r="B818" s="2744"/>
      <c r="C818" s="2744"/>
      <c r="D818" s="2744"/>
      <c r="E818" s="2744"/>
      <c r="F818" s="2744"/>
      <c r="G818" s="2744"/>
      <c r="H818" s="2744"/>
      <c r="I818" s="2744"/>
      <c r="J818" s="2744"/>
    </row>
    <row r="819" spans="1:10" hidden="1">
      <c r="A819" s="137" t="s">
        <v>3</v>
      </c>
      <c r="B819" s="1749" t="s">
        <v>4</v>
      </c>
      <c r="C819" s="137" t="s">
        <v>5</v>
      </c>
      <c r="D819" s="137" t="s">
        <v>6</v>
      </c>
      <c r="E819" s="137" t="s">
        <v>7</v>
      </c>
      <c r="F819" s="137" t="s">
        <v>8</v>
      </c>
      <c r="G819" s="137" t="s">
        <v>9</v>
      </c>
      <c r="H819" s="137" t="s">
        <v>10</v>
      </c>
      <c r="I819" s="137" t="s">
        <v>11</v>
      </c>
      <c r="J819" s="137" t="s">
        <v>12</v>
      </c>
    </row>
    <row r="820" spans="1:10" hidden="1">
      <c r="A820" s="541">
        <v>1</v>
      </c>
      <c r="B820" s="2539"/>
      <c r="C820" s="152"/>
      <c r="D820" s="152"/>
      <c r="E820" s="152"/>
      <c r="F820" s="152"/>
      <c r="G820" s="152"/>
      <c r="H820" s="152"/>
      <c r="I820" s="152"/>
      <c r="J820" s="200"/>
    </row>
    <row r="821" spans="1:10" hidden="1">
      <c r="A821" s="541">
        <v>2</v>
      </c>
      <c r="B821" s="2539"/>
      <c r="C821" s="152"/>
      <c r="D821" s="152"/>
      <c r="E821" s="152"/>
      <c r="F821" s="152"/>
      <c r="G821" s="152"/>
      <c r="H821" s="152"/>
      <c r="I821" s="152"/>
      <c r="J821" s="200"/>
    </row>
    <row r="822" spans="1:10" hidden="1">
      <c r="A822" s="583">
        <v>3</v>
      </c>
      <c r="B822" s="2540"/>
      <c r="C822" s="154"/>
      <c r="D822" s="154"/>
      <c r="E822" s="154"/>
      <c r="F822" s="154"/>
      <c r="G822" s="154"/>
      <c r="H822" s="154"/>
      <c r="I822" s="154"/>
      <c r="J822" s="584"/>
    </row>
    <row r="823" spans="1:10" ht="24.6" hidden="1">
      <c r="A823" s="144"/>
      <c r="B823" s="581"/>
      <c r="C823" s="144"/>
      <c r="D823" s="144"/>
      <c r="E823" s="144"/>
      <c r="F823" s="144"/>
      <c r="G823" s="144"/>
      <c r="H823" s="144"/>
      <c r="I823" s="144"/>
      <c r="J823" s="908">
        <f>J820+J821+J822</f>
        <v>0</v>
      </c>
    </row>
    <row r="824" spans="1:10" hidden="1"/>
    <row r="825" spans="1:10" hidden="1"/>
    <row r="826" spans="1:10" hidden="1"/>
    <row r="827" spans="1:10" ht="23.45" hidden="1">
      <c r="A827" s="2749" t="s">
        <v>732</v>
      </c>
      <c r="B827" s="2749"/>
      <c r="C827" s="2749"/>
      <c r="D827" s="2749"/>
      <c r="E827" s="2749"/>
      <c r="F827" s="2749"/>
      <c r="G827" s="2749"/>
      <c r="H827" s="2749"/>
      <c r="I827" s="2749"/>
      <c r="J827" s="2749"/>
    </row>
    <row r="828" spans="1:10" ht="15.6" hidden="1">
      <c r="A828" s="2737" t="s">
        <v>2</v>
      </c>
      <c r="B828" s="2737"/>
      <c r="C828" s="2737"/>
      <c r="D828" s="2737"/>
      <c r="E828" s="2737"/>
      <c r="F828" s="2737"/>
      <c r="G828" s="2737"/>
      <c r="H828" s="2737"/>
      <c r="I828" s="2737"/>
      <c r="J828" s="2737"/>
    </row>
    <row r="829" spans="1:10" hidden="1">
      <c r="A829" s="137" t="s">
        <v>3</v>
      </c>
      <c r="B829" s="1749" t="s">
        <v>4</v>
      </c>
      <c r="C829" s="137" t="s">
        <v>5</v>
      </c>
      <c r="D829" s="137" t="s">
        <v>6</v>
      </c>
      <c r="E829" s="137" t="s">
        <v>7</v>
      </c>
      <c r="F829" s="137" t="s">
        <v>8</v>
      </c>
      <c r="G829" s="137" t="s">
        <v>9</v>
      </c>
      <c r="H829" s="137" t="s">
        <v>10</v>
      </c>
      <c r="I829" s="137" t="s">
        <v>11</v>
      </c>
      <c r="J829" s="137" t="s">
        <v>12</v>
      </c>
    </row>
    <row r="830" spans="1:10" hidden="1">
      <c r="A830" s="137">
        <v>1</v>
      </c>
      <c r="B830" s="1749"/>
      <c r="C830" s="137"/>
      <c r="D830" s="137"/>
      <c r="E830" s="137"/>
      <c r="F830" s="137"/>
      <c r="G830" s="137"/>
      <c r="H830" s="137"/>
      <c r="I830" s="137"/>
      <c r="J830" s="137"/>
    </row>
    <row r="831" spans="1:10" hidden="1">
      <c r="A831" s="137">
        <v>2</v>
      </c>
      <c r="B831" s="1749"/>
      <c r="C831" s="137"/>
      <c r="D831" s="137"/>
      <c r="E831" s="137"/>
      <c r="F831" s="137"/>
      <c r="G831" s="137"/>
      <c r="H831" s="137"/>
      <c r="I831" s="137"/>
      <c r="J831" s="137"/>
    </row>
    <row r="832" spans="1:10" hidden="1">
      <c r="A832" s="137">
        <v>3</v>
      </c>
      <c r="B832" s="1749"/>
      <c r="C832" s="137"/>
      <c r="D832" s="137"/>
      <c r="E832" s="137"/>
      <c r="F832" s="137"/>
      <c r="G832" s="137"/>
      <c r="H832" s="137"/>
      <c r="I832" s="137"/>
      <c r="J832" s="137"/>
    </row>
    <row r="833" spans="1:10" hidden="1">
      <c r="A833" s="137">
        <v>4</v>
      </c>
      <c r="B833" s="1749"/>
      <c r="C833" s="137"/>
      <c r="D833" s="137"/>
      <c r="E833" s="137"/>
      <c r="F833" s="137"/>
      <c r="G833" s="137"/>
      <c r="H833" s="137"/>
      <c r="I833" s="137"/>
      <c r="J833" s="137"/>
    </row>
    <row r="834" spans="1:10" hidden="1">
      <c r="A834" s="137">
        <v>5</v>
      </c>
      <c r="B834" s="1749"/>
      <c r="C834" s="137"/>
      <c r="D834" s="137"/>
      <c r="E834" s="137"/>
      <c r="F834" s="137"/>
      <c r="G834" s="137"/>
      <c r="H834" s="137"/>
      <c r="I834" s="137"/>
      <c r="J834" s="137"/>
    </row>
    <row r="835" spans="1:10" hidden="1">
      <c r="A835" s="137">
        <v>6</v>
      </c>
      <c r="B835" s="1749"/>
      <c r="C835" s="137"/>
      <c r="D835" s="137"/>
      <c r="E835" s="137"/>
      <c r="F835" s="137"/>
      <c r="G835" s="137"/>
      <c r="H835" s="137"/>
      <c r="I835" s="137"/>
      <c r="J835" s="137"/>
    </row>
    <row r="836" spans="1:10" hidden="1">
      <c r="A836" s="137">
        <v>7</v>
      </c>
      <c r="B836" s="1749"/>
      <c r="C836" s="137"/>
      <c r="D836" s="137"/>
      <c r="E836" s="137"/>
      <c r="F836" s="137"/>
      <c r="G836" s="137"/>
      <c r="H836" s="137"/>
      <c r="I836" s="137"/>
      <c r="J836" s="137"/>
    </row>
    <row r="837" spans="1:10" hidden="1">
      <c r="A837" s="137">
        <v>8</v>
      </c>
      <c r="B837" s="1749"/>
      <c r="C837" s="137"/>
      <c r="D837" s="137"/>
      <c r="E837" s="137"/>
      <c r="F837" s="137"/>
      <c r="G837" s="137"/>
      <c r="H837" s="137"/>
      <c r="I837" s="137"/>
      <c r="J837" s="137"/>
    </row>
    <row r="838" spans="1:10" hidden="1">
      <c r="A838" s="137">
        <v>9</v>
      </c>
      <c r="B838" s="1749"/>
      <c r="C838" s="137"/>
      <c r="D838" s="137"/>
      <c r="E838" s="137"/>
      <c r="F838" s="137"/>
      <c r="G838" s="137"/>
      <c r="H838" s="137"/>
      <c r="I838" s="137"/>
      <c r="J838" s="137"/>
    </row>
    <row r="839" spans="1:10" hidden="1">
      <c r="A839" s="137">
        <v>10</v>
      </c>
      <c r="B839" s="1749"/>
      <c r="C839" s="137"/>
      <c r="D839" s="137"/>
      <c r="E839" s="137"/>
      <c r="F839" s="137"/>
      <c r="G839" s="137"/>
      <c r="H839" s="137"/>
      <c r="I839" s="137"/>
      <c r="J839" s="137"/>
    </row>
    <row r="840" spans="1:10" hidden="1">
      <c r="A840" s="137">
        <v>11</v>
      </c>
      <c r="B840" s="1749"/>
      <c r="C840" s="137"/>
      <c r="D840" s="137"/>
      <c r="E840" s="137"/>
      <c r="F840" s="137"/>
      <c r="G840" s="137"/>
      <c r="H840" s="137"/>
      <c r="I840" s="137"/>
      <c r="J840" s="137"/>
    </row>
    <row r="841" spans="1:10" hidden="1">
      <c r="A841" s="137">
        <v>12</v>
      </c>
      <c r="B841" s="1749"/>
      <c r="C841" s="137"/>
      <c r="D841" s="137"/>
      <c r="E841" s="137"/>
      <c r="F841" s="137"/>
      <c r="G841" s="137"/>
      <c r="H841" s="137"/>
      <c r="I841" s="137"/>
      <c r="J841" s="137"/>
    </row>
    <row r="842" spans="1:10" hidden="1">
      <c r="A842" s="137">
        <v>13</v>
      </c>
      <c r="B842" s="1749"/>
      <c r="C842" s="137"/>
      <c r="D842" s="137"/>
      <c r="E842" s="137"/>
      <c r="F842" s="137"/>
      <c r="G842" s="137"/>
      <c r="H842" s="137"/>
      <c r="I842" s="137"/>
      <c r="J842" s="137"/>
    </row>
    <row r="843" spans="1:10" hidden="1">
      <c r="A843" s="137">
        <v>14</v>
      </c>
      <c r="B843" s="1749"/>
      <c r="C843" s="137"/>
      <c r="D843" s="137"/>
      <c r="E843" s="137"/>
      <c r="F843" s="137"/>
      <c r="G843" s="137"/>
      <c r="H843" s="137"/>
      <c r="I843" s="137"/>
      <c r="J843" s="137"/>
    </row>
    <row r="844" spans="1:10" hidden="1">
      <c r="A844" s="1749">
        <v>15</v>
      </c>
      <c r="B844" s="2538"/>
      <c r="C844" s="150"/>
      <c r="D844" s="627"/>
      <c r="E844" s="150"/>
      <c r="F844" s="151"/>
      <c r="G844" s="150"/>
      <c r="H844" s="150"/>
      <c r="I844" s="150"/>
      <c r="J844" s="137"/>
    </row>
    <row r="845" spans="1:10" hidden="1">
      <c r="A845" s="1749">
        <v>16</v>
      </c>
      <c r="B845" s="2538"/>
      <c r="C845" s="150"/>
      <c r="D845" s="627"/>
      <c r="E845" s="150"/>
      <c r="F845" s="151"/>
      <c r="G845" s="150"/>
      <c r="H845" s="150"/>
      <c r="I845" s="150"/>
      <c r="J845" s="137"/>
    </row>
    <row r="846" spans="1:10" hidden="1">
      <c r="A846" s="1749">
        <v>17</v>
      </c>
      <c r="B846" s="2538"/>
      <c r="C846" s="150"/>
      <c r="D846" s="627"/>
      <c r="E846" s="150"/>
      <c r="F846" s="151"/>
      <c r="G846" s="150"/>
      <c r="H846" s="150"/>
      <c r="I846" s="150"/>
      <c r="J846" s="137"/>
    </row>
    <row r="847" spans="1:10" hidden="1">
      <c r="A847" s="1749">
        <v>18</v>
      </c>
      <c r="B847" s="2538"/>
      <c r="C847" s="150"/>
      <c r="D847" s="627"/>
      <c r="E847" s="150"/>
      <c r="F847" s="151"/>
      <c r="G847" s="150"/>
      <c r="H847" s="150"/>
      <c r="I847" s="150"/>
      <c r="J847" s="137"/>
    </row>
    <row r="848" spans="1:10" hidden="1">
      <c r="A848" s="1749">
        <v>19</v>
      </c>
      <c r="B848" s="1749"/>
      <c r="C848" s="150"/>
      <c r="D848" s="627"/>
      <c r="E848" s="150"/>
      <c r="F848" s="151"/>
      <c r="G848" s="150"/>
      <c r="H848" s="150"/>
      <c r="I848" s="150"/>
      <c r="J848" s="137"/>
    </row>
    <row r="849" spans="1:10" hidden="1">
      <c r="A849" s="1749">
        <v>20</v>
      </c>
      <c r="B849" s="1749"/>
      <c r="C849" s="150"/>
      <c r="D849" s="627"/>
      <c r="E849" s="150"/>
      <c r="F849" s="151"/>
      <c r="G849" s="150"/>
      <c r="H849" s="150"/>
      <c r="I849" s="150"/>
      <c r="J849" s="137"/>
    </row>
    <row r="850" spans="1:10" ht="25.9" hidden="1">
      <c r="A850" s="1749"/>
      <c r="B850" s="1749"/>
      <c r="C850" s="150"/>
      <c r="D850" s="627"/>
      <c r="E850" s="150"/>
      <c r="F850" s="151"/>
      <c r="G850" s="150"/>
      <c r="H850" s="150"/>
      <c r="I850" s="150"/>
      <c r="J850" s="907"/>
    </row>
    <row r="851" spans="1:10" hidden="1">
      <c r="A851" s="2744" t="s">
        <v>33</v>
      </c>
      <c r="B851" s="2744"/>
      <c r="C851" s="2744"/>
      <c r="D851" s="2744"/>
      <c r="E851" s="2744"/>
      <c r="F851" s="2744"/>
      <c r="G851" s="2744"/>
      <c r="H851" s="2744"/>
      <c r="I851" s="2744"/>
      <c r="J851" s="2744"/>
    </row>
    <row r="852" spans="1:10" hidden="1">
      <c r="A852" s="137" t="s">
        <v>3</v>
      </c>
      <c r="B852" s="1749" t="s">
        <v>4</v>
      </c>
      <c r="C852" s="137" t="s">
        <v>5</v>
      </c>
      <c r="D852" s="137" t="s">
        <v>6</v>
      </c>
      <c r="E852" s="137" t="s">
        <v>7</v>
      </c>
      <c r="F852" s="137" t="s">
        <v>8</v>
      </c>
      <c r="G852" s="137" t="s">
        <v>9</v>
      </c>
      <c r="H852" s="137" t="s">
        <v>10</v>
      </c>
      <c r="I852" s="137" t="s">
        <v>11</v>
      </c>
      <c r="J852" s="137" t="s">
        <v>12</v>
      </c>
    </row>
    <row r="853" spans="1:10" hidden="1">
      <c r="A853" s="541">
        <v>1</v>
      </c>
      <c r="B853" s="2539"/>
      <c r="C853" s="152"/>
      <c r="D853" s="152"/>
      <c r="E853" s="152"/>
      <c r="F853" s="152"/>
      <c r="G853" s="152"/>
      <c r="H853" s="152"/>
      <c r="I853" s="152"/>
      <c r="J853" s="200"/>
    </row>
    <row r="854" spans="1:10" hidden="1">
      <c r="A854" s="541">
        <v>2</v>
      </c>
      <c r="B854" s="2539"/>
      <c r="C854" s="152"/>
      <c r="D854" s="152"/>
      <c r="E854" s="152"/>
      <c r="F854" s="152"/>
      <c r="G854" s="152"/>
      <c r="H854" s="152"/>
      <c r="I854" s="152"/>
      <c r="J854" s="200"/>
    </row>
    <row r="855" spans="1:10" hidden="1">
      <c r="A855" s="583">
        <v>3</v>
      </c>
      <c r="B855" s="2540"/>
      <c r="C855" s="154"/>
      <c r="D855" s="154"/>
      <c r="E855" s="154"/>
      <c r="F855" s="154"/>
      <c r="G855" s="154"/>
      <c r="H855" s="154"/>
      <c r="I855" s="154"/>
      <c r="J855" s="584"/>
    </row>
    <row r="856" spans="1:10" ht="24.6" hidden="1">
      <c r="A856" s="144"/>
      <c r="B856" s="581"/>
      <c r="C856" s="144"/>
      <c r="D856" s="144"/>
      <c r="E856" s="144"/>
      <c r="F856" s="144"/>
      <c r="G856" s="144"/>
      <c r="H856" s="144"/>
      <c r="I856" s="144"/>
      <c r="J856" s="908">
        <f>J853+J854+J855</f>
        <v>0</v>
      </c>
    </row>
    <row r="857" spans="1:10" hidden="1"/>
    <row r="858" spans="1:10" hidden="1"/>
    <row r="859" spans="1:10" hidden="1"/>
    <row r="860" spans="1:10" ht="23.45" hidden="1">
      <c r="A860" s="2749" t="s">
        <v>733</v>
      </c>
      <c r="B860" s="2749"/>
      <c r="C860" s="2749"/>
      <c r="D860" s="2749"/>
      <c r="E860" s="2749"/>
      <c r="F860" s="2749"/>
      <c r="G860" s="2749"/>
      <c r="H860" s="2749"/>
      <c r="I860" s="2749"/>
      <c r="J860" s="2749"/>
    </row>
    <row r="861" spans="1:10" ht="15.6" hidden="1">
      <c r="A861" s="2737" t="s">
        <v>2</v>
      </c>
      <c r="B861" s="2737"/>
      <c r="C861" s="2737"/>
      <c r="D861" s="2737"/>
      <c r="E861" s="2737"/>
      <c r="F861" s="2737"/>
      <c r="G861" s="2737"/>
      <c r="H861" s="2737"/>
      <c r="I861" s="2737"/>
      <c r="J861" s="2737"/>
    </row>
    <row r="862" spans="1:10" hidden="1">
      <c r="A862" s="137" t="s">
        <v>3</v>
      </c>
      <c r="B862" s="1749" t="s">
        <v>4</v>
      </c>
      <c r="C862" s="137" t="s">
        <v>5</v>
      </c>
      <c r="D862" s="137" t="s">
        <v>6</v>
      </c>
      <c r="E862" s="137" t="s">
        <v>7</v>
      </c>
      <c r="F862" s="137" t="s">
        <v>8</v>
      </c>
      <c r="G862" s="137" t="s">
        <v>9</v>
      </c>
      <c r="H862" s="137" t="s">
        <v>10</v>
      </c>
      <c r="I862" s="137" t="s">
        <v>11</v>
      </c>
      <c r="J862" s="137" t="s">
        <v>12</v>
      </c>
    </row>
    <row r="863" spans="1:10" hidden="1">
      <c r="A863" s="137">
        <v>1</v>
      </c>
      <c r="B863" s="1749" t="s">
        <v>581</v>
      </c>
      <c r="C863" s="137" t="s">
        <v>37</v>
      </c>
      <c r="D863" s="137" t="s">
        <v>734</v>
      </c>
      <c r="E863" s="137" t="s">
        <v>735</v>
      </c>
      <c r="F863" s="137">
        <v>850000</v>
      </c>
      <c r="G863" s="137" t="s">
        <v>736</v>
      </c>
      <c r="H863" s="137" t="s">
        <v>36</v>
      </c>
      <c r="I863" s="137" t="s">
        <v>36</v>
      </c>
      <c r="J863" s="137">
        <v>1</v>
      </c>
    </row>
    <row r="864" spans="1:10" hidden="1">
      <c r="A864" s="137">
        <v>2</v>
      </c>
      <c r="B864" s="1749" t="s">
        <v>581</v>
      </c>
      <c r="C864" s="137" t="s">
        <v>37</v>
      </c>
      <c r="D864" s="137" t="s">
        <v>737</v>
      </c>
      <c r="E864" s="137" t="s">
        <v>735</v>
      </c>
      <c r="F864" s="137">
        <v>850000</v>
      </c>
      <c r="G864" s="137" t="s">
        <v>736</v>
      </c>
      <c r="H864" s="137" t="s">
        <v>36</v>
      </c>
      <c r="I864" s="137" t="s">
        <v>36</v>
      </c>
      <c r="J864" s="137">
        <v>1</v>
      </c>
    </row>
    <row r="865" spans="1:10" hidden="1">
      <c r="A865" s="137">
        <v>3</v>
      </c>
      <c r="B865" s="1749" t="s">
        <v>581</v>
      </c>
      <c r="C865" s="137" t="s">
        <v>37</v>
      </c>
      <c r="D865" s="137" t="s">
        <v>738</v>
      </c>
      <c r="E865" s="137" t="s">
        <v>735</v>
      </c>
      <c r="F865" s="137">
        <v>850000</v>
      </c>
      <c r="G865" s="137" t="s">
        <v>736</v>
      </c>
      <c r="H865" s="137" t="s">
        <v>36</v>
      </c>
      <c r="I865" s="137" t="s">
        <v>36</v>
      </c>
      <c r="J865" s="137">
        <v>1</v>
      </c>
    </row>
    <row r="866" spans="1:10" hidden="1">
      <c r="A866" s="137">
        <v>4</v>
      </c>
      <c r="B866" s="1749" t="s">
        <v>563</v>
      </c>
      <c r="C866" s="137" t="s">
        <v>662</v>
      </c>
      <c r="D866" s="137" t="s">
        <v>739</v>
      </c>
      <c r="E866" s="137" t="s">
        <v>740</v>
      </c>
      <c r="F866" s="137">
        <v>2600000</v>
      </c>
      <c r="G866" s="137" t="s">
        <v>168</v>
      </c>
      <c r="H866" s="137" t="s">
        <v>36</v>
      </c>
      <c r="I866" s="137" t="s">
        <v>36</v>
      </c>
      <c r="J866" s="137">
        <v>1</v>
      </c>
    </row>
    <row r="867" spans="1:10" hidden="1">
      <c r="A867" s="137">
        <v>5</v>
      </c>
      <c r="B867" s="1749" t="s">
        <v>741</v>
      </c>
      <c r="C867" s="137" t="s">
        <v>138</v>
      </c>
      <c r="D867" s="137" t="s">
        <v>742</v>
      </c>
      <c r="E867" s="137" t="s">
        <v>735</v>
      </c>
      <c r="F867" s="137">
        <v>750000</v>
      </c>
      <c r="G867" s="137" t="s">
        <v>743</v>
      </c>
      <c r="H867" s="137" t="s">
        <v>271</v>
      </c>
      <c r="I867" s="137" t="s">
        <v>36</v>
      </c>
      <c r="J867" s="137">
        <v>1</v>
      </c>
    </row>
    <row r="868" spans="1:10" hidden="1">
      <c r="A868" s="137">
        <v>6</v>
      </c>
      <c r="B868" s="1749" t="s">
        <v>744</v>
      </c>
      <c r="C868" s="137" t="s">
        <v>138</v>
      </c>
      <c r="D868" s="137" t="s">
        <v>745</v>
      </c>
      <c r="E868" s="137" t="s">
        <v>735</v>
      </c>
      <c r="F868" s="137">
        <v>700000</v>
      </c>
      <c r="G868" s="137" t="s">
        <v>743</v>
      </c>
      <c r="H868" s="137" t="s">
        <v>271</v>
      </c>
      <c r="I868" s="137" t="s">
        <v>36</v>
      </c>
      <c r="J868" s="137">
        <v>1</v>
      </c>
    </row>
    <row r="869" spans="1:10" hidden="1">
      <c r="A869" s="137">
        <v>7</v>
      </c>
      <c r="B869" s="1749" t="s">
        <v>744</v>
      </c>
      <c r="C869" s="137" t="s">
        <v>135</v>
      </c>
      <c r="D869" s="137" t="s">
        <v>746</v>
      </c>
      <c r="E869" s="137" t="s">
        <v>747</v>
      </c>
      <c r="F869" s="137">
        <v>1200000</v>
      </c>
      <c r="G869" s="137" t="s">
        <v>43</v>
      </c>
      <c r="H869" s="137" t="s">
        <v>271</v>
      </c>
      <c r="I869" s="137" t="s">
        <v>36</v>
      </c>
      <c r="J869" s="137">
        <v>1</v>
      </c>
    </row>
    <row r="870" spans="1:10" hidden="1">
      <c r="A870" s="137">
        <v>8</v>
      </c>
      <c r="B870" s="1749"/>
      <c r="C870" s="137"/>
      <c r="D870" s="137"/>
      <c r="E870" s="137"/>
      <c r="F870" s="137"/>
      <c r="G870" s="137"/>
      <c r="H870" s="137"/>
      <c r="I870" s="137"/>
      <c r="J870" s="137"/>
    </row>
    <row r="871" spans="1:10" hidden="1">
      <c r="A871" s="137">
        <v>9</v>
      </c>
      <c r="B871" s="1749"/>
      <c r="C871" s="137"/>
      <c r="D871" s="137"/>
      <c r="E871" s="137"/>
      <c r="F871" s="137"/>
      <c r="G871" s="137"/>
      <c r="H871" s="137"/>
      <c r="I871" s="137"/>
      <c r="J871" s="137"/>
    </row>
    <row r="872" spans="1:10" hidden="1">
      <c r="A872" s="137">
        <v>10</v>
      </c>
      <c r="B872" s="1749"/>
      <c r="C872" s="137"/>
      <c r="D872" s="137"/>
      <c r="E872" s="137"/>
      <c r="F872" s="137"/>
      <c r="G872" s="137"/>
      <c r="H872" s="137"/>
      <c r="I872" s="137"/>
      <c r="J872" s="137"/>
    </row>
    <row r="873" spans="1:10" hidden="1">
      <c r="A873" s="137">
        <v>11</v>
      </c>
      <c r="B873" s="1749"/>
      <c r="C873" s="137"/>
      <c r="D873" s="137"/>
      <c r="E873" s="137"/>
      <c r="F873" s="137"/>
      <c r="G873" s="137"/>
      <c r="H873" s="137"/>
      <c r="I873" s="137"/>
      <c r="J873" s="137"/>
    </row>
    <row r="874" spans="1:10" hidden="1">
      <c r="A874" s="137">
        <v>12</v>
      </c>
      <c r="B874" s="1749"/>
      <c r="C874" s="137"/>
      <c r="D874" s="137"/>
      <c r="E874" s="137"/>
      <c r="F874" s="137"/>
      <c r="G874" s="137"/>
      <c r="H874" s="137"/>
      <c r="I874" s="137"/>
      <c r="J874" s="137"/>
    </row>
    <row r="875" spans="1:10" hidden="1">
      <c r="A875" s="137">
        <v>13</v>
      </c>
      <c r="B875" s="1749"/>
      <c r="C875" s="137"/>
      <c r="D875" s="137"/>
      <c r="E875" s="137"/>
      <c r="F875" s="137"/>
      <c r="G875" s="137"/>
      <c r="H875" s="137"/>
      <c r="I875" s="137"/>
      <c r="J875" s="137"/>
    </row>
    <row r="876" spans="1:10" hidden="1">
      <c r="A876" s="137">
        <v>14</v>
      </c>
      <c r="B876" s="1749"/>
      <c r="C876" s="137"/>
      <c r="D876" s="137"/>
      <c r="E876" s="137"/>
      <c r="F876" s="137"/>
      <c r="G876" s="137"/>
      <c r="H876" s="137"/>
      <c r="I876" s="137"/>
      <c r="J876" s="137"/>
    </row>
    <row r="877" spans="1:10" hidden="1">
      <c r="A877" s="1749">
        <v>15</v>
      </c>
      <c r="B877" s="2538"/>
      <c r="C877" s="150"/>
      <c r="D877" s="627"/>
      <c r="E877" s="150"/>
      <c r="F877" s="151"/>
      <c r="G877" s="150"/>
      <c r="H877" s="150"/>
      <c r="I877" s="150"/>
      <c r="J877" s="137"/>
    </row>
    <row r="878" spans="1:10" hidden="1">
      <c r="A878" s="1749">
        <v>16</v>
      </c>
      <c r="B878" s="2538"/>
      <c r="C878" s="150"/>
      <c r="D878" s="627"/>
      <c r="E878" s="150"/>
      <c r="F878" s="151"/>
      <c r="G878" s="150"/>
      <c r="H878" s="150"/>
      <c r="I878" s="150"/>
      <c r="J878" s="137"/>
    </row>
    <row r="879" spans="1:10" hidden="1">
      <c r="A879" s="1749">
        <v>17</v>
      </c>
      <c r="B879" s="2538"/>
      <c r="C879" s="150"/>
      <c r="D879" s="627"/>
      <c r="E879" s="150"/>
      <c r="F879" s="151"/>
      <c r="G879" s="150"/>
      <c r="H879" s="150"/>
      <c r="I879" s="150"/>
      <c r="J879" s="137"/>
    </row>
    <row r="880" spans="1:10" hidden="1">
      <c r="A880" s="1749">
        <v>18</v>
      </c>
      <c r="B880" s="2538"/>
      <c r="C880" s="150"/>
      <c r="D880" s="627"/>
      <c r="E880" s="150"/>
      <c r="F880" s="151"/>
      <c r="G880" s="150"/>
      <c r="H880" s="150"/>
      <c r="I880" s="150"/>
      <c r="J880" s="137"/>
    </row>
    <row r="881" spans="1:10" hidden="1">
      <c r="A881" s="1749">
        <v>19</v>
      </c>
      <c r="B881" s="1749"/>
      <c r="C881" s="150"/>
      <c r="D881" s="627"/>
      <c r="E881" s="150"/>
      <c r="F881" s="151"/>
      <c r="G881" s="150"/>
      <c r="H881" s="150"/>
      <c r="I881" s="150"/>
      <c r="J881" s="137"/>
    </row>
    <row r="882" spans="1:10" hidden="1">
      <c r="A882" s="1749">
        <v>20</v>
      </c>
      <c r="B882" s="1749"/>
      <c r="C882" s="150"/>
      <c r="D882" s="627"/>
      <c r="E882" s="150"/>
      <c r="F882" s="151"/>
      <c r="G882" s="150"/>
      <c r="H882" s="150"/>
      <c r="I882" s="150"/>
      <c r="J882" s="137"/>
    </row>
    <row r="883" spans="1:10" ht="25.9" hidden="1">
      <c r="A883" s="1749"/>
      <c r="B883" s="1749"/>
      <c r="C883" s="150"/>
      <c r="D883" s="627"/>
      <c r="E883" s="150"/>
      <c r="F883" s="151"/>
      <c r="G883" s="150"/>
      <c r="H883" s="150"/>
      <c r="I883" s="150"/>
      <c r="J883" s="907">
        <f>SUM(J863:J869)</f>
        <v>7</v>
      </c>
    </row>
    <row r="884" spans="1:10" hidden="1">
      <c r="A884" s="2744" t="s">
        <v>33</v>
      </c>
      <c r="B884" s="2744"/>
      <c r="C884" s="2744"/>
      <c r="D884" s="2744"/>
      <c r="E884" s="2744"/>
      <c r="F884" s="2744"/>
      <c r="G884" s="2744"/>
      <c r="H884" s="2744"/>
      <c r="I884" s="2744"/>
      <c r="J884" s="2744"/>
    </row>
    <row r="885" spans="1:10" hidden="1">
      <c r="A885" s="137" t="s">
        <v>3</v>
      </c>
      <c r="B885" s="1749" t="s">
        <v>4</v>
      </c>
      <c r="C885" s="137" t="s">
        <v>5</v>
      </c>
      <c r="D885" s="137" t="s">
        <v>6</v>
      </c>
      <c r="E885" s="137" t="s">
        <v>7</v>
      </c>
      <c r="F885" s="137" t="s">
        <v>8</v>
      </c>
      <c r="G885" s="137" t="s">
        <v>9</v>
      </c>
      <c r="H885" s="137" t="s">
        <v>10</v>
      </c>
      <c r="I885" s="137" t="s">
        <v>11</v>
      </c>
      <c r="J885" s="137" t="s">
        <v>12</v>
      </c>
    </row>
    <row r="886" spans="1:10" hidden="1">
      <c r="A886" s="541">
        <v>1</v>
      </c>
      <c r="B886" s="2539"/>
      <c r="C886" s="152"/>
      <c r="D886" s="152"/>
      <c r="E886" s="152"/>
      <c r="F886" s="152"/>
      <c r="G886" s="152"/>
      <c r="H886" s="152"/>
      <c r="I886" s="152"/>
      <c r="J886" s="200"/>
    </row>
    <row r="887" spans="1:10" hidden="1">
      <c r="A887" s="541">
        <v>2</v>
      </c>
      <c r="B887" s="2539"/>
      <c r="C887" s="152"/>
      <c r="D887" s="152"/>
      <c r="E887" s="152"/>
      <c r="F887" s="152"/>
      <c r="G887" s="152"/>
      <c r="H887" s="152"/>
      <c r="I887" s="152"/>
      <c r="J887" s="200"/>
    </row>
    <row r="888" spans="1:10" hidden="1">
      <c r="A888" s="583">
        <v>3</v>
      </c>
      <c r="B888" s="2540"/>
      <c r="C888" s="154"/>
      <c r="D888" s="154"/>
      <c r="E888" s="154"/>
      <c r="F888" s="154"/>
      <c r="G888" s="154"/>
      <c r="H888" s="154"/>
      <c r="I888" s="154"/>
      <c r="J888" s="584"/>
    </row>
    <row r="889" spans="1:10" ht="24.6" hidden="1">
      <c r="A889" s="144"/>
      <c r="B889" s="581"/>
      <c r="C889" s="144"/>
      <c r="D889" s="144"/>
      <c r="E889" s="144"/>
      <c r="F889" s="144"/>
      <c r="G889" s="144"/>
      <c r="H889" s="144"/>
      <c r="I889" s="144"/>
      <c r="J889" s="908">
        <f>J886+J887+J888</f>
        <v>0</v>
      </c>
    </row>
    <row r="890" spans="1:10" hidden="1"/>
    <row r="891" spans="1:10" hidden="1"/>
    <row r="892" spans="1:10" hidden="1"/>
    <row r="893" spans="1:10" ht="23.45" hidden="1">
      <c r="A893" s="2749" t="s">
        <v>748</v>
      </c>
      <c r="B893" s="2749"/>
      <c r="C893" s="2749"/>
      <c r="D893" s="2749"/>
      <c r="E893" s="2749"/>
      <c r="F893" s="2749"/>
      <c r="G893" s="2749"/>
      <c r="H893" s="2749"/>
      <c r="I893" s="2749"/>
      <c r="J893" s="2749"/>
    </row>
    <row r="894" spans="1:10" ht="15.6" hidden="1">
      <c r="A894" s="2737" t="s">
        <v>2</v>
      </c>
      <c r="B894" s="2737"/>
      <c r="C894" s="2737"/>
      <c r="D894" s="2737"/>
      <c r="E894" s="2737"/>
      <c r="F894" s="2737"/>
      <c r="G894" s="2737"/>
      <c r="H894" s="2737"/>
      <c r="I894" s="2737"/>
      <c r="J894" s="2737"/>
    </row>
    <row r="895" spans="1:10" hidden="1">
      <c r="A895" s="137" t="s">
        <v>3</v>
      </c>
      <c r="B895" s="1749" t="s">
        <v>4</v>
      </c>
      <c r="C895" s="137" t="s">
        <v>5</v>
      </c>
      <c r="D895" s="137" t="s">
        <v>6</v>
      </c>
      <c r="E895" s="137" t="s">
        <v>7</v>
      </c>
      <c r="F895" s="137" t="s">
        <v>8</v>
      </c>
      <c r="G895" s="137" t="s">
        <v>9</v>
      </c>
      <c r="H895" s="137" t="s">
        <v>10</v>
      </c>
      <c r="I895" s="137" t="s">
        <v>11</v>
      </c>
      <c r="J895" s="137" t="s">
        <v>12</v>
      </c>
    </row>
    <row r="896" spans="1:10" hidden="1">
      <c r="A896" s="137">
        <v>1</v>
      </c>
      <c r="B896" s="1749" t="s">
        <v>661</v>
      </c>
      <c r="C896" s="137" t="s">
        <v>37</v>
      </c>
      <c r="D896" s="628" t="s">
        <v>749</v>
      </c>
      <c r="E896" s="137" t="s">
        <v>750</v>
      </c>
      <c r="F896" s="137">
        <v>1050000</v>
      </c>
      <c r="G896" s="137" t="s">
        <v>751</v>
      </c>
      <c r="H896" s="137" t="s">
        <v>36</v>
      </c>
      <c r="I896" s="137" t="s">
        <v>36</v>
      </c>
      <c r="J896" s="137">
        <v>1</v>
      </c>
    </row>
    <row r="897" spans="1:10" hidden="1">
      <c r="A897" s="137">
        <v>2</v>
      </c>
      <c r="B897" s="1749" t="s">
        <v>570</v>
      </c>
      <c r="C897" s="137" t="s">
        <v>37</v>
      </c>
      <c r="D897" s="628" t="s">
        <v>752</v>
      </c>
      <c r="E897" s="137" t="s">
        <v>450</v>
      </c>
      <c r="F897" s="137">
        <v>1150000</v>
      </c>
      <c r="G897" s="137" t="s">
        <v>753</v>
      </c>
      <c r="H897" s="137" t="s">
        <v>36</v>
      </c>
      <c r="I897" s="137" t="s">
        <v>36</v>
      </c>
      <c r="J897" s="137">
        <v>1</v>
      </c>
    </row>
    <row r="898" spans="1:10" hidden="1">
      <c r="A898" s="137">
        <v>3</v>
      </c>
      <c r="B898" s="1749" t="s">
        <v>570</v>
      </c>
      <c r="C898" s="137" t="s">
        <v>74</v>
      </c>
      <c r="D898" s="628" t="s">
        <v>754</v>
      </c>
      <c r="E898" s="137" t="s">
        <v>669</v>
      </c>
      <c r="F898" s="137">
        <v>1200000</v>
      </c>
      <c r="G898" s="137" t="s">
        <v>43</v>
      </c>
      <c r="H898" s="137" t="s">
        <v>36</v>
      </c>
      <c r="I898" s="137" t="s">
        <v>36</v>
      </c>
      <c r="J898" s="137">
        <v>1</v>
      </c>
    </row>
    <row r="899" spans="1:10" hidden="1">
      <c r="A899" s="137">
        <v>4</v>
      </c>
      <c r="B899" s="1749" t="s">
        <v>755</v>
      </c>
      <c r="C899" s="137" t="s">
        <v>74</v>
      </c>
      <c r="D899" s="628" t="s">
        <v>756</v>
      </c>
      <c r="E899" s="137" t="s">
        <v>757</v>
      </c>
      <c r="F899" s="137">
        <v>1300000</v>
      </c>
      <c r="G899" s="137" t="s">
        <v>43</v>
      </c>
      <c r="H899" s="137" t="s">
        <v>36</v>
      </c>
      <c r="I899" s="137" t="s">
        <v>36</v>
      </c>
      <c r="J899" s="137">
        <v>1</v>
      </c>
    </row>
    <row r="900" spans="1:10" hidden="1">
      <c r="A900" s="137">
        <v>5</v>
      </c>
      <c r="B900" s="1749" t="s">
        <v>574</v>
      </c>
      <c r="C900" s="137" t="s">
        <v>135</v>
      </c>
      <c r="D900" s="628" t="s">
        <v>758</v>
      </c>
      <c r="E900" s="137" t="s">
        <v>759</v>
      </c>
      <c r="F900" s="137">
        <v>700000</v>
      </c>
      <c r="G900" s="137" t="s">
        <v>43</v>
      </c>
      <c r="H900" s="137" t="s">
        <v>271</v>
      </c>
      <c r="I900" s="137" t="s">
        <v>36</v>
      </c>
      <c r="J900" s="137">
        <v>1</v>
      </c>
    </row>
    <row r="901" spans="1:10" hidden="1">
      <c r="A901" s="137">
        <v>6</v>
      </c>
      <c r="B901" s="1749" t="s">
        <v>700</v>
      </c>
      <c r="C901" s="137" t="s">
        <v>138</v>
      </c>
      <c r="D901" s="628" t="s">
        <v>760</v>
      </c>
      <c r="E901" s="137" t="s">
        <v>450</v>
      </c>
      <c r="F901" s="137">
        <v>1100000</v>
      </c>
      <c r="G901" s="137" t="s">
        <v>761</v>
      </c>
      <c r="H901" s="137" t="s">
        <v>271</v>
      </c>
      <c r="I901" s="137" t="s">
        <v>36</v>
      </c>
      <c r="J901" s="137">
        <v>1</v>
      </c>
    </row>
    <row r="902" spans="1:10" hidden="1">
      <c r="A902" s="137">
        <v>7</v>
      </c>
      <c r="B902" s="1749" t="s">
        <v>700</v>
      </c>
      <c r="C902" s="137" t="s">
        <v>138</v>
      </c>
      <c r="D902" s="628" t="s">
        <v>762</v>
      </c>
      <c r="E902" s="137" t="s">
        <v>602</v>
      </c>
      <c r="F902" s="137">
        <v>1650000</v>
      </c>
      <c r="G902" s="137" t="s">
        <v>43</v>
      </c>
      <c r="H902" s="137" t="s">
        <v>271</v>
      </c>
      <c r="I902" s="137" t="s">
        <v>36</v>
      </c>
      <c r="J902" s="137">
        <v>1</v>
      </c>
    </row>
    <row r="903" spans="1:10" hidden="1">
      <c r="A903" s="137">
        <v>8</v>
      </c>
      <c r="B903" s="1749" t="s">
        <v>709</v>
      </c>
      <c r="C903" s="137" t="s">
        <v>138</v>
      </c>
      <c r="D903" s="628" t="s">
        <v>763</v>
      </c>
      <c r="E903" s="137" t="s">
        <v>750</v>
      </c>
      <c r="F903" s="137">
        <v>1100000</v>
      </c>
      <c r="G903" s="137" t="s">
        <v>751</v>
      </c>
      <c r="H903" s="137" t="s">
        <v>271</v>
      </c>
      <c r="I903" s="137" t="s">
        <v>36</v>
      </c>
      <c r="J903" s="137">
        <v>1</v>
      </c>
    </row>
    <row r="904" spans="1:10" hidden="1">
      <c r="A904" s="137">
        <v>9</v>
      </c>
      <c r="B904" s="1749" t="s">
        <v>764</v>
      </c>
      <c r="C904" s="137" t="s">
        <v>138</v>
      </c>
      <c r="D904" s="137" t="s">
        <v>765</v>
      </c>
      <c r="E904" s="137" t="s">
        <v>766</v>
      </c>
      <c r="F904" s="137">
        <v>1150000</v>
      </c>
      <c r="G904" s="137" t="s">
        <v>43</v>
      </c>
      <c r="H904" s="137" t="s">
        <v>271</v>
      </c>
      <c r="I904" s="137" t="s">
        <v>36</v>
      </c>
      <c r="J904" s="137">
        <v>1</v>
      </c>
    </row>
    <row r="905" spans="1:10" hidden="1">
      <c r="A905" s="137">
        <v>10</v>
      </c>
      <c r="B905" s="1749" t="s">
        <v>709</v>
      </c>
      <c r="C905" s="137" t="s">
        <v>138</v>
      </c>
      <c r="D905" s="137" t="s">
        <v>767</v>
      </c>
      <c r="E905" s="137" t="s">
        <v>768</v>
      </c>
      <c r="F905" s="137">
        <v>850000</v>
      </c>
      <c r="G905" s="137" t="s">
        <v>43</v>
      </c>
      <c r="H905" s="137" t="s">
        <v>271</v>
      </c>
      <c r="I905" s="137" t="s">
        <v>36</v>
      </c>
      <c r="J905" s="137">
        <v>1</v>
      </c>
    </row>
    <row r="906" spans="1:10" hidden="1">
      <c r="A906" s="137">
        <v>11</v>
      </c>
      <c r="B906" s="1749" t="s">
        <v>769</v>
      </c>
      <c r="C906" s="137" t="s">
        <v>138</v>
      </c>
      <c r="D906" s="137" t="s">
        <v>770</v>
      </c>
      <c r="E906" s="137" t="s">
        <v>771</v>
      </c>
      <c r="F906" s="137">
        <v>1000000</v>
      </c>
      <c r="G906" s="137" t="s">
        <v>642</v>
      </c>
      <c r="H906" s="137" t="s">
        <v>271</v>
      </c>
      <c r="I906" s="137" t="s">
        <v>36</v>
      </c>
      <c r="J906" s="137">
        <v>1</v>
      </c>
    </row>
    <row r="907" spans="1:10" hidden="1">
      <c r="A907" s="137">
        <v>12</v>
      </c>
      <c r="B907" s="1749" t="s">
        <v>769</v>
      </c>
      <c r="C907" s="137" t="s">
        <v>135</v>
      </c>
      <c r="D907" s="137" t="s">
        <v>772</v>
      </c>
      <c r="E907" s="137" t="s">
        <v>771</v>
      </c>
      <c r="F907" s="137">
        <v>800000</v>
      </c>
      <c r="G907" s="137" t="s">
        <v>43</v>
      </c>
      <c r="H907" s="137" t="s">
        <v>271</v>
      </c>
      <c r="I907" s="137" t="s">
        <v>36</v>
      </c>
      <c r="J907" s="137">
        <v>1</v>
      </c>
    </row>
    <row r="908" spans="1:10" hidden="1">
      <c r="A908" s="137">
        <v>13</v>
      </c>
      <c r="B908" s="1749" t="s">
        <v>769</v>
      </c>
      <c r="C908" s="137" t="s">
        <v>138</v>
      </c>
      <c r="D908" s="137" t="s">
        <v>773</v>
      </c>
      <c r="E908" s="137" t="s">
        <v>588</v>
      </c>
      <c r="F908" s="137">
        <v>1200000</v>
      </c>
      <c r="G908" s="137" t="s">
        <v>235</v>
      </c>
      <c r="H908" s="137" t="s">
        <v>271</v>
      </c>
      <c r="I908" s="137" t="s">
        <v>36</v>
      </c>
      <c r="J908" s="137">
        <v>1</v>
      </c>
    </row>
    <row r="909" spans="1:10" hidden="1">
      <c r="A909" s="137">
        <v>14</v>
      </c>
      <c r="B909" s="1749"/>
      <c r="C909" s="137"/>
      <c r="D909" s="137"/>
      <c r="E909" s="137"/>
      <c r="F909" s="137"/>
      <c r="G909" s="137"/>
      <c r="H909" s="137"/>
      <c r="I909" s="137"/>
      <c r="J909" s="137"/>
    </row>
    <row r="910" spans="1:10" hidden="1">
      <c r="A910" s="1749">
        <v>15</v>
      </c>
      <c r="B910" s="2538"/>
      <c r="C910" s="150"/>
      <c r="D910" s="627"/>
      <c r="E910" s="150"/>
      <c r="F910" s="151"/>
      <c r="G910" s="150"/>
      <c r="H910" s="150"/>
      <c r="I910" s="150"/>
      <c r="J910" s="137"/>
    </row>
    <row r="911" spans="1:10" hidden="1">
      <c r="A911" s="1749">
        <v>16</v>
      </c>
      <c r="B911" s="2538"/>
      <c r="C911" s="150"/>
      <c r="D911" s="627"/>
      <c r="E911" s="150"/>
      <c r="F911" s="151"/>
      <c r="G911" s="150"/>
      <c r="H911" s="150"/>
      <c r="I911" s="150"/>
      <c r="J911" s="137"/>
    </row>
    <row r="912" spans="1:10" hidden="1">
      <c r="A912" s="1749">
        <v>17</v>
      </c>
      <c r="B912" s="2538"/>
      <c r="C912" s="150"/>
      <c r="D912" s="627"/>
      <c r="E912" s="150"/>
      <c r="F912" s="151"/>
      <c r="G912" s="150"/>
      <c r="H912" s="150"/>
      <c r="I912" s="150"/>
      <c r="J912" s="137"/>
    </row>
    <row r="913" spans="1:10" hidden="1">
      <c r="A913" s="1749">
        <v>18</v>
      </c>
      <c r="B913" s="2538"/>
      <c r="C913" s="150"/>
      <c r="D913" s="627"/>
      <c r="E913" s="150"/>
      <c r="F913" s="151"/>
      <c r="G913" s="150"/>
      <c r="H913" s="150"/>
      <c r="I913" s="150"/>
      <c r="J913" s="137"/>
    </row>
    <row r="914" spans="1:10" hidden="1">
      <c r="A914" s="1749">
        <v>19</v>
      </c>
      <c r="B914" s="1749"/>
      <c r="C914" s="150"/>
      <c r="D914" s="627"/>
      <c r="E914" s="150"/>
      <c r="F914" s="151"/>
      <c r="G914" s="150"/>
      <c r="H914" s="150"/>
      <c r="I914" s="150"/>
      <c r="J914" s="137"/>
    </row>
    <row r="915" spans="1:10" hidden="1">
      <c r="A915" s="1749">
        <v>20</v>
      </c>
      <c r="B915" s="1749"/>
      <c r="C915" s="150"/>
      <c r="D915" s="627"/>
      <c r="E915" s="150"/>
      <c r="F915" s="151"/>
      <c r="G915" s="150"/>
      <c r="H915" s="150"/>
      <c r="I915" s="150"/>
      <c r="J915" s="137"/>
    </row>
    <row r="916" spans="1:10" ht="25.9" hidden="1">
      <c r="A916" s="1749"/>
      <c r="B916" s="1749"/>
      <c r="C916" s="150"/>
      <c r="D916" s="627"/>
      <c r="E916" s="150"/>
      <c r="F916" s="151"/>
      <c r="G916" s="150"/>
      <c r="H916" s="150"/>
      <c r="I916" s="150"/>
      <c r="J916" s="907">
        <f>SUM(J896:K915)</f>
        <v>13</v>
      </c>
    </row>
    <row r="917" spans="1:10" hidden="1">
      <c r="A917" s="2744" t="s">
        <v>33</v>
      </c>
      <c r="B917" s="2744"/>
      <c r="C917" s="2744"/>
      <c r="D917" s="2744"/>
      <c r="E917" s="2744"/>
      <c r="F917" s="2744"/>
      <c r="G917" s="2744"/>
      <c r="H917" s="2744"/>
      <c r="I917" s="2744"/>
      <c r="J917" s="2744"/>
    </row>
    <row r="918" spans="1:10" hidden="1">
      <c r="A918" s="137" t="s">
        <v>3</v>
      </c>
      <c r="B918" s="1749" t="s">
        <v>4</v>
      </c>
      <c r="C918" s="137" t="s">
        <v>5</v>
      </c>
      <c r="D918" s="137" t="s">
        <v>6</v>
      </c>
      <c r="E918" s="137" t="s">
        <v>7</v>
      </c>
      <c r="F918" s="137" t="s">
        <v>8</v>
      </c>
      <c r="G918" s="137" t="s">
        <v>9</v>
      </c>
      <c r="H918" s="137" t="s">
        <v>10</v>
      </c>
      <c r="I918" s="137" t="s">
        <v>11</v>
      </c>
      <c r="J918" s="137" t="s">
        <v>12</v>
      </c>
    </row>
    <row r="919" spans="1:10" hidden="1">
      <c r="A919" s="541">
        <v>1</v>
      </c>
      <c r="B919" s="2539" t="s">
        <v>769</v>
      </c>
      <c r="C919" s="152" t="s">
        <v>135</v>
      </c>
      <c r="D919" s="152" t="s">
        <v>774</v>
      </c>
      <c r="E919" s="152" t="s">
        <v>775</v>
      </c>
      <c r="F919" s="152">
        <v>230000000</v>
      </c>
      <c r="G919" s="152" t="s">
        <v>43</v>
      </c>
      <c r="H919" s="152" t="s">
        <v>271</v>
      </c>
      <c r="I919" s="152" t="s">
        <v>36</v>
      </c>
      <c r="J919" s="200">
        <v>1</v>
      </c>
    </row>
    <row r="920" spans="1:10" hidden="1">
      <c r="A920" s="541">
        <v>2</v>
      </c>
      <c r="B920" s="2539" t="s">
        <v>700</v>
      </c>
      <c r="C920" s="152" t="s">
        <v>138</v>
      </c>
      <c r="D920" s="152" t="s">
        <v>776</v>
      </c>
      <c r="E920" s="152" t="s">
        <v>78</v>
      </c>
      <c r="F920" s="152">
        <v>230000000</v>
      </c>
      <c r="G920" s="152" t="s">
        <v>43</v>
      </c>
      <c r="H920" s="152" t="s">
        <v>271</v>
      </c>
      <c r="I920" s="152" t="s">
        <v>36</v>
      </c>
      <c r="J920" s="200">
        <v>1</v>
      </c>
    </row>
    <row r="921" spans="1:10" hidden="1">
      <c r="A921" s="583">
        <v>3</v>
      </c>
      <c r="B921" s="2540" t="s">
        <v>709</v>
      </c>
      <c r="C921" s="154" t="s">
        <v>138</v>
      </c>
      <c r="D921" s="154" t="s">
        <v>777</v>
      </c>
      <c r="E921" s="154" t="s">
        <v>778</v>
      </c>
      <c r="F921" s="154">
        <v>260000000</v>
      </c>
      <c r="G921" s="154" t="s">
        <v>43</v>
      </c>
      <c r="H921" s="154" t="s">
        <v>271</v>
      </c>
      <c r="I921" s="154" t="s">
        <v>36</v>
      </c>
      <c r="J921" s="584">
        <v>1</v>
      </c>
    </row>
    <row r="922" spans="1:10" hidden="1">
      <c r="A922" s="581">
        <v>4</v>
      </c>
      <c r="B922" s="2541" t="s">
        <v>769</v>
      </c>
      <c r="C922" s="156" t="s">
        <v>138</v>
      </c>
      <c r="D922" s="156" t="s">
        <v>779</v>
      </c>
      <c r="E922" s="156" t="s">
        <v>780</v>
      </c>
      <c r="F922" s="156">
        <v>160000000</v>
      </c>
      <c r="G922" s="156" t="s">
        <v>642</v>
      </c>
      <c r="H922" s="156" t="s">
        <v>271</v>
      </c>
      <c r="I922" s="156" t="s">
        <v>36</v>
      </c>
      <c r="J922" s="144">
        <v>1</v>
      </c>
    </row>
    <row r="923" spans="1:10" ht="24.6" hidden="1">
      <c r="A923" s="860"/>
      <c r="B923" s="895"/>
      <c r="C923" s="860"/>
      <c r="D923" s="860"/>
      <c r="E923" s="860"/>
      <c r="F923" s="860"/>
      <c r="G923" s="860"/>
      <c r="H923" s="860"/>
      <c r="I923" s="860"/>
      <c r="J923" s="906">
        <f>J919+J920+J921+J922</f>
        <v>4</v>
      </c>
    </row>
    <row r="924" spans="1:10" hidden="1"/>
    <row r="925" spans="1:10" hidden="1"/>
    <row r="926" spans="1:10" hidden="1"/>
    <row r="927" spans="1:10" hidden="1">
      <c r="A927" s="2750" t="s">
        <v>781</v>
      </c>
      <c r="B927" s="2751"/>
      <c r="C927" s="2751"/>
      <c r="D927" s="2751"/>
      <c r="E927" s="2751"/>
      <c r="F927" s="2751"/>
      <c r="G927" s="2751"/>
      <c r="H927" s="2751"/>
      <c r="I927" s="2751"/>
      <c r="J927" s="2751"/>
    </row>
    <row r="928" spans="1:10" hidden="1">
      <c r="A928" s="2751"/>
      <c r="B928" s="2751"/>
      <c r="C928" s="2751"/>
      <c r="D928" s="2751"/>
      <c r="E928" s="2751"/>
      <c r="F928" s="2751"/>
      <c r="G928" s="2751"/>
      <c r="H928" s="2751"/>
      <c r="I928" s="2751"/>
      <c r="J928" s="2751"/>
    </row>
    <row r="929" spans="1:10" ht="46.15" hidden="1">
      <c r="B929" s="136"/>
      <c r="C929" s="136"/>
      <c r="D929" s="136"/>
      <c r="E929" s="136"/>
      <c r="F929" s="136"/>
      <c r="G929" s="136"/>
      <c r="H929" s="136"/>
      <c r="I929" s="136"/>
      <c r="J929" s="136"/>
    </row>
    <row r="930" spans="1:10" ht="23.45" hidden="1">
      <c r="A930" s="2746" t="s">
        <v>527</v>
      </c>
      <c r="B930" s="2746"/>
      <c r="C930" s="2746"/>
      <c r="D930" s="2746"/>
      <c r="E930" s="2746"/>
      <c r="F930" s="2746"/>
      <c r="G930" s="2746"/>
      <c r="H930" s="2746"/>
      <c r="I930" s="2746"/>
      <c r="J930" s="2746"/>
    </row>
    <row r="931" spans="1:10" ht="15.6" hidden="1">
      <c r="A931" s="2737" t="s">
        <v>2</v>
      </c>
      <c r="B931" s="2737"/>
      <c r="C931" s="2737"/>
      <c r="D931" s="2737"/>
      <c r="E931" s="2737"/>
      <c r="F931" s="2737"/>
      <c r="G931" s="2737"/>
      <c r="H931" s="2737"/>
      <c r="I931" s="2737"/>
      <c r="J931" s="2737"/>
    </row>
    <row r="932" spans="1:10" hidden="1">
      <c r="A932" s="137" t="s">
        <v>3</v>
      </c>
      <c r="B932" s="1749" t="s">
        <v>4</v>
      </c>
      <c r="C932" s="137" t="s">
        <v>5</v>
      </c>
      <c r="D932" s="137" t="s">
        <v>6</v>
      </c>
      <c r="E932" s="137" t="s">
        <v>7</v>
      </c>
      <c r="F932" s="137" t="s">
        <v>8</v>
      </c>
      <c r="G932" s="137" t="s">
        <v>9</v>
      </c>
      <c r="H932" s="137" t="s">
        <v>10</v>
      </c>
      <c r="I932" s="137" t="s">
        <v>11</v>
      </c>
      <c r="J932" s="137" t="s">
        <v>12</v>
      </c>
    </row>
    <row r="933" spans="1:10" hidden="1">
      <c r="A933" s="137">
        <v>1</v>
      </c>
      <c r="B933" s="1749" t="s">
        <v>782</v>
      </c>
      <c r="C933" s="137" t="s">
        <v>138</v>
      </c>
      <c r="D933" s="628" t="s">
        <v>783</v>
      </c>
      <c r="E933" s="137" t="s">
        <v>784</v>
      </c>
      <c r="F933" s="137">
        <v>850000</v>
      </c>
      <c r="G933" s="137" t="s">
        <v>785</v>
      </c>
      <c r="H933" s="137" t="s">
        <v>271</v>
      </c>
      <c r="I933" s="137" t="s">
        <v>36</v>
      </c>
      <c r="J933" s="137">
        <v>1</v>
      </c>
    </row>
    <row r="934" spans="1:10" hidden="1">
      <c r="A934" s="137">
        <v>2</v>
      </c>
      <c r="B934" s="1749" t="s">
        <v>782</v>
      </c>
      <c r="C934" s="137" t="s">
        <v>138</v>
      </c>
      <c r="D934" s="628" t="s">
        <v>786</v>
      </c>
      <c r="E934" s="137" t="s">
        <v>787</v>
      </c>
      <c r="F934" s="137">
        <v>1300000</v>
      </c>
      <c r="G934" s="137" t="s">
        <v>788</v>
      </c>
      <c r="H934" s="137" t="s">
        <v>271</v>
      </c>
      <c r="I934" s="137" t="s">
        <v>36</v>
      </c>
      <c r="J934" s="137">
        <v>1</v>
      </c>
    </row>
    <row r="935" spans="1:10" hidden="1">
      <c r="A935" s="137">
        <v>3</v>
      </c>
      <c r="B935" s="1749" t="s">
        <v>782</v>
      </c>
      <c r="C935" s="137" t="s">
        <v>138</v>
      </c>
      <c r="D935" s="628" t="s">
        <v>789</v>
      </c>
      <c r="E935" s="137" t="s">
        <v>784</v>
      </c>
      <c r="F935" s="137">
        <v>1000000</v>
      </c>
      <c r="G935" s="137" t="s">
        <v>790</v>
      </c>
      <c r="H935" s="137" t="s">
        <v>271</v>
      </c>
      <c r="I935" s="137" t="s">
        <v>36</v>
      </c>
      <c r="J935" s="137">
        <v>1</v>
      </c>
    </row>
    <row r="936" spans="1:10" hidden="1">
      <c r="A936" s="137">
        <v>4</v>
      </c>
      <c r="B936" s="1749" t="s">
        <v>647</v>
      </c>
      <c r="C936" s="137" t="s">
        <v>138</v>
      </c>
      <c r="D936" s="628" t="s">
        <v>791</v>
      </c>
      <c r="E936" s="137" t="s">
        <v>787</v>
      </c>
      <c r="F936" s="137">
        <v>1300000</v>
      </c>
      <c r="G936" s="137" t="s">
        <v>792</v>
      </c>
      <c r="H936" s="137" t="s">
        <v>271</v>
      </c>
      <c r="I936" s="137" t="s">
        <v>36</v>
      </c>
      <c r="J936" s="137">
        <v>1</v>
      </c>
    </row>
    <row r="937" spans="1:10" hidden="1">
      <c r="A937" s="137">
        <v>5</v>
      </c>
      <c r="B937" s="1749" t="s">
        <v>782</v>
      </c>
      <c r="C937" s="137" t="s">
        <v>138</v>
      </c>
      <c r="D937" s="628" t="s">
        <v>793</v>
      </c>
      <c r="E937" s="137" t="s">
        <v>78</v>
      </c>
      <c r="F937" s="137">
        <v>960000</v>
      </c>
      <c r="G937" s="137" t="s">
        <v>794</v>
      </c>
      <c r="H937" s="137" t="s">
        <v>271</v>
      </c>
      <c r="I937" s="137" t="s">
        <v>36</v>
      </c>
      <c r="J937" s="137">
        <v>1</v>
      </c>
    </row>
    <row r="938" spans="1:10" hidden="1">
      <c r="A938" s="137">
        <v>6</v>
      </c>
      <c r="B938" s="1749" t="s">
        <v>782</v>
      </c>
      <c r="C938" s="137" t="s">
        <v>138</v>
      </c>
      <c r="D938" s="628" t="s">
        <v>795</v>
      </c>
      <c r="E938" s="137" t="s">
        <v>787</v>
      </c>
      <c r="F938" s="137">
        <v>1300000</v>
      </c>
      <c r="G938" s="137" t="s">
        <v>796</v>
      </c>
      <c r="H938" s="137" t="s">
        <v>271</v>
      </c>
      <c r="I938" s="137" t="s">
        <v>36</v>
      </c>
      <c r="J938" s="137">
        <v>1</v>
      </c>
    </row>
    <row r="939" spans="1:10" hidden="1">
      <c r="A939" s="137">
        <v>7</v>
      </c>
      <c r="B939" s="1749" t="s">
        <v>797</v>
      </c>
      <c r="C939" s="150" t="s">
        <v>138</v>
      </c>
      <c r="D939" s="627" t="s">
        <v>798</v>
      </c>
      <c r="E939" s="150" t="s">
        <v>78</v>
      </c>
      <c r="F939" s="1196">
        <v>1500000</v>
      </c>
      <c r="G939" s="150" t="s">
        <v>799</v>
      </c>
      <c r="H939" s="150" t="s">
        <v>271</v>
      </c>
      <c r="I939" s="150" t="s">
        <v>36</v>
      </c>
      <c r="J939" s="137">
        <v>1</v>
      </c>
    </row>
    <row r="940" spans="1:10" hidden="1">
      <c r="A940" s="137">
        <v>8</v>
      </c>
      <c r="B940" s="1749" t="s">
        <v>800</v>
      </c>
      <c r="C940" s="137" t="s">
        <v>138</v>
      </c>
      <c r="D940" s="628" t="s">
        <v>801</v>
      </c>
      <c r="E940" s="137" t="s">
        <v>802</v>
      </c>
      <c r="F940" s="137">
        <v>1100000</v>
      </c>
      <c r="G940" s="137" t="s">
        <v>598</v>
      </c>
      <c r="H940" s="137" t="s">
        <v>271</v>
      </c>
      <c r="I940" s="137" t="s">
        <v>36</v>
      </c>
      <c r="J940" s="137">
        <v>1</v>
      </c>
    </row>
    <row r="941" spans="1:10" hidden="1">
      <c r="A941" s="137">
        <v>9</v>
      </c>
      <c r="B941" s="1749" t="s">
        <v>803</v>
      </c>
      <c r="C941" s="137" t="s">
        <v>138</v>
      </c>
      <c r="D941" s="628" t="s">
        <v>804</v>
      </c>
      <c r="E941" s="137" t="s">
        <v>805</v>
      </c>
      <c r="F941" s="137">
        <v>1000000</v>
      </c>
      <c r="G941" s="137" t="s">
        <v>806</v>
      </c>
      <c r="H941" s="137" t="s">
        <v>271</v>
      </c>
      <c r="I941" s="137" t="s">
        <v>36</v>
      </c>
      <c r="J941" s="137">
        <v>1</v>
      </c>
    </row>
    <row r="942" spans="1:10" hidden="1">
      <c r="A942" s="137">
        <v>10</v>
      </c>
      <c r="B942" s="1749" t="s">
        <v>807</v>
      </c>
      <c r="C942" s="137" t="s">
        <v>138</v>
      </c>
      <c r="D942" s="628" t="s">
        <v>808</v>
      </c>
      <c r="E942" s="137" t="s">
        <v>78</v>
      </c>
      <c r="F942" s="137">
        <v>1000000</v>
      </c>
      <c r="G942" s="137" t="s">
        <v>809</v>
      </c>
      <c r="H942" s="137" t="s">
        <v>271</v>
      </c>
      <c r="I942" s="137" t="s">
        <v>36</v>
      </c>
      <c r="J942" s="137">
        <v>1</v>
      </c>
    </row>
    <row r="943" spans="1:10" hidden="1">
      <c r="A943" s="137">
        <v>11</v>
      </c>
      <c r="B943" s="1749" t="s">
        <v>810</v>
      </c>
      <c r="C943" s="137" t="s">
        <v>138</v>
      </c>
      <c r="D943" s="628" t="s">
        <v>811</v>
      </c>
      <c r="E943" s="137" t="s">
        <v>812</v>
      </c>
      <c r="F943" s="137">
        <v>750000</v>
      </c>
      <c r="G943" s="137" t="s">
        <v>43</v>
      </c>
      <c r="H943" s="137" t="s">
        <v>271</v>
      </c>
      <c r="I943" s="137" t="s">
        <v>36</v>
      </c>
      <c r="J943" s="137">
        <v>1</v>
      </c>
    </row>
    <row r="944" spans="1:10" hidden="1">
      <c r="A944" s="137">
        <v>12</v>
      </c>
      <c r="B944" s="1749" t="s">
        <v>813</v>
      </c>
      <c r="C944" s="137" t="s">
        <v>138</v>
      </c>
      <c r="D944" s="628" t="s">
        <v>814</v>
      </c>
      <c r="E944" s="137" t="s">
        <v>78</v>
      </c>
      <c r="F944" s="137">
        <v>1000000</v>
      </c>
      <c r="G944" s="137" t="s">
        <v>815</v>
      </c>
      <c r="H944" s="137" t="s">
        <v>271</v>
      </c>
      <c r="I944" s="137" t="s">
        <v>36</v>
      </c>
      <c r="J944" s="137">
        <v>1</v>
      </c>
    </row>
    <row r="945" spans="1:10" hidden="1">
      <c r="A945" s="137">
        <v>13</v>
      </c>
      <c r="B945" s="1749" t="s">
        <v>816</v>
      </c>
      <c r="C945" s="137" t="s">
        <v>37</v>
      </c>
      <c r="D945" s="628" t="s">
        <v>817</v>
      </c>
      <c r="E945" s="137" t="s">
        <v>78</v>
      </c>
      <c r="F945" s="137">
        <v>1200000</v>
      </c>
      <c r="G945" s="137" t="s">
        <v>794</v>
      </c>
      <c r="H945" s="137" t="s">
        <v>271</v>
      </c>
      <c r="I945" s="137" t="s">
        <v>36</v>
      </c>
      <c r="J945" s="137">
        <v>1</v>
      </c>
    </row>
    <row r="946" spans="1:10" hidden="1">
      <c r="A946" s="137">
        <v>14</v>
      </c>
      <c r="B946" s="1749" t="s">
        <v>818</v>
      </c>
      <c r="C946" s="137" t="s">
        <v>138</v>
      </c>
      <c r="D946" s="628" t="s">
        <v>819</v>
      </c>
      <c r="E946" s="137" t="s">
        <v>78</v>
      </c>
      <c r="F946" s="137">
        <v>1500000</v>
      </c>
      <c r="G946" s="137" t="s">
        <v>820</v>
      </c>
      <c r="H946" s="137" t="s">
        <v>271</v>
      </c>
      <c r="I946" s="137" t="s">
        <v>36</v>
      </c>
      <c r="J946" s="137">
        <v>1</v>
      </c>
    </row>
    <row r="947" spans="1:10" hidden="1">
      <c r="A947" s="1749">
        <v>15</v>
      </c>
      <c r="B947" s="2538" t="s">
        <v>818</v>
      </c>
      <c r="C947" s="150" t="s">
        <v>138</v>
      </c>
      <c r="D947" s="627" t="s">
        <v>821</v>
      </c>
      <c r="E947" s="150" t="s">
        <v>822</v>
      </c>
      <c r="F947" s="1196">
        <v>1100000</v>
      </c>
      <c r="G947" s="150" t="s">
        <v>43</v>
      </c>
      <c r="H947" s="150" t="s">
        <v>271</v>
      </c>
      <c r="I947" s="150" t="s">
        <v>36</v>
      </c>
      <c r="J947" s="137">
        <v>1</v>
      </c>
    </row>
    <row r="948" spans="1:10" hidden="1">
      <c r="A948" s="1749">
        <v>16</v>
      </c>
      <c r="B948" s="2538" t="s">
        <v>818</v>
      </c>
      <c r="C948" s="150" t="s">
        <v>138</v>
      </c>
      <c r="D948" s="627" t="s">
        <v>823</v>
      </c>
      <c r="E948" s="150" t="s">
        <v>824</v>
      </c>
      <c r="F948" s="1196">
        <v>700000</v>
      </c>
      <c r="G948" s="150" t="s">
        <v>825</v>
      </c>
      <c r="H948" s="150" t="s">
        <v>271</v>
      </c>
      <c r="I948" s="150" t="s">
        <v>36</v>
      </c>
      <c r="J948" s="137">
        <v>1</v>
      </c>
    </row>
    <row r="949" spans="1:10" hidden="1">
      <c r="A949" s="1749">
        <v>17</v>
      </c>
      <c r="B949" s="2538" t="s">
        <v>818</v>
      </c>
      <c r="C949" s="150" t="s">
        <v>138</v>
      </c>
      <c r="D949" s="627" t="s">
        <v>826</v>
      </c>
      <c r="E949" s="150" t="s">
        <v>180</v>
      </c>
      <c r="F949" s="1196">
        <v>1000000</v>
      </c>
      <c r="G949" s="150" t="s">
        <v>235</v>
      </c>
      <c r="H949" s="150" t="s">
        <v>271</v>
      </c>
      <c r="I949" s="150" t="s">
        <v>36</v>
      </c>
      <c r="J949" s="137">
        <v>1</v>
      </c>
    </row>
    <row r="950" spans="1:10" hidden="1">
      <c r="A950" s="1749">
        <v>18</v>
      </c>
      <c r="B950" s="2538" t="s">
        <v>818</v>
      </c>
      <c r="C950" s="150" t="s">
        <v>138</v>
      </c>
      <c r="D950" s="627" t="s">
        <v>827</v>
      </c>
      <c r="E950" s="150" t="s">
        <v>828</v>
      </c>
      <c r="F950" s="1196">
        <v>960000</v>
      </c>
      <c r="G950" s="150" t="s">
        <v>829</v>
      </c>
      <c r="H950" s="150" t="s">
        <v>271</v>
      </c>
      <c r="I950" s="150" t="s">
        <v>36</v>
      </c>
      <c r="J950" s="137">
        <v>1</v>
      </c>
    </row>
    <row r="951" spans="1:10" hidden="1">
      <c r="A951" s="1749">
        <v>19</v>
      </c>
      <c r="B951" s="1749" t="s">
        <v>818</v>
      </c>
      <c r="C951" s="150" t="s">
        <v>138</v>
      </c>
      <c r="D951" s="627" t="s">
        <v>830</v>
      </c>
      <c r="E951" s="150" t="s">
        <v>784</v>
      </c>
      <c r="F951" s="1196">
        <v>960000</v>
      </c>
      <c r="G951" s="150" t="s">
        <v>831</v>
      </c>
      <c r="H951" s="150" t="s">
        <v>271</v>
      </c>
      <c r="I951" s="150" t="s">
        <v>36</v>
      </c>
      <c r="J951" s="137">
        <v>1</v>
      </c>
    </row>
    <row r="952" spans="1:10" hidden="1">
      <c r="A952" s="1749">
        <v>20</v>
      </c>
      <c r="B952" s="1749" t="s">
        <v>832</v>
      </c>
      <c r="C952" s="150" t="s">
        <v>138</v>
      </c>
      <c r="D952" s="627" t="s">
        <v>833</v>
      </c>
      <c r="E952" s="150" t="s">
        <v>78</v>
      </c>
      <c r="F952" s="1196">
        <v>1100000</v>
      </c>
      <c r="G952" s="150" t="s">
        <v>78</v>
      </c>
      <c r="H952" s="150" t="s">
        <v>271</v>
      </c>
      <c r="I952" s="150" t="s">
        <v>36</v>
      </c>
      <c r="J952" s="137">
        <v>1</v>
      </c>
    </row>
    <row r="953" spans="1:10" hidden="1">
      <c r="A953" s="1749">
        <v>21</v>
      </c>
      <c r="B953" s="1749" t="s">
        <v>832</v>
      </c>
      <c r="C953" s="150" t="s">
        <v>138</v>
      </c>
      <c r="D953" s="627" t="s">
        <v>834</v>
      </c>
      <c r="E953" s="150" t="s">
        <v>78</v>
      </c>
      <c r="F953" s="1196">
        <v>1100000</v>
      </c>
      <c r="G953" s="150" t="s">
        <v>794</v>
      </c>
      <c r="H953" s="150" t="s">
        <v>271</v>
      </c>
      <c r="I953" s="150" t="s">
        <v>36</v>
      </c>
      <c r="J953" s="137">
        <v>1</v>
      </c>
    </row>
    <row r="954" spans="1:10" ht="24.6" hidden="1">
      <c r="A954" s="1749"/>
      <c r="B954" s="1749"/>
      <c r="C954" s="150"/>
      <c r="D954" s="627"/>
      <c r="E954" s="150"/>
      <c r="F954" s="151"/>
      <c r="G954" s="150"/>
      <c r="H954" s="150"/>
      <c r="I954" s="150"/>
      <c r="J954" s="905">
        <f>SUM(J933:J953)</f>
        <v>21</v>
      </c>
    </row>
    <row r="955" spans="1:10" hidden="1">
      <c r="A955" s="2744" t="s">
        <v>33</v>
      </c>
      <c r="B955" s="2744"/>
      <c r="C955" s="2744"/>
      <c r="D955" s="2744"/>
      <c r="E955" s="2744"/>
      <c r="F955" s="2744"/>
      <c r="G955" s="2744"/>
      <c r="H955" s="2744"/>
      <c r="I955" s="2744"/>
      <c r="J955" s="2744"/>
    </row>
    <row r="956" spans="1:10" hidden="1">
      <c r="A956" s="137" t="s">
        <v>3</v>
      </c>
      <c r="B956" s="1749" t="s">
        <v>4</v>
      </c>
      <c r="C956" s="137" t="s">
        <v>5</v>
      </c>
      <c r="D956" s="137" t="s">
        <v>6</v>
      </c>
      <c r="E956" s="137" t="s">
        <v>7</v>
      </c>
      <c r="F956" s="137" t="s">
        <v>8</v>
      </c>
      <c r="G956" s="137" t="s">
        <v>9</v>
      </c>
      <c r="H956" s="137" t="s">
        <v>10</v>
      </c>
      <c r="I956" s="137" t="s">
        <v>11</v>
      </c>
      <c r="J956" s="137" t="s">
        <v>12</v>
      </c>
    </row>
    <row r="957" spans="1:10" hidden="1">
      <c r="A957" s="541">
        <v>1</v>
      </c>
      <c r="B957" s="2539" t="s">
        <v>782</v>
      </c>
      <c r="C957" s="152" t="s">
        <v>135</v>
      </c>
      <c r="D957" s="152" t="s">
        <v>835</v>
      </c>
      <c r="E957" s="152" t="s">
        <v>787</v>
      </c>
      <c r="F957" s="152">
        <v>170000000</v>
      </c>
      <c r="G957" s="152" t="s">
        <v>43</v>
      </c>
      <c r="H957" s="152" t="s">
        <v>44</v>
      </c>
      <c r="I957" s="152" t="s">
        <v>36</v>
      </c>
      <c r="J957" s="200">
        <v>1</v>
      </c>
    </row>
    <row r="958" spans="1:10" hidden="1">
      <c r="A958" s="541">
        <v>2</v>
      </c>
      <c r="B958" s="2539" t="s">
        <v>647</v>
      </c>
      <c r="C958" s="152" t="s">
        <v>37</v>
      </c>
      <c r="D958" s="152" t="s">
        <v>836</v>
      </c>
      <c r="E958" s="152" t="s">
        <v>836</v>
      </c>
      <c r="F958" s="152">
        <v>160000000</v>
      </c>
      <c r="G958" s="152" t="s">
        <v>561</v>
      </c>
      <c r="H958" s="152" t="s">
        <v>271</v>
      </c>
      <c r="I958" s="152" t="s">
        <v>36</v>
      </c>
      <c r="J958" s="200">
        <v>1</v>
      </c>
    </row>
    <row r="959" spans="1:10" hidden="1">
      <c r="A959" s="583">
        <v>3</v>
      </c>
      <c r="B959" s="2540" t="s">
        <v>647</v>
      </c>
      <c r="C959" s="154" t="s">
        <v>138</v>
      </c>
      <c r="D959" s="154" t="s">
        <v>837</v>
      </c>
      <c r="E959" s="154" t="s">
        <v>787</v>
      </c>
      <c r="F959" s="154">
        <v>295000000</v>
      </c>
      <c r="G959" s="154" t="s">
        <v>43</v>
      </c>
      <c r="H959" s="154" t="s">
        <v>271</v>
      </c>
      <c r="I959" s="154" t="s">
        <v>36</v>
      </c>
      <c r="J959" s="584">
        <v>1</v>
      </c>
    </row>
    <row r="960" spans="1:10" hidden="1">
      <c r="A960" s="859">
        <v>4</v>
      </c>
      <c r="B960" s="2540" t="s">
        <v>838</v>
      </c>
      <c r="C960" s="154" t="s">
        <v>135</v>
      </c>
      <c r="D960" s="154" t="s">
        <v>839</v>
      </c>
      <c r="E960" s="154" t="s">
        <v>840</v>
      </c>
      <c r="F960" s="154">
        <v>455000000</v>
      </c>
      <c r="G960" s="154" t="s">
        <v>841</v>
      </c>
      <c r="H960" s="154" t="s">
        <v>271</v>
      </c>
      <c r="I960" s="154" t="s">
        <v>36</v>
      </c>
      <c r="J960" s="584">
        <v>1</v>
      </c>
    </row>
    <row r="961" spans="1:10" hidden="1">
      <c r="A961" s="859"/>
      <c r="B961" s="2545"/>
      <c r="C961" s="861"/>
      <c r="D961" s="861"/>
      <c r="E961" s="861"/>
      <c r="F961" s="861"/>
      <c r="G961" s="861"/>
      <c r="H961" s="861"/>
      <c r="I961" s="861"/>
      <c r="J961" s="860"/>
    </row>
    <row r="962" spans="1:10" ht="24.6" hidden="1">
      <c r="A962" s="144"/>
      <c r="B962" s="895"/>
      <c r="C962" s="860"/>
      <c r="D962" s="860"/>
      <c r="E962" s="860"/>
      <c r="F962" s="860"/>
      <c r="G962" s="860"/>
      <c r="H962" s="860"/>
      <c r="I962" s="860"/>
      <c r="J962" s="906">
        <f>J957+J958+J959+J960+J961</f>
        <v>4</v>
      </c>
    </row>
    <row r="963" spans="1:10" hidden="1"/>
    <row r="964" spans="1:10" hidden="1"/>
    <row r="965" spans="1:10" hidden="1"/>
    <row r="966" spans="1:10" ht="23.45" hidden="1">
      <c r="A966" s="2746" t="s">
        <v>582</v>
      </c>
      <c r="B966" s="2746"/>
      <c r="C966" s="2746"/>
      <c r="D966" s="2746"/>
      <c r="E966" s="2746"/>
      <c r="F966" s="2746"/>
      <c r="G966" s="2746"/>
      <c r="H966" s="2746"/>
      <c r="I966" s="2746"/>
      <c r="J966" s="2746"/>
    </row>
    <row r="967" spans="1:10" ht="15.6" hidden="1">
      <c r="A967" s="2737" t="s">
        <v>2</v>
      </c>
      <c r="B967" s="2737"/>
      <c r="C967" s="2737"/>
      <c r="D967" s="2737"/>
      <c r="E967" s="2737"/>
      <c r="F967" s="2737"/>
      <c r="G967" s="2737"/>
      <c r="H967" s="2737"/>
      <c r="I967" s="2737"/>
      <c r="J967" s="2737"/>
    </row>
    <row r="968" spans="1:10" hidden="1">
      <c r="A968" s="137" t="s">
        <v>3</v>
      </c>
      <c r="B968" s="1749" t="s">
        <v>4</v>
      </c>
      <c r="C968" s="137" t="s">
        <v>5</v>
      </c>
      <c r="D968" s="137" t="s">
        <v>6</v>
      </c>
      <c r="E968" s="137" t="s">
        <v>7</v>
      </c>
      <c r="F968" s="137" t="s">
        <v>8</v>
      </c>
      <c r="G968" s="137" t="s">
        <v>9</v>
      </c>
      <c r="H968" s="137" t="s">
        <v>10</v>
      </c>
      <c r="I968" s="137" t="s">
        <v>11</v>
      </c>
      <c r="J968" s="137" t="s">
        <v>12</v>
      </c>
    </row>
    <row r="969" spans="1:10" hidden="1">
      <c r="A969" s="137">
        <v>1</v>
      </c>
      <c r="B969" s="1749" t="s">
        <v>647</v>
      </c>
      <c r="C969" s="137" t="s">
        <v>138</v>
      </c>
      <c r="D969" s="1194" t="s">
        <v>842</v>
      </c>
      <c r="E969" s="137" t="s">
        <v>802</v>
      </c>
      <c r="F969" s="150">
        <v>1300000</v>
      </c>
      <c r="G969" s="137" t="s">
        <v>598</v>
      </c>
      <c r="H969" s="137" t="s">
        <v>271</v>
      </c>
      <c r="I969" s="137" t="s">
        <v>36</v>
      </c>
      <c r="J969" s="137">
        <v>1</v>
      </c>
    </row>
    <row r="970" spans="1:10" hidden="1">
      <c r="A970" s="137">
        <v>2</v>
      </c>
      <c r="B970" s="1749" t="s">
        <v>782</v>
      </c>
      <c r="C970" s="137" t="s">
        <v>138</v>
      </c>
      <c r="D970" s="1194" t="s">
        <v>843</v>
      </c>
      <c r="E970" s="137" t="s">
        <v>802</v>
      </c>
      <c r="F970" s="150">
        <v>1200000</v>
      </c>
      <c r="G970" s="137" t="s">
        <v>598</v>
      </c>
      <c r="H970" s="137" t="s">
        <v>271</v>
      </c>
      <c r="I970" s="137" t="s">
        <v>36</v>
      </c>
      <c r="J970" s="137">
        <v>1</v>
      </c>
    </row>
    <row r="971" spans="1:10" hidden="1">
      <c r="A971" s="137">
        <v>3</v>
      </c>
      <c r="B971" s="1749" t="s">
        <v>782</v>
      </c>
      <c r="C971" s="137" t="s">
        <v>138</v>
      </c>
      <c r="D971" s="1194" t="s">
        <v>844</v>
      </c>
      <c r="E971" s="137" t="s">
        <v>802</v>
      </c>
      <c r="F971" s="150">
        <v>1300000</v>
      </c>
      <c r="G971" s="137" t="s">
        <v>598</v>
      </c>
      <c r="H971" s="137" t="s">
        <v>271</v>
      </c>
      <c r="I971" s="137" t="s">
        <v>36</v>
      </c>
      <c r="J971" s="137">
        <v>1</v>
      </c>
    </row>
    <row r="972" spans="1:10" hidden="1">
      <c r="A972" s="137">
        <v>4</v>
      </c>
      <c r="B972" s="1749" t="s">
        <v>803</v>
      </c>
      <c r="C972" s="137" t="s">
        <v>138</v>
      </c>
      <c r="D972" s="1194" t="s">
        <v>845</v>
      </c>
      <c r="E972" s="137" t="s">
        <v>180</v>
      </c>
      <c r="F972" s="150">
        <v>1200000</v>
      </c>
      <c r="G972" s="137" t="s">
        <v>144</v>
      </c>
      <c r="H972" s="137" t="s">
        <v>271</v>
      </c>
      <c r="I972" s="137" t="s">
        <v>36</v>
      </c>
      <c r="J972" s="137">
        <v>1</v>
      </c>
    </row>
    <row r="973" spans="1:10" hidden="1">
      <c r="A973" s="137">
        <v>5</v>
      </c>
      <c r="B973" s="1749" t="s">
        <v>803</v>
      </c>
      <c r="C973" s="137" t="s">
        <v>138</v>
      </c>
      <c r="D973" s="1194" t="s">
        <v>846</v>
      </c>
      <c r="E973" s="137" t="s">
        <v>180</v>
      </c>
      <c r="F973" s="150">
        <v>1200000</v>
      </c>
      <c r="G973" s="137" t="s">
        <v>144</v>
      </c>
      <c r="H973" s="137" t="s">
        <v>271</v>
      </c>
      <c r="I973" s="137" t="s">
        <v>36</v>
      </c>
      <c r="J973" s="137">
        <v>1</v>
      </c>
    </row>
    <row r="974" spans="1:10" hidden="1">
      <c r="A974" s="137">
        <v>6</v>
      </c>
      <c r="B974" s="1749" t="s">
        <v>803</v>
      </c>
      <c r="C974" s="137" t="s">
        <v>138</v>
      </c>
      <c r="D974" s="1194" t="s">
        <v>847</v>
      </c>
      <c r="E974" s="137" t="s">
        <v>848</v>
      </c>
      <c r="F974" s="150">
        <v>2200000</v>
      </c>
      <c r="G974" s="137" t="s">
        <v>43</v>
      </c>
      <c r="H974" s="137" t="s">
        <v>271</v>
      </c>
      <c r="I974" s="137" t="s">
        <v>36</v>
      </c>
      <c r="J974" s="137">
        <v>1</v>
      </c>
    </row>
    <row r="975" spans="1:10" hidden="1">
      <c r="A975" s="137">
        <v>7</v>
      </c>
      <c r="B975" s="1749" t="s">
        <v>803</v>
      </c>
      <c r="C975" s="137" t="s">
        <v>138</v>
      </c>
      <c r="D975" s="1194" t="s">
        <v>849</v>
      </c>
      <c r="E975" s="137" t="s">
        <v>802</v>
      </c>
      <c r="F975" s="150">
        <v>1300000</v>
      </c>
      <c r="G975" s="137" t="s">
        <v>598</v>
      </c>
      <c r="H975" s="137" t="s">
        <v>271</v>
      </c>
      <c r="I975" s="137" t="s">
        <v>36</v>
      </c>
      <c r="J975" s="137">
        <v>1</v>
      </c>
    </row>
    <row r="976" spans="1:10" hidden="1">
      <c r="A976" s="137">
        <v>8</v>
      </c>
      <c r="B976" s="1749" t="s">
        <v>803</v>
      </c>
      <c r="C976" s="137" t="s">
        <v>138</v>
      </c>
      <c r="D976" s="1194" t="s">
        <v>850</v>
      </c>
      <c r="E976" s="137" t="s">
        <v>180</v>
      </c>
      <c r="F976" s="150">
        <v>1300000</v>
      </c>
      <c r="G976" s="137" t="s">
        <v>144</v>
      </c>
      <c r="H976" s="137" t="s">
        <v>271</v>
      </c>
      <c r="I976" s="137" t="s">
        <v>36</v>
      </c>
      <c r="J976" s="137">
        <v>1</v>
      </c>
    </row>
    <row r="977" spans="1:10" hidden="1">
      <c r="A977" s="137">
        <v>9</v>
      </c>
      <c r="B977" s="1749" t="s">
        <v>803</v>
      </c>
      <c r="C977" s="137" t="s">
        <v>138</v>
      </c>
      <c r="D977" s="1194" t="s">
        <v>851</v>
      </c>
      <c r="E977" s="137" t="s">
        <v>180</v>
      </c>
      <c r="F977" s="150">
        <v>1300000</v>
      </c>
      <c r="G977" s="137" t="s">
        <v>144</v>
      </c>
      <c r="H977" s="137" t="s">
        <v>271</v>
      </c>
      <c r="I977" s="137" t="s">
        <v>36</v>
      </c>
      <c r="J977" s="137">
        <v>1</v>
      </c>
    </row>
    <row r="978" spans="1:10" hidden="1">
      <c r="A978" s="137">
        <v>10</v>
      </c>
      <c r="B978" s="1749" t="s">
        <v>852</v>
      </c>
      <c r="C978" s="137" t="s">
        <v>138</v>
      </c>
      <c r="D978" s="1194" t="s">
        <v>853</v>
      </c>
      <c r="E978" s="137" t="s">
        <v>802</v>
      </c>
      <c r="F978" s="150">
        <v>950000</v>
      </c>
      <c r="G978" s="137" t="s">
        <v>854</v>
      </c>
      <c r="H978" s="137" t="s">
        <v>271</v>
      </c>
      <c r="I978" s="137" t="s">
        <v>36</v>
      </c>
      <c r="J978" s="137">
        <v>1</v>
      </c>
    </row>
    <row r="979" spans="1:10" hidden="1">
      <c r="A979" s="137">
        <v>11</v>
      </c>
      <c r="B979" s="1749" t="s">
        <v>563</v>
      </c>
      <c r="C979" s="137" t="s">
        <v>138</v>
      </c>
      <c r="D979" s="1194" t="s">
        <v>855</v>
      </c>
      <c r="E979" s="137" t="s">
        <v>802</v>
      </c>
      <c r="F979" s="150">
        <v>1300000</v>
      </c>
      <c r="G979" s="137" t="s">
        <v>598</v>
      </c>
      <c r="H979" s="137" t="s">
        <v>271</v>
      </c>
      <c r="I979" s="137" t="s">
        <v>36</v>
      </c>
      <c r="J979" s="137">
        <v>1</v>
      </c>
    </row>
    <row r="980" spans="1:10" hidden="1">
      <c r="A980" s="137">
        <v>12</v>
      </c>
      <c r="B980" s="1749" t="s">
        <v>856</v>
      </c>
      <c r="C980" s="137" t="s">
        <v>138</v>
      </c>
      <c r="D980" s="1194" t="s">
        <v>857</v>
      </c>
      <c r="E980" s="137" t="s">
        <v>858</v>
      </c>
      <c r="F980" s="150">
        <v>1900000</v>
      </c>
      <c r="G980" s="137" t="s">
        <v>612</v>
      </c>
      <c r="H980" s="137" t="s">
        <v>271</v>
      </c>
      <c r="I980" s="137" t="s">
        <v>36</v>
      </c>
      <c r="J980" s="137">
        <v>1</v>
      </c>
    </row>
    <row r="981" spans="1:10" hidden="1">
      <c r="A981" s="137">
        <v>13</v>
      </c>
      <c r="B981" s="1749" t="s">
        <v>813</v>
      </c>
      <c r="C981" s="137" t="s">
        <v>138</v>
      </c>
      <c r="D981" s="1194" t="s">
        <v>859</v>
      </c>
      <c r="E981" s="137" t="s">
        <v>858</v>
      </c>
      <c r="F981" s="150">
        <v>1200000</v>
      </c>
      <c r="G981" s="137" t="s">
        <v>397</v>
      </c>
      <c r="H981" s="137" t="s">
        <v>271</v>
      </c>
      <c r="I981" s="137" t="s">
        <v>36</v>
      </c>
      <c r="J981" s="137">
        <v>1</v>
      </c>
    </row>
    <row r="982" spans="1:10" hidden="1">
      <c r="A982" s="137">
        <v>14</v>
      </c>
      <c r="B982" s="1749" t="s">
        <v>860</v>
      </c>
      <c r="C982" s="137" t="s">
        <v>138</v>
      </c>
      <c r="D982" s="1194" t="s">
        <v>861</v>
      </c>
      <c r="E982" s="137" t="s">
        <v>858</v>
      </c>
      <c r="F982" s="150">
        <v>1650000</v>
      </c>
      <c r="G982" s="137" t="s">
        <v>612</v>
      </c>
      <c r="H982" s="137" t="s">
        <v>271</v>
      </c>
      <c r="I982" s="137" t="s">
        <v>36</v>
      </c>
      <c r="J982" s="137">
        <v>1</v>
      </c>
    </row>
    <row r="983" spans="1:10" hidden="1">
      <c r="A983" s="1749">
        <v>15</v>
      </c>
      <c r="B983" s="2538" t="s">
        <v>860</v>
      </c>
      <c r="C983" s="150" t="s">
        <v>138</v>
      </c>
      <c r="D983" s="1195" t="s">
        <v>862</v>
      </c>
      <c r="E983" s="150" t="s">
        <v>180</v>
      </c>
      <c r="F983" s="151">
        <v>1200000</v>
      </c>
      <c r="G983" s="150" t="s">
        <v>144</v>
      </c>
      <c r="H983" s="150" t="s">
        <v>271</v>
      </c>
      <c r="I983" s="150" t="s">
        <v>36</v>
      </c>
      <c r="J983" s="137">
        <v>1</v>
      </c>
    </row>
    <row r="984" spans="1:10" hidden="1">
      <c r="A984" s="1749">
        <v>16</v>
      </c>
      <c r="B984" s="2538" t="s">
        <v>860</v>
      </c>
      <c r="C984" s="150" t="s">
        <v>138</v>
      </c>
      <c r="D984" s="1195" t="s">
        <v>863</v>
      </c>
      <c r="E984" s="150" t="s">
        <v>180</v>
      </c>
      <c r="F984" s="151">
        <v>1300000</v>
      </c>
      <c r="G984" s="150" t="s">
        <v>144</v>
      </c>
      <c r="H984" s="150" t="s">
        <v>271</v>
      </c>
      <c r="I984" s="150" t="s">
        <v>36</v>
      </c>
      <c r="J984" s="137">
        <v>1</v>
      </c>
    </row>
    <row r="985" spans="1:10" hidden="1">
      <c r="A985" s="1749">
        <v>17</v>
      </c>
      <c r="B985" s="2538" t="s">
        <v>816</v>
      </c>
      <c r="C985" s="150" t="s">
        <v>138</v>
      </c>
      <c r="D985" s="1195" t="s">
        <v>864</v>
      </c>
      <c r="E985" s="150" t="s">
        <v>858</v>
      </c>
      <c r="F985" s="151">
        <v>900000</v>
      </c>
      <c r="G985" s="150" t="s">
        <v>43</v>
      </c>
      <c r="H985" s="150" t="s">
        <v>271</v>
      </c>
      <c r="I985" s="150" t="s">
        <v>36</v>
      </c>
      <c r="J985" s="137">
        <v>1</v>
      </c>
    </row>
    <row r="986" spans="1:10" hidden="1">
      <c r="A986" s="1749">
        <v>18</v>
      </c>
      <c r="B986" s="2538" t="s">
        <v>816</v>
      </c>
      <c r="C986" s="150" t="s">
        <v>138</v>
      </c>
      <c r="D986" s="1195" t="s">
        <v>865</v>
      </c>
      <c r="E986" s="150" t="s">
        <v>180</v>
      </c>
      <c r="F986" s="151">
        <v>1350000</v>
      </c>
      <c r="G986" s="150" t="s">
        <v>866</v>
      </c>
      <c r="H986" s="150" t="s">
        <v>271</v>
      </c>
      <c r="I986" s="150" t="s">
        <v>36</v>
      </c>
      <c r="J986" s="137">
        <v>1</v>
      </c>
    </row>
    <row r="987" spans="1:10" hidden="1">
      <c r="A987" s="1749">
        <v>19</v>
      </c>
      <c r="B987" s="1749" t="s">
        <v>867</v>
      </c>
      <c r="C987" s="150" t="s">
        <v>138</v>
      </c>
      <c r="D987" s="1195" t="s">
        <v>868</v>
      </c>
      <c r="E987" s="150" t="s">
        <v>869</v>
      </c>
      <c r="F987" s="151">
        <v>1100000</v>
      </c>
      <c r="G987" s="150" t="s">
        <v>870</v>
      </c>
      <c r="H987" s="150" t="s">
        <v>271</v>
      </c>
      <c r="I987" s="150" t="s">
        <v>36</v>
      </c>
      <c r="J987" s="137">
        <v>1</v>
      </c>
    </row>
    <row r="988" spans="1:10" hidden="1">
      <c r="A988" s="1749">
        <v>20</v>
      </c>
      <c r="B988" s="1749" t="s">
        <v>818</v>
      </c>
      <c r="C988" s="150" t="s">
        <v>138</v>
      </c>
      <c r="D988" s="627" t="s">
        <v>871</v>
      </c>
      <c r="E988" s="150" t="s">
        <v>869</v>
      </c>
      <c r="F988" s="151">
        <v>1200000</v>
      </c>
      <c r="G988" s="150" t="s">
        <v>235</v>
      </c>
      <c r="H988" s="150" t="s">
        <v>271</v>
      </c>
      <c r="I988" s="150" t="s">
        <v>36</v>
      </c>
      <c r="J988" s="137">
        <v>1</v>
      </c>
    </row>
    <row r="989" spans="1:10" hidden="1">
      <c r="A989" s="1749">
        <v>21</v>
      </c>
      <c r="B989" s="1749" t="s">
        <v>818</v>
      </c>
      <c r="C989" s="150" t="s">
        <v>138</v>
      </c>
      <c r="D989" s="627" t="s">
        <v>872</v>
      </c>
      <c r="E989" s="150" t="s">
        <v>180</v>
      </c>
      <c r="F989" s="151">
        <v>1200000</v>
      </c>
      <c r="G989" s="150" t="s">
        <v>144</v>
      </c>
      <c r="H989" s="150" t="s">
        <v>271</v>
      </c>
      <c r="I989" s="150" t="s">
        <v>36</v>
      </c>
      <c r="J989" s="137">
        <v>1</v>
      </c>
    </row>
    <row r="990" spans="1:10" hidden="1">
      <c r="A990" s="1749">
        <v>22</v>
      </c>
      <c r="B990" s="1749" t="s">
        <v>818</v>
      </c>
      <c r="C990" s="150" t="s">
        <v>138</v>
      </c>
      <c r="D990" s="627" t="s">
        <v>873</v>
      </c>
      <c r="E990" s="150" t="s">
        <v>180</v>
      </c>
      <c r="F990" s="151">
        <v>1200000</v>
      </c>
      <c r="G990" s="150" t="s">
        <v>144</v>
      </c>
      <c r="H990" s="150" t="s">
        <v>271</v>
      </c>
      <c r="I990" s="150" t="s">
        <v>36</v>
      </c>
      <c r="J990" s="137">
        <v>1</v>
      </c>
    </row>
    <row r="991" spans="1:10" hidden="1">
      <c r="A991" s="1749">
        <v>23</v>
      </c>
      <c r="B991" s="1749" t="s">
        <v>874</v>
      </c>
      <c r="C991" s="150" t="s">
        <v>138</v>
      </c>
      <c r="D991" s="627" t="s">
        <v>875</v>
      </c>
      <c r="E991" s="150" t="s">
        <v>180</v>
      </c>
      <c r="F991" s="151">
        <v>1200000</v>
      </c>
      <c r="G991" s="150" t="s">
        <v>144</v>
      </c>
      <c r="H991" s="150" t="s">
        <v>271</v>
      </c>
      <c r="I991" s="150" t="s">
        <v>36</v>
      </c>
      <c r="J991" s="137">
        <v>1</v>
      </c>
    </row>
    <row r="992" spans="1:10" hidden="1">
      <c r="A992" s="1749">
        <v>24</v>
      </c>
      <c r="B992" s="1749" t="s">
        <v>876</v>
      </c>
      <c r="C992" s="150" t="s">
        <v>138</v>
      </c>
      <c r="D992" s="627" t="s">
        <v>877</v>
      </c>
      <c r="E992" s="150" t="s">
        <v>869</v>
      </c>
      <c r="F992" s="151">
        <v>1150000</v>
      </c>
      <c r="G992" s="150" t="s">
        <v>235</v>
      </c>
      <c r="H992" s="150" t="s">
        <v>271</v>
      </c>
      <c r="I992" s="150" t="s">
        <v>36</v>
      </c>
      <c r="J992" s="137">
        <v>1</v>
      </c>
    </row>
    <row r="993" spans="1:10" hidden="1">
      <c r="A993" s="1749">
        <v>25</v>
      </c>
      <c r="B993" s="1749" t="s">
        <v>876</v>
      </c>
      <c r="C993" s="150" t="s">
        <v>138</v>
      </c>
      <c r="D993" s="627" t="s">
        <v>878</v>
      </c>
      <c r="E993" s="150" t="s">
        <v>869</v>
      </c>
      <c r="F993" s="151">
        <v>1200000</v>
      </c>
      <c r="G993" s="150" t="s">
        <v>235</v>
      </c>
      <c r="H993" s="150" t="s">
        <v>271</v>
      </c>
      <c r="I993" s="150" t="s">
        <v>36</v>
      </c>
      <c r="J993" s="137">
        <v>1</v>
      </c>
    </row>
    <row r="994" spans="1:10" hidden="1">
      <c r="A994" s="1749">
        <v>26</v>
      </c>
      <c r="B994" s="1749"/>
      <c r="C994" s="150"/>
      <c r="D994" s="627"/>
      <c r="E994" s="150"/>
      <c r="F994" s="151"/>
      <c r="G994" s="150"/>
      <c r="H994" s="150"/>
      <c r="I994" s="150"/>
      <c r="J994" s="137"/>
    </row>
    <row r="995" spans="1:10" ht="25.9" hidden="1">
      <c r="A995" s="1749"/>
      <c r="B995" s="1749"/>
      <c r="C995" s="150"/>
      <c r="D995" s="627"/>
      <c r="E995" s="150"/>
      <c r="F995" s="151"/>
      <c r="G995" s="150"/>
      <c r="H995" s="150"/>
      <c r="I995" s="150"/>
      <c r="J995" s="907">
        <f>SUM(J969:J993)</f>
        <v>25</v>
      </c>
    </row>
    <row r="996" spans="1:10" hidden="1">
      <c r="A996" s="2744" t="s">
        <v>33</v>
      </c>
      <c r="B996" s="2744"/>
      <c r="C996" s="2744"/>
      <c r="D996" s="2744"/>
      <c r="E996" s="2744"/>
      <c r="F996" s="2744"/>
      <c r="G996" s="2744"/>
      <c r="H996" s="2744"/>
      <c r="I996" s="2744"/>
      <c r="J996" s="2744"/>
    </row>
    <row r="997" spans="1:10" hidden="1">
      <c r="A997" s="137" t="s">
        <v>3</v>
      </c>
      <c r="B997" s="1749" t="s">
        <v>4</v>
      </c>
      <c r="C997" s="137" t="s">
        <v>5</v>
      </c>
      <c r="D997" s="137" t="s">
        <v>6</v>
      </c>
      <c r="E997" s="137" t="s">
        <v>7</v>
      </c>
      <c r="F997" s="137" t="s">
        <v>8</v>
      </c>
      <c r="G997" s="137" t="s">
        <v>9</v>
      </c>
      <c r="H997" s="137" t="s">
        <v>10</v>
      </c>
      <c r="I997" s="137" t="s">
        <v>11</v>
      </c>
      <c r="J997" s="137" t="s">
        <v>12</v>
      </c>
    </row>
    <row r="998" spans="1:10" hidden="1">
      <c r="A998" s="541">
        <v>1</v>
      </c>
      <c r="B998" s="2539" t="s">
        <v>782</v>
      </c>
      <c r="C998" s="152" t="s">
        <v>138</v>
      </c>
      <c r="D998" s="152" t="s">
        <v>879</v>
      </c>
      <c r="E998" s="152" t="s">
        <v>180</v>
      </c>
      <c r="F998" s="152">
        <v>280000000</v>
      </c>
      <c r="G998" s="152" t="s">
        <v>40</v>
      </c>
      <c r="H998" s="152" t="s">
        <v>271</v>
      </c>
      <c r="I998" s="152" t="s">
        <v>36</v>
      </c>
      <c r="J998" s="200">
        <v>1</v>
      </c>
    </row>
    <row r="999" spans="1:10" hidden="1">
      <c r="A999" s="541">
        <v>2</v>
      </c>
      <c r="B999" s="2539" t="s">
        <v>782</v>
      </c>
      <c r="C999" s="152" t="s">
        <v>138</v>
      </c>
      <c r="D999" s="152" t="s">
        <v>880</v>
      </c>
      <c r="E999" s="152" t="s">
        <v>78</v>
      </c>
      <c r="F999" s="152">
        <v>230000000</v>
      </c>
      <c r="G999" s="152" t="s">
        <v>43</v>
      </c>
      <c r="H999" s="152" t="s">
        <v>271</v>
      </c>
      <c r="I999" s="152" t="s">
        <v>36</v>
      </c>
      <c r="J999" s="200">
        <v>1</v>
      </c>
    </row>
    <row r="1000" spans="1:10" hidden="1">
      <c r="A1000" s="583">
        <v>3</v>
      </c>
      <c r="B1000" s="2540" t="s">
        <v>881</v>
      </c>
      <c r="C1000" s="154" t="s">
        <v>138</v>
      </c>
      <c r="D1000" s="154" t="s">
        <v>882</v>
      </c>
      <c r="E1000" s="154" t="s">
        <v>883</v>
      </c>
      <c r="F1000" s="154">
        <v>340000000</v>
      </c>
      <c r="G1000" s="154" t="s">
        <v>235</v>
      </c>
      <c r="H1000" s="154" t="s">
        <v>271</v>
      </c>
      <c r="I1000" s="154" t="s">
        <v>36</v>
      </c>
      <c r="J1000" s="584">
        <v>1</v>
      </c>
    </row>
    <row r="1001" spans="1:10" hidden="1">
      <c r="A1001" s="583">
        <v>4</v>
      </c>
      <c r="B1001" s="2540" t="s">
        <v>881</v>
      </c>
      <c r="C1001" s="154" t="s">
        <v>138</v>
      </c>
      <c r="D1001" s="154" t="s">
        <v>236</v>
      </c>
      <c r="E1001" s="154" t="s">
        <v>802</v>
      </c>
      <c r="F1001" s="154">
        <v>360000000</v>
      </c>
      <c r="G1001" s="154" t="s">
        <v>235</v>
      </c>
      <c r="H1001" s="154" t="s">
        <v>271</v>
      </c>
      <c r="I1001" s="154" t="s">
        <v>36</v>
      </c>
      <c r="J1001" s="584">
        <v>1</v>
      </c>
    </row>
    <row r="1002" spans="1:10" ht="24.6" hidden="1">
      <c r="A1002" s="144"/>
      <c r="B1002" s="581"/>
      <c r="C1002" s="144"/>
      <c r="D1002" s="144"/>
      <c r="E1002" s="144"/>
      <c r="F1002" s="144"/>
      <c r="G1002" s="144"/>
      <c r="H1002" s="144"/>
      <c r="I1002" s="144"/>
      <c r="J1002" s="908">
        <f>J998+J999+J1001+J1000</f>
        <v>4</v>
      </c>
    </row>
    <row r="1003" spans="1:10" hidden="1"/>
    <row r="1004" spans="1:10" hidden="1"/>
    <row r="1005" spans="1:10" ht="23.45" hidden="1">
      <c r="A1005" s="2746" t="s">
        <v>523</v>
      </c>
      <c r="B1005" s="2746"/>
      <c r="C1005" s="2746"/>
      <c r="D1005" s="2746"/>
      <c r="E1005" s="2746"/>
      <c r="F1005" s="2746"/>
      <c r="G1005" s="2746"/>
      <c r="H1005" s="2746"/>
      <c r="I1005" s="2746"/>
      <c r="J1005" s="2746"/>
    </row>
    <row r="1006" spans="1:10" ht="15.6" hidden="1">
      <c r="A1006" s="2737" t="s">
        <v>2</v>
      </c>
      <c r="B1006" s="2737"/>
      <c r="C1006" s="2737"/>
      <c r="D1006" s="2737"/>
      <c r="E1006" s="2737"/>
      <c r="F1006" s="2737"/>
      <c r="G1006" s="2737"/>
      <c r="H1006" s="2737"/>
      <c r="I1006" s="2737"/>
      <c r="J1006" s="2737"/>
    </row>
    <row r="1007" spans="1:10" hidden="1">
      <c r="A1007" s="137" t="s">
        <v>3</v>
      </c>
      <c r="B1007" s="1749" t="s">
        <v>4</v>
      </c>
      <c r="C1007" s="137" t="s">
        <v>5</v>
      </c>
      <c r="D1007" s="137" t="s">
        <v>6</v>
      </c>
      <c r="E1007" s="137" t="s">
        <v>7</v>
      </c>
      <c r="F1007" s="137" t="s">
        <v>8</v>
      </c>
      <c r="G1007" s="137" t="s">
        <v>9</v>
      </c>
      <c r="H1007" s="137" t="s">
        <v>10</v>
      </c>
      <c r="I1007" s="137" t="s">
        <v>11</v>
      </c>
      <c r="J1007" s="137" t="s">
        <v>12</v>
      </c>
    </row>
    <row r="1008" spans="1:10" hidden="1">
      <c r="A1008" s="137">
        <v>1</v>
      </c>
      <c r="B1008" s="2538" t="s">
        <v>782</v>
      </c>
      <c r="C1008" s="150" t="s">
        <v>138</v>
      </c>
      <c r="D1008" s="1195" t="s">
        <v>884</v>
      </c>
      <c r="E1008" s="150" t="s">
        <v>885</v>
      </c>
      <c r="F1008" s="151">
        <v>1000000</v>
      </c>
      <c r="G1008" s="150" t="s">
        <v>680</v>
      </c>
      <c r="H1008" s="150" t="s">
        <v>271</v>
      </c>
      <c r="I1008" s="150" t="s">
        <v>36</v>
      </c>
      <c r="J1008" s="137">
        <v>1</v>
      </c>
    </row>
    <row r="1009" spans="1:10" hidden="1">
      <c r="A1009" s="137">
        <v>2</v>
      </c>
      <c r="B1009" s="1749" t="s">
        <v>782</v>
      </c>
      <c r="C1009" s="137" t="s">
        <v>138</v>
      </c>
      <c r="D1009" s="1194" t="s">
        <v>886</v>
      </c>
      <c r="E1009" s="137" t="s">
        <v>840</v>
      </c>
      <c r="F1009" s="137">
        <v>980000</v>
      </c>
      <c r="G1009" s="137" t="s">
        <v>43</v>
      </c>
      <c r="H1009" s="137" t="s">
        <v>271</v>
      </c>
      <c r="I1009" s="137" t="s">
        <v>36</v>
      </c>
      <c r="J1009" s="137">
        <v>1</v>
      </c>
    </row>
    <row r="1010" spans="1:10" hidden="1">
      <c r="A1010" s="137">
        <v>3</v>
      </c>
      <c r="B1010" s="1749" t="s">
        <v>782</v>
      </c>
      <c r="C1010" s="137" t="s">
        <v>138</v>
      </c>
      <c r="D1010" s="1194" t="s">
        <v>887</v>
      </c>
      <c r="E1010" s="137" t="s">
        <v>885</v>
      </c>
      <c r="F1010" s="137">
        <v>950000</v>
      </c>
      <c r="G1010" s="811" t="s">
        <v>888</v>
      </c>
      <c r="H1010" s="137" t="s">
        <v>271</v>
      </c>
      <c r="I1010" s="137" t="s">
        <v>36</v>
      </c>
      <c r="J1010" s="137">
        <v>1</v>
      </c>
    </row>
    <row r="1011" spans="1:10" hidden="1">
      <c r="A1011" s="137">
        <v>4</v>
      </c>
      <c r="B1011" s="1749" t="s">
        <v>782</v>
      </c>
      <c r="C1011" s="137" t="s">
        <v>138</v>
      </c>
      <c r="D1011" s="1194" t="s">
        <v>889</v>
      </c>
      <c r="E1011" s="137" t="s">
        <v>885</v>
      </c>
      <c r="F1011" s="137">
        <v>860000</v>
      </c>
      <c r="G1011" s="137" t="s">
        <v>888</v>
      </c>
      <c r="H1011" s="137" t="s">
        <v>271</v>
      </c>
      <c r="I1011" s="137" t="s">
        <v>36</v>
      </c>
      <c r="J1011" s="137">
        <v>1</v>
      </c>
    </row>
    <row r="1012" spans="1:10" hidden="1">
      <c r="A1012" s="137">
        <v>5</v>
      </c>
      <c r="B1012" s="1749" t="s">
        <v>782</v>
      </c>
      <c r="C1012" s="137" t="s">
        <v>138</v>
      </c>
      <c r="D1012" s="1194" t="s">
        <v>890</v>
      </c>
      <c r="E1012" s="137" t="s">
        <v>885</v>
      </c>
      <c r="F1012" s="137">
        <v>860000</v>
      </c>
      <c r="G1012" s="137" t="s">
        <v>680</v>
      </c>
      <c r="H1012" s="137" t="s">
        <v>271</v>
      </c>
      <c r="I1012" s="137" t="s">
        <v>36</v>
      </c>
      <c r="J1012" s="137">
        <v>1</v>
      </c>
    </row>
    <row r="1013" spans="1:10" hidden="1">
      <c r="A1013" s="137">
        <v>6</v>
      </c>
      <c r="B1013" s="1749" t="s">
        <v>891</v>
      </c>
      <c r="C1013" s="137" t="s">
        <v>138</v>
      </c>
      <c r="D1013" s="1194" t="s">
        <v>892</v>
      </c>
      <c r="E1013" s="137" t="s">
        <v>869</v>
      </c>
      <c r="F1013" s="137">
        <v>1650000</v>
      </c>
      <c r="G1013" s="137" t="s">
        <v>893</v>
      </c>
      <c r="H1013" s="137" t="s">
        <v>271</v>
      </c>
      <c r="I1013" s="137" t="s">
        <v>36</v>
      </c>
      <c r="J1013" s="137">
        <v>1</v>
      </c>
    </row>
    <row r="1014" spans="1:10" hidden="1">
      <c r="A1014" s="137">
        <v>7</v>
      </c>
      <c r="B1014" s="1749" t="s">
        <v>881</v>
      </c>
      <c r="C1014" s="137" t="s">
        <v>37</v>
      </c>
      <c r="D1014" s="1194" t="s">
        <v>435</v>
      </c>
      <c r="E1014" s="137" t="s">
        <v>78</v>
      </c>
      <c r="F1014" s="137">
        <v>950000</v>
      </c>
      <c r="G1014" s="137" t="s">
        <v>894</v>
      </c>
      <c r="H1014" s="137" t="s">
        <v>271</v>
      </c>
      <c r="I1014" s="137" t="s">
        <v>36</v>
      </c>
      <c r="J1014" s="137">
        <v>1</v>
      </c>
    </row>
    <row r="1015" spans="1:10" hidden="1">
      <c r="A1015" s="137">
        <v>8</v>
      </c>
      <c r="B1015" s="1749" t="s">
        <v>881</v>
      </c>
      <c r="C1015" s="137" t="s">
        <v>138</v>
      </c>
      <c r="D1015" s="1194" t="s">
        <v>895</v>
      </c>
      <c r="E1015" s="137" t="s">
        <v>896</v>
      </c>
      <c r="F1015" s="137">
        <v>1000000</v>
      </c>
      <c r="G1015" s="137" t="s">
        <v>897</v>
      </c>
      <c r="H1015" s="137" t="s">
        <v>271</v>
      </c>
      <c r="I1015" s="137" t="s">
        <v>36</v>
      </c>
      <c r="J1015" s="137">
        <v>1</v>
      </c>
    </row>
    <row r="1016" spans="1:10" hidden="1">
      <c r="A1016" s="137">
        <v>9</v>
      </c>
      <c r="B1016" s="1749" t="s">
        <v>898</v>
      </c>
      <c r="C1016" s="137" t="s">
        <v>138</v>
      </c>
      <c r="D1016" s="1194" t="s">
        <v>899</v>
      </c>
      <c r="E1016" s="137" t="s">
        <v>805</v>
      </c>
      <c r="F1016" s="137">
        <v>1250000</v>
      </c>
      <c r="G1016" s="137" t="s">
        <v>900</v>
      </c>
      <c r="H1016" s="137" t="s">
        <v>271</v>
      </c>
      <c r="I1016" s="137" t="s">
        <v>36</v>
      </c>
      <c r="J1016" s="137">
        <v>1</v>
      </c>
    </row>
    <row r="1017" spans="1:10" hidden="1">
      <c r="A1017" s="137">
        <v>10</v>
      </c>
      <c r="B1017" s="1749" t="s">
        <v>901</v>
      </c>
      <c r="C1017" s="137" t="s">
        <v>138</v>
      </c>
      <c r="D1017" s="1194" t="s">
        <v>902</v>
      </c>
      <c r="E1017" s="137" t="s">
        <v>869</v>
      </c>
      <c r="F1017" s="137">
        <v>1050000</v>
      </c>
      <c r="G1017" s="137" t="s">
        <v>43</v>
      </c>
      <c r="H1017" s="137" t="s">
        <v>271</v>
      </c>
      <c r="I1017" s="137" t="s">
        <v>36</v>
      </c>
      <c r="J1017" s="137">
        <v>1</v>
      </c>
    </row>
    <row r="1018" spans="1:10" hidden="1">
      <c r="A1018" s="137">
        <v>11</v>
      </c>
      <c r="B1018" s="1749" t="s">
        <v>860</v>
      </c>
      <c r="C1018" s="137" t="s">
        <v>138</v>
      </c>
      <c r="D1018" s="1194" t="s">
        <v>903</v>
      </c>
      <c r="E1018" s="137" t="s">
        <v>904</v>
      </c>
      <c r="F1018" s="137">
        <v>1150000</v>
      </c>
      <c r="G1018" s="137" t="s">
        <v>43</v>
      </c>
      <c r="H1018" s="137" t="s">
        <v>271</v>
      </c>
      <c r="I1018" s="137" t="s">
        <v>36</v>
      </c>
      <c r="J1018" s="137">
        <v>1</v>
      </c>
    </row>
    <row r="1019" spans="1:10" hidden="1">
      <c r="A1019" s="137">
        <v>12</v>
      </c>
      <c r="B1019" s="1749" t="s">
        <v>905</v>
      </c>
      <c r="C1019" s="137" t="s">
        <v>138</v>
      </c>
      <c r="D1019" s="1194" t="s">
        <v>906</v>
      </c>
      <c r="E1019" s="137" t="s">
        <v>869</v>
      </c>
      <c r="F1019" s="137">
        <v>1200000</v>
      </c>
      <c r="G1019" s="137" t="s">
        <v>907</v>
      </c>
      <c r="H1019" s="137" t="s">
        <v>271</v>
      </c>
      <c r="I1019" s="137" t="s">
        <v>36</v>
      </c>
      <c r="J1019" s="137">
        <v>1</v>
      </c>
    </row>
    <row r="1020" spans="1:10" hidden="1">
      <c r="A1020" s="137">
        <v>13</v>
      </c>
      <c r="B1020" s="1749" t="s">
        <v>816</v>
      </c>
      <c r="C1020" s="137" t="s">
        <v>138</v>
      </c>
      <c r="D1020" s="1194" t="s">
        <v>908</v>
      </c>
      <c r="E1020" s="137" t="s">
        <v>904</v>
      </c>
      <c r="F1020" s="137">
        <v>1300000</v>
      </c>
      <c r="G1020" s="137" t="s">
        <v>43</v>
      </c>
      <c r="H1020" s="137" t="s">
        <v>271</v>
      </c>
      <c r="I1020" s="137" t="s">
        <v>36</v>
      </c>
      <c r="J1020" s="137">
        <v>1</v>
      </c>
    </row>
    <row r="1021" spans="1:10" hidden="1">
      <c r="A1021" s="137">
        <v>14</v>
      </c>
      <c r="B1021" s="1749" t="s">
        <v>867</v>
      </c>
      <c r="C1021" s="137" t="s">
        <v>138</v>
      </c>
      <c r="D1021" s="1194" t="s">
        <v>909</v>
      </c>
      <c r="E1021" s="137" t="s">
        <v>869</v>
      </c>
      <c r="F1021" s="137">
        <v>1200000</v>
      </c>
      <c r="G1021" s="137" t="s">
        <v>910</v>
      </c>
      <c r="H1021" s="137" t="s">
        <v>271</v>
      </c>
      <c r="I1021" s="137" t="s">
        <v>36</v>
      </c>
      <c r="J1021" s="137">
        <v>1</v>
      </c>
    </row>
    <row r="1022" spans="1:10" hidden="1">
      <c r="A1022" s="1749">
        <v>15</v>
      </c>
      <c r="B1022" s="2538" t="s">
        <v>911</v>
      </c>
      <c r="C1022" s="150" t="s">
        <v>138</v>
      </c>
      <c r="D1022" s="1195" t="s">
        <v>912</v>
      </c>
      <c r="E1022" s="150" t="s">
        <v>913</v>
      </c>
      <c r="F1022" s="151">
        <v>1100000</v>
      </c>
      <c r="G1022" s="150" t="s">
        <v>914</v>
      </c>
      <c r="H1022" s="150" t="s">
        <v>271</v>
      </c>
      <c r="I1022" s="150" t="s">
        <v>36</v>
      </c>
      <c r="J1022" s="137">
        <v>1</v>
      </c>
    </row>
    <row r="1023" spans="1:10" hidden="1">
      <c r="A1023" s="1749">
        <v>16</v>
      </c>
      <c r="B1023" s="2538" t="s">
        <v>915</v>
      </c>
      <c r="C1023" s="150" t="s">
        <v>916</v>
      </c>
      <c r="D1023" s="627" t="s">
        <v>917</v>
      </c>
      <c r="E1023" s="150" t="s">
        <v>216</v>
      </c>
      <c r="F1023" s="151">
        <v>4000000</v>
      </c>
      <c r="G1023" s="150" t="s">
        <v>43</v>
      </c>
      <c r="H1023" s="150" t="s">
        <v>44</v>
      </c>
      <c r="I1023" s="150" t="s">
        <v>36</v>
      </c>
      <c r="J1023" s="137">
        <v>1</v>
      </c>
    </row>
    <row r="1024" spans="1:10" hidden="1">
      <c r="A1024" s="1749">
        <v>17</v>
      </c>
      <c r="B1024" s="2538" t="s">
        <v>915</v>
      </c>
      <c r="C1024" s="150" t="s">
        <v>138</v>
      </c>
      <c r="D1024" s="627" t="s">
        <v>918</v>
      </c>
      <c r="E1024" s="150" t="s">
        <v>805</v>
      </c>
      <c r="F1024" s="151">
        <v>1250000</v>
      </c>
      <c r="G1024" s="150" t="s">
        <v>919</v>
      </c>
      <c r="H1024" s="150" t="s">
        <v>271</v>
      </c>
      <c r="I1024" s="150" t="s">
        <v>36</v>
      </c>
      <c r="J1024" s="137">
        <v>1</v>
      </c>
    </row>
    <row r="1025" spans="1:10" hidden="1">
      <c r="A1025" s="1749">
        <v>18</v>
      </c>
      <c r="B1025" s="2538" t="s">
        <v>915</v>
      </c>
      <c r="C1025" s="150" t="s">
        <v>138</v>
      </c>
      <c r="D1025" s="627" t="s">
        <v>920</v>
      </c>
      <c r="E1025" s="150" t="s">
        <v>78</v>
      </c>
      <c r="F1025" s="151">
        <v>950000</v>
      </c>
      <c r="G1025" s="150" t="s">
        <v>921</v>
      </c>
      <c r="H1025" s="150" t="s">
        <v>271</v>
      </c>
      <c r="I1025" s="150" t="s">
        <v>36</v>
      </c>
      <c r="J1025" s="137">
        <v>1</v>
      </c>
    </row>
    <row r="1026" spans="1:10" hidden="1">
      <c r="A1026" s="1749">
        <v>19</v>
      </c>
      <c r="B1026" s="1749" t="s">
        <v>915</v>
      </c>
      <c r="C1026" s="150" t="s">
        <v>138</v>
      </c>
      <c r="D1026" s="627" t="s">
        <v>922</v>
      </c>
      <c r="E1026" s="150" t="s">
        <v>869</v>
      </c>
      <c r="F1026" s="151">
        <v>1200000</v>
      </c>
      <c r="G1026" s="150" t="s">
        <v>634</v>
      </c>
      <c r="H1026" s="150" t="s">
        <v>271</v>
      </c>
      <c r="I1026" s="150" t="s">
        <v>36</v>
      </c>
      <c r="J1026" s="137">
        <v>1</v>
      </c>
    </row>
    <row r="1027" spans="1:10" hidden="1">
      <c r="A1027" s="1749">
        <v>20</v>
      </c>
      <c r="B1027" s="1749" t="s">
        <v>876</v>
      </c>
      <c r="C1027" s="150" t="s">
        <v>219</v>
      </c>
      <c r="D1027" s="627" t="s">
        <v>923</v>
      </c>
      <c r="E1027" s="150" t="s">
        <v>913</v>
      </c>
      <c r="F1027" s="151">
        <v>1200000</v>
      </c>
      <c r="G1027" s="150" t="s">
        <v>897</v>
      </c>
      <c r="H1027" s="150" t="s">
        <v>271</v>
      </c>
      <c r="I1027" s="150" t="s">
        <v>36</v>
      </c>
      <c r="J1027" s="137">
        <v>1</v>
      </c>
    </row>
    <row r="1028" spans="1:10" hidden="1">
      <c r="A1028" s="1749">
        <v>21</v>
      </c>
      <c r="B1028" s="1749" t="s">
        <v>876</v>
      </c>
      <c r="C1028" s="150" t="s">
        <v>138</v>
      </c>
      <c r="D1028" s="627" t="s">
        <v>924</v>
      </c>
      <c r="E1028" s="150" t="s">
        <v>925</v>
      </c>
      <c r="F1028" s="151">
        <v>1000000</v>
      </c>
      <c r="G1028" s="150" t="s">
        <v>926</v>
      </c>
      <c r="H1028" s="150" t="s">
        <v>271</v>
      </c>
      <c r="I1028" s="150" t="s">
        <v>36</v>
      </c>
      <c r="J1028" s="137">
        <v>1</v>
      </c>
    </row>
    <row r="1029" spans="1:10" hidden="1">
      <c r="A1029" s="1749"/>
      <c r="B1029" s="1749"/>
      <c r="C1029" s="150"/>
      <c r="D1029" s="627"/>
      <c r="E1029" s="150"/>
      <c r="F1029" s="151"/>
      <c r="G1029" s="150"/>
      <c r="H1029" s="150"/>
      <c r="I1029" s="150"/>
      <c r="J1029" s="137"/>
    </row>
    <row r="1030" spans="1:10" ht="25.9" hidden="1">
      <c r="A1030" s="1749"/>
      <c r="B1030" s="1749"/>
      <c r="C1030" s="150"/>
      <c r="D1030" s="627"/>
      <c r="E1030" s="150"/>
      <c r="F1030" s="151"/>
      <c r="G1030" s="150"/>
      <c r="H1030" s="150"/>
      <c r="I1030" s="150"/>
      <c r="J1030" s="907">
        <f>SUM(J1008:J1028)</f>
        <v>21</v>
      </c>
    </row>
    <row r="1031" spans="1:10" hidden="1">
      <c r="A1031" s="2744" t="s">
        <v>33</v>
      </c>
      <c r="B1031" s="2744"/>
      <c r="C1031" s="2744"/>
      <c r="D1031" s="2744"/>
      <c r="E1031" s="2744"/>
      <c r="F1031" s="2744"/>
      <c r="G1031" s="2744"/>
      <c r="H1031" s="2744"/>
      <c r="I1031" s="2744"/>
      <c r="J1031" s="2744"/>
    </row>
    <row r="1032" spans="1:10" hidden="1">
      <c r="A1032" s="137" t="s">
        <v>3</v>
      </c>
      <c r="B1032" s="1749" t="s">
        <v>4</v>
      </c>
      <c r="C1032" s="137" t="s">
        <v>5</v>
      </c>
      <c r="D1032" s="137" t="s">
        <v>6</v>
      </c>
      <c r="E1032" s="137" t="s">
        <v>7</v>
      </c>
      <c r="F1032" s="137" t="s">
        <v>8</v>
      </c>
      <c r="G1032" s="137" t="s">
        <v>9</v>
      </c>
      <c r="H1032" s="137" t="s">
        <v>10</v>
      </c>
      <c r="I1032" s="137" t="s">
        <v>11</v>
      </c>
      <c r="J1032" s="137" t="s">
        <v>12</v>
      </c>
    </row>
    <row r="1033" spans="1:10" hidden="1">
      <c r="A1033" s="541">
        <v>1</v>
      </c>
      <c r="B1033" s="2539" t="s">
        <v>797</v>
      </c>
      <c r="C1033" s="152" t="s">
        <v>138</v>
      </c>
      <c r="D1033" s="152" t="s">
        <v>902</v>
      </c>
      <c r="E1033" s="152" t="s">
        <v>869</v>
      </c>
      <c r="F1033" s="152">
        <v>200000000</v>
      </c>
      <c r="G1033" s="152" t="s">
        <v>43</v>
      </c>
      <c r="H1033" s="152" t="s">
        <v>271</v>
      </c>
      <c r="I1033" s="152" t="s">
        <v>36</v>
      </c>
      <c r="J1033" s="200">
        <v>1</v>
      </c>
    </row>
    <row r="1034" spans="1:10" hidden="1">
      <c r="A1034" s="541">
        <v>2</v>
      </c>
      <c r="B1034" s="2539" t="s">
        <v>927</v>
      </c>
      <c r="C1034" s="152" t="s">
        <v>138</v>
      </c>
      <c r="D1034" s="152" t="s">
        <v>928</v>
      </c>
      <c r="E1034" s="152" t="s">
        <v>869</v>
      </c>
      <c r="F1034" s="152">
        <v>270000000</v>
      </c>
      <c r="G1034" s="152" t="s">
        <v>634</v>
      </c>
      <c r="H1034" s="152" t="s">
        <v>271</v>
      </c>
      <c r="I1034" s="152" t="s">
        <v>36</v>
      </c>
      <c r="J1034" s="200">
        <v>1</v>
      </c>
    </row>
    <row r="1035" spans="1:10" hidden="1">
      <c r="A1035" s="583">
        <v>3</v>
      </c>
      <c r="B1035" s="2540" t="s">
        <v>927</v>
      </c>
      <c r="C1035" s="154" t="s">
        <v>138</v>
      </c>
      <c r="D1035" s="154" t="s">
        <v>929</v>
      </c>
      <c r="E1035" s="154" t="s">
        <v>869</v>
      </c>
      <c r="F1035" s="154">
        <v>290000000</v>
      </c>
      <c r="G1035" s="154" t="s">
        <v>930</v>
      </c>
      <c r="H1035" s="154" t="s">
        <v>271</v>
      </c>
      <c r="I1035" s="154" t="s">
        <v>36</v>
      </c>
      <c r="J1035" s="584">
        <v>1</v>
      </c>
    </row>
    <row r="1036" spans="1:10" ht="24.6" hidden="1">
      <c r="A1036" s="144"/>
      <c r="B1036" s="581"/>
      <c r="C1036" s="144"/>
      <c r="D1036" s="144"/>
      <c r="E1036" s="144"/>
      <c r="F1036" s="144"/>
      <c r="G1036" s="144"/>
      <c r="H1036" s="144"/>
      <c r="I1036" s="144"/>
      <c r="J1036" s="908">
        <f>J1033+J1034+J1035</f>
        <v>3</v>
      </c>
    </row>
    <row r="1037" spans="1:10" hidden="1"/>
    <row r="1038" spans="1:10" hidden="1"/>
    <row r="1039" spans="1:10" ht="23.45" hidden="1">
      <c r="A1039" s="2746" t="s">
        <v>510</v>
      </c>
      <c r="B1039" s="2746"/>
      <c r="C1039" s="2746"/>
      <c r="D1039" s="2746"/>
      <c r="E1039" s="2746"/>
      <c r="F1039" s="2746"/>
      <c r="G1039" s="2746"/>
      <c r="H1039" s="2746"/>
      <c r="I1039" s="2746"/>
      <c r="J1039" s="2746"/>
    </row>
    <row r="1040" spans="1:10" ht="15.6" hidden="1">
      <c r="A1040" s="2737" t="s">
        <v>2</v>
      </c>
      <c r="B1040" s="2737"/>
      <c r="C1040" s="2737"/>
      <c r="D1040" s="2737"/>
      <c r="E1040" s="2737"/>
      <c r="F1040" s="2737"/>
      <c r="G1040" s="2737"/>
      <c r="H1040" s="2737"/>
      <c r="I1040" s="2737"/>
      <c r="J1040" s="2737"/>
    </row>
    <row r="1041" spans="1:10" hidden="1">
      <c r="A1041" s="137" t="s">
        <v>3</v>
      </c>
      <c r="B1041" s="1749" t="s">
        <v>4</v>
      </c>
      <c r="C1041" s="137" t="s">
        <v>5</v>
      </c>
      <c r="D1041" s="137" t="s">
        <v>6</v>
      </c>
      <c r="E1041" s="137" t="s">
        <v>7</v>
      </c>
      <c r="F1041" s="137" t="s">
        <v>8</v>
      </c>
      <c r="G1041" s="137" t="s">
        <v>9</v>
      </c>
      <c r="H1041" s="137" t="s">
        <v>10</v>
      </c>
      <c r="I1041" s="137" t="s">
        <v>11</v>
      </c>
      <c r="J1041" s="137" t="s">
        <v>12</v>
      </c>
    </row>
    <row r="1042" spans="1:10" hidden="1">
      <c r="A1042" s="137">
        <v>1</v>
      </c>
      <c r="B1042" s="2543" t="s">
        <v>782</v>
      </c>
      <c r="C1042" s="147" t="s">
        <v>138</v>
      </c>
      <c r="D1042" s="1332" t="s">
        <v>931</v>
      </c>
      <c r="E1042" s="147" t="s">
        <v>822</v>
      </c>
      <c r="F1042" s="147">
        <v>1100000</v>
      </c>
      <c r="G1042" s="147" t="s">
        <v>932</v>
      </c>
      <c r="H1042" s="147" t="s">
        <v>271</v>
      </c>
      <c r="I1042" s="147" t="s">
        <v>36</v>
      </c>
      <c r="J1042" s="147">
        <v>1</v>
      </c>
    </row>
    <row r="1043" spans="1:10" hidden="1">
      <c r="A1043" s="978">
        <v>2</v>
      </c>
      <c r="B1043" s="2" t="s">
        <v>891</v>
      </c>
      <c r="C1043" s="11" t="s">
        <v>138</v>
      </c>
      <c r="D1043" s="34" t="s">
        <v>933</v>
      </c>
      <c r="E1043" s="11" t="s">
        <v>78</v>
      </c>
      <c r="F1043" s="11">
        <v>900000</v>
      </c>
      <c r="G1043" s="11" t="s">
        <v>934</v>
      </c>
      <c r="H1043" s="11" t="s">
        <v>271</v>
      </c>
      <c r="I1043" s="11" t="s">
        <v>36</v>
      </c>
      <c r="J1043" s="11">
        <v>1</v>
      </c>
    </row>
    <row r="1044" spans="1:10" hidden="1">
      <c r="A1044" s="137">
        <v>3</v>
      </c>
      <c r="B1044" s="2544" t="s">
        <v>807</v>
      </c>
      <c r="C1044" s="148" t="s">
        <v>138</v>
      </c>
      <c r="D1044" s="1333" t="s">
        <v>935</v>
      </c>
      <c r="E1044" s="148" t="s">
        <v>78</v>
      </c>
      <c r="F1044" s="148">
        <v>1350000</v>
      </c>
      <c r="G1044" s="148" t="s">
        <v>936</v>
      </c>
      <c r="H1044" s="148" t="s">
        <v>271</v>
      </c>
      <c r="I1044" s="148" t="s">
        <v>36</v>
      </c>
      <c r="J1044" s="148">
        <v>1</v>
      </c>
    </row>
    <row r="1045" spans="1:10" hidden="1">
      <c r="A1045" s="137">
        <v>4</v>
      </c>
      <c r="B1045" s="1749" t="s">
        <v>852</v>
      </c>
      <c r="C1045" s="137" t="s">
        <v>74</v>
      </c>
      <c r="D1045" s="628" t="s">
        <v>937</v>
      </c>
      <c r="E1045" s="137" t="s">
        <v>78</v>
      </c>
      <c r="F1045" s="137">
        <v>1250000</v>
      </c>
      <c r="G1045" s="137" t="s">
        <v>934</v>
      </c>
      <c r="H1045" s="137" t="s">
        <v>271</v>
      </c>
      <c r="I1045" s="137" t="s">
        <v>36</v>
      </c>
      <c r="J1045" s="137">
        <v>1</v>
      </c>
    </row>
    <row r="1046" spans="1:10" hidden="1">
      <c r="A1046" s="137">
        <v>5</v>
      </c>
      <c r="B1046" s="1749" t="s">
        <v>852</v>
      </c>
      <c r="C1046" s="137" t="s">
        <v>138</v>
      </c>
      <c r="D1046" s="628" t="s">
        <v>938</v>
      </c>
      <c r="E1046" s="137" t="s">
        <v>390</v>
      </c>
      <c r="F1046" s="137">
        <v>1000000</v>
      </c>
      <c r="G1046" s="137" t="s">
        <v>517</v>
      </c>
      <c r="H1046" s="137" t="s">
        <v>271</v>
      </c>
      <c r="I1046" s="137" t="s">
        <v>36</v>
      </c>
      <c r="J1046" s="137">
        <v>1</v>
      </c>
    </row>
    <row r="1047" spans="1:10" hidden="1">
      <c r="A1047" s="137">
        <v>6</v>
      </c>
      <c r="B1047" s="1749" t="s">
        <v>898</v>
      </c>
      <c r="C1047" s="137" t="s">
        <v>138</v>
      </c>
      <c r="D1047" s="628" t="s">
        <v>939</v>
      </c>
      <c r="E1047" s="137" t="s">
        <v>822</v>
      </c>
      <c r="F1047" s="137">
        <v>1000000</v>
      </c>
      <c r="G1047" s="137" t="s">
        <v>940</v>
      </c>
      <c r="H1047" s="137" t="s">
        <v>271</v>
      </c>
      <c r="I1047" s="137" t="s">
        <v>36</v>
      </c>
      <c r="J1047" s="137">
        <v>1</v>
      </c>
    </row>
    <row r="1048" spans="1:10" hidden="1">
      <c r="A1048" s="137">
        <v>7</v>
      </c>
      <c r="B1048" s="1749" t="s">
        <v>856</v>
      </c>
      <c r="C1048" s="137" t="s">
        <v>138</v>
      </c>
      <c r="D1048" s="628" t="s">
        <v>941</v>
      </c>
      <c r="E1048" s="137" t="s">
        <v>942</v>
      </c>
      <c r="F1048" s="137">
        <v>700000</v>
      </c>
      <c r="G1048" s="137" t="s">
        <v>43</v>
      </c>
      <c r="H1048" s="137" t="s">
        <v>271</v>
      </c>
      <c r="I1048" s="137" t="s">
        <v>36</v>
      </c>
      <c r="J1048" s="137">
        <v>1</v>
      </c>
    </row>
    <row r="1049" spans="1:10" hidden="1">
      <c r="A1049" s="137">
        <v>8</v>
      </c>
      <c r="B1049" s="1749" t="s">
        <v>813</v>
      </c>
      <c r="C1049" s="137" t="s">
        <v>138</v>
      </c>
      <c r="D1049" s="628" t="s">
        <v>943</v>
      </c>
      <c r="E1049" s="137" t="s">
        <v>78</v>
      </c>
      <c r="F1049" s="137">
        <v>900000</v>
      </c>
      <c r="G1049" s="137" t="s">
        <v>498</v>
      </c>
      <c r="H1049" s="137" t="s">
        <v>271</v>
      </c>
      <c r="I1049" s="137" t="s">
        <v>36</v>
      </c>
      <c r="J1049" s="137">
        <v>1</v>
      </c>
    </row>
    <row r="1050" spans="1:10" hidden="1">
      <c r="A1050" s="137">
        <v>9</v>
      </c>
      <c r="B1050" s="1749" t="s">
        <v>944</v>
      </c>
      <c r="C1050" s="137" t="s">
        <v>138</v>
      </c>
      <c r="D1050" s="628" t="s">
        <v>945</v>
      </c>
      <c r="E1050" s="137" t="s">
        <v>858</v>
      </c>
      <c r="F1050" s="137">
        <v>1300000</v>
      </c>
      <c r="G1050" s="137" t="s">
        <v>397</v>
      </c>
      <c r="H1050" s="137" t="s">
        <v>271</v>
      </c>
      <c r="I1050" s="137" t="s">
        <v>36</v>
      </c>
      <c r="J1050" s="137">
        <v>1</v>
      </c>
    </row>
    <row r="1051" spans="1:10" hidden="1">
      <c r="A1051" s="137">
        <v>10</v>
      </c>
      <c r="B1051" s="1749" t="s">
        <v>944</v>
      </c>
      <c r="C1051" s="137" t="s">
        <v>138</v>
      </c>
      <c r="D1051" s="137" t="s">
        <v>946</v>
      </c>
      <c r="E1051" s="137" t="s">
        <v>775</v>
      </c>
      <c r="F1051" s="137">
        <v>1100000</v>
      </c>
      <c r="G1051" s="137" t="s">
        <v>43</v>
      </c>
      <c r="H1051" s="137" t="s">
        <v>271</v>
      </c>
      <c r="I1051" s="137" t="s">
        <v>36</v>
      </c>
      <c r="J1051" s="137">
        <v>1</v>
      </c>
    </row>
    <row r="1052" spans="1:10" hidden="1">
      <c r="A1052" s="137">
        <v>11</v>
      </c>
      <c r="B1052" s="1749" t="s">
        <v>915</v>
      </c>
      <c r="C1052" s="137" t="s">
        <v>138</v>
      </c>
      <c r="D1052" s="137" t="s">
        <v>947</v>
      </c>
      <c r="E1052" s="137" t="s">
        <v>78</v>
      </c>
      <c r="F1052" s="137">
        <v>900000</v>
      </c>
      <c r="G1052" s="137" t="s">
        <v>948</v>
      </c>
      <c r="H1052" s="137" t="s">
        <v>271</v>
      </c>
      <c r="I1052" s="137" t="s">
        <v>36</v>
      </c>
      <c r="J1052" s="137">
        <v>1</v>
      </c>
    </row>
    <row r="1053" spans="1:10" hidden="1">
      <c r="A1053" s="137">
        <v>12</v>
      </c>
      <c r="B1053" s="1749" t="s">
        <v>949</v>
      </c>
      <c r="C1053" s="137" t="s">
        <v>138</v>
      </c>
      <c r="D1053" s="137" t="s">
        <v>950</v>
      </c>
      <c r="E1053" s="137" t="s">
        <v>78</v>
      </c>
      <c r="F1053" s="137">
        <v>1000000</v>
      </c>
      <c r="G1053" s="137" t="s">
        <v>951</v>
      </c>
      <c r="H1053" s="137" t="s">
        <v>271</v>
      </c>
      <c r="I1053" s="137" t="s">
        <v>36</v>
      </c>
      <c r="J1053" s="137">
        <v>1</v>
      </c>
    </row>
    <row r="1054" spans="1:10" hidden="1">
      <c r="A1054" s="137">
        <v>13</v>
      </c>
      <c r="B1054" s="1749"/>
      <c r="C1054" s="137"/>
      <c r="D1054" s="137"/>
      <c r="E1054" s="137"/>
      <c r="F1054" s="137"/>
      <c r="G1054" s="137"/>
      <c r="H1054" s="137"/>
      <c r="I1054" s="137"/>
      <c r="J1054" s="137"/>
    </row>
    <row r="1055" spans="1:10" hidden="1">
      <c r="A1055" s="137">
        <v>14</v>
      </c>
      <c r="B1055" s="1749"/>
      <c r="C1055" s="137"/>
      <c r="D1055" s="137"/>
      <c r="E1055" s="137"/>
      <c r="F1055" s="137"/>
      <c r="G1055" s="137"/>
      <c r="H1055" s="137"/>
      <c r="I1055" s="137"/>
      <c r="J1055" s="137"/>
    </row>
    <row r="1056" spans="1:10" hidden="1">
      <c r="A1056" s="1749">
        <v>15</v>
      </c>
      <c r="B1056" s="2538"/>
      <c r="C1056" s="150"/>
      <c r="D1056" s="627"/>
      <c r="E1056" s="150"/>
      <c r="F1056" s="151"/>
      <c r="G1056" s="150"/>
      <c r="H1056" s="150"/>
      <c r="I1056" s="150"/>
      <c r="J1056" s="137"/>
    </row>
    <row r="1057" spans="1:10" hidden="1">
      <c r="A1057" s="1749">
        <v>16</v>
      </c>
      <c r="B1057" s="2538"/>
      <c r="C1057" s="150"/>
      <c r="D1057" s="627"/>
      <c r="E1057" s="150"/>
      <c r="F1057" s="151"/>
      <c r="G1057" s="150"/>
      <c r="H1057" s="150"/>
      <c r="I1057" s="150"/>
      <c r="J1057" s="137"/>
    </row>
    <row r="1058" spans="1:10" hidden="1">
      <c r="A1058" s="1749">
        <v>17</v>
      </c>
      <c r="B1058" s="2538"/>
      <c r="C1058" s="150"/>
      <c r="D1058" s="627"/>
      <c r="E1058" s="150"/>
      <c r="F1058" s="151"/>
      <c r="G1058" s="150"/>
      <c r="H1058" s="150"/>
      <c r="I1058" s="150"/>
      <c r="J1058" s="137"/>
    </row>
    <row r="1059" spans="1:10" hidden="1">
      <c r="A1059" s="1749">
        <v>18</v>
      </c>
      <c r="B1059" s="2538"/>
      <c r="C1059" s="150"/>
      <c r="D1059" s="627"/>
      <c r="E1059" s="150"/>
      <c r="F1059" s="151"/>
      <c r="G1059" s="150"/>
      <c r="H1059" s="150"/>
      <c r="I1059" s="150"/>
      <c r="J1059" s="137"/>
    </row>
    <row r="1060" spans="1:10" hidden="1">
      <c r="A1060" s="1749">
        <v>19</v>
      </c>
      <c r="B1060" s="1749"/>
      <c r="C1060" s="150"/>
      <c r="D1060" s="627"/>
      <c r="E1060" s="150"/>
      <c r="F1060" s="151"/>
      <c r="G1060" s="150"/>
      <c r="H1060" s="150"/>
      <c r="I1060" s="150"/>
      <c r="J1060" s="137"/>
    </row>
    <row r="1061" spans="1:10" hidden="1">
      <c r="A1061" s="1749">
        <v>20</v>
      </c>
      <c r="B1061" s="1749"/>
      <c r="C1061" s="150"/>
      <c r="D1061" s="627"/>
      <c r="E1061" s="150"/>
      <c r="F1061" s="151"/>
      <c r="G1061" s="150"/>
      <c r="H1061" s="150"/>
      <c r="I1061" s="150"/>
      <c r="J1061" s="137"/>
    </row>
    <row r="1062" spans="1:10" ht="25.9" hidden="1">
      <c r="A1062" s="1749"/>
      <c r="B1062" s="1749"/>
      <c r="C1062" s="150"/>
      <c r="D1062" s="627"/>
      <c r="E1062" s="150"/>
      <c r="F1062" s="151"/>
      <c r="G1062" s="150"/>
      <c r="H1062" s="150"/>
      <c r="I1062" s="150"/>
      <c r="J1062" s="907">
        <f>SUM(J1042:J1061)</f>
        <v>12</v>
      </c>
    </row>
    <row r="1063" spans="1:10" hidden="1">
      <c r="A1063" s="2744" t="s">
        <v>33</v>
      </c>
      <c r="B1063" s="2744"/>
      <c r="C1063" s="2744"/>
      <c r="D1063" s="2744"/>
      <c r="E1063" s="2744"/>
      <c r="F1063" s="2744"/>
      <c r="G1063" s="2744"/>
      <c r="H1063" s="2744"/>
      <c r="I1063" s="2744"/>
      <c r="J1063" s="2744"/>
    </row>
    <row r="1064" spans="1:10" hidden="1">
      <c r="A1064" s="137" t="s">
        <v>3</v>
      </c>
      <c r="B1064" s="1749" t="s">
        <v>4</v>
      </c>
      <c r="C1064" s="137" t="s">
        <v>5</v>
      </c>
      <c r="D1064" s="137" t="s">
        <v>6</v>
      </c>
      <c r="E1064" s="137" t="s">
        <v>7</v>
      </c>
      <c r="F1064" s="137" t="s">
        <v>8</v>
      </c>
      <c r="G1064" s="137" t="s">
        <v>9</v>
      </c>
      <c r="H1064" s="137" t="s">
        <v>10</v>
      </c>
      <c r="I1064" s="137" t="s">
        <v>11</v>
      </c>
      <c r="J1064" s="137" t="s">
        <v>12</v>
      </c>
    </row>
    <row r="1065" spans="1:10" hidden="1">
      <c r="A1065" s="541">
        <v>1</v>
      </c>
      <c r="B1065" s="2539" t="s">
        <v>782</v>
      </c>
      <c r="C1065" s="152" t="s">
        <v>74</v>
      </c>
      <c r="D1065" s="152" t="s">
        <v>952</v>
      </c>
      <c r="E1065" s="152" t="s">
        <v>953</v>
      </c>
      <c r="F1065" s="152">
        <v>115000000</v>
      </c>
      <c r="G1065" s="152" t="s">
        <v>168</v>
      </c>
      <c r="H1065" s="152" t="s">
        <v>271</v>
      </c>
      <c r="I1065" s="152" t="s">
        <v>36</v>
      </c>
      <c r="J1065" s="200">
        <v>1</v>
      </c>
    </row>
    <row r="1066" spans="1:10" hidden="1">
      <c r="A1066" s="541">
        <v>2</v>
      </c>
      <c r="B1066" s="2539" t="s">
        <v>647</v>
      </c>
      <c r="C1066" s="152" t="s">
        <v>138</v>
      </c>
      <c r="D1066" s="152" t="s">
        <v>954</v>
      </c>
      <c r="E1066" s="152" t="s">
        <v>78</v>
      </c>
      <c r="F1066" s="152">
        <v>245000000</v>
      </c>
      <c r="G1066" s="152" t="s">
        <v>359</v>
      </c>
      <c r="H1066" s="152" t="s">
        <v>271</v>
      </c>
      <c r="I1066" s="152" t="s">
        <v>36</v>
      </c>
      <c r="J1066" s="200">
        <v>1</v>
      </c>
    </row>
    <row r="1067" spans="1:10" hidden="1">
      <c r="A1067" s="583">
        <v>3</v>
      </c>
      <c r="B1067" s="581" t="s">
        <v>891</v>
      </c>
      <c r="C1067" s="144" t="s">
        <v>138</v>
      </c>
      <c r="D1067" s="144" t="s">
        <v>933</v>
      </c>
      <c r="E1067" s="144" t="s">
        <v>78</v>
      </c>
      <c r="F1067" s="144">
        <v>170000000</v>
      </c>
      <c r="G1067" s="144" t="s">
        <v>934</v>
      </c>
      <c r="H1067" s="144" t="s">
        <v>271</v>
      </c>
      <c r="I1067" s="144" t="s">
        <v>36</v>
      </c>
      <c r="J1067" s="144">
        <v>1</v>
      </c>
    </row>
    <row r="1068" spans="1:10" hidden="1">
      <c r="A1068" s="581">
        <v>4</v>
      </c>
      <c r="B1068" s="2546" t="s">
        <v>807</v>
      </c>
      <c r="C1068" s="996" t="s">
        <v>138</v>
      </c>
      <c r="D1068" s="996" t="s">
        <v>935</v>
      </c>
      <c r="E1068" s="996" t="s">
        <v>78</v>
      </c>
      <c r="F1068" s="996">
        <v>320000000</v>
      </c>
      <c r="G1068" s="996" t="s">
        <v>936</v>
      </c>
      <c r="H1068" s="996" t="s">
        <v>271</v>
      </c>
      <c r="I1068" s="996" t="s">
        <v>36</v>
      </c>
      <c r="J1068" s="996">
        <v>1</v>
      </c>
    </row>
    <row r="1069" spans="1:10" hidden="1">
      <c r="A1069" s="895">
        <v>5</v>
      </c>
      <c r="B1069" s="2545" t="s">
        <v>852</v>
      </c>
      <c r="C1069" s="861" t="s">
        <v>74</v>
      </c>
      <c r="D1069" s="861" t="s">
        <v>955</v>
      </c>
      <c r="E1069" s="861" t="s">
        <v>78</v>
      </c>
      <c r="F1069" s="861">
        <v>270000000</v>
      </c>
      <c r="G1069" s="861" t="s">
        <v>934</v>
      </c>
      <c r="H1069" s="861" t="s">
        <v>271</v>
      </c>
      <c r="I1069" s="861" t="s">
        <v>36</v>
      </c>
      <c r="J1069" s="860">
        <v>1</v>
      </c>
    </row>
    <row r="1070" spans="1:10" ht="24.6" hidden="1">
      <c r="A1070" s="860"/>
      <c r="B1070" s="895"/>
      <c r="C1070" s="860"/>
      <c r="D1070" s="860"/>
      <c r="E1070" s="860"/>
      <c r="F1070" s="860"/>
      <c r="G1070" s="860"/>
      <c r="H1070" s="860"/>
      <c r="I1070" s="860"/>
      <c r="J1070" s="906">
        <f>J1065+J1066+J1068+J1067+J1069</f>
        <v>5</v>
      </c>
    </row>
    <row r="1071" spans="1:10" hidden="1"/>
    <row r="1072" spans="1:10" hidden="1"/>
    <row r="1073" spans="1:10" hidden="1"/>
    <row r="1074" spans="1:10" ht="23.45" hidden="1">
      <c r="A1074" s="2746" t="s">
        <v>748</v>
      </c>
      <c r="B1074" s="2746"/>
      <c r="C1074" s="2746"/>
      <c r="D1074" s="2746"/>
      <c r="E1074" s="2746"/>
      <c r="F1074" s="2746"/>
      <c r="G1074" s="2746"/>
      <c r="H1074" s="2746"/>
      <c r="I1074" s="2746"/>
      <c r="J1074" s="2746"/>
    </row>
    <row r="1075" spans="1:10" ht="15.6" hidden="1">
      <c r="A1075" s="2737" t="s">
        <v>2</v>
      </c>
      <c r="B1075" s="2737"/>
      <c r="C1075" s="2737"/>
      <c r="D1075" s="2737"/>
      <c r="E1075" s="2737"/>
      <c r="F1075" s="2737"/>
      <c r="G1075" s="2737"/>
      <c r="H1075" s="2737"/>
      <c r="I1075" s="2737"/>
      <c r="J1075" s="2737"/>
    </row>
    <row r="1076" spans="1:10" hidden="1">
      <c r="A1076" s="137" t="s">
        <v>3</v>
      </c>
      <c r="B1076" s="1749" t="s">
        <v>4</v>
      </c>
      <c r="C1076" s="137" t="s">
        <v>5</v>
      </c>
      <c r="D1076" s="137" t="s">
        <v>6</v>
      </c>
      <c r="E1076" s="137" t="s">
        <v>7</v>
      </c>
      <c r="F1076" s="137" t="s">
        <v>8</v>
      </c>
      <c r="G1076" s="137" t="s">
        <v>9</v>
      </c>
      <c r="H1076" s="137" t="s">
        <v>10</v>
      </c>
      <c r="I1076" s="137" t="s">
        <v>11</v>
      </c>
      <c r="J1076" s="137" t="s">
        <v>12</v>
      </c>
    </row>
    <row r="1077" spans="1:10" hidden="1">
      <c r="A1077" s="137">
        <v>1</v>
      </c>
      <c r="B1077" s="1749" t="s">
        <v>782</v>
      </c>
      <c r="C1077" s="137" t="s">
        <v>138</v>
      </c>
      <c r="D1077" s="628" t="s">
        <v>956</v>
      </c>
      <c r="E1077" s="137" t="s">
        <v>775</v>
      </c>
      <c r="F1077" s="137">
        <v>800000</v>
      </c>
      <c r="G1077" s="137" t="s">
        <v>43</v>
      </c>
      <c r="H1077" s="137" t="s">
        <v>271</v>
      </c>
      <c r="I1077" s="137" t="s">
        <v>36</v>
      </c>
      <c r="J1077" s="137">
        <v>1</v>
      </c>
    </row>
    <row r="1078" spans="1:10" hidden="1">
      <c r="A1078" s="137">
        <v>2</v>
      </c>
      <c r="B1078" s="1749" t="s">
        <v>782</v>
      </c>
      <c r="C1078" s="137" t="s">
        <v>138</v>
      </c>
      <c r="D1078" s="628" t="s">
        <v>957</v>
      </c>
      <c r="E1078" s="137" t="s">
        <v>180</v>
      </c>
      <c r="F1078" s="137">
        <v>900000</v>
      </c>
      <c r="G1078" s="137" t="s">
        <v>43</v>
      </c>
      <c r="H1078" s="137" t="s">
        <v>271</v>
      </c>
      <c r="I1078" s="137" t="s">
        <v>36</v>
      </c>
      <c r="J1078" s="137">
        <v>1</v>
      </c>
    </row>
    <row r="1079" spans="1:10" hidden="1">
      <c r="A1079" s="137">
        <v>3</v>
      </c>
      <c r="B1079" s="1749" t="s">
        <v>782</v>
      </c>
      <c r="C1079" s="137" t="s">
        <v>138</v>
      </c>
      <c r="D1079" s="628" t="s">
        <v>958</v>
      </c>
      <c r="E1079" s="137" t="s">
        <v>180</v>
      </c>
      <c r="F1079" s="137">
        <v>1150000</v>
      </c>
      <c r="G1079" s="137" t="s">
        <v>959</v>
      </c>
      <c r="H1079" s="137" t="s">
        <v>271</v>
      </c>
      <c r="I1079" s="137" t="s">
        <v>36</v>
      </c>
      <c r="J1079" s="137">
        <v>1</v>
      </c>
    </row>
    <row r="1080" spans="1:10" hidden="1">
      <c r="A1080" s="137">
        <v>4</v>
      </c>
      <c r="B1080" s="1749" t="s">
        <v>782</v>
      </c>
      <c r="C1080" s="137" t="s">
        <v>138</v>
      </c>
      <c r="D1080" s="628" t="s">
        <v>960</v>
      </c>
      <c r="E1080" s="137" t="s">
        <v>822</v>
      </c>
      <c r="F1080" s="137">
        <v>950000</v>
      </c>
      <c r="G1080" s="137" t="s">
        <v>932</v>
      </c>
      <c r="H1080" s="137" t="s">
        <v>271</v>
      </c>
      <c r="I1080" s="137" t="s">
        <v>36</v>
      </c>
      <c r="J1080" s="137">
        <v>1</v>
      </c>
    </row>
    <row r="1081" spans="1:10" hidden="1">
      <c r="A1081" s="137">
        <v>5</v>
      </c>
      <c r="B1081" s="1749" t="s">
        <v>782</v>
      </c>
      <c r="C1081" s="137" t="s">
        <v>138</v>
      </c>
      <c r="D1081" s="628" t="s">
        <v>961</v>
      </c>
      <c r="E1081" s="137" t="s">
        <v>962</v>
      </c>
      <c r="F1081" s="137">
        <v>1250000</v>
      </c>
      <c r="G1081" s="137" t="s">
        <v>963</v>
      </c>
      <c r="H1081" s="137" t="s">
        <v>271</v>
      </c>
      <c r="I1081" s="137" t="s">
        <v>36</v>
      </c>
      <c r="J1081" s="137">
        <v>1</v>
      </c>
    </row>
    <row r="1082" spans="1:10" hidden="1">
      <c r="A1082" s="137">
        <v>6</v>
      </c>
      <c r="B1082" s="1749" t="s">
        <v>964</v>
      </c>
      <c r="C1082" s="137" t="s">
        <v>138</v>
      </c>
      <c r="D1082" s="628" t="s">
        <v>823</v>
      </c>
      <c r="E1082" s="137" t="s">
        <v>965</v>
      </c>
      <c r="F1082" s="137">
        <v>700000</v>
      </c>
      <c r="G1082" s="137" t="s">
        <v>966</v>
      </c>
      <c r="H1082" s="137" t="s">
        <v>271</v>
      </c>
      <c r="I1082" s="137" t="s">
        <v>36</v>
      </c>
      <c r="J1082" s="137">
        <v>1</v>
      </c>
    </row>
    <row r="1083" spans="1:10" hidden="1">
      <c r="A1083" s="137">
        <v>7</v>
      </c>
      <c r="B1083" s="1749" t="s">
        <v>807</v>
      </c>
      <c r="C1083" s="137" t="s">
        <v>138</v>
      </c>
      <c r="D1083" s="628" t="s">
        <v>967</v>
      </c>
      <c r="E1083" s="137" t="s">
        <v>805</v>
      </c>
      <c r="F1083" s="137">
        <v>1050000</v>
      </c>
      <c r="G1083" s="137" t="s">
        <v>652</v>
      </c>
      <c r="H1083" s="137" t="s">
        <v>271</v>
      </c>
      <c r="I1083" s="137" t="s">
        <v>36</v>
      </c>
      <c r="J1083" s="137">
        <v>1</v>
      </c>
    </row>
    <row r="1084" spans="1:10" hidden="1">
      <c r="A1084" s="137">
        <v>8</v>
      </c>
      <c r="B1084" s="1749" t="s">
        <v>810</v>
      </c>
      <c r="C1084" s="137" t="s">
        <v>138</v>
      </c>
      <c r="D1084" s="628" t="s">
        <v>968</v>
      </c>
      <c r="E1084" s="137" t="s">
        <v>969</v>
      </c>
      <c r="F1084" s="137">
        <v>720000</v>
      </c>
      <c r="G1084" s="137" t="s">
        <v>43</v>
      </c>
      <c r="H1084" s="137" t="s">
        <v>271</v>
      </c>
      <c r="I1084" s="137" t="s">
        <v>36</v>
      </c>
      <c r="J1084" s="137">
        <v>1</v>
      </c>
    </row>
    <row r="1085" spans="1:10" hidden="1">
      <c r="A1085" s="137">
        <v>9</v>
      </c>
      <c r="B1085" s="1749" t="s">
        <v>856</v>
      </c>
      <c r="C1085" s="137" t="s">
        <v>138</v>
      </c>
      <c r="D1085" s="628" t="s">
        <v>970</v>
      </c>
      <c r="E1085" s="137" t="s">
        <v>925</v>
      </c>
      <c r="F1085" s="137">
        <v>700000</v>
      </c>
      <c r="G1085" s="137" t="s">
        <v>43</v>
      </c>
      <c r="H1085" s="137" t="s">
        <v>271</v>
      </c>
      <c r="I1085" s="137" t="s">
        <v>36</v>
      </c>
      <c r="J1085" s="137">
        <v>1</v>
      </c>
    </row>
    <row r="1086" spans="1:10" hidden="1">
      <c r="A1086" s="137">
        <v>10</v>
      </c>
      <c r="B1086" s="1749" t="s">
        <v>816</v>
      </c>
      <c r="C1086" s="137" t="s">
        <v>662</v>
      </c>
      <c r="D1086" s="628" t="s">
        <v>971</v>
      </c>
      <c r="E1086" s="137" t="s">
        <v>972</v>
      </c>
      <c r="F1086" s="137">
        <v>5000000</v>
      </c>
      <c r="G1086" s="137" t="s">
        <v>43</v>
      </c>
      <c r="H1086" s="137" t="s">
        <v>271</v>
      </c>
      <c r="I1086" s="137" t="s">
        <v>36</v>
      </c>
      <c r="J1086" s="137">
        <v>1</v>
      </c>
    </row>
    <row r="1087" spans="1:10" hidden="1">
      <c r="A1087" s="137">
        <v>11</v>
      </c>
      <c r="B1087" s="1749" t="s">
        <v>973</v>
      </c>
      <c r="C1087" s="137" t="s">
        <v>138</v>
      </c>
      <c r="D1087" s="628" t="s">
        <v>974</v>
      </c>
      <c r="E1087" s="137" t="s">
        <v>869</v>
      </c>
      <c r="F1087" s="137">
        <v>1300000</v>
      </c>
      <c r="G1087" s="137" t="s">
        <v>585</v>
      </c>
      <c r="H1087" s="137" t="s">
        <v>271</v>
      </c>
      <c r="I1087" s="137" t="s">
        <v>36</v>
      </c>
      <c r="J1087" s="137">
        <v>1</v>
      </c>
    </row>
    <row r="1088" spans="1:10" hidden="1">
      <c r="A1088" s="137">
        <v>12</v>
      </c>
      <c r="B1088" s="1749" t="s">
        <v>973</v>
      </c>
      <c r="C1088" s="137" t="s">
        <v>138</v>
      </c>
      <c r="D1088" s="628" t="s">
        <v>975</v>
      </c>
      <c r="E1088" s="137" t="s">
        <v>885</v>
      </c>
      <c r="F1088" s="137">
        <v>900000</v>
      </c>
      <c r="G1088" s="137" t="s">
        <v>680</v>
      </c>
      <c r="H1088" s="137" t="s">
        <v>271</v>
      </c>
      <c r="I1088" s="137" t="s">
        <v>36</v>
      </c>
      <c r="J1088" s="137">
        <v>1</v>
      </c>
    </row>
    <row r="1089" spans="1:10" hidden="1">
      <c r="A1089" s="137">
        <v>13</v>
      </c>
      <c r="B1089" s="1749" t="s">
        <v>973</v>
      </c>
      <c r="C1089" s="137" t="s">
        <v>138</v>
      </c>
      <c r="D1089" s="628" t="s">
        <v>976</v>
      </c>
      <c r="E1089" s="137" t="s">
        <v>802</v>
      </c>
      <c r="F1089" s="137">
        <v>1200000</v>
      </c>
      <c r="G1089" s="137" t="s">
        <v>963</v>
      </c>
      <c r="H1089" s="137" t="s">
        <v>271</v>
      </c>
      <c r="I1089" s="137" t="s">
        <v>36</v>
      </c>
      <c r="J1089" s="137">
        <v>1</v>
      </c>
    </row>
    <row r="1090" spans="1:10" hidden="1">
      <c r="A1090" s="137">
        <v>14</v>
      </c>
      <c r="B1090" s="1749" t="s">
        <v>973</v>
      </c>
      <c r="C1090" s="137" t="s">
        <v>138</v>
      </c>
      <c r="D1090" s="628" t="s">
        <v>977</v>
      </c>
      <c r="E1090" s="137" t="s">
        <v>802</v>
      </c>
      <c r="F1090" s="137">
        <v>1000000</v>
      </c>
      <c r="G1090" s="137" t="s">
        <v>963</v>
      </c>
      <c r="H1090" s="137" t="s">
        <v>271</v>
      </c>
      <c r="I1090" s="137" t="s">
        <v>36</v>
      </c>
      <c r="J1090" s="137">
        <v>1</v>
      </c>
    </row>
    <row r="1091" spans="1:10" hidden="1">
      <c r="A1091" s="1749">
        <v>15</v>
      </c>
      <c r="B1091" s="2538" t="s">
        <v>911</v>
      </c>
      <c r="C1091" s="150" t="s">
        <v>138</v>
      </c>
      <c r="D1091" s="627" t="s">
        <v>978</v>
      </c>
      <c r="E1091" s="150" t="s">
        <v>216</v>
      </c>
      <c r="F1091" s="151">
        <v>850000</v>
      </c>
      <c r="G1091" s="150" t="s">
        <v>43</v>
      </c>
      <c r="H1091" s="150" t="s">
        <v>271</v>
      </c>
      <c r="I1091" s="150" t="s">
        <v>36</v>
      </c>
      <c r="J1091" s="137">
        <v>1</v>
      </c>
    </row>
    <row r="1092" spans="1:10" hidden="1">
      <c r="A1092" s="1749">
        <v>16</v>
      </c>
      <c r="B1092" s="2538" t="s">
        <v>927</v>
      </c>
      <c r="C1092" s="150" t="s">
        <v>138</v>
      </c>
      <c r="D1092" s="627" t="s">
        <v>979</v>
      </c>
      <c r="E1092" s="150" t="s">
        <v>125</v>
      </c>
      <c r="F1092" s="151">
        <v>1300000</v>
      </c>
      <c r="G1092" s="150" t="s">
        <v>980</v>
      </c>
      <c r="H1092" s="150" t="s">
        <v>271</v>
      </c>
      <c r="I1092" s="150" t="s">
        <v>36</v>
      </c>
      <c r="J1092" s="137">
        <v>1</v>
      </c>
    </row>
    <row r="1093" spans="1:10" hidden="1">
      <c r="A1093" s="1749">
        <v>17</v>
      </c>
      <c r="B1093" s="2538" t="s">
        <v>927</v>
      </c>
      <c r="C1093" s="150" t="s">
        <v>138</v>
      </c>
      <c r="D1093" s="627" t="s">
        <v>981</v>
      </c>
      <c r="E1093" s="150" t="s">
        <v>125</v>
      </c>
      <c r="F1093" s="151">
        <v>1100000</v>
      </c>
      <c r="G1093" s="150" t="s">
        <v>652</v>
      </c>
      <c r="H1093" s="150" t="s">
        <v>271</v>
      </c>
      <c r="I1093" s="150" t="s">
        <v>36</v>
      </c>
      <c r="J1093" s="137">
        <v>1</v>
      </c>
    </row>
    <row r="1094" spans="1:10" hidden="1">
      <c r="A1094" s="1749">
        <v>18</v>
      </c>
      <c r="B1094" s="2538" t="s">
        <v>915</v>
      </c>
      <c r="C1094" s="150" t="s">
        <v>138</v>
      </c>
      <c r="D1094" s="627" t="s">
        <v>982</v>
      </c>
      <c r="E1094" s="150" t="s">
        <v>802</v>
      </c>
      <c r="F1094" s="151">
        <v>1300000</v>
      </c>
      <c r="G1094" s="150" t="s">
        <v>963</v>
      </c>
      <c r="H1094" s="150" t="s">
        <v>271</v>
      </c>
      <c r="I1094" s="150" t="s">
        <v>36</v>
      </c>
      <c r="J1094" s="137">
        <v>1</v>
      </c>
    </row>
    <row r="1095" spans="1:10" hidden="1">
      <c r="A1095" s="1749">
        <v>19</v>
      </c>
      <c r="B1095" s="1749" t="s">
        <v>915</v>
      </c>
      <c r="C1095" s="150" t="s">
        <v>138</v>
      </c>
      <c r="D1095" s="627" t="s">
        <v>983</v>
      </c>
      <c r="E1095" s="150" t="s">
        <v>984</v>
      </c>
      <c r="F1095" s="151">
        <v>850000</v>
      </c>
      <c r="G1095" s="150" t="s">
        <v>43</v>
      </c>
      <c r="H1095" s="150" t="s">
        <v>271</v>
      </c>
      <c r="I1095" s="150" t="s">
        <v>36</v>
      </c>
      <c r="J1095" s="137">
        <v>1</v>
      </c>
    </row>
    <row r="1096" spans="1:10" hidden="1">
      <c r="A1096" s="1749">
        <v>20</v>
      </c>
      <c r="B1096" s="1749" t="s">
        <v>915</v>
      </c>
      <c r="C1096" s="150" t="s">
        <v>138</v>
      </c>
      <c r="D1096" s="627" t="s">
        <v>985</v>
      </c>
      <c r="E1096" s="150" t="s">
        <v>802</v>
      </c>
      <c r="F1096" s="151">
        <v>1200000</v>
      </c>
      <c r="G1096" s="150" t="s">
        <v>963</v>
      </c>
      <c r="H1096" s="150" t="s">
        <v>271</v>
      </c>
      <c r="I1096" s="150" t="s">
        <v>36</v>
      </c>
      <c r="J1096" s="137">
        <v>1</v>
      </c>
    </row>
    <row r="1097" spans="1:10" hidden="1">
      <c r="A1097" s="1749">
        <v>21</v>
      </c>
      <c r="B1097" s="1749" t="s">
        <v>874</v>
      </c>
      <c r="C1097" s="150" t="s">
        <v>138</v>
      </c>
      <c r="D1097" s="627" t="s">
        <v>986</v>
      </c>
      <c r="E1097" s="150" t="s">
        <v>802</v>
      </c>
      <c r="F1097" s="151">
        <v>1300000</v>
      </c>
      <c r="G1097" s="150" t="s">
        <v>987</v>
      </c>
      <c r="H1097" s="150" t="s">
        <v>271</v>
      </c>
      <c r="I1097" s="150" t="s">
        <v>36</v>
      </c>
      <c r="J1097" s="137">
        <v>1</v>
      </c>
    </row>
    <row r="1098" spans="1:10" ht="25.9" hidden="1">
      <c r="A1098" s="1749"/>
      <c r="B1098" s="1749"/>
      <c r="C1098" s="150"/>
      <c r="D1098" s="627"/>
      <c r="E1098" s="150"/>
      <c r="F1098" s="151"/>
      <c r="G1098" s="150"/>
      <c r="H1098" s="150"/>
      <c r="I1098" s="150"/>
      <c r="J1098" s="907">
        <f>SUM(J1077:J1097)</f>
        <v>21</v>
      </c>
    </row>
    <row r="1099" spans="1:10" hidden="1">
      <c r="A1099" s="2744" t="s">
        <v>33</v>
      </c>
      <c r="B1099" s="2744"/>
      <c r="C1099" s="2744"/>
      <c r="D1099" s="2744"/>
      <c r="E1099" s="2744"/>
      <c r="F1099" s="2744"/>
      <c r="G1099" s="2744"/>
      <c r="H1099" s="2744"/>
      <c r="I1099" s="2744"/>
      <c r="J1099" s="2744"/>
    </row>
    <row r="1100" spans="1:10" hidden="1">
      <c r="A1100" s="137" t="s">
        <v>3</v>
      </c>
      <c r="B1100" s="1749" t="s">
        <v>4</v>
      </c>
      <c r="C1100" s="137" t="s">
        <v>5</v>
      </c>
      <c r="D1100" s="137" t="s">
        <v>6</v>
      </c>
      <c r="E1100" s="137" t="s">
        <v>7</v>
      </c>
      <c r="F1100" s="137" t="s">
        <v>8</v>
      </c>
      <c r="G1100" s="137" t="s">
        <v>9</v>
      </c>
      <c r="H1100" s="137" t="s">
        <v>10</v>
      </c>
      <c r="I1100" s="137" t="s">
        <v>11</v>
      </c>
      <c r="J1100" s="137" t="s">
        <v>12</v>
      </c>
    </row>
    <row r="1101" spans="1:10" hidden="1">
      <c r="A1101" s="541">
        <v>1</v>
      </c>
      <c r="B1101" s="2539" t="s">
        <v>782</v>
      </c>
      <c r="C1101" s="152" t="s">
        <v>74</v>
      </c>
      <c r="D1101" s="152" t="s">
        <v>988</v>
      </c>
      <c r="E1101" s="152" t="s">
        <v>775</v>
      </c>
      <c r="F1101" s="152">
        <v>165000000</v>
      </c>
      <c r="G1101" s="152" t="s">
        <v>168</v>
      </c>
      <c r="H1101" s="152" t="s">
        <v>271</v>
      </c>
      <c r="I1101" s="152" t="s">
        <v>36</v>
      </c>
      <c r="J1101" s="200">
        <v>1</v>
      </c>
    </row>
    <row r="1102" spans="1:10" hidden="1">
      <c r="A1102" s="541">
        <v>2</v>
      </c>
      <c r="B1102" s="541" t="s">
        <v>856</v>
      </c>
      <c r="C1102" s="140" t="s">
        <v>138</v>
      </c>
      <c r="D1102" s="140" t="s">
        <v>989</v>
      </c>
      <c r="E1102" s="140" t="s">
        <v>990</v>
      </c>
      <c r="F1102" s="140">
        <v>155000000</v>
      </c>
      <c r="G1102" s="140" t="s">
        <v>43</v>
      </c>
      <c r="H1102" s="140" t="s">
        <v>271</v>
      </c>
      <c r="I1102" s="140" t="s">
        <v>36</v>
      </c>
      <c r="J1102" s="140">
        <v>1</v>
      </c>
    </row>
    <row r="1103" spans="1:10" hidden="1">
      <c r="A1103" s="583">
        <v>3</v>
      </c>
      <c r="B1103" s="2540" t="s">
        <v>911</v>
      </c>
      <c r="C1103" s="154" t="s">
        <v>138</v>
      </c>
      <c r="D1103" s="154" t="s">
        <v>842</v>
      </c>
      <c r="E1103" s="154" t="s">
        <v>802</v>
      </c>
      <c r="F1103" s="154" t="s">
        <v>991</v>
      </c>
      <c r="G1103" s="154" t="s">
        <v>963</v>
      </c>
      <c r="H1103" s="154" t="s">
        <v>271</v>
      </c>
      <c r="I1103" s="154" t="s">
        <v>36</v>
      </c>
      <c r="J1103" s="584">
        <v>1</v>
      </c>
    </row>
    <row r="1104" spans="1:10" ht="24.6" hidden="1">
      <c r="A1104" s="144"/>
      <c r="B1104" s="581"/>
      <c r="C1104" s="144"/>
      <c r="D1104" s="144"/>
      <c r="E1104" s="144"/>
      <c r="F1104" s="144"/>
      <c r="G1104" s="144"/>
      <c r="H1104" s="144"/>
      <c r="I1104" s="144"/>
      <c r="J1104" s="908">
        <f>J1101+J1102+J1103</f>
        <v>3</v>
      </c>
    </row>
    <row r="1105" spans="1:10" hidden="1"/>
    <row r="1106" spans="1:10" hidden="1"/>
    <row r="1107" spans="1:10" ht="23.45" hidden="1">
      <c r="A1107" s="2746" t="s">
        <v>732</v>
      </c>
      <c r="B1107" s="2746"/>
      <c r="C1107" s="2746"/>
      <c r="D1107" s="2746"/>
      <c r="E1107" s="2746"/>
      <c r="F1107" s="2746"/>
      <c r="G1107" s="2746"/>
      <c r="H1107" s="2746"/>
      <c r="I1107" s="2746"/>
      <c r="J1107" s="2746"/>
    </row>
    <row r="1108" spans="1:10" ht="15.6" hidden="1">
      <c r="A1108" s="2737" t="s">
        <v>2</v>
      </c>
      <c r="B1108" s="2737"/>
      <c r="C1108" s="2737"/>
      <c r="D1108" s="2737"/>
      <c r="E1108" s="2737"/>
      <c r="F1108" s="2737"/>
      <c r="G1108" s="2737"/>
      <c r="H1108" s="2737"/>
      <c r="I1108" s="2737"/>
      <c r="J1108" s="2737"/>
    </row>
    <row r="1109" spans="1:10" hidden="1">
      <c r="A1109" s="137" t="s">
        <v>3</v>
      </c>
      <c r="B1109" s="1749" t="s">
        <v>4</v>
      </c>
      <c r="C1109" s="137" t="s">
        <v>5</v>
      </c>
      <c r="D1109" s="137" t="s">
        <v>6</v>
      </c>
      <c r="E1109" s="137" t="s">
        <v>7</v>
      </c>
      <c r="F1109" s="137" t="s">
        <v>8</v>
      </c>
      <c r="G1109" s="137" t="s">
        <v>9</v>
      </c>
      <c r="H1109" s="137" t="s">
        <v>10</v>
      </c>
      <c r="I1109" s="137" t="s">
        <v>11</v>
      </c>
      <c r="J1109" s="137" t="s">
        <v>12</v>
      </c>
    </row>
    <row r="1110" spans="1:10" hidden="1">
      <c r="A1110" s="137">
        <v>1</v>
      </c>
      <c r="B1110" s="1749" t="s">
        <v>782</v>
      </c>
      <c r="C1110" s="137" t="s">
        <v>138</v>
      </c>
      <c r="D1110" s="137" t="s">
        <v>992</v>
      </c>
      <c r="E1110" s="137" t="s">
        <v>858</v>
      </c>
      <c r="F1110" s="137">
        <v>1400000</v>
      </c>
      <c r="G1110" s="137" t="s">
        <v>43</v>
      </c>
      <c r="H1110" s="137" t="s">
        <v>271</v>
      </c>
      <c r="I1110" s="137" t="s">
        <v>36</v>
      </c>
      <c r="J1110" s="137">
        <v>1</v>
      </c>
    </row>
    <row r="1111" spans="1:10" hidden="1">
      <c r="A1111" s="137">
        <v>2</v>
      </c>
      <c r="B1111" s="1749" t="s">
        <v>856</v>
      </c>
      <c r="C1111" s="137" t="s">
        <v>138</v>
      </c>
      <c r="D1111" s="137" t="s">
        <v>993</v>
      </c>
      <c r="E1111" s="137" t="s">
        <v>802</v>
      </c>
      <c r="F1111" s="137">
        <v>1300000</v>
      </c>
      <c r="G1111" s="137" t="s">
        <v>43</v>
      </c>
      <c r="H1111" s="137" t="s">
        <v>271</v>
      </c>
      <c r="I1111" s="137" t="s">
        <v>36</v>
      </c>
      <c r="J1111" s="137">
        <v>1</v>
      </c>
    </row>
    <row r="1112" spans="1:10" hidden="1">
      <c r="A1112" s="137">
        <v>3</v>
      </c>
      <c r="B1112" s="1749" t="s">
        <v>838</v>
      </c>
      <c r="C1112" s="137" t="s">
        <v>662</v>
      </c>
      <c r="D1112" s="137" t="s">
        <v>994</v>
      </c>
      <c r="E1112" s="137" t="s">
        <v>995</v>
      </c>
      <c r="F1112" s="137">
        <v>2500000</v>
      </c>
      <c r="G1112" s="137" t="s">
        <v>43</v>
      </c>
      <c r="H1112" s="137" t="s">
        <v>271</v>
      </c>
      <c r="I1112" s="137" t="s">
        <v>36</v>
      </c>
      <c r="J1112" s="137">
        <v>1</v>
      </c>
    </row>
    <row r="1113" spans="1:10" hidden="1">
      <c r="A1113" s="137">
        <v>4</v>
      </c>
      <c r="B1113" s="1749" t="s">
        <v>915</v>
      </c>
      <c r="C1113" s="137" t="s">
        <v>138</v>
      </c>
      <c r="D1113" s="137" t="s">
        <v>996</v>
      </c>
      <c r="E1113" s="137" t="s">
        <v>168</v>
      </c>
      <c r="F1113" s="137">
        <v>700000</v>
      </c>
      <c r="G1113" s="137" t="s">
        <v>43</v>
      </c>
      <c r="H1113" s="137" t="s">
        <v>271</v>
      </c>
      <c r="I1113" s="137" t="s">
        <v>36</v>
      </c>
      <c r="J1113" s="137">
        <v>1</v>
      </c>
    </row>
    <row r="1114" spans="1:10" hidden="1">
      <c r="A1114" s="137">
        <v>5</v>
      </c>
      <c r="B1114" s="1749"/>
      <c r="C1114" s="137"/>
      <c r="D1114" s="137"/>
      <c r="E1114" s="137"/>
      <c r="F1114" s="137"/>
      <c r="G1114" s="137"/>
      <c r="H1114" s="137"/>
      <c r="I1114" s="137"/>
      <c r="J1114" s="137"/>
    </row>
    <row r="1115" spans="1:10" hidden="1">
      <c r="A1115" s="137">
        <v>6</v>
      </c>
      <c r="B1115" s="1749"/>
      <c r="C1115" s="137"/>
      <c r="D1115" s="137"/>
      <c r="E1115" s="137"/>
      <c r="F1115" s="137"/>
      <c r="G1115" s="137"/>
      <c r="H1115" s="137"/>
      <c r="I1115" s="137"/>
      <c r="J1115" s="137"/>
    </row>
    <row r="1116" spans="1:10" hidden="1">
      <c r="A1116" s="137">
        <v>7</v>
      </c>
      <c r="B1116" s="1749"/>
      <c r="C1116" s="137"/>
      <c r="D1116" s="137"/>
      <c r="E1116" s="137"/>
      <c r="F1116" s="137"/>
      <c r="G1116" s="137"/>
      <c r="H1116" s="137"/>
      <c r="I1116" s="137"/>
      <c r="J1116" s="137"/>
    </row>
    <row r="1117" spans="1:10" hidden="1">
      <c r="A1117" s="137">
        <v>8</v>
      </c>
      <c r="B1117" s="1749"/>
      <c r="C1117" s="137"/>
      <c r="D1117" s="137"/>
      <c r="E1117" s="137"/>
      <c r="F1117" s="137"/>
      <c r="G1117" s="137"/>
      <c r="H1117" s="137"/>
      <c r="I1117" s="137"/>
      <c r="J1117" s="137"/>
    </row>
    <row r="1118" spans="1:10" hidden="1">
      <c r="A1118" s="137">
        <v>9</v>
      </c>
      <c r="B1118" s="1749"/>
      <c r="C1118" s="137"/>
      <c r="D1118" s="137"/>
      <c r="E1118" s="137"/>
      <c r="F1118" s="137"/>
      <c r="G1118" s="137"/>
      <c r="H1118" s="137"/>
      <c r="I1118" s="137"/>
      <c r="J1118" s="137"/>
    </row>
    <row r="1119" spans="1:10" hidden="1">
      <c r="A1119" s="137">
        <v>10</v>
      </c>
      <c r="B1119" s="1749"/>
      <c r="C1119" s="137"/>
      <c r="D1119" s="137"/>
      <c r="E1119" s="137"/>
      <c r="F1119" s="137"/>
      <c r="G1119" s="137"/>
      <c r="H1119" s="137"/>
      <c r="I1119" s="137"/>
      <c r="J1119" s="137"/>
    </row>
    <row r="1120" spans="1:10" hidden="1">
      <c r="A1120" s="137">
        <v>11</v>
      </c>
      <c r="B1120" s="1749"/>
      <c r="C1120" s="137"/>
      <c r="D1120" s="137"/>
      <c r="E1120" s="137"/>
      <c r="F1120" s="137"/>
      <c r="G1120" s="137"/>
      <c r="H1120" s="137"/>
      <c r="I1120" s="137"/>
      <c r="J1120" s="137"/>
    </row>
    <row r="1121" spans="1:10" hidden="1">
      <c r="A1121" s="137">
        <v>12</v>
      </c>
      <c r="B1121" s="1749"/>
      <c r="C1121" s="137"/>
      <c r="D1121" s="137"/>
      <c r="E1121" s="137"/>
      <c r="F1121" s="137"/>
      <c r="G1121" s="137"/>
      <c r="H1121" s="137"/>
      <c r="I1121" s="137"/>
      <c r="J1121" s="137"/>
    </row>
    <row r="1122" spans="1:10" hidden="1">
      <c r="A1122" s="137">
        <v>13</v>
      </c>
      <c r="B1122" s="1749"/>
      <c r="C1122" s="137"/>
      <c r="D1122" s="137"/>
      <c r="E1122" s="137"/>
      <c r="F1122" s="137"/>
      <c r="G1122" s="137"/>
      <c r="H1122" s="137"/>
      <c r="I1122" s="137"/>
      <c r="J1122" s="137"/>
    </row>
    <row r="1123" spans="1:10" hidden="1">
      <c r="A1123" s="137">
        <v>14</v>
      </c>
      <c r="B1123" s="1749"/>
      <c r="C1123" s="137"/>
      <c r="D1123" s="137"/>
      <c r="E1123" s="137"/>
      <c r="F1123" s="137"/>
      <c r="G1123" s="137"/>
      <c r="H1123" s="137"/>
      <c r="I1123" s="137"/>
      <c r="J1123" s="137"/>
    </row>
    <row r="1124" spans="1:10" hidden="1">
      <c r="A1124" s="1749">
        <v>15</v>
      </c>
      <c r="B1124" s="2538"/>
      <c r="C1124" s="150"/>
      <c r="D1124" s="627"/>
      <c r="E1124" s="150"/>
      <c r="F1124" s="151"/>
      <c r="G1124" s="150"/>
      <c r="H1124" s="150"/>
      <c r="I1124" s="150"/>
      <c r="J1124" s="137"/>
    </row>
    <row r="1125" spans="1:10" hidden="1">
      <c r="A1125" s="1749">
        <v>16</v>
      </c>
      <c r="B1125" s="2538"/>
      <c r="C1125" s="150"/>
      <c r="D1125" s="627"/>
      <c r="E1125" s="150"/>
      <c r="F1125" s="151"/>
      <c r="G1125" s="150"/>
      <c r="H1125" s="150"/>
      <c r="I1125" s="150"/>
      <c r="J1125" s="137"/>
    </row>
    <row r="1126" spans="1:10" hidden="1">
      <c r="A1126" s="1749">
        <v>17</v>
      </c>
      <c r="B1126" s="2538"/>
      <c r="C1126" s="150"/>
      <c r="D1126" s="627"/>
      <c r="E1126" s="150"/>
      <c r="F1126" s="151"/>
      <c r="G1126" s="150"/>
      <c r="H1126" s="150"/>
      <c r="I1126" s="150"/>
      <c r="J1126" s="137"/>
    </row>
    <row r="1127" spans="1:10" hidden="1">
      <c r="A1127" s="1749">
        <v>18</v>
      </c>
      <c r="B1127" s="2538"/>
      <c r="C1127" s="150"/>
      <c r="D1127" s="627"/>
      <c r="E1127" s="150"/>
      <c r="F1127" s="151"/>
      <c r="G1127" s="150"/>
      <c r="H1127" s="150"/>
      <c r="I1127" s="150"/>
      <c r="J1127" s="137"/>
    </row>
    <row r="1128" spans="1:10" hidden="1">
      <c r="A1128" s="1749">
        <v>19</v>
      </c>
      <c r="B1128" s="1749"/>
      <c r="C1128" s="150"/>
      <c r="D1128" s="627"/>
      <c r="E1128" s="150"/>
      <c r="F1128" s="151"/>
      <c r="G1128" s="150"/>
      <c r="H1128" s="150"/>
      <c r="I1128" s="150"/>
      <c r="J1128" s="137"/>
    </row>
    <row r="1129" spans="1:10" hidden="1">
      <c r="A1129" s="1749">
        <v>20</v>
      </c>
      <c r="B1129" s="1749"/>
      <c r="C1129" s="150"/>
      <c r="D1129" s="627"/>
      <c r="E1129" s="150"/>
      <c r="F1129" s="151"/>
      <c r="G1129" s="150"/>
      <c r="H1129" s="150"/>
      <c r="I1129" s="150"/>
      <c r="J1129" s="137"/>
    </row>
    <row r="1130" spans="1:10" ht="25.9" hidden="1">
      <c r="A1130" s="1749"/>
      <c r="B1130" s="1749"/>
      <c r="C1130" s="150"/>
      <c r="D1130" s="627"/>
      <c r="E1130" s="150"/>
      <c r="F1130" s="151"/>
      <c r="G1130" s="150"/>
      <c r="H1130" s="150"/>
      <c r="I1130" s="150"/>
      <c r="J1130" s="907">
        <f>SUM(J1110:J1111)</f>
        <v>2</v>
      </c>
    </row>
    <row r="1131" spans="1:10" hidden="1">
      <c r="A1131" s="2744" t="s">
        <v>33</v>
      </c>
      <c r="B1131" s="2744"/>
      <c r="C1131" s="2744"/>
      <c r="D1131" s="2744"/>
      <c r="E1131" s="2744"/>
      <c r="F1131" s="2744"/>
      <c r="G1131" s="2744"/>
      <c r="H1131" s="2744"/>
      <c r="I1131" s="2744"/>
      <c r="J1131" s="2744"/>
    </row>
    <row r="1132" spans="1:10" hidden="1">
      <c r="A1132" s="137" t="s">
        <v>3</v>
      </c>
      <c r="B1132" s="1749" t="s">
        <v>4</v>
      </c>
      <c r="C1132" s="137" t="s">
        <v>5</v>
      </c>
      <c r="D1132" s="137" t="s">
        <v>6</v>
      </c>
      <c r="E1132" s="137" t="s">
        <v>7</v>
      </c>
      <c r="F1132" s="137" t="s">
        <v>8</v>
      </c>
      <c r="G1132" s="137" t="s">
        <v>9</v>
      </c>
      <c r="H1132" s="137" t="s">
        <v>10</v>
      </c>
      <c r="I1132" s="137" t="s">
        <v>11</v>
      </c>
      <c r="J1132" s="137" t="s">
        <v>12</v>
      </c>
    </row>
    <row r="1133" spans="1:10" hidden="1">
      <c r="A1133" s="541">
        <v>1</v>
      </c>
      <c r="B1133" s="2539" t="s">
        <v>647</v>
      </c>
      <c r="C1133" s="152" t="s">
        <v>138</v>
      </c>
      <c r="D1133" s="152" t="s">
        <v>997</v>
      </c>
      <c r="E1133" s="152" t="s">
        <v>998</v>
      </c>
      <c r="F1133" s="152">
        <v>248000000</v>
      </c>
      <c r="G1133" s="152" t="s">
        <v>999</v>
      </c>
      <c r="H1133" s="152" t="s">
        <v>271</v>
      </c>
      <c r="I1133" s="152" t="s">
        <v>36</v>
      </c>
      <c r="J1133" s="200">
        <v>1</v>
      </c>
    </row>
    <row r="1134" spans="1:10" hidden="1">
      <c r="A1134" s="541">
        <v>2</v>
      </c>
      <c r="B1134" s="2539"/>
      <c r="C1134" s="152"/>
      <c r="D1134" s="152"/>
      <c r="E1134" s="152"/>
      <c r="F1134" s="152"/>
      <c r="G1134" s="152"/>
      <c r="H1134" s="152"/>
      <c r="I1134" s="152"/>
      <c r="J1134" s="200"/>
    </row>
    <row r="1135" spans="1:10" hidden="1">
      <c r="A1135" s="583">
        <v>3</v>
      </c>
      <c r="B1135" s="2540"/>
      <c r="C1135" s="154"/>
      <c r="D1135" s="154"/>
      <c r="E1135" s="154"/>
      <c r="F1135" s="154"/>
      <c r="G1135" s="154"/>
      <c r="H1135" s="154"/>
      <c r="I1135" s="154"/>
      <c r="J1135" s="584"/>
    </row>
    <row r="1136" spans="1:10" ht="24.6" hidden="1">
      <c r="A1136" s="144"/>
      <c r="B1136" s="581"/>
      <c r="C1136" s="144"/>
      <c r="D1136" s="144"/>
      <c r="E1136" s="144"/>
      <c r="F1136" s="144"/>
      <c r="G1136" s="144"/>
      <c r="H1136" s="144"/>
      <c r="I1136" s="144"/>
      <c r="J1136" s="908">
        <f>J1133+J1134+J1135</f>
        <v>1</v>
      </c>
    </row>
    <row r="1137" spans="1:10" hidden="1"/>
    <row r="1138" spans="1:10" hidden="1"/>
    <row r="1139" spans="1:10" hidden="1"/>
    <row r="1140" spans="1:10" hidden="1"/>
    <row r="1141" spans="1:10" hidden="1">
      <c r="A1141" s="2747" t="s">
        <v>1000</v>
      </c>
      <c r="B1141" s="2748"/>
      <c r="C1141" s="2748"/>
      <c r="D1141" s="2748"/>
      <c r="E1141" s="2748"/>
      <c r="F1141" s="2748"/>
      <c r="G1141" s="2748"/>
      <c r="H1141" s="2748"/>
      <c r="I1141" s="2748"/>
      <c r="J1141" s="2748"/>
    </row>
    <row r="1142" spans="1:10" hidden="1">
      <c r="A1142" s="2748"/>
      <c r="B1142" s="2748"/>
      <c r="C1142" s="2748"/>
      <c r="D1142" s="2748"/>
      <c r="E1142" s="2748"/>
      <c r="F1142" s="2748"/>
      <c r="G1142" s="2748"/>
      <c r="H1142" s="2748"/>
      <c r="I1142" s="2748"/>
      <c r="J1142" s="2748"/>
    </row>
    <row r="1143" spans="1:10" ht="46.15" hidden="1">
      <c r="B1143" s="136"/>
      <c r="C1143" s="136"/>
      <c r="D1143" s="136"/>
      <c r="E1143" s="136"/>
      <c r="F1143" s="136"/>
      <c r="G1143" s="136"/>
      <c r="H1143" s="136"/>
      <c r="I1143" s="136"/>
      <c r="J1143" s="136"/>
    </row>
    <row r="1144" spans="1:10" ht="23.45" hidden="1">
      <c r="A1144" s="2745" t="s">
        <v>527</v>
      </c>
      <c r="B1144" s="2745"/>
      <c r="C1144" s="2745"/>
      <c r="D1144" s="2745"/>
      <c r="E1144" s="2745"/>
      <c r="F1144" s="2745"/>
      <c r="G1144" s="2745"/>
      <c r="H1144" s="2745"/>
      <c r="I1144" s="2745"/>
      <c r="J1144" s="2745"/>
    </row>
    <row r="1145" spans="1:10" ht="15.6" hidden="1">
      <c r="A1145" s="2737" t="s">
        <v>2</v>
      </c>
      <c r="B1145" s="2737"/>
      <c r="C1145" s="2737"/>
      <c r="D1145" s="2737"/>
      <c r="E1145" s="2737"/>
      <c r="F1145" s="2737"/>
      <c r="G1145" s="2737"/>
      <c r="H1145" s="2737"/>
      <c r="I1145" s="2737"/>
      <c r="J1145" s="2737"/>
    </row>
    <row r="1146" spans="1:10" hidden="1">
      <c r="A1146" s="137" t="s">
        <v>3</v>
      </c>
      <c r="B1146" s="1749" t="s">
        <v>4</v>
      </c>
      <c r="C1146" s="137" t="s">
        <v>5</v>
      </c>
      <c r="D1146" s="137" t="s">
        <v>6</v>
      </c>
      <c r="E1146" s="137" t="s">
        <v>7</v>
      </c>
      <c r="F1146" s="137" t="s">
        <v>8</v>
      </c>
      <c r="G1146" s="137" t="s">
        <v>9</v>
      </c>
      <c r="H1146" s="137" t="s">
        <v>10</v>
      </c>
      <c r="I1146" s="137" t="s">
        <v>11</v>
      </c>
      <c r="J1146" s="137" t="s">
        <v>12</v>
      </c>
    </row>
    <row r="1147" spans="1:10" hidden="1">
      <c r="A1147" s="137">
        <v>1</v>
      </c>
      <c r="B1147" s="1749" t="s">
        <v>1001</v>
      </c>
      <c r="C1147" s="137" t="s">
        <v>37</v>
      </c>
      <c r="D1147" s="628" t="s">
        <v>1002</v>
      </c>
      <c r="E1147" s="137" t="s">
        <v>965</v>
      </c>
      <c r="F1147" s="137">
        <v>780000</v>
      </c>
      <c r="G1147" s="137" t="s">
        <v>966</v>
      </c>
      <c r="H1147" s="137" t="s">
        <v>271</v>
      </c>
      <c r="I1147" s="137" t="s">
        <v>36</v>
      </c>
      <c r="J1147" s="137">
        <v>1</v>
      </c>
    </row>
    <row r="1148" spans="1:10" hidden="1">
      <c r="A1148" s="137">
        <v>2</v>
      </c>
      <c r="B1148" s="1749" t="s">
        <v>1001</v>
      </c>
      <c r="C1148" s="137" t="s">
        <v>138</v>
      </c>
      <c r="D1148" s="628" t="s">
        <v>1003</v>
      </c>
      <c r="E1148" s="137" t="s">
        <v>76</v>
      </c>
      <c r="F1148" s="137">
        <v>1100000</v>
      </c>
      <c r="G1148" s="137" t="s">
        <v>1004</v>
      </c>
      <c r="H1148" s="137" t="s">
        <v>271</v>
      </c>
      <c r="I1148" s="137" t="s">
        <v>36</v>
      </c>
      <c r="J1148" s="137">
        <v>1</v>
      </c>
    </row>
    <row r="1149" spans="1:10" hidden="1">
      <c r="A1149" s="137">
        <v>3</v>
      </c>
      <c r="B1149" s="1749" t="s">
        <v>1001</v>
      </c>
      <c r="C1149" s="137" t="s">
        <v>138</v>
      </c>
      <c r="D1149" s="628" t="s">
        <v>1005</v>
      </c>
      <c r="E1149" s="137" t="s">
        <v>76</v>
      </c>
      <c r="F1149" s="137">
        <v>1100000</v>
      </c>
      <c r="G1149" s="137" t="s">
        <v>1006</v>
      </c>
      <c r="H1149" s="137" t="s">
        <v>271</v>
      </c>
      <c r="I1149" s="137" t="s">
        <v>36</v>
      </c>
      <c r="J1149" s="137">
        <v>1</v>
      </c>
    </row>
    <row r="1150" spans="1:10" hidden="1">
      <c r="A1150" s="137">
        <v>4</v>
      </c>
      <c r="B1150" s="1749" t="s">
        <v>1007</v>
      </c>
      <c r="C1150" s="137" t="s">
        <v>138</v>
      </c>
      <c r="D1150" s="628" t="s">
        <v>1008</v>
      </c>
      <c r="E1150" s="137" t="s">
        <v>965</v>
      </c>
      <c r="F1150" s="137">
        <v>700000</v>
      </c>
      <c r="G1150" s="137" t="s">
        <v>966</v>
      </c>
      <c r="H1150" s="137" t="s">
        <v>271</v>
      </c>
      <c r="I1150" s="137" t="s">
        <v>36</v>
      </c>
      <c r="J1150" s="137">
        <v>1</v>
      </c>
    </row>
    <row r="1151" spans="1:10" hidden="1">
      <c r="A1151" s="137">
        <v>5</v>
      </c>
      <c r="B1151" s="1749" t="s">
        <v>1001</v>
      </c>
      <c r="C1151" s="137" t="s">
        <v>138</v>
      </c>
      <c r="D1151" s="628" t="s">
        <v>1009</v>
      </c>
      <c r="E1151" s="137" t="s">
        <v>76</v>
      </c>
      <c r="F1151" s="137">
        <v>1200000</v>
      </c>
      <c r="G1151" s="137" t="s">
        <v>1004</v>
      </c>
      <c r="H1151" s="137" t="s">
        <v>271</v>
      </c>
      <c r="I1151" s="137" t="s">
        <v>36</v>
      </c>
      <c r="J1151" s="137">
        <v>1</v>
      </c>
    </row>
    <row r="1152" spans="1:10" hidden="1">
      <c r="A1152" s="137">
        <v>6</v>
      </c>
      <c r="B1152" s="1749" t="s">
        <v>1001</v>
      </c>
      <c r="C1152" s="137" t="s">
        <v>138</v>
      </c>
      <c r="D1152" s="628" t="s">
        <v>1010</v>
      </c>
      <c r="E1152" s="137" t="s">
        <v>962</v>
      </c>
      <c r="F1152" s="137">
        <v>1300000</v>
      </c>
      <c r="G1152" s="137" t="s">
        <v>963</v>
      </c>
      <c r="H1152" s="137" t="s">
        <v>271</v>
      </c>
      <c r="I1152" s="137" t="s">
        <v>36</v>
      </c>
      <c r="J1152" s="137">
        <v>1</v>
      </c>
    </row>
    <row r="1153" spans="1:10" hidden="1">
      <c r="A1153" s="137">
        <v>7</v>
      </c>
      <c r="B1153" s="1749" t="s">
        <v>1001</v>
      </c>
      <c r="C1153" s="150" t="s">
        <v>138</v>
      </c>
      <c r="D1153" s="627" t="s">
        <v>1011</v>
      </c>
      <c r="E1153" s="150" t="s">
        <v>784</v>
      </c>
      <c r="F1153" s="1196">
        <v>1000000</v>
      </c>
      <c r="G1153" s="150" t="s">
        <v>1012</v>
      </c>
      <c r="H1153" s="150" t="s">
        <v>271</v>
      </c>
      <c r="I1153" s="150" t="s">
        <v>36</v>
      </c>
      <c r="J1153" s="137">
        <v>1</v>
      </c>
    </row>
    <row r="1154" spans="1:10" hidden="1">
      <c r="A1154" s="137">
        <v>8</v>
      </c>
      <c r="B1154" s="1749" t="s">
        <v>1013</v>
      </c>
      <c r="C1154" s="137" t="s">
        <v>138</v>
      </c>
      <c r="D1154" s="628" t="s">
        <v>1014</v>
      </c>
      <c r="E1154" s="137" t="s">
        <v>904</v>
      </c>
      <c r="F1154" s="137">
        <v>1100000</v>
      </c>
      <c r="G1154" s="137" t="s">
        <v>168</v>
      </c>
      <c r="H1154" s="137" t="s">
        <v>271</v>
      </c>
      <c r="I1154" s="137" t="s">
        <v>36</v>
      </c>
      <c r="J1154" s="137">
        <v>1</v>
      </c>
    </row>
    <row r="1155" spans="1:10" hidden="1">
      <c r="A1155" s="137">
        <v>9</v>
      </c>
      <c r="B1155" s="1749" t="s">
        <v>1015</v>
      </c>
      <c r="C1155" s="137" t="s">
        <v>138</v>
      </c>
      <c r="D1155" s="628" t="s">
        <v>1016</v>
      </c>
      <c r="E1155" s="137" t="s">
        <v>78</v>
      </c>
      <c r="F1155" s="137">
        <v>1500000</v>
      </c>
      <c r="G1155" s="137" t="s">
        <v>951</v>
      </c>
      <c r="H1155" s="137" t="s">
        <v>271</v>
      </c>
      <c r="I1155" s="137" t="s">
        <v>36</v>
      </c>
      <c r="J1155" s="137">
        <v>1</v>
      </c>
    </row>
    <row r="1156" spans="1:10" hidden="1">
      <c r="A1156" s="137">
        <v>10</v>
      </c>
      <c r="B1156" s="1749" t="s">
        <v>1017</v>
      </c>
      <c r="C1156" s="137" t="s">
        <v>138</v>
      </c>
      <c r="D1156" s="628" t="s">
        <v>244</v>
      </c>
      <c r="E1156" s="137" t="s">
        <v>802</v>
      </c>
      <c r="F1156" s="137">
        <v>1700000</v>
      </c>
      <c r="G1156" s="137" t="s">
        <v>1018</v>
      </c>
      <c r="H1156" s="137" t="s">
        <v>271</v>
      </c>
      <c r="I1156" s="137" t="s">
        <v>36</v>
      </c>
      <c r="J1156" s="137">
        <v>1</v>
      </c>
    </row>
    <row r="1157" spans="1:10" hidden="1">
      <c r="A1157" s="137">
        <v>11</v>
      </c>
      <c r="B1157" s="1749" t="s">
        <v>1019</v>
      </c>
      <c r="C1157" s="137" t="s">
        <v>138</v>
      </c>
      <c r="D1157" s="628" t="s">
        <v>1020</v>
      </c>
      <c r="E1157" s="137" t="s">
        <v>78</v>
      </c>
      <c r="F1157" s="137">
        <v>1300000</v>
      </c>
      <c r="G1157" s="137" t="s">
        <v>1004</v>
      </c>
      <c r="H1157" s="137" t="s">
        <v>271</v>
      </c>
      <c r="I1157" s="137" t="s">
        <v>36</v>
      </c>
      <c r="J1157" s="137">
        <v>1</v>
      </c>
    </row>
    <row r="1158" spans="1:10" hidden="1">
      <c r="A1158" s="137">
        <v>12</v>
      </c>
      <c r="B1158" s="1749" t="s">
        <v>1021</v>
      </c>
      <c r="C1158" s="137" t="s">
        <v>138</v>
      </c>
      <c r="D1158" s="628" t="s">
        <v>1022</v>
      </c>
      <c r="E1158" s="137" t="s">
        <v>78</v>
      </c>
      <c r="F1158" s="137">
        <v>900000</v>
      </c>
      <c r="G1158" s="137" t="s">
        <v>1004</v>
      </c>
      <c r="H1158" s="137" t="s">
        <v>271</v>
      </c>
      <c r="I1158" s="137" t="s">
        <v>36</v>
      </c>
      <c r="J1158" s="137">
        <v>1</v>
      </c>
    </row>
    <row r="1159" spans="1:10" hidden="1">
      <c r="A1159" s="137">
        <v>13</v>
      </c>
      <c r="B1159" s="1749" t="s">
        <v>1023</v>
      </c>
      <c r="C1159" s="137" t="s">
        <v>138</v>
      </c>
      <c r="D1159" s="628" t="s">
        <v>1024</v>
      </c>
      <c r="E1159" s="137" t="s">
        <v>802</v>
      </c>
      <c r="F1159" s="137">
        <v>1300000</v>
      </c>
      <c r="G1159" s="137" t="s">
        <v>963</v>
      </c>
      <c r="H1159" s="137" t="s">
        <v>271</v>
      </c>
      <c r="I1159" s="137" t="s">
        <v>36</v>
      </c>
      <c r="J1159" s="137">
        <v>1</v>
      </c>
    </row>
    <row r="1160" spans="1:10" hidden="1">
      <c r="A1160" s="137">
        <v>14</v>
      </c>
      <c r="B1160" s="1749" t="s">
        <v>1025</v>
      </c>
      <c r="C1160" s="137" t="s">
        <v>146</v>
      </c>
      <c r="D1160" s="628" t="s">
        <v>1026</v>
      </c>
      <c r="E1160" s="137" t="s">
        <v>239</v>
      </c>
      <c r="F1160" s="137">
        <v>6000000</v>
      </c>
      <c r="G1160" s="137" t="s">
        <v>1027</v>
      </c>
      <c r="H1160" s="137" t="s">
        <v>271</v>
      </c>
      <c r="I1160" s="137" t="s">
        <v>36</v>
      </c>
      <c r="J1160" s="137">
        <v>1</v>
      </c>
    </row>
    <row r="1161" spans="1:10" hidden="1">
      <c r="A1161" s="1749">
        <v>15</v>
      </c>
      <c r="B1161" s="2538" t="s">
        <v>1028</v>
      </c>
      <c r="C1161" s="150" t="s">
        <v>138</v>
      </c>
      <c r="D1161" s="627" t="s">
        <v>1029</v>
      </c>
      <c r="E1161" s="150" t="s">
        <v>78</v>
      </c>
      <c r="F1161" s="1196">
        <v>950000</v>
      </c>
      <c r="G1161" s="150" t="s">
        <v>1030</v>
      </c>
      <c r="H1161" s="150" t="s">
        <v>271</v>
      </c>
      <c r="I1161" s="150" t="s">
        <v>36</v>
      </c>
      <c r="J1161" s="137">
        <v>1</v>
      </c>
    </row>
    <row r="1162" spans="1:10" hidden="1">
      <c r="A1162" s="1749">
        <v>16</v>
      </c>
      <c r="B1162" s="2538" t="s">
        <v>1031</v>
      </c>
      <c r="C1162" s="150" t="s">
        <v>138</v>
      </c>
      <c r="D1162" s="627" t="s">
        <v>1032</v>
      </c>
      <c r="E1162" s="150" t="s">
        <v>965</v>
      </c>
      <c r="F1162" s="1196">
        <v>850000</v>
      </c>
      <c r="G1162" s="150" t="s">
        <v>966</v>
      </c>
      <c r="H1162" s="150" t="s">
        <v>271</v>
      </c>
      <c r="I1162" s="150" t="s">
        <v>36</v>
      </c>
      <c r="J1162" s="137">
        <v>1</v>
      </c>
    </row>
    <row r="1163" spans="1:10" hidden="1">
      <c r="A1163" s="1749">
        <v>17</v>
      </c>
      <c r="B1163" s="2538" t="s">
        <v>1031</v>
      </c>
      <c r="C1163" s="150" t="s">
        <v>138</v>
      </c>
      <c r="D1163" s="627" t="s">
        <v>1033</v>
      </c>
      <c r="E1163" s="150" t="s">
        <v>784</v>
      </c>
      <c r="F1163" s="1196">
        <v>1000000</v>
      </c>
      <c r="G1163" s="150" t="s">
        <v>785</v>
      </c>
      <c r="H1163" s="150" t="s">
        <v>36</v>
      </c>
      <c r="I1163" s="150" t="s">
        <v>36</v>
      </c>
      <c r="J1163" s="137">
        <v>1</v>
      </c>
    </row>
    <row r="1164" spans="1:10" hidden="1">
      <c r="A1164" s="1749">
        <v>18</v>
      </c>
      <c r="B1164" s="2538" t="s">
        <v>1034</v>
      </c>
      <c r="C1164" s="150" t="s">
        <v>138</v>
      </c>
      <c r="D1164" s="627" t="s">
        <v>1035</v>
      </c>
      <c r="E1164" s="150" t="s">
        <v>836</v>
      </c>
      <c r="F1164" s="1196">
        <v>900000</v>
      </c>
      <c r="G1164" s="150" t="s">
        <v>1036</v>
      </c>
      <c r="H1164" s="150" t="s">
        <v>271</v>
      </c>
      <c r="I1164" s="150" t="s">
        <v>36</v>
      </c>
      <c r="J1164" s="137">
        <v>1</v>
      </c>
    </row>
    <row r="1165" spans="1:10" hidden="1">
      <c r="A1165" s="1749">
        <v>19</v>
      </c>
      <c r="B1165" s="1749" t="s">
        <v>1034</v>
      </c>
      <c r="C1165" s="150" t="s">
        <v>138</v>
      </c>
      <c r="D1165" s="627" t="s">
        <v>1037</v>
      </c>
      <c r="E1165" s="150" t="s">
        <v>390</v>
      </c>
      <c r="F1165" s="1196">
        <v>1500000</v>
      </c>
      <c r="G1165" s="150" t="s">
        <v>1038</v>
      </c>
      <c r="H1165" s="150" t="s">
        <v>271</v>
      </c>
      <c r="I1165" s="150" t="s">
        <v>36</v>
      </c>
      <c r="J1165" s="137">
        <v>1</v>
      </c>
    </row>
    <row r="1166" spans="1:10" hidden="1">
      <c r="A1166" s="1749">
        <v>20</v>
      </c>
      <c r="B1166" s="1749" t="s">
        <v>1039</v>
      </c>
      <c r="C1166" s="150" t="s">
        <v>138</v>
      </c>
      <c r="D1166" s="627" t="s">
        <v>1040</v>
      </c>
      <c r="E1166" s="150" t="s">
        <v>78</v>
      </c>
      <c r="F1166" s="1196">
        <v>950000</v>
      </c>
      <c r="G1166" s="150" t="s">
        <v>1041</v>
      </c>
      <c r="H1166" s="150" t="s">
        <v>271</v>
      </c>
      <c r="I1166" s="150" t="s">
        <v>36</v>
      </c>
      <c r="J1166" s="137">
        <v>1</v>
      </c>
    </row>
    <row r="1167" spans="1:10" hidden="1">
      <c r="A1167" s="1749"/>
      <c r="B1167" s="1749"/>
      <c r="C1167" s="150"/>
      <c r="D1167" s="627"/>
      <c r="E1167" s="150"/>
      <c r="F1167" s="1196"/>
      <c r="G1167" s="150"/>
      <c r="H1167" s="150"/>
      <c r="I1167" s="150"/>
      <c r="J1167" s="137"/>
    </row>
    <row r="1168" spans="1:10" ht="24.6" hidden="1">
      <c r="A1168" s="1749"/>
      <c r="B1168" s="1749"/>
      <c r="C1168" s="150"/>
      <c r="D1168" s="627"/>
      <c r="E1168" s="150"/>
      <c r="F1168" s="151"/>
      <c r="G1168" s="150"/>
      <c r="H1168" s="150"/>
      <c r="I1168" s="150"/>
      <c r="J1168" s="905">
        <f>SUM(J1147:J1167)</f>
        <v>20</v>
      </c>
    </row>
    <row r="1169" spans="1:10" hidden="1">
      <c r="A1169" s="2744" t="s">
        <v>33</v>
      </c>
      <c r="B1169" s="2744"/>
      <c r="C1169" s="2744"/>
      <c r="D1169" s="2744"/>
      <c r="E1169" s="2744"/>
      <c r="F1169" s="2744"/>
      <c r="G1169" s="2744"/>
      <c r="H1169" s="2744"/>
      <c r="I1169" s="2744"/>
      <c r="J1169" s="2744"/>
    </row>
    <row r="1170" spans="1:10" hidden="1">
      <c r="A1170" s="137" t="s">
        <v>3</v>
      </c>
      <c r="B1170" s="1749" t="s">
        <v>4</v>
      </c>
      <c r="C1170" s="137" t="s">
        <v>5</v>
      </c>
      <c r="D1170" s="137" t="s">
        <v>6</v>
      </c>
      <c r="E1170" s="137" t="s">
        <v>7</v>
      </c>
      <c r="F1170" s="137" t="s">
        <v>8</v>
      </c>
      <c r="G1170" s="137" t="s">
        <v>9</v>
      </c>
      <c r="H1170" s="137" t="s">
        <v>10</v>
      </c>
      <c r="I1170" s="137" t="s">
        <v>11</v>
      </c>
      <c r="J1170" s="137" t="s">
        <v>12</v>
      </c>
    </row>
    <row r="1171" spans="1:10" hidden="1">
      <c r="A1171" s="583">
        <v>1</v>
      </c>
      <c r="B1171" s="2540" t="s">
        <v>1001</v>
      </c>
      <c r="C1171" s="154" t="s">
        <v>138</v>
      </c>
      <c r="D1171" s="154" t="s">
        <v>1042</v>
      </c>
      <c r="E1171" s="154" t="s">
        <v>965</v>
      </c>
      <c r="F1171" s="154">
        <v>100000000</v>
      </c>
      <c r="G1171" s="154" t="s">
        <v>966</v>
      </c>
      <c r="H1171" s="154" t="s">
        <v>271</v>
      </c>
      <c r="I1171" s="154" t="s">
        <v>36</v>
      </c>
      <c r="J1171" s="584">
        <v>1</v>
      </c>
    </row>
    <row r="1172" spans="1:10" hidden="1">
      <c r="A1172" s="581">
        <v>2</v>
      </c>
      <c r="B1172" s="2541" t="s">
        <v>1001</v>
      </c>
      <c r="C1172" s="156" t="s">
        <v>138</v>
      </c>
      <c r="D1172" s="156" t="s">
        <v>1008</v>
      </c>
      <c r="E1172" s="156" t="s">
        <v>965</v>
      </c>
      <c r="F1172" s="156">
        <v>125000000</v>
      </c>
      <c r="G1172" s="156" t="s">
        <v>966</v>
      </c>
      <c r="H1172" s="156" t="s">
        <v>271</v>
      </c>
      <c r="I1172" s="156" t="s">
        <v>36</v>
      </c>
      <c r="J1172" s="144">
        <v>1</v>
      </c>
    </row>
    <row r="1173" spans="1:10" hidden="1">
      <c r="A1173" s="581">
        <v>3</v>
      </c>
      <c r="B1173" s="2541" t="s">
        <v>1001</v>
      </c>
      <c r="C1173" s="156" t="s">
        <v>138</v>
      </c>
      <c r="D1173" s="156" t="s">
        <v>1040</v>
      </c>
      <c r="E1173" s="156" t="s">
        <v>78</v>
      </c>
      <c r="F1173" s="156">
        <v>170000000</v>
      </c>
      <c r="G1173" s="156" t="s">
        <v>1043</v>
      </c>
      <c r="H1173" s="156" t="s">
        <v>271</v>
      </c>
      <c r="I1173" s="156" t="s">
        <v>36</v>
      </c>
      <c r="J1173" s="144">
        <v>1</v>
      </c>
    </row>
    <row r="1174" spans="1:10" hidden="1">
      <c r="A1174" s="581">
        <v>4</v>
      </c>
      <c r="B1174" s="2541" t="s">
        <v>1001</v>
      </c>
      <c r="C1174" s="156" t="s">
        <v>138</v>
      </c>
      <c r="D1174" s="156" t="s">
        <v>556</v>
      </c>
      <c r="E1174" s="156" t="s">
        <v>1044</v>
      </c>
      <c r="F1174" s="156">
        <v>200000000</v>
      </c>
      <c r="G1174" s="156" t="s">
        <v>558</v>
      </c>
      <c r="H1174" s="156" t="s">
        <v>271</v>
      </c>
      <c r="I1174" s="156" t="s">
        <v>36</v>
      </c>
      <c r="J1174" s="144">
        <v>1</v>
      </c>
    </row>
    <row r="1175" spans="1:10" hidden="1">
      <c r="A1175" s="581">
        <v>5</v>
      </c>
      <c r="B1175" s="2541" t="s">
        <v>1019</v>
      </c>
      <c r="C1175" s="156" t="s">
        <v>74</v>
      </c>
      <c r="D1175" s="156" t="s">
        <v>1045</v>
      </c>
      <c r="E1175" s="156" t="s">
        <v>78</v>
      </c>
      <c r="F1175" s="156">
        <v>465000000</v>
      </c>
      <c r="G1175" s="156" t="s">
        <v>841</v>
      </c>
      <c r="H1175" s="156" t="s">
        <v>271</v>
      </c>
      <c r="I1175" s="156" t="s">
        <v>36</v>
      </c>
      <c r="J1175" s="144">
        <v>1</v>
      </c>
    </row>
    <row r="1176" spans="1:10" hidden="1">
      <c r="A1176" s="581">
        <v>6</v>
      </c>
      <c r="B1176" s="2547" t="s">
        <v>1019</v>
      </c>
      <c r="C1176" s="1409" t="s">
        <v>138</v>
      </c>
      <c r="D1176" s="1409" t="s">
        <v>1046</v>
      </c>
      <c r="E1176" s="1409" t="s">
        <v>942</v>
      </c>
      <c r="F1176" s="1409">
        <v>130000000</v>
      </c>
      <c r="G1176" s="1409" t="s">
        <v>168</v>
      </c>
      <c r="H1176" s="1409" t="s">
        <v>271</v>
      </c>
      <c r="I1176" s="156" t="s">
        <v>36</v>
      </c>
      <c r="J1176" s="144">
        <v>1</v>
      </c>
    </row>
    <row r="1177" spans="1:10" hidden="1">
      <c r="A1177" s="1407">
        <v>7</v>
      </c>
      <c r="B1177" s="581" t="s">
        <v>1021</v>
      </c>
      <c r="C1177" s="144" t="s">
        <v>138</v>
      </c>
      <c r="D1177" s="144" t="s">
        <v>1022</v>
      </c>
      <c r="E1177" s="144" t="s">
        <v>78</v>
      </c>
      <c r="F1177" s="144" t="s">
        <v>1047</v>
      </c>
      <c r="G1177" s="144" t="s">
        <v>1004</v>
      </c>
      <c r="H1177" s="144" t="s">
        <v>271</v>
      </c>
      <c r="I1177" s="1408" t="s">
        <v>36</v>
      </c>
      <c r="J1177" s="144">
        <v>1</v>
      </c>
    </row>
    <row r="1178" spans="1:10" hidden="1">
      <c r="A1178" s="1407">
        <v>8</v>
      </c>
      <c r="B1178" s="581" t="s">
        <v>1023</v>
      </c>
      <c r="C1178" s="144" t="s">
        <v>138</v>
      </c>
      <c r="D1178" s="144" t="s">
        <v>1048</v>
      </c>
      <c r="E1178" s="144" t="s">
        <v>78</v>
      </c>
      <c r="F1178" s="144" t="s">
        <v>1049</v>
      </c>
      <c r="G1178" s="144" t="s">
        <v>829</v>
      </c>
      <c r="H1178" s="144" t="s">
        <v>271</v>
      </c>
      <c r="I1178" s="141" t="s">
        <v>36</v>
      </c>
      <c r="J1178" s="144">
        <v>1</v>
      </c>
    </row>
    <row r="1179" spans="1:10" ht="24.6" hidden="1">
      <c r="A1179" s="144"/>
      <c r="B1179" s="895"/>
      <c r="C1179" s="860"/>
      <c r="D1179" s="860"/>
      <c r="E1179" s="860"/>
      <c r="F1179" s="860"/>
      <c r="G1179" s="860"/>
      <c r="H1179" s="860"/>
      <c r="I1179" s="144"/>
      <c r="J1179" s="908">
        <v>8</v>
      </c>
    </row>
    <row r="1180" spans="1:10" hidden="1"/>
    <row r="1181" spans="1:10" hidden="1"/>
    <row r="1182" spans="1:10" hidden="1"/>
    <row r="1183" spans="1:10" ht="23.45" hidden="1">
      <c r="A1183" s="2745" t="s">
        <v>582</v>
      </c>
      <c r="B1183" s="2745"/>
      <c r="C1183" s="2745"/>
      <c r="D1183" s="2745"/>
      <c r="E1183" s="2745"/>
      <c r="F1183" s="2745"/>
      <c r="G1183" s="2745"/>
      <c r="H1183" s="2745"/>
      <c r="I1183" s="2745"/>
      <c r="J1183" s="2745"/>
    </row>
    <row r="1184" spans="1:10" ht="15.6" hidden="1">
      <c r="A1184" s="2737" t="s">
        <v>2</v>
      </c>
      <c r="B1184" s="2737"/>
      <c r="C1184" s="2737"/>
      <c r="D1184" s="2737"/>
      <c r="E1184" s="2737"/>
      <c r="F1184" s="2737"/>
      <c r="G1184" s="2737"/>
      <c r="H1184" s="2737"/>
      <c r="I1184" s="2737"/>
      <c r="J1184" s="2737"/>
    </row>
    <row r="1185" spans="1:10" hidden="1">
      <c r="A1185" s="137" t="s">
        <v>3</v>
      </c>
      <c r="B1185" s="1749" t="s">
        <v>4</v>
      </c>
      <c r="C1185" s="137" t="s">
        <v>5</v>
      </c>
      <c r="D1185" s="137" t="s">
        <v>6</v>
      </c>
      <c r="E1185" s="137" t="s">
        <v>7</v>
      </c>
      <c r="F1185" s="137" t="s">
        <v>8</v>
      </c>
      <c r="G1185" s="137" t="s">
        <v>9</v>
      </c>
      <c r="H1185" s="137" t="s">
        <v>10</v>
      </c>
      <c r="I1185" s="137" t="s">
        <v>11</v>
      </c>
      <c r="J1185" s="137" t="s">
        <v>12</v>
      </c>
    </row>
    <row r="1186" spans="1:10" hidden="1">
      <c r="A1186" s="137">
        <v>1</v>
      </c>
      <c r="B1186" s="744" t="s">
        <v>1001</v>
      </c>
      <c r="C1186" s="628" t="s">
        <v>138</v>
      </c>
      <c r="D1186" s="628" t="s">
        <v>1050</v>
      </c>
      <c r="E1186" s="628" t="s">
        <v>962</v>
      </c>
      <c r="F1186" s="627">
        <v>1250000</v>
      </c>
      <c r="G1186" s="628" t="s">
        <v>963</v>
      </c>
      <c r="H1186" s="628" t="s">
        <v>271</v>
      </c>
      <c r="I1186" s="628" t="s">
        <v>36</v>
      </c>
      <c r="J1186" s="628">
        <v>1</v>
      </c>
    </row>
    <row r="1187" spans="1:10" hidden="1">
      <c r="A1187" s="137">
        <v>2</v>
      </c>
      <c r="B1187" s="744" t="s">
        <v>1001</v>
      </c>
      <c r="C1187" s="628" t="s">
        <v>138</v>
      </c>
      <c r="D1187" s="628" t="s">
        <v>1051</v>
      </c>
      <c r="E1187" s="628" t="s">
        <v>76</v>
      </c>
      <c r="F1187" s="627">
        <v>1250000</v>
      </c>
      <c r="G1187" s="628" t="s">
        <v>168</v>
      </c>
      <c r="H1187" s="628" t="s">
        <v>271</v>
      </c>
      <c r="I1187" s="628" t="s">
        <v>36</v>
      </c>
      <c r="J1187" s="628">
        <v>1</v>
      </c>
    </row>
    <row r="1188" spans="1:10" hidden="1">
      <c r="A1188" s="137">
        <v>3</v>
      </c>
      <c r="B1188" s="744" t="s">
        <v>1052</v>
      </c>
      <c r="C1188" s="628" t="s">
        <v>138</v>
      </c>
      <c r="D1188" s="628" t="s">
        <v>1053</v>
      </c>
      <c r="E1188" s="628" t="s">
        <v>858</v>
      </c>
      <c r="F1188" s="627">
        <v>880000</v>
      </c>
      <c r="G1188" s="628" t="s">
        <v>168</v>
      </c>
      <c r="H1188" s="628" t="s">
        <v>271</v>
      </c>
      <c r="I1188" s="628" t="s">
        <v>36</v>
      </c>
      <c r="J1188" s="628">
        <v>1</v>
      </c>
    </row>
    <row r="1189" spans="1:10" hidden="1">
      <c r="A1189" s="137">
        <v>4</v>
      </c>
      <c r="B1189" s="744" t="s">
        <v>1001</v>
      </c>
      <c r="C1189" s="628" t="s">
        <v>138</v>
      </c>
      <c r="D1189" s="628" t="s">
        <v>1054</v>
      </c>
      <c r="E1189" s="628" t="s">
        <v>962</v>
      </c>
      <c r="F1189" s="627">
        <v>1300000</v>
      </c>
      <c r="G1189" s="628" t="s">
        <v>963</v>
      </c>
      <c r="H1189" s="628" t="s">
        <v>271</v>
      </c>
      <c r="I1189" s="628" t="s">
        <v>36</v>
      </c>
      <c r="J1189" s="628">
        <v>1</v>
      </c>
    </row>
    <row r="1190" spans="1:10" hidden="1">
      <c r="A1190" s="137">
        <v>5</v>
      </c>
      <c r="B1190" s="744" t="s">
        <v>1001</v>
      </c>
      <c r="C1190" s="628" t="s">
        <v>138</v>
      </c>
      <c r="D1190" s="628" t="s">
        <v>1055</v>
      </c>
      <c r="E1190" s="628" t="s">
        <v>858</v>
      </c>
      <c r="F1190" s="627">
        <v>1400000</v>
      </c>
      <c r="G1190" s="628" t="s">
        <v>724</v>
      </c>
      <c r="H1190" s="628" t="s">
        <v>271</v>
      </c>
      <c r="I1190" s="628" t="s">
        <v>36</v>
      </c>
      <c r="J1190" s="628">
        <v>1</v>
      </c>
    </row>
    <row r="1191" spans="1:10" hidden="1">
      <c r="A1191" s="137">
        <v>6</v>
      </c>
      <c r="B1191" s="744" t="s">
        <v>1001</v>
      </c>
      <c r="C1191" s="628" t="s">
        <v>138</v>
      </c>
      <c r="D1191" s="628" t="s">
        <v>1056</v>
      </c>
      <c r="E1191" s="628" t="s">
        <v>962</v>
      </c>
      <c r="F1191" s="627">
        <v>1200000</v>
      </c>
      <c r="G1191" s="628" t="s">
        <v>963</v>
      </c>
      <c r="H1191" s="628" t="s">
        <v>271</v>
      </c>
      <c r="I1191" s="628" t="s">
        <v>36</v>
      </c>
      <c r="J1191" s="628">
        <v>1</v>
      </c>
    </row>
    <row r="1192" spans="1:10" hidden="1">
      <c r="A1192" s="137">
        <v>7</v>
      </c>
      <c r="B1192" s="744" t="s">
        <v>1001</v>
      </c>
      <c r="C1192" s="628" t="s">
        <v>138</v>
      </c>
      <c r="D1192" s="628" t="s">
        <v>1057</v>
      </c>
      <c r="E1192" s="628" t="s">
        <v>962</v>
      </c>
      <c r="F1192" s="627">
        <v>1250000</v>
      </c>
      <c r="G1192" s="628" t="s">
        <v>963</v>
      </c>
      <c r="H1192" s="628" t="s">
        <v>271</v>
      </c>
      <c r="I1192" s="628" t="s">
        <v>36</v>
      </c>
      <c r="J1192" s="628">
        <v>1</v>
      </c>
    </row>
    <row r="1193" spans="1:10" hidden="1">
      <c r="A1193" s="137">
        <v>8</v>
      </c>
      <c r="B1193" s="744" t="s">
        <v>1058</v>
      </c>
      <c r="C1193" s="628" t="s">
        <v>138</v>
      </c>
      <c r="D1193" s="628" t="s">
        <v>1059</v>
      </c>
      <c r="E1193" s="628" t="s">
        <v>802</v>
      </c>
      <c r="F1193" s="627">
        <v>1200000</v>
      </c>
      <c r="G1193" s="628" t="s">
        <v>854</v>
      </c>
      <c r="H1193" s="628" t="s">
        <v>271</v>
      </c>
      <c r="I1193" s="628" t="s">
        <v>36</v>
      </c>
      <c r="J1193" s="628">
        <v>1</v>
      </c>
    </row>
    <row r="1194" spans="1:10" hidden="1">
      <c r="A1194" s="137">
        <v>9</v>
      </c>
      <c r="B1194" s="744" t="s">
        <v>1060</v>
      </c>
      <c r="C1194" s="628" t="s">
        <v>138</v>
      </c>
      <c r="D1194" s="628" t="s">
        <v>1061</v>
      </c>
      <c r="E1194" s="628" t="s">
        <v>802</v>
      </c>
      <c r="F1194" s="627">
        <v>1100000</v>
      </c>
      <c r="G1194" s="628" t="s">
        <v>854</v>
      </c>
      <c r="H1194" s="628" t="s">
        <v>271</v>
      </c>
      <c r="I1194" s="628" t="s">
        <v>36</v>
      </c>
      <c r="J1194" s="628">
        <v>1</v>
      </c>
    </row>
    <row r="1195" spans="1:10" hidden="1">
      <c r="A1195" s="137">
        <v>10</v>
      </c>
      <c r="B1195" s="744" t="s">
        <v>1062</v>
      </c>
      <c r="C1195" s="628" t="s">
        <v>138</v>
      </c>
      <c r="D1195" s="628" t="s">
        <v>1063</v>
      </c>
      <c r="E1195" s="628" t="s">
        <v>180</v>
      </c>
      <c r="F1195" s="627">
        <v>1300000</v>
      </c>
      <c r="G1195" s="628" t="s">
        <v>1064</v>
      </c>
      <c r="H1195" s="628" t="s">
        <v>271</v>
      </c>
      <c r="I1195" s="628" t="s">
        <v>36</v>
      </c>
      <c r="J1195" s="628">
        <v>1</v>
      </c>
    </row>
    <row r="1196" spans="1:10" hidden="1">
      <c r="A1196" s="137">
        <v>11</v>
      </c>
      <c r="B1196" s="1749" t="s">
        <v>874</v>
      </c>
      <c r="C1196" s="150" t="s">
        <v>138</v>
      </c>
      <c r="D1196" s="627" t="s">
        <v>875</v>
      </c>
      <c r="E1196" s="150" t="s">
        <v>180</v>
      </c>
      <c r="F1196" s="151">
        <v>1200000</v>
      </c>
      <c r="G1196" s="150" t="s">
        <v>144</v>
      </c>
      <c r="H1196" s="150" t="s">
        <v>271</v>
      </c>
      <c r="I1196" s="150" t="s">
        <v>36</v>
      </c>
      <c r="J1196" s="137">
        <v>1</v>
      </c>
    </row>
    <row r="1197" spans="1:10" hidden="1">
      <c r="A1197" s="137">
        <v>12</v>
      </c>
      <c r="B1197" s="1749" t="s">
        <v>876</v>
      </c>
      <c r="C1197" s="150" t="s">
        <v>138</v>
      </c>
      <c r="D1197" s="627" t="s">
        <v>877</v>
      </c>
      <c r="E1197" s="150" t="s">
        <v>869</v>
      </c>
      <c r="F1197" s="151">
        <v>1150000</v>
      </c>
      <c r="G1197" s="150" t="s">
        <v>235</v>
      </c>
      <c r="H1197" s="150" t="s">
        <v>271</v>
      </c>
      <c r="I1197" s="150" t="s">
        <v>36</v>
      </c>
      <c r="J1197" s="137">
        <v>1</v>
      </c>
    </row>
    <row r="1198" spans="1:10" hidden="1">
      <c r="A1198" s="137">
        <v>13</v>
      </c>
      <c r="B1198" s="1749" t="s">
        <v>876</v>
      </c>
      <c r="C1198" s="150" t="s">
        <v>138</v>
      </c>
      <c r="D1198" s="627" t="s">
        <v>878</v>
      </c>
      <c r="E1198" s="150" t="s">
        <v>869</v>
      </c>
      <c r="F1198" s="151">
        <v>1200000</v>
      </c>
      <c r="G1198" s="150" t="s">
        <v>235</v>
      </c>
      <c r="H1198" s="150" t="s">
        <v>271</v>
      </c>
      <c r="I1198" s="150" t="s">
        <v>36</v>
      </c>
      <c r="J1198" s="137">
        <v>1</v>
      </c>
    </row>
    <row r="1199" spans="1:10" hidden="1">
      <c r="A1199" s="137">
        <v>14</v>
      </c>
      <c r="B1199" s="744" t="s">
        <v>1034</v>
      </c>
      <c r="C1199" s="628" t="s">
        <v>138</v>
      </c>
      <c r="D1199" s="628" t="s">
        <v>1065</v>
      </c>
      <c r="E1199" s="628" t="s">
        <v>1066</v>
      </c>
      <c r="F1199" s="627">
        <v>1200000</v>
      </c>
      <c r="G1199" s="628" t="s">
        <v>1067</v>
      </c>
      <c r="H1199" s="628" t="s">
        <v>271</v>
      </c>
      <c r="I1199" s="628" t="s">
        <v>36</v>
      </c>
      <c r="J1199" s="628">
        <v>1</v>
      </c>
    </row>
    <row r="1200" spans="1:10" hidden="1">
      <c r="A1200" s="1749">
        <v>15</v>
      </c>
      <c r="B1200" s="2548" t="s">
        <v>1068</v>
      </c>
      <c r="C1200" s="627" t="s">
        <v>138</v>
      </c>
      <c r="D1200" s="627" t="s">
        <v>1069</v>
      </c>
      <c r="E1200" s="627" t="s">
        <v>802</v>
      </c>
      <c r="F1200" s="1330">
        <v>1150000</v>
      </c>
      <c r="G1200" s="627" t="s">
        <v>854</v>
      </c>
      <c r="H1200" s="627" t="s">
        <v>271</v>
      </c>
      <c r="I1200" s="627" t="s">
        <v>36</v>
      </c>
      <c r="J1200" s="628">
        <v>1</v>
      </c>
    </row>
    <row r="1201" spans="1:10" hidden="1">
      <c r="A1201" s="1749">
        <v>16</v>
      </c>
      <c r="B1201" s="2548" t="s">
        <v>1070</v>
      </c>
      <c r="C1201" s="627" t="s">
        <v>138</v>
      </c>
      <c r="D1201" s="627" t="s">
        <v>1071</v>
      </c>
      <c r="E1201" s="627" t="s">
        <v>904</v>
      </c>
      <c r="F1201" s="1330">
        <v>1150000</v>
      </c>
      <c r="G1201" s="627" t="s">
        <v>168</v>
      </c>
      <c r="H1201" s="627" t="s">
        <v>271</v>
      </c>
      <c r="I1201" s="627" t="s">
        <v>36</v>
      </c>
      <c r="J1201" s="628">
        <v>1</v>
      </c>
    </row>
    <row r="1202" spans="1:10" hidden="1">
      <c r="A1202" s="1749">
        <v>17</v>
      </c>
      <c r="B1202" s="2548" t="s">
        <v>1072</v>
      </c>
      <c r="C1202" s="627" t="s">
        <v>138</v>
      </c>
      <c r="D1202" s="627" t="s">
        <v>1073</v>
      </c>
      <c r="E1202" s="627" t="s">
        <v>148</v>
      </c>
      <c r="F1202" s="1330">
        <v>870000</v>
      </c>
      <c r="G1202" s="627" t="s">
        <v>168</v>
      </c>
      <c r="H1202" s="627" t="s">
        <v>271</v>
      </c>
      <c r="I1202" s="627" t="s">
        <v>36</v>
      </c>
      <c r="J1202" s="628">
        <v>1</v>
      </c>
    </row>
    <row r="1203" spans="1:10" hidden="1">
      <c r="A1203" s="1749">
        <v>18</v>
      </c>
      <c r="B1203" s="2548" t="s">
        <v>1072</v>
      </c>
      <c r="C1203" s="627" t="s">
        <v>138</v>
      </c>
      <c r="D1203" s="627" t="s">
        <v>1074</v>
      </c>
      <c r="E1203" s="627" t="s">
        <v>802</v>
      </c>
      <c r="F1203" s="1330">
        <v>1350000</v>
      </c>
      <c r="G1203" s="627" t="s">
        <v>1075</v>
      </c>
      <c r="H1203" s="627" t="s">
        <v>271</v>
      </c>
      <c r="I1203" s="627" t="s">
        <v>36</v>
      </c>
      <c r="J1203" s="628">
        <v>1</v>
      </c>
    </row>
    <row r="1204" spans="1:10" hidden="1">
      <c r="A1204" s="1749">
        <v>19</v>
      </c>
      <c r="B1204" s="744" t="s">
        <v>1076</v>
      </c>
      <c r="C1204" s="627" t="s">
        <v>138</v>
      </c>
      <c r="D1204" s="627" t="s">
        <v>1077</v>
      </c>
      <c r="E1204" s="627" t="s">
        <v>802</v>
      </c>
      <c r="F1204" s="1330">
        <v>1200000</v>
      </c>
      <c r="G1204" s="627" t="s">
        <v>1078</v>
      </c>
      <c r="H1204" s="627" t="s">
        <v>271</v>
      </c>
      <c r="I1204" s="627" t="s">
        <v>36</v>
      </c>
      <c r="J1204" s="628">
        <v>1</v>
      </c>
    </row>
    <row r="1205" spans="1:10" hidden="1">
      <c r="A1205" s="1749">
        <v>20</v>
      </c>
      <c r="B1205" s="744" t="s">
        <v>1076</v>
      </c>
      <c r="C1205" s="627" t="s">
        <v>138</v>
      </c>
      <c r="D1205" s="627" t="s">
        <v>1079</v>
      </c>
      <c r="E1205" s="627" t="s">
        <v>802</v>
      </c>
      <c r="F1205" s="1330">
        <v>1250000</v>
      </c>
      <c r="G1205" s="627" t="s">
        <v>1075</v>
      </c>
      <c r="H1205" s="627" t="s">
        <v>271</v>
      </c>
      <c r="I1205" s="627" t="s">
        <v>36</v>
      </c>
      <c r="J1205" s="628">
        <v>1</v>
      </c>
    </row>
    <row r="1206" spans="1:10" ht="25.9" hidden="1">
      <c r="A1206" s="1749"/>
      <c r="B1206" s="1749"/>
      <c r="C1206" s="150"/>
      <c r="D1206" s="627"/>
      <c r="E1206" s="150"/>
      <c r="F1206" s="151"/>
      <c r="G1206" s="150"/>
      <c r="H1206" s="150"/>
      <c r="I1206" s="150"/>
      <c r="J1206" s="907">
        <f>SUM(J1186:J1205)</f>
        <v>20</v>
      </c>
    </row>
    <row r="1207" spans="1:10" hidden="1">
      <c r="A1207" s="2744" t="s">
        <v>33</v>
      </c>
      <c r="B1207" s="2744"/>
      <c r="C1207" s="2744"/>
      <c r="D1207" s="2744"/>
      <c r="E1207" s="2744"/>
      <c r="F1207" s="2744"/>
      <c r="G1207" s="2744"/>
      <c r="H1207" s="2744"/>
      <c r="I1207" s="2744"/>
      <c r="J1207" s="2744"/>
    </row>
    <row r="1208" spans="1:10" hidden="1">
      <c r="A1208" s="137" t="s">
        <v>3</v>
      </c>
      <c r="B1208" s="1749" t="s">
        <v>4</v>
      </c>
      <c r="C1208" s="137" t="s">
        <v>5</v>
      </c>
      <c r="D1208" s="137" t="s">
        <v>6</v>
      </c>
      <c r="E1208" s="137" t="s">
        <v>7</v>
      </c>
      <c r="F1208" s="137" t="s">
        <v>8</v>
      </c>
      <c r="G1208" s="137" t="s">
        <v>9</v>
      </c>
      <c r="H1208" s="137" t="s">
        <v>10</v>
      </c>
      <c r="I1208" s="137" t="s">
        <v>11</v>
      </c>
      <c r="J1208" s="137" t="s">
        <v>12</v>
      </c>
    </row>
    <row r="1209" spans="1:10" hidden="1">
      <c r="A1209" s="541">
        <v>1</v>
      </c>
      <c r="B1209" s="2539" t="s">
        <v>1080</v>
      </c>
      <c r="C1209" s="152" t="s">
        <v>138</v>
      </c>
      <c r="D1209" s="152" t="s">
        <v>622</v>
      </c>
      <c r="E1209" s="152" t="s">
        <v>883</v>
      </c>
      <c r="F1209" s="152">
        <v>225000000</v>
      </c>
      <c r="G1209" s="152" t="s">
        <v>235</v>
      </c>
      <c r="H1209" s="152" t="s">
        <v>271</v>
      </c>
      <c r="I1209" s="152" t="s">
        <v>36</v>
      </c>
      <c r="J1209" s="200">
        <v>1</v>
      </c>
    </row>
    <row r="1210" spans="1:10" hidden="1">
      <c r="A1210" s="541">
        <v>2</v>
      </c>
      <c r="B1210" s="2539" t="s">
        <v>1081</v>
      </c>
      <c r="C1210" s="152" t="s">
        <v>138</v>
      </c>
      <c r="D1210" s="152" t="s">
        <v>1082</v>
      </c>
      <c r="E1210" s="152" t="s">
        <v>883</v>
      </c>
      <c r="F1210" s="152">
        <v>190000000</v>
      </c>
      <c r="G1210" s="152" t="s">
        <v>235</v>
      </c>
      <c r="H1210" s="152" t="s">
        <v>271</v>
      </c>
      <c r="I1210" s="152" t="s">
        <v>36</v>
      </c>
      <c r="J1210" s="200">
        <v>1</v>
      </c>
    </row>
    <row r="1211" spans="1:10" hidden="1">
      <c r="A1211" s="583">
        <v>3</v>
      </c>
      <c r="B1211" s="2540" t="s">
        <v>1031</v>
      </c>
      <c r="C1211" s="154" t="s">
        <v>138</v>
      </c>
      <c r="D1211" s="154" t="s">
        <v>1083</v>
      </c>
      <c r="E1211" s="154" t="s">
        <v>904</v>
      </c>
      <c r="F1211" s="154">
        <v>245000000</v>
      </c>
      <c r="G1211" s="154" t="s">
        <v>1084</v>
      </c>
      <c r="H1211" s="154" t="s">
        <v>271</v>
      </c>
      <c r="I1211" s="154" t="s">
        <v>36</v>
      </c>
      <c r="J1211" s="584">
        <v>1</v>
      </c>
    </row>
    <row r="1212" spans="1:10" hidden="1">
      <c r="A1212" s="583">
        <v>4</v>
      </c>
      <c r="B1212" s="2540" t="s">
        <v>1034</v>
      </c>
      <c r="C1212" s="154" t="s">
        <v>138</v>
      </c>
      <c r="D1212" s="154" t="s">
        <v>1065</v>
      </c>
      <c r="E1212" s="154" t="s">
        <v>1066</v>
      </c>
      <c r="F1212" s="154">
        <v>178000000</v>
      </c>
      <c r="G1212" s="154" t="s">
        <v>1067</v>
      </c>
      <c r="H1212" s="154" t="s">
        <v>271</v>
      </c>
      <c r="I1212" s="154" t="s">
        <v>36</v>
      </c>
      <c r="J1212" s="584">
        <v>1</v>
      </c>
    </row>
    <row r="1213" spans="1:10" hidden="1">
      <c r="A1213" s="581"/>
      <c r="B1213" s="2541"/>
      <c r="C1213" s="156"/>
      <c r="D1213" s="156"/>
      <c r="E1213" s="156"/>
      <c r="F1213" s="156"/>
      <c r="G1213" s="156"/>
      <c r="H1213" s="156"/>
      <c r="I1213" s="156"/>
      <c r="J1213" s="144"/>
    </row>
    <row r="1214" spans="1:10" ht="24.6" hidden="1">
      <c r="A1214" s="860"/>
      <c r="B1214" s="895"/>
      <c r="C1214" s="860"/>
      <c r="D1214" s="860"/>
      <c r="E1214" s="860"/>
      <c r="F1214" s="860"/>
      <c r="G1214" s="860"/>
      <c r="H1214" s="860"/>
      <c r="I1214" s="860"/>
      <c r="J1214" s="906">
        <f>J1209+J1210+J1212+J1211</f>
        <v>4</v>
      </c>
    </row>
    <row r="1215" spans="1:10" hidden="1"/>
    <row r="1216" spans="1:10" hidden="1"/>
    <row r="1217" spans="1:10" ht="23.45" hidden="1">
      <c r="A1217" s="2745" t="s">
        <v>523</v>
      </c>
      <c r="B1217" s="2745"/>
      <c r="C1217" s="2745"/>
      <c r="D1217" s="2745"/>
      <c r="E1217" s="2745"/>
      <c r="F1217" s="2745"/>
      <c r="G1217" s="2745"/>
      <c r="H1217" s="2745"/>
      <c r="I1217" s="2745"/>
      <c r="J1217" s="2745"/>
    </row>
    <row r="1218" spans="1:10" ht="15.6" hidden="1">
      <c r="A1218" s="2737" t="s">
        <v>2</v>
      </c>
      <c r="B1218" s="2737"/>
      <c r="C1218" s="2737"/>
      <c r="D1218" s="2737"/>
      <c r="E1218" s="2737"/>
      <c r="F1218" s="2737"/>
      <c r="G1218" s="2737"/>
      <c r="H1218" s="2737"/>
      <c r="I1218" s="2737"/>
      <c r="J1218" s="2737"/>
    </row>
    <row r="1219" spans="1:10" hidden="1">
      <c r="A1219" s="137" t="s">
        <v>3</v>
      </c>
      <c r="B1219" s="1749" t="s">
        <v>4</v>
      </c>
      <c r="C1219" s="137" t="s">
        <v>5</v>
      </c>
      <c r="D1219" s="137" t="s">
        <v>6</v>
      </c>
      <c r="E1219" s="137" t="s">
        <v>7</v>
      </c>
      <c r="F1219" s="137" t="s">
        <v>8</v>
      </c>
      <c r="G1219" s="137" t="s">
        <v>9</v>
      </c>
      <c r="H1219" s="137" t="s">
        <v>10</v>
      </c>
      <c r="I1219" s="137" t="s">
        <v>11</v>
      </c>
      <c r="J1219" s="137" t="s">
        <v>12</v>
      </c>
    </row>
    <row r="1220" spans="1:10" hidden="1">
      <c r="A1220" s="137">
        <v>1</v>
      </c>
      <c r="B1220" s="2548" t="s">
        <v>1085</v>
      </c>
      <c r="C1220" s="627" t="s">
        <v>138</v>
      </c>
      <c r="D1220" s="627" t="s">
        <v>1086</v>
      </c>
      <c r="E1220" s="627" t="s">
        <v>925</v>
      </c>
      <c r="F1220" s="1330">
        <v>1000000</v>
      </c>
      <c r="G1220" s="627" t="s">
        <v>1087</v>
      </c>
      <c r="H1220" s="627" t="s">
        <v>271</v>
      </c>
      <c r="I1220" s="627" t="s">
        <v>36</v>
      </c>
      <c r="J1220" s="628">
        <v>1</v>
      </c>
    </row>
    <row r="1221" spans="1:10" hidden="1">
      <c r="A1221" s="137">
        <v>2</v>
      </c>
      <c r="B1221" s="744" t="s">
        <v>1088</v>
      </c>
      <c r="C1221" s="628" t="s">
        <v>138</v>
      </c>
      <c r="D1221" s="628" t="s">
        <v>1089</v>
      </c>
      <c r="E1221" s="628" t="s">
        <v>883</v>
      </c>
      <c r="F1221" s="628">
        <v>1200000</v>
      </c>
      <c r="G1221" s="628" t="s">
        <v>1090</v>
      </c>
      <c r="H1221" s="628" t="s">
        <v>271</v>
      </c>
      <c r="I1221" s="628" t="s">
        <v>36</v>
      </c>
      <c r="J1221" s="628">
        <v>1</v>
      </c>
    </row>
    <row r="1222" spans="1:10" hidden="1">
      <c r="A1222" s="137">
        <v>3</v>
      </c>
      <c r="B1222" s="744" t="s">
        <v>1091</v>
      </c>
      <c r="C1222" s="628" t="s">
        <v>662</v>
      </c>
      <c r="D1222" s="628" t="s">
        <v>1092</v>
      </c>
      <c r="E1222" s="628" t="s">
        <v>1093</v>
      </c>
      <c r="F1222" s="628">
        <v>1200000</v>
      </c>
      <c r="G1222" s="1331" t="s">
        <v>897</v>
      </c>
      <c r="H1222" s="628" t="s">
        <v>271</v>
      </c>
      <c r="I1222" s="628" t="s">
        <v>36</v>
      </c>
      <c r="J1222" s="628">
        <v>1</v>
      </c>
    </row>
    <row r="1223" spans="1:10" hidden="1">
      <c r="A1223" s="137">
        <v>4</v>
      </c>
      <c r="B1223" s="744" t="s">
        <v>1091</v>
      </c>
      <c r="C1223" s="628" t="s">
        <v>138</v>
      </c>
      <c r="D1223" s="628" t="s">
        <v>1094</v>
      </c>
      <c r="E1223" s="628" t="s">
        <v>869</v>
      </c>
      <c r="F1223" s="628">
        <v>1200000</v>
      </c>
      <c r="G1223" s="628" t="s">
        <v>1095</v>
      </c>
      <c r="H1223" s="628" t="s">
        <v>271</v>
      </c>
      <c r="I1223" s="628" t="s">
        <v>36</v>
      </c>
      <c r="J1223" s="628">
        <v>1</v>
      </c>
    </row>
    <row r="1224" spans="1:10" hidden="1">
      <c r="A1224" s="137">
        <v>5</v>
      </c>
      <c r="B1224" s="744" t="s">
        <v>1021</v>
      </c>
      <c r="C1224" s="628" t="s">
        <v>138</v>
      </c>
      <c r="D1224" s="628" t="s">
        <v>1096</v>
      </c>
      <c r="E1224" s="628" t="s">
        <v>925</v>
      </c>
      <c r="F1224" s="628">
        <v>1050000</v>
      </c>
      <c r="G1224" s="628" t="s">
        <v>1097</v>
      </c>
      <c r="H1224" s="628" t="s">
        <v>271</v>
      </c>
      <c r="I1224" s="628" t="s">
        <v>36</v>
      </c>
      <c r="J1224" s="628">
        <v>1</v>
      </c>
    </row>
    <row r="1225" spans="1:10" hidden="1">
      <c r="A1225" s="137">
        <v>6</v>
      </c>
      <c r="B1225" s="744" t="s">
        <v>1098</v>
      </c>
      <c r="C1225" s="628" t="s">
        <v>662</v>
      </c>
      <c r="D1225" s="628" t="s">
        <v>1099</v>
      </c>
      <c r="E1225" s="628" t="s">
        <v>1093</v>
      </c>
      <c r="F1225" s="628">
        <v>1400000</v>
      </c>
      <c r="G1225" s="628" t="s">
        <v>914</v>
      </c>
      <c r="H1225" s="628" t="s">
        <v>271</v>
      </c>
      <c r="I1225" s="628" t="s">
        <v>36</v>
      </c>
      <c r="J1225" s="628">
        <v>1</v>
      </c>
    </row>
    <row r="1226" spans="1:10" hidden="1">
      <c r="A1226" s="137">
        <v>7</v>
      </c>
      <c r="B1226" s="744" t="s">
        <v>1098</v>
      </c>
      <c r="C1226" s="628" t="s">
        <v>138</v>
      </c>
      <c r="D1226" s="628" t="s">
        <v>1100</v>
      </c>
      <c r="E1226" s="628" t="s">
        <v>883</v>
      </c>
      <c r="F1226" s="628">
        <v>1100000</v>
      </c>
      <c r="G1226" s="628" t="s">
        <v>1095</v>
      </c>
      <c r="H1226" s="628" t="s">
        <v>271</v>
      </c>
      <c r="I1226" s="628" t="s">
        <v>36</v>
      </c>
      <c r="J1226" s="628">
        <v>1</v>
      </c>
    </row>
    <row r="1227" spans="1:10" hidden="1">
      <c r="A1227" s="137">
        <v>8</v>
      </c>
      <c r="B1227" s="744" t="s">
        <v>1098</v>
      </c>
      <c r="C1227" s="628" t="s">
        <v>138</v>
      </c>
      <c r="D1227" s="628" t="s">
        <v>1101</v>
      </c>
      <c r="E1227" s="628" t="s">
        <v>883</v>
      </c>
      <c r="F1227" s="628">
        <v>1100000</v>
      </c>
      <c r="G1227" s="628" t="s">
        <v>1102</v>
      </c>
      <c r="H1227" s="628" t="s">
        <v>271</v>
      </c>
      <c r="I1227" s="628" t="s">
        <v>36</v>
      </c>
      <c r="J1227" s="628">
        <v>1</v>
      </c>
    </row>
    <row r="1228" spans="1:10" hidden="1">
      <c r="A1228" s="137">
        <v>9</v>
      </c>
      <c r="B1228" s="744" t="s">
        <v>1103</v>
      </c>
      <c r="C1228" s="628" t="s">
        <v>138</v>
      </c>
      <c r="D1228" s="628" t="s">
        <v>1104</v>
      </c>
      <c r="E1228" s="628" t="s">
        <v>1105</v>
      </c>
      <c r="F1228" s="628">
        <v>1200000</v>
      </c>
      <c r="G1228" s="628" t="s">
        <v>1106</v>
      </c>
      <c r="H1228" s="628" t="s">
        <v>271</v>
      </c>
      <c r="I1228" s="628" t="s">
        <v>36</v>
      </c>
      <c r="J1228" s="628">
        <v>1</v>
      </c>
    </row>
    <row r="1229" spans="1:10" hidden="1">
      <c r="A1229" s="137">
        <v>10</v>
      </c>
      <c r="B1229" s="744" t="s">
        <v>1107</v>
      </c>
      <c r="C1229" s="628" t="s">
        <v>138</v>
      </c>
      <c r="D1229" s="628" t="s">
        <v>1108</v>
      </c>
      <c r="E1229" s="628" t="s">
        <v>1105</v>
      </c>
      <c r="F1229" s="628">
        <v>1200000</v>
      </c>
      <c r="G1229" s="628" t="s">
        <v>1109</v>
      </c>
      <c r="H1229" s="628" t="s">
        <v>271</v>
      </c>
      <c r="I1229" s="628" t="s">
        <v>36</v>
      </c>
      <c r="J1229" s="628">
        <v>1</v>
      </c>
    </row>
    <row r="1230" spans="1:10" hidden="1">
      <c r="A1230" s="137">
        <v>11</v>
      </c>
      <c r="B1230" s="744" t="s">
        <v>1031</v>
      </c>
      <c r="C1230" s="628" t="s">
        <v>138</v>
      </c>
      <c r="D1230" s="628" t="s">
        <v>1110</v>
      </c>
      <c r="E1230" s="628" t="s">
        <v>869</v>
      </c>
      <c r="F1230" s="628">
        <v>1300000</v>
      </c>
      <c r="G1230" s="628" t="s">
        <v>634</v>
      </c>
      <c r="H1230" s="628" t="s">
        <v>271</v>
      </c>
      <c r="I1230" s="628" t="s">
        <v>36</v>
      </c>
      <c r="J1230" s="628">
        <v>1</v>
      </c>
    </row>
    <row r="1231" spans="1:10" hidden="1">
      <c r="A1231" s="137">
        <v>12</v>
      </c>
      <c r="B1231" s="744" t="s">
        <v>1031</v>
      </c>
      <c r="C1231" s="628" t="s">
        <v>138</v>
      </c>
      <c r="D1231" s="628" t="s">
        <v>1111</v>
      </c>
      <c r="E1231" s="628" t="s">
        <v>1112</v>
      </c>
      <c r="F1231" s="628">
        <v>700000</v>
      </c>
      <c r="G1231" s="628" t="s">
        <v>168</v>
      </c>
      <c r="H1231" s="628" t="s">
        <v>271</v>
      </c>
      <c r="I1231" s="628" t="s">
        <v>36</v>
      </c>
      <c r="J1231" s="628">
        <v>1</v>
      </c>
    </row>
    <row r="1232" spans="1:10" hidden="1">
      <c r="A1232" s="137">
        <v>13</v>
      </c>
      <c r="B1232" s="744" t="s">
        <v>1062</v>
      </c>
      <c r="C1232" s="628" t="s">
        <v>138</v>
      </c>
      <c r="D1232" s="628" t="s">
        <v>1113</v>
      </c>
      <c r="E1232" s="628" t="s">
        <v>869</v>
      </c>
      <c r="F1232" s="628">
        <v>1200000</v>
      </c>
      <c r="G1232" s="628" t="s">
        <v>1114</v>
      </c>
      <c r="H1232" s="628" t="s">
        <v>271</v>
      </c>
      <c r="I1232" s="628" t="s">
        <v>36</v>
      </c>
      <c r="J1232" s="628">
        <v>1</v>
      </c>
    </row>
    <row r="1233" spans="1:10" hidden="1">
      <c r="A1233" s="137">
        <v>14</v>
      </c>
      <c r="B1233" s="744" t="s">
        <v>1062</v>
      </c>
      <c r="C1233" s="628" t="s">
        <v>138</v>
      </c>
      <c r="D1233" s="628" t="s">
        <v>1115</v>
      </c>
      <c r="E1233" s="628" t="s">
        <v>913</v>
      </c>
      <c r="F1233" s="628">
        <v>1300000</v>
      </c>
      <c r="G1233" s="628" t="s">
        <v>1116</v>
      </c>
      <c r="H1233" s="628" t="s">
        <v>271</v>
      </c>
      <c r="I1233" s="628" t="s">
        <v>36</v>
      </c>
      <c r="J1233" s="628">
        <v>1</v>
      </c>
    </row>
    <row r="1234" spans="1:10" hidden="1">
      <c r="A1234" s="1749">
        <v>15</v>
      </c>
      <c r="B1234" s="2548" t="s">
        <v>1070</v>
      </c>
      <c r="C1234" s="627" t="s">
        <v>138</v>
      </c>
      <c r="D1234" s="627" t="s">
        <v>1117</v>
      </c>
      <c r="E1234" s="627" t="s">
        <v>869</v>
      </c>
      <c r="F1234" s="1330">
        <v>1300000</v>
      </c>
      <c r="G1234" s="627" t="s">
        <v>140</v>
      </c>
      <c r="H1234" s="627" t="s">
        <v>271</v>
      </c>
      <c r="I1234" s="627" t="s">
        <v>36</v>
      </c>
      <c r="J1234" s="628">
        <v>1</v>
      </c>
    </row>
    <row r="1235" spans="1:10" hidden="1">
      <c r="A1235" s="1749">
        <v>16</v>
      </c>
      <c r="B1235" s="2548" t="s">
        <v>1070</v>
      </c>
      <c r="C1235" s="627" t="s">
        <v>138</v>
      </c>
      <c r="D1235" s="627" t="s">
        <v>1118</v>
      </c>
      <c r="E1235" s="627" t="s">
        <v>869</v>
      </c>
      <c r="F1235" s="1330">
        <v>1200000</v>
      </c>
      <c r="G1235" s="627" t="s">
        <v>1114</v>
      </c>
      <c r="H1235" s="627" t="s">
        <v>271</v>
      </c>
      <c r="I1235" s="627" t="s">
        <v>36</v>
      </c>
      <c r="J1235" s="628">
        <v>1</v>
      </c>
    </row>
    <row r="1236" spans="1:10" hidden="1">
      <c r="A1236" s="1749">
        <v>17</v>
      </c>
      <c r="B1236" s="2548" t="s">
        <v>1070</v>
      </c>
      <c r="C1236" s="627" t="s">
        <v>138</v>
      </c>
      <c r="D1236" s="627" t="s">
        <v>1119</v>
      </c>
      <c r="E1236" s="627" t="s">
        <v>802</v>
      </c>
      <c r="F1236" s="1330">
        <v>1250000</v>
      </c>
      <c r="G1236" s="627" t="s">
        <v>1078</v>
      </c>
      <c r="H1236" s="627" t="s">
        <v>271</v>
      </c>
      <c r="I1236" s="627" t="s">
        <v>36</v>
      </c>
      <c r="J1236" s="628">
        <v>1</v>
      </c>
    </row>
    <row r="1237" spans="1:10" hidden="1">
      <c r="A1237" s="1749">
        <v>18</v>
      </c>
      <c r="B1237" s="744" t="s">
        <v>1120</v>
      </c>
      <c r="C1237" s="627" t="s">
        <v>138</v>
      </c>
      <c r="D1237" s="627" t="s">
        <v>1121</v>
      </c>
      <c r="E1237" s="627" t="s">
        <v>869</v>
      </c>
      <c r="F1237" s="1330">
        <v>1200000</v>
      </c>
      <c r="G1237" s="627" t="s">
        <v>1122</v>
      </c>
      <c r="H1237" s="627" t="s">
        <v>271</v>
      </c>
      <c r="I1237" s="627" t="s">
        <v>36</v>
      </c>
      <c r="J1237" s="628">
        <v>1</v>
      </c>
    </row>
    <row r="1238" spans="1:10" hidden="1">
      <c r="A1238" s="1749">
        <v>19</v>
      </c>
      <c r="B1238" s="744" t="s">
        <v>1120</v>
      </c>
      <c r="C1238" s="627" t="s">
        <v>138</v>
      </c>
      <c r="D1238" s="627" t="s">
        <v>1123</v>
      </c>
      <c r="E1238" s="627" t="s">
        <v>1124</v>
      </c>
      <c r="F1238" s="1330">
        <v>900000</v>
      </c>
      <c r="G1238" s="627" t="s">
        <v>1125</v>
      </c>
      <c r="H1238" s="627" t="s">
        <v>271</v>
      </c>
      <c r="I1238" s="627" t="s">
        <v>36</v>
      </c>
      <c r="J1238" s="628">
        <v>1</v>
      </c>
    </row>
    <row r="1239" spans="1:10" hidden="1">
      <c r="A1239" s="1749">
        <v>20</v>
      </c>
      <c r="B1239" s="744" t="s">
        <v>1120</v>
      </c>
      <c r="C1239" s="627" t="s">
        <v>662</v>
      </c>
      <c r="D1239" s="627" t="s">
        <v>1126</v>
      </c>
      <c r="E1239" s="627" t="s">
        <v>1127</v>
      </c>
      <c r="F1239" s="1330">
        <v>550000</v>
      </c>
      <c r="G1239" s="627" t="s">
        <v>1128</v>
      </c>
      <c r="H1239" s="627" t="s">
        <v>271</v>
      </c>
      <c r="I1239" s="627" t="s">
        <v>36</v>
      </c>
      <c r="J1239" s="628">
        <v>1</v>
      </c>
    </row>
    <row r="1240" spans="1:10" hidden="1">
      <c r="A1240" s="1749"/>
      <c r="B1240" s="744"/>
      <c r="C1240" s="627"/>
      <c r="D1240" s="627"/>
      <c r="E1240" s="627"/>
      <c r="F1240" s="1330"/>
      <c r="G1240" s="627"/>
      <c r="H1240" s="627"/>
      <c r="I1240" s="627"/>
      <c r="J1240" s="628"/>
    </row>
    <row r="1241" spans="1:10" ht="25.9" hidden="1">
      <c r="A1241" s="1749"/>
      <c r="B1241" s="1749"/>
      <c r="C1241" s="150"/>
      <c r="D1241" s="627"/>
      <c r="E1241" s="150"/>
      <c r="F1241" s="151"/>
      <c r="G1241" s="150"/>
      <c r="H1241" s="150"/>
      <c r="I1241" s="150"/>
      <c r="J1241" s="907">
        <f>SUM(J1220:J1239)</f>
        <v>20</v>
      </c>
    </row>
    <row r="1242" spans="1:10" hidden="1">
      <c r="A1242" s="2744" t="s">
        <v>33</v>
      </c>
      <c r="B1242" s="2744"/>
      <c r="C1242" s="2744"/>
      <c r="D1242" s="2744"/>
      <c r="E1242" s="2744"/>
      <c r="F1242" s="2744"/>
      <c r="G1242" s="2744"/>
      <c r="H1242" s="2744"/>
      <c r="I1242" s="2744"/>
      <c r="J1242" s="2744"/>
    </row>
    <row r="1243" spans="1:10" hidden="1">
      <c r="A1243" s="137" t="s">
        <v>3</v>
      </c>
      <c r="B1243" s="1749" t="s">
        <v>4</v>
      </c>
      <c r="C1243" s="137" t="s">
        <v>5</v>
      </c>
      <c r="D1243" s="137" t="s">
        <v>6</v>
      </c>
      <c r="E1243" s="137" t="s">
        <v>7</v>
      </c>
      <c r="F1243" s="137" t="s">
        <v>8</v>
      </c>
      <c r="G1243" s="137" t="s">
        <v>9</v>
      </c>
      <c r="H1243" s="137" t="s">
        <v>10</v>
      </c>
      <c r="I1243" s="137" t="s">
        <v>11</v>
      </c>
      <c r="J1243" s="137" t="s">
        <v>12</v>
      </c>
    </row>
    <row r="1244" spans="1:10" hidden="1">
      <c r="A1244" s="541">
        <v>1</v>
      </c>
      <c r="B1244" s="2539" t="s">
        <v>1013</v>
      </c>
      <c r="C1244" s="152" t="s">
        <v>138</v>
      </c>
      <c r="D1244" s="152" t="s">
        <v>1129</v>
      </c>
      <c r="E1244" s="152" t="s">
        <v>1130</v>
      </c>
      <c r="F1244" s="152">
        <v>250000000</v>
      </c>
      <c r="G1244" s="152" t="s">
        <v>1131</v>
      </c>
      <c r="H1244" s="152" t="s">
        <v>271</v>
      </c>
      <c r="I1244" s="152" t="s">
        <v>36</v>
      </c>
      <c r="J1244" s="200">
        <v>1</v>
      </c>
    </row>
    <row r="1245" spans="1:10" hidden="1">
      <c r="A1245" s="541">
        <v>2</v>
      </c>
      <c r="B1245" s="2539" t="s">
        <v>1098</v>
      </c>
      <c r="C1245" s="152" t="s">
        <v>138</v>
      </c>
      <c r="D1245" s="152" t="s">
        <v>1132</v>
      </c>
      <c r="E1245" s="152" t="s">
        <v>1133</v>
      </c>
      <c r="F1245" s="152">
        <v>245000000</v>
      </c>
      <c r="G1245" s="152" t="s">
        <v>1095</v>
      </c>
      <c r="H1245" s="152" t="s">
        <v>271</v>
      </c>
      <c r="I1245" s="152" t="s">
        <v>36</v>
      </c>
      <c r="J1245" s="200">
        <v>1</v>
      </c>
    </row>
    <row r="1246" spans="1:10" hidden="1">
      <c r="A1246" s="583">
        <v>3</v>
      </c>
      <c r="B1246" s="2540" t="s">
        <v>1120</v>
      </c>
      <c r="C1246" s="154" t="s">
        <v>138</v>
      </c>
      <c r="D1246" s="154" t="s">
        <v>1121</v>
      </c>
      <c r="E1246" s="154" t="s">
        <v>1134</v>
      </c>
      <c r="F1246" s="154">
        <v>2365000000</v>
      </c>
      <c r="G1246" s="154" t="s">
        <v>1114</v>
      </c>
      <c r="H1246" s="154" t="s">
        <v>271</v>
      </c>
      <c r="I1246" s="154" t="s">
        <v>36</v>
      </c>
      <c r="J1246" s="584">
        <v>1</v>
      </c>
    </row>
    <row r="1247" spans="1:10" ht="24.6" hidden="1">
      <c r="A1247" s="144"/>
      <c r="B1247" s="581"/>
      <c r="C1247" s="144"/>
      <c r="D1247" s="144"/>
      <c r="E1247" s="144"/>
      <c r="F1247" s="144"/>
      <c r="G1247" s="144"/>
      <c r="H1247" s="144"/>
      <c r="I1247" s="144"/>
      <c r="J1247" s="908">
        <f>J1244+J1245+J1246</f>
        <v>3</v>
      </c>
    </row>
    <row r="1248" spans="1:10" hidden="1"/>
    <row r="1249" spans="1:10" hidden="1"/>
    <row r="1250" spans="1:10" hidden="1"/>
    <row r="1251" spans="1:10" ht="23.45" hidden="1">
      <c r="A1251" s="2745" t="s">
        <v>748</v>
      </c>
      <c r="B1251" s="2745"/>
      <c r="C1251" s="2745"/>
      <c r="D1251" s="2745"/>
      <c r="E1251" s="2745"/>
      <c r="F1251" s="2745"/>
      <c r="G1251" s="2745"/>
      <c r="H1251" s="2745"/>
      <c r="I1251" s="2745"/>
      <c r="J1251" s="2745"/>
    </row>
    <row r="1252" spans="1:10" ht="15.6" hidden="1">
      <c r="A1252" s="2737" t="s">
        <v>2</v>
      </c>
      <c r="B1252" s="2737"/>
      <c r="C1252" s="2737"/>
      <c r="D1252" s="2737"/>
      <c r="E1252" s="2737"/>
      <c r="F1252" s="2737"/>
      <c r="G1252" s="2737"/>
      <c r="H1252" s="2737"/>
      <c r="I1252" s="2737"/>
      <c r="J1252" s="2737"/>
    </row>
    <row r="1253" spans="1:10" hidden="1">
      <c r="A1253" s="137" t="s">
        <v>3</v>
      </c>
      <c r="B1253" s="1749" t="s">
        <v>4</v>
      </c>
      <c r="C1253" s="137" t="s">
        <v>5</v>
      </c>
      <c r="D1253" s="137" t="s">
        <v>6</v>
      </c>
      <c r="E1253" s="137" t="s">
        <v>7</v>
      </c>
      <c r="F1253" s="137" t="s">
        <v>8</v>
      </c>
      <c r="G1253" s="137" t="s">
        <v>9</v>
      </c>
      <c r="H1253" s="137" t="s">
        <v>10</v>
      </c>
      <c r="I1253" s="137" t="s">
        <v>11</v>
      </c>
      <c r="J1253" s="137" t="s">
        <v>12</v>
      </c>
    </row>
    <row r="1254" spans="1:10" hidden="1">
      <c r="A1254" s="137">
        <v>1</v>
      </c>
      <c r="B1254" s="744" t="s">
        <v>1080</v>
      </c>
      <c r="C1254" s="628" t="s">
        <v>138</v>
      </c>
      <c r="D1254" s="628" t="s">
        <v>1135</v>
      </c>
      <c r="E1254" s="628" t="s">
        <v>1130</v>
      </c>
      <c r="F1254" s="628">
        <v>1150000</v>
      </c>
      <c r="G1254" s="628" t="s">
        <v>1136</v>
      </c>
      <c r="H1254" s="628" t="s">
        <v>271</v>
      </c>
      <c r="I1254" s="628" t="s">
        <v>36</v>
      </c>
      <c r="J1254" s="628">
        <v>1</v>
      </c>
    </row>
    <row r="1255" spans="1:10" hidden="1">
      <c r="A1255" s="137">
        <v>2</v>
      </c>
      <c r="B1255" s="744" t="s">
        <v>1080</v>
      </c>
      <c r="C1255" s="628" t="s">
        <v>138</v>
      </c>
      <c r="D1255" s="628" t="s">
        <v>1137</v>
      </c>
      <c r="E1255" s="628" t="s">
        <v>858</v>
      </c>
      <c r="F1255" s="628">
        <v>1300000</v>
      </c>
      <c r="G1255" s="628" t="s">
        <v>1138</v>
      </c>
      <c r="H1255" s="628" t="s">
        <v>271</v>
      </c>
      <c r="I1255" s="628" t="s">
        <v>36</v>
      </c>
      <c r="J1255" s="628">
        <v>1</v>
      </c>
    </row>
    <row r="1256" spans="1:10" hidden="1">
      <c r="A1256" s="137">
        <v>3</v>
      </c>
      <c r="B1256" s="744" t="s">
        <v>1088</v>
      </c>
      <c r="C1256" s="628" t="s">
        <v>138</v>
      </c>
      <c r="D1256" s="628" t="s">
        <v>1139</v>
      </c>
      <c r="E1256" s="628" t="s">
        <v>1140</v>
      </c>
      <c r="F1256" s="628">
        <v>900000</v>
      </c>
      <c r="G1256" s="628" t="s">
        <v>1141</v>
      </c>
      <c r="H1256" s="628" t="s">
        <v>271</v>
      </c>
      <c r="I1256" s="628" t="s">
        <v>36</v>
      </c>
      <c r="J1256" s="628">
        <v>1</v>
      </c>
    </row>
    <row r="1257" spans="1:10" hidden="1">
      <c r="A1257" s="137">
        <v>4</v>
      </c>
      <c r="B1257" s="744" t="s">
        <v>1021</v>
      </c>
      <c r="C1257" s="628" t="s">
        <v>138</v>
      </c>
      <c r="D1257" s="628" t="s">
        <v>1074</v>
      </c>
      <c r="E1257" s="628" t="s">
        <v>802</v>
      </c>
      <c r="F1257" s="628">
        <v>1300000</v>
      </c>
      <c r="G1257" s="628" t="s">
        <v>1142</v>
      </c>
      <c r="H1257" s="628" t="s">
        <v>271</v>
      </c>
      <c r="I1257" s="628" t="s">
        <v>36</v>
      </c>
      <c r="J1257" s="628">
        <v>1</v>
      </c>
    </row>
    <row r="1258" spans="1:10" hidden="1">
      <c r="A1258" s="137">
        <v>5</v>
      </c>
      <c r="B1258" s="744" t="s">
        <v>1143</v>
      </c>
      <c r="C1258" s="628" t="s">
        <v>138</v>
      </c>
      <c r="D1258" s="628" t="s">
        <v>1144</v>
      </c>
      <c r="E1258" s="628" t="s">
        <v>802</v>
      </c>
      <c r="F1258" s="628">
        <v>1250000</v>
      </c>
      <c r="G1258" s="628" t="s">
        <v>1145</v>
      </c>
      <c r="H1258" s="628" t="s">
        <v>271</v>
      </c>
      <c r="I1258" s="628" t="s">
        <v>36</v>
      </c>
      <c r="J1258" s="628">
        <v>1</v>
      </c>
    </row>
    <row r="1259" spans="1:10" hidden="1">
      <c r="A1259" s="137">
        <v>6</v>
      </c>
      <c r="B1259" s="744" t="s">
        <v>1023</v>
      </c>
      <c r="C1259" s="628" t="s">
        <v>138</v>
      </c>
      <c r="D1259" s="628" t="s">
        <v>1146</v>
      </c>
      <c r="E1259" s="628" t="s">
        <v>802</v>
      </c>
      <c r="F1259" s="628">
        <v>1200000</v>
      </c>
      <c r="G1259" s="628" t="s">
        <v>963</v>
      </c>
      <c r="H1259" s="628" t="s">
        <v>271</v>
      </c>
      <c r="I1259" s="628" t="s">
        <v>36</v>
      </c>
      <c r="J1259" s="628">
        <v>1</v>
      </c>
    </row>
    <row r="1260" spans="1:10" hidden="1">
      <c r="A1260" s="137">
        <v>7</v>
      </c>
      <c r="B1260" s="744" t="s">
        <v>1103</v>
      </c>
      <c r="C1260" s="628" t="s">
        <v>138</v>
      </c>
      <c r="D1260" s="628" t="s">
        <v>1147</v>
      </c>
      <c r="E1260" s="628" t="s">
        <v>778</v>
      </c>
      <c r="F1260" s="628">
        <v>600000</v>
      </c>
      <c r="G1260" s="628" t="s">
        <v>168</v>
      </c>
      <c r="H1260" s="628" t="s">
        <v>271</v>
      </c>
      <c r="I1260" s="628" t="s">
        <v>36</v>
      </c>
      <c r="J1260" s="628">
        <v>1</v>
      </c>
    </row>
    <row r="1261" spans="1:10" hidden="1">
      <c r="A1261" s="137">
        <v>8</v>
      </c>
      <c r="B1261" s="744" t="s">
        <v>1028</v>
      </c>
      <c r="C1261" s="628" t="s">
        <v>138</v>
      </c>
      <c r="D1261" s="628" t="s">
        <v>1148</v>
      </c>
      <c r="E1261" s="628" t="s">
        <v>180</v>
      </c>
      <c r="F1261" s="628">
        <v>1250000</v>
      </c>
      <c r="G1261" s="628" t="s">
        <v>1149</v>
      </c>
      <c r="H1261" s="628" t="s">
        <v>271</v>
      </c>
      <c r="I1261" s="628" t="s">
        <v>36</v>
      </c>
      <c r="J1261" s="628">
        <v>1</v>
      </c>
    </row>
    <row r="1262" spans="1:10" hidden="1">
      <c r="A1262" s="137">
        <v>9</v>
      </c>
      <c r="B1262" s="744" t="s">
        <v>1031</v>
      </c>
      <c r="C1262" s="628" t="s">
        <v>138</v>
      </c>
      <c r="D1262" s="628" t="s">
        <v>1150</v>
      </c>
      <c r="E1262" s="628" t="s">
        <v>1066</v>
      </c>
      <c r="F1262" s="628">
        <v>750000</v>
      </c>
      <c r="G1262" s="628" t="s">
        <v>1151</v>
      </c>
      <c r="H1262" s="628" t="s">
        <v>271</v>
      </c>
      <c r="I1262" s="628" t="s">
        <v>36</v>
      </c>
      <c r="J1262" s="628">
        <v>1</v>
      </c>
    </row>
    <row r="1263" spans="1:10" hidden="1">
      <c r="A1263" s="137">
        <v>10</v>
      </c>
      <c r="B1263" s="744" t="s">
        <v>1031</v>
      </c>
      <c r="C1263" s="628" t="s">
        <v>138</v>
      </c>
      <c r="D1263" s="628" t="s">
        <v>1152</v>
      </c>
      <c r="E1263" s="628" t="s">
        <v>180</v>
      </c>
      <c r="F1263" s="628">
        <v>1300000</v>
      </c>
      <c r="G1263" s="628" t="s">
        <v>1149</v>
      </c>
      <c r="H1263" s="628" t="s">
        <v>271</v>
      </c>
      <c r="I1263" s="628" t="s">
        <v>36</v>
      </c>
      <c r="J1263" s="628">
        <v>1</v>
      </c>
    </row>
    <row r="1264" spans="1:10" hidden="1">
      <c r="A1264" s="137">
        <v>11</v>
      </c>
      <c r="B1264" s="744" t="s">
        <v>1031</v>
      </c>
      <c r="C1264" s="628" t="s">
        <v>138</v>
      </c>
      <c r="D1264" s="628" t="s">
        <v>1153</v>
      </c>
      <c r="E1264" s="628" t="s">
        <v>180</v>
      </c>
      <c r="F1264" s="628">
        <v>1250000</v>
      </c>
      <c r="G1264" s="628" t="s">
        <v>1064</v>
      </c>
      <c r="H1264" s="628" t="s">
        <v>271</v>
      </c>
      <c r="I1264" s="628" t="s">
        <v>36</v>
      </c>
      <c r="J1264" s="628">
        <v>1</v>
      </c>
    </row>
    <row r="1265" spans="1:10" hidden="1">
      <c r="A1265" s="137">
        <v>12</v>
      </c>
      <c r="B1265" s="744" t="s">
        <v>1031</v>
      </c>
      <c r="C1265" s="628" t="s">
        <v>138</v>
      </c>
      <c r="D1265" s="628" t="s">
        <v>1154</v>
      </c>
      <c r="E1265" s="628" t="s">
        <v>78</v>
      </c>
      <c r="F1265" s="628">
        <v>1500000</v>
      </c>
      <c r="G1265" s="628" t="s">
        <v>168</v>
      </c>
      <c r="H1265" s="628" t="s">
        <v>271</v>
      </c>
      <c r="I1265" s="628" t="s">
        <v>36</v>
      </c>
      <c r="J1265" s="628">
        <v>1</v>
      </c>
    </row>
    <row r="1266" spans="1:10" hidden="1">
      <c r="A1266" s="137">
        <v>13</v>
      </c>
      <c r="B1266" s="744" t="s">
        <v>1031</v>
      </c>
      <c r="C1266" s="628" t="s">
        <v>138</v>
      </c>
      <c r="D1266" s="628" t="s">
        <v>1155</v>
      </c>
      <c r="E1266" s="628" t="s">
        <v>802</v>
      </c>
      <c r="F1266" s="628">
        <v>1200000</v>
      </c>
      <c r="G1266" s="628" t="s">
        <v>724</v>
      </c>
      <c r="H1266" s="628" t="s">
        <v>271</v>
      </c>
      <c r="I1266" s="628" t="s">
        <v>36</v>
      </c>
      <c r="J1266" s="628">
        <v>1</v>
      </c>
    </row>
    <row r="1267" spans="1:10" hidden="1">
      <c r="A1267" s="137">
        <v>14</v>
      </c>
      <c r="B1267" s="744" t="s">
        <v>1156</v>
      </c>
      <c r="C1267" s="628" t="s">
        <v>138</v>
      </c>
      <c r="D1267" s="628" t="s">
        <v>1157</v>
      </c>
      <c r="E1267" s="628" t="s">
        <v>869</v>
      </c>
      <c r="F1267" s="628">
        <v>1200000</v>
      </c>
      <c r="G1267" s="628" t="s">
        <v>1095</v>
      </c>
      <c r="H1267" s="628" t="s">
        <v>271</v>
      </c>
      <c r="I1267" s="628" t="s">
        <v>36</v>
      </c>
      <c r="J1267" s="628">
        <v>1</v>
      </c>
    </row>
    <row r="1268" spans="1:10" hidden="1">
      <c r="A1268" s="1749">
        <v>15</v>
      </c>
      <c r="B1268" s="2548" t="s">
        <v>1068</v>
      </c>
      <c r="C1268" s="627" t="s">
        <v>138</v>
      </c>
      <c r="D1268" s="627" t="s">
        <v>1158</v>
      </c>
      <c r="E1268" s="627" t="s">
        <v>904</v>
      </c>
      <c r="F1268" s="1330">
        <v>580000</v>
      </c>
      <c r="G1268" s="627" t="s">
        <v>168</v>
      </c>
      <c r="H1268" s="627" t="s">
        <v>271</v>
      </c>
      <c r="I1268" s="627" t="s">
        <v>36</v>
      </c>
      <c r="J1268" s="628">
        <v>1</v>
      </c>
    </row>
    <row r="1269" spans="1:10" hidden="1">
      <c r="A1269" s="1749">
        <v>16</v>
      </c>
      <c r="B1269" s="2548" t="s">
        <v>1068</v>
      </c>
      <c r="C1269" s="627" t="s">
        <v>138</v>
      </c>
      <c r="D1269" s="627" t="s">
        <v>1159</v>
      </c>
      <c r="E1269" s="627" t="s">
        <v>990</v>
      </c>
      <c r="F1269" s="1330">
        <v>600000</v>
      </c>
      <c r="G1269" s="627" t="s">
        <v>936</v>
      </c>
      <c r="H1269" s="627" t="s">
        <v>271</v>
      </c>
      <c r="I1269" s="627" t="s">
        <v>36</v>
      </c>
      <c r="J1269" s="628">
        <v>1</v>
      </c>
    </row>
    <row r="1270" spans="1:10" hidden="1">
      <c r="A1270" s="1749">
        <v>17</v>
      </c>
      <c r="B1270" s="2548" t="s">
        <v>1068</v>
      </c>
      <c r="C1270" s="627" t="s">
        <v>138</v>
      </c>
      <c r="D1270" s="627" t="s">
        <v>1160</v>
      </c>
      <c r="E1270" s="627" t="s">
        <v>805</v>
      </c>
      <c r="F1270" s="1330">
        <v>1100000</v>
      </c>
      <c r="G1270" s="627" t="s">
        <v>1161</v>
      </c>
      <c r="H1270" s="627" t="s">
        <v>271</v>
      </c>
      <c r="I1270" s="627" t="s">
        <v>36</v>
      </c>
      <c r="J1270" s="628">
        <v>1</v>
      </c>
    </row>
    <row r="1271" spans="1:10" hidden="1">
      <c r="A1271" s="1749">
        <v>18</v>
      </c>
      <c r="B1271" s="2548" t="s">
        <v>1070</v>
      </c>
      <c r="C1271" s="627" t="s">
        <v>138</v>
      </c>
      <c r="D1271" s="627" t="s">
        <v>1162</v>
      </c>
      <c r="E1271" s="627" t="s">
        <v>805</v>
      </c>
      <c r="F1271" s="1330">
        <v>1200000</v>
      </c>
      <c r="G1271" s="627" t="s">
        <v>1161</v>
      </c>
      <c r="H1271" s="627" t="s">
        <v>271</v>
      </c>
      <c r="I1271" s="627" t="s">
        <v>36</v>
      </c>
      <c r="J1271" s="628">
        <v>1</v>
      </c>
    </row>
    <row r="1272" spans="1:10" hidden="1">
      <c r="A1272" s="1749">
        <v>19</v>
      </c>
      <c r="B1272" s="744" t="s">
        <v>1072</v>
      </c>
      <c r="C1272" s="627" t="s">
        <v>138</v>
      </c>
      <c r="D1272" s="627" t="s">
        <v>1163</v>
      </c>
      <c r="E1272" s="627" t="s">
        <v>802</v>
      </c>
      <c r="F1272" s="1330">
        <v>1250000</v>
      </c>
      <c r="G1272" s="627" t="s">
        <v>1078</v>
      </c>
      <c r="H1272" s="627" t="s">
        <v>271</v>
      </c>
      <c r="I1272" s="627" t="s">
        <v>36</v>
      </c>
      <c r="J1272" s="628">
        <v>1</v>
      </c>
    </row>
    <row r="1273" spans="1:10" hidden="1">
      <c r="A1273" s="1749">
        <v>20</v>
      </c>
      <c r="B1273" s="744" t="s">
        <v>1120</v>
      </c>
      <c r="C1273" s="627" t="s">
        <v>138</v>
      </c>
      <c r="D1273" s="627" t="s">
        <v>1164</v>
      </c>
      <c r="E1273" s="627" t="s">
        <v>802</v>
      </c>
      <c r="F1273" s="1330"/>
      <c r="G1273" s="627" t="s">
        <v>1078</v>
      </c>
      <c r="H1273" s="627" t="s">
        <v>271</v>
      </c>
      <c r="I1273" s="627" t="s">
        <v>36</v>
      </c>
      <c r="J1273" s="628">
        <v>1</v>
      </c>
    </row>
    <row r="1274" spans="1:10" hidden="1">
      <c r="A1274" s="1749"/>
      <c r="B1274" s="744"/>
      <c r="C1274" s="627"/>
      <c r="D1274" s="627"/>
      <c r="E1274" s="627"/>
      <c r="F1274" s="1330"/>
      <c r="G1274" s="627"/>
      <c r="H1274" s="627"/>
      <c r="I1274" s="627"/>
      <c r="J1274" s="628"/>
    </row>
    <row r="1275" spans="1:10" ht="25.9" hidden="1">
      <c r="A1275" s="1749"/>
      <c r="B1275" s="1749"/>
      <c r="C1275" s="150"/>
      <c r="D1275" s="627"/>
      <c r="E1275" s="150"/>
      <c r="F1275" s="151"/>
      <c r="G1275" s="150"/>
      <c r="H1275" s="150"/>
      <c r="I1275" s="150"/>
      <c r="J1275" s="907">
        <f>SUM(J1254:J1274)</f>
        <v>20</v>
      </c>
    </row>
    <row r="1276" spans="1:10" hidden="1">
      <c r="A1276" s="2744" t="s">
        <v>33</v>
      </c>
      <c r="B1276" s="2744"/>
      <c r="C1276" s="2744"/>
      <c r="D1276" s="2744"/>
      <c r="E1276" s="2744"/>
      <c r="F1276" s="2744"/>
      <c r="G1276" s="2744"/>
      <c r="H1276" s="2744"/>
      <c r="I1276" s="2744"/>
      <c r="J1276" s="2744"/>
    </row>
    <row r="1277" spans="1:10" hidden="1">
      <c r="A1277" s="137" t="s">
        <v>3</v>
      </c>
      <c r="B1277" s="1749" t="s">
        <v>4</v>
      </c>
      <c r="C1277" s="137" t="s">
        <v>5</v>
      </c>
      <c r="D1277" s="137" t="s">
        <v>6</v>
      </c>
      <c r="E1277" s="137" t="s">
        <v>7</v>
      </c>
      <c r="F1277" s="137" t="s">
        <v>8</v>
      </c>
      <c r="G1277" s="137" t="s">
        <v>9</v>
      </c>
      <c r="H1277" s="137" t="s">
        <v>10</v>
      </c>
      <c r="I1277" s="137" t="s">
        <v>11</v>
      </c>
      <c r="J1277" s="137" t="s">
        <v>12</v>
      </c>
    </row>
    <row r="1278" spans="1:10" hidden="1">
      <c r="A1278" s="541">
        <v>1</v>
      </c>
      <c r="B1278" s="2539" t="s">
        <v>1015</v>
      </c>
      <c r="C1278" s="152" t="s">
        <v>138</v>
      </c>
      <c r="D1278" s="152" t="s">
        <v>1165</v>
      </c>
      <c r="E1278" s="152" t="s">
        <v>1166</v>
      </c>
      <c r="F1278" s="152">
        <v>95000000</v>
      </c>
      <c r="G1278" s="152" t="s">
        <v>359</v>
      </c>
      <c r="H1278" s="152" t="s">
        <v>271</v>
      </c>
      <c r="I1278" s="152" t="s">
        <v>36</v>
      </c>
      <c r="J1278" s="200">
        <v>1</v>
      </c>
    </row>
    <row r="1279" spans="1:10" hidden="1">
      <c r="A1279" s="541">
        <v>2</v>
      </c>
      <c r="B1279" s="541" t="s">
        <v>1031</v>
      </c>
      <c r="C1279" s="140" t="s">
        <v>138</v>
      </c>
      <c r="D1279" s="140" t="s">
        <v>1167</v>
      </c>
      <c r="E1279" s="140" t="s">
        <v>1130</v>
      </c>
      <c r="F1279" s="140">
        <v>240000000</v>
      </c>
      <c r="G1279" s="140" t="s">
        <v>1161</v>
      </c>
      <c r="H1279" s="140" t="s">
        <v>271</v>
      </c>
      <c r="I1279" s="140" t="s">
        <v>36</v>
      </c>
      <c r="J1279" s="140">
        <v>1</v>
      </c>
    </row>
    <row r="1280" spans="1:10" hidden="1">
      <c r="A1280" s="583">
        <v>3</v>
      </c>
      <c r="B1280" s="2540" t="s">
        <v>1031</v>
      </c>
      <c r="C1280" s="154" t="s">
        <v>138</v>
      </c>
      <c r="D1280" s="154" t="s">
        <v>1168</v>
      </c>
      <c r="E1280" s="154" t="s">
        <v>775</v>
      </c>
      <c r="F1280" s="154">
        <v>165000000</v>
      </c>
      <c r="G1280" s="154" t="s">
        <v>168</v>
      </c>
      <c r="H1280" s="154" t="s">
        <v>271</v>
      </c>
      <c r="I1280" s="154" t="s">
        <v>36</v>
      </c>
      <c r="J1280" s="584">
        <v>1</v>
      </c>
    </row>
    <row r="1281" spans="1:10" ht="24.6" hidden="1">
      <c r="A1281" s="144"/>
      <c r="B1281" s="581"/>
      <c r="C1281" s="144"/>
      <c r="D1281" s="144"/>
      <c r="E1281" s="144"/>
      <c r="F1281" s="144"/>
      <c r="G1281" s="144"/>
      <c r="H1281" s="144"/>
      <c r="I1281" s="144"/>
      <c r="J1281" s="908">
        <f>J1278+J1279+J1280</f>
        <v>3</v>
      </c>
    </row>
    <row r="1282" spans="1:10" hidden="1"/>
    <row r="1283" spans="1:10" hidden="1"/>
    <row r="1284" spans="1:10" ht="23.45" hidden="1">
      <c r="A1284" s="2745" t="s">
        <v>1169</v>
      </c>
      <c r="B1284" s="2745"/>
      <c r="C1284" s="2745"/>
      <c r="D1284" s="2745"/>
      <c r="E1284" s="2745"/>
      <c r="F1284" s="2745"/>
      <c r="G1284" s="2745"/>
      <c r="H1284" s="2745"/>
      <c r="I1284" s="2745"/>
      <c r="J1284" s="2745"/>
    </row>
    <row r="1285" spans="1:10" ht="15.6" hidden="1">
      <c r="A1285" s="2737" t="s">
        <v>2</v>
      </c>
      <c r="B1285" s="2737"/>
      <c r="C1285" s="2737"/>
      <c r="D1285" s="2737"/>
      <c r="E1285" s="2737"/>
      <c r="F1285" s="2737"/>
      <c r="G1285" s="2737"/>
      <c r="H1285" s="2737"/>
      <c r="I1285" s="2737"/>
      <c r="J1285" s="2737"/>
    </row>
    <row r="1286" spans="1:10" hidden="1">
      <c r="A1286" s="137" t="s">
        <v>3</v>
      </c>
      <c r="B1286" s="1749" t="s">
        <v>4</v>
      </c>
      <c r="C1286" s="137" t="s">
        <v>5</v>
      </c>
      <c r="D1286" s="137" t="s">
        <v>6</v>
      </c>
      <c r="E1286" s="137" t="s">
        <v>7</v>
      </c>
      <c r="F1286" s="137" t="s">
        <v>8</v>
      </c>
      <c r="G1286" s="137" t="s">
        <v>9</v>
      </c>
      <c r="H1286" s="137" t="s">
        <v>10</v>
      </c>
      <c r="I1286" s="137" t="s">
        <v>11</v>
      </c>
      <c r="J1286" s="137" t="s">
        <v>12</v>
      </c>
    </row>
    <row r="1287" spans="1:10" hidden="1">
      <c r="A1287" s="137">
        <v>1</v>
      </c>
      <c r="B1287" s="1749" t="s">
        <v>1019</v>
      </c>
      <c r="C1287" s="137" t="s">
        <v>138</v>
      </c>
      <c r="D1287" s="137" t="s">
        <v>1170</v>
      </c>
      <c r="E1287" s="137" t="s">
        <v>1171</v>
      </c>
      <c r="F1287" s="137">
        <v>900000</v>
      </c>
      <c r="G1287" s="137" t="s">
        <v>1172</v>
      </c>
      <c r="H1287" s="137" t="s">
        <v>271</v>
      </c>
      <c r="I1287" s="137" t="s">
        <v>36</v>
      </c>
      <c r="J1287" s="137">
        <v>1</v>
      </c>
    </row>
    <row r="1288" spans="1:10" hidden="1">
      <c r="A1288" s="137">
        <v>2</v>
      </c>
      <c r="B1288" s="1749" t="s">
        <v>1023</v>
      </c>
      <c r="C1288" s="137" t="s">
        <v>138</v>
      </c>
      <c r="D1288" s="137" t="s">
        <v>1173</v>
      </c>
      <c r="E1288" s="137" t="s">
        <v>787</v>
      </c>
      <c r="F1288" s="137">
        <v>850000</v>
      </c>
      <c r="G1288" s="137" t="s">
        <v>1172</v>
      </c>
      <c r="H1288" s="137" t="s">
        <v>271</v>
      </c>
      <c r="I1288" s="137" t="s">
        <v>36</v>
      </c>
      <c r="J1288" s="137">
        <v>1</v>
      </c>
    </row>
    <row r="1289" spans="1:10" hidden="1">
      <c r="A1289" s="137">
        <v>3</v>
      </c>
      <c r="B1289" s="1749" t="s">
        <v>1098</v>
      </c>
      <c r="C1289" s="137" t="s">
        <v>138</v>
      </c>
      <c r="D1289" s="137" t="s">
        <v>1174</v>
      </c>
      <c r="E1289" s="137" t="s">
        <v>76</v>
      </c>
      <c r="F1289" s="137">
        <v>1050000</v>
      </c>
      <c r="G1289" s="137" t="s">
        <v>1175</v>
      </c>
      <c r="H1289" s="137" t="s">
        <v>271</v>
      </c>
      <c r="I1289" s="137" t="s">
        <v>36</v>
      </c>
      <c r="J1289" s="137">
        <v>1</v>
      </c>
    </row>
    <row r="1290" spans="1:10" hidden="1">
      <c r="A1290" s="137">
        <v>4</v>
      </c>
      <c r="B1290" s="1749" t="s">
        <v>1098</v>
      </c>
      <c r="C1290" s="137" t="s">
        <v>37</v>
      </c>
      <c r="D1290" s="137" t="s">
        <v>1176</v>
      </c>
      <c r="E1290" s="137" t="s">
        <v>76</v>
      </c>
      <c r="F1290" s="137">
        <v>950000</v>
      </c>
      <c r="G1290" s="137" t="s">
        <v>1036</v>
      </c>
      <c r="H1290" s="137" t="s">
        <v>271</v>
      </c>
      <c r="I1290" s="137" t="s">
        <v>36</v>
      </c>
      <c r="J1290" s="137">
        <v>1</v>
      </c>
    </row>
    <row r="1291" spans="1:10" hidden="1">
      <c r="A1291" s="137">
        <v>5</v>
      </c>
      <c r="B1291" s="1749" t="s">
        <v>1072</v>
      </c>
      <c r="C1291" s="137" t="s">
        <v>138</v>
      </c>
      <c r="D1291" s="137" t="s">
        <v>1177</v>
      </c>
      <c r="E1291" s="137" t="s">
        <v>78</v>
      </c>
      <c r="F1291" s="137">
        <v>1050000</v>
      </c>
      <c r="G1291" s="137" t="s">
        <v>799</v>
      </c>
      <c r="H1291" s="137" t="s">
        <v>271</v>
      </c>
      <c r="I1291" s="137" t="s">
        <v>36</v>
      </c>
      <c r="J1291" s="137">
        <v>1</v>
      </c>
    </row>
    <row r="1292" spans="1:10" hidden="1">
      <c r="A1292" s="137">
        <v>6</v>
      </c>
      <c r="B1292" s="1749" t="s">
        <v>1178</v>
      </c>
      <c r="C1292" s="137" t="s">
        <v>138</v>
      </c>
      <c r="D1292" s="137" t="s">
        <v>1179</v>
      </c>
      <c r="E1292" s="137" t="s">
        <v>78</v>
      </c>
      <c r="F1292" s="137">
        <v>1300000</v>
      </c>
      <c r="G1292" s="137" t="s">
        <v>1180</v>
      </c>
      <c r="H1292" s="137" t="s">
        <v>271</v>
      </c>
      <c r="I1292" s="137" t="s">
        <v>36</v>
      </c>
      <c r="J1292" s="137">
        <v>1</v>
      </c>
    </row>
    <row r="1293" spans="1:10" hidden="1">
      <c r="A1293" s="137">
        <v>7</v>
      </c>
      <c r="B1293" s="1749" t="s">
        <v>1178</v>
      </c>
      <c r="C1293" s="137" t="s">
        <v>138</v>
      </c>
      <c r="D1293" s="137" t="s">
        <v>1181</v>
      </c>
      <c r="E1293" s="137" t="s">
        <v>78</v>
      </c>
      <c r="F1293" s="137">
        <v>1050000</v>
      </c>
      <c r="G1293" s="137" t="s">
        <v>1182</v>
      </c>
      <c r="H1293" s="137" t="s">
        <v>271</v>
      </c>
      <c r="I1293" s="137" t="s">
        <v>36</v>
      </c>
      <c r="J1293" s="137">
        <v>1</v>
      </c>
    </row>
    <row r="1294" spans="1:10" hidden="1">
      <c r="A1294" s="137">
        <v>8</v>
      </c>
      <c r="B1294" s="1749" t="s">
        <v>1178</v>
      </c>
      <c r="C1294" s="137" t="s">
        <v>138</v>
      </c>
      <c r="D1294" s="137" t="s">
        <v>1183</v>
      </c>
      <c r="E1294" s="137" t="s">
        <v>180</v>
      </c>
      <c r="F1294" s="137">
        <v>1100000</v>
      </c>
      <c r="G1294" s="137" t="s">
        <v>1180</v>
      </c>
      <c r="H1294" s="137" t="s">
        <v>271</v>
      </c>
      <c r="I1294" s="137" t="s">
        <v>36</v>
      </c>
      <c r="J1294" s="137">
        <v>1</v>
      </c>
    </row>
    <row r="1295" spans="1:10" hidden="1">
      <c r="A1295" s="137">
        <v>9</v>
      </c>
      <c r="B1295" s="1749" t="s">
        <v>1120</v>
      </c>
      <c r="C1295" s="137" t="s">
        <v>138</v>
      </c>
      <c r="D1295" s="137" t="s">
        <v>1184</v>
      </c>
      <c r="E1295" s="137" t="s">
        <v>78</v>
      </c>
      <c r="F1295" s="137">
        <v>1300000</v>
      </c>
      <c r="G1295" s="137" t="s">
        <v>1185</v>
      </c>
      <c r="H1295" s="137" t="s">
        <v>271</v>
      </c>
      <c r="I1295" s="137" t="s">
        <v>36</v>
      </c>
      <c r="J1295" s="137">
        <v>1</v>
      </c>
    </row>
    <row r="1296" spans="1:10" hidden="1">
      <c r="A1296" s="137">
        <v>10</v>
      </c>
      <c r="B1296" s="1749" t="s">
        <v>1120</v>
      </c>
      <c r="C1296" s="137" t="s">
        <v>138</v>
      </c>
      <c r="D1296" s="137" t="s">
        <v>1186</v>
      </c>
      <c r="E1296" s="137" t="s">
        <v>390</v>
      </c>
      <c r="F1296" s="137">
        <v>950000</v>
      </c>
      <c r="G1296" s="137" t="s">
        <v>1172</v>
      </c>
      <c r="H1296" s="137" t="s">
        <v>271</v>
      </c>
      <c r="I1296" s="137" t="s">
        <v>36</v>
      </c>
      <c r="J1296" s="137">
        <v>1</v>
      </c>
    </row>
    <row r="1297" spans="1:10" hidden="1">
      <c r="A1297" s="137">
        <v>11</v>
      </c>
      <c r="B1297" s="1749" t="s">
        <v>1120</v>
      </c>
      <c r="C1297" s="137" t="s">
        <v>138</v>
      </c>
      <c r="D1297" s="137" t="s">
        <v>1187</v>
      </c>
      <c r="E1297" s="137" t="s">
        <v>1066</v>
      </c>
      <c r="F1297" s="137">
        <v>950000</v>
      </c>
      <c r="G1297" s="137" t="s">
        <v>1175</v>
      </c>
      <c r="H1297" s="137" t="s">
        <v>271</v>
      </c>
      <c r="I1297" s="137" t="s">
        <v>36</v>
      </c>
      <c r="J1297" s="137">
        <v>1</v>
      </c>
    </row>
    <row r="1298" spans="1:10" hidden="1">
      <c r="A1298" s="137">
        <v>12</v>
      </c>
      <c r="B1298" s="1749" t="s">
        <v>1120</v>
      </c>
      <c r="C1298" s="137" t="s">
        <v>138</v>
      </c>
      <c r="D1298" s="137" t="s">
        <v>1188</v>
      </c>
      <c r="E1298" s="137" t="s">
        <v>390</v>
      </c>
      <c r="F1298" s="137">
        <v>800000</v>
      </c>
      <c r="G1298" s="137" t="s">
        <v>168</v>
      </c>
      <c r="H1298" s="137" t="s">
        <v>271</v>
      </c>
      <c r="I1298" s="137" t="s">
        <v>36</v>
      </c>
      <c r="J1298" s="137">
        <v>1</v>
      </c>
    </row>
    <row r="1299" spans="1:10" hidden="1">
      <c r="A1299" s="137">
        <v>13</v>
      </c>
      <c r="B1299" s="1749" t="s">
        <v>1120</v>
      </c>
      <c r="C1299" s="137" t="s">
        <v>135</v>
      </c>
      <c r="D1299" s="137" t="s">
        <v>1189</v>
      </c>
      <c r="E1299" s="137" t="s">
        <v>441</v>
      </c>
      <c r="F1299" s="137">
        <v>2850000</v>
      </c>
      <c r="G1299" s="137" t="s">
        <v>43</v>
      </c>
      <c r="H1299" s="137" t="s">
        <v>271</v>
      </c>
      <c r="I1299" s="137" t="s">
        <v>36</v>
      </c>
      <c r="J1299" s="137">
        <v>1</v>
      </c>
    </row>
    <row r="1300" spans="1:10" hidden="1">
      <c r="A1300" s="137">
        <v>14</v>
      </c>
      <c r="B1300" s="1749" t="s">
        <v>1120</v>
      </c>
      <c r="C1300" s="137" t="s">
        <v>138</v>
      </c>
      <c r="D1300" s="137" t="s">
        <v>1190</v>
      </c>
      <c r="E1300" s="137" t="s">
        <v>1191</v>
      </c>
      <c r="F1300" s="137">
        <v>1050000</v>
      </c>
      <c r="G1300" s="137" t="s">
        <v>1192</v>
      </c>
      <c r="H1300" s="137" t="s">
        <v>271</v>
      </c>
      <c r="I1300" s="137" t="s">
        <v>36</v>
      </c>
      <c r="J1300" s="137">
        <v>1</v>
      </c>
    </row>
    <row r="1301" spans="1:10" hidden="1">
      <c r="A1301" s="1749">
        <v>15</v>
      </c>
      <c r="B1301" s="2538"/>
      <c r="C1301" s="150"/>
      <c r="D1301" s="627"/>
      <c r="E1301" s="150"/>
      <c r="F1301" s="151"/>
      <c r="G1301" s="150"/>
      <c r="H1301" s="150"/>
      <c r="I1301" s="150"/>
      <c r="J1301" s="137"/>
    </row>
    <row r="1302" spans="1:10" hidden="1">
      <c r="A1302" s="1749">
        <v>16</v>
      </c>
      <c r="B1302" s="2538"/>
      <c r="C1302" s="150"/>
      <c r="D1302" s="627"/>
      <c r="E1302" s="150"/>
      <c r="F1302" s="151"/>
      <c r="G1302" s="150"/>
      <c r="H1302" s="150"/>
      <c r="I1302" s="150"/>
      <c r="J1302" s="137"/>
    </row>
    <row r="1303" spans="1:10" hidden="1">
      <c r="A1303" s="1749">
        <v>17</v>
      </c>
      <c r="B1303" s="2538"/>
      <c r="C1303" s="150"/>
      <c r="D1303" s="627"/>
      <c r="E1303" s="150"/>
      <c r="F1303" s="151"/>
      <c r="G1303" s="150"/>
      <c r="H1303" s="150"/>
      <c r="I1303" s="150"/>
      <c r="J1303" s="137"/>
    </row>
    <row r="1304" spans="1:10" hidden="1">
      <c r="A1304" s="1749">
        <v>18</v>
      </c>
      <c r="B1304" s="2538"/>
      <c r="C1304" s="150"/>
      <c r="D1304" s="627"/>
      <c r="E1304" s="150"/>
      <c r="F1304" s="151"/>
      <c r="G1304" s="150"/>
      <c r="H1304" s="150"/>
      <c r="I1304" s="150"/>
      <c r="J1304" s="137"/>
    </row>
    <row r="1305" spans="1:10" hidden="1">
      <c r="A1305" s="1749">
        <v>19</v>
      </c>
      <c r="B1305" s="1749"/>
      <c r="C1305" s="150"/>
      <c r="D1305" s="627"/>
      <c r="E1305" s="150"/>
      <c r="F1305" s="151"/>
      <c r="G1305" s="150"/>
      <c r="H1305" s="150"/>
      <c r="I1305" s="150"/>
      <c r="J1305" s="137"/>
    </row>
    <row r="1306" spans="1:10" hidden="1">
      <c r="A1306" s="1749">
        <v>20</v>
      </c>
      <c r="B1306" s="1749"/>
      <c r="C1306" s="150"/>
      <c r="D1306" s="627"/>
      <c r="E1306" s="150"/>
      <c r="F1306" s="151"/>
      <c r="G1306" s="150"/>
      <c r="H1306" s="150"/>
      <c r="I1306" s="150"/>
      <c r="J1306" s="137"/>
    </row>
    <row r="1307" spans="1:10" ht="25.9" hidden="1">
      <c r="A1307" s="1749"/>
      <c r="B1307" s="1749"/>
      <c r="C1307" s="150"/>
      <c r="D1307" s="627"/>
      <c r="E1307" s="150"/>
      <c r="F1307" s="151"/>
      <c r="G1307" s="150"/>
      <c r="H1307" s="150"/>
      <c r="I1307" s="150"/>
      <c r="J1307" s="907">
        <f>SUM(J1287:J1300)</f>
        <v>14</v>
      </c>
    </row>
    <row r="1308" spans="1:10" hidden="1">
      <c r="A1308" s="2744" t="s">
        <v>33</v>
      </c>
      <c r="B1308" s="2744"/>
      <c r="C1308" s="2744"/>
      <c r="D1308" s="2744"/>
      <c r="E1308" s="2744"/>
      <c r="F1308" s="2744"/>
      <c r="G1308" s="2744"/>
      <c r="H1308" s="2744"/>
      <c r="I1308" s="2744"/>
      <c r="J1308" s="2744"/>
    </row>
    <row r="1309" spans="1:10" hidden="1">
      <c r="A1309" s="137" t="s">
        <v>3</v>
      </c>
      <c r="B1309" s="1749" t="s">
        <v>4</v>
      </c>
      <c r="C1309" s="137" t="s">
        <v>5</v>
      </c>
      <c r="D1309" s="137" t="s">
        <v>6</v>
      </c>
      <c r="E1309" s="137" t="s">
        <v>7</v>
      </c>
      <c r="F1309" s="137" t="s">
        <v>8</v>
      </c>
      <c r="G1309" s="137" t="s">
        <v>9</v>
      </c>
      <c r="H1309" s="137" t="s">
        <v>10</v>
      </c>
      <c r="I1309" s="137" t="s">
        <v>11</v>
      </c>
      <c r="J1309" s="137" t="s">
        <v>12</v>
      </c>
    </row>
    <row r="1310" spans="1:10" hidden="1">
      <c r="A1310" s="541">
        <v>1</v>
      </c>
      <c r="B1310" s="2539" t="s">
        <v>1178</v>
      </c>
      <c r="C1310" s="152" t="s">
        <v>138</v>
      </c>
      <c r="D1310" s="152" t="s">
        <v>1193</v>
      </c>
      <c r="E1310" s="152" t="s">
        <v>805</v>
      </c>
      <c r="F1310" s="152">
        <v>225000000</v>
      </c>
      <c r="G1310" s="152" t="s">
        <v>1194</v>
      </c>
      <c r="H1310" s="152" t="s">
        <v>271</v>
      </c>
      <c r="I1310" s="152" t="s">
        <v>36</v>
      </c>
      <c r="J1310" s="200">
        <v>1</v>
      </c>
    </row>
    <row r="1311" spans="1:10" hidden="1">
      <c r="A1311" s="541">
        <v>2</v>
      </c>
      <c r="B1311" s="2539" t="s">
        <v>1120</v>
      </c>
      <c r="C1311" s="152" t="s">
        <v>138</v>
      </c>
      <c r="D1311" s="152" t="s">
        <v>1195</v>
      </c>
      <c r="E1311" s="152" t="s">
        <v>78</v>
      </c>
      <c r="F1311" s="152">
        <v>145000000</v>
      </c>
      <c r="G1311" s="152" t="s">
        <v>1175</v>
      </c>
      <c r="H1311" s="152" t="s">
        <v>271</v>
      </c>
      <c r="I1311" s="152" t="s">
        <v>36</v>
      </c>
      <c r="J1311" s="200">
        <v>1</v>
      </c>
    </row>
    <row r="1312" spans="1:10" hidden="1">
      <c r="A1312" s="583">
        <v>3</v>
      </c>
      <c r="B1312" s="2540"/>
      <c r="C1312" s="154"/>
      <c r="D1312" s="154"/>
      <c r="E1312" s="154"/>
      <c r="F1312" s="154"/>
      <c r="G1312" s="154"/>
      <c r="H1312" s="154"/>
      <c r="I1312" s="154"/>
      <c r="J1312" s="584"/>
    </row>
    <row r="1313" spans="1:10" ht="24.6" hidden="1">
      <c r="A1313" s="144"/>
      <c r="B1313" s="581"/>
      <c r="C1313" s="144"/>
      <c r="D1313" s="144"/>
      <c r="E1313" s="144"/>
      <c r="F1313" s="144"/>
      <c r="G1313" s="144"/>
      <c r="H1313" s="144"/>
      <c r="I1313" s="144"/>
      <c r="J1313" s="908">
        <f>J1310+J1311+J1312</f>
        <v>2</v>
      </c>
    </row>
    <row r="1314" spans="1:10" hidden="1"/>
    <row r="1315" spans="1:10" hidden="1"/>
    <row r="1316" spans="1:10" hidden="1"/>
    <row r="1317" spans="1:10" hidden="1">
      <c r="A1317" s="2741" t="s">
        <v>1196</v>
      </c>
      <c r="B1317" s="2742"/>
      <c r="C1317" s="2742"/>
      <c r="D1317" s="2742"/>
      <c r="E1317" s="2742"/>
      <c r="F1317" s="2742"/>
      <c r="G1317" s="2742"/>
      <c r="H1317" s="2742"/>
      <c r="I1317" s="2742"/>
      <c r="J1317" s="2742"/>
    </row>
    <row r="1318" spans="1:10" hidden="1">
      <c r="A1318" s="2742"/>
      <c r="B1318" s="2742"/>
      <c r="C1318" s="2742"/>
      <c r="D1318" s="2742"/>
      <c r="E1318" s="2742"/>
      <c r="F1318" s="2742"/>
      <c r="G1318" s="2742"/>
      <c r="H1318" s="2742"/>
      <c r="I1318" s="2742"/>
      <c r="J1318" s="2742"/>
    </row>
    <row r="1319" spans="1:10" ht="46.15" hidden="1">
      <c r="B1319" s="136"/>
      <c r="C1319" s="136"/>
      <c r="D1319" s="136"/>
      <c r="E1319" s="136"/>
      <c r="F1319" s="136"/>
      <c r="G1319" s="136"/>
      <c r="H1319" s="136"/>
      <c r="I1319" s="136"/>
      <c r="J1319" s="136"/>
    </row>
    <row r="1320" spans="1:10" ht="23.45" hidden="1">
      <c r="A1320" s="2743" t="s">
        <v>527</v>
      </c>
      <c r="B1320" s="2743"/>
      <c r="C1320" s="2743"/>
      <c r="D1320" s="2743"/>
      <c r="E1320" s="2743"/>
      <c r="F1320" s="2743"/>
      <c r="G1320" s="2743"/>
      <c r="H1320" s="2743"/>
      <c r="I1320" s="2743"/>
      <c r="J1320" s="2743"/>
    </row>
    <row r="1321" spans="1:10" ht="15.6" hidden="1">
      <c r="A1321" s="2737" t="s">
        <v>2</v>
      </c>
      <c r="B1321" s="2737"/>
      <c r="C1321" s="2737"/>
      <c r="D1321" s="2737"/>
      <c r="E1321" s="2737"/>
      <c r="F1321" s="2737"/>
      <c r="G1321" s="2737"/>
      <c r="H1321" s="2737"/>
      <c r="I1321" s="2737"/>
      <c r="J1321" s="2737"/>
    </row>
    <row r="1322" spans="1:10" hidden="1">
      <c r="A1322" s="137" t="s">
        <v>3</v>
      </c>
      <c r="B1322" s="1749" t="s">
        <v>4</v>
      </c>
      <c r="C1322" s="137" t="s">
        <v>5</v>
      </c>
      <c r="D1322" s="137" t="s">
        <v>6</v>
      </c>
      <c r="E1322" s="137" t="s">
        <v>7</v>
      </c>
      <c r="F1322" s="137" t="s">
        <v>8</v>
      </c>
      <c r="G1322" s="137" t="s">
        <v>9</v>
      </c>
      <c r="H1322" s="137" t="s">
        <v>10</v>
      </c>
      <c r="I1322" s="137" t="s">
        <v>11</v>
      </c>
      <c r="J1322" s="137" t="s">
        <v>12</v>
      </c>
    </row>
    <row r="1323" spans="1:10" hidden="1">
      <c r="A1323" s="137">
        <v>1</v>
      </c>
      <c r="B1323" s="1749" t="s">
        <v>1197</v>
      </c>
      <c r="C1323" s="137" t="s">
        <v>138</v>
      </c>
      <c r="D1323" s="628" t="s">
        <v>1198</v>
      </c>
      <c r="E1323" s="137" t="s">
        <v>78</v>
      </c>
      <c r="F1323" s="137">
        <v>1300000</v>
      </c>
      <c r="G1323" s="137" t="s">
        <v>1004</v>
      </c>
      <c r="H1323" s="137" t="s">
        <v>271</v>
      </c>
      <c r="I1323" s="137" t="s">
        <v>36</v>
      </c>
      <c r="J1323" s="137">
        <v>1</v>
      </c>
    </row>
    <row r="1324" spans="1:10" hidden="1">
      <c r="A1324" s="137">
        <v>2</v>
      </c>
      <c r="B1324" s="1749" t="s">
        <v>1199</v>
      </c>
      <c r="C1324" s="137" t="s">
        <v>138</v>
      </c>
      <c r="D1324" s="628" t="s">
        <v>1200</v>
      </c>
      <c r="E1324" s="137" t="s">
        <v>965</v>
      </c>
      <c r="F1324" s="137">
        <v>850000</v>
      </c>
      <c r="G1324" s="137" t="s">
        <v>966</v>
      </c>
      <c r="H1324" s="137" t="s">
        <v>271</v>
      </c>
      <c r="I1324" s="137" t="s">
        <v>36</v>
      </c>
      <c r="J1324" s="137">
        <v>1</v>
      </c>
    </row>
    <row r="1325" spans="1:10" hidden="1">
      <c r="A1325" s="137">
        <v>3</v>
      </c>
      <c r="B1325" s="1749" t="s">
        <v>1201</v>
      </c>
      <c r="C1325" s="137" t="s">
        <v>138</v>
      </c>
      <c r="D1325" s="628" t="s">
        <v>1202</v>
      </c>
      <c r="E1325" s="137" t="s">
        <v>1044</v>
      </c>
      <c r="F1325" s="137">
        <v>1100000</v>
      </c>
      <c r="G1325" s="137" t="s">
        <v>1203</v>
      </c>
      <c r="H1325" s="137" t="s">
        <v>271</v>
      </c>
      <c r="I1325" s="137" t="s">
        <v>36</v>
      </c>
      <c r="J1325" s="137">
        <v>1</v>
      </c>
    </row>
    <row r="1326" spans="1:10" hidden="1">
      <c r="A1326" s="137">
        <v>4</v>
      </c>
      <c r="B1326" s="1749" t="s">
        <v>1204</v>
      </c>
      <c r="C1326" s="137" t="s">
        <v>138</v>
      </c>
      <c r="D1326" s="628" t="s">
        <v>1205</v>
      </c>
      <c r="E1326" s="137" t="s">
        <v>805</v>
      </c>
      <c r="F1326" s="137">
        <v>1150000</v>
      </c>
      <c r="G1326" s="137" t="s">
        <v>576</v>
      </c>
      <c r="H1326" s="137" t="s">
        <v>271</v>
      </c>
      <c r="I1326" s="137" t="s">
        <v>36</v>
      </c>
      <c r="J1326" s="137">
        <v>1</v>
      </c>
    </row>
    <row r="1327" spans="1:10" hidden="1">
      <c r="A1327" s="137">
        <v>5</v>
      </c>
      <c r="B1327" s="1749" t="s">
        <v>1204</v>
      </c>
      <c r="C1327" s="137" t="s">
        <v>138</v>
      </c>
      <c r="D1327" s="628" t="s">
        <v>1206</v>
      </c>
      <c r="E1327" s="137" t="s">
        <v>1207</v>
      </c>
      <c r="F1327" s="137">
        <v>1000000</v>
      </c>
      <c r="G1327" s="137" t="s">
        <v>1208</v>
      </c>
      <c r="H1327" s="137" t="s">
        <v>271</v>
      </c>
      <c r="I1327" s="137" t="s">
        <v>36</v>
      </c>
      <c r="J1327" s="137">
        <v>1</v>
      </c>
    </row>
    <row r="1328" spans="1:10" hidden="1">
      <c r="A1328" s="137">
        <v>6</v>
      </c>
      <c r="B1328" s="1749" t="s">
        <v>1209</v>
      </c>
      <c r="C1328" s="137" t="s">
        <v>138</v>
      </c>
      <c r="D1328" s="628" t="s">
        <v>1210</v>
      </c>
      <c r="E1328" s="137" t="s">
        <v>78</v>
      </c>
      <c r="F1328" s="137">
        <v>1200000</v>
      </c>
      <c r="G1328" s="137" t="s">
        <v>1004</v>
      </c>
      <c r="H1328" s="137" t="s">
        <v>271</v>
      </c>
      <c r="I1328" s="137" t="s">
        <v>36</v>
      </c>
      <c r="J1328" s="137">
        <v>1</v>
      </c>
    </row>
    <row r="1329" spans="1:11" hidden="1">
      <c r="A1329" s="137">
        <v>7</v>
      </c>
      <c r="B1329" s="1749" t="s">
        <v>1211</v>
      </c>
      <c r="C1329" s="150" t="s">
        <v>138</v>
      </c>
      <c r="D1329" s="627" t="s">
        <v>1212</v>
      </c>
      <c r="E1329" s="150" t="s">
        <v>1213</v>
      </c>
      <c r="F1329" s="1196">
        <v>850000</v>
      </c>
      <c r="G1329" s="150" t="s">
        <v>796</v>
      </c>
      <c r="H1329" s="150" t="s">
        <v>271</v>
      </c>
      <c r="I1329" s="150" t="s">
        <v>36</v>
      </c>
      <c r="J1329" s="137">
        <v>1</v>
      </c>
    </row>
    <row r="1330" spans="1:11" hidden="1">
      <c r="A1330" s="137">
        <v>8</v>
      </c>
      <c r="B1330" s="1749" t="s">
        <v>1211</v>
      </c>
      <c r="C1330" s="137" t="s">
        <v>138</v>
      </c>
      <c r="D1330" s="628" t="s">
        <v>1214</v>
      </c>
      <c r="E1330" s="137" t="s">
        <v>390</v>
      </c>
      <c r="F1330" s="137">
        <v>1050000</v>
      </c>
      <c r="G1330" s="137" t="s">
        <v>796</v>
      </c>
      <c r="H1330" s="137" t="s">
        <v>271</v>
      </c>
      <c r="I1330" s="137" t="s">
        <v>36</v>
      </c>
      <c r="J1330" s="137">
        <v>1</v>
      </c>
    </row>
    <row r="1331" spans="1:11" hidden="1">
      <c r="A1331" s="137">
        <v>9</v>
      </c>
      <c r="B1331" s="1749" t="s">
        <v>1215</v>
      </c>
      <c r="C1331" s="137" t="s">
        <v>138</v>
      </c>
      <c r="D1331" s="628" t="s">
        <v>1216</v>
      </c>
      <c r="E1331" s="137" t="s">
        <v>390</v>
      </c>
      <c r="F1331" s="137">
        <v>1050000</v>
      </c>
      <c r="G1331" s="137" t="s">
        <v>796</v>
      </c>
      <c r="H1331" s="137" t="s">
        <v>271</v>
      </c>
      <c r="I1331" s="137" t="s">
        <v>36</v>
      </c>
      <c r="J1331" s="137">
        <v>1</v>
      </c>
    </row>
    <row r="1332" spans="1:11" hidden="1">
      <c r="A1332" s="137">
        <v>10</v>
      </c>
      <c r="B1332" s="1749" t="s">
        <v>1217</v>
      </c>
      <c r="C1332" s="137" t="s">
        <v>138</v>
      </c>
      <c r="D1332" s="628" t="s">
        <v>1218</v>
      </c>
      <c r="E1332" s="137" t="s">
        <v>869</v>
      </c>
      <c r="F1332" s="137">
        <v>1150000</v>
      </c>
      <c r="G1332" s="137" t="s">
        <v>43</v>
      </c>
      <c r="H1332" s="137" t="s">
        <v>271</v>
      </c>
      <c r="I1332" s="137" t="s">
        <v>36</v>
      </c>
      <c r="J1332" s="137">
        <v>1</v>
      </c>
    </row>
    <row r="1333" spans="1:11" hidden="1">
      <c r="A1333" s="137">
        <v>11</v>
      </c>
      <c r="B1333" s="1749" t="s">
        <v>1211</v>
      </c>
      <c r="C1333" s="137" t="s">
        <v>138</v>
      </c>
      <c r="D1333" s="628" t="s">
        <v>1219</v>
      </c>
      <c r="E1333" s="137" t="s">
        <v>78</v>
      </c>
      <c r="F1333" s="137">
        <v>1700000</v>
      </c>
      <c r="G1333" s="137" t="s">
        <v>1220</v>
      </c>
      <c r="H1333" s="137" t="s">
        <v>271</v>
      </c>
      <c r="I1333" s="137" t="s">
        <v>36</v>
      </c>
      <c r="J1333" s="137">
        <v>1</v>
      </c>
    </row>
    <row r="1334" spans="1:11" hidden="1">
      <c r="A1334" s="137">
        <v>12</v>
      </c>
      <c r="B1334" s="1749" t="s">
        <v>1221</v>
      </c>
      <c r="C1334" s="137" t="s">
        <v>138</v>
      </c>
      <c r="D1334" s="628" t="s">
        <v>1222</v>
      </c>
      <c r="E1334" s="137" t="s">
        <v>78</v>
      </c>
      <c r="F1334" s="137">
        <v>900000</v>
      </c>
      <c r="G1334" s="137" t="s">
        <v>1223</v>
      </c>
      <c r="H1334" s="137" t="s">
        <v>271</v>
      </c>
      <c r="I1334" s="137" t="s">
        <v>36</v>
      </c>
      <c r="J1334" s="137">
        <v>1</v>
      </c>
    </row>
    <row r="1335" spans="1:11" hidden="1">
      <c r="A1335" s="137">
        <v>13</v>
      </c>
      <c r="B1335" s="1749" t="s">
        <v>1221</v>
      </c>
      <c r="C1335" s="137" t="s">
        <v>138</v>
      </c>
      <c r="D1335" s="628" t="s">
        <v>1224</v>
      </c>
      <c r="E1335" s="137" t="s">
        <v>390</v>
      </c>
      <c r="F1335" s="137">
        <v>1000000</v>
      </c>
      <c r="G1335" s="137" t="s">
        <v>796</v>
      </c>
      <c r="H1335" s="137" t="s">
        <v>271</v>
      </c>
      <c r="I1335" s="137" t="s">
        <v>36</v>
      </c>
      <c r="J1335" s="137">
        <v>1</v>
      </c>
    </row>
    <row r="1336" spans="1:11" hidden="1">
      <c r="A1336" s="137">
        <v>14</v>
      </c>
      <c r="B1336" s="1749" t="s">
        <v>1221</v>
      </c>
      <c r="C1336" s="137" t="s">
        <v>138</v>
      </c>
      <c r="D1336" s="628" t="s">
        <v>1225</v>
      </c>
      <c r="E1336" s="137" t="s">
        <v>1207</v>
      </c>
      <c r="F1336" s="137">
        <v>950000</v>
      </c>
      <c r="G1336" s="137" t="s">
        <v>785</v>
      </c>
      <c r="H1336" s="137" t="s">
        <v>271</v>
      </c>
      <c r="I1336" s="137" t="s">
        <v>36</v>
      </c>
      <c r="J1336" s="137">
        <v>1</v>
      </c>
    </row>
    <row r="1337" spans="1:11" hidden="1">
      <c r="A1337" s="1749">
        <v>15</v>
      </c>
      <c r="B1337" s="2538" t="s">
        <v>1226</v>
      </c>
      <c r="C1337" s="150" t="s">
        <v>138</v>
      </c>
      <c r="D1337" s="627" t="s">
        <v>1227</v>
      </c>
      <c r="E1337" s="150" t="s">
        <v>1228</v>
      </c>
      <c r="F1337" s="1196">
        <v>1800000</v>
      </c>
      <c r="G1337" s="150" t="s">
        <v>1229</v>
      </c>
      <c r="H1337" s="150" t="s">
        <v>271</v>
      </c>
      <c r="I1337" s="150" t="s">
        <v>36</v>
      </c>
      <c r="J1337" s="137">
        <v>1</v>
      </c>
      <c r="K1337" t="s">
        <v>133</v>
      </c>
    </row>
    <row r="1338" spans="1:11" hidden="1">
      <c r="A1338" s="1749">
        <v>16</v>
      </c>
      <c r="B1338" s="2538" t="s">
        <v>1230</v>
      </c>
      <c r="C1338" s="150" t="s">
        <v>138</v>
      </c>
      <c r="D1338" s="627" t="s">
        <v>1231</v>
      </c>
      <c r="E1338" s="150" t="s">
        <v>965</v>
      </c>
      <c r="F1338" s="1196">
        <v>900000</v>
      </c>
      <c r="G1338" s="150" t="s">
        <v>966</v>
      </c>
      <c r="H1338" s="150" t="s">
        <v>271</v>
      </c>
      <c r="I1338" s="150" t="s">
        <v>36</v>
      </c>
      <c r="J1338" s="137">
        <v>1</v>
      </c>
      <c r="K1338" t="s">
        <v>1232</v>
      </c>
    </row>
    <row r="1339" spans="1:11" hidden="1">
      <c r="A1339" s="1749">
        <v>17</v>
      </c>
      <c r="B1339" s="2538" t="s">
        <v>1230</v>
      </c>
      <c r="C1339" s="150" t="s">
        <v>138</v>
      </c>
      <c r="D1339" s="627" t="s">
        <v>1233</v>
      </c>
      <c r="E1339" s="150" t="s">
        <v>1234</v>
      </c>
      <c r="F1339" s="1196">
        <v>850000</v>
      </c>
      <c r="G1339" s="150" t="s">
        <v>43</v>
      </c>
      <c r="H1339" s="150" t="s">
        <v>271</v>
      </c>
      <c r="I1339" s="150" t="s">
        <v>36</v>
      </c>
      <c r="J1339" s="137">
        <v>1</v>
      </c>
      <c r="K1339" t="s">
        <v>133</v>
      </c>
    </row>
    <row r="1340" spans="1:11" hidden="1">
      <c r="A1340" s="1749">
        <v>18</v>
      </c>
      <c r="B1340" s="2538" t="s">
        <v>1235</v>
      </c>
      <c r="C1340" s="150" t="s">
        <v>138</v>
      </c>
      <c r="D1340" s="627" t="s">
        <v>1236</v>
      </c>
      <c r="E1340" s="150" t="s">
        <v>78</v>
      </c>
      <c r="F1340" s="1196">
        <v>900000</v>
      </c>
      <c r="G1340" s="150" t="s">
        <v>1237</v>
      </c>
      <c r="H1340" s="150" t="s">
        <v>271</v>
      </c>
      <c r="I1340" s="150" t="s">
        <v>36</v>
      </c>
      <c r="J1340" s="137">
        <v>1</v>
      </c>
      <c r="K1340" t="s">
        <v>133</v>
      </c>
    </row>
    <row r="1341" spans="1:11" hidden="1">
      <c r="A1341" s="1749">
        <v>19</v>
      </c>
      <c r="B1341" s="1749" t="s">
        <v>1238</v>
      </c>
      <c r="C1341" s="150" t="s">
        <v>138</v>
      </c>
      <c r="D1341" s="627" t="s">
        <v>1239</v>
      </c>
      <c r="E1341" s="150" t="s">
        <v>78</v>
      </c>
      <c r="F1341" s="1196">
        <v>1250000</v>
      </c>
      <c r="G1341" s="150" t="s">
        <v>820</v>
      </c>
      <c r="H1341" s="150" t="s">
        <v>271</v>
      </c>
      <c r="I1341" s="150" t="s">
        <v>36</v>
      </c>
      <c r="J1341" s="137">
        <v>1</v>
      </c>
      <c r="K1341" t="s">
        <v>1232</v>
      </c>
    </row>
    <row r="1342" spans="1:11" hidden="1">
      <c r="A1342" s="1749">
        <v>20</v>
      </c>
      <c r="B1342" s="1749" t="s">
        <v>1240</v>
      </c>
      <c r="C1342" s="150" t="s">
        <v>138</v>
      </c>
      <c r="D1342" s="627" t="s">
        <v>1241</v>
      </c>
      <c r="E1342" s="150" t="s">
        <v>802</v>
      </c>
      <c r="F1342" s="1196">
        <v>1250000</v>
      </c>
      <c r="G1342" s="150" t="s">
        <v>1242</v>
      </c>
      <c r="H1342" s="150" t="s">
        <v>271</v>
      </c>
      <c r="I1342" s="150" t="s">
        <v>36</v>
      </c>
      <c r="J1342" s="137">
        <v>1</v>
      </c>
      <c r="K1342" t="s">
        <v>133</v>
      </c>
    </row>
    <row r="1343" spans="1:11" hidden="1">
      <c r="A1343" s="1749"/>
      <c r="B1343" s="1749"/>
      <c r="C1343" s="150"/>
      <c r="D1343" s="627"/>
      <c r="E1343" s="150"/>
      <c r="F1343" s="1196"/>
      <c r="G1343" s="150"/>
      <c r="H1343" s="150"/>
      <c r="I1343" s="150"/>
      <c r="J1343" s="137"/>
    </row>
    <row r="1344" spans="1:11" ht="24.6" hidden="1">
      <c r="A1344" s="1749"/>
      <c r="B1344" s="1749"/>
      <c r="C1344" s="150"/>
      <c r="D1344" s="627"/>
      <c r="E1344" s="150"/>
      <c r="F1344" s="151"/>
      <c r="G1344" s="150"/>
      <c r="H1344" s="150"/>
      <c r="I1344" s="150"/>
      <c r="J1344" s="905">
        <f>SUM(J1323:J1343)</f>
        <v>20</v>
      </c>
    </row>
    <row r="1345" spans="1:10" hidden="1">
      <c r="A1345" s="2744" t="s">
        <v>33</v>
      </c>
      <c r="B1345" s="2744"/>
      <c r="C1345" s="2744"/>
      <c r="D1345" s="2744"/>
      <c r="E1345" s="2744"/>
      <c r="F1345" s="2744"/>
      <c r="G1345" s="2744"/>
      <c r="H1345" s="2744"/>
      <c r="I1345" s="2744"/>
      <c r="J1345" s="2744"/>
    </row>
    <row r="1346" spans="1:10" hidden="1">
      <c r="A1346" s="137" t="s">
        <v>3</v>
      </c>
      <c r="B1346" s="1749" t="s">
        <v>4</v>
      </c>
      <c r="C1346" s="137" t="s">
        <v>5</v>
      </c>
      <c r="D1346" s="137" t="s">
        <v>6</v>
      </c>
      <c r="E1346" s="137" t="s">
        <v>7</v>
      </c>
      <c r="F1346" s="137" t="s">
        <v>8</v>
      </c>
      <c r="G1346" s="137" t="s">
        <v>9</v>
      </c>
      <c r="H1346" s="137" t="s">
        <v>10</v>
      </c>
      <c r="I1346" s="137" t="s">
        <v>11</v>
      </c>
      <c r="J1346" s="137" t="s">
        <v>12</v>
      </c>
    </row>
    <row r="1347" spans="1:10" hidden="1">
      <c r="A1347" s="583">
        <v>1</v>
      </c>
      <c r="B1347" s="2540" t="s">
        <v>1204</v>
      </c>
      <c r="C1347" s="154" t="s">
        <v>138</v>
      </c>
      <c r="D1347" s="154" t="s">
        <v>1032</v>
      </c>
      <c r="E1347" s="154" t="s">
        <v>965</v>
      </c>
      <c r="F1347" s="154">
        <v>155000000</v>
      </c>
      <c r="G1347" s="154" t="s">
        <v>966</v>
      </c>
      <c r="H1347" s="154" t="s">
        <v>271</v>
      </c>
      <c r="I1347" s="154" t="s">
        <v>36</v>
      </c>
      <c r="J1347" s="584">
        <v>1</v>
      </c>
    </row>
    <row r="1348" spans="1:10" hidden="1">
      <c r="A1348" s="581">
        <v>2</v>
      </c>
      <c r="B1348" s="2541" t="s">
        <v>1204</v>
      </c>
      <c r="C1348" s="156" t="s">
        <v>138</v>
      </c>
      <c r="D1348" s="156" t="s">
        <v>1037</v>
      </c>
      <c r="E1348" s="156" t="s">
        <v>390</v>
      </c>
      <c r="F1348" s="156">
        <v>246000000</v>
      </c>
      <c r="G1348" s="156" t="s">
        <v>1243</v>
      </c>
      <c r="H1348" s="156" t="s">
        <v>1244</v>
      </c>
      <c r="I1348" s="156" t="s">
        <v>24</v>
      </c>
      <c r="J1348" s="144">
        <v>1</v>
      </c>
    </row>
    <row r="1349" spans="1:10" hidden="1">
      <c r="A1349" s="581">
        <v>3</v>
      </c>
      <c r="B1349" s="2541" t="s">
        <v>1226</v>
      </c>
      <c r="C1349" s="156" t="s">
        <v>138</v>
      </c>
      <c r="D1349" s="156" t="s">
        <v>1245</v>
      </c>
      <c r="E1349" s="156" t="s">
        <v>1207</v>
      </c>
      <c r="F1349" s="156">
        <v>179500000</v>
      </c>
      <c r="G1349" s="156" t="s">
        <v>553</v>
      </c>
      <c r="H1349" s="156" t="s">
        <v>271</v>
      </c>
      <c r="I1349" s="156" t="s">
        <v>36</v>
      </c>
      <c r="J1349" s="144">
        <v>1</v>
      </c>
    </row>
    <row r="1350" spans="1:10" hidden="1">
      <c r="A1350" s="581">
        <v>4</v>
      </c>
      <c r="B1350" s="2541" t="s">
        <v>1246</v>
      </c>
      <c r="C1350" s="156" t="s">
        <v>138</v>
      </c>
      <c r="D1350" s="156" t="s">
        <v>1247</v>
      </c>
      <c r="E1350" s="156" t="s">
        <v>180</v>
      </c>
      <c r="F1350" s="156">
        <v>210000000</v>
      </c>
      <c r="G1350" s="156" t="s">
        <v>907</v>
      </c>
      <c r="H1350" s="156" t="s">
        <v>271</v>
      </c>
      <c r="I1350" s="156" t="s">
        <v>36</v>
      </c>
      <c r="J1350" s="144">
        <v>1</v>
      </c>
    </row>
    <row r="1351" spans="1:10" ht="24.6" hidden="1">
      <c r="A1351" s="144"/>
      <c r="B1351" s="895"/>
      <c r="C1351" s="860"/>
      <c r="D1351" s="860"/>
      <c r="E1351" s="860"/>
      <c r="F1351" s="860"/>
      <c r="G1351" s="860"/>
      <c r="H1351" s="860"/>
      <c r="I1351" s="144"/>
      <c r="J1351" s="908">
        <v>4</v>
      </c>
    </row>
    <row r="1352" spans="1:10" hidden="1"/>
    <row r="1353" spans="1:10" hidden="1"/>
    <row r="1354" spans="1:10" hidden="1"/>
    <row r="1355" spans="1:10" ht="23.45" hidden="1">
      <c r="A1355" s="2743" t="s">
        <v>582</v>
      </c>
      <c r="B1355" s="2743"/>
      <c r="C1355" s="2743"/>
      <c r="D1355" s="2743"/>
      <c r="E1355" s="2743"/>
      <c r="F1355" s="2743"/>
      <c r="G1355" s="2743"/>
      <c r="H1355" s="2743"/>
      <c r="I1355" s="2743"/>
      <c r="J1355" s="2743"/>
    </row>
    <row r="1356" spans="1:10" ht="15.6" hidden="1">
      <c r="A1356" s="2737" t="s">
        <v>2</v>
      </c>
      <c r="B1356" s="2737"/>
      <c r="C1356" s="2737"/>
      <c r="D1356" s="2737"/>
      <c r="E1356" s="2737"/>
      <c r="F1356" s="2737"/>
      <c r="G1356" s="2737"/>
      <c r="H1356" s="2737"/>
      <c r="I1356" s="2737"/>
      <c r="J1356" s="2737"/>
    </row>
    <row r="1357" spans="1:10" hidden="1">
      <c r="A1357" s="137" t="s">
        <v>3</v>
      </c>
      <c r="B1357" s="1749" t="s">
        <v>4</v>
      </c>
      <c r="C1357" s="137" t="s">
        <v>5</v>
      </c>
      <c r="D1357" s="137" t="s">
        <v>6</v>
      </c>
      <c r="E1357" s="137" t="s">
        <v>7</v>
      </c>
      <c r="F1357" s="137" t="s">
        <v>8</v>
      </c>
      <c r="G1357" s="137" t="s">
        <v>9</v>
      </c>
      <c r="H1357" s="137" t="s">
        <v>10</v>
      </c>
      <c r="I1357" s="137" t="s">
        <v>11</v>
      </c>
      <c r="J1357" s="137" t="s">
        <v>12</v>
      </c>
    </row>
    <row r="1358" spans="1:10" hidden="1">
      <c r="A1358" s="137">
        <v>1</v>
      </c>
      <c r="B1358" s="744" t="s">
        <v>1199</v>
      </c>
      <c r="C1358" s="628" t="s">
        <v>138</v>
      </c>
      <c r="D1358" s="628" t="s">
        <v>1248</v>
      </c>
      <c r="E1358" s="628" t="s">
        <v>1105</v>
      </c>
      <c r="F1358" s="627">
        <v>1300000</v>
      </c>
      <c r="G1358" s="628" t="s">
        <v>397</v>
      </c>
      <c r="H1358" s="628" t="s">
        <v>271</v>
      </c>
      <c r="I1358" s="628" t="s">
        <v>36</v>
      </c>
      <c r="J1358" s="628">
        <v>1</v>
      </c>
    </row>
    <row r="1359" spans="1:10" hidden="1">
      <c r="A1359" s="137">
        <v>2</v>
      </c>
      <c r="B1359" s="744" t="s">
        <v>1199</v>
      </c>
      <c r="C1359" s="628" t="s">
        <v>138</v>
      </c>
      <c r="D1359" s="628" t="s">
        <v>1249</v>
      </c>
      <c r="E1359" s="628" t="s">
        <v>1105</v>
      </c>
      <c r="F1359" s="627">
        <v>1800000</v>
      </c>
      <c r="G1359" s="628" t="s">
        <v>612</v>
      </c>
      <c r="H1359" s="628" t="s">
        <v>271</v>
      </c>
      <c r="I1359" s="628" t="s">
        <v>36</v>
      </c>
      <c r="J1359" s="628">
        <v>1</v>
      </c>
    </row>
    <row r="1360" spans="1:10" hidden="1">
      <c r="A1360" s="137">
        <v>3</v>
      </c>
      <c r="B1360" s="744" t="s">
        <v>1199</v>
      </c>
      <c r="C1360" s="628" t="s">
        <v>138</v>
      </c>
      <c r="D1360" s="628" t="s">
        <v>1250</v>
      </c>
      <c r="E1360" s="628" t="s">
        <v>1105</v>
      </c>
      <c r="F1360" s="627">
        <v>1800000</v>
      </c>
      <c r="G1360" s="628" t="s">
        <v>612</v>
      </c>
      <c r="H1360" s="628" t="s">
        <v>271</v>
      </c>
      <c r="I1360" s="628" t="s">
        <v>36</v>
      </c>
      <c r="J1360" s="628">
        <v>1</v>
      </c>
    </row>
    <row r="1361" spans="1:11" hidden="1">
      <c r="A1361" s="137">
        <v>4</v>
      </c>
      <c r="B1361" s="744" t="s">
        <v>1204</v>
      </c>
      <c r="C1361" s="628" t="s">
        <v>138</v>
      </c>
      <c r="D1361" s="628" t="s">
        <v>1251</v>
      </c>
      <c r="E1361" s="628" t="s">
        <v>869</v>
      </c>
      <c r="F1361" s="627">
        <v>1200000</v>
      </c>
      <c r="G1361" s="628" t="s">
        <v>1095</v>
      </c>
      <c r="H1361" s="628" t="s">
        <v>271</v>
      </c>
      <c r="I1361" s="628" t="s">
        <v>36</v>
      </c>
      <c r="J1361" s="628">
        <v>1</v>
      </c>
    </row>
    <row r="1362" spans="1:11" hidden="1">
      <c r="A1362" s="137">
        <v>5</v>
      </c>
      <c r="B1362" s="744" t="s">
        <v>1211</v>
      </c>
      <c r="C1362" s="628" t="s">
        <v>138</v>
      </c>
      <c r="D1362" s="628" t="s">
        <v>1252</v>
      </c>
      <c r="E1362" s="628" t="s">
        <v>1105</v>
      </c>
      <c r="F1362" s="627">
        <v>1500000</v>
      </c>
      <c r="G1362" s="628" t="s">
        <v>612</v>
      </c>
      <c r="H1362" s="628" t="s">
        <v>271</v>
      </c>
      <c r="I1362" s="628" t="s">
        <v>36</v>
      </c>
      <c r="J1362" s="628">
        <v>1</v>
      </c>
    </row>
    <row r="1363" spans="1:11" hidden="1">
      <c r="A1363" s="137">
        <v>6</v>
      </c>
      <c r="B1363" s="744" t="s">
        <v>1253</v>
      </c>
      <c r="C1363" s="628" t="s">
        <v>138</v>
      </c>
      <c r="D1363" s="628" t="s">
        <v>1254</v>
      </c>
      <c r="E1363" s="628" t="s">
        <v>78</v>
      </c>
      <c r="F1363" s="627">
        <v>1350000</v>
      </c>
      <c r="G1363" s="628" t="s">
        <v>1255</v>
      </c>
      <c r="H1363" s="628" t="s">
        <v>271</v>
      </c>
      <c r="I1363" s="628" t="s">
        <v>36</v>
      </c>
      <c r="J1363" s="628">
        <v>1</v>
      </c>
    </row>
    <row r="1364" spans="1:11" hidden="1">
      <c r="A1364" s="137">
        <v>7</v>
      </c>
      <c r="B1364" s="744" t="s">
        <v>1256</v>
      </c>
      <c r="C1364" s="628" t="s">
        <v>138</v>
      </c>
      <c r="D1364" s="628" t="s">
        <v>1257</v>
      </c>
      <c r="E1364" s="628" t="s">
        <v>869</v>
      </c>
      <c r="F1364" s="627">
        <v>1200000</v>
      </c>
      <c r="G1364" s="628" t="s">
        <v>1095</v>
      </c>
      <c r="H1364" s="628" t="s">
        <v>271</v>
      </c>
      <c r="I1364" s="628" t="s">
        <v>36</v>
      </c>
      <c r="J1364" s="628">
        <v>1</v>
      </c>
    </row>
    <row r="1365" spans="1:11" hidden="1">
      <c r="A1365" s="137">
        <v>8</v>
      </c>
      <c r="B1365" s="744" t="s">
        <v>1258</v>
      </c>
      <c r="C1365" s="628" t="s">
        <v>138</v>
      </c>
      <c r="D1365" s="628" t="s">
        <v>1259</v>
      </c>
      <c r="E1365" s="628" t="s">
        <v>180</v>
      </c>
      <c r="F1365" s="627">
        <v>1300000</v>
      </c>
      <c r="G1365" s="628" t="s">
        <v>1064</v>
      </c>
      <c r="H1365" s="628" t="s">
        <v>271</v>
      </c>
      <c r="I1365" s="628" t="s">
        <v>36</v>
      </c>
      <c r="J1365" s="628">
        <v>1</v>
      </c>
    </row>
    <row r="1366" spans="1:11" hidden="1">
      <c r="A1366" s="137">
        <v>9</v>
      </c>
      <c r="B1366" s="744" t="s">
        <v>1258</v>
      </c>
      <c r="C1366" s="628" t="s">
        <v>138</v>
      </c>
      <c r="D1366" s="628" t="s">
        <v>1260</v>
      </c>
      <c r="E1366" s="628" t="s">
        <v>962</v>
      </c>
      <c r="F1366" s="627">
        <v>1100000</v>
      </c>
      <c r="G1366" s="628" t="s">
        <v>1078</v>
      </c>
      <c r="H1366" s="628" t="s">
        <v>271</v>
      </c>
      <c r="I1366" s="628" t="s">
        <v>36</v>
      </c>
      <c r="J1366" s="628">
        <v>1</v>
      </c>
    </row>
    <row r="1367" spans="1:11" hidden="1">
      <c r="A1367" s="137">
        <v>10</v>
      </c>
      <c r="B1367" s="744" t="s">
        <v>1261</v>
      </c>
      <c r="C1367" s="628" t="s">
        <v>138</v>
      </c>
      <c r="D1367" s="628" t="s">
        <v>1262</v>
      </c>
      <c r="E1367" s="628" t="s">
        <v>1105</v>
      </c>
      <c r="F1367" s="627">
        <v>1400000</v>
      </c>
      <c r="G1367" s="628" t="s">
        <v>724</v>
      </c>
      <c r="H1367" s="628" t="s">
        <v>271</v>
      </c>
      <c r="I1367" s="628" t="s">
        <v>36</v>
      </c>
      <c r="J1367" s="628">
        <v>1</v>
      </c>
      <c r="K1367" t="s">
        <v>133</v>
      </c>
    </row>
    <row r="1368" spans="1:11" hidden="1">
      <c r="A1368" s="137">
        <v>11</v>
      </c>
      <c r="B1368" s="1749" t="s">
        <v>1261</v>
      </c>
      <c r="C1368" s="150" t="s">
        <v>138</v>
      </c>
      <c r="D1368" s="627" t="s">
        <v>1263</v>
      </c>
      <c r="E1368" s="150" t="s">
        <v>962</v>
      </c>
      <c r="F1368" s="151">
        <v>1250000</v>
      </c>
      <c r="G1368" s="150" t="s">
        <v>1078</v>
      </c>
      <c r="H1368" s="150" t="s">
        <v>271</v>
      </c>
      <c r="I1368" s="150" t="s">
        <v>36</v>
      </c>
      <c r="J1368" s="137">
        <v>1</v>
      </c>
      <c r="K1368" t="s">
        <v>1232</v>
      </c>
    </row>
    <row r="1369" spans="1:11" hidden="1">
      <c r="A1369" s="137">
        <v>12</v>
      </c>
      <c r="B1369" s="1749" t="s">
        <v>1226</v>
      </c>
      <c r="C1369" s="150" t="s">
        <v>138</v>
      </c>
      <c r="D1369" s="627" t="s">
        <v>1264</v>
      </c>
      <c r="E1369" s="150" t="s">
        <v>148</v>
      </c>
      <c r="F1369" s="151">
        <v>1700000</v>
      </c>
      <c r="G1369" s="150" t="s">
        <v>43</v>
      </c>
      <c r="H1369" s="150" t="s">
        <v>271</v>
      </c>
      <c r="I1369" s="150" t="s">
        <v>36</v>
      </c>
      <c r="J1369" s="137">
        <v>1</v>
      </c>
      <c r="K1369" t="s">
        <v>1232</v>
      </c>
    </row>
    <row r="1370" spans="1:11" hidden="1">
      <c r="A1370" s="137">
        <v>13</v>
      </c>
      <c r="B1370" s="1749" t="s">
        <v>1265</v>
      </c>
      <c r="C1370" s="150" t="s">
        <v>138</v>
      </c>
      <c r="D1370" s="627" t="s">
        <v>1266</v>
      </c>
      <c r="E1370" s="150" t="s">
        <v>180</v>
      </c>
      <c r="F1370" s="151">
        <v>1450000</v>
      </c>
      <c r="G1370" s="150" t="s">
        <v>1267</v>
      </c>
      <c r="H1370" s="150" t="s">
        <v>271</v>
      </c>
      <c r="I1370" s="150" t="s">
        <v>36</v>
      </c>
      <c r="J1370" s="137">
        <v>1</v>
      </c>
      <c r="K1370" t="s">
        <v>133</v>
      </c>
    </row>
    <row r="1371" spans="1:11" hidden="1">
      <c r="A1371" s="137">
        <v>14</v>
      </c>
      <c r="B1371" s="744" t="s">
        <v>1265</v>
      </c>
      <c r="C1371" s="628" t="s">
        <v>138</v>
      </c>
      <c r="D1371" s="628" t="s">
        <v>1268</v>
      </c>
      <c r="E1371" s="628" t="s">
        <v>180</v>
      </c>
      <c r="F1371" s="627">
        <v>1250000</v>
      </c>
      <c r="G1371" s="628" t="s">
        <v>1269</v>
      </c>
      <c r="H1371" s="628" t="s">
        <v>271</v>
      </c>
      <c r="I1371" s="628" t="s">
        <v>36</v>
      </c>
      <c r="J1371" s="628">
        <v>1</v>
      </c>
      <c r="K1371" t="s">
        <v>1232</v>
      </c>
    </row>
    <row r="1372" spans="1:11" hidden="1">
      <c r="A1372" s="1749">
        <v>15</v>
      </c>
      <c r="B1372" s="2548" t="s">
        <v>1270</v>
      </c>
      <c r="C1372" s="627" t="s">
        <v>138</v>
      </c>
      <c r="D1372" s="627" t="s">
        <v>1271</v>
      </c>
      <c r="E1372" s="627" t="s">
        <v>962</v>
      </c>
      <c r="F1372" s="1330">
        <v>1300000</v>
      </c>
      <c r="G1372" s="627" t="s">
        <v>1078</v>
      </c>
      <c r="H1372" s="627" t="s">
        <v>271</v>
      </c>
      <c r="I1372" s="627" t="s">
        <v>36</v>
      </c>
      <c r="J1372" s="628">
        <v>1</v>
      </c>
      <c r="K1372" t="s">
        <v>133</v>
      </c>
    </row>
    <row r="1373" spans="1:11" hidden="1">
      <c r="A1373" s="1749">
        <v>16</v>
      </c>
      <c r="B1373" s="2548" t="s">
        <v>1272</v>
      </c>
      <c r="C1373" s="627" t="s">
        <v>138</v>
      </c>
      <c r="D1373" s="627" t="s">
        <v>1273</v>
      </c>
      <c r="E1373" s="627" t="s">
        <v>1105</v>
      </c>
      <c r="F1373" s="1330">
        <v>1200000</v>
      </c>
      <c r="G1373" s="627" t="s">
        <v>397</v>
      </c>
      <c r="H1373" s="627" t="s">
        <v>271</v>
      </c>
      <c r="I1373" s="627" t="s">
        <v>36</v>
      </c>
      <c r="J1373" s="628">
        <v>1</v>
      </c>
      <c r="K1373" t="s">
        <v>1232</v>
      </c>
    </row>
    <row r="1374" spans="1:11" hidden="1">
      <c r="A1374" s="1749">
        <v>17</v>
      </c>
      <c r="B1374" s="2548" t="s">
        <v>1230</v>
      </c>
      <c r="C1374" s="627" t="s">
        <v>138</v>
      </c>
      <c r="D1374" s="627" t="s">
        <v>1274</v>
      </c>
      <c r="E1374" s="627" t="s">
        <v>180</v>
      </c>
      <c r="F1374" s="1330">
        <v>1250000</v>
      </c>
      <c r="G1374" s="627" t="s">
        <v>1275</v>
      </c>
      <c r="H1374" s="627" t="s">
        <v>271</v>
      </c>
      <c r="I1374" s="627" t="s">
        <v>36</v>
      </c>
      <c r="J1374" s="628">
        <v>1</v>
      </c>
      <c r="K1374" t="s">
        <v>133</v>
      </c>
    </row>
    <row r="1375" spans="1:11" hidden="1">
      <c r="A1375" s="1749">
        <v>18</v>
      </c>
      <c r="B1375" s="2548" t="s">
        <v>1230</v>
      </c>
      <c r="C1375" s="627" t="s">
        <v>138</v>
      </c>
      <c r="D1375" s="627" t="s">
        <v>1276</v>
      </c>
      <c r="E1375" s="627" t="s">
        <v>805</v>
      </c>
      <c r="F1375" s="1330">
        <v>1200000</v>
      </c>
      <c r="G1375" s="627" t="s">
        <v>1075</v>
      </c>
      <c r="H1375" s="627" t="s">
        <v>271</v>
      </c>
      <c r="I1375" s="627" t="s">
        <v>36</v>
      </c>
      <c r="J1375" s="628">
        <v>1</v>
      </c>
      <c r="K1375" t="s">
        <v>1232</v>
      </c>
    </row>
    <row r="1376" spans="1:11" hidden="1">
      <c r="A1376" s="1749">
        <v>19</v>
      </c>
      <c r="B1376" s="744" t="s">
        <v>1230</v>
      </c>
      <c r="C1376" s="627" t="s">
        <v>138</v>
      </c>
      <c r="D1376" s="627" t="s">
        <v>1277</v>
      </c>
      <c r="E1376" s="627" t="s">
        <v>869</v>
      </c>
      <c r="F1376" s="1330">
        <v>1100000</v>
      </c>
      <c r="G1376" s="627" t="s">
        <v>907</v>
      </c>
      <c r="H1376" s="627" t="s">
        <v>271</v>
      </c>
      <c r="I1376" s="627" t="s">
        <v>36</v>
      </c>
      <c r="J1376" s="628">
        <v>1</v>
      </c>
      <c r="K1376" t="s">
        <v>1232</v>
      </c>
    </row>
    <row r="1377" spans="1:11" hidden="1">
      <c r="A1377" s="1749">
        <v>20</v>
      </c>
      <c r="B1377" s="744" t="s">
        <v>1246</v>
      </c>
      <c r="C1377" s="627" t="s">
        <v>138</v>
      </c>
      <c r="D1377" s="627" t="s">
        <v>1278</v>
      </c>
      <c r="E1377" s="627" t="s">
        <v>962</v>
      </c>
      <c r="F1377" s="1330">
        <v>1100000</v>
      </c>
      <c r="G1377" s="627" t="s">
        <v>1078</v>
      </c>
      <c r="H1377" s="627" t="s">
        <v>271</v>
      </c>
      <c r="I1377" s="627" t="s">
        <v>36</v>
      </c>
      <c r="J1377" s="628">
        <v>1</v>
      </c>
    </row>
    <row r="1378" spans="1:11" hidden="1">
      <c r="A1378" s="1749">
        <v>21</v>
      </c>
      <c r="B1378" s="744" t="s">
        <v>1238</v>
      </c>
      <c r="C1378" s="627" t="s">
        <v>138</v>
      </c>
      <c r="D1378" s="627" t="s">
        <v>1279</v>
      </c>
      <c r="E1378" s="627" t="s">
        <v>1105</v>
      </c>
      <c r="F1378" s="1330">
        <v>1750000</v>
      </c>
      <c r="G1378" s="627" t="s">
        <v>1280</v>
      </c>
      <c r="H1378" s="627" t="s">
        <v>271</v>
      </c>
      <c r="I1378" s="627" t="s">
        <v>36</v>
      </c>
      <c r="J1378" s="628">
        <v>1</v>
      </c>
      <c r="K1378" t="s">
        <v>1232</v>
      </c>
    </row>
    <row r="1379" spans="1:11" hidden="1">
      <c r="A1379" s="1749">
        <v>22</v>
      </c>
      <c r="B1379" s="744" t="s">
        <v>1240</v>
      </c>
      <c r="C1379" s="627" t="s">
        <v>138</v>
      </c>
      <c r="D1379" s="627" t="s">
        <v>1281</v>
      </c>
      <c r="E1379" s="627" t="s">
        <v>802</v>
      </c>
      <c r="F1379" s="1330">
        <v>2000000</v>
      </c>
      <c r="G1379" s="627" t="s">
        <v>1282</v>
      </c>
      <c r="H1379" s="627" t="s">
        <v>271</v>
      </c>
      <c r="I1379" s="627">
        <v>1</v>
      </c>
      <c r="J1379" s="628">
        <v>1</v>
      </c>
      <c r="K1379" t="s">
        <v>1232</v>
      </c>
    </row>
    <row r="1380" spans="1:11" ht="25.9" hidden="1">
      <c r="A1380" s="1749"/>
      <c r="B1380" s="1749"/>
      <c r="C1380" s="150"/>
      <c r="D1380" s="627"/>
      <c r="E1380" s="150"/>
      <c r="F1380" s="151"/>
      <c r="G1380" s="150"/>
      <c r="H1380" s="150"/>
      <c r="I1380" s="150"/>
      <c r="J1380" s="907">
        <f>SUM(J1358:J1379)</f>
        <v>22</v>
      </c>
    </row>
    <row r="1381" spans="1:11" hidden="1">
      <c r="A1381" s="2744" t="s">
        <v>33</v>
      </c>
      <c r="B1381" s="2744"/>
      <c r="C1381" s="2744"/>
      <c r="D1381" s="2744"/>
      <c r="E1381" s="2744"/>
      <c r="F1381" s="2744"/>
      <c r="G1381" s="2744"/>
      <c r="H1381" s="2744"/>
      <c r="I1381" s="2744"/>
      <c r="J1381" s="2744"/>
    </row>
    <row r="1382" spans="1:11" hidden="1">
      <c r="A1382" s="137" t="s">
        <v>3</v>
      </c>
      <c r="B1382" s="1749" t="s">
        <v>4</v>
      </c>
      <c r="C1382" s="137" t="s">
        <v>5</v>
      </c>
      <c r="D1382" s="137" t="s">
        <v>6</v>
      </c>
      <c r="E1382" s="137" t="s">
        <v>7</v>
      </c>
      <c r="F1382" s="137" t="s">
        <v>8</v>
      </c>
      <c r="G1382" s="137" t="s">
        <v>9</v>
      </c>
      <c r="H1382" s="137" t="s">
        <v>10</v>
      </c>
      <c r="I1382" s="137" t="s">
        <v>11</v>
      </c>
      <c r="J1382" s="137" t="s">
        <v>12</v>
      </c>
    </row>
    <row r="1383" spans="1:11" hidden="1">
      <c r="A1383" s="541">
        <v>1</v>
      </c>
      <c r="B1383" s="2539" t="s">
        <v>1204</v>
      </c>
      <c r="C1383" s="152" t="s">
        <v>138</v>
      </c>
      <c r="D1383" s="152" t="s">
        <v>1249</v>
      </c>
      <c r="E1383" s="152" t="s">
        <v>1105</v>
      </c>
      <c r="F1383" s="152">
        <v>470000000</v>
      </c>
      <c r="G1383" s="152" t="s">
        <v>612</v>
      </c>
      <c r="H1383" s="152" t="s">
        <v>271</v>
      </c>
      <c r="I1383" s="152" t="s">
        <v>36</v>
      </c>
      <c r="J1383" s="200">
        <v>1</v>
      </c>
    </row>
    <row r="1384" spans="1:11" hidden="1">
      <c r="A1384" s="541">
        <v>2</v>
      </c>
      <c r="B1384" s="2539" t="s">
        <v>1204</v>
      </c>
      <c r="C1384" s="152" t="s">
        <v>138</v>
      </c>
      <c r="D1384" s="152" t="s">
        <v>1283</v>
      </c>
      <c r="E1384" s="152" t="s">
        <v>1234</v>
      </c>
      <c r="F1384" s="152">
        <v>335000000</v>
      </c>
      <c r="G1384" s="152" t="s">
        <v>1284</v>
      </c>
      <c r="H1384" s="152" t="s">
        <v>271</v>
      </c>
      <c r="I1384" s="152" t="s">
        <v>36</v>
      </c>
      <c r="J1384" s="200">
        <v>1</v>
      </c>
    </row>
    <row r="1385" spans="1:11" hidden="1">
      <c r="A1385" s="583">
        <v>3</v>
      </c>
      <c r="B1385" s="2540" t="s">
        <v>1091</v>
      </c>
      <c r="C1385" s="154" t="s">
        <v>138</v>
      </c>
      <c r="D1385" s="154" t="s">
        <v>1259</v>
      </c>
      <c r="E1385" s="154" t="s">
        <v>180</v>
      </c>
      <c r="F1385" s="154">
        <v>260000000</v>
      </c>
      <c r="G1385" s="154" t="s">
        <v>1064</v>
      </c>
      <c r="H1385" s="154" t="s">
        <v>271</v>
      </c>
      <c r="I1385" s="154" t="s">
        <v>36</v>
      </c>
      <c r="J1385" s="584">
        <v>1</v>
      </c>
    </row>
    <row r="1386" spans="1:11" hidden="1">
      <c r="A1386" s="583">
        <v>4</v>
      </c>
      <c r="B1386" s="541" t="s">
        <v>1258</v>
      </c>
      <c r="C1386" s="140" t="s">
        <v>135</v>
      </c>
      <c r="D1386" s="140" t="s">
        <v>1285</v>
      </c>
      <c r="E1386" s="140" t="s">
        <v>1286</v>
      </c>
      <c r="F1386" s="152">
        <v>165000000</v>
      </c>
      <c r="G1386" s="140" t="s">
        <v>43</v>
      </c>
      <c r="H1386" s="140" t="s">
        <v>271</v>
      </c>
      <c r="I1386" s="140" t="s">
        <v>36</v>
      </c>
      <c r="J1386" s="140">
        <v>1</v>
      </c>
    </row>
    <row r="1387" spans="1:11" hidden="1">
      <c r="A1387" s="1537">
        <v>5</v>
      </c>
      <c r="B1387" s="583" t="s">
        <v>1258</v>
      </c>
      <c r="C1387" s="143" t="s">
        <v>135</v>
      </c>
      <c r="D1387" s="143" t="s">
        <v>1287</v>
      </c>
      <c r="E1387" s="143" t="s">
        <v>1286</v>
      </c>
      <c r="F1387" s="154">
        <v>265000000</v>
      </c>
      <c r="G1387" s="143" t="s">
        <v>43</v>
      </c>
      <c r="H1387" s="143" t="s">
        <v>271</v>
      </c>
      <c r="I1387" s="143" t="s">
        <v>36</v>
      </c>
      <c r="J1387" s="143">
        <v>1</v>
      </c>
    </row>
    <row r="1388" spans="1:11" hidden="1">
      <c r="A1388" s="581">
        <v>6</v>
      </c>
      <c r="B1388" s="581" t="s">
        <v>1288</v>
      </c>
      <c r="C1388" s="144" t="s">
        <v>146</v>
      </c>
      <c r="D1388" s="144" t="s">
        <v>1264</v>
      </c>
      <c r="E1388" s="144" t="s">
        <v>148</v>
      </c>
      <c r="F1388" s="156">
        <v>200000000</v>
      </c>
      <c r="G1388" s="144" t="s">
        <v>43</v>
      </c>
      <c r="H1388" s="144" t="s">
        <v>271</v>
      </c>
      <c r="I1388" s="144" t="s">
        <v>36</v>
      </c>
      <c r="J1388" s="144">
        <v>1</v>
      </c>
    </row>
    <row r="1389" spans="1:11" ht="24.6" hidden="1">
      <c r="A1389" s="860"/>
      <c r="B1389" s="895"/>
      <c r="C1389" s="860"/>
      <c r="D1389" s="860"/>
      <c r="E1389" s="860"/>
      <c r="F1389" s="860"/>
      <c r="G1389" s="860"/>
      <c r="H1389" s="860"/>
      <c r="I1389" s="860"/>
      <c r="J1389" s="906">
        <v>6</v>
      </c>
    </row>
    <row r="1390" spans="1:11" hidden="1"/>
    <row r="1391" spans="1:11" hidden="1"/>
    <row r="1392" spans="1:11" ht="23.45" hidden="1">
      <c r="A1392" s="2745" t="s">
        <v>523</v>
      </c>
      <c r="B1392" s="2745"/>
      <c r="C1392" s="2745"/>
      <c r="D1392" s="2745"/>
      <c r="E1392" s="2745"/>
      <c r="F1392" s="2745"/>
      <c r="G1392" s="2745"/>
      <c r="H1392" s="2745"/>
      <c r="I1392" s="2745"/>
      <c r="J1392" s="2745"/>
    </row>
    <row r="1393" spans="1:11" ht="15.6" hidden="1">
      <c r="A1393" s="2737" t="s">
        <v>2</v>
      </c>
      <c r="B1393" s="2737"/>
      <c r="C1393" s="2737"/>
      <c r="D1393" s="2737"/>
      <c r="E1393" s="2737"/>
      <c r="F1393" s="2737"/>
      <c r="G1393" s="2737"/>
      <c r="H1393" s="2737"/>
      <c r="I1393" s="2737"/>
      <c r="J1393" s="2737"/>
    </row>
    <row r="1394" spans="1:11" hidden="1">
      <c r="A1394" s="137" t="s">
        <v>3</v>
      </c>
      <c r="B1394" s="1749" t="s">
        <v>4</v>
      </c>
      <c r="C1394" s="137" t="s">
        <v>5</v>
      </c>
      <c r="D1394" s="137" t="s">
        <v>6</v>
      </c>
      <c r="E1394" s="137" t="s">
        <v>7</v>
      </c>
      <c r="F1394" s="137" t="s">
        <v>8</v>
      </c>
      <c r="G1394" s="137" t="s">
        <v>9</v>
      </c>
      <c r="H1394" s="137" t="s">
        <v>10</v>
      </c>
      <c r="I1394" s="137" t="s">
        <v>11</v>
      </c>
      <c r="J1394" s="137" t="s">
        <v>12</v>
      </c>
    </row>
    <row r="1395" spans="1:11" hidden="1">
      <c r="A1395" s="137">
        <v>1</v>
      </c>
      <c r="B1395" s="2548">
        <v>44443</v>
      </c>
      <c r="C1395" s="627" t="s">
        <v>37</v>
      </c>
      <c r="D1395" s="627" t="s">
        <v>1289</v>
      </c>
      <c r="E1395" s="627" t="s">
        <v>925</v>
      </c>
      <c r="F1395" s="1543">
        <v>1200000</v>
      </c>
      <c r="G1395" s="628" t="s">
        <v>295</v>
      </c>
      <c r="H1395" s="628" t="s">
        <v>271</v>
      </c>
      <c r="I1395" s="628" t="s">
        <v>36</v>
      </c>
      <c r="J1395" s="628">
        <v>1</v>
      </c>
    </row>
    <row r="1396" spans="1:11" hidden="1">
      <c r="A1396" s="137">
        <v>2</v>
      </c>
      <c r="B1396" s="744" t="s">
        <v>1290</v>
      </c>
      <c r="C1396" s="628" t="s">
        <v>138</v>
      </c>
      <c r="D1396" s="628" t="s">
        <v>1291</v>
      </c>
      <c r="E1396" s="628" t="s">
        <v>1105</v>
      </c>
      <c r="F1396" s="628">
        <v>1200000</v>
      </c>
      <c r="G1396" s="628" t="s">
        <v>1106</v>
      </c>
      <c r="H1396" s="628" t="s">
        <v>271</v>
      </c>
      <c r="I1396" s="628" t="s">
        <v>36</v>
      </c>
      <c r="J1396" s="628">
        <v>1</v>
      </c>
    </row>
    <row r="1397" spans="1:11" hidden="1">
      <c r="A1397" s="137">
        <v>3</v>
      </c>
      <c r="B1397" s="744" t="s">
        <v>1290</v>
      </c>
      <c r="C1397" s="628" t="s">
        <v>138</v>
      </c>
      <c r="D1397" s="628" t="s">
        <v>1292</v>
      </c>
      <c r="E1397" s="628" t="s">
        <v>869</v>
      </c>
      <c r="F1397" s="628">
        <v>1100000</v>
      </c>
      <c r="G1397" s="1331" t="s">
        <v>1095</v>
      </c>
      <c r="H1397" s="628" t="s">
        <v>271</v>
      </c>
      <c r="I1397" s="628" t="s">
        <v>36</v>
      </c>
      <c r="J1397" s="628">
        <v>1</v>
      </c>
    </row>
    <row r="1398" spans="1:11" hidden="1">
      <c r="A1398" s="137">
        <v>4</v>
      </c>
      <c r="B1398" s="744" t="s">
        <v>1293</v>
      </c>
      <c r="C1398" s="628" t="s">
        <v>138</v>
      </c>
      <c r="D1398" s="628" t="s">
        <v>1294</v>
      </c>
      <c r="E1398" s="628" t="s">
        <v>869</v>
      </c>
      <c r="F1398" s="628">
        <v>1100000</v>
      </c>
      <c r="G1398" s="628" t="s">
        <v>1095</v>
      </c>
      <c r="H1398" s="628" t="s">
        <v>271</v>
      </c>
      <c r="I1398" s="628" t="s">
        <v>36</v>
      </c>
      <c r="J1398" s="628">
        <v>1</v>
      </c>
    </row>
    <row r="1399" spans="1:11" hidden="1">
      <c r="A1399" s="137">
        <v>5</v>
      </c>
      <c r="B1399" s="744" t="s">
        <v>1258</v>
      </c>
      <c r="C1399" s="628" t="s">
        <v>138</v>
      </c>
      <c r="D1399" s="628" t="s">
        <v>1295</v>
      </c>
      <c r="E1399" s="628" t="s">
        <v>869</v>
      </c>
      <c r="F1399" s="628">
        <v>1600000</v>
      </c>
      <c r="G1399" s="628" t="s">
        <v>494</v>
      </c>
      <c r="H1399" s="628" t="s">
        <v>271</v>
      </c>
      <c r="I1399" s="628" t="s">
        <v>36</v>
      </c>
      <c r="J1399" s="628">
        <v>1</v>
      </c>
    </row>
    <row r="1400" spans="1:11" hidden="1">
      <c r="A1400" s="137">
        <v>6</v>
      </c>
      <c r="B1400" s="744" t="s">
        <v>1296</v>
      </c>
      <c r="C1400" s="628" t="s">
        <v>138</v>
      </c>
      <c r="D1400" s="628" t="s">
        <v>1297</v>
      </c>
      <c r="E1400" s="628" t="s">
        <v>869</v>
      </c>
      <c r="F1400" s="628">
        <v>1200000</v>
      </c>
      <c r="G1400" s="628" t="s">
        <v>907</v>
      </c>
      <c r="H1400" s="628" t="s">
        <v>271</v>
      </c>
      <c r="I1400" s="628" t="s">
        <v>36</v>
      </c>
      <c r="J1400" s="628">
        <v>1</v>
      </c>
      <c r="K1400" t="s">
        <v>133</v>
      </c>
    </row>
    <row r="1401" spans="1:11" hidden="1">
      <c r="A1401" s="137">
        <v>7</v>
      </c>
      <c r="B1401" s="744" t="s">
        <v>1261</v>
      </c>
      <c r="C1401" s="628" t="s">
        <v>138</v>
      </c>
      <c r="D1401" s="628" t="s">
        <v>1298</v>
      </c>
      <c r="E1401" s="628" t="s">
        <v>998</v>
      </c>
      <c r="F1401" s="628">
        <v>1000000</v>
      </c>
      <c r="G1401" s="628" t="s">
        <v>1299</v>
      </c>
      <c r="H1401" s="628" t="s">
        <v>271</v>
      </c>
      <c r="I1401" s="628" t="s">
        <v>36</v>
      </c>
      <c r="J1401" s="628">
        <v>1</v>
      </c>
      <c r="K1401" t="s">
        <v>1232</v>
      </c>
    </row>
    <row r="1402" spans="1:11" hidden="1">
      <c r="A1402" s="137">
        <v>8</v>
      </c>
      <c r="B1402" s="744" t="s">
        <v>1261</v>
      </c>
      <c r="C1402" s="628" t="s">
        <v>1300</v>
      </c>
      <c r="D1402" s="628" t="s">
        <v>1301</v>
      </c>
      <c r="E1402" s="628" t="s">
        <v>848</v>
      </c>
      <c r="F1402" s="628">
        <v>3000000</v>
      </c>
      <c r="G1402" s="628" t="s">
        <v>1302</v>
      </c>
      <c r="H1402" s="628" t="s">
        <v>271</v>
      </c>
      <c r="I1402" s="628" t="s">
        <v>36</v>
      </c>
      <c r="J1402" s="628">
        <v>1</v>
      </c>
      <c r="K1402" t="s">
        <v>133</v>
      </c>
    </row>
    <row r="1403" spans="1:11" hidden="1">
      <c r="A1403" s="137">
        <v>9</v>
      </c>
      <c r="B1403" s="744" t="s">
        <v>1261</v>
      </c>
      <c r="C1403" s="628" t="s">
        <v>1303</v>
      </c>
      <c r="D1403" s="628" t="s">
        <v>1304</v>
      </c>
      <c r="E1403" s="628" t="s">
        <v>1305</v>
      </c>
      <c r="F1403" s="628">
        <v>1700000</v>
      </c>
      <c r="G1403" s="628" t="s">
        <v>1306</v>
      </c>
      <c r="H1403" s="628" t="s">
        <v>271</v>
      </c>
      <c r="I1403" s="628" t="s">
        <v>36</v>
      </c>
      <c r="J1403" s="628">
        <v>1</v>
      </c>
      <c r="K1403" t="s">
        <v>1232</v>
      </c>
    </row>
    <row r="1404" spans="1:11" hidden="1">
      <c r="A1404" s="137">
        <v>10</v>
      </c>
      <c r="B1404" s="744" t="s">
        <v>1261</v>
      </c>
      <c r="C1404" s="628" t="s">
        <v>1303</v>
      </c>
      <c r="D1404" s="628" t="s">
        <v>1307</v>
      </c>
      <c r="E1404" s="628" t="s">
        <v>1305</v>
      </c>
      <c r="F1404" s="628">
        <v>1100000</v>
      </c>
      <c r="G1404" s="628" t="s">
        <v>1306</v>
      </c>
      <c r="H1404" s="628" t="s">
        <v>271</v>
      </c>
      <c r="I1404" s="628" t="s">
        <v>36</v>
      </c>
      <c r="J1404" s="628">
        <v>1</v>
      </c>
      <c r="K1404" t="s">
        <v>133</v>
      </c>
    </row>
    <row r="1405" spans="1:11" hidden="1">
      <c r="A1405" s="137">
        <v>11</v>
      </c>
      <c r="B1405" s="744" t="s">
        <v>1261</v>
      </c>
      <c r="C1405" s="628" t="s">
        <v>1303</v>
      </c>
      <c r="D1405" s="628" t="s">
        <v>1308</v>
      </c>
      <c r="E1405" s="628" t="s">
        <v>1305</v>
      </c>
      <c r="F1405" s="628">
        <v>3000000</v>
      </c>
      <c r="G1405" s="628" t="s">
        <v>1306</v>
      </c>
      <c r="H1405" s="628" t="s">
        <v>271</v>
      </c>
      <c r="I1405" s="628" t="s">
        <v>36</v>
      </c>
      <c r="J1405" s="628">
        <v>1</v>
      </c>
      <c r="K1405" t="s">
        <v>1232</v>
      </c>
    </row>
    <row r="1406" spans="1:11" hidden="1">
      <c r="A1406" s="137">
        <v>12</v>
      </c>
      <c r="B1406" s="744" t="s">
        <v>1261</v>
      </c>
      <c r="C1406" s="628" t="s">
        <v>1303</v>
      </c>
      <c r="D1406" s="628" t="s">
        <v>1309</v>
      </c>
      <c r="E1406" s="628" t="s">
        <v>1305</v>
      </c>
      <c r="F1406" s="628">
        <v>5000000</v>
      </c>
      <c r="G1406" s="628" t="s">
        <v>1306</v>
      </c>
      <c r="H1406" s="628" t="s">
        <v>271</v>
      </c>
      <c r="I1406" s="628" t="s">
        <v>36</v>
      </c>
      <c r="J1406" s="628">
        <v>1</v>
      </c>
      <c r="K1406" t="s">
        <v>133</v>
      </c>
    </row>
    <row r="1407" spans="1:11" hidden="1">
      <c r="A1407" s="137">
        <v>13</v>
      </c>
      <c r="B1407" s="744" t="s">
        <v>1261</v>
      </c>
      <c r="C1407" s="628" t="s">
        <v>138</v>
      </c>
      <c r="D1407" s="628" t="s">
        <v>1310</v>
      </c>
      <c r="E1407" s="628" t="s">
        <v>1311</v>
      </c>
      <c r="F1407" s="628">
        <v>950000</v>
      </c>
      <c r="G1407" s="628" t="s">
        <v>1116</v>
      </c>
      <c r="H1407" s="628" t="s">
        <v>271</v>
      </c>
      <c r="I1407" s="628" t="s">
        <v>36</v>
      </c>
      <c r="J1407" s="628">
        <v>1</v>
      </c>
      <c r="K1407" t="s">
        <v>1232</v>
      </c>
    </row>
    <row r="1408" spans="1:11" hidden="1">
      <c r="A1408" s="137">
        <v>14</v>
      </c>
      <c r="B1408" s="744" t="s">
        <v>1261</v>
      </c>
      <c r="C1408" s="628" t="s">
        <v>138</v>
      </c>
      <c r="D1408" s="628" t="s">
        <v>1312</v>
      </c>
      <c r="E1408" s="628" t="s">
        <v>962</v>
      </c>
      <c r="F1408" s="628">
        <v>1200000</v>
      </c>
      <c r="G1408" s="628" t="s">
        <v>1313</v>
      </c>
      <c r="H1408" s="628" t="s">
        <v>271</v>
      </c>
      <c r="I1408" s="628" t="s">
        <v>36</v>
      </c>
      <c r="J1408" s="628">
        <v>1</v>
      </c>
      <c r="K1408" t="s">
        <v>133</v>
      </c>
    </row>
    <row r="1409" spans="1:11" hidden="1">
      <c r="A1409" s="1749">
        <v>15</v>
      </c>
      <c r="B1409" s="2548" t="s">
        <v>1265</v>
      </c>
      <c r="C1409" s="627" t="s">
        <v>138</v>
      </c>
      <c r="D1409" s="627" t="s">
        <v>1314</v>
      </c>
      <c r="E1409" s="627" t="s">
        <v>805</v>
      </c>
      <c r="F1409" s="1543">
        <v>1250000</v>
      </c>
      <c r="G1409" s="628" t="s">
        <v>1315</v>
      </c>
      <c r="H1409" s="628" t="s">
        <v>271</v>
      </c>
      <c r="I1409" s="628" t="s">
        <v>36</v>
      </c>
      <c r="J1409" s="628">
        <v>1</v>
      </c>
      <c r="K1409" t="s">
        <v>1232</v>
      </c>
    </row>
    <row r="1410" spans="1:11" hidden="1">
      <c r="A1410" s="1749">
        <v>16</v>
      </c>
      <c r="B1410" s="2548" t="s">
        <v>1316</v>
      </c>
      <c r="C1410" s="627" t="s">
        <v>138</v>
      </c>
      <c r="D1410" s="627" t="s">
        <v>1317</v>
      </c>
      <c r="E1410" s="627" t="s">
        <v>869</v>
      </c>
      <c r="F1410" s="1543">
        <v>1500000</v>
      </c>
      <c r="G1410" s="628" t="s">
        <v>634</v>
      </c>
      <c r="H1410" s="628" t="s">
        <v>271</v>
      </c>
      <c r="I1410" s="628" t="s">
        <v>36</v>
      </c>
      <c r="J1410" s="628">
        <v>1</v>
      </c>
      <c r="K1410" t="s">
        <v>133</v>
      </c>
    </row>
    <row r="1411" spans="1:11" hidden="1">
      <c r="A1411" s="1749">
        <v>17</v>
      </c>
      <c r="B1411" s="2548" t="s">
        <v>1272</v>
      </c>
      <c r="C1411" s="627" t="s">
        <v>138</v>
      </c>
      <c r="D1411" s="627" t="s">
        <v>1318</v>
      </c>
      <c r="E1411" s="627" t="s">
        <v>869</v>
      </c>
      <c r="F1411" s="1543">
        <v>1250000</v>
      </c>
      <c r="G1411" s="628" t="s">
        <v>1319</v>
      </c>
      <c r="H1411" s="628" t="s">
        <v>271</v>
      </c>
      <c r="I1411" s="628" t="s">
        <v>36</v>
      </c>
      <c r="J1411" s="628">
        <v>1</v>
      </c>
      <c r="K1411" t="s">
        <v>1232</v>
      </c>
    </row>
    <row r="1412" spans="1:11" hidden="1">
      <c r="A1412" s="1749">
        <v>18</v>
      </c>
      <c r="B1412" s="744" t="s">
        <v>1272</v>
      </c>
      <c r="C1412" s="627" t="s">
        <v>138</v>
      </c>
      <c r="D1412" s="627" t="s">
        <v>1320</v>
      </c>
      <c r="E1412" s="627" t="s">
        <v>869</v>
      </c>
      <c r="F1412" s="1330">
        <v>1300000</v>
      </c>
      <c r="G1412" s="627" t="s">
        <v>1321</v>
      </c>
      <c r="H1412" s="627" t="s">
        <v>271</v>
      </c>
      <c r="I1412" s="627" t="s">
        <v>36</v>
      </c>
      <c r="J1412" s="628">
        <v>1</v>
      </c>
      <c r="K1412" t="s">
        <v>133</v>
      </c>
    </row>
    <row r="1413" spans="1:11" hidden="1">
      <c r="A1413" s="1749">
        <v>19</v>
      </c>
      <c r="B1413" s="744" t="s">
        <v>1322</v>
      </c>
      <c r="C1413" s="627" t="s">
        <v>138</v>
      </c>
      <c r="D1413" s="627" t="s">
        <v>1323</v>
      </c>
      <c r="E1413" s="627" t="s">
        <v>1324</v>
      </c>
      <c r="F1413" s="1330">
        <v>1200000</v>
      </c>
      <c r="G1413" s="627" t="s">
        <v>43</v>
      </c>
      <c r="H1413" s="627" t="s">
        <v>271</v>
      </c>
      <c r="I1413" s="627" t="s">
        <v>36</v>
      </c>
      <c r="J1413" s="628">
        <v>1</v>
      </c>
      <c r="K1413" t="s">
        <v>1232</v>
      </c>
    </row>
    <row r="1414" spans="1:11" hidden="1">
      <c r="A1414" s="1749">
        <v>20</v>
      </c>
      <c r="B1414" s="744" t="s">
        <v>1325</v>
      </c>
      <c r="C1414" s="627" t="s">
        <v>138</v>
      </c>
      <c r="D1414" s="627" t="s">
        <v>1326</v>
      </c>
      <c r="E1414" s="627" t="s">
        <v>869</v>
      </c>
      <c r="F1414" s="1330">
        <v>1200000</v>
      </c>
      <c r="G1414" s="627" t="s">
        <v>1095</v>
      </c>
      <c r="H1414" s="627" t="s">
        <v>271</v>
      </c>
      <c r="I1414" s="627" t="s">
        <v>36</v>
      </c>
      <c r="J1414" s="628">
        <v>1</v>
      </c>
      <c r="K1414" t="s">
        <v>1232</v>
      </c>
    </row>
    <row r="1415" spans="1:11" hidden="1">
      <c r="A1415" s="1749">
        <v>21</v>
      </c>
      <c r="B1415" s="2548" t="s">
        <v>1327</v>
      </c>
      <c r="C1415" s="627" t="s">
        <v>138</v>
      </c>
      <c r="D1415" s="627" t="s">
        <v>1328</v>
      </c>
      <c r="E1415" s="627" t="s">
        <v>869</v>
      </c>
      <c r="F1415" s="1330">
        <v>1200000</v>
      </c>
      <c r="G1415" s="627" t="s">
        <v>1095</v>
      </c>
      <c r="H1415" s="627" t="s">
        <v>271</v>
      </c>
      <c r="I1415" s="627" t="s">
        <v>36</v>
      </c>
      <c r="J1415" s="628">
        <v>1</v>
      </c>
      <c r="K1415" t="s">
        <v>133</v>
      </c>
    </row>
    <row r="1416" spans="1:11" hidden="1">
      <c r="A1416" s="1749"/>
      <c r="B1416" s="744"/>
      <c r="C1416" s="627"/>
      <c r="D1416" s="627"/>
      <c r="E1416" s="627"/>
      <c r="F1416" s="1330"/>
      <c r="G1416" s="627"/>
      <c r="H1416" s="627"/>
      <c r="I1416" s="627"/>
      <c r="J1416" s="628"/>
    </row>
    <row r="1417" spans="1:11" ht="25.9" hidden="1">
      <c r="A1417" s="1749"/>
      <c r="B1417" s="1749"/>
      <c r="C1417" s="150"/>
      <c r="D1417" s="627"/>
      <c r="E1417" s="150"/>
      <c r="F1417" s="151"/>
      <c r="G1417" s="150"/>
      <c r="H1417" s="150"/>
      <c r="I1417" s="150"/>
      <c r="J1417" s="907">
        <f>SUM(J1395:J1414)</f>
        <v>20</v>
      </c>
    </row>
    <row r="1418" spans="1:11" hidden="1">
      <c r="A1418" s="2744" t="s">
        <v>33</v>
      </c>
      <c r="B1418" s="2744"/>
      <c r="C1418" s="2744"/>
      <c r="D1418" s="2744"/>
      <c r="E1418" s="2744"/>
      <c r="F1418" s="2744"/>
      <c r="G1418" s="2744"/>
      <c r="H1418" s="2744"/>
      <c r="I1418" s="2744"/>
      <c r="J1418" s="2744"/>
    </row>
    <row r="1419" spans="1:11" hidden="1">
      <c r="A1419" s="137" t="s">
        <v>3</v>
      </c>
      <c r="B1419" s="1749" t="s">
        <v>4</v>
      </c>
      <c r="C1419" s="137" t="s">
        <v>5</v>
      </c>
      <c r="D1419" s="137" t="s">
        <v>6</v>
      </c>
      <c r="E1419" s="137" t="s">
        <v>7</v>
      </c>
      <c r="F1419" s="137" t="s">
        <v>8</v>
      </c>
      <c r="G1419" s="137" t="s">
        <v>9</v>
      </c>
      <c r="H1419" s="137" t="s">
        <v>10</v>
      </c>
      <c r="I1419" s="137" t="s">
        <v>11</v>
      </c>
      <c r="J1419" s="137" t="s">
        <v>12</v>
      </c>
    </row>
    <row r="1420" spans="1:11" hidden="1">
      <c r="A1420" s="541">
        <v>1</v>
      </c>
      <c r="B1420" s="2539" t="s">
        <v>1329</v>
      </c>
      <c r="C1420" s="152" t="s">
        <v>138</v>
      </c>
      <c r="D1420" s="152" t="s">
        <v>1330</v>
      </c>
      <c r="E1420" s="152" t="s">
        <v>869</v>
      </c>
      <c r="F1420" s="152">
        <v>320000000</v>
      </c>
      <c r="G1420" s="152" t="s">
        <v>1331</v>
      </c>
      <c r="H1420" s="152" t="s">
        <v>271</v>
      </c>
      <c r="I1420" s="152" t="s">
        <v>36</v>
      </c>
      <c r="J1420" s="200">
        <v>1</v>
      </c>
    </row>
    <row r="1421" spans="1:11" hidden="1">
      <c r="A1421" s="541">
        <v>2</v>
      </c>
      <c r="B1421" s="2539" t="s">
        <v>1332</v>
      </c>
      <c r="C1421" s="152" t="s">
        <v>138</v>
      </c>
      <c r="D1421" s="152" t="s">
        <v>1333</v>
      </c>
      <c r="E1421" s="152" t="s">
        <v>805</v>
      </c>
      <c r="F1421" s="152">
        <v>350000000</v>
      </c>
      <c r="G1421" s="152" t="s">
        <v>652</v>
      </c>
      <c r="H1421" s="152" t="s">
        <v>271</v>
      </c>
      <c r="I1421" s="152" t="s">
        <v>36</v>
      </c>
      <c r="J1421" s="200">
        <v>1</v>
      </c>
    </row>
    <row r="1422" spans="1:11" hidden="1">
      <c r="A1422" s="583">
        <v>3</v>
      </c>
      <c r="B1422" s="2540" t="s">
        <v>1334</v>
      </c>
      <c r="C1422" s="154" t="s">
        <v>138</v>
      </c>
      <c r="D1422" s="154" t="s">
        <v>1335</v>
      </c>
      <c r="E1422" s="154" t="s">
        <v>840</v>
      </c>
      <c r="F1422" s="154">
        <v>349000000</v>
      </c>
      <c r="G1422" s="154" t="s">
        <v>1313</v>
      </c>
      <c r="H1422" s="154" t="s">
        <v>271</v>
      </c>
      <c r="I1422" s="154" t="s">
        <v>36</v>
      </c>
      <c r="J1422" s="200">
        <v>1</v>
      </c>
    </row>
    <row r="1423" spans="1:11" s="11" customFormat="1" hidden="1">
      <c r="A1423" s="581">
        <v>4</v>
      </c>
      <c r="B1423" s="2541" t="s">
        <v>1332</v>
      </c>
      <c r="C1423" s="156" t="s">
        <v>74</v>
      </c>
      <c r="D1423" s="156" t="s">
        <v>1336</v>
      </c>
      <c r="E1423" s="156" t="s">
        <v>1337</v>
      </c>
      <c r="F1423" s="156">
        <v>1300000000</v>
      </c>
      <c r="G1423" s="156" t="s">
        <v>1313</v>
      </c>
      <c r="H1423" s="156" t="s">
        <v>271</v>
      </c>
      <c r="I1423" s="156" t="s">
        <v>36</v>
      </c>
      <c r="J1423" s="200">
        <v>1</v>
      </c>
    </row>
    <row r="1424" spans="1:11" ht="24.6" hidden="1">
      <c r="A1424" s="860"/>
      <c r="B1424" s="895"/>
      <c r="C1424" s="860"/>
      <c r="D1424" s="860"/>
      <c r="E1424" s="860"/>
      <c r="F1424" s="860"/>
      <c r="G1424" s="860"/>
      <c r="H1424" s="860"/>
      <c r="I1424" s="860"/>
      <c r="J1424" s="906">
        <f>SUM(J1420:J1423)</f>
        <v>4</v>
      </c>
    </row>
    <row r="1425" spans="1:11" hidden="1"/>
    <row r="1426" spans="1:11" hidden="1"/>
    <row r="1427" spans="1:11" hidden="1"/>
    <row r="1428" spans="1:11" ht="23.45" hidden="1">
      <c r="A1428" s="2743" t="s">
        <v>748</v>
      </c>
      <c r="B1428" s="2743"/>
      <c r="C1428" s="2743"/>
      <c r="D1428" s="2743"/>
      <c r="E1428" s="2743"/>
      <c r="F1428" s="2743"/>
      <c r="G1428" s="2743"/>
      <c r="H1428" s="2743"/>
      <c r="I1428" s="2743"/>
      <c r="J1428" s="2743"/>
    </row>
    <row r="1429" spans="1:11" ht="15.6" hidden="1">
      <c r="A1429" s="2737" t="s">
        <v>2</v>
      </c>
      <c r="B1429" s="2737"/>
      <c r="C1429" s="2737"/>
      <c r="D1429" s="2737"/>
      <c r="E1429" s="2737"/>
      <c r="F1429" s="2737"/>
      <c r="G1429" s="2737"/>
      <c r="H1429" s="2737"/>
      <c r="I1429" s="2737"/>
      <c r="J1429" s="2737"/>
    </row>
    <row r="1430" spans="1:11" hidden="1">
      <c r="A1430" s="137" t="s">
        <v>3</v>
      </c>
      <c r="B1430" s="1749" t="s">
        <v>4</v>
      </c>
      <c r="C1430" s="137" t="s">
        <v>5</v>
      </c>
      <c r="D1430" s="137" t="s">
        <v>6</v>
      </c>
      <c r="E1430" s="137" t="s">
        <v>7</v>
      </c>
      <c r="F1430" s="137" t="s">
        <v>8</v>
      </c>
      <c r="G1430" s="137" t="s">
        <v>9</v>
      </c>
      <c r="H1430" s="137" t="s">
        <v>10</v>
      </c>
      <c r="I1430" s="137" t="s">
        <v>11</v>
      </c>
      <c r="J1430" s="137" t="s">
        <v>12</v>
      </c>
    </row>
    <row r="1431" spans="1:11" hidden="1">
      <c r="A1431" s="137">
        <v>1</v>
      </c>
      <c r="B1431" s="744" t="s">
        <v>1338</v>
      </c>
      <c r="C1431" s="628" t="s">
        <v>138</v>
      </c>
      <c r="D1431" s="628" t="s">
        <v>1339</v>
      </c>
      <c r="E1431" s="628" t="s">
        <v>805</v>
      </c>
      <c r="F1431" s="628">
        <v>1200000</v>
      </c>
      <c r="G1431" s="628" t="s">
        <v>43</v>
      </c>
      <c r="H1431" s="628" t="s">
        <v>271</v>
      </c>
      <c r="I1431" s="628" t="s">
        <v>36</v>
      </c>
      <c r="J1431" s="628">
        <v>1</v>
      </c>
    </row>
    <row r="1432" spans="1:11" hidden="1">
      <c r="A1432" s="137">
        <v>2</v>
      </c>
      <c r="B1432" s="744" t="s">
        <v>1340</v>
      </c>
      <c r="C1432" s="628" t="s">
        <v>138</v>
      </c>
      <c r="D1432" s="628" t="s">
        <v>1341</v>
      </c>
      <c r="E1432" s="628" t="s">
        <v>1234</v>
      </c>
      <c r="F1432" s="628">
        <v>900000</v>
      </c>
      <c r="G1432" s="628" t="s">
        <v>43</v>
      </c>
      <c r="H1432" s="628" t="s">
        <v>271</v>
      </c>
      <c r="I1432" s="628" t="s">
        <v>36</v>
      </c>
      <c r="J1432" s="628">
        <v>1</v>
      </c>
    </row>
    <row r="1433" spans="1:11" hidden="1">
      <c r="A1433" s="137">
        <v>3</v>
      </c>
      <c r="B1433" s="744" t="s">
        <v>1342</v>
      </c>
      <c r="C1433" s="628" t="s">
        <v>138</v>
      </c>
      <c r="D1433" s="628" t="s">
        <v>1343</v>
      </c>
      <c r="E1433" s="628" t="s">
        <v>962</v>
      </c>
      <c r="F1433" s="628">
        <v>1200000</v>
      </c>
      <c r="G1433" s="628" t="s">
        <v>1078</v>
      </c>
      <c r="H1433" s="628" t="s">
        <v>271</v>
      </c>
      <c r="I1433" s="628" t="s">
        <v>36</v>
      </c>
      <c r="J1433" s="628">
        <v>1</v>
      </c>
    </row>
    <row r="1434" spans="1:11" hidden="1">
      <c r="A1434" s="137">
        <v>4</v>
      </c>
      <c r="B1434" s="744" t="s">
        <v>1344</v>
      </c>
      <c r="C1434" s="628" t="s">
        <v>138</v>
      </c>
      <c r="D1434" s="628" t="s">
        <v>1345</v>
      </c>
      <c r="E1434" s="628" t="s">
        <v>805</v>
      </c>
      <c r="F1434" s="628">
        <v>105000</v>
      </c>
      <c r="G1434" s="628" t="s">
        <v>1346</v>
      </c>
      <c r="H1434" s="628" t="s">
        <v>271</v>
      </c>
      <c r="I1434" s="628" t="s">
        <v>36</v>
      </c>
      <c r="J1434" s="628">
        <v>1</v>
      </c>
    </row>
    <row r="1435" spans="1:11" hidden="1">
      <c r="A1435" s="137">
        <v>5</v>
      </c>
      <c r="B1435" s="744" t="s">
        <v>1347</v>
      </c>
      <c r="C1435" s="628" t="s">
        <v>138</v>
      </c>
      <c r="D1435" s="628" t="s">
        <v>1348</v>
      </c>
      <c r="E1435" s="628" t="s">
        <v>1134</v>
      </c>
      <c r="F1435" s="628">
        <v>1100000</v>
      </c>
      <c r="G1435" s="628" t="s">
        <v>1349</v>
      </c>
      <c r="H1435" s="628" t="s">
        <v>271</v>
      </c>
      <c r="I1435" s="628" t="s">
        <v>36</v>
      </c>
      <c r="J1435" s="628">
        <v>1</v>
      </c>
    </row>
    <row r="1436" spans="1:11" hidden="1">
      <c r="A1436" s="137">
        <v>6</v>
      </c>
      <c r="B1436" s="744" t="s">
        <v>1350</v>
      </c>
      <c r="C1436" s="628" t="s">
        <v>138</v>
      </c>
      <c r="D1436" s="628" t="s">
        <v>1351</v>
      </c>
      <c r="E1436" s="628" t="s">
        <v>180</v>
      </c>
      <c r="F1436" s="628">
        <v>1300000</v>
      </c>
      <c r="G1436" s="628" t="s">
        <v>140</v>
      </c>
      <c r="H1436" s="628" t="s">
        <v>271</v>
      </c>
      <c r="I1436" s="628" t="s">
        <v>36</v>
      </c>
      <c r="J1436" s="628">
        <v>1</v>
      </c>
    </row>
    <row r="1437" spans="1:11" hidden="1">
      <c r="A1437" s="137">
        <v>7</v>
      </c>
      <c r="B1437" s="744" t="s">
        <v>1350</v>
      </c>
      <c r="C1437" s="628" t="s">
        <v>138</v>
      </c>
      <c r="D1437" s="628" t="s">
        <v>1352</v>
      </c>
      <c r="E1437" s="628" t="s">
        <v>805</v>
      </c>
      <c r="F1437" s="628">
        <v>1100000</v>
      </c>
      <c r="G1437" s="628" t="s">
        <v>1353</v>
      </c>
      <c r="H1437" s="628" t="s">
        <v>271</v>
      </c>
      <c r="I1437" s="628" t="s">
        <v>36</v>
      </c>
      <c r="J1437" s="628">
        <v>1</v>
      </c>
    </row>
    <row r="1438" spans="1:11" hidden="1">
      <c r="A1438" s="137">
        <v>8</v>
      </c>
      <c r="B1438" s="744" t="s">
        <v>1221</v>
      </c>
      <c r="C1438" s="628" t="s">
        <v>138</v>
      </c>
      <c r="D1438" s="628" t="s">
        <v>1354</v>
      </c>
      <c r="E1438" s="628" t="s">
        <v>180</v>
      </c>
      <c r="F1438" s="628">
        <v>1200000</v>
      </c>
      <c r="G1438" s="628" t="s">
        <v>1149</v>
      </c>
      <c r="H1438" s="628" t="s">
        <v>271</v>
      </c>
      <c r="I1438" s="628" t="s">
        <v>36</v>
      </c>
      <c r="J1438" s="628">
        <v>1</v>
      </c>
    </row>
    <row r="1439" spans="1:11" hidden="1">
      <c r="A1439" s="137">
        <v>9</v>
      </c>
      <c r="B1439" s="744" t="s">
        <v>1261</v>
      </c>
      <c r="C1439" s="628" t="s">
        <v>138</v>
      </c>
      <c r="D1439" s="628" t="s">
        <v>1355</v>
      </c>
      <c r="E1439" s="628" t="s">
        <v>1140</v>
      </c>
      <c r="F1439" s="628">
        <v>950000</v>
      </c>
      <c r="G1439" s="628" t="s">
        <v>1356</v>
      </c>
      <c r="H1439" s="628" t="s">
        <v>271</v>
      </c>
      <c r="I1439" s="628" t="s">
        <v>36</v>
      </c>
      <c r="J1439" s="628">
        <v>1</v>
      </c>
      <c r="K1439" t="s">
        <v>1232</v>
      </c>
    </row>
    <row r="1440" spans="1:11" hidden="1">
      <c r="A1440" s="137">
        <v>10</v>
      </c>
      <c r="B1440" s="744" t="s">
        <v>1272</v>
      </c>
      <c r="C1440" s="628" t="s">
        <v>138</v>
      </c>
      <c r="D1440" s="628" t="s">
        <v>1357</v>
      </c>
      <c r="E1440" s="628" t="s">
        <v>1234</v>
      </c>
      <c r="F1440" s="628">
        <v>1300000</v>
      </c>
      <c r="G1440" s="628" t="s">
        <v>1358</v>
      </c>
      <c r="H1440" s="628" t="s">
        <v>271</v>
      </c>
      <c r="I1440" s="628" t="s">
        <v>36</v>
      </c>
      <c r="J1440" s="628">
        <v>1</v>
      </c>
      <c r="K1440" t="s">
        <v>133</v>
      </c>
    </row>
    <row r="1441" spans="1:11" hidden="1">
      <c r="A1441" s="137">
        <v>11</v>
      </c>
      <c r="B1441" s="744" t="s">
        <v>1359</v>
      </c>
      <c r="C1441" s="628" t="s">
        <v>138</v>
      </c>
      <c r="D1441" s="628" t="s">
        <v>1360</v>
      </c>
      <c r="E1441" s="628" t="s">
        <v>390</v>
      </c>
      <c r="F1441" s="628">
        <v>1100000</v>
      </c>
      <c r="G1441" s="628" t="s">
        <v>43</v>
      </c>
      <c r="H1441" s="628" t="s">
        <v>271</v>
      </c>
      <c r="I1441" s="628" t="s">
        <v>36</v>
      </c>
      <c r="J1441" s="628">
        <v>1</v>
      </c>
      <c r="K1441" t="s">
        <v>133</v>
      </c>
    </row>
    <row r="1442" spans="1:11" hidden="1">
      <c r="A1442" s="137">
        <v>12</v>
      </c>
      <c r="B1442" s="744" t="s">
        <v>1322</v>
      </c>
      <c r="C1442" s="628" t="s">
        <v>138</v>
      </c>
      <c r="D1442" s="628" t="s">
        <v>1361</v>
      </c>
      <c r="E1442" s="628" t="s">
        <v>180</v>
      </c>
      <c r="F1442" s="628">
        <v>1400000</v>
      </c>
      <c r="G1442" s="628" t="s">
        <v>1275</v>
      </c>
      <c r="H1442" s="628" t="s">
        <v>271</v>
      </c>
      <c r="I1442" s="628" t="s">
        <v>36</v>
      </c>
      <c r="J1442" s="628">
        <v>1</v>
      </c>
      <c r="K1442" t="s">
        <v>1232</v>
      </c>
    </row>
    <row r="1443" spans="1:11" hidden="1">
      <c r="A1443" s="137">
        <v>13</v>
      </c>
      <c r="B1443" s="744" t="s">
        <v>1322</v>
      </c>
      <c r="C1443" s="628" t="s">
        <v>1303</v>
      </c>
      <c r="D1443" s="628" t="s">
        <v>1362</v>
      </c>
      <c r="E1443" s="628" t="s">
        <v>972</v>
      </c>
      <c r="F1443" s="628">
        <v>7750000</v>
      </c>
      <c r="G1443" s="628" t="s">
        <v>1349</v>
      </c>
      <c r="H1443" s="628" t="s">
        <v>271</v>
      </c>
      <c r="I1443" s="628" t="s">
        <v>36</v>
      </c>
      <c r="J1443" s="628">
        <v>1</v>
      </c>
      <c r="K1443" t="s">
        <v>133</v>
      </c>
    </row>
    <row r="1444" spans="1:11" hidden="1">
      <c r="A1444" s="137">
        <v>14</v>
      </c>
      <c r="B1444" s="744" t="s">
        <v>1363</v>
      </c>
      <c r="C1444" s="628" t="s">
        <v>138</v>
      </c>
      <c r="D1444" s="628" t="s">
        <v>1364</v>
      </c>
      <c r="E1444" s="628" t="s">
        <v>1365</v>
      </c>
      <c r="F1444" s="1615">
        <v>1350000</v>
      </c>
      <c r="G1444" s="628" t="s">
        <v>724</v>
      </c>
      <c r="H1444" s="628" t="s">
        <v>271</v>
      </c>
      <c r="I1444" s="628" t="s">
        <v>36</v>
      </c>
      <c r="J1444" s="628">
        <v>1</v>
      </c>
      <c r="K1444" t="s">
        <v>1232</v>
      </c>
    </row>
    <row r="1445" spans="1:11" hidden="1">
      <c r="A1445" s="1749">
        <v>15</v>
      </c>
      <c r="B1445" s="2548" t="s">
        <v>1366</v>
      </c>
      <c r="C1445" s="627" t="s">
        <v>138</v>
      </c>
      <c r="D1445" s="627" t="s">
        <v>1367</v>
      </c>
      <c r="E1445" s="627" t="s">
        <v>869</v>
      </c>
      <c r="F1445" s="1614">
        <v>1200000</v>
      </c>
      <c r="G1445" s="627" t="s">
        <v>1368</v>
      </c>
      <c r="H1445" s="627" t="s">
        <v>271</v>
      </c>
      <c r="I1445" s="627" t="s">
        <v>36</v>
      </c>
      <c r="J1445" s="628">
        <v>1</v>
      </c>
      <c r="K1445" t="s">
        <v>1232</v>
      </c>
    </row>
    <row r="1446" spans="1:11" hidden="1">
      <c r="A1446" s="1749">
        <v>16</v>
      </c>
      <c r="B1446" s="2548" t="s">
        <v>1363</v>
      </c>
      <c r="C1446" s="627" t="s">
        <v>138</v>
      </c>
      <c r="D1446" s="627" t="s">
        <v>1369</v>
      </c>
      <c r="E1446" s="627" t="s">
        <v>869</v>
      </c>
      <c r="F1446" s="1614">
        <v>1000000</v>
      </c>
      <c r="G1446" s="627" t="s">
        <v>1095</v>
      </c>
      <c r="H1446" s="627" t="s">
        <v>271</v>
      </c>
      <c r="I1446" s="627" t="s">
        <v>36</v>
      </c>
      <c r="J1446" s="628">
        <v>1</v>
      </c>
      <c r="K1446" t="s">
        <v>133</v>
      </c>
    </row>
    <row r="1447" spans="1:11" hidden="1">
      <c r="A1447" s="1749">
        <v>17</v>
      </c>
      <c r="B1447" s="2548" t="s">
        <v>1370</v>
      </c>
      <c r="C1447" s="627" t="s">
        <v>138</v>
      </c>
      <c r="D1447" s="627" t="s">
        <v>1371</v>
      </c>
      <c r="E1447" s="627" t="s">
        <v>869</v>
      </c>
      <c r="F1447" s="1614">
        <v>1150000</v>
      </c>
      <c r="G1447" s="627" t="s">
        <v>1078</v>
      </c>
      <c r="H1447" s="627" t="s">
        <v>271</v>
      </c>
      <c r="I1447" s="627" t="s">
        <v>36</v>
      </c>
      <c r="J1447" s="628">
        <v>1</v>
      </c>
      <c r="K1447" t="s">
        <v>1232</v>
      </c>
    </row>
    <row r="1448" spans="1:11" hidden="1">
      <c r="A1448" s="1749">
        <v>18</v>
      </c>
      <c r="B1448" s="2548" t="s">
        <v>1372</v>
      </c>
      <c r="C1448" s="627" t="s">
        <v>138</v>
      </c>
      <c r="D1448" s="627" t="s">
        <v>1373</v>
      </c>
      <c r="E1448" s="627" t="s">
        <v>885</v>
      </c>
      <c r="F1448" s="1330">
        <v>950000</v>
      </c>
      <c r="G1448" s="627" t="s">
        <v>1313</v>
      </c>
      <c r="H1448" s="627" t="s">
        <v>271</v>
      </c>
      <c r="I1448" s="627" t="s">
        <v>36</v>
      </c>
      <c r="J1448" s="628">
        <v>1</v>
      </c>
      <c r="K1448" t="s">
        <v>133</v>
      </c>
    </row>
    <row r="1449" spans="1:11" hidden="1">
      <c r="A1449" s="1749">
        <v>19</v>
      </c>
      <c r="B1449" s="744" t="s">
        <v>1374</v>
      </c>
      <c r="C1449" s="627" t="s">
        <v>138</v>
      </c>
      <c r="D1449" s="627" t="s">
        <v>1375</v>
      </c>
      <c r="E1449" s="627" t="s">
        <v>1105</v>
      </c>
      <c r="F1449" s="1330">
        <v>4000000</v>
      </c>
      <c r="G1449" s="627" t="s">
        <v>43</v>
      </c>
      <c r="H1449" s="627" t="s">
        <v>271</v>
      </c>
      <c r="I1449" s="627" t="s">
        <v>36</v>
      </c>
      <c r="J1449" s="628">
        <v>1</v>
      </c>
      <c r="K1449" t="s">
        <v>133</v>
      </c>
    </row>
    <row r="1450" spans="1:11" hidden="1">
      <c r="A1450" s="1749">
        <v>20</v>
      </c>
      <c r="B1450" s="744" t="s">
        <v>1332</v>
      </c>
      <c r="C1450" s="627" t="s">
        <v>662</v>
      </c>
      <c r="D1450" s="627" t="s">
        <v>1376</v>
      </c>
      <c r="E1450" s="627" t="s">
        <v>78</v>
      </c>
      <c r="F1450" s="1330">
        <v>2500000</v>
      </c>
      <c r="G1450" s="627" t="s">
        <v>1377</v>
      </c>
      <c r="H1450" s="627" t="s">
        <v>271</v>
      </c>
      <c r="I1450" s="627" t="s">
        <v>36</v>
      </c>
      <c r="J1450" s="628">
        <v>1</v>
      </c>
      <c r="K1450" t="s">
        <v>133</v>
      </c>
    </row>
    <row r="1451" spans="1:11" hidden="1">
      <c r="A1451" s="1749"/>
      <c r="B1451" s="744"/>
      <c r="C1451" s="627"/>
      <c r="D1451" s="627"/>
      <c r="E1451" s="627"/>
      <c r="F1451" s="1330"/>
      <c r="G1451" s="627"/>
      <c r="H1451" s="627"/>
      <c r="I1451" s="627"/>
      <c r="J1451" s="628"/>
    </row>
    <row r="1452" spans="1:11" ht="25.9" hidden="1">
      <c r="A1452" s="1749"/>
      <c r="B1452" s="1749"/>
      <c r="C1452" s="150"/>
      <c r="D1452" s="627"/>
      <c r="E1452" s="150"/>
      <c r="F1452" s="151"/>
      <c r="G1452" s="150"/>
      <c r="H1452" s="150"/>
      <c r="I1452" s="150"/>
      <c r="J1452" s="907">
        <f>SUM(J1431:J1451)</f>
        <v>20</v>
      </c>
    </row>
    <row r="1453" spans="1:11" hidden="1">
      <c r="A1453" s="2744" t="s">
        <v>33</v>
      </c>
      <c r="B1453" s="2744"/>
      <c r="C1453" s="2744"/>
      <c r="D1453" s="2744"/>
      <c r="E1453" s="2744"/>
      <c r="F1453" s="2744"/>
      <c r="G1453" s="2744"/>
      <c r="H1453" s="2744"/>
      <c r="I1453" s="2744"/>
      <c r="J1453" s="2744"/>
    </row>
    <row r="1454" spans="1:11" hidden="1">
      <c r="A1454" s="137" t="s">
        <v>3</v>
      </c>
      <c r="B1454" s="1749" t="s">
        <v>4</v>
      </c>
      <c r="C1454" s="137" t="s">
        <v>5</v>
      </c>
      <c r="D1454" s="137" t="s">
        <v>6</v>
      </c>
      <c r="E1454" s="137" t="s">
        <v>7</v>
      </c>
      <c r="F1454" s="137" t="s">
        <v>8</v>
      </c>
      <c r="G1454" s="137" t="s">
        <v>9</v>
      </c>
      <c r="H1454" s="137" t="s">
        <v>10</v>
      </c>
      <c r="I1454" s="137" t="s">
        <v>11</v>
      </c>
      <c r="J1454" s="137" t="s">
        <v>12</v>
      </c>
    </row>
    <row r="1455" spans="1:11" hidden="1">
      <c r="A1455" s="541">
        <v>1</v>
      </c>
      <c r="B1455" s="2539" t="s">
        <v>1261</v>
      </c>
      <c r="C1455" s="152" t="s">
        <v>138</v>
      </c>
      <c r="D1455" s="152" t="s">
        <v>1378</v>
      </c>
      <c r="E1455" s="152" t="s">
        <v>180</v>
      </c>
      <c r="F1455" s="152">
        <v>248000000</v>
      </c>
      <c r="G1455" s="152" t="s">
        <v>1064</v>
      </c>
      <c r="H1455" s="152" t="s">
        <v>271</v>
      </c>
      <c r="I1455" s="152" t="s">
        <v>36</v>
      </c>
      <c r="J1455" s="200">
        <v>1</v>
      </c>
    </row>
    <row r="1456" spans="1:11" hidden="1">
      <c r="A1456" s="583">
        <v>2</v>
      </c>
      <c r="B1456" s="583" t="s">
        <v>1379</v>
      </c>
      <c r="C1456" s="143" t="s">
        <v>138</v>
      </c>
      <c r="D1456" s="143" t="s">
        <v>1380</v>
      </c>
      <c r="E1456" s="143" t="s">
        <v>1234</v>
      </c>
      <c r="F1456" s="143">
        <v>180000000</v>
      </c>
      <c r="G1456" s="143" t="s">
        <v>43</v>
      </c>
      <c r="H1456" s="143" t="s">
        <v>271</v>
      </c>
      <c r="I1456" s="143" t="s">
        <v>36</v>
      </c>
      <c r="J1456" s="143">
        <v>1</v>
      </c>
    </row>
    <row r="1457" spans="1:11" hidden="1">
      <c r="A1457" s="581">
        <v>3</v>
      </c>
      <c r="B1457" s="2541" t="s">
        <v>1265</v>
      </c>
      <c r="C1457" s="156" t="s">
        <v>138</v>
      </c>
      <c r="D1457" s="156" t="s">
        <v>1355</v>
      </c>
      <c r="E1457" s="156" t="s">
        <v>836</v>
      </c>
      <c r="F1457" s="156">
        <v>165000000</v>
      </c>
      <c r="G1457" s="156" t="s">
        <v>1356</v>
      </c>
      <c r="H1457" s="156" t="s">
        <v>271</v>
      </c>
      <c r="I1457" s="156" t="s">
        <v>36</v>
      </c>
      <c r="J1457" s="144">
        <v>1</v>
      </c>
    </row>
    <row r="1458" spans="1:11" hidden="1">
      <c r="A1458" s="581">
        <v>4</v>
      </c>
      <c r="B1458" s="2541" t="s">
        <v>1359</v>
      </c>
      <c r="C1458" s="156" t="s">
        <v>138</v>
      </c>
      <c r="D1458" s="156" t="s">
        <v>1360</v>
      </c>
      <c r="E1458" s="156" t="s">
        <v>390</v>
      </c>
      <c r="F1458" s="156">
        <v>185000000</v>
      </c>
      <c r="G1458" s="156" t="s">
        <v>43</v>
      </c>
      <c r="H1458" s="156" t="s">
        <v>271</v>
      </c>
      <c r="I1458" s="156" t="s">
        <v>36</v>
      </c>
      <c r="J1458" s="144">
        <v>1</v>
      </c>
    </row>
    <row r="1459" spans="1:11" ht="24.6" hidden="1">
      <c r="A1459" s="860"/>
      <c r="B1459" s="895"/>
      <c r="C1459" s="860"/>
      <c r="D1459" s="860"/>
      <c r="E1459" s="860"/>
      <c r="F1459" s="860"/>
      <c r="G1459" s="860"/>
      <c r="H1459" s="860"/>
      <c r="I1459" s="860"/>
      <c r="J1459" s="906">
        <v>4</v>
      </c>
    </row>
    <row r="1460" spans="1:11" hidden="1"/>
    <row r="1461" spans="1:11" hidden="1"/>
    <row r="1462" spans="1:11" ht="23.45" hidden="1">
      <c r="A1462" s="2743" t="s">
        <v>1169</v>
      </c>
      <c r="B1462" s="2743"/>
      <c r="C1462" s="2743"/>
      <c r="D1462" s="2743"/>
      <c r="E1462" s="2743"/>
      <c r="F1462" s="2743"/>
      <c r="G1462" s="2743"/>
      <c r="H1462" s="2743"/>
      <c r="I1462" s="2743"/>
      <c r="J1462" s="2743"/>
    </row>
    <row r="1463" spans="1:11" ht="15.6" hidden="1">
      <c r="A1463" s="2737" t="s">
        <v>2</v>
      </c>
      <c r="B1463" s="2737"/>
      <c r="C1463" s="2737"/>
      <c r="D1463" s="2737"/>
      <c r="E1463" s="2737"/>
      <c r="F1463" s="2737"/>
      <c r="G1463" s="2737"/>
      <c r="H1463" s="2737"/>
      <c r="I1463" s="2737"/>
      <c r="J1463" s="2737"/>
    </row>
    <row r="1464" spans="1:11" hidden="1">
      <c r="A1464" s="137" t="s">
        <v>3</v>
      </c>
      <c r="B1464" s="1749" t="s">
        <v>4</v>
      </c>
      <c r="C1464" s="137" t="s">
        <v>5</v>
      </c>
      <c r="D1464" s="137" t="s">
        <v>6</v>
      </c>
      <c r="E1464" s="137" t="s">
        <v>7</v>
      </c>
      <c r="F1464" s="137" t="s">
        <v>8</v>
      </c>
      <c r="G1464" s="137" t="s">
        <v>9</v>
      </c>
      <c r="H1464" s="137" t="s">
        <v>10</v>
      </c>
      <c r="I1464" s="137" t="s">
        <v>11</v>
      </c>
      <c r="J1464" s="137" t="s">
        <v>12</v>
      </c>
    </row>
    <row r="1465" spans="1:11" hidden="1">
      <c r="A1465" s="137">
        <v>1</v>
      </c>
      <c r="B1465" s="1749" t="s">
        <v>1340</v>
      </c>
      <c r="C1465" s="137" t="s">
        <v>138</v>
      </c>
      <c r="D1465" s="137" t="s">
        <v>1381</v>
      </c>
      <c r="E1465" s="137" t="s">
        <v>390</v>
      </c>
      <c r="F1465" s="137">
        <v>930000</v>
      </c>
      <c r="G1465" s="137" t="s">
        <v>1382</v>
      </c>
      <c r="H1465" s="137" t="s">
        <v>271</v>
      </c>
      <c r="I1465" s="137" t="s">
        <v>36</v>
      </c>
      <c r="J1465" s="137">
        <v>1</v>
      </c>
    </row>
    <row r="1466" spans="1:11" hidden="1">
      <c r="A1466" s="137">
        <v>2</v>
      </c>
      <c r="B1466" s="1749" t="s">
        <v>1340</v>
      </c>
      <c r="C1466" s="137" t="s">
        <v>138</v>
      </c>
      <c r="D1466" s="137" t="s">
        <v>1383</v>
      </c>
      <c r="E1466" s="137" t="s">
        <v>390</v>
      </c>
      <c r="F1466" s="137">
        <v>850000</v>
      </c>
      <c r="G1466" s="137" t="s">
        <v>1384</v>
      </c>
      <c r="H1466" s="137" t="s">
        <v>271</v>
      </c>
      <c r="I1466" s="137" t="s">
        <v>36</v>
      </c>
      <c r="J1466" s="137">
        <v>1</v>
      </c>
    </row>
    <row r="1467" spans="1:11" hidden="1">
      <c r="A1467" s="137">
        <v>3</v>
      </c>
      <c r="B1467" s="1749" t="s">
        <v>1342</v>
      </c>
      <c r="C1467" s="137" t="s">
        <v>138</v>
      </c>
      <c r="D1467" s="137" t="s">
        <v>1385</v>
      </c>
      <c r="E1467" s="137" t="s">
        <v>76</v>
      </c>
      <c r="F1467" s="137">
        <v>1050000</v>
      </c>
      <c r="G1467" s="137" t="s">
        <v>1175</v>
      </c>
      <c r="H1467" s="137" t="s">
        <v>271</v>
      </c>
      <c r="I1467" s="137" t="s">
        <v>36</v>
      </c>
      <c r="J1467" s="137">
        <v>1</v>
      </c>
    </row>
    <row r="1468" spans="1:11" hidden="1">
      <c r="A1468" s="137">
        <v>4</v>
      </c>
      <c r="B1468" s="1749" t="s">
        <v>1342</v>
      </c>
      <c r="C1468" s="137" t="s">
        <v>138</v>
      </c>
      <c r="D1468" s="137" t="s">
        <v>1386</v>
      </c>
      <c r="E1468" s="137" t="s">
        <v>390</v>
      </c>
      <c r="F1468" s="137">
        <v>950000</v>
      </c>
      <c r="G1468" s="137" t="s">
        <v>520</v>
      </c>
      <c r="H1468" s="137" t="s">
        <v>271</v>
      </c>
      <c r="I1468" s="137" t="s">
        <v>36</v>
      </c>
      <c r="J1468" s="137">
        <v>1</v>
      </c>
    </row>
    <row r="1469" spans="1:11" hidden="1">
      <c r="A1469" s="137">
        <v>5</v>
      </c>
      <c r="B1469" s="1749" t="s">
        <v>1080</v>
      </c>
      <c r="C1469" s="137" t="s">
        <v>138</v>
      </c>
      <c r="D1469" s="137" t="s">
        <v>1387</v>
      </c>
      <c r="E1469" s="137" t="s">
        <v>390</v>
      </c>
      <c r="F1469" s="137">
        <v>850000</v>
      </c>
      <c r="G1469" s="137" t="s">
        <v>520</v>
      </c>
      <c r="H1469" s="137" t="s">
        <v>271</v>
      </c>
      <c r="I1469" s="137" t="s">
        <v>36</v>
      </c>
      <c r="J1469" s="137">
        <v>1</v>
      </c>
    </row>
    <row r="1470" spans="1:11" hidden="1">
      <c r="A1470" s="137">
        <v>6</v>
      </c>
      <c r="B1470" s="1749" t="s">
        <v>1388</v>
      </c>
      <c r="C1470" s="137" t="s">
        <v>138</v>
      </c>
      <c r="D1470" s="137" t="s">
        <v>1389</v>
      </c>
      <c r="E1470" s="137" t="s">
        <v>76</v>
      </c>
      <c r="F1470" s="137">
        <v>1100000</v>
      </c>
      <c r="G1470" s="137" t="s">
        <v>1390</v>
      </c>
      <c r="H1470" s="137" t="s">
        <v>271</v>
      </c>
      <c r="I1470" s="137" t="s">
        <v>36</v>
      </c>
      <c r="J1470" s="137">
        <v>1</v>
      </c>
    </row>
    <row r="1471" spans="1:11" hidden="1">
      <c r="A1471" s="137">
        <v>7</v>
      </c>
      <c r="B1471" s="1749" t="s">
        <v>1388</v>
      </c>
      <c r="C1471" s="137" t="s">
        <v>138</v>
      </c>
      <c r="D1471" s="137" t="s">
        <v>1391</v>
      </c>
      <c r="E1471" s="137" t="s">
        <v>1392</v>
      </c>
      <c r="F1471" s="137">
        <v>2000000</v>
      </c>
      <c r="G1471" s="137" t="s">
        <v>1192</v>
      </c>
      <c r="H1471" s="137" t="s">
        <v>271</v>
      </c>
      <c r="I1471" s="137" t="s">
        <v>36</v>
      </c>
      <c r="J1471" s="137">
        <v>1</v>
      </c>
    </row>
    <row r="1472" spans="1:11" hidden="1">
      <c r="A1472" s="137">
        <v>8</v>
      </c>
      <c r="B1472" s="1749" t="s">
        <v>1393</v>
      </c>
      <c r="C1472" s="137" t="s">
        <v>138</v>
      </c>
      <c r="D1472" s="137" t="s">
        <v>1394</v>
      </c>
      <c r="E1472" s="137" t="s">
        <v>78</v>
      </c>
      <c r="F1472" s="137">
        <v>1100000</v>
      </c>
      <c r="G1472" s="137" t="s">
        <v>1175</v>
      </c>
      <c r="H1472" s="137" t="s">
        <v>271</v>
      </c>
      <c r="I1472" s="137" t="s">
        <v>36</v>
      </c>
      <c r="J1472" s="137">
        <v>1</v>
      </c>
      <c r="K1472" t="s">
        <v>133</v>
      </c>
    </row>
    <row r="1473" spans="1:11" hidden="1">
      <c r="A1473" s="137">
        <v>9</v>
      </c>
      <c r="B1473" s="1749" t="s">
        <v>1395</v>
      </c>
      <c r="C1473" s="137" t="s">
        <v>138</v>
      </c>
      <c r="D1473" s="137" t="s">
        <v>1396</v>
      </c>
      <c r="E1473" s="137" t="s">
        <v>78</v>
      </c>
      <c r="F1473" s="137">
        <v>1000000</v>
      </c>
      <c r="G1473" s="137" t="s">
        <v>1397</v>
      </c>
      <c r="H1473" s="137" t="s">
        <v>271</v>
      </c>
      <c r="I1473" s="137" t="s">
        <v>36</v>
      </c>
      <c r="J1473" s="137">
        <v>1</v>
      </c>
      <c r="K1473" t="s">
        <v>1232</v>
      </c>
    </row>
    <row r="1474" spans="1:11" hidden="1">
      <c r="A1474" s="137">
        <v>10</v>
      </c>
      <c r="B1474" s="1749" t="s">
        <v>1395</v>
      </c>
      <c r="C1474" s="137" t="s">
        <v>138</v>
      </c>
      <c r="D1474" s="137" t="s">
        <v>1398</v>
      </c>
      <c r="E1474" s="137" t="s">
        <v>390</v>
      </c>
      <c r="F1474" s="137">
        <v>1100000</v>
      </c>
      <c r="G1474" s="137" t="s">
        <v>1399</v>
      </c>
      <c r="H1474" s="137" t="s">
        <v>271</v>
      </c>
      <c r="I1474" s="137" t="s">
        <v>36</v>
      </c>
      <c r="J1474" s="137">
        <v>1</v>
      </c>
      <c r="K1474" t="s">
        <v>133</v>
      </c>
    </row>
    <row r="1475" spans="1:11" hidden="1">
      <c r="A1475" s="137">
        <v>11</v>
      </c>
      <c r="B1475" s="1749" t="s">
        <v>1238</v>
      </c>
      <c r="C1475" s="137" t="s">
        <v>138</v>
      </c>
      <c r="D1475" s="137" t="s">
        <v>1400</v>
      </c>
      <c r="E1475" s="137" t="s">
        <v>390</v>
      </c>
      <c r="F1475" s="137">
        <v>1050000</v>
      </c>
      <c r="G1475" s="137" t="s">
        <v>1192</v>
      </c>
      <c r="H1475" s="137" t="s">
        <v>271</v>
      </c>
      <c r="I1475" s="137" t="s">
        <v>36</v>
      </c>
      <c r="J1475" s="137">
        <v>1</v>
      </c>
      <c r="K1475" t="s">
        <v>133</v>
      </c>
    </row>
    <row r="1476" spans="1:11" hidden="1">
      <c r="A1476" s="137">
        <v>12</v>
      </c>
      <c r="B1476" s="1749" t="s">
        <v>1238</v>
      </c>
      <c r="C1476" s="137" t="s">
        <v>138</v>
      </c>
      <c r="D1476" s="137" t="s">
        <v>1401</v>
      </c>
      <c r="E1476" s="137" t="s">
        <v>78</v>
      </c>
      <c r="F1476" s="137">
        <v>1000000</v>
      </c>
      <c r="G1476" s="137" t="s">
        <v>1390</v>
      </c>
      <c r="H1476" s="137" t="s">
        <v>271</v>
      </c>
      <c r="I1476" s="137" t="s">
        <v>36</v>
      </c>
      <c r="J1476" s="137">
        <v>1</v>
      </c>
      <c r="K1476" t="s">
        <v>1232</v>
      </c>
    </row>
    <row r="1477" spans="1:11" hidden="1">
      <c r="A1477" s="137">
        <v>13</v>
      </c>
      <c r="B1477" s="1749" t="s">
        <v>1370</v>
      </c>
      <c r="C1477" s="137" t="s">
        <v>138</v>
      </c>
      <c r="D1477" s="137" t="s">
        <v>1402</v>
      </c>
      <c r="E1477" s="137" t="s">
        <v>390</v>
      </c>
      <c r="F1477" s="137">
        <v>1050000</v>
      </c>
      <c r="G1477" s="137" t="s">
        <v>520</v>
      </c>
      <c r="H1477" s="137" t="s">
        <v>271</v>
      </c>
      <c r="I1477" s="137" t="s">
        <v>36</v>
      </c>
      <c r="J1477" s="137">
        <v>1</v>
      </c>
      <c r="K1477" t="s">
        <v>133</v>
      </c>
    </row>
    <row r="1478" spans="1:11" hidden="1">
      <c r="A1478" s="137">
        <v>14</v>
      </c>
      <c r="B1478" s="1749" t="s">
        <v>1370</v>
      </c>
      <c r="C1478" s="137" t="s">
        <v>138</v>
      </c>
      <c r="D1478" s="137" t="s">
        <v>1403</v>
      </c>
      <c r="E1478" s="137" t="s">
        <v>775</v>
      </c>
      <c r="F1478" s="137">
        <v>850000</v>
      </c>
      <c r="G1478" s="137" t="s">
        <v>1404</v>
      </c>
      <c r="H1478" s="137" t="s">
        <v>271</v>
      </c>
      <c r="I1478" s="137" t="s">
        <v>36</v>
      </c>
      <c r="J1478" s="137">
        <v>1</v>
      </c>
      <c r="K1478" t="s">
        <v>1232</v>
      </c>
    </row>
    <row r="1479" spans="1:11" hidden="1">
      <c r="A1479" s="1749">
        <v>15</v>
      </c>
      <c r="B1479" s="2538" t="s">
        <v>1405</v>
      </c>
      <c r="C1479" s="150" t="s">
        <v>138</v>
      </c>
      <c r="D1479" s="627" t="s">
        <v>1406</v>
      </c>
      <c r="E1479" s="150" t="s">
        <v>78</v>
      </c>
      <c r="F1479" s="151">
        <v>800000</v>
      </c>
      <c r="G1479" s="150" t="s">
        <v>203</v>
      </c>
      <c r="H1479" s="150" t="s">
        <v>271</v>
      </c>
      <c r="I1479" s="150" t="s">
        <v>36</v>
      </c>
      <c r="J1479" s="137">
        <v>1</v>
      </c>
      <c r="K1479" t="s">
        <v>133</v>
      </c>
    </row>
    <row r="1480" spans="1:11" hidden="1">
      <c r="A1480" s="1749">
        <v>16</v>
      </c>
      <c r="B1480" s="2538" t="s">
        <v>1405</v>
      </c>
      <c r="C1480" s="150" t="s">
        <v>138</v>
      </c>
      <c r="D1480" s="627" t="s">
        <v>1407</v>
      </c>
      <c r="E1480" s="150" t="s">
        <v>78</v>
      </c>
      <c r="F1480" s="151">
        <v>850000</v>
      </c>
      <c r="G1480" s="150" t="s">
        <v>1408</v>
      </c>
      <c r="H1480" s="150" t="s">
        <v>271</v>
      </c>
      <c r="I1480" s="150" t="s">
        <v>36</v>
      </c>
      <c r="J1480" s="137">
        <v>1</v>
      </c>
      <c r="K1480" t="s">
        <v>1232</v>
      </c>
    </row>
    <row r="1481" spans="1:11" hidden="1">
      <c r="A1481" s="1749">
        <v>17</v>
      </c>
      <c r="B1481" s="2538" t="s">
        <v>1405</v>
      </c>
      <c r="C1481" s="150" t="s">
        <v>138</v>
      </c>
      <c r="D1481" s="627" t="s">
        <v>1409</v>
      </c>
      <c r="E1481" s="150" t="s">
        <v>822</v>
      </c>
      <c r="F1481" s="151">
        <v>1100000</v>
      </c>
      <c r="G1481" s="150" t="s">
        <v>1410</v>
      </c>
      <c r="H1481" s="150" t="s">
        <v>271</v>
      </c>
      <c r="I1481" s="150" t="s">
        <v>36</v>
      </c>
      <c r="J1481" s="137">
        <v>1</v>
      </c>
      <c r="K1481" t="s">
        <v>133</v>
      </c>
    </row>
    <row r="1482" spans="1:11" hidden="1">
      <c r="A1482" s="1749">
        <v>18</v>
      </c>
      <c r="B1482" s="2538" t="s">
        <v>1332</v>
      </c>
      <c r="C1482" s="150" t="s">
        <v>138</v>
      </c>
      <c r="D1482" s="627" t="s">
        <v>1411</v>
      </c>
      <c r="E1482" s="150" t="s">
        <v>869</v>
      </c>
      <c r="F1482" s="151">
        <v>1880000</v>
      </c>
      <c r="G1482" s="150" t="s">
        <v>1331</v>
      </c>
      <c r="H1482" s="150" t="s">
        <v>271</v>
      </c>
      <c r="I1482" s="150" t="s">
        <v>36</v>
      </c>
      <c r="J1482" s="137">
        <v>1</v>
      </c>
      <c r="K1482" t="s">
        <v>1232</v>
      </c>
    </row>
    <row r="1483" spans="1:11" hidden="1">
      <c r="A1483" s="1749">
        <v>19</v>
      </c>
      <c r="B1483" s="1749" t="s">
        <v>1334</v>
      </c>
      <c r="C1483" s="150" t="s">
        <v>135</v>
      </c>
      <c r="D1483" s="627" t="s">
        <v>1412</v>
      </c>
      <c r="E1483" s="150" t="s">
        <v>1413</v>
      </c>
      <c r="F1483" s="151">
        <v>980000</v>
      </c>
      <c r="G1483" s="150" t="s">
        <v>43</v>
      </c>
      <c r="H1483" s="150" t="s">
        <v>1414</v>
      </c>
      <c r="I1483" s="150" t="s">
        <v>36</v>
      </c>
      <c r="J1483" s="137">
        <v>1</v>
      </c>
      <c r="K1483" t="s">
        <v>1232</v>
      </c>
    </row>
    <row r="1484" spans="1:11" hidden="1">
      <c r="A1484" s="1749">
        <v>20</v>
      </c>
      <c r="B1484" s="1749" t="s">
        <v>1332</v>
      </c>
      <c r="C1484" s="150" t="s">
        <v>662</v>
      </c>
      <c r="D1484" s="627" t="s">
        <v>1415</v>
      </c>
      <c r="E1484" s="150" t="s">
        <v>105</v>
      </c>
      <c r="F1484" s="151">
        <v>1500000</v>
      </c>
      <c r="G1484" s="150" t="s">
        <v>43</v>
      </c>
      <c r="H1484" s="150" t="s">
        <v>44</v>
      </c>
      <c r="I1484" s="150" t="s">
        <v>36</v>
      </c>
      <c r="J1484" s="137">
        <v>1</v>
      </c>
      <c r="K1484" t="s">
        <v>133</v>
      </c>
    </row>
    <row r="1485" spans="1:11" ht="25.9" hidden="1">
      <c r="A1485" s="1749"/>
      <c r="B1485" s="1749"/>
      <c r="C1485" s="150"/>
      <c r="D1485" s="627"/>
      <c r="E1485" s="150"/>
      <c r="F1485" s="151"/>
      <c r="G1485" s="150"/>
      <c r="H1485" s="150"/>
      <c r="I1485" s="150"/>
      <c r="J1485" s="907">
        <f>SUM(J1465:J1484)</f>
        <v>20</v>
      </c>
    </row>
    <row r="1486" spans="1:11" hidden="1">
      <c r="A1486" s="2744" t="s">
        <v>33</v>
      </c>
      <c r="B1486" s="2744"/>
      <c r="C1486" s="2744"/>
      <c r="D1486" s="2744"/>
      <c r="E1486" s="2744"/>
      <c r="F1486" s="2744"/>
      <c r="G1486" s="2744"/>
      <c r="H1486" s="2744"/>
      <c r="I1486" s="2744"/>
      <c r="J1486" s="2744"/>
    </row>
    <row r="1487" spans="1:11" hidden="1">
      <c r="A1487" s="137" t="s">
        <v>3</v>
      </c>
      <c r="B1487" s="1749" t="s">
        <v>4</v>
      </c>
      <c r="C1487" s="137" t="s">
        <v>5</v>
      </c>
      <c r="D1487" s="137" t="s">
        <v>6</v>
      </c>
      <c r="E1487" s="137" t="s">
        <v>7</v>
      </c>
      <c r="F1487" s="137" t="s">
        <v>8</v>
      </c>
      <c r="G1487" s="137" t="s">
        <v>9</v>
      </c>
      <c r="H1487" s="137" t="s">
        <v>10</v>
      </c>
      <c r="I1487" s="137" t="s">
        <v>11</v>
      </c>
      <c r="J1487" s="137" t="s">
        <v>12</v>
      </c>
    </row>
    <row r="1488" spans="1:11" hidden="1">
      <c r="A1488" s="541">
        <v>1</v>
      </c>
      <c r="B1488" s="2539" t="s">
        <v>1370</v>
      </c>
      <c r="C1488" s="152" t="s">
        <v>138</v>
      </c>
      <c r="D1488" s="152" t="s">
        <v>1416</v>
      </c>
      <c r="E1488" s="152" t="s">
        <v>390</v>
      </c>
      <c r="F1488" s="152">
        <v>119000000</v>
      </c>
      <c r="G1488" s="152" t="s">
        <v>520</v>
      </c>
      <c r="H1488" s="152" t="s">
        <v>44</v>
      </c>
      <c r="I1488" s="152" t="s">
        <v>36</v>
      </c>
      <c r="J1488" s="200">
        <v>1</v>
      </c>
    </row>
    <row r="1489" spans="1:11" hidden="1">
      <c r="A1489" s="541" t="s">
        <v>3</v>
      </c>
      <c r="B1489" s="2539" t="s">
        <v>1363</v>
      </c>
      <c r="C1489" s="152" t="s">
        <v>138</v>
      </c>
      <c r="D1489" s="152" t="s">
        <v>1417</v>
      </c>
      <c r="E1489" s="152" t="s">
        <v>1418</v>
      </c>
      <c r="F1489" s="152">
        <v>149000000</v>
      </c>
      <c r="G1489" s="152" t="s">
        <v>520</v>
      </c>
      <c r="H1489" s="152" t="s">
        <v>44</v>
      </c>
      <c r="I1489" s="152" t="s">
        <v>36</v>
      </c>
      <c r="J1489" s="200">
        <v>1</v>
      </c>
    </row>
    <row r="1490" spans="1:11" hidden="1">
      <c r="A1490" s="583">
        <v>3</v>
      </c>
      <c r="B1490" s="2540" t="s">
        <v>1332</v>
      </c>
      <c r="C1490" s="154" t="s">
        <v>138</v>
      </c>
      <c r="D1490" s="154" t="s">
        <v>1419</v>
      </c>
      <c r="E1490" s="154" t="s">
        <v>390</v>
      </c>
      <c r="F1490" s="154">
        <v>180000000</v>
      </c>
      <c r="G1490" s="154" t="s">
        <v>520</v>
      </c>
      <c r="H1490" s="154" t="s">
        <v>44</v>
      </c>
      <c r="I1490" s="154" t="s">
        <v>36</v>
      </c>
      <c r="J1490" s="584">
        <v>1</v>
      </c>
    </row>
    <row r="1491" spans="1:11" ht="24.6" hidden="1">
      <c r="A1491" s="144"/>
      <c r="B1491" s="581"/>
      <c r="C1491" s="144"/>
      <c r="D1491" s="144"/>
      <c r="E1491" s="144"/>
      <c r="F1491" s="144"/>
      <c r="G1491" s="144"/>
      <c r="H1491" s="144"/>
      <c r="I1491" s="144"/>
      <c r="J1491" s="908">
        <f>J1488+J1489+J1490</f>
        <v>3</v>
      </c>
    </row>
    <row r="1492" spans="1:11" hidden="1"/>
    <row r="1493" spans="1:11" hidden="1"/>
    <row r="1494" spans="1:11" hidden="1"/>
    <row r="1495" spans="1:11" hidden="1">
      <c r="A1495" s="2763" t="s">
        <v>1420</v>
      </c>
      <c r="B1495" s="2764"/>
      <c r="C1495" s="2764"/>
      <c r="D1495" s="2764"/>
      <c r="E1495" s="2764"/>
      <c r="F1495" s="2764"/>
      <c r="G1495" s="2764"/>
      <c r="H1495" s="2764"/>
      <c r="I1495" s="2764"/>
      <c r="J1495" s="2764"/>
    </row>
    <row r="1496" spans="1:11" ht="22.5" hidden="1" customHeight="1">
      <c r="A1496" s="2764"/>
      <c r="B1496" s="2764"/>
      <c r="C1496" s="2764"/>
      <c r="D1496" s="2764"/>
      <c r="E1496" s="2764"/>
      <c r="F1496" s="2764"/>
      <c r="G1496" s="2764"/>
      <c r="H1496" s="2764"/>
      <c r="I1496" s="2764"/>
      <c r="J1496" s="2764"/>
    </row>
    <row r="1497" spans="1:11" ht="19.5" hidden="1" customHeight="1">
      <c r="B1497" s="136"/>
      <c r="C1497" s="136"/>
      <c r="D1497" s="136"/>
      <c r="E1497" s="136"/>
      <c r="F1497" s="136"/>
      <c r="G1497" s="136"/>
      <c r="H1497" s="136"/>
      <c r="I1497" s="136"/>
      <c r="J1497" s="136"/>
    </row>
    <row r="1498" spans="1:11" ht="23.45" hidden="1">
      <c r="A1498" s="2765" t="s">
        <v>527</v>
      </c>
      <c r="B1498" s="2765"/>
      <c r="C1498" s="2765"/>
      <c r="D1498" s="2765"/>
      <c r="E1498" s="2765"/>
      <c r="F1498" s="2765"/>
      <c r="G1498" s="2765"/>
      <c r="H1498" s="2765"/>
      <c r="I1498" s="2765"/>
      <c r="J1498" s="2765"/>
    </row>
    <row r="1499" spans="1:11" ht="15.6" hidden="1">
      <c r="A1499" s="2737" t="s">
        <v>2</v>
      </c>
      <c r="B1499" s="2737"/>
      <c r="C1499" s="2737"/>
      <c r="D1499" s="2737"/>
      <c r="E1499" s="2737"/>
      <c r="F1499" s="2737"/>
      <c r="G1499" s="2737"/>
      <c r="H1499" s="2737"/>
      <c r="I1499" s="2737"/>
      <c r="J1499" s="2737"/>
    </row>
    <row r="1500" spans="1:11" hidden="1">
      <c r="A1500" s="137" t="s">
        <v>3</v>
      </c>
      <c r="B1500" s="1749" t="s">
        <v>4</v>
      </c>
      <c r="C1500" s="137" t="s">
        <v>5</v>
      </c>
      <c r="D1500" s="137" t="s">
        <v>6</v>
      </c>
      <c r="E1500" s="137" t="s">
        <v>7</v>
      </c>
      <c r="F1500" s="137" t="s">
        <v>8</v>
      </c>
      <c r="G1500" s="137" t="s">
        <v>9</v>
      </c>
      <c r="H1500" s="137" t="s">
        <v>10</v>
      </c>
      <c r="I1500" s="137" t="s">
        <v>11</v>
      </c>
      <c r="J1500" s="137" t="s">
        <v>12</v>
      </c>
    </row>
    <row r="1501" spans="1:11" hidden="1">
      <c r="A1501" s="137">
        <v>1</v>
      </c>
      <c r="B1501" s="1749" t="s">
        <v>1421</v>
      </c>
      <c r="C1501" s="137" t="s">
        <v>138</v>
      </c>
      <c r="D1501" s="1194" t="s">
        <v>1422</v>
      </c>
      <c r="E1501" s="137" t="s">
        <v>78</v>
      </c>
      <c r="F1501" s="137">
        <v>1350000</v>
      </c>
      <c r="G1501" s="137" t="s">
        <v>1423</v>
      </c>
      <c r="H1501" s="137" t="s">
        <v>271</v>
      </c>
      <c r="I1501" s="137" t="s">
        <v>36</v>
      </c>
      <c r="J1501" s="137">
        <v>1</v>
      </c>
      <c r="K1501" t="s">
        <v>133</v>
      </c>
    </row>
    <row r="1502" spans="1:11" hidden="1">
      <c r="A1502" s="137">
        <v>2</v>
      </c>
      <c r="B1502" s="1749" t="s">
        <v>1421</v>
      </c>
      <c r="C1502" s="137" t="s">
        <v>138</v>
      </c>
      <c r="D1502" s="1194" t="s">
        <v>1424</v>
      </c>
      <c r="E1502" s="137" t="s">
        <v>78</v>
      </c>
      <c r="F1502" s="137">
        <v>1200000</v>
      </c>
      <c r="G1502" s="137" t="s">
        <v>1423</v>
      </c>
      <c r="H1502" s="137" t="s">
        <v>271</v>
      </c>
      <c r="I1502" s="137" t="s">
        <v>36</v>
      </c>
      <c r="J1502" s="137">
        <v>1</v>
      </c>
      <c r="K1502" t="s">
        <v>1232</v>
      </c>
    </row>
    <row r="1503" spans="1:11" hidden="1">
      <c r="A1503" s="137">
        <v>3</v>
      </c>
      <c r="B1503" s="1749" t="s">
        <v>1421</v>
      </c>
      <c r="C1503" s="137" t="s">
        <v>138</v>
      </c>
      <c r="D1503" s="1194" t="s">
        <v>1425</v>
      </c>
      <c r="E1503" s="137" t="s">
        <v>78</v>
      </c>
      <c r="F1503" s="137">
        <v>950000</v>
      </c>
      <c r="G1503" s="137" t="s">
        <v>1426</v>
      </c>
      <c r="H1503" s="137" t="s">
        <v>271</v>
      </c>
      <c r="I1503" s="137" t="s">
        <v>36</v>
      </c>
      <c r="J1503" s="137">
        <v>1</v>
      </c>
      <c r="K1503" t="s">
        <v>133</v>
      </c>
    </row>
    <row r="1504" spans="1:11" hidden="1">
      <c r="A1504" s="137">
        <v>4</v>
      </c>
      <c r="B1504" s="1749" t="s">
        <v>1427</v>
      </c>
      <c r="C1504" s="137" t="s">
        <v>138</v>
      </c>
      <c r="D1504" s="1194" t="s">
        <v>1428</v>
      </c>
      <c r="E1504" s="137" t="s">
        <v>784</v>
      </c>
      <c r="F1504" s="137">
        <v>1000000</v>
      </c>
      <c r="G1504" s="137" t="s">
        <v>1208</v>
      </c>
      <c r="H1504" s="137" t="s">
        <v>271</v>
      </c>
      <c r="I1504" s="137" t="s">
        <v>36</v>
      </c>
      <c r="J1504" s="137">
        <v>1</v>
      </c>
      <c r="K1504" t="s">
        <v>133</v>
      </c>
    </row>
    <row r="1505" spans="1:11" hidden="1">
      <c r="A1505" s="137">
        <v>5</v>
      </c>
      <c r="B1505" s="1749" t="s">
        <v>1429</v>
      </c>
      <c r="C1505" s="137" t="s">
        <v>138</v>
      </c>
      <c r="D1505" s="1194" t="s">
        <v>1430</v>
      </c>
      <c r="E1505" s="137" t="s">
        <v>78</v>
      </c>
      <c r="F1505" s="137">
        <v>1350000</v>
      </c>
      <c r="G1505" s="137" t="s">
        <v>1237</v>
      </c>
      <c r="H1505" s="137" t="s">
        <v>271</v>
      </c>
      <c r="I1505" s="137" t="s">
        <v>36</v>
      </c>
      <c r="J1505" s="137">
        <v>1</v>
      </c>
      <c r="K1505" t="s">
        <v>1431</v>
      </c>
    </row>
    <row r="1506" spans="1:11" hidden="1">
      <c r="A1506" s="137">
        <v>6</v>
      </c>
      <c r="B1506" s="1749" t="s">
        <v>1429</v>
      </c>
      <c r="C1506" s="137" t="s">
        <v>138</v>
      </c>
      <c r="D1506" s="1194" t="s">
        <v>1432</v>
      </c>
      <c r="E1506" s="137" t="s">
        <v>840</v>
      </c>
      <c r="F1506" s="137">
        <v>820000</v>
      </c>
      <c r="G1506" s="137" t="s">
        <v>1433</v>
      </c>
      <c r="H1506" s="137" t="s">
        <v>271</v>
      </c>
      <c r="I1506" s="137" t="s">
        <v>36</v>
      </c>
      <c r="J1506" s="137">
        <v>1</v>
      </c>
      <c r="K1506" t="s">
        <v>1434</v>
      </c>
    </row>
    <row r="1507" spans="1:11" hidden="1">
      <c r="A1507" s="137">
        <v>7</v>
      </c>
      <c r="B1507" s="1749" t="s">
        <v>1435</v>
      </c>
      <c r="C1507" s="150" t="s">
        <v>138</v>
      </c>
      <c r="D1507" s="1195" t="s">
        <v>1436</v>
      </c>
      <c r="E1507" s="150" t="s">
        <v>1130</v>
      </c>
      <c r="F1507" s="1196">
        <v>1100000</v>
      </c>
      <c r="G1507" s="150" t="s">
        <v>1437</v>
      </c>
      <c r="H1507" s="150" t="s">
        <v>271</v>
      </c>
      <c r="I1507" s="150" t="s">
        <v>36</v>
      </c>
      <c r="J1507" s="137">
        <v>1</v>
      </c>
      <c r="K1507" t="s">
        <v>1434</v>
      </c>
    </row>
    <row r="1508" spans="1:11" hidden="1">
      <c r="A1508" s="137">
        <v>8</v>
      </c>
      <c r="B1508" s="1749" t="s">
        <v>1438</v>
      </c>
      <c r="C1508" s="137" t="s">
        <v>138</v>
      </c>
      <c r="D1508" s="1194" t="s">
        <v>1439</v>
      </c>
      <c r="E1508" s="137" t="s">
        <v>1413</v>
      </c>
      <c r="F1508" s="137">
        <v>1200000</v>
      </c>
      <c r="G1508" s="137" t="s">
        <v>43</v>
      </c>
      <c r="H1508" s="137" t="s">
        <v>271</v>
      </c>
      <c r="I1508" s="137" t="s">
        <v>36</v>
      </c>
      <c r="J1508" s="137">
        <v>1</v>
      </c>
      <c r="K1508" t="s">
        <v>1434</v>
      </c>
    </row>
    <row r="1509" spans="1:11" hidden="1">
      <c r="A1509" s="137">
        <v>9</v>
      </c>
      <c r="B1509" s="1749" t="s">
        <v>1440</v>
      </c>
      <c r="C1509" s="137" t="s">
        <v>138</v>
      </c>
      <c r="D1509" s="1194" t="s">
        <v>1441</v>
      </c>
      <c r="E1509" s="137" t="s">
        <v>1130</v>
      </c>
      <c r="F1509" s="137">
        <v>1200000</v>
      </c>
      <c r="G1509" s="137" t="s">
        <v>1442</v>
      </c>
      <c r="H1509" s="137" t="s">
        <v>271</v>
      </c>
      <c r="I1509" s="137" t="s">
        <v>36</v>
      </c>
      <c r="J1509" s="137">
        <v>1</v>
      </c>
      <c r="K1509" t="s">
        <v>1434</v>
      </c>
    </row>
    <row r="1510" spans="1:11" hidden="1">
      <c r="A1510" s="137">
        <v>10</v>
      </c>
      <c r="B1510" s="1749" t="s">
        <v>1440</v>
      </c>
      <c r="C1510" s="137" t="s">
        <v>138</v>
      </c>
      <c r="D1510" s="1194" t="s">
        <v>1443</v>
      </c>
      <c r="E1510" s="137" t="s">
        <v>1130</v>
      </c>
      <c r="F1510" s="137">
        <v>1000000</v>
      </c>
      <c r="G1510" s="137" t="s">
        <v>1223</v>
      </c>
      <c r="H1510" s="137" t="s">
        <v>271</v>
      </c>
      <c r="I1510" s="137" t="s">
        <v>36</v>
      </c>
      <c r="J1510" s="137">
        <v>1</v>
      </c>
      <c r="K1510" t="s">
        <v>1434</v>
      </c>
    </row>
    <row r="1511" spans="1:11" hidden="1">
      <c r="A1511" s="137">
        <v>11</v>
      </c>
      <c r="B1511" s="1749" t="s">
        <v>1444</v>
      </c>
      <c r="C1511" s="137" t="s">
        <v>138</v>
      </c>
      <c r="D1511" s="1194" t="s">
        <v>1445</v>
      </c>
      <c r="E1511" s="137" t="s">
        <v>1446</v>
      </c>
      <c r="F1511" s="137">
        <v>980000</v>
      </c>
      <c r="G1511" s="137" t="s">
        <v>1208</v>
      </c>
      <c r="H1511" s="137" t="s">
        <v>271</v>
      </c>
      <c r="I1511" s="137" t="s">
        <v>36</v>
      </c>
      <c r="J1511" s="137">
        <v>1</v>
      </c>
      <c r="K1511" t="s">
        <v>1434</v>
      </c>
    </row>
    <row r="1512" spans="1:11" hidden="1">
      <c r="A1512" s="137">
        <v>12</v>
      </c>
      <c r="B1512" s="1749" t="s">
        <v>1447</v>
      </c>
      <c r="C1512" s="137" t="s">
        <v>138</v>
      </c>
      <c r="D1512" s="1194" t="s">
        <v>1448</v>
      </c>
      <c r="E1512" s="137" t="s">
        <v>128</v>
      </c>
      <c r="F1512" s="137">
        <v>2000000</v>
      </c>
      <c r="G1512" s="137" t="s">
        <v>43</v>
      </c>
      <c r="H1512" s="137" t="s">
        <v>271</v>
      </c>
      <c r="I1512" s="137" t="s">
        <v>36</v>
      </c>
      <c r="J1512" s="137">
        <v>1</v>
      </c>
      <c r="K1512" t="s">
        <v>133</v>
      </c>
    </row>
    <row r="1513" spans="1:11" hidden="1">
      <c r="A1513" s="137">
        <v>13</v>
      </c>
      <c r="B1513" s="1749" t="s">
        <v>1449</v>
      </c>
      <c r="C1513" s="137" t="s">
        <v>138</v>
      </c>
      <c r="D1513" s="1194" t="s">
        <v>1450</v>
      </c>
      <c r="E1513" s="137" t="s">
        <v>78</v>
      </c>
      <c r="F1513" s="137">
        <v>1400000</v>
      </c>
      <c r="G1513" s="137" t="s">
        <v>1423</v>
      </c>
      <c r="H1513" s="137" t="s">
        <v>271</v>
      </c>
      <c r="I1513" s="137" t="s">
        <v>36</v>
      </c>
      <c r="J1513" s="137">
        <v>1</v>
      </c>
      <c r="K1513" t="s">
        <v>1232</v>
      </c>
    </row>
    <row r="1514" spans="1:11" hidden="1">
      <c r="A1514" s="137">
        <v>14</v>
      </c>
      <c r="B1514" s="1749" t="s">
        <v>1449</v>
      </c>
      <c r="C1514" s="137" t="s">
        <v>138</v>
      </c>
      <c r="D1514" s="1194" t="s">
        <v>1451</v>
      </c>
      <c r="E1514" s="137" t="s">
        <v>1452</v>
      </c>
      <c r="F1514" s="137">
        <v>1200000</v>
      </c>
      <c r="G1514" s="137" t="s">
        <v>43</v>
      </c>
      <c r="H1514" s="137" t="s">
        <v>271</v>
      </c>
      <c r="I1514" s="137" t="s">
        <v>36</v>
      </c>
      <c r="J1514" s="137">
        <v>1</v>
      </c>
      <c r="K1514" t="s">
        <v>133</v>
      </c>
    </row>
    <row r="1515" spans="1:11" hidden="1">
      <c r="A1515" s="1749">
        <v>15</v>
      </c>
      <c r="B1515" s="2538" t="s">
        <v>1453</v>
      </c>
      <c r="C1515" s="150" t="s">
        <v>135</v>
      </c>
      <c r="D1515" s="1195" t="s">
        <v>1454</v>
      </c>
      <c r="E1515" s="150" t="s">
        <v>128</v>
      </c>
      <c r="F1515" s="1196">
        <v>1000000</v>
      </c>
      <c r="G1515" s="150" t="s">
        <v>43</v>
      </c>
      <c r="H1515" s="150" t="s">
        <v>271</v>
      </c>
      <c r="I1515" s="150" t="s">
        <v>36</v>
      </c>
      <c r="J1515" s="137">
        <v>1</v>
      </c>
      <c r="K1515" t="s">
        <v>133</v>
      </c>
    </row>
    <row r="1516" spans="1:11" hidden="1">
      <c r="A1516" s="1749">
        <v>16</v>
      </c>
      <c r="B1516" s="2538" t="s">
        <v>1453</v>
      </c>
      <c r="C1516" s="150" t="s">
        <v>138</v>
      </c>
      <c r="D1516" s="1195" t="s">
        <v>710</v>
      </c>
      <c r="E1516" s="150" t="s">
        <v>869</v>
      </c>
      <c r="F1516" s="1196">
        <v>1200000</v>
      </c>
      <c r="G1516" s="150" t="s">
        <v>1095</v>
      </c>
      <c r="H1516" s="150" t="s">
        <v>271</v>
      </c>
      <c r="I1516" s="150" t="s">
        <v>36</v>
      </c>
      <c r="J1516" s="137">
        <v>1</v>
      </c>
      <c r="K1516" t="s">
        <v>1455</v>
      </c>
    </row>
    <row r="1517" spans="1:11" hidden="1">
      <c r="A1517" s="1749">
        <v>17</v>
      </c>
      <c r="B1517" s="2538" t="s">
        <v>1456</v>
      </c>
      <c r="C1517" s="150" t="s">
        <v>138</v>
      </c>
      <c r="D1517" s="1195" t="s">
        <v>886</v>
      </c>
      <c r="E1517" s="150" t="s">
        <v>1452</v>
      </c>
      <c r="F1517" s="1196">
        <v>980000</v>
      </c>
      <c r="G1517" s="150" t="s">
        <v>43</v>
      </c>
      <c r="H1517" s="150" t="s">
        <v>271</v>
      </c>
      <c r="I1517" s="150" t="s">
        <v>36</v>
      </c>
      <c r="J1517" s="137">
        <v>1</v>
      </c>
      <c r="K1517" t="s">
        <v>1455</v>
      </c>
    </row>
    <row r="1518" spans="1:11" hidden="1">
      <c r="A1518" s="1749">
        <v>18</v>
      </c>
      <c r="B1518" s="2538" t="s">
        <v>1457</v>
      </c>
      <c r="C1518" s="150" t="s">
        <v>138</v>
      </c>
      <c r="D1518" s="1195" t="s">
        <v>1458</v>
      </c>
      <c r="E1518" s="150" t="s">
        <v>148</v>
      </c>
      <c r="F1518" s="1196">
        <v>1380000</v>
      </c>
      <c r="G1518" s="150" t="s">
        <v>1459</v>
      </c>
      <c r="H1518" s="150" t="s">
        <v>271</v>
      </c>
      <c r="I1518" s="150" t="s">
        <v>36</v>
      </c>
      <c r="J1518" s="137">
        <v>1</v>
      </c>
      <c r="K1518" t="s">
        <v>1455</v>
      </c>
    </row>
    <row r="1519" spans="1:11" hidden="1">
      <c r="A1519" s="1749">
        <v>19</v>
      </c>
      <c r="B1519" s="1749" t="s">
        <v>1457</v>
      </c>
      <c r="C1519" s="150" t="s">
        <v>138</v>
      </c>
      <c r="D1519" s="1195" t="s">
        <v>1460</v>
      </c>
      <c r="E1519" s="150" t="s">
        <v>125</v>
      </c>
      <c r="F1519" s="1196">
        <v>1500000</v>
      </c>
      <c r="G1519" s="150"/>
      <c r="H1519" s="150" t="s">
        <v>271</v>
      </c>
      <c r="I1519" s="150" t="s">
        <v>36</v>
      </c>
      <c r="J1519" s="137">
        <v>1</v>
      </c>
      <c r="K1519" t="s">
        <v>1232</v>
      </c>
    </row>
    <row r="1520" spans="1:11" hidden="1">
      <c r="A1520" s="1749">
        <v>20</v>
      </c>
      <c r="B1520" s="1749" t="s">
        <v>1457</v>
      </c>
      <c r="C1520" s="150" t="s">
        <v>138</v>
      </c>
      <c r="D1520" s="627" t="s">
        <v>1461</v>
      </c>
      <c r="E1520" s="150" t="s">
        <v>78</v>
      </c>
      <c r="F1520" s="1196">
        <v>1900000</v>
      </c>
      <c r="G1520" s="150" t="s">
        <v>1462</v>
      </c>
      <c r="H1520" s="150" t="s">
        <v>271</v>
      </c>
      <c r="I1520" s="150" t="s">
        <v>36</v>
      </c>
      <c r="J1520" s="137">
        <v>1</v>
      </c>
      <c r="K1520" t="s">
        <v>133</v>
      </c>
    </row>
    <row r="1521" spans="1:11" hidden="1">
      <c r="A1521" s="1749"/>
      <c r="B1521" s="1749"/>
      <c r="C1521" s="150"/>
      <c r="D1521" s="627"/>
      <c r="E1521" s="150"/>
      <c r="F1521" s="1196"/>
      <c r="G1521" s="150"/>
      <c r="H1521" s="150"/>
      <c r="I1521" s="150"/>
      <c r="J1521" s="137"/>
    </row>
    <row r="1522" spans="1:11" ht="24.6" hidden="1">
      <c r="A1522" s="1749"/>
      <c r="B1522" s="1749"/>
      <c r="C1522" s="150"/>
      <c r="D1522" s="627"/>
      <c r="E1522" s="150"/>
      <c r="F1522" s="151"/>
      <c r="G1522" s="150"/>
      <c r="H1522" s="150"/>
      <c r="I1522" s="150"/>
      <c r="J1522" s="905">
        <f>SUM(J1501:J1521)</f>
        <v>20</v>
      </c>
    </row>
    <row r="1523" spans="1:11" ht="24.6" hidden="1">
      <c r="A1523" s="2734" t="s">
        <v>33</v>
      </c>
      <c r="B1523" s="2734"/>
      <c r="C1523" s="2734"/>
      <c r="D1523" s="2734"/>
      <c r="E1523" s="2734"/>
      <c r="F1523" s="2734"/>
      <c r="G1523" s="2734"/>
      <c r="H1523" s="2734"/>
      <c r="I1523" s="2734"/>
      <c r="J1523" s="2734"/>
    </row>
    <row r="1524" spans="1:11" hidden="1">
      <c r="A1524" s="137" t="s">
        <v>3</v>
      </c>
      <c r="B1524" s="1749" t="s">
        <v>4</v>
      </c>
      <c r="C1524" s="137" t="s">
        <v>5</v>
      </c>
      <c r="D1524" s="137" t="s">
        <v>6</v>
      </c>
      <c r="E1524" s="137" t="s">
        <v>7</v>
      </c>
      <c r="F1524" s="137" t="s">
        <v>8</v>
      </c>
      <c r="G1524" s="137" t="s">
        <v>9</v>
      </c>
      <c r="H1524" s="137" t="s">
        <v>10</v>
      </c>
      <c r="I1524" s="137" t="s">
        <v>11</v>
      </c>
      <c r="J1524" s="137" t="s">
        <v>12</v>
      </c>
    </row>
    <row r="1525" spans="1:11" hidden="1">
      <c r="A1525" s="541">
        <v>1</v>
      </c>
      <c r="B1525" s="2539" t="s">
        <v>1463</v>
      </c>
      <c r="C1525" s="152" t="s">
        <v>138</v>
      </c>
      <c r="D1525" s="1195" t="s">
        <v>1239</v>
      </c>
      <c r="E1525" s="152" t="s">
        <v>78</v>
      </c>
      <c r="F1525" s="152">
        <v>260000000</v>
      </c>
      <c r="G1525" s="152" t="s">
        <v>1237</v>
      </c>
      <c r="H1525" s="152" t="s">
        <v>271</v>
      </c>
      <c r="I1525" s="152" t="s">
        <v>36</v>
      </c>
      <c r="J1525" s="200">
        <v>1</v>
      </c>
    </row>
    <row r="1526" spans="1:11" hidden="1">
      <c r="A1526" s="541" t="s">
        <v>3</v>
      </c>
      <c r="B1526" s="2539" t="s">
        <v>1464</v>
      </c>
      <c r="C1526" s="152" t="s">
        <v>138</v>
      </c>
      <c r="D1526" s="1195" t="s">
        <v>1465</v>
      </c>
      <c r="E1526" s="152" t="s">
        <v>78</v>
      </c>
      <c r="F1526" s="152">
        <v>300000000</v>
      </c>
      <c r="G1526" s="152" t="s">
        <v>1255</v>
      </c>
      <c r="H1526" s="152" t="s">
        <v>271</v>
      </c>
      <c r="I1526" s="152" t="s">
        <v>36</v>
      </c>
      <c r="J1526" s="200">
        <v>1</v>
      </c>
    </row>
    <row r="1527" spans="1:11" hidden="1">
      <c r="A1527" s="583">
        <v>3</v>
      </c>
      <c r="B1527" s="2540" t="s">
        <v>1466</v>
      </c>
      <c r="C1527" s="154" t="s">
        <v>138</v>
      </c>
      <c r="D1527" s="1788" t="s">
        <v>1467</v>
      </c>
      <c r="E1527" s="154" t="s">
        <v>125</v>
      </c>
      <c r="F1527" s="154">
        <v>160000000</v>
      </c>
      <c r="G1527" s="154" t="s">
        <v>43</v>
      </c>
      <c r="H1527" s="154" t="s">
        <v>1468</v>
      </c>
      <c r="I1527" s="154" t="s">
        <v>44</v>
      </c>
      <c r="J1527" s="584">
        <v>1</v>
      </c>
    </row>
    <row r="1528" spans="1:11" hidden="1">
      <c r="A1528" s="581">
        <v>4</v>
      </c>
      <c r="B1528" s="2541" t="s">
        <v>1463</v>
      </c>
      <c r="C1528" s="156" t="s">
        <v>223</v>
      </c>
      <c r="D1528" s="1061" t="s">
        <v>1469</v>
      </c>
      <c r="E1528" s="156" t="s">
        <v>125</v>
      </c>
      <c r="F1528" s="156">
        <v>170000000</v>
      </c>
      <c r="G1528" s="156" t="s">
        <v>43</v>
      </c>
      <c r="H1528" s="156" t="s">
        <v>1468</v>
      </c>
      <c r="I1528" s="156" t="s">
        <v>44</v>
      </c>
      <c r="J1528" s="144">
        <v>1</v>
      </c>
    </row>
    <row r="1529" spans="1:11" hidden="1">
      <c r="A1529" s="581">
        <v>5</v>
      </c>
      <c r="B1529" s="2541" t="s">
        <v>1470</v>
      </c>
      <c r="C1529" s="156" t="s">
        <v>135</v>
      </c>
      <c r="D1529" s="1061" t="s">
        <v>1471</v>
      </c>
      <c r="E1529" s="156" t="s">
        <v>39</v>
      </c>
      <c r="F1529" s="156">
        <v>425500000</v>
      </c>
      <c r="G1529" s="156" t="s">
        <v>43</v>
      </c>
      <c r="H1529" s="156" t="s">
        <v>1468</v>
      </c>
      <c r="I1529" s="156" t="s">
        <v>44</v>
      </c>
      <c r="J1529" s="144">
        <v>1</v>
      </c>
    </row>
    <row r="1530" spans="1:11" ht="24.6" hidden="1">
      <c r="A1530" s="860"/>
      <c r="B1530" s="895"/>
      <c r="C1530" s="860"/>
      <c r="D1530" s="860"/>
      <c r="E1530" s="860"/>
      <c r="F1530" s="860"/>
      <c r="G1530" s="860"/>
      <c r="H1530" s="860"/>
      <c r="I1530" s="860"/>
      <c r="J1530" s="906">
        <f>J1525+J1526+J1527+J1528+J1529</f>
        <v>5</v>
      </c>
    </row>
    <row r="1531" spans="1:11" hidden="1"/>
    <row r="1532" spans="1:11" hidden="1"/>
    <row r="1533" spans="1:11" ht="23.45" hidden="1">
      <c r="A1533" s="2765" t="s">
        <v>582</v>
      </c>
      <c r="B1533" s="2765"/>
      <c r="C1533" s="2765"/>
      <c r="D1533" s="2765"/>
      <c r="E1533" s="2765"/>
      <c r="F1533" s="2765"/>
      <c r="G1533" s="2765"/>
      <c r="H1533" s="2765"/>
      <c r="I1533" s="2765"/>
      <c r="J1533" s="2765"/>
    </row>
    <row r="1534" spans="1:11" ht="15.6" hidden="1">
      <c r="A1534" s="2737" t="s">
        <v>2</v>
      </c>
      <c r="B1534" s="2737"/>
      <c r="C1534" s="2737"/>
      <c r="D1534" s="2737"/>
      <c r="E1534" s="2737"/>
      <c r="F1534" s="2737"/>
      <c r="G1534" s="2737"/>
      <c r="H1534" s="2737"/>
      <c r="I1534" s="2737"/>
      <c r="J1534" s="2737"/>
    </row>
    <row r="1535" spans="1:11" hidden="1">
      <c r="A1535" s="137" t="s">
        <v>3</v>
      </c>
      <c r="B1535" s="1749" t="s">
        <v>4</v>
      </c>
      <c r="C1535" s="137" t="s">
        <v>5</v>
      </c>
      <c r="D1535" s="137" t="s">
        <v>6</v>
      </c>
      <c r="E1535" s="137" t="s">
        <v>7</v>
      </c>
      <c r="F1535" s="137" t="s">
        <v>8</v>
      </c>
      <c r="G1535" s="137" t="s">
        <v>9</v>
      </c>
      <c r="H1535" s="137" t="s">
        <v>10</v>
      </c>
      <c r="I1535" s="137" t="s">
        <v>11</v>
      </c>
      <c r="J1535" s="137" t="s">
        <v>12</v>
      </c>
    </row>
    <row r="1536" spans="1:11" hidden="1">
      <c r="A1536" s="137">
        <v>1</v>
      </c>
      <c r="B1536" s="1749" t="s">
        <v>1421</v>
      </c>
      <c r="C1536" s="137" t="s">
        <v>138</v>
      </c>
      <c r="D1536" s="1194" t="s">
        <v>1472</v>
      </c>
      <c r="E1536" s="137" t="s">
        <v>180</v>
      </c>
      <c r="F1536" s="137">
        <v>1600000</v>
      </c>
      <c r="G1536" s="137" t="s">
        <v>1064</v>
      </c>
      <c r="H1536" s="137" t="s">
        <v>271</v>
      </c>
      <c r="I1536" s="137" t="s">
        <v>36</v>
      </c>
      <c r="J1536" s="137">
        <v>1</v>
      </c>
      <c r="K1536" t="s">
        <v>133</v>
      </c>
    </row>
    <row r="1537" spans="1:11" hidden="1">
      <c r="A1537" s="137">
        <v>2</v>
      </c>
      <c r="B1537" s="1749" t="s">
        <v>1421</v>
      </c>
      <c r="C1537" s="137" t="s">
        <v>138</v>
      </c>
      <c r="D1537" s="1194" t="s">
        <v>1473</v>
      </c>
      <c r="E1537" s="137" t="s">
        <v>962</v>
      </c>
      <c r="F1537" s="137">
        <v>1100000</v>
      </c>
      <c r="G1537" s="137" t="s">
        <v>43</v>
      </c>
      <c r="H1537" s="137" t="s">
        <v>271</v>
      </c>
      <c r="I1537" s="137" t="s">
        <v>36</v>
      </c>
      <c r="J1537" s="137">
        <v>1</v>
      </c>
      <c r="K1537" t="s">
        <v>1232</v>
      </c>
    </row>
    <row r="1538" spans="1:11" hidden="1">
      <c r="A1538" s="137">
        <v>3</v>
      </c>
      <c r="B1538" s="1749" t="s">
        <v>1421</v>
      </c>
      <c r="C1538" s="137" t="s">
        <v>138</v>
      </c>
      <c r="D1538" s="1194" t="s">
        <v>1474</v>
      </c>
      <c r="E1538" s="137" t="s">
        <v>1105</v>
      </c>
      <c r="F1538" s="137">
        <v>1300000</v>
      </c>
      <c r="G1538" s="137" t="s">
        <v>397</v>
      </c>
      <c r="H1538" s="137" t="s">
        <v>271</v>
      </c>
      <c r="I1538" s="137" t="s">
        <v>36</v>
      </c>
      <c r="J1538" s="137">
        <v>1</v>
      </c>
      <c r="K1538" t="s">
        <v>133</v>
      </c>
    </row>
    <row r="1539" spans="1:11" hidden="1">
      <c r="A1539" s="137">
        <v>4</v>
      </c>
      <c r="B1539" s="1749" t="s">
        <v>1427</v>
      </c>
      <c r="C1539" s="137" t="s">
        <v>138</v>
      </c>
      <c r="D1539" s="1194" t="s">
        <v>1475</v>
      </c>
      <c r="E1539" s="137" t="s">
        <v>1476</v>
      </c>
      <c r="F1539" s="137">
        <v>1600000</v>
      </c>
      <c r="G1539" s="137" t="s">
        <v>1477</v>
      </c>
      <c r="H1539" s="137" t="s">
        <v>271</v>
      </c>
      <c r="I1539" s="137" t="s">
        <v>36</v>
      </c>
      <c r="J1539" s="137">
        <v>1</v>
      </c>
      <c r="K1539" t="s">
        <v>133</v>
      </c>
    </row>
    <row r="1540" spans="1:11" hidden="1">
      <c r="A1540" s="137">
        <v>5</v>
      </c>
      <c r="B1540" s="1749" t="s">
        <v>1478</v>
      </c>
      <c r="C1540" s="137" t="s">
        <v>138</v>
      </c>
      <c r="D1540" s="1194" t="s">
        <v>1479</v>
      </c>
      <c r="E1540" s="137" t="s">
        <v>962</v>
      </c>
      <c r="F1540" s="137">
        <v>1200000</v>
      </c>
      <c r="G1540" s="137" t="s">
        <v>854</v>
      </c>
      <c r="H1540" s="137" t="s">
        <v>271</v>
      </c>
      <c r="I1540" s="137" t="s">
        <v>36</v>
      </c>
      <c r="J1540" s="137">
        <v>1</v>
      </c>
      <c r="K1540" t="s">
        <v>133</v>
      </c>
    </row>
    <row r="1541" spans="1:11" hidden="1">
      <c r="A1541" s="137">
        <v>6</v>
      </c>
      <c r="B1541" s="1749" t="s">
        <v>1478</v>
      </c>
      <c r="C1541" s="137" t="s">
        <v>138</v>
      </c>
      <c r="D1541" s="1194" t="s">
        <v>1480</v>
      </c>
      <c r="E1541" s="137" t="s">
        <v>962</v>
      </c>
      <c r="F1541" s="137">
        <v>1300000</v>
      </c>
      <c r="G1541" s="137" t="s">
        <v>854</v>
      </c>
      <c r="H1541" s="137" t="s">
        <v>271</v>
      </c>
      <c r="I1541" s="137" t="s">
        <v>36</v>
      </c>
      <c r="J1541" s="137">
        <v>1</v>
      </c>
      <c r="K1541" t="s">
        <v>133</v>
      </c>
    </row>
    <row r="1542" spans="1:11" hidden="1">
      <c r="A1542" s="137">
        <v>7</v>
      </c>
      <c r="B1542" s="1749" t="s">
        <v>1435</v>
      </c>
      <c r="C1542" s="150" t="s">
        <v>138</v>
      </c>
      <c r="D1542" s="1195" t="s">
        <v>1481</v>
      </c>
      <c r="E1542" s="150" t="s">
        <v>962</v>
      </c>
      <c r="F1542" s="1196">
        <v>1200000</v>
      </c>
      <c r="G1542" s="150" t="s">
        <v>854</v>
      </c>
      <c r="H1542" s="150" t="s">
        <v>271</v>
      </c>
      <c r="I1542" s="150" t="s">
        <v>36</v>
      </c>
      <c r="J1542" s="137">
        <v>1</v>
      </c>
      <c r="K1542" t="s">
        <v>1482</v>
      </c>
    </row>
    <row r="1543" spans="1:11" hidden="1">
      <c r="A1543" s="137">
        <v>8</v>
      </c>
      <c r="B1543" s="1749" t="s">
        <v>1435</v>
      </c>
      <c r="C1543" s="137" t="s">
        <v>138</v>
      </c>
      <c r="D1543" s="1194" t="s">
        <v>1483</v>
      </c>
      <c r="E1543" s="137" t="s">
        <v>883</v>
      </c>
      <c r="F1543" s="137">
        <v>1150000</v>
      </c>
      <c r="G1543" s="137" t="s">
        <v>1122</v>
      </c>
      <c r="H1543" s="137" t="s">
        <v>271</v>
      </c>
      <c r="I1543" s="137" t="s">
        <v>36</v>
      </c>
      <c r="J1543" s="137">
        <v>1</v>
      </c>
      <c r="K1543" t="s">
        <v>1482</v>
      </c>
    </row>
    <row r="1544" spans="1:11" hidden="1">
      <c r="A1544" s="137">
        <v>9</v>
      </c>
      <c r="B1544" s="1749" t="s">
        <v>1435</v>
      </c>
      <c r="C1544" s="137" t="s">
        <v>138</v>
      </c>
      <c r="D1544" s="1194" t="s">
        <v>1484</v>
      </c>
      <c r="E1544" s="137" t="s">
        <v>1105</v>
      </c>
      <c r="F1544" s="137">
        <v>1200000</v>
      </c>
      <c r="G1544" s="137" t="s">
        <v>1106</v>
      </c>
      <c r="H1544" s="137" t="s">
        <v>271</v>
      </c>
      <c r="I1544" s="137" t="s">
        <v>36</v>
      </c>
      <c r="J1544" s="137">
        <v>1</v>
      </c>
      <c r="K1544" t="s">
        <v>1485</v>
      </c>
    </row>
    <row r="1545" spans="1:11" hidden="1">
      <c r="A1545" s="137">
        <v>10</v>
      </c>
      <c r="B1545" s="1749" t="s">
        <v>1486</v>
      </c>
      <c r="C1545" s="137" t="s">
        <v>138</v>
      </c>
      <c r="D1545" s="1194" t="s">
        <v>1487</v>
      </c>
      <c r="E1545" s="137" t="s">
        <v>1488</v>
      </c>
      <c r="F1545" s="137">
        <v>1400000</v>
      </c>
      <c r="G1545" s="137" t="s">
        <v>43</v>
      </c>
      <c r="H1545" s="137" t="s">
        <v>271</v>
      </c>
      <c r="I1545" s="137" t="s">
        <v>36</v>
      </c>
      <c r="J1545" s="137">
        <v>1</v>
      </c>
      <c r="K1545" t="s">
        <v>1485</v>
      </c>
    </row>
    <row r="1546" spans="1:11" hidden="1">
      <c r="A1546" s="137">
        <v>11</v>
      </c>
      <c r="B1546" s="1749" t="s">
        <v>1486</v>
      </c>
      <c r="C1546" s="137" t="s">
        <v>138</v>
      </c>
      <c r="D1546" s="1194" t="s">
        <v>1489</v>
      </c>
      <c r="E1546" s="137" t="s">
        <v>962</v>
      </c>
      <c r="F1546" s="137">
        <v>1250000</v>
      </c>
      <c r="G1546" s="137" t="s">
        <v>854</v>
      </c>
      <c r="H1546" s="137" t="s">
        <v>271</v>
      </c>
      <c r="I1546" s="137" t="s">
        <v>36</v>
      </c>
      <c r="J1546" s="137">
        <v>1</v>
      </c>
      <c r="K1546" t="s">
        <v>1485</v>
      </c>
    </row>
    <row r="1547" spans="1:11" hidden="1">
      <c r="A1547" s="137">
        <v>12</v>
      </c>
      <c r="B1547" s="1749" t="s">
        <v>1490</v>
      </c>
      <c r="C1547" s="137" t="s">
        <v>138</v>
      </c>
      <c r="D1547" s="1194" t="s">
        <v>1491</v>
      </c>
      <c r="E1547" s="137" t="s">
        <v>1105</v>
      </c>
      <c r="F1547" s="137">
        <v>1400000</v>
      </c>
      <c r="G1547" s="137" t="s">
        <v>1492</v>
      </c>
      <c r="H1547" s="137" t="s">
        <v>271</v>
      </c>
      <c r="I1547" s="137" t="s">
        <v>36</v>
      </c>
      <c r="J1547" s="137">
        <v>1</v>
      </c>
      <c r="K1547" t="s">
        <v>1485</v>
      </c>
    </row>
    <row r="1548" spans="1:11" hidden="1">
      <c r="A1548" s="137">
        <v>13</v>
      </c>
      <c r="B1548" s="1749" t="s">
        <v>1490</v>
      </c>
      <c r="C1548" s="137" t="s">
        <v>138</v>
      </c>
      <c r="D1548" s="1194" t="s">
        <v>1493</v>
      </c>
      <c r="E1548" s="137" t="s">
        <v>1494</v>
      </c>
      <c r="F1548" s="137">
        <v>1250000</v>
      </c>
      <c r="G1548" s="137" t="s">
        <v>854</v>
      </c>
      <c r="H1548" s="137" t="s">
        <v>271</v>
      </c>
      <c r="I1548" s="137" t="s">
        <v>36</v>
      </c>
      <c r="J1548" s="137">
        <v>1</v>
      </c>
      <c r="K1548" t="s">
        <v>1485</v>
      </c>
    </row>
    <row r="1549" spans="1:11" hidden="1">
      <c r="A1549" s="137">
        <v>14</v>
      </c>
      <c r="B1549" s="1749" t="s">
        <v>1490</v>
      </c>
      <c r="C1549" s="137" t="s">
        <v>138</v>
      </c>
      <c r="D1549" s="1194" t="s">
        <v>1495</v>
      </c>
      <c r="E1549" s="137" t="s">
        <v>962</v>
      </c>
      <c r="F1549" s="137">
        <v>1300000</v>
      </c>
      <c r="G1549" s="137" t="s">
        <v>854</v>
      </c>
      <c r="H1549" s="137" t="s">
        <v>271</v>
      </c>
      <c r="I1549" s="137" t="s">
        <v>36</v>
      </c>
      <c r="J1549" s="137">
        <v>1</v>
      </c>
      <c r="K1549" t="s">
        <v>1485</v>
      </c>
    </row>
    <row r="1550" spans="1:11" hidden="1">
      <c r="A1550" s="1749">
        <v>15</v>
      </c>
      <c r="B1550" s="2538" t="s">
        <v>1496</v>
      </c>
      <c r="C1550" s="150" t="s">
        <v>138</v>
      </c>
      <c r="D1550" s="1195" t="s">
        <v>1497</v>
      </c>
      <c r="E1550" s="150" t="s">
        <v>1498</v>
      </c>
      <c r="F1550" s="1196">
        <v>1500000</v>
      </c>
      <c r="G1550" s="150" t="s">
        <v>43</v>
      </c>
      <c r="H1550" s="150" t="s">
        <v>271</v>
      </c>
      <c r="I1550" s="150" t="s">
        <v>36</v>
      </c>
      <c r="J1550" s="137">
        <v>1</v>
      </c>
      <c r="K1550" t="s">
        <v>1455</v>
      </c>
    </row>
    <row r="1551" spans="1:11" hidden="1">
      <c r="A1551" s="1749">
        <v>16</v>
      </c>
      <c r="B1551" s="2538" t="s">
        <v>1499</v>
      </c>
      <c r="C1551" s="150" t="s">
        <v>135</v>
      </c>
      <c r="D1551" s="1195" t="s">
        <v>1500</v>
      </c>
      <c r="E1551" s="150" t="s">
        <v>1501</v>
      </c>
      <c r="F1551" s="1196">
        <v>600000</v>
      </c>
      <c r="G1551" s="150" t="s">
        <v>43</v>
      </c>
      <c r="H1551" s="150" t="s">
        <v>271</v>
      </c>
      <c r="I1551" s="150" t="s">
        <v>36</v>
      </c>
      <c r="J1551" s="137">
        <v>1</v>
      </c>
      <c r="K1551" t="s">
        <v>133</v>
      </c>
    </row>
    <row r="1552" spans="1:11" hidden="1">
      <c r="A1552" s="1749">
        <v>17</v>
      </c>
      <c r="B1552" s="2538" t="s">
        <v>1502</v>
      </c>
      <c r="C1552" s="150" t="s">
        <v>138</v>
      </c>
      <c r="D1552" s="1195" t="s">
        <v>457</v>
      </c>
      <c r="E1552" s="150" t="s">
        <v>1105</v>
      </c>
      <c r="F1552" s="1196">
        <v>1300000</v>
      </c>
      <c r="G1552" s="150" t="s">
        <v>397</v>
      </c>
      <c r="H1552" s="150" t="s">
        <v>271</v>
      </c>
      <c r="I1552" s="150" t="s">
        <v>36</v>
      </c>
      <c r="J1552" s="137">
        <v>1</v>
      </c>
      <c r="K1552" t="s">
        <v>133</v>
      </c>
    </row>
    <row r="1553" spans="1:11" hidden="1">
      <c r="A1553" s="1749">
        <v>18</v>
      </c>
      <c r="B1553" s="2538" t="s">
        <v>1502</v>
      </c>
      <c r="C1553" s="150" t="s">
        <v>138</v>
      </c>
      <c r="D1553" s="1195" t="s">
        <v>1503</v>
      </c>
      <c r="E1553" s="150" t="s">
        <v>1105</v>
      </c>
      <c r="F1553" s="1196">
        <v>1500000</v>
      </c>
      <c r="G1553" s="150" t="s">
        <v>397</v>
      </c>
      <c r="H1553" s="150" t="s">
        <v>271</v>
      </c>
      <c r="I1553" s="150" t="s">
        <v>36</v>
      </c>
      <c r="J1553" s="137">
        <v>1</v>
      </c>
      <c r="K1553" t="s">
        <v>1455</v>
      </c>
    </row>
    <row r="1554" spans="1:11" hidden="1">
      <c r="A1554" s="1749">
        <v>19</v>
      </c>
      <c r="B1554" s="1749" t="s">
        <v>1447</v>
      </c>
      <c r="C1554" s="150" t="s">
        <v>138</v>
      </c>
      <c r="D1554" s="1195" t="s">
        <v>1504</v>
      </c>
      <c r="E1554" s="150" t="s">
        <v>1105</v>
      </c>
      <c r="F1554" s="1196">
        <v>1350000</v>
      </c>
      <c r="G1554" s="150" t="s">
        <v>397</v>
      </c>
      <c r="H1554" s="150" t="s">
        <v>271</v>
      </c>
      <c r="I1554" s="150" t="s">
        <v>36</v>
      </c>
      <c r="J1554" s="137">
        <v>1</v>
      </c>
      <c r="K1554" t="s">
        <v>133</v>
      </c>
    </row>
    <row r="1555" spans="1:11" hidden="1">
      <c r="A1555" s="1749">
        <v>20</v>
      </c>
      <c r="B1555" s="1749" t="s">
        <v>1447</v>
      </c>
      <c r="C1555" s="150" t="s">
        <v>138</v>
      </c>
      <c r="D1555" s="1195" t="s">
        <v>1505</v>
      </c>
      <c r="E1555" s="150" t="s">
        <v>802</v>
      </c>
      <c r="F1555" s="1196">
        <v>1150000</v>
      </c>
      <c r="G1555" s="150" t="s">
        <v>962</v>
      </c>
      <c r="H1555" s="150" t="s">
        <v>271</v>
      </c>
      <c r="I1555" s="150" t="s">
        <v>36</v>
      </c>
      <c r="J1555" s="137">
        <v>1</v>
      </c>
      <c r="K1555" t="s">
        <v>1232</v>
      </c>
    </row>
    <row r="1556" spans="1:11" hidden="1">
      <c r="A1556" s="1749"/>
      <c r="B1556" s="1749"/>
      <c r="C1556" s="150"/>
      <c r="D1556" s="627"/>
      <c r="E1556" s="150"/>
      <c r="F1556" s="1196"/>
      <c r="G1556" s="150"/>
      <c r="H1556" s="150"/>
      <c r="I1556" s="150"/>
      <c r="J1556" s="137"/>
    </row>
    <row r="1557" spans="1:11" ht="24.6" hidden="1">
      <c r="A1557" s="1749"/>
      <c r="B1557" s="1749"/>
      <c r="C1557" s="150"/>
      <c r="D1557" s="627"/>
      <c r="E1557" s="150"/>
      <c r="F1557" s="151"/>
      <c r="G1557" s="150"/>
      <c r="H1557" s="150"/>
      <c r="I1557" s="150"/>
      <c r="J1557" s="905">
        <f>SUM(J1536:J1556)</f>
        <v>20</v>
      </c>
    </row>
    <row r="1558" spans="1:11" ht="24.6" hidden="1">
      <c r="A1558" s="2734" t="s">
        <v>33</v>
      </c>
      <c r="B1558" s="2734"/>
      <c r="C1558" s="2734"/>
      <c r="D1558" s="2734"/>
      <c r="E1558" s="2734"/>
      <c r="F1558" s="2734"/>
      <c r="G1558" s="2734"/>
      <c r="H1558" s="2734"/>
      <c r="I1558" s="2734"/>
      <c r="J1558" s="2734"/>
    </row>
    <row r="1559" spans="1:11" hidden="1">
      <c r="A1559" s="137" t="s">
        <v>3</v>
      </c>
      <c r="B1559" s="1749" t="s">
        <v>4</v>
      </c>
      <c r="C1559" s="137" t="s">
        <v>5</v>
      </c>
      <c r="D1559" s="137" t="s">
        <v>6</v>
      </c>
      <c r="E1559" s="137" t="s">
        <v>7</v>
      </c>
      <c r="F1559" s="137" t="s">
        <v>8</v>
      </c>
      <c r="G1559" s="137" t="s">
        <v>9</v>
      </c>
      <c r="H1559" s="137" t="s">
        <v>10</v>
      </c>
      <c r="I1559" s="137" t="s">
        <v>11</v>
      </c>
      <c r="J1559" s="147" t="s">
        <v>12</v>
      </c>
    </row>
    <row r="1560" spans="1:11" hidden="1">
      <c r="A1560" s="541">
        <v>1</v>
      </c>
      <c r="B1560" s="2539" t="s">
        <v>1506</v>
      </c>
      <c r="C1560" s="152" t="s">
        <v>138</v>
      </c>
      <c r="D1560" s="1195" t="s">
        <v>1507</v>
      </c>
      <c r="E1560" s="152" t="s">
        <v>180</v>
      </c>
      <c r="F1560" s="152">
        <v>330000000</v>
      </c>
      <c r="G1560" s="152" t="s">
        <v>1064</v>
      </c>
      <c r="H1560" s="152" t="s">
        <v>271</v>
      </c>
      <c r="I1560" s="1791" t="s">
        <v>36</v>
      </c>
      <c r="J1560" s="144">
        <v>1</v>
      </c>
    </row>
    <row r="1561" spans="1:11" hidden="1">
      <c r="A1561" s="541" t="s">
        <v>3</v>
      </c>
      <c r="B1561" s="2539" t="s">
        <v>1421</v>
      </c>
      <c r="C1561" s="152" t="s">
        <v>138</v>
      </c>
      <c r="D1561" s="1195" t="s">
        <v>1508</v>
      </c>
      <c r="E1561" s="152" t="s">
        <v>962</v>
      </c>
      <c r="F1561" s="152">
        <v>320000000</v>
      </c>
      <c r="G1561" s="152" t="s">
        <v>604</v>
      </c>
      <c r="H1561" s="152" t="s">
        <v>271</v>
      </c>
      <c r="I1561" s="1791" t="s">
        <v>36</v>
      </c>
      <c r="J1561" s="144">
        <v>1</v>
      </c>
    </row>
    <row r="1562" spans="1:11" hidden="1">
      <c r="A1562" s="583">
        <v>3</v>
      </c>
      <c r="B1562" s="2540" t="s">
        <v>1421</v>
      </c>
      <c r="C1562" s="154" t="s">
        <v>138</v>
      </c>
      <c r="D1562" s="1788" t="s">
        <v>1509</v>
      </c>
      <c r="E1562" s="154" t="s">
        <v>1105</v>
      </c>
      <c r="F1562" s="154">
        <v>265000000</v>
      </c>
      <c r="G1562" s="154" t="s">
        <v>1510</v>
      </c>
      <c r="H1562" s="154" t="s">
        <v>271</v>
      </c>
      <c r="I1562" s="1792" t="s">
        <v>36</v>
      </c>
      <c r="J1562" s="144">
        <v>1</v>
      </c>
    </row>
    <row r="1563" spans="1:11" hidden="1">
      <c r="A1563" s="1794">
        <v>4</v>
      </c>
      <c r="B1563" s="1537" t="s">
        <v>1511</v>
      </c>
      <c r="C1563" s="1794" t="s">
        <v>138</v>
      </c>
      <c r="D1563" s="1794" t="s">
        <v>1512</v>
      </c>
      <c r="E1563" s="1794" t="s">
        <v>904</v>
      </c>
      <c r="F1563" s="1794">
        <v>220000000</v>
      </c>
      <c r="G1563" s="1794" t="s">
        <v>1513</v>
      </c>
      <c r="H1563" s="1794" t="s">
        <v>271</v>
      </c>
      <c r="I1563" s="1795" t="s">
        <v>36</v>
      </c>
      <c r="J1563" s="144">
        <v>1</v>
      </c>
    </row>
    <row r="1564" spans="1:11" hidden="1">
      <c r="A1564" s="11"/>
      <c r="B1564" s="2549"/>
      <c r="C1564" s="1793"/>
      <c r="D1564" s="1793"/>
      <c r="E1564" s="1793"/>
      <c r="F1564" s="1793"/>
      <c r="G1564" s="1793"/>
      <c r="H1564" s="1793"/>
      <c r="I1564" s="1793"/>
      <c r="J1564" s="1796">
        <v>4</v>
      </c>
    </row>
    <row r="1565" spans="1:11" hidden="1"/>
    <row r="1566" spans="1:11" ht="23.45" hidden="1">
      <c r="A1566" s="2765" t="s">
        <v>1169</v>
      </c>
      <c r="B1566" s="2765"/>
      <c r="C1566" s="2765"/>
      <c r="D1566" s="2765"/>
      <c r="E1566" s="2765"/>
      <c r="F1566" s="2765"/>
      <c r="G1566" s="2765"/>
      <c r="H1566" s="2765"/>
      <c r="I1566" s="2765"/>
      <c r="J1566" s="2765"/>
    </row>
    <row r="1567" spans="1:11" ht="15.6" hidden="1">
      <c r="A1567" s="2737" t="s">
        <v>2</v>
      </c>
      <c r="B1567" s="2737"/>
      <c r="C1567" s="2737"/>
      <c r="D1567" s="2737"/>
      <c r="E1567" s="2737"/>
      <c r="F1567" s="2737"/>
      <c r="G1567" s="2737"/>
      <c r="H1567" s="2737"/>
      <c r="I1567" s="2737"/>
      <c r="J1567" s="2737"/>
    </row>
    <row r="1568" spans="1:11" hidden="1">
      <c r="A1568" s="137" t="s">
        <v>3</v>
      </c>
      <c r="B1568" s="1749" t="s">
        <v>4</v>
      </c>
      <c r="C1568" s="137" t="s">
        <v>5</v>
      </c>
      <c r="D1568" s="137" t="s">
        <v>6</v>
      </c>
      <c r="E1568" s="137" t="s">
        <v>7</v>
      </c>
      <c r="F1568" s="137" t="s">
        <v>8</v>
      </c>
      <c r="G1568" s="137" t="s">
        <v>9</v>
      </c>
      <c r="H1568" s="137" t="s">
        <v>10</v>
      </c>
      <c r="I1568" s="137" t="s">
        <v>11</v>
      </c>
      <c r="J1568" s="137" t="s">
        <v>12</v>
      </c>
    </row>
    <row r="1569" spans="1:11" hidden="1">
      <c r="A1569" s="137">
        <v>1</v>
      </c>
      <c r="B1569" s="1749" t="s">
        <v>1514</v>
      </c>
      <c r="C1569" s="137" t="s">
        <v>138</v>
      </c>
      <c r="D1569" s="1194" t="s">
        <v>1515</v>
      </c>
      <c r="E1569" s="137" t="s">
        <v>180</v>
      </c>
      <c r="F1569" s="137">
        <v>1100000</v>
      </c>
      <c r="G1569" s="137" t="s">
        <v>1516</v>
      </c>
      <c r="H1569" s="137" t="s">
        <v>271</v>
      </c>
      <c r="I1569" s="137" t="s">
        <v>36</v>
      </c>
      <c r="J1569" s="137">
        <v>1</v>
      </c>
      <c r="K1569" t="s">
        <v>1232</v>
      </c>
    </row>
    <row r="1570" spans="1:11" hidden="1">
      <c r="A1570" s="137">
        <v>2</v>
      </c>
      <c r="B1570" s="1749" t="s">
        <v>1514</v>
      </c>
      <c r="C1570" s="137" t="s">
        <v>138</v>
      </c>
      <c r="D1570" s="1194" t="s">
        <v>1517</v>
      </c>
      <c r="E1570" s="137" t="s">
        <v>148</v>
      </c>
      <c r="F1570" s="137">
        <v>2300000</v>
      </c>
      <c r="G1570" s="137" t="s">
        <v>1518</v>
      </c>
      <c r="H1570" s="137" t="s">
        <v>44</v>
      </c>
      <c r="I1570" s="137" t="s">
        <v>36</v>
      </c>
      <c r="J1570" s="137">
        <v>1</v>
      </c>
      <c r="K1570" t="s">
        <v>217</v>
      </c>
    </row>
    <row r="1571" spans="1:11" hidden="1">
      <c r="A1571" s="137">
        <v>3</v>
      </c>
      <c r="B1571" s="1749" t="s">
        <v>1514</v>
      </c>
      <c r="C1571" s="137" t="s">
        <v>138</v>
      </c>
      <c r="D1571" s="1194" t="s">
        <v>1519</v>
      </c>
      <c r="E1571" s="137" t="s">
        <v>962</v>
      </c>
      <c r="F1571" s="137">
        <v>1300000</v>
      </c>
      <c r="G1571" s="137" t="s">
        <v>1520</v>
      </c>
      <c r="H1571" s="137" t="s">
        <v>44</v>
      </c>
      <c r="I1571" s="137" t="s">
        <v>36</v>
      </c>
      <c r="J1571" s="137">
        <v>1</v>
      </c>
      <c r="K1571" t="s">
        <v>1232</v>
      </c>
    </row>
    <row r="1572" spans="1:11" hidden="1">
      <c r="A1572" s="137">
        <v>4</v>
      </c>
      <c r="B1572" s="1749" t="s">
        <v>1521</v>
      </c>
      <c r="C1572" s="137" t="s">
        <v>138</v>
      </c>
      <c r="D1572" s="1194" t="s">
        <v>1522</v>
      </c>
      <c r="E1572" s="137" t="s">
        <v>787</v>
      </c>
      <c r="F1572" s="137">
        <v>900000</v>
      </c>
      <c r="G1572" s="137" t="s">
        <v>1382</v>
      </c>
      <c r="H1572" s="137" t="s">
        <v>271</v>
      </c>
      <c r="I1572" s="137" t="s">
        <v>36</v>
      </c>
      <c r="J1572" s="137">
        <v>1</v>
      </c>
      <c r="K1572" t="s">
        <v>133</v>
      </c>
    </row>
    <row r="1573" spans="1:11" hidden="1">
      <c r="A1573" s="137">
        <v>5</v>
      </c>
      <c r="B1573" s="1749" t="s">
        <v>1478</v>
      </c>
      <c r="C1573" s="137" t="s">
        <v>138</v>
      </c>
      <c r="D1573" s="1194" t="s">
        <v>1523</v>
      </c>
      <c r="E1573" s="137" t="s">
        <v>78</v>
      </c>
      <c r="F1573" s="137">
        <v>1000000</v>
      </c>
      <c r="G1573" s="137" t="s">
        <v>43</v>
      </c>
      <c r="H1573" s="137" t="s">
        <v>271</v>
      </c>
      <c r="I1573" s="137" t="s">
        <v>36</v>
      </c>
      <c r="J1573" s="137">
        <v>1</v>
      </c>
      <c r="K1573" t="s">
        <v>133</v>
      </c>
    </row>
    <row r="1574" spans="1:11" hidden="1">
      <c r="A1574" s="137">
        <v>6</v>
      </c>
      <c r="B1574" s="1749" t="s">
        <v>1524</v>
      </c>
      <c r="C1574" s="137" t="s">
        <v>138</v>
      </c>
      <c r="D1574" s="1194" t="s">
        <v>1525</v>
      </c>
      <c r="E1574" s="137" t="s">
        <v>78</v>
      </c>
      <c r="F1574" s="137">
        <v>1300000</v>
      </c>
      <c r="G1574" s="137" t="s">
        <v>1175</v>
      </c>
      <c r="H1574" s="137" t="s">
        <v>271</v>
      </c>
      <c r="I1574" s="137" t="s">
        <v>36</v>
      </c>
      <c r="J1574" s="137">
        <v>1</v>
      </c>
      <c r="K1574" t="s">
        <v>1526</v>
      </c>
    </row>
    <row r="1575" spans="1:11" hidden="1">
      <c r="A1575" s="137">
        <v>7</v>
      </c>
      <c r="B1575" s="1749" t="s">
        <v>1527</v>
      </c>
      <c r="C1575" s="150" t="s">
        <v>138</v>
      </c>
      <c r="D1575" s="1195" t="s">
        <v>1528</v>
      </c>
      <c r="E1575" s="150" t="s">
        <v>784</v>
      </c>
      <c r="F1575" s="1196">
        <v>1000000</v>
      </c>
      <c r="G1575" s="150" t="s">
        <v>1529</v>
      </c>
      <c r="H1575" s="150" t="s">
        <v>271</v>
      </c>
      <c r="I1575" s="150" t="s">
        <v>36</v>
      </c>
      <c r="J1575" s="137">
        <v>1</v>
      </c>
      <c r="K1575" t="s">
        <v>1530</v>
      </c>
    </row>
    <row r="1576" spans="1:11" hidden="1">
      <c r="A1576" s="137">
        <v>8</v>
      </c>
      <c r="B1576" s="1749" t="s">
        <v>1531</v>
      </c>
      <c r="C1576" s="137" t="s">
        <v>138</v>
      </c>
      <c r="D1576" s="628" t="s">
        <v>1532</v>
      </c>
      <c r="E1576" s="137" t="s">
        <v>78</v>
      </c>
      <c r="F1576" s="137">
        <v>1050000</v>
      </c>
      <c r="G1576" s="137" t="s">
        <v>78</v>
      </c>
      <c r="H1576" s="137" t="s">
        <v>271</v>
      </c>
      <c r="I1576" s="137" t="s">
        <v>36</v>
      </c>
      <c r="J1576" s="137">
        <v>1</v>
      </c>
      <c r="K1576" t="s">
        <v>133</v>
      </c>
    </row>
    <row r="1577" spans="1:11" hidden="1">
      <c r="A1577" s="137">
        <v>9</v>
      </c>
      <c r="B1577" s="1749" t="s">
        <v>1447</v>
      </c>
      <c r="C1577" s="137" t="s">
        <v>138</v>
      </c>
      <c r="D1577" s="628" t="s">
        <v>1533</v>
      </c>
      <c r="E1577" s="137" t="s">
        <v>78</v>
      </c>
      <c r="F1577" s="137">
        <v>1100000</v>
      </c>
      <c r="G1577" s="137" t="s">
        <v>78</v>
      </c>
      <c r="H1577" s="137" t="s">
        <v>271</v>
      </c>
      <c r="I1577" s="137" t="s">
        <v>36</v>
      </c>
      <c r="J1577" s="137">
        <v>1</v>
      </c>
      <c r="K1577" t="s">
        <v>1455</v>
      </c>
    </row>
    <row r="1578" spans="1:11" hidden="1">
      <c r="A1578" s="137">
        <v>10</v>
      </c>
      <c r="B1578" s="1749" t="s">
        <v>1447</v>
      </c>
      <c r="C1578" s="137" t="s">
        <v>138</v>
      </c>
      <c r="D1578" s="628" t="s">
        <v>719</v>
      </c>
      <c r="E1578" s="137" t="s">
        <v>1452</v>
      </c>
      <c r="F1578" s="137">
        <v>900000</v>
      </c>
      <c r="G1578" s="137" t="s">
        <v>43</v>
      </c>
      <c r="H1578" s="137" t="s">
        <v>271</v>
      </c>
      <c r="I1578" s="137" t="s">
        <v>36</v>
      </c>
      <c r="J1578" s="137">
        <v>1</v>
      </c>
      <c r="K1578" t="s">
        <v>1232</v>
      </c>
    </row>
    <row r="1579" spans="1:11" hidden="1">
      <c r="A1579" s="137">
        <v>11</v>
      </c>
      <c r="B1579" s="1749" t="s">
        <v>1447</v>
      </c>
      <c r="C1579" s="137" t="s">
        <v>138</v>
      </c>
      <c r="D1579" s="628" t="s">
        <v>1534</v>
      </c>
      <c r="E1579" s="137" t="s">
        <v>1535</v>
      </c>
      <c r="F1579" s="137">
        <v>895000</v>
      </c>
      <c r="G1579" s="137" t="s">
        <v>43</v>
      </c>
      <c r="H1579" s="137" t="s">
        <v>271</v>
      </c>
      <c r="I1579" s="137" t="s">
        <v>36</v>
      </c>
      <c r="J1579" s="137">
        <v>1</v>
      </c>
      <c r="K1579" t="s">
        <v>217</v>
      </c>
    </row>
    <row r="1580" spans="1:11" hidden="1">
      <c r="A1580" s="137">
        <v>12</v>
      </c>
      <c r="B1580" s="1749" t="s">
        <v>1447</v>
      </c>
      <c r="C1580" s="137" t="s">
        <v>138</v>
      </c>
      <c r="D1580" s="628" t="s">
        <v>1536</v>
      </c>
      <c r="E1580" s="137" t="s">
        <v>822</v>
      </c>
      <c r="F1580" s="137">
        <v>500000</v>
      </c>
      <c r="G1580" s="137" t="s">
        <v>43</v>
      </c>
      <c r="H1580" s="137" t="s">
        <v>271</v>
      </c>
      <c r="I1580" s="137" t="s">
        <v>36</v>
      </c>
      <c r="J1580" s="137">
        <v>1</v>
      </c>
      <c r="K1580" t="s">
        <v>1455</v>
      </c>
    </row>
    <row r="1581" spans="1:11" hidden="1">
      <c r="A1581" s="137">
        <v>13</v>
      </c>
      <c r="B1581" s="1749" t="s">
        <v>1449</v>
      </c>
      <c r="C1581" s="137" t="s">
        <v>662</v>
      </c>
      <c r="D1581" s="628" t="s">
        <v>1537</v>
      </c>
      <c r="E1581" s="137" t="s">
        <v>148</v>
      </c>
      <c r="F1581" s="137">
        <v>7000000</v>
      </c>
      <c r="G1581" s="137" t="s">
        <v>43</v>
      </c>
      <c r="H1581" s="137" t="s">
        <v>1468</v>
      </c>
      <c r="I1581" s="137" t="s">
        <v>36</v>
      </c>
      <c r="J1581" s="137">
        <v>1</v>
      </c>
      <c r="K1581" t="s">
        <v>1455</v>
      </c>
    </row>
    <row r="1582" spans="1:11" hidden="1">
      <c r="A1582" s="137">
        <v>14</v>
      </c>
      <c r="B1582" s="1749" t="s">
        <v>1449</v>
      </c>
      <c r="C1582" s="137" t="s">
        <v>138</v>
      </c>
      <c r="D1582" s="628" t="s">
        <v>1538</v>
      </c>
      <c r="E1582" s="137" t="s">
        <v>1539</v>
      </c>
      <c r="F1582" s="137">
        <v>800000</v>
      </c>
      <c r="G1582" s="137" t="s">
        <v>43</v>
      </c>
      <c r="H1582" s="137" t="s">
        <v>271</v>
      </c>
      <c r="I1582" s="137" t="s">
        <v>36</v>
      </c>
      <c r="J1582" s="137">
        <v>1</v>
      </c>
      <c r="K1582" t="s">
        <v>1232</v>
      </c>
    </row>
    <row r="1583" spans="1:11" hidden="1">
      <c r="A1583" s="1749">
        <v>15</v>
      </c>
      <c r="B1583" s="2538" t="s">
        <v>1449</v>
      </c>
      <c r="C1583" s="150" t="s">
        <v>138</v>
      </c>
      <c r="D1583" s="627" t="s">
        <v>1540</v>
      </c>
      <c r="E1583" s="150" t="s">
        <v>1452</v>
      </c>
      <c r="F1583" s="1196">
        <v>800000</v>
      </c>
      <c r="G1583" s="150" t="s">
        <v>43</v>
      </c>
      <c r="H1583" s="150" t="s">
        <v>271</v>
      </c>
      <c r="I1583" s="150" t="s">
        <v>36</v>
      </c>
      <c r="J1583" s="137">
        <v>1</v>
      </c>
      <c r="K1583" t="s">
        <v>1455</v>
      </c>
    </row>
    <row r="1584" spans="1:11" hidden="1">
      <c r="A1584" s="1749">
        <v>16</v>
      </c>
      <c r="B1584" s="2538" t="s">
        <v>1449</v>
      </c>
      <c r="C1584" s="150" t="s">
        <v>1541</v>
      </c>
      <c r="D1584" s="627" t="s">
        <v>1542</v>
      </c>
      <c r="E1584" s="150" t="s">
        <v>78</v>
      </c>
      <c r="F1584" s="1196">
        <v>850000</v>
      </c>
      <c r="G1584" s="150" t="s">
        <v>43</v>
      </c>
      <c r="H1584" s="150" t="s">
        <v>271</v>
      </c>
      <c r="I1584" s="150" t="s">
        <v>36</v>
      </c>
      <c r="J1584" s="137">
        <v>1</v>
      </c>
      <c r="K1584" t="s">
        <v>1232</v>
      </c>
    </row>
    <row r="1585" spans="1:11" hidden="1">
      <c r="A1585" s="1749">
        <v>17</v>
      </c>
      <c r="B1585" s="2538" t="s">
        <v>1449</v>
      </c>
      <c r="C1585" s="150" t="s">
        <v>138</v>
      </c>
      <c r="D1585" s="627" t="s">
        <v>1195</v>
      </c>
      <c r="E1585" s="150" t="s">
        <v>78</v>
      </c>
      <c r="F1585" s="1196">
        <v>1000000</v>
      </c>
      <c r="G1585" s="150" t="s">
        <v>1175</v>
      </c>
      <c r="H1585" s="150" t="s">
        <v>271</v>
      </c>
      <c r="I1585" s="150" t="s">
        <v>36</v>
      </c>
      <c r="J1585" s="137">
        <v>1</v>
      </c>
      <c r="K1585" t="s">
        <v>133</v>
      </c>
    </row>
    <row r="1586" spans="1:11" hidden="1">
      <c r="A1586" s="1749">
        <v>18</v>
      </c>
      <c r="B1586" s="2538" t="s">
        <v>1456</v>
      </c>
      <c r="C1586" s="150" t="s">
        <v>138</v>
      </c>
      <c r="D1586" s="627" t="s">
        <v>1543</v>
      </c>
      <c r="E1586" s="150" t="s">
        <v>148</v>
      </c>
      <c r="F1586" s="1196">
        <v>950000</v>
      </c>
      <c r="G1586" s="150" t="s">
        <v>43</v>
      </c>
      <c r="H1586" s="150" t="s">
        <v>271</v>
      </c>
      <c r="I1586" s="150" t="s">
        <v>36</v>
      </c>
      <c r="J1586" s="137">
        <v>1</v>
      </c>
      <c r="K1586" t="s">
        <v>1232</v>
      </c>
    </row>
    <row r="1587" spans="1:11" hidden="1">
      <c r="A1587" s="1749">
        <v>19</v>
      </c>
      <c r="B1587" s="1749" t="s">
        <v>1457</v>
      </c>
      <c r="C1587" s="150" t="s">
        <v>138</v>
      </c>
      <c r="D1587" s="627" t="s">
        <v>1544</v>
      </c>
      <c r="E1587" s="150" t="s">
        <v>78</v>
      </c>
      <c r="F1587" s="1196">
        <v>1300000</v>
      </c>
      <c r="G1587" s="150" t="s">
        <v>1175</v>
      </c>
      <c r="H1587" s="150" t="s">
        <v>271</v>
      </c>
      <c r="I1587" s="150" t="s">
        <v>36</v>
      </c>
      <c r="J1587" s="137">
        <v>1</v>
      </c>
      <c r="K1587" t="s">
        <v>1455</v>
      </c>
    </row>
    <row r="1588" spans="1:11" hidden="1">
      <c r="A1588" s="1749">
        <v>20</v>
      </c>
      <c r="B1588" s="1749" t="s">
        <v>1457</v>
      </c>
      <c r="C1588" s="150" t="s">
        <v>138</v>
      </c>
      <c r="D1588" s="627" t="s">
        <v>1545</v>
      </c>
      <c r="E1588" s="150" t="s">
        <v>787</v>
      </c>
      <c r="F1588" s="1196">
        <v>850000</v>
      </c>
      <c r="G1588" s="150" t="s">
        <v>703</v>
      </c>
      <c r="H1588" s="150" t="s">
        <v>271</v>
      </c>
      <c r="I1588" s="150" t="s">
        <v>36</v>
      </c>
      <c r="J1588" s="137">
        <v>1</v>
      </c>
      <c r="K1588" t="s">
        <v>1455</v>
      </c>
    </row>
    <row r="1589" spans="1:11" hidden="1">
      <c r="A1589" s="1749"/>
      <c r="B1589" s="1749"/>
      <c r="C1589" s="150"/>
      <c r="D1589" s="627"/>
      <c r="E1589" s="150"/>
      <c r="F1589" s="1196"/>
      <c r="G1589" s="150"/>
      <c r="H1589" s="150"/>
      <c r="I1589" s="150"/>
      <c r="J1589" s="137"/>
    </row>
    <row r="1590" spans="1:11" ht="24.6" hidden="1">
      <c r="A1590" s="1749"/>
      <c r="B1590" s="1749"/>
      <c r="C1590" s="150"/>
      <c r="D1590" s="627"/>
      <c r="E1590" s="150"/>
      <c r="F1590" s="151"/>
      <c r="G1590" s="150"/>
      <c r="H1590" s="150"/>
      <c r="I1590" s="150"/>
      <c r="J1590" s="905">
        <f>SUM(J1569:J1589)</f>
        <v>20</v>
      </c>
    </row>
    <row r="1591" spans="1:11" ht="24.6" hidden="1">
      <c r="A1591" s="2734" t="s">
        <v>33</v>
      </c>
      <c r="B1591" s="2734"/>
      <c r="C1591" s="2734"/>
      <c r="D1591" s="2734"/>
      <c r="E1591" s="2734"/>
      <c r="F1591" s="2734"/>
      <c r="G1591" s="2734"/>
      <c r="H1591" s="2734"/>
      <c r="I1591" s="2734"/>
      <c r="J1591" s="2734"/>
    </row>
    <row r="1592" spans="1:11" hidden="1">
      <c r="A1592" s="137" t="s">
        <v>3</v>
      </c>
      <c r="B1592" s="1749" t="s">
        <v>4</v>
      </c>
      <c r="C1592" s="137" t="s">
        <v>5</v>
      </c>
      <c r="D1592" s="137" t="s">
        <v>6</v>
      </c>
      <c r="E1592" s="137" t="s">
        <v>7</v>
      </c>
      <c r="F1592" s="137" t="s">
        <v>8</v>
      </c>
      <c r="G1592" s="137" t="s">
        <v>9</v>
      </c>
      <c r="H1592" s="137" t="s">
        <v>10</v>
      </c>
      <c r="I1592" s="137" t="s">
        <v>11</v>
      </c>
      <c r="J1592" s="137" t="s">
        <v>12</v>
      </c>
    </row>
    <row r="1593" spans="1:11" hidden="1">
      <c r="A1593" s="541">
        <v>1</v>
      </c>
      <c r="B1593" s="2539" t="s">
        <v>1546</v>
      </c>
      <c r="C1593" s="152" t="s">
        <v>138</v>
      </c>
      <c r="D1593" s="1195" t="s">
        <v>1533</v>
      </c>
      <c r="E1593" s="152" t="s">
        <v>78</v>
      </c>
      <c r="F1593" s="152">
        <v>230000000</v>
      </c>
      <c r="G1593" s="152" t="s">
        <v>1175</v>
      </c>
      <c r="H1593" s="152" t="s">
        <v>271</v>
      </c>
      <c r="I1593" s="152" t="s">
        <v>36</v>
      </c>
      <c r="J1593" s="200">
        <v>1</v>
      </c>
    </row>
    <row r="1594" spans="1:11" hidden="1">
      <c r="A1594" s="541" t="s">
        <v>3</v>
      </c>
      <c r="B1594" s="2539" t="s">
        <v>1447</v>
      </c>
      <c r="C1594" s="152" t="s">
        <v>138</v>
      </c>
      <c r="D1594" s="1195" t="s">
        <v>1547</v>
      </c>
      <c r="E1594" s="152" t="s">
        <v>822</v>
      </c>
      <c r="F1594" s="152">
        <v>220000000</v>
      </c>
      <c r="G1594" s="152" t="s">
        <v>43</v>
      </c>
      <c r="H1594" s="152" t="s">
        <v>271</v>
      </c>
      <c r="I1594" s="152" t="s">
        <v>36</v>
      </c>
      <c r="J1594" s="200">
        <v>1</v>
      </c>
    </row>
    <row r="1595" spans="1:11" hidden="1">
      <c r="A1595" s="583">
        <v>3</v>
      </c>
      <c r="B1595" s="2540" t="s">
        <v>1449</v>
      </c>
      <c r="C1595" s="154" t="s">
        <v>138</v>
      </c>
      <c r="D1595" s="1788" t="s">
        <v>1540</v>
      </c>
      <c r="E1595" s="154" t="s">
        <v>1548</v>
      </c>
      <c r="F1595" s="154">
        <v>148000000</v>
      </c>
      <c r="G1595" s="154" t="s">
        <v>43</v>
      </c>
      <c r="H1595" s="154" t="s">
        <v>271</v>
      </c>
      <c r="I1595" s="154" t="s">
        <v>36</v>
      </c>
      <c r="J1595" s="584">
        <v>1</v>
      </c>
    </row>
    <row r="1596" spans="1:11" ht="24.6" hidden="1">
      <c r="A1596" s="144"/>
      <c r="B1596" s="581"/>
      <c r="C1596" s="144"/>
      <c r="D1596" s="144"/>
      <c r="E1596" s="144"/>
      <c r="F1596" s="144"/>
      <c r="G1596" s="144"/>
      <c r="H1596" s="144"/>
      <c r="I1596" s="144"/>
      <c r="J1596" s="908">
        <f>J1593+J1594+J1595</f>
        <v>3</v>
      </c>
    </row>
    <row r="1597" spans="1:11" hidden="1"/>
    <row r="1598" spans="1:11" hidden="1"/>
    <row r="1599" spans="1:11" ht="23.45" hidden="1">
      <c r="A1599" s="2765" t="s">
        <v>748</v>
      </c>
      <c r="B1599" s="2765"/>
      <c r="C1599" s="2765"/>
      <c r="D1599" s="2765"/>
      <c r="E1599" s="2765"/>
      <c r="F1599" s="2765"/>
      <c r="G1599" s="2765"/>
      <c r="H1599" s="2765"/>
      <c r="I1599" s="2765"/>
      <c r="J1599" s="2765"/>
    </row>
    <row r="1600" spans="1:11" ht="15.6" hidden="1">
      <c r="A1600" s="2737" t="s">
        <v>2</v>
      </c>
      <c r="B1600" s="2737"/>
      <c r="C1600" s="2737"/>
      <c r="D1600" s="2737"/>
      <c r="E1600" s="2737"/>
      <c r="F1600" s="2737"/>
      <c r="G1600" s="2737"/>
      <c r="H1600" s="2737"/>
      <c r="I1600" s="2737"/>
      <c r="J1600" s="2737"/>
    </row>
    <row r="1601" spans="1:11" hidden="1">
      <c r="A1601" s="137" t="s">
        <v>3</v>
      </c>
      <c r="B1601" s="1749" t="s">
        <v>4</v>
      </c>
      <c r="C1601" s="137" t="s">
        <v>5</v>
      </c>
      <c r="D1601" s="137" t="s">
        <v>6</v>
      </c>
      <c r="E1601" s="137" t="s">
        <v>7</v>
      </c>
      <c r="F1601" s="137" t="s">
        <v>8</v>
      </c>
      <c r="G1601" s="137" t="s">
        <v>9</v>
      </c>
      <c r="H1601" s="137" t="s">
        <v>10</v>
      </c>
      <c r="I1601" s="137" t="s">
        <v>11</v>
      </c>
      <c r="J1601" s="137" t="s">
        <v>12</v>
      </c>
    </row>
    <row r="1602" spans="1:11" hidden="1">
      <c r="A1602" s="137">
        <v>1</v>
      </c>
      <c r="B1602" s="1749" t="s">
        <v>1549</v>
      </c>
      <c r="C1602" s="137" t="s">
        <v>138</v>
      </c>
      <c r="D1602" s="1194" t="s">
        <v>1550</v>
      </c>
      <c r="E1602" s="137" t="s">
        <v>822</v>
      </c>
      <c r="F1602" s="137">
        <v>1100000</v>
      </c>
      <c r="G1602" s="137" t="s">
        <v>598</v>
      </c>
      <c r="H1602" s="137" t="s">
        <v>271</v>
      </c>
      <c r="I1602" s="137" t="s">
        <v>36</v>
      </c>
      <c r="J1602" s="137">
        <v>1</v>
      </c>
      <c r="K1602" t="s">
        <v>133</v>
      </c>
    </row>
    <row r="1603" spans="1:11" hidden="1">
      <c r="A1603" s="137">
        <v>2</v>
      </c>
      <c r="B1603" s="1749" t="s">
        <v>1549</v>
      </c>
      <c r="C1603" s="137" t="s">
        <v>138</v>
      </c>
      <c r="D1603" s="1194" t="s">
        <v>1551</v>
      </c>
      <c r="E1603" s="137" t="s">
        <v>1552</v>
      </c>
      <c r="F1603" s="137">
        <v>1200000</v>
      </c>
      <c r="G1603" s="137" t="s">
        <v>1553</v>
      </c>
      <c r="H1603" s="137" t="s">
        <v>271</v>
      </c>
      <c r="I1603" s="137" t="s">
        <v>36</v>
      </c>
      <c r="J1603" s="137">
        <v>1</v>
      </c>
      <c r="K1603" t="s">
        <v>1232</v>
      </c>
    </row>
    <row r="1604" spans="1:11" hidden="1">
      <c r="A1604" s="137">
        <v>3</v>
      </c>
      <c r="B1604" s="1749" t="s">
        <v>1524</v>
      </c>
      <c r="C1604" s="137" t="s">
        <v>138</v>
      </c>
      <c r="D1604" s="1194" t="s">
        <v>1554</v>
      </c>
      <c r="E1604" s="137" t="s">
        <v>180</v>
      </c>
      <c r="F1604" s="137">
        <v>13000000</v>
      </c>
      <c r="G1604" s="137" t="s">
        <v>1064</v>
      </c>
      <c r="H1604" s="137" t="s">
        <v>271</v>
      </c>
      <c r="I1604" s="137" t="s">
        <v>36</v>
      </c>
      <c r="J1604" s="137">
        <v>1</v>
      </c>
      <c r="K1604" t="s">
        <v>1555</v>
      </c>
    </row>
    <row r="1605" spans="1:11" hidden="1">
      <c r="A1605" s="137">
        <v>4</v>
      </c>
      <c r="B1605" s="1749" t="s">
        <v>1524</v>
      </c>
      <c r="C1605" s="137" t="s">
        <v>138</v>
      </c>
      <c r="D1605" s="1194" t="s">
        <v>1556</v>
      </c>
      <c r="E1605" s="137" t="s">
        <v>180</v>
      </c>
      <c r="F1605" s="137">
        <v>1300000</v>
      </c>
      <c r="G1605" s="137" t="s">
        <v>1064</v>
      </c>
      <c r="H1605" s="137" t="s">
        <v>271</v>
      </c>
      <c r="I1605" s="137" t="s">
        <v>36</v>
      </c>
      <c r="J1605" s="137">
        <v>1</v>
      </c>
      <c r="K1605" t="s">
        <v>1557</v>
      </c>
    </row>
    <row r="1606" spans="1:11" hidden="1">
      <c r="A1606" s="137">
        <v>5</v>
      </c>
      <c r="B1606" s="1749" t="s">
        <v>1486</v>
      </c>
      <c r="C1606" s="137" t="s">
        <v>138</v>
      </c>
      <c r="D1606" s="1194" t="s">
        <v>1558</v>
      </c>
      <c r="E1606" s="137" t="s">
        <v>1105</v>
      </c>
      <c r="F1606" s="137">
        <v>1200000</v>
      </c>
      <c r="G1606" s="137" t="s">
        <v>1109</v>
      </c>
      <c r="H1606" s="137" t="s">
        <v>271</v>
      </c>
      <c r="I1606" s="137" t="s">
        <v>36</v>
      </c>
      <c r="J1606" s="137">
        <v>1</v>
      </c>
      <c r="K1606" t="s">
        <v>1434</v>
      </c>
    </row>
    <row r="1607" spans="1:11" hidden="1">
      <c r="A1607" s="137">
        <v>6</v>
      </c>
      <c r="B1607" s="1749" t="s">
        <v>1496</v>
      </c>
      <c r="C1607" s="137" t="s">
        <v>138</v>
      </c>
      <c r="D1607" s="1194" t="s">
        <v>189</v>
      </c>
      <c r="E1607" s="137" t="s">
        <v>1105</v>
      </c>
      <c r="F1607" s="137">
        <v>1200000</v>
      </c>
      <c r="G1607" s="137" t="s">
        <v>1559</v>
      </c>
      <c r="H1607" s="137" t="s">
        <v>271</v>
      </c>
      <c r="I1607" s="137" t="s">
        <v>36</v>
      </c>
      <c r="J1607" s="137">
        <v>1</v>
      </c>
      <c r="K1607" t="s">
        <v>1530</v>
      </c>
    </row>
    <row r="1608" spans="1:11" hidden="1">
      <c r="A1608" s="137">
        <v>7</v>
      </c>
      <c r="B1608" s="1749" t="s">
        <v>1496</v>
      </c>
      <c r="C1608" s="150" t="s">
        <v>138</v>
      </c>
      <c r="D1608" s="1195" t="s">
        <v>1560</v>
      </c>
      <c r="E1608" s="150" t="s">
        <v>822</v>
      </c>
      <c r="F1608" s="1196">
        <v>1115000</v>
      </c>
      <c r="G1608" s="150" t="s">
        <v>1561</v>
      </c>
      <c r="H1608" s="150" t="s">
        <v>271</v>
      </c>
      <c r="I1608" s="150" t="s">
        <v>36</v>
      </c>
      <c r="J1608" s="137">
        <v>1</v>
      </c>
      <c r="K1608" t="s">
        <v>1455</v>
      </c>
    </row>
    <row r="1609" spans="1:11" hidden="1">
      <c r="A1609" s="137">
        <v>8</v>
      </c>
      <c r="B1609" s="1749" t="s">
        <v>1562</v>
      </c>
      <c r="C1609" s="137" t="s">
        <v>138</v>
      </c>
      <c r="D1609" s="628" t="s">
        <v>1563</v>
      </c>
      <c r="E1609" s="137" t="s">
        <v>1564</v>
      </c>
      <c r="F1609" s="137">
        <v>530000</v>
      </c>
      <c r="G1609" s="137" t="s">
        <v>1561</v>
      </c>
      <c r="H1609" s="137" t="s">
        <v>271</v>
      </c>
      <c r="I1609" s="137" t="s">
        <v>36</v>
      </c>
      <c r="J1609" s="137">
        <v>1</v>
      </c>
      <c r="K1609" t="s">
        <v>133</v>
      </c>
    </row>
    <row r="1610" spans="1:11" hidden="1">
      <c r="A1610" s="137">
        <v>9</v>
      </c>
      <c r="B1610" s="1749" t="s">
        <v>1562</v>
      </c>
      <c r="C1610" s="137" t="s">
        <v>1565</v>
      </c>
      <c r="D1610" s="628" t="s">
        <v>1566</v>
      </c>
      <c r="E1610" s="137" t="s">
        <v>1234</v>
      </c>
      <c r="F1610" s="137">
        <v>1000000</v>
      </c>
      <c r="G1610" s="137" t="s">
        <v>951</v>
      </c>
      <c r="H1610" s="137" t="s">
        <v>271</v>
      </c>
      <c r="I1610" s="137" t="s">
        <v>36</v>
      </c>
      <c r="J1610" s="137">
        <v>1</v>
      </c>
      <c r="K1610" t="s">
        <v>1455</v>
      </c>
    </row>
    <row r="1611" spans="1:11" hidden="1">
      <c r="A1611" s="137">
        <v>10</v>
      </c>
      <c r="B1611" s="1749" t="s">
        <v>1502</v>
      </c>
      <c r="C1611" s="137" t="s">
        <v>138</v>
      </c>
      <c r="D1611" s="628" t="s">
        <v>1567</v>
      </c>
      <c r="E1611" s="137" t="s">
        <v>869</v>
      </c>
      <c r="F1611" s="137">
        <v>1100000</v>
      </c>
      <c r="G1611" s="137" t="s">
        <v>1095</v>
      </c>
      <c r="H1611" s="137" t="s">
        <v>271</v>
      </c>
      <c r="I1611" s="137" t="s">
        <v>36</v>
      </c>
      <c r="J1611" s="137">
        <v>1</v>
      </c>
      <c r="K1611" t="s">
        <v>1232</v>
      </c>
    </row>
    <row r="1612" spans="1:11" hidden="1">
      <c r="A1612" s="137">
        <v>11</v>
      </c>
      <c r="B1612" s="1749" t="s">
        <v>1447</v>
      </c>
      <c r="C1612" s="137" t="s">
        <v>138</v>
      </c>
      <c r="D1612" s="628" t="s">
        <v>1568</v>
      </c>
      <c r="E1612" s="137" t="s">
        <v>1234</v>
      </c>
      <c r="F1612" s="137">
        <v>850000</v>
      </c>
      <c r="G1612" s="137" t="s">
        <v>951</v>
      </c>
      <c r="H1612" s="137" t="s">
        <v>271</v>
      </c>
      <c r="I1612" s="137" t="s">
        <v>36</v>
      </c>
      <c r="J1612" s="137">
        <v>1</v>
      </c>
      <c r="K1612" t="s">
        <v>1232</v>
      </c>
    </row>
    <row r="1613" spans="1:11" hidden="1">
      <c r="A1613" s="137">
        <v>12</v>
      </c>
      <c r="B1613" s="1749" t="s">
        <v>1569</v>
      </c>
      <c r="C1613" s="137" t="s">
        <v>37</v>
      </c>
      <c r="D1613" s="628" t="s">
        <v>1570</v>
      </c>
      <c r="E1613" s="137" t="s">
        <v>805</v>
      </c>
      <c r="F1613" s="137">
        <v>1200000</v>
      </c>
      <c r="G1613" s="137" t="s">
        <v>231</v>
      </c>
      <c r="H1613" s="137" t="s">
        <v>271</v>
      </c>
      <c r="I1613" s="137" t="s">
        <v>36</v>
      </c>
      <c r="J1613" s="137">
        <v>1</v>
      </c>
      <c r="K1613" t="s">
        <v>1455</v>
      </c>
    </row>
    <row r="1614" spans="1:11" hidden="1">
      <c r="A1614" s="137">
        <v>13</v>
      </c>
      <c r="B1614" s="1749" t="s">
        <v>1546</v>
      </c>
      <c r="C1614" s="137" t="s">
        <v>138</v>
      </c>
      <c r="D1614" s="628" t="s">
        <v>1571</v>
      </c>
      <c r="E1614" s="137" t="s">
        <v>805</v>
      </c>
      <c r="F1614" s="137">
        <v>1100000</v>
      </c>
      <c r="G1614" s="137" t="s">
        <v>481</v>
      </c>
      <c r="H1614" s="137" t="s">
        <v>271</v>
      </c>
      <c r="I1614" s="137" t="s">
        <v>36</v>
      </c>
      <c r="J1614" s="137">
        <v>1</v>
      </c>
      <c r="K1614" t="s">
        <v>1232</v>
      </c>
    </row>
    <row r="1615" spans="1:11" hidden="1">
      <c r="A1615" s="137">
        <v>14</v>
      </c>
      <c r="B1615" s="1749" t="s">
        <v>1449</v>
      </c>
      <c r="C1615" s="137" t="s">
        <v>662</v>
      </c>
      <c r="D1615" s="628" t="s">
        <v>1572</v>
      </c>
      <c r="E1615" s="137" t="s">
        <v>78</v>
      </c>
      <c r="F1615" s="137">
        <v>1100000</v>
      </c>
      <c r="G1615" s="137" t="s">
        <v>43</v>
      </c>
      <c r="H1615" s="137" t="s">
        <v>271</v>
      </c>
      <c r="I1615" s="137" t="s">
        <v>36</v>
      </c>
      <c r="J1615" s="137">
        <v>1</v>
      </c>
      <c r="K1615" t="s">
        <v>133</v>
      </c>
    </row>
    <row r="1616" spans="1:11" hidden="1">
      <c r="A1616" s="1749">
        <v>15</v>
      </c>
      <c r="B1616" s="2538" t="s">
        <v>1449</v>
      </c>
      <c r="C1616" s="150" t="s">
        <v>131</v>
      </c>
      <c r="D1616" s="627" t="s">
        <v>1573</v>
      </c>
      <c r="E1616" s="150" t="s">
        <v>1574</v>
      </c>
      <c r="F1616" s="1196">
        <v>4500000</v>
      </c>
      <c r="G1616" s="150" t="s">
        <v>1313</v>
      </c>
      <c r="H1616" s="150" t="s">
        <v>271</v>
      </c>
      <c r="I1616" s="150" t="s">
        <v>36</v>
      </c>
      <c r="J1616" s="137">
        <v>1</v>
      </c>
      <c r="K1616" t="s">
        <v>1455</v>
      </c>
    </row>
    <row r="1617" spans="1:11" hidden="1">
      <c r="A1617" s="1749">
        <v>16</v>
      </c>
      <c r="B1617" s="2538" t="s">
        <v>1449</v>
      </c>
      <c r="C1617" s="150" t="s">
        <v>138</v>
      </c>
      <c r="D1617" s="627" t="s">
        <v>1575</v>
      </c>
      <c r="E1617" s="150" t="s">
        <v>805</v>
      </c>
      <c r="F1617" s="1196">
        <v>1100000</v>
      </c>
      <c r="G1617" s="150" t="s">
        <v>231</v>
      </c>
      <c r="H1617" s="150" t="s">
        <v>271</v>
      </c>
      <c r="I1617" s="150" t="s">
        <v>36</v>
      </c>
      <c r="J1617" s="137">
        <v>1</v>
      </c>
      <c r="K1617" t="s">
        <v>1232</v>
      </c>
    </row>
    <row r="1618" spans="1:11" hidden="1">
      <c r="A1618" s="1749">
        <v>17</v>
      </c>
      <c r="B1618" s="2538" t="s">
        <v>1457</v>
      </c>
      <c r="C1618" s="150" t="s">
        <v>138</v>
      </c>
      <c r="D1618" s="627" t="s">
        <v>1576</v>
      </c>
      <c r="E1618" s="150" t="s">
        <v>962</v>
      </c>
      <c r="F1618" s="1196">
        <v>1250000</v>
      </c>
      <c r="G1618" s="150" t="s">
        <v>481</v>
      </c>
      <c r="H1618" s="150" t="s">
        <v>271</v>
      </c>
      <c r="I1618" s="150" t="s">
        <v>36</v>
      </c>
      <c r="J1618" s="137">
        <v>1</v>
      </c>
      <c r="K1618" t="s">
        <v>1232</v>
      </c>
    </row>
    <row r="1619" spans="1:11" hidden="1">
      <c r="A1619" s="1749">
        <v>18</v>
      </c>
      <c r="B1619" s="2538" t="s">
        <v>1457</v>
      </c>
      <c r="C1619" s="150" t="s">
        <v>138</v>
      </c>
      <c r="D1619" s="627" t="s">
        <v>1577</v>
      </c>
      <c r="E1619" s="150" t="s">
        <v>942</v>
      </c>
      <c r="F1619" s="1196">
        <v>550000</v>
      </c>
      <c r="G1619" s="150" t="s">
        <v>43</v>
      </c>
      <c r="H1619" s="150" t="s">
        <v>271</v>
      </c>
      <c r="I1619" s="150" t="s">
        <v>36</v>
      </c>
      <c r="J1619" s="137">
        <v>1</v>
      </c>
      <c r="K1619" t="s">
        <v>133</v>
      </c>
    </row>
    <row r="1620" spans="1:11" hidden="1">
      <c r="A1620" s="1749">
        <v>19</v>
      </c>
      <c r="B1620" s="1749" t="s">
        <v>1457</v>
      </c>
      <c r="C1620" s="150" t="s">
        <v>138</v>
      </c>
      <c r="D1620" s="627" t="s">
        <v>1578</v>
      </c>
      <c r="E1620" s="150" t="s">
        <v>78</v>
      </c>
      <c r="F1620" s="1196">
        <v>1300000</v>
      </c>
      <c r="G1620" s="150" t="s">
        <v>1579</v>
      </c>
      <c r="H1620" s="150" t="s">
        <v>271</v>
      </c>
      <c r="I1620" s="150" t="s">
        <v>36</v>
      </c>
      <c r="J1620" s="137">
        <v>1</v>
      </c>
      <c r="K1620" t="s">
        <v>1455</v>
      </c>
    </row>
    <row r="1621" spans="1:11" hidden="1">
      <c r="A1621" s="1749">
        <v>20</v>
      </c>
      <c r="B1621" s="1749" t="s">
        <v>1457</v>
      </c>
      <c r="C1621" s="150" t="s">
        <v>138</v>
      </c>
      <c r="D1621" s="627" t="s">
        <v>1580</v>
      </c>
      <c r="E1621" s="150" t="s">
        <v>39</v>
      </c>
      <c r="F1621" s="1196">
        <v>13000000</v>
      </c>
      <c r="G1621" s="150" t="s">
        <v>1090</v>
      </c>
      <c r="H1621" s="150" t="s">
        <v>271</v>
      </c>
      <c r="I1621" s="150" t="s">
        <v>36</v>
      </c>
      <c r="J1621" s="137">
        <v>1</v>
      </c>
      <c r="K1621" t="s">
        <v>1232</v>
      </c>
    </row>
    <row r="1622" spans="1:11" hidden="1">
      <c r="A1622" s="1749"/>
      <c r="B1622" s="1749"/>
      <c r="C1622" s="150"/>
      <c r="D1622" s="627"/>
      <c r="E1622" s="150"/>
      <c r="F1622" s="1196"/>
      <c r="G1622" s="150"/>
      <c r="H1622" s="150"/>
      <c r="I1622" s="150"/>
      <c r="J1622" s="137"/>
    </row>
    <row r="1623" spans="1:11" ht="24.6" hidden="1">
      <c r="A1623" s="1749"/>
      <c r="B1623" s="1749"/>
      <c r="C1623" s="150"/>
      <c r="D1623" s="627"/>
      <c r="E1623" s="150"/>
      <c r="F1623" s="151"/>
      <c r="G1623" s="150"/>
      <c r="H1623" s="150"/>
      <c r="I1623" s="150"/>
      <c r="J1623" s="905">
        <f>SUM(J1602:J1622)</f>
        <v>20</v>
      </c>
    </row>
    <row r="1624" spans="1:11" ht="24.6" hidden="1">
      <c r="A1624" s="2734" t="s">
        <v>33</v>
      </c>
      <c r="B1624" s="2734"/>
      <c r="C1624" s="2734"/>
      <c r="D1624" s="2734"/>
      <c r="E1624" s="2734"/>
      <c r="F1624" s="2734"/>
      <c r="G1624" s="2734"/>
      <c r="H1624" s="2734"/>
      <c r="I1624" s="2734"/>
      <c r="J1624" s="2734"/>
    </row>
    <row r="1625" spans="1:11" hidden="1">
      <c r="A1625" s="137" t="s">
        <v>3</v>
      </c>
      <c r="B1625" s="1749" t="s">
        <v>4</v>
      </c>
      <c r="C1625" s="137" t="s">
        <v>5</v>
      </c>
      <c r="D1625" s="137" t="s">
        <v>6</v>
      </c>
      <c r="E1625" s="137" t="s">
        <v>7</v>
      </c>
      <c r="F1625" s="137" t="s">
        <v>8</v>
      </c>
      <c r="G1625" s="137" t="s">
        <v>9</v>
      </c>
      <c r="H1625" s="137" t="s">
        <v>10</v>
      </c>
      <c r="I1625" s="137" t="s">
        <v>11</v>
      </c>
      <c r="J1625" s="137" t="s">
        <v>12</v>
      </c>
    </row>
    <row r="1626" spans="1:11" hidden="1">
      <c r="A1626" s="541">
        <v>1</v>
      </c>
      <c r="B1626" s="2539">
        <v>44469</v>
      </c>
      <c r="C1626" s="152" t="s">
        <v>138</v>
      </c>
      <c r="D1626" s="1195" t="s">
        <v>1581</v>
      </c>
      <c r="E1626" s="152" t="s">
        <v>125</v>
      </c>
      <c r="F1626" s="152">
        <v>200000000</v>
      </c>
      <c r="G1626" s="152" t="s">
        <v>43</v>
      </c>
      <c r="H1626" s="152" t="s">
        <v>271</v>
      </c>
      <c r="I1626" s="152" t="s">
        <v>36</v>
      </c>
      <c r="J1626" s="200">
        <v>1</v>
      </c>
    </row>
    <row r="1627" spans="1:11" hidden="1">
      <c r="A1627" s="541" t="s">
        <v>3</v>
      </c>
      <c r="B1627" s="2539" t="s">
        <v>1582</v>
      </c>
      <c r="C1627" s="152" t="s">
        <v>138</v>
      </c>
      <c r="D1627" s="1195" t="s">
        <v>1583</v>
      </c>
      <c r="E1627" s="152" t="s">
        <v>125</v>
      </c>
      <c r="F1627" s="152">
        <v>247000000</v>
      </c>
      <c r="G1627" s="152" t="s">
        <v>481</v>
      </c>
      <c r="H1627" s="152" t="s">
        <v>44</v>
      </c>
      <c r="I1627" s="152" t="s">
        <v>36</v>
      </c>
      <c r="J1627" s="200">
        <v>1</v>
      </c>
    </row>
    <row r="1628" spans="1:11" hidden="1">
      <c r="A1628" s="583">
        <v>3</v>
      </c>
      <c r="B1628" s="2540" t="s">
        <v>1584</v>
      </c>
      <c r="C1628" s="154" t="s">
        <v>138</v>
      </c>
      <c r="D1628" s="1788" t="s">
        <v>1585</v>
      </c>
      <c r="E1628" s="154" t="s">
        <v>125</v>
      </c>
      <c r="F1628" s="154">
        <v>160000000</v>
      </c>
      <c r="G1628" s="154" t="s">
        <v>1586</v>
      </c>
      <c r="H1628" s="154" t="s">
        <v>44</v>
      </c>
      <c r="I1628" s="154" t="s">
        <v>36</v>
      </c>
      <c r="J1628" s="584">
        <v>1</v>
      </c>
    </row>
    <row r="1629" spans="1:11" ht="24.6" hidden="1">
      <c r="A1629" s="144"/>
      <c r="B1629" s="581"/>
      <c r="C1629" s="144"/>
      <c r="D1629" s="144"/>
      <c r="E1629" s="144"/>
      <c r="F1629" s="144"/>
      <c r="G1629" s="144"/>
      <c r="H1629" s="144"/>
      <c r="I1629" s="144"/>
      <c r="J1629" s="908">
        <f>J1626+J1627+J1628</f>
        <v>3</v>
      </c>
    </row>
    <row r="1630" spans="1:11" hidden="1"/>
    <row r="1631" spans="1:11" hidden="1"/>
    <row r="1632" spans="1:11" ht="23.45" hidden="1">
      <c r="A1632" s="2765" t="s">
        <v>523</v>
      </c>
      <c r="B1632" s="2765"/>
      <c r="C1632" s="2765"/>
      <c r="D1632" s="2765"/>
      <c r="E1632" s="2765"/>
      <c r="F1632" s="2765"/>
      <c r="G1632" s="2765"/>
      <c r="H1632" s="2765"/>
      <c r="I1632" s="2765"/>
      <c r="J1632" s="2765"/>
    </row>
    <row r="1633" spans="1:11" ht="15.6" hidden="1">
      <c r="A1633" s="2737" t="s">
        <v>2</v>
      </c>
      <c r="B1633" s="2737"/>
      <c r="C1633" s="2737"/>
      <c r="D1633" s="2737"/>
      <c r="E1633" s="2737"/>
      <c r="F1633" s="2737"/>
      <c r="G1633" s="2737"/>
      <c r="H1633" s="2737"/>
      <c r="I1633" s="2737"/>
      <c r="J1633" s="2737"/>
    </row>
    <row r="1634" spans="1:11" hidden="1">
      <c r="A1634" s="137" t="s">
        <v>3</v>
      </c>
      <c r="B1634" s="1749" t="s">
        <v>4</v>
      </c>
      <c r="C1634" s="137" t="s">
        <v>5</v>
      </c>
      <c r="D1634" s="137" t="s">
        <v>6</v>
      </c>
      <c r="E1634" s="137" t="s">
        <v>7</v>
      </c>
      <c r="F1634" s="137" t="s">
        <v>8</v>
      </c>
      <c r="G1634" s="137" t="s">
        <v>9</v>
      </c>
      <c r="H1634" s="137" t="s">
        <v>10</v>
      </c>
      <c r="I1634" s="137" t="s">
        <v>11</v>
      </c>
      <c r="J1634" s="137" t="s">
        <v>12</v>
      </c>
    </row>
    <row r="1635" spans="1:11" hidden="1">
      <c r="A1635" s="137">
        <v>1</v>
      </c>
      <c r="B1635" s="1749" t="s">
        <v>1463</v>
      </c>
      <c r="C1635" s="137" t="s">
        <v>138</v>
      </c>
      <c r="D1635" s="1194" t="s">
        <v>1587</v>
      </c>
      <c r="E1635" s="137" t="s">
        <v>78</v>
      </c>
      <c r="F1635" s="137">
        <v>1100000</v>
      </c>
      <c r="G1635" s="137" t="s">
        <v>1102</v>
      </c>
      <c r="H1635" s="137" t="s">
        <v>271</v>
      </c>
      <c r="I1635" s="137" t="s">
        <v>36</v>
      </c>
      <c r="J1635" s="137">
        <v>1</v>
      </c>
      <c r="K1635" t="s">
        <v>1232</v>
      </c>
    </row>
    <row r="1636" spans="1:11" hidden="1">
      <c r="A1636" s="137">
        <v>2</v>
      </c>
      <c r="B1636" s="1749" t="s">
        <v>1549</v>
      </c>
      <c r="C1636" s="137" t="s">
        <v>138</v>
      </c>
      <c r="D1636" s="1194" t="s">
        <v>1588</v>
      </c>
      <c r="E1636" s="137" t="s">
        <v>869</v>
      </c>
      <c r="F1636" s="137">
        <v>1100000</v>
      </c>
      <c r="G1636" s="137" t="s">
        <v>1589</v>
      </c>
      <c r="H1636" s="137" t="s">
        <v>271</v>
      </c>
      <c r="I1636" s="137" t="s">
        <v>36</v>
      </c>
      <c r="J1636" s="137">
        <v>1</v>
      </c>
      <c r="K1636" t="s">
        <v>133</v>
      </c>
    </row>
    <row r="1637" spans="1:11" hidden="1">
      <c r="A1637" s="137">
        <v>3</v>
      </c>
      <c r="B1637" s="1749" t="s">
        <v>1549</v>
      </c>
      <c r="C1637" s="137" t="s">
        <v>138</v>
      </c>
      <c r="D1637" s="1194" t="s">
        <v>1590</v>
      </c>
      <c r="E1637" s="137" t="s">
        <v>1324</v>
      </c>
      <c r="F1637" s="137">
        <v>850000</v>
      </c>
      <c r="G1637" s="137" t="s">
        <v>1591</v>
      </c>
      <c r="H1637" s="137" t="s">
        <v>271</v>
      </c>
      <c r="I1637" s="137" t="s">
        <v>36</v>
      </c>
      <c r="J1637" s="137">
        <v>1</v>
      </c>
      <c r="K1637" t="s">
        <v>1232</v>
      </c>
    </row>
    <row r="1638" spans="1:11" hidden="1">
      <c r="A1638" s="137">
        <v>4</v>
      </c>
      <c r="B1638" s="1749" t="s">
        <v>1549</v>
      </c>
      <c r="C1638" s="137" t="s">
        <v>138</v>
      </c>
      <c r="D1638" s="1194" t="s">
        <v>1592</v>
      </c>
      <c r="E1638" s="137" t="s">
        <v>925</v>
      </c>
      <c r="F1638" s="137">
        <v>1000000</v>
      </c>
      <c r="G1638" s="137" t="s">
        <v>1593</v>
      </c>
      <c r="H1638" s="137" t="s">
        <v>271</v>
      </c>
      <c r="I1638" s="137" t="s">
        <v>36</v>
      </c>
      <c r="J1638" s="137">
        <v>1</v>
      </c>
      <c r="K1638" t="s">
        <v>133</v>
      </c>
    </row>
    <row r="1639" spans="1:11" hidden="1">
      <c r="A1639" s="137">
        <v>5</v>
      </c>
      <c r="B1639" s="1749" t="s">
        <v>1496</v>
      </c>
      <c r="C1639" s="137" t="s">
        <v>138</v>
      </c>
      <c r="D1639" s="1194" t="s">
        <v>1594</v>
      </c>
      <c r="E1639" s="137" t="s">
        <v>869</v>
      </c>
      <c r="F1639" s="137">
        <v>1200000</v>
      </c>
      <c r="G1639" s="137" t="s">
        <v>1102</v>
      </c>
      <c r="H1639" s="137" t="s">
        <v>271</v>
      </c>
      <c r="I1639" s="137" t="s">
        <v>36</v>
      </c>
      <c r="J1639" s="137">
        <v>1</v>
      </c>
      <c r="K1639" t="s">
        <v>1455</v>
      </c>
    </row>
    <row r="1640" spans="1:11" hidden="1">
      <c r="A1640" s="137">
        <v>6</v>
      </c>
      <c r="B1640" s="1749" t="s">
        <v>1496</v>
      </c>
      <c r="C1640" s="137" t="s">
        <v>138</v>
      </c>
      <c r="D1640" s="1194" t="s">
        <v>1595</v>
      </c>
      <c r="E1640" s="137" t="s">
        <v>1093</v>
      </c>
      <c r="F1640" s="137">
        <v>1200000</v>
      </c>
      <c r="G1640" s="137" t="s">
        <v>1093</v>
      </c>
      <c r="H1640" s="137" t="s">
        <v>271</v>
      </c>
      <c r="I1640" s="137" t="s">
        <v>36</v>
      </c>
      <c r="J1640" s="137">
        <v>1</v>
      </c>
      <c r="K1640" t="s">
        <v>1455</v>
      </c>
    </row>
    <row r="1641" spans="1:11" hidden="1">
      <c r="A1641" s="137">
        <v>7</v>
      </c>
      <c r="B1641" s="1749" t="s">
        <v>1596</v>
      </c>
      <c r="C1641" s="150" t="s">
        <v>138</v>
      </c>
      <c r="D1641" s="1195" t="s">
        <v>1597</v>
      </c>
      <c r="E1641" s="150" t="s">
        <v>869</v>
      </c>
      <c r="F1641" s="1196">
        <v>1250000</v>
      </c>
      <c r="G1641" s="150" t="s">
        <v>869</v>
      </c>
      <c r="H1641" s="150" t="s">
        <v>271</v>
      </c>
      <c r="I1641" s="150" t="s">
        <v>36</v>
      </c>
      <c r="J1641" s="137">
        <v>1</v>
      </c>
      <c r="K1641" t="s">
        <v>1455</v>
      </c>
    </row>
    <row r="1642" spans="1:11" hidden="1">
      <c r="A1642" s="137">
        <v>8</v>
      </c>
      <c r="B1642" s="1749" t="s">
        <v>1531</v>
      </c>
      <c r="C1642" s="137" t="s">
        <v>138</v>
      </c>
      <c r="D1642" s="1194" t="s">
        <v>1598</v>
      </c>
      <c r="E1642" s="137" t="s">
        <v>869</v>
      </c>
      <c r="F1642" s="137">
        <v>1250000</v>
      </c>
      <c r="G1642" s="137" t="s">
        <v>869</v>
      </c>
      <c r="H1642" s="137" t="s">
        <v>271</v>
      </c>
      <c r="I1642" s="137" t="s">
        <v>36</v>
      </c>
      <c r="J1642" s="137">
        <v>1</v>
      </c>
      <c r="K1642" t="s">
        <v>1232</v>
      </c>
    </row>
    <row r="1643" spans="1:11" hidden="1">
      <c r="A1643" s="137">
        <v>9</v>
      </c>
      <c r="B1643" s="1749" t="s">
        <v>1599</v>
      </c>
      <c r="C1643" s="137" t="s">
        <v>138</v>
      </c>
      <c r="D1643" s="1194" t="s">
        <v>1600</v>
      </c>
      <c r="E1643" s="137" t="s">
        <v>869</v>
      </c>
      <c r="F1643" s="137">
        <v>1200000</v>
      </c>
      <c r="G1643" s="137" t="s">
        <v>1589</v>
      </c>
      <c r="H1643" s="137" t="s">
        <v>271</v>
      </c>
      <c r="I1643" s="137" t="s">
        <v>36</v>
      </c>
      <c r="J1643" s="137">
        <v>1</v>
      </c>
      <c r="K1643" t="s">
        <v>133</v>
      </c>
    </row>
    <row r="1644" spans="1:11" hidden="1">
      <c r="A1644" s="137">
        <v>10</v>
      </c>
      <c r="B1644" s="1749" t="s">
        <v>1456</v>
      </c>
      <c r="C1644" s="137" t="s">
        <v>662</v>
      </c>
      <c r="D1644" s="628" t="s">
        <v>1601</v>
      </c>
      <c r="E1644" s="137" t="s">
        <v>78</v>
      </c>
      <c r="F1644" s="137">
        <v>850000</v>
      </c>
      <c r="G1644" s="137" t="s">
        <v>951</v>
      </c>
      <c r="H1644" s="137" t="s">
        <v>271</v>
      </c>
      <c r="I1644" s="137" t="s">
        <v>36</v>
      </c>
      <c r="J1644" s="137">
        <v>1</v>
      </c>
      <c r="K1644" t="s">
        <v>133</v>
      </c>
    </row>
    <row r="1645" spans="1:11" hidden="1">
      <c r="A1645" s="137">
        <v>11</v>
      </c>
      <c r="B1645" s="1749" t="s">
        <v>1456</v>
      </c>
      <c r="C1645" s="137" t="s">
        <v>662</v>
      </c>
      <c r="D1645" s="628" t="s">
        <v>1602</v>
      </c>
      <c r="E1645" s="137" t="s">
        <v>78</v>
      </c>
      <c r="F1645" s="137">
        <v>1000000</v>
      </c>
      <c r="G1645" s="137" t="s">
        <v>951</v>
      </c>
      <c r="H1645" s="137" t="s">
        <v>271</v>
      </c>
      <c r="I1645" s="137" t="s">
        <v>36</v>
      </c>
      <c r="J1645" s="137">
        <v>1</v>
      </c>
      <c r="K1645" t="s">
        <v>1455</v>
      </c>
    </row>
    <row r="1646" spans="1:11" hidden="1">
      <c r="A1646" s="137">
        <v>12</v>
      </c>
      <c r="B1646" s="1749" t="s">
        <v>1456</v>
      </c>
      <c r="C1646" s="137" t="s">
        <v>662</v>
      </c>
      <c r="D1646" s="628" t="s">
        <v>1603</v>
      </c>
      <c r="E1646" s="137" t="s">
        <v>78</v>
      </c>
      <c r="F1646" s="137">
        <v>650000</v>
      </c>
      <c r="G1646" s="137" t="s">
        <v>951</v>
      </c>
      <c r="H1646" s="137" t="s">
        <v>271</v>
      </c>
      <c r="I1646" s="137" t="s">
        <v>36</v>
      </c>
      <c r="J1646" s="137">
        <v>1</v>
      </c>
      <c r="K1646" t="s">
        <v>1232</v>
      </c>
    </row>
    <row r="1647" spans="1:11" hidden="1">
      <c r="A1647" s="137">
        <v>13</v>
      </c>
      <c r="B1647" s="1749" t="s">
        <v>1456</v>
      </c>
      <c r="C1647" s="137" t="s">
        <v>138</v>
      </c>
      <c r="D1647" s="628" t="s">
        <v>1604</v>
      </c>
      <c r="E1647" s="137" t="s">
        <v>925</v>
      </c>
      <c r="F1647" s="137">
        <v>970000</v>
      </c>
      <c r="G1647" s="137" t="s">
        <v>1087</v>
      </c>
      <c r="H1647" s="137" t="s">
        <v>271</v>
      </c>
      <c r="I1647" s="137" t="s">
        <v>36</v>
      </c>
      <c r="J1647" s="137">
        <v>1</v>
      </c>
      <c r="K1647" t="s">
        <v>133</v>
      </c>
    </row>
    <row r="1648" spans="1:11" hidden="1">
      <c r="A1648" s="137">
        <v>14</v>
      </c>
      <c r="B1648" s="1749" t="s">
        <v>1457</v>
      </c>
      <c r="C1648" s="137" t="s">
        <v>138</v>
      </c>
      <c r="D1648" s="628" t="s">
        <v>1605</v>
      </c>
      <c r="E1648" s="137" t="s">
        <v>840</v>
      </c>
      <c r="F1648" s="137">
        <v>1450000</v>
      </c>
      <c r="G1648" s="137" t="s">
        <v>926</v>
      </c>
      <c r="H1648" s="137" t="s">
        <v>271</v>
      </c>
      <c r="I1648" s="137" t="s">
        <v>36</v>
      </c>
      <c r="J1648" s="137">
        <v>1</v>
      </c>
      <c r="K1648" t="s">
        <v>133</v>
      </c>
    </row>
    <row r="1649" spans="1:10" hidden="1">
      <c r="A1649" s="1749">
        <v>15</v>
      </c>
      <c r="B1649" s="2538"/>
      <c r="C1649" s="150"/>
      <c r="D1649" s="627"/>
      <c r="E1649" s="150"/>
      <c r="F1649" s="1196"/>
      <c r="G1649" s="150"/>
      <c r="H1649" s="150"/>
      <c r="I1649" s="150"/>
      <c r="J1649" s="137"/>
    </row>
    <row r="1650" spans="1:10" hidden="1">
      <c r="A1650" s="1749">
        <v>16</v>
      </c>
      <c r="B1650" s="2538"/>
      <c r="C1650" s="150"/>
      <c r="D1650" s="627"/>
      <c r="E1650" s="150"/>
      <c r="F1650" s="1196"/>
      <c r="G1650" s="150"/>
      <c r="H1650" s="150"/>
      <c r="I1650" s="150"/>
      <c r="J1650" s="137"/>
    </row>
    <row r="1651" spans="1:10" hidden="1">
      <c r="A1651" s="1749">
        <v>17</v>
      </c>
      <c r="B1651" s="2538"/>
      <c r="C1651" s="150"/>
      <c r="D1651" s="627"/>
      <c r="E1651" s="150"/>
      <c r="F1651" s="1196"/>
      <c r="G1651" s="150"/>
      <c r="H1651" s="150"/>
      <c r="I1651" s="150"/>
      <c r="J1651" s="137"/>
    </row>
    <row r="1652" spans="1:10" hidden="1">
      <c r="A1652" s="1749">
        <v>18</v>
      </c>
      <c r="B1652" s="2538"/>
      <c r="C1652" s="150"/>
      <c r="D1652" s="627"/>
      <c r="E1652" s="150"/>
      <c r="F1652" s="1196"/>
      <c r="G1652" s="150"/>
      <c r="H1652" s="150"/>
      <c r="I1652" s="150"/>
      <c r="J1652" s="137"/>
    </row>
    <row r="1653" spans="1:10" hidden="1">
      <c r="A1653" s="1749">
        <v>19</v>
      </c>
      <c r="B1653" s="1749"/>
      <c r="C1653" s="150"/>
      <c r="D1653" s="627"/>
      <c r="E1653" s="150"/>
      <c r="F1653" s="1196"/>
      <c r="G1653" s="150"/>
      <c r="H1653" s="150"/>
      <c r="I1653" s="150"/>
      <c r="J1653" s="137"/>
    </row>
    <row r="1654" spans="1:10" hidden="1">
      <c r="A1654" s="1749">
        <v>20</v>
      </c>
      <c r="B1654" s="1749"/>
      <c r="C1654" s="150"/>
      <c r="D1654" s="627"/>
      <c r="E1654" s="150"/>
      <c r="F1654" s="1196"/>
      <c r="G1654" s="150"/>
      <c r="H1654" s="150"/>
      <c r="I1654" s="150"/>
      <c r="J1654" s="137"/>
    </row>
    <row r="1655" spans="1:10" hidden="1">
      <c r="A1655" s="1749"/>
      <c r="B1655" s="1749"/>
      <c r="C1655" s="150"/>
      <c r="D1655" s="627"/>
      <c r="E1655" s="150"/>
      <c r="F1655" s="1196"/>
      <c r="G1655" s="150"/>
      <c r="H1655" s="150"/>
      <c r="I1655" s="150"/>
      <c r="J1655" s="137"/>
    </row>
    <row r="1656" spans="1:10" ht="24.6" hidden="1">
      <c r="A1656" s="1749"/>
      <c r="B1656" s="1749"/>
      <c r="C1656" s="150"/>
      <c r="D1656" s="627"/>
      <c r="E1656" s="150"/>
      <c r="F1656" s="151"/>
      <c r="G1656" s="150"/>
      <c r="H1656" s="150"/>
      <c r="I1656" s="150"/>
      <c r="J1656" s="905">
        <f>SUM(J1635:J1655)</f>
        <v>14</v>
      </c>
    </row>
    <row r="1657" spans="1:10" ht="24.6" hidden="1">
      <c r="A1657" s="2734" t="s">
        <v>33</v>
      </c>
      <c r="B1657" s="2734"/>
      <c r="C1657" s="2734"/>
      <c r="D1657" s="2734"/>
      <c r="E1657" s="2734"/>
      <c r="F1657" s="2734"/>
      <c r="G1657" s="2734"/>
      <c r="H1657" s="2734"/>
      <c r="I1657" s="2734"/>
      <c r="J1657" s="2734"/>
    </row>
    <row r="1658" spans="1:10" hidden="1">
      <c r="A1658" s="137" t="s">
        <v>3</v>
      </c>
      <c r="B1658" s="1749" t="s">
        <v>4</v>
      </c>
      <c r="C1658" s="137" t="s">
        <v>5</v>
      </c>
      <c r="D1658" s="137" t="s">
        <v>6</v>
      </c>
      <c r="E1658" s="137" t="s">
        <v>7</v>
      </c>
      <c r="F1658" s="137" t="s">
        <v>8</v>
      </c>
      <c r="G1658" s="137" t="s">
        <v>9</v>
      </c>
      <c r="H1658" s="137" t="s">
        <v>10</v>
      </c>
      <c r="I1658" s="137" t="s">
        <v>11</v>
      </c>
      <c r="J1658" s="137" t="s">
        <v>12</v>
      </c>
    </row>
    <row r="1659" spans="1:10" hidden="1">
      <c r="A1659" s="541">
        <v>1</v>
      </c>
      <c r="B1659" s="2539" t="s">
        <v>1606</v>
      </c>
      <c r="C1659" s="152" t="s">
        <v>138</v>
      </c>
      <c r="D1659" s="152" t="s">
        <v>1607</v>
      </c>
      <c r="E1659" s="152" t="s">
        <v>1608</v>
      </c>
      <c r="F1659" s="152">
        <v>240000000</v>
      </c>
      <c r="G1659" s="152" t="s">
        <v>1102</v>
      </c>
      <c r="H1659" s="152" t="s">
        <v>44</v>
      </c>
      <c r="I1659" s="152" t="s">
        <v>36</v>
      </c>
      <c r="J1659" s="200">
        <v>1</v>
      </c>
    </row>
    <row r="1660" spans="1:10" hidden="1">
      <c r="A1660" s="541" t="s">
        <v>3</v>
      </c>
      <c r="B1660" s="2539" t="s">
        <v>1562</v>
      </c>
      <c r="C1660" s="152" t="s">
        <v>138</v>
      </c>
      <c r="D1660" s="152" t="s">
        <v>1609</v>
      </c>
      <c r="E1660" s="152" t="s">
        <v>1311</v>
      </c>
      <c r="F1660" s="152">
        <v>278000000</v>
      </c>
      <c r="G1660" s="152" t="s">
        <v>1116</v>
      </c>
      <c r="H1660" s="152" t="s">
        <v>44</v>
      </c>
      <c r="I1660" s="152" t="s">
        <v>36</v>
      </c>
      <c r="J1660" s="200">
        <v>1</v>
      </c>
    </row>
    <row r="1661" spans="1:10" hidden="1">
      <c r="A1661" s="583">
        <v>3</v>
      </c>
      <c r="B1661" s="2540" t="s">
        <v>1562</v>
      </c>
      <c r="C1661" s="154" t="s">
        <v>138</v>
      </c>
      <c r="D1661" s="154" t="s">
        <v>1597</v>
      </c>
      <c r="E1661" s="154" t="s">
        <v>869</v>
      </c>
      <c r="F1661" s="154">
        <v>240000000</v>
      </c>
      <c r="G1661" s="154" t="s">
        <v>1102</v>
      </c>
      <c r="H1661" s="154" t="s">
        <v>1414</v>
      </c>
      <c r="I1661" s="154" t="s">
        <v>36</v>
      </c>
      <c r="J1661" s="584">
        <v>1</v>
      </c>
    </row>
    <row r="1662" spans="1:10" ht="24.6" hidden="1">
      <c r="A1662" s="144"/>
      <c r="B1662" s="581"/>
      <c r="C1662" s="144"/>
      <c r="D1662" s="144"/>
      <c r="E1662" s="144"/>
      <c r="F1662" s="144"/>
      <c r="G1662" s="144"/>
      <c r="H1662" s="144"/>
      <c r="I1662" s="144"/>
      <c r="J1662" s="908">
        <f>J1659+J1660+J1661</f>
        <v>3</v>
      </c>
    </row>
    <row r="1663" spans="1:10" hidden="1"/>
    <row r="1664" spans="1:10" hidden="1"/>
    <row r="1665" spans="1:10" ht="23.45" hidden="1">
      <c r="A1665" s="2765" t="s">
        <v>732</v>
      </c>
      <c r="B1665" s="2765"/>
      <c r="C1665" s="2765"/>
      <c r="D1665" s="2765"/>
      <c r="E1665" s="2765"/>
      <c r="F1665" s="2765"/>
      <c r="G1665" s="2765"/>
      <c r="H1665" s="2765"/>
      <c r="I1665" s="2765"/>
      <c r="J1665" s="2765"/>
    </row>
    <row r="1666" spans="1:10" ht="15.6" hidden="1">
      <c r="A1666" s="2737" t="s">
        <v>2</v>
      </c>
      <c r="B1666" s="2737"/>
      <c r="C1666" s="2737"/>
      <c r="D1666" s="2737"/>
      <c r="E1666" s="2737"/>
      <c r="F1666" s="2737"/>
      <c r="G1666" s="2737"/>
      <c r="H1666" s="2737"/>
      <c r="I1666" s="2737"/>
      <c r="J1666" s="2737"/>
    </row>
    <row r="1667" spans="1:10" hidden="1">
      <c r="A1667" s="137" t="s">
        <v>3</v>
      </c>
      <c r="B1667" s="1749" t="s">
        <v>4</v>
      </c>
      <c r="C1667" s="137" t="s">
        <v>5</v>
      </c>
      <c r="D1667" s="137" t="s">
        <v>6</v>
      </c>
      <c r="E1667" s="137" t="s">
        <v>7</v>
      </c>
      <c r="F1667" s="137" t="s">
        <v>8</v>
      </c>
      <c r="G1667" s="137" t="s">
        <v>9</v>
      </c>
      <c r="H1667" s="137" t="s">
        <v>10</v>
      </c>
      <c r="I1667" s="137" t="s">
        <v>11</v>
      </c>
      <c r="J1667" s="137" t="s">
        <v>12</v>
      </c>
    </row>
    <row r="1668" spans="1:10" hidden="1">
      <c r="A1668" s="137">
        <v>1</v>
      </c>
      <c r="B1668" s="1749"/>
      <c r="C1668" s="137"/>
      <c r="D1668" s="628"/>
      <c r="E1668" s="137"/>
      <c r="F1668" s="137"/>
      <c r="G1668" s="137"/>
      <c r="H1668" s="137"/>
      <c r="I1668" s="137"/>
      <c r="J1668" s="137"/>
    </row>
    <row r="1669" spans="1:10" hidden="1">
      <c r="A1669" s="137">
        <v>2</v>
      </c>
      <c r="B1669" s="1749"/>
      <c r="C1669" s="137"/>
      <c r="D1669" s="628"/>
      <c r="E1669" s="137"/>
      <c r="F1669" s="137"/>
      <c r="G1669" s="137"/>
      <c r="H1669" s="137"/>
      <c r="I1669" s="137"/>
      <c r="J1669" s="137"/>
    </row>
    <row r="1670" spans="1:10" hidden="1">
      <c r="A1670" s="137">
        <v>3</v>
      </c>
      <c r="B1670" s="1749"/>
      <c r="C1670" s="137"/>
      <c r="D1670" s="628"/>
      <c r="E1670" s="137"/>
      <c r="F1670" s="137"/>
      <c r="G1670" s="137"/>
      <c r="H1670" s="137"/>
      <c r="I1670" s="137"/>
      <c r="J1670" s="137"/>
    </row>
    <row r="1671" spans="1:10" hidden="1">
      <c r="A1671" s="137">
        <v>4</v>
      </c>
      <c r="B1671" s="1749"/>
      <c r="C1671" s="137"/>
      <c r="D1671" s="628"/>
      <c r="E1671" s="137"/>
      <c r="F1671" s="137"/>
      <c r="G1671" s="137"/>
      <c r="H1671" s="137"/>
      <c r="I1671" s="137"/>
      <c r="J1671" s="137"/>
    </row>
    <row r="1672" spans="1:10" hidden="1">
      <c r="A1672" s="137">
        <v>5</v>
      </c>
      <c r="B1672" s="1749"/>
      <c r="C1672" s="137"/>
      <c r="D1672" s="628"/>
      <c r="E1672" s="137"/>
      <c r="F1672" s="137"/>
      <c r="G1672" s="137"/>
      <c r="H1672" s="137"/>
      <c r="I1672" s="137"/>
      <c r="J1672" s="137"/>
    </row>
    <row r="1673" spans="1:10" hidden="1">
      <c r="A1673" s="137">
        <v>6</v>
      </c>
      <c r="B1673" s="1749"/>
      <c r="C1673" s="137"/>
      <c r="D1673" s="628"/>
      <c r="E1673" s="137"/>
      <c r="F1673" s="137"/>
      <c r="G1673" s="137"/>
      <c r="H1673" s="137"/>
      <c r="I1673" s="137"/>
      <c r="J1673" s="137"/>
    </row>
    <row r="1674" spans="1:10" hidden="1">
      <c r="A1674" s="137">
        <v>7</v>
      </c>
      <c r="B1674" s="1749"/>
      <c r="C1674" s="150"/>
      <c r="D1674" s="627"/>
      <c r="E1674" s="150"/>
      <c r="F1674" s="1196"/>
      <c r="G1674" s="150"/>
      <c r="H1674" s="150"/>
      <c r="I1674" s="150"/>
      <c r="J1674" s="137"/>
    </row>
    <row r="1675" spans="1:10" ht="24.6" hidden="1">
      <c r="A1675" s="2734" t="s">
        <v>33</v>
      </c>
      <c r="B1675" s="2734"/>
      <c r="C1675" s="2734"/>
      <c r="D1675" s="2734"/>
      <c r="E1675" s="2734"/>
      <c r="F1675" s="2734"/>
      <c r="G1675" s="2734"/>
      <c r="H1675" s="2734"/>
      <c r="I1675" s="2734"/>
      <c r="J1675" s="2734"/>
    </row>
    <row r="1676" spans="1:10" hidden="1">
      <c r="A1676" s="137" t="s">
        <v>3</v>
      </c>
      <c r="B1676" s="1749" t="s">
        <v>4</v>
      </c>
      <c r="C1676" s="137" t="s">
        <v>5</v>
      </c>
      <c r="D1676" s="137" t="s">
        <v>6</v>
      </c>
      <c r="E1676" s="137" t="s">
        <v>7</v>
      </c>
      <c r="F1676" s="137" t="s">
        <v>8</v>
      </c>
      <c r="G1676" s="137" t="s">
        <v>9</v>
      </c>
      <c r="H1676" s="137" t="s">
        <v>10</v>
      </c>
      <c r="I1676" s="137" t="s">
        <v>11</v>
      </c>
      <c r="J1676" s="137" t="s">
        <v>12</v>
      </c>
    </row>
    <row r="1677" spans="1:10" hidden="1">
      <c r="A1677" s="541">
        <v>1</v>
      </c>
      <c r="B1677" s="2539"/>
      <c r="C1677" s="152"/>
      <c r="D1677" s="152"/>
      <c r="E1677" s="152"/>
      <c r="F1677" s="152"/>
      <c r="G1677" s="152"/>
      <c r="H1677" s="152"/>
      <c r="I1677" s="152"/>
      <c r="J1677" s="200"/>
    </row>
    <row r="1678" spans="1:10" hidden="1">
      <c r="A1678" s="541" t="s">
        <v>3</v>
      </c>
      <c r="B1678" s="2539"/>
      <c r="C1678" s="152"/>
      <c r="D1678" s="152"/>
      <c r="E1678" s="152"/>
      <c r="F1678" s="152"/>
      <c r="G1678" s="152"/>
      <c r="H1678" s="152"/>
      <c r="I1678" s="152"/>
      <c r="J1678" s="200"/>
    </row>
    <row r="1679" spans="1:10" hidden="1">
      <c r="A1679" s="583">
        <v>3</v>
      </c>
      <c r="B1679" s="2540"/>
      <c r="C1679" s="154"/>
      <c r="D1679" s="154"/>
      <c r="E1679" s="154"/>
      <c r="F1679" s="154"/>
      <c r="G1679" s="154"/>
      <c r="H1679" s="154"/>
      <c r="I1679" s="154"/>
      <c r="J1679" s="584"/>
    </row>
    <row r="1680" spans="1:10" ht="24.6" hidden="1">
      <c r="A1680" s="144"/>
      <c r="B1680" s="581"/>
      <c r="C1680" s="144"/>
      <c r="D1680" s="144"/>
      <c r="E1680" s="144"/>
      <c r="F1680" s="144"/>
      <c r="G1680" s="144"/>
      <c r="H1680" s="144"/>
      <c r="I1680" s="144"/>
      <c r="J1680" s="908">
        <f>J1677+J1678+J1679</f>
        <v>0</v>
      </c>
    </row>
    <row r="1681" spans="1:11" hidden="1"/>
    <row r="1682" spans="1:11" hidden="1"/>
    <row r="1684" spans="1:11">
      <c r="A1684" s="2738" t="s">
        <v>1610</v>
      </c>
      <c r="B1684" s="2739"/>
      <c r="C1684" s="2739"/>
      <c r="D1684" s="2739"/>
      <c r="E1684" s="2739"/>
      <c r="F1684" s="2739"/>
      <c r="G1684" s="2739"/>
      <c r="H1684" s="2739"/>
      <c r="I1684" s="2739"/>
      <c r="J1684" s="2739"/>
    </row>
    <row r="1685" spans="1:11">
      <c r="A1685" s="2739"/>
      <c r="B1685" s="2739"/>
      <c r="C1685" s="2739"/>
      <c r="D1685" s="2739"/>
      <c r="E1685" s="2739"/>
      <c r="F1685" s="2739"/>
      <c r="G1685" s="2739"/>
      <c r="H1685" s="2739"/>
      <c r="I1685" s="2739"/>
      <c r="J1685" s="2739"/>
    </row>
    <row r="1687" spans="1:11" ht="23.45">
      <c r="A1687" s="2736" t="s">
        <v>1611</v>
      </c>
      <c r="B1687" s="2736"/>
      <c r="C1687" s="2736"/>
      <c r="D1687" s="2736"/>
      <c r="E1687" s="2736"/>
      <c r="F1687" s="2736"/>
      <c r="G1687" s="2736"/>
      <c r="H1687" s="2736"/>
      <c r="I1687" s="2736"/>
      <c r="J1687" s="2736"/>
    </row>
    <row r="1688" spans="1:11" ht="15.6">
      <c r="A1688" s="2737" t="s">
        <v>2</v>
      </c>
      <c r="B1688" s="2737"/>
      <c r="C1688" s="2737"/>
      <c r="D1688" s="2737"/>
      <c r="E1688" s="2737"/>
      <c r="F1688" s="2737"/>
      <c r="G1688" s="2737"/>
      <c r="H1688" s="2737"/>
      <c r="I1688" s="2737"/>
      <c r="J1688" s="2737"/>
    </row>
    <row r="1689" spans="1:11">
      <c r="A1689" s="147" t="s">
        <v>3</v>
      </c>
      <c r="B1689" s="2543" t="s">
        <v>4</v>
      </c>
      <c r="C1689" s="147" t="s">
        <v>5</v>
      </c>
      <c r="D1689" s="147" t="s">
        <v>6</v>
      </c>
      <c r="E1689" s="147" t="s">
        <v>7</v>
      </c>
      <c r="F1689" s="2487" t="s">
        <v>8</v>
      </c>
      <c r="G1689" s="147" t="s">
        <v>9</v>
      </c>
      <c r="H1689" s="147" t="s">
        <v>1612</v>
      </c>
      <c r="I1689" s="147" t="s">
        <v>11</v>
      </c>
      <c r="J1689" s="147" t="s">
        <v>12</v>
      </c>
    </row>
    <row r="1690" spans="1:11">
      <c r="A1690" s="11">
        <v>1</v>
      </c>
      <c r="B1690" s="2537">
        <v>44782</v>
      </c>
      <c r="C1690" s="34" t="s">
        <v>1613</v>
      </c>
      <c r="D1690" s="201" t="s">
        <v>1614</v>
      </c>
      <c r="E1690" s="34" t="s">
        <v>1615</v>
      </c>
      <c r="F1690" s="1517">
        <v>2400000</v>
      </c>
      <c r="G1690" s="34" t="s">
        <v>1616</v>
      </c>
      <c r="H1690" s="11" t="s">
        <v>36</v>
      </c>
      <c r="I1690" s="11" t="s">
        <v>36</v>
      </c>
      <c r="J1690" s="11">
        <v>1</v>
      </c>
      <c r="K1690" t="s">
        <v>1617</v>
      </c>
    </row>
    <row r="1691" spans="1:11">
      <c r="A1691" s="11">
        <v>2</v>
      </c>
      <c r="B1691" s="2537">
        <v>44782</v>
      </c>
      <c r="C1691" s="34" t="s">
        <v>1613</v>
      </c>
      <c r="D1691" s="201" t="s">
        <v>1618</v>
      </c>
      <c r="E1691" s="11" t="s">
        <v>1615</v>
      </c>
      <c r="F1691" s="1517">
        <v>1900000</v>
      </c>
      <c r="G1691" s="11" t="s">
        <v>1616</v>
      </c>
      <c r="H1691" s="11" t="s">
        <v>36</v>
      </c>
      <c r="I1691" s="11" t="s">
        <v>36</v>
      </c>
      <c r="J1691" s="11">
        <v>1</v>
      </c>
      <c r="K1691" t="s">
        <v>1617</v>
      </c>
    </row>
    <row r="1692" spans="1:11">
      <c r="A1692" s="11">
        <v>3</v>
      </c>
      <c r="B1692" s="2537">
        <v>44813</v>
      </c>
      <c r="C1692" s="34" t="s">
        <v>1613</v>
      </c>
      <c r="D1692" s="201" t="s">
        <v>1619</v>
      </c>
      <c r="E1692" s="11" t="s">
        <v>1620</v>
      </c>
      <c r="F1692" s="1517">
        <v>1100000</v>
      </c>
      <c r="G1692" s="11" t="s">
        <v>1621</v>
      </c>
      <c r="H1692" s="11" t="s">
        <v>36</v>
      </c>
      <c r="I1692" s="11" t="s">
        <v>36</v>
      </c>
      <c r="J1692" s="11">
        <v>1</v>
      </c>
      <c r="K1692" t="s">
        <v>1617</v>
      </c>
    </row>
    <row r="1693" spans="1:11" ht="15">
      <c r="A1693" s="11">
        <v>4</v>
      </c>
      <c r="B1693" s="2537">
        <v>44813</v>
      </c>
      <c r="C1693" s="34" t="s">
        <v>1613</v>
      </c>
      <c r="D1693" s="201" t="s">
        <v>1622</v>
      </c>
      <c r="E1693" s="11" t="s">
        <v>1615</v>
      </c>
      <c r="F1693" s="1517">
        <v>1850000</v>
      </c>
      <c r="G1693" s="11" t="s">
        <v>1616</v>
      </c>
      <c r="H1693" s="11" t="s">
        <v>36</v>
      </c>
      <c r="I1693" s="11" t="s">
        <v>36</v>
      </c>
      <c r="J1693" s="11">
        <v>1</v>
      </c>
      <c r="K1693" t="s">
        <v>1617</v>
      </c>
    </row>
    <row r="1694" spans="1:11">
      <c r="A1694" s="11">
        <v>5</v>
      </c>
      <c r="B1694" s="2537">
        <v>44813</v>
      </c>
      <c r="C1694" s="34" t="s">
        <v>1613</v>
      </c>
      <c r="D1694" s="201" t="s">
        <v>1623</v>
      </c>
      <c r="E1694" s="11" t="s">
        <v>1615</v>
      </c>
      <c r="F1694" s="1517">
        <v>1850000</v>
      </c>
      <c r="G1694" s="11" t="s">
        <v>1616</v>
      </c>
      <c r="H1694" s="11" t="s">
        <v>36</v>
      </c>
      <c r="I1694" s="11" t="s">
        <v>36</v>
      </c>
      <c r="J1694" s="11">
        <v>1</v>
      </c>
      <c r="K1694" t="s">
        <v>1617</v>
      </c>
    </row>
    <row r="1695" spans="1:11">
      <c r="A1695" s="11">
        <v>6</v>
      </c>
      <c r="B1695" s="2537">
        <v>44813</v>
      </c>
      <c r="C1695" s="34" t="s">
        <v>1613</v>
      </c>
      <c r="D1695" s="201" t="s">
        <v>1624</v>
      </c>
      <c r="E1695" s="11" t="s">
        <v>1615</v>
      </c>
      <c r="F1695" s="1517">
        <v>2000000</v>
      </c>
      <c r="G1695" s="11" t="s">
        <v>1616</v>
      </c>
      <c r="H1695" s="11" t="s">
        <v>36</v>
      </c>
      <c r="I1695" s="11" t="s">
        <v>36</v>
      </c>
      <c r="J1695" s="11">
        <v>1</v>
      </c>
      <c r="K1695" t="s">
        <v>1617</v>
      </c>
    </row>
    <row r="1696" spans="1:11" ht="15">
      <c r="A1696" s="11">
        <v>7</v>
      </c>
      <c r="B1696" s="2537">
        <v>44813</v>
      </c>
      <c r="C1696" s="34" t="s">
        <v>1613</v>
      </c>
      <c r="D1696" s="201" t="s">
        <v>1625</v>
      </c>
      <c r="E1696" s="2643" t="s">
        <v>1626</v>
      </c>
      <c r="F1696" s="1517">
        <v>1300000</v>
      </c>
      <c r="G1696" s="11" t="s">
        <v>1616</v>
      </c>
      <c r="H1696" s="11" t="s">
        <v>36</v>
      </c>
      <c r="I1696" s="11" t="s">
        <v>36</v>
      </c>
      <c r="J1696" s="11">
        <v>1</v>
      </c>
      <c r="K1696" t="s">
        <v>1617</v>
      </c>
    </row>
    <row r="1697" spans="1:11" ht="15">
      <c r="A1697" s="11">
        <v>8</v>
      </c>
      <c r="B1697" s="2550" t="s">
        <v>1627</v>
      </c>
      <c r="C1697" s="34" t="s">
        <v>1613</v>
      </c>
      <c r="D1697" s="201" t="s">
        <v>1628</v>
      </c>
      <c r="E1697" s="11" t="s">
        <v>1629</v>
      </c>
      <c r="F1697" s="1517">
        <v>1380000</v>
      </c>
      <c r="G1697" s="11" t="s">
        <v>1616</v>
      </c>
      <c r="H1697" s="11" t="s">
        <v>36</v>
      </c>
      <c r="I1697" s="11" t="s">
        <v>36</v>
      </c>
      <c r="J1697" s="11">
        <v>1</v>
      </c>
      <c r="K1697" t="s">
        <v>1617</v>
      </c>
    </row>
    <row r="1698" spans="1:11">
      <c r="A1698" s="11">
        <v>9</v>
      </c>
      <c r="B1698" s="2550" t="s">
        <v>1630</v>
      </c>
      <c r="C1698" s="34" t="s">
        <v>1613</v>
      </c>
      <c r="D1698" s="201" t="s">
        <v>1631</v>
      </c>
      <c r="E1698" s="11" t="s">
        <v>1632</v>
      </c>
      <c r="F1698" s="1517">
        <v>1900000</v>
      </c>
      <c r="G1698" s="11" t="s">
        <v>1616</v>
      </c>
      <c r="H1698" s="11" t="s">
        <v>36</v>
      </c>
      <c r="I1698" s="11" t="s">
        <v>36</v>
      </c>
      <c r="J1698" s="11">
        <v>1</v>
      </c>
      <c r="K1698" t="s">
        <v>1633</v>
      </c>
    </row>
    <row r="1699" spans="1:11" ht="15">
      <c r="A1699" s="11">
        <v>10</v>
      </c>
      <c r="B1699" s="2550" t="s">
        <v>1634</v>
      </c>
      <c r="C1699" s="34" t="s">
        <v>1613</v>
      </c>
      <c r="D1699" s="2644" t="s">
        <v>1635</v>
      </c>
      <c r="E1699" s="11" t="s">
        <v>1636</v>
      </c>
      <c r="F1699" s="1517">
        <v>1300000</v>
      </c>
      <c r="G1699" s="11" t="s">
        <v>168</v>
      </c>
      <c r="H1699" s="11" t="s">
        <v>36</v>
      </c>
      <c r="I1699" s="11" t="s">
        <v>36</v>
      </c>
      <c r="J1699" s="11">
        <v>1</v>
      </c>
      <c r="K1699" t="s">
        <v>1633</v>
      </c>
    </row>
    <row r="1700" spans="1:11">
      <c r="A1700" s="11">
        <v>11</v>
      </c>
      <c r="B1700" s="2550" t="s">
        <v>1637</v>
      </c>
      <c r="C1700" s="11" t="s">
        <v>1638</v>
      </c>
      <c r="D1700" s="201" t="s">
        <v>1639</v>
      </c>
      <c r="E1700" s="11" t="s">
        <v>1615</v>
      </c>
      <c r="F1700" s="1517">
        <v>1300000</v>
      </c>
      <c r="G1700" s="11" t="s">
        <v>1640</v>
      </c>
      <c r="H1700" s="11" t="s">
        <v>36</v>
      </c>
      <c r="I1700" s="11" t="s">
        <v>36</v>
      </c>
      <c r="J1700" s="11">
        <v>1</v>
      </c>
      <c r="K1700" t="s">
        <v>1633</v>
      </c>
    </row>
    <row r="1701" spans="1:11">
      <c r="A1701" s="11">
        <v>12</v>
      </c>
      <c r="B1701" s="2"/>
      <c r="C1701" s="11"/>
      <c r="D1701" s="201"/>
      <c r="E1701" s="11"/>
      <c r="F1701" s="1517"/>
      <c r="G1701" s="11"/>
      <c r="H1701" s="11"/>
      <c r="I1701" s="11"/>
      <c r="J1701" s="11"/>
    </row>
    <row r="1702" spans="1:11">
      <c r="A1702" s="11">
        <v>13</v>
      </c>
      <c r="B1702" s="2"/>
      <c r="C1702" s="11"/>
      <c r="D1702" s="201"/>
      <c r="E1702" s="11"/>
      <c r="F1702" s="1517"/>
      <c r="G1702" s="11"/>
      <c r="H1702" s="11"/>
      <c r="I1702" s="11"/>
      <c r="J1702" s="11"/>
    </row>
    <row r="1703" spans="1:11">
      <c r="A1703" s="11">
        <v>14</v>
      </c>
      <c r="B1703" s="2"/>
      <c r="C1703" s="11"/>
      <c r="D1703" s="11"/>
      <c r="E1703" s="11"/>
      <c r="F1703" s="1517"/>
      <c r="G1703" s="11"/>
      <c r="H1703" s="11"/>
      <c r="I1703" s="11"/>
      <c r="J1703" s="11"/>
    </row>
    <row r="1704" spans="1:11">
      <c r="J1704">
        <f>SUM(J1690:J1703)</f>
        <v>11</v>
      </c>
    </row>
    <row r="1705" spans="1:11" ht="24.6">
      <c r="A1705" s="2734" t="s">
        <v>1641</v>
      </c>
      <c r="B1705" s="2734"/>
      <c r="C1705" s="2734"/>
      <c r="D1705" s="2734"/>
      <c r="E1705" s="2734"/>
      <c r="F1705" s="2734"/>
      <c r="G1705" s="2734"/>
      <c r="H1705" s="2734"/>
      <c r="I1705" s="2734"/>
      <c r="J1705" s="2734"/>
    </row>
    <row r="1706" spans="1:11">
      <c r="A1706" s="2615" t="s">
        <v>3</v>
      </c>
      <c r="B1706" s="2616" t="s">
        <v>4</v>
      </c>
      <c r="C1706" s="2615" t="s">
        <v>5</v>
      </c>
      <c r="D1706" s="2615" t="s">
        <v>6</v>
      </c>
      <c r="E1706" s="2615" t="s">
        <v>7</v>
      </c>
      <c r="F1706" s="2615" t="s">
        <v>8</v>
      </c>
      <c r="G1706" s="2615" t="s">
        <v>9</v>
      </c>
      <c r="H1706" s="2615" t="s">
        <v>10</v>
      </c>
      <c r="I1706" s="2615" t="s">
        <v>11</v>
      </c>
      <c r="J1706" s="2615" t="s">
        <v>12</v>
      </c>
    </row>
    <row r="1707" spans="1:11">
      <c r="A1707" s="2617">
        <v>1</v>
      </c>
      <c r="B1707" s="2618"/>
      <c r="C1707" s="2619"/>
      <c r="D1707" s="2619"/>
      <c r="E1707" s="2619"/>
      <c r="F1707" s="2620"/>
      <c r="G1707" s="2619"/>
      <c r="H1707" s="2619"/>
      <c r="I1707" s="2619"/>
      <c r="J1707" s="2621"/>
    </row>
    <row r="1708" spans="1:11">
      <c r="A1708" s="2622">
        <v>2</v>
      </c>
      <c r="B1708" s="2618"/>
      <c r="C1708" s="2623"/>
      <c r="D1708" s="2619"/>
      <c r="E1708" s="2623"/>
      <c r="F1708" s="2624"/>
      <c r="G1708" s="2619"/>
      <c r="H1708" s="2619"/>
      <c r="I1708" s="2619"/>
      <c r="J1708" s="2621"/>
    </row>
    <row r="1709" spans="1:11">
      <c r="A1709" s="2617">
        <v>3</v>
      </c>
      <c r="B1709" s="2618"/>
      <c r="C1709" s="2619"/>
      <c r="D1709" s="2619"/>
      <c r="E1709" s="2619"/>
      <c r="F1709" s="2620"/>
      <c r="G1709" s="2619"/>
      <c r="H1709" s="2619"/>
      <c r="I1709" s="2619"/>
      <c r="J1709" s="2621"/>
    </row>
    <row r="1711" spans="1:11" ht="23.45">
      <c r="A1711" s="2736" t="s">
        <v>1642</v>
      </c>
      <c r="B1711" s="2736"/>
      <c r="C1711" s="2736"/>
      <c r="D1711" s="2736"/>
      <c r="E1711" s="2736"/>
      <c r="F1711" s="2736"/>
      <c r="G1711" s="2736"/>
      <c r="H1711" s="2736"/>
      <c r="I1711" s="2736"/>
      <c r="J1711" s="2736"/>
    </row>
    <row r="1712" spans="1:11" ht="15.6">
      <c r="A1712" s="2737" t="s">
        <v>2</v>
      </c>
      <c r="B1712" s="2737"/>
      <c r="C1712" s="2737"/>
      <c r="D1712" s="2737"/>
      <c r="E1712" s="2737"/>
      <c r="F1712" s="2737"/>
      <c r="G1712" s="2737"/>
      <c r="H1712" s="2737"/>
      <c r="I1712" s="2737"/>
      <c r="J1712" s="2737"/>
    </row>
    <row r="1713" spans="1:11">
      <c r="A1713" s="147" t="s">
        <v>3</v>
      </c>
      <c r="B1713" s="2543" t="s">
        <v>4</v>
      </c>
      <c r="C1713" s="147" t="s">
        <v>5</v>
      </c>
      <c r="D1713" s="147" t="s">
        <v>6</v>
      </c>
      <c r="E1713" s="147" t="s">
        <v>7</v>
      </c>
      <c r="F1713" s="2487" t="s">
        <v>8</v>
      </c>
      <c r="G1713" s="147" t="s">
        <v>9</v>
      </c>
      <c r="H1713" s="147" t="s">
        <v>1612</v>
      </c>
      <c r="I1713" s="147" t="s">
        <v>11</v>
      </c>
      <c r="J1713" s="147" t="s">
        <v>12</v>
      </c>
    </row>
    <row r="1714" spans="1:11">
      <c r="A1714" s="11">
        <v>1</v>
      </c>
      <c r="B1714" s="2537" t="s">
        <v>1627</v>
      </c>
      <c r="C1714" s="34" t="s">
        <v>1613</v>
      </c>
      <c r="D1714" s="34" t="s">
        <v>1643</v>
      </c>
      <c r="E1714" s="34" t="s">
        <v>1615</v>
      </c>
      <c r="F1714" s="1517">
        <v>1800000</v>
      </c>
      <c r="G1714" s="34" t="s">
        <v>1616</v>
      </c>
      <c r="H1714" s="34" t="s">
        <v>36</v>
      </c>
      <c r="I1714" s="34" t="s">
        <v>36</v>
      </c>
      <c r="J1714" s="34">
        <v>1</v>
      </c>
      <c r="K1714" t="s">
        <v>1633</v>
      </c>
    </row>
    <row r="1715" spans="1:11">
      <c r="A1715" s="11">
        <v>2</v>
      </c>
      <c r="B1715" s="2537" t="s">
        <v>1630</v>
      </c>
      <c r="C1715" s="34" t="s">
        <v>1613</v>
      </c>
      <c r="D1715" s="34" t="s">
        <v>1644</v>
      </c>
      <c r="E1715" s="11" t="s">
        <v>1632</v>
      </c>
      <c r="F1715" s="1517">
        <v>1800000</v>
      </c>
      <c r="G1715" s="11" t="s">
        <v>1616</v>
      </c>
      <c r="H1715" s="11" t="s">
        <v>36</v>
      </c>
      <c r="I1715" s="11" t="s">
        <v>36</v>
      </c>
      <c r="J1715" s="11">
        <v>1</v>
      </c>
      <c r="K1715" t="s">
        <v>1633</v>
      </c>
    </row>
    <row r="1716" spans="1:11">
      <c r="A1716" s="11">
        <v>3</v>
      </c>
      <c r="B1716" s="51" t="s">
        <v>1645</v>
      </c>
      <c r="C1716" s="34" t="s">
        <v>1613</v>
      </c>
      <c r="D1716" s="11" t="s">
        <v>1646</v>
      </c>
      <c r="E1716" s="11" t="s">
        <v>1647</v>
      </c>
      <c r="F1716" s="1517">
        <v>1700000</v>
      </c>
      <c r="G1716" s="11" t="s">
        <v>1616</v>
      </c>
      <c r="H1716" s="11" t="s">
        <v>36</v>
      </c>
      <c r="I1716" s="11" t="s">
        <v>36</v>
      </c>
      <c r="J1716" s="11">
        <v>1</v>
      </c>
      <c r="K1716" t="s">
        <v>1633</v>
      </c>
    </row>
    <row r="1717" spans="1:11">
      <c r="A1717" s="11"/>
      <c r="B1717" s="51" t="s">
        <v>1648</v>
      </c>
      <c r="C1717" s="34" t="s">
        <v>92</v>
      </c>
      <c r="D1717" s="11" t="s">
        <v>1649</v>
      </c>
      <c r="E1717" s="11" t="s">
        <v>1615</v>
      </c>
      <c r="F1717" s="1517">
        <v>1600000</v>
      </c>
      <c r="G1717" s="11" t="s">
        <v>1616</v>
      </c>
      <c r="H1717" s="11" t="s">
        <v>36</v>
      </c>
      <c r="I1717" s="11" t="s">
        <v>36</v>
      </c>
      <c r="J1717" s="11">
        <v>1</v>
      </c>
      <c r="K1717" t="s">
        <v>1633</v>
      </c>
    </row>
    <row r="1718" spans="1:11">
      <c r="A1718" s="11">
        <v>4</v>
      </c>
      <c r="B1718" s="2537" t="s">
        <v>1650</v>
      </c>
      <c r="C1718" s="34" t="s">
        <v>74</v>
      </c>
      <c r="D1718" s="11" t="s">
        <v>1651</v>
      </c>
      <c r="E1718" s="11" t="s">
        <v>1652</v>
      </c>
      <c r="F1718" s="1517">
        <v>3000000</v>
      </c>
      <c r="G1718" s="11" t="s">
        <v>1616</v>
      </c>
      <c r="H1718" s="11" t="s">
        <v>36</v>
      </c>
      <c r="I1718" s="11" t="s">
        <v>36</v>
      </c>
      <c r="J1718" s="11">
        <v>1</v>
      </c>
      <c r="K1718" t="s">
        <v>1633</v>
      </c>
    </row>
    <row r="1719" spans="1:11">
      <c r="A1719" s="11">
        <v>5</v>
      </c>
      <c r="B1719" s="2537" t="s">
        <v>1634</v>
      </c>
      <c r="C1719" s="34" t="s">
        <v>74</v>
      </c>
      <c r="D1719" s="11" t="s">
        <v>1653</v>
      </c>
      <c r="E1719" s="11" t="s">
        <v>1636</v>
      </c>
      <c r="F1719" s="1517">
        <v>1200000</v>
      </c>
      <c r="G1719" s="11" t="s">
        <v>168</v>
      </c>
      <c r="H1719" s="11" t="s">
        <v>36</v>
      </c>
      <c r="I1719" s="11" t="s">
        <v>36</v>
      </c>
      <c r="J1719" s="11">
        <v>1</v>
      </c>
      <c r="K1719" t="s">
        <v>1633</v>
      </c>
    </row>
    <row r="1720" spans="1:11" ht="15">
      <c r="A1720" s="11">
        <v>6</v>
      </c>
      <c r="B1720" s="2537" t="s">
        <v>1654</v>
      </c>
      <c r="C1720" s="34" t="s">
        <v>1613</v>
      </c>
      <c r="D1720" s="2644" t="s">
        <v>1655</v>
      </c>
      <c r="E1720" s="11" t="s">
        <v>1656</v>
      </c>
      <c r="F1720" s="1517">
        <v>1200000</v>
      </c>
      <c r="G1720" s="11" t="s">
        <v>1616</v>
      </c>
      <c r="H1720" s="11" t="s">
        <v>36</v>
      </c>
      <c r="I1720" s="11" t="s">
        <v>36</v>
      </c>
      <c r="J1720" s="11">
        <v>1</v>
      </c>
      <c r="K1720" t="s">
        <v>1633</v>
      </c>
    </row>
    <row r="1721" spans="1:11">
      <c r="A1721" s="11">
        <v>7</v>
      </c>
      <c r="B1721" s="2537" t="s">
        <v>1654</v>
      </c>
      <c r="C1721" s="11" t="s">
        <v>1613</v>
      </c>
      <c r="D1721" s="11" t="s">
        <v>1657</v>
      </c>
      <c r="E1721" s="11" t="s">
        <v>1626</v>
      </c>
      <c r="F1721" s="1517">
        <v>1300000</v>
      </c>
      <c r="G1721" s="11" t="s">
        <v>1616</v>
      </c>
      <c r="H1721" s="11" t="s">
        <v>36</v>
      </c>
      <c r="I1721" s="11" t="s">
        <v>36</v>
      </c>
      <c r="J1721" s="11">
        <v>1</v>
      </c>
      <c r="K1721" t="s">
        <v>1633</v>
      </c>
    </row>
    <row r="1722" spans="1:11">
      <c r="A1722" s="11">
        <v>8</v>
      </c>
      <c r="B1722" s="2537" t="s">
        <v>1654</v>
      </c>
      <c r="C1722" s="11" t="s">
        <v>1613</v>
      </c>
      <c r="D1722" s="34" t="s">
        <v>1658</v>
      </c>
      <c r="E1722" s="11" t="s">
        <v>1647</v>
      </c>
      <c r="F1722" s="1517">
        <v>3000000</v>
      </c>
      <c r="G1722" s="11" t="s">
        <v>1616</v>
      </c>
      <c r="H1722" s="11" t="s">
        <v>36</v>
      </c>
      <c r="I1722" s="11" t="s">
        <v>36</v>
      </c>
      <c r="J1722" s="11">
        <v>1</v>
      </c>
      <c r="K1722" t="s">
        <v>1633</v>
      </c>
    </row>
    <row r="1723" spans="1:11" ht="15">
      <c r="A1723" s="11">
        <v>9</v>
      </c>
      <c r="B1723" s="2537" t="s">
        <v>1654</v>
      </c>
      <c r="C1723" s="11" t="s">
        <v>1638</v>
      </c>
      <c r="D1723" s="2644" t="s">
        <v>1659</v>
      </c>
      <c r="E1723" t="s">
        <v>1660</v>
      </c>
      <c r="F1723" s="1517">
        <v>1150000</v>
      </c>
      <c r="G1723" s="11" t="s">
        <v>1616</v>
      </c>
      <c r="H1723" s="11" t="s">
        <v>36</v>
      </c>
      <c r="I1723" s="11" t="s">
        <v>1661</v>
      </c>
      <c r="J1723" s="11">
        <v>1</v>
      </c>
      <c r="K1723" t="s">
        <v>1633</v>
      </c>
    </row>
    <row r="1724" spans="1:11">
      <c r="A1724" s="11">
        <v>10</v>
      </c>
      <c r="B1724" s="2550" t="s">
        <v>1637</v>
      </c>
      <c r="C1724" s="11" t="s">
        <v>92</v>
      </c>
      <c r="D1724" s="34" t="s">
        <v>1662</v>
      </c>
      <c r="E1724" s="11" t="s">
        <v>1626</v>
      </c>
      <c r="F1724" s="1517">
        <v>1250000</v>
      </c>
      <c r="G1724" s="11" t="s">
        <v>1616</v>
      </c>
      <c r="H1724" s="11" t="s">
        <v>36</v>
      </c>
      <c r="I1724" s="11" t="s">
        <v>36</v>
      </c>
      <c r="J1724" s="11">
        <v>1</v>
      </c>
      <c r="K1724" t="s">
        <v>1633</v>
      </c>
    </row>
    <row r="1725" spans="1:11">
      <c r="A1725" s="11">
        <v>11</v>
      </c>
      <c r="B1725" s="2550" t="s">
        <v>1663</v>
      </c>
      <c r="C1725" s="11" t="s">
        <v>74</v>
      </c>
      <c r="D1725" s="34" t="s">
        <v>1664</v>
      </c>
      <c r="E1725" s="11" t="s">
        <v>1652</v>
      </c>
      <c r="F1725" s="1517">
        <v>3300000</v>
      </c>
      <c r="G1725" s="11" t="s">
        <v>1616</v>
      </c>
      <c r="H1725" s="11" t="s">
        <v>36</v>
      </c>
      <c r="I1725" s="11" t="s">
        <v>36</v>
      </c>
      <c r="J1725" s="11">
        <v>1</v>
      </c>
      <c r="K1725" t="s">
        <v>1633</v>
      </c>
    </row>
    <row r="1726" spans="1:11">
      <c r="A1726" s="11">
        <v>12</v>
      </c>
      <c r="B1726" s="2"/>
      <c r="C1726" s="11"/>
      <c r="D1726" s="34"/>
      <c r="E1726" s="11"/>
      <c r="F1726" s="1517"/>
      <c r="G1726" s="11"/>
      <c r="H1726" s="11"/>
      <c r="I1726" s="11"/>
      <c r="J1726" s="11"/>
    </row>
    <row r="1727" spans="1:11">
      <c r="A1727" s="11">
        <v>13</v>
      </c>
      <c r="B1727" s="2"/>
      <c r="C1727" s="11"/>
      <c r="D1727" s="34"/>
      <c r="E1727" s="11"/>
      <c r="F1727" s="1517"/>
      <c r="G1727" s="11"/>
      <c r="H1727" s="11"/>
      <c r="I1727" s="11"/>
      <c r="J1727" s="11"/>
    </row>
    <row r="1728" spans="1:11">
      <c r="A1728" s="11">
        <v>14</v>
      </c>
      <c r="B1728" s="2"/>
      <c r="C1728" s="11"/>
      <c r="D1728" s="11"/>
      <c r="E1728" s="11"/>
      <c r="F1728" s="1517"/>
      <c r="G1728" s="11"/>
      <c r="H1728" s="11"/>
      <c r="I1728" s="11"/>
      <c r="J1728" s="11"/>
    </row>
    <row r="1729" spans="1:11">
      <c r="J1729">
        <f>SUM(J1714:J1728)</f>
        <v>12</v>
      </c>
    </row>
    <row r="1730" spans="1:11" ht="24.6">
      <c r="A1730" s="2734" t="s">
        <v>1641</v>
      </c>
      <c r="B1730" s="2734"/>
      <c r="C1730" s="2734"/>
      <c r="D1730" s="2734"/>
      <c r="E1730" s="2734"/>
      <c r="F1730" s="2734"/>
      <c r="G1730" s="2734"/>
      <c r="H1730" s="2734"/>
      <c r="I1730" s="2734"/>
      <c r="J1730" s="2734"/>
    </row>
    <row r="1731" spans="1:11">
      <c r="A1731" s="2615" t="s">
        <v>3</v>
      </c>
      <c r="B1731" s="2616" t="s">
        <v>4</v>
      </c>
      <c r="C1731" s="2615" t="s">
        <v>5</v>
      </c>
      <c r="D1731" s="2615" t="s">
        <v>6</v>
      </c>
      <c r="E1731" s="2615" t="s">
        <v>7</v>
      </c>
      <c r="F1731" s="2615" t="s">
        <v>8</v>
      </c>
      <c r="G1731" s="2615" t="s">
        <v>9</v>
      </c>
      <c r="H1731" s="2615" t="s">
        <v>10</v>
      </c>
      <c r="I1731" s="2615" t="s">
        <v>11</v>
      </c>
      <c r="J1731" s="2615" t="s">
        <v>12</v>
      </c>
    </row>
    <row r="1732" spans="1:11">
      <c r="A1732" s="2617">
        <v>1</v>
      </c>
      <c r="B1732" s="2618" t="s">
        <v>1637</v>
      </c>
      <c r="C1732" s="2619" t="s">
        <v>92</v>
      </c>
      <c r="D1732" s="2625" t="s">
        <v>1665</v>
      </c>
      <c r="E1732" s="2619" t="s">
        <v>1626</v>
      </c>
      <c r="F1732" s="2620">
        <v>245000000</v>
      </c>
      <c r="G1732" s="2619" t="s">
        <v>1616</v>
      </c>
      <c r="H1732" s="2619" t="s">
        <v>36</v>
      </c>
      <c r="I1732" s="2619" t="s">
        <v>36</v>
      </c>
      <c r="J1732" s="2621">
        <v>1</v>
      </c>
    </row>
    <row r="1733" spans="1:11" ht="15.6">
      <c r="A1733" s="2622">
        <v>2</v>
      </c>
      <c r="B1733" s="2618" t="s">
        <v>1663</v>
      </c>
      <c r="C1733" s="2619" t="s">
        <v>74</v>
      </c>
      <c r="D1733" s="2626" t="s">
        <v>1666</v>
      </c>
      <c r="E1733" s="2623" t="s">
        <v>1652</v>
      </c>
      <c r="F1733" s="2624">
        <v>595000000</v>
      </c>
      <c r="G1733" s="2623" t="s">
        <v>1616</v>
      </c>
      <c r="H1733" s="2623" t="s">
        <v>36</v>
      </c>
      <c r="I1733" s="2623" t="s">
        <v>36</v>
      </c>
      <c r="J1733" s="2627">
        <v>1</v>
      </c>
    </row>
    <row r="1734" spans="1:11">
      <c r="A1734" s="2617">
        <v>3</v>
      </c>
      <c r="B1734" s="2618" t="s">
        <v>1663</v>
      </c>
      <c r="C1734" s="2619" t="s">
        <v>74</v>
      </c>
      <c r="D1734" s="2619" t="s">
        <v>1666</v>
      </c>
      <c r="E1734" s="2619" t="s">
        <v>1652</v>
      </c>
      <c r="F1734" s="2620">
        <v>560000000</v>
      </c>
      <c r="G1734" s="2619" t="s">
        <v>1616</v>
      </c>
      <c r="H1734" s="2619" t="s">
        <v>36</v>
      </c>
      <c r="I1734" s="2619" t="s">
        <v>36</v>
      </c>
      <c r="J1734" s="2621">
        <v>1</v>
      </c>
    </row>
    <row r="1736" spans="1:11" ht="23.45">
      <c r="A1736" s="2736" t="s">
        <v>1667</v>
      </c>
      <c r="B1736" s="2736"/>
      <c r="C1736" s="2736"/>
      <c r="D1736" s="2736"/>
      <c r="E1736" s="2736"/>
      <c r="F1736" s="2736"/>
      <c r="G1736" s="2736"/>
      <c r="H1736" s="2736"/>
      <c r="I1736" s="2736"/>
      <c r="J1736" s="2736"/>
    </row>
    <row r="1737" spans="1:11" ht="15.6">
      <c r="A1737" s="2737" t="s">
        <v>2</v>
      </c>
      <c r="B1737" s="2740"/>
      <c r="C1737" s="2740"/>
      <c r="D1737" s="2740"/>
      <c r="E1737" s="2740"/>
      <c r="F1737" s="2740"/>
      <c r="G1737" s="2740"/>
      <c r="H1737" s="2740"/>
      <c r="I1737" s="2740"/>
      <c r="J1737" s="2740"/>
    </row>
    <row r="1738" spans="1:11">
      <c r="A1738" s="2646" t="s">
        <v>3</v>
      </c>
      <c r="B1738" s="2" t="s">
        <v>4</v>
      </c>
      <c r="C1738" s="11" t="s">
        <v>5</v>
      </c>
      <c r="D1738" s="11" t="s">
        <v>6</v>
      </c>
      <c r="E1738" s="11" t="s">
        <v>7</v>
      </c>
      <c r="F1738" s="1769" t="s">
        <v>8</v>
      </c>
      <c r="G1738" s="11" t="s">
        <v>9</v>
      </c>
      <c r="H1738" s="11" t="s">
        <v>1612</v>
      </c>
      <c r="I1738" s="11" t="s">
        <v>11</v>
      </c>
      <c r="J1738" s="11" t="s">
        <v>12</v>
      </c>
    </row>
    <row r="1739" spans="1:11">
      <c r="A1739" s="10">
        <v>1</v>
      </c>
      <c r="B1739" s="51" t="s">
        <v>1627</v>
      </c>
      <c r="C1739" s="34" t="s">
        <v>1613</v>
      </c>
      <c r="D1739" s="201" t="s">
        <v>1668</v>
      </c>
      <c r="E1739" s="34" t="s">
        <v>1615</v>
      </c>
      <c r="F1739" s="1305">
        <v>1700000</v>
      </c>
      <c r="G1739" s="34" t="s">
        <v>1616</v>
      </c>
      <c r="H1739" s="34" t="s">
        <v>36</v>
      </c>
      <c r="I1739" s="34" t="s">
        <v>36</v>
      </c>
      <c r="J1739" s="34">
        <v>1</v>
      </c>
      <c r="K1739" t="s">
        <v>1633</v>
      </c>
    </row>
    <row r="1740" spans="1:11">
      <c r="A1740" s="10">
        <v>2</v>
      </c>
      <c r="B1740" s="51" t="s">
        <v>1630</v>
      </c>
      <c r="C1740" s="34" t="s">
        <v>1613</v>
      </c>
      <c r="D1740" s="201" t="s">
        <v>1669</v>
      </c>
      <c r="E1740" s="11" t="s">
        <v>1632</v>
      </c>
      <c r="F1740" s="1517">
        <v>1850000</v>
      </c>
      <c r="G1740" s="11" t="s">
        <v>1616</v>
      </c>
      <c r="H1740" s="11" t="s">
        <v>36</v>
      </c>
      <c r="I1740" s="11" t="s">
        <v>36</v>
      </c>
      <c r="J1740" s="11">
        <v>1</v>
      </c>
      <c r="K1740" t="s">
        <v>1633</v>
      </c>
    </row>
    <row r="1741" spans="1:11">
      <c r="A1741" s="10">
        <v>3</v>
      </c>
      <c r="B1741" s="51" t="s">
        <v>1648</v>
      </c>
      <c r="C1741" s="34" t="s">
        <v>1613</v>
      </c>
      <c r="D1741" s="201" t="s">
        <v>1670</v>
      </c>
      <c r="E1741" s="11" t="s">
        <v>1615</v>
      </c>
      <c r="F1741" s="1517">
        <v>1550000</v>
      </c>
      <c r="G1741" s="11" t="s">
        <v>1616</v>
      </c>
      <c r="H1741" s="11" t="s">
        <v>36</v>
      </c>
      <c r="I1741" s="11" t="s">
        <v>36</v>
      </c>
      <c r="J1741" s="11">
        <v>1</v>
      </c>
      <c r="K1741" t="s">
        <v>1633</v>
      </c>
    </row>
    <row r="1742" spans="1:11">
      <c r="A1742" s="10">
        <v>4</v>
      </c>
      <c r="B1742" s="2550" t="s">
        <v>1671</v>
      </c>
      <c r="C1742" s="34" t="s">
        <v>1613</v>
      </c>
      <c r="D1742" s="201" t="s">
        <v>1672</v>
      </c>
      <c r="E1742" s="11" t="s">
        <v>1629</v>
      </c>
      <c r="F1742" s="1517">
        <v>1600000</v>
      </c>
      <c r="G1742" s="11" t="s">
        <v>1616</v>
      </c>
      <c r="H1742" s="11" t="s">
        <v>36</v>
      </c>
      <c r="I1742" s="11" t="s">
        <v>36</v>
      </c>
      <c r="J1742" s="11">
        <v>1</v>
      </c>
      <c r="K1742" t="s">
        <v>1633</v>
      </c>
    </row>
    <row r="1743" spans="1:11">
      <c r="A1743" s="10">
        <v>5</v>
      </c>
      <c r="B1743" s="2550" t="s">
        <v>1650</v>
      </c>
      <c r="C1743" s="34" t="s">
        <v>1613</v>
      </c>
      <c r="D1743" s="201" t="s">
        <v>1673</v>
      </c>
      <c r="E1743" s="34" t="s">
        <v>1626</v>
      </c>
      <c r="F1743" s="1517">
        <v>1200000</v>
      </c>
      <c r="G1743" s="11" t="s">
        <v>1616</v>
      </c>
      <c r="H1743" s="11" t="s">
        <v>36</v>
      </c>
      <c r="I1743" s="11" t="s">
        <v>36</v>
      </c>
      <c r="J1743" s="11">
        <v>1</v>
      </c>
      <c r="K1743" t="s">
        <v>1633</v>
      </c>
    </row>
    <row r="1744" spans="1:11">
      <c r="A1744" s="10">
        <v>6</v>
      </c>
      <c r="B1744" s="2550" t="s">
        <v>1634</v>
      </c>
      <c r="C1744" s="34" t="s">
        <v>74</v>
      </c>
      <c r="D1744" s="201" t="s">
        <v>1674</v>
      </c>
      <c r="E1744" s="34" t="s">
        <v>1675</v>
      </c>
      <c r="F1744" s="1517">
        <v>5000000</v>
      </c>
      <c r="G1744" s="11" t="s">
        <v>1616</v>
      </c>
      <c r="H1744" s="11" t="s">
        <v>36</v>
      </c>
      <c r="I1744" s="11" t="s">
        <v>36</v>
      </c>
      <c r="J1744" s="11">
        <v>1</v>
      </c>
      <c r="K1744" t="s">
        <v>1633</v>
      </c>
    </row>
    <row r="1745" spans="1:11">
      <c r="A1745" s="10">
        <v>7</v>
      </c>
      <c r="B1745" s="2550" t="s">
        <v>1634</v>
      </c>
      <c r="C1745" s="11" t="s">
        <v>74</v>
      </c>
      <c r="D1745" s="201" t="s">
        <v>1676</v>
      </c>
      <c r="E1745" s="11" t="s">
        <v>1677</v>
      </c>
      <c r="F1745" s="1517">
        <v>6500000</v>
      </c>
      <c r="G1745" s="11" t="s">
        <v>1616</v>
      </c>
      <c r="H1745" s="11" t="s">
        <v>36</v>
      </c>
      <c r="I1745" s="11" t="s">
        <v>36</v>
      </c>
      <c r="J1745" s="11">
        <v>1</v>
      </c>
      <c r="K1745" t="s">
        <v>1633</v>
      </c>
    </row>
    <row r="1746" spans="1:11">
      <c r="A1746" s="10">
        <v>8</v>
      </c>
      <c r="B1746" s="2550" t="s">
        <v>1654</v>
      </c>
      <c r="C1746" s="11" t="s">
        <v>74</v>
      </c>
      <c r="D1746" s="201" t="s">
        <v>1678</v>
      </c>
      <c r="E1746" s="11" t="s">
        <v>1677</v>
      </c>
      <c r="F1746" s="1517">
        <v>5500000</v>
      </c>
      <c r="G1746" s="11" t="s">
        <v>1616</v>
      </c>
      <c r="H1746" s="11" t="s">
        <v>36</v>
      </c>
      <c r="I1746" s="11" t="s">
        <v>36</v>
      </c>
      <c r="J1746" s="11">
        <v>1</v>
      </c>
      <c r="K1746" t="s">
        <v>1633</v>
      </c>
    </row>
    <row r="1747" spans="1:11">
      <c r="A1747" s="10">
        <v>9</v>
      </c>
      <c r="B1747" s="2550" t="s">
        <v>1654</v>
      </c>
      <c r="C1747" s="11" t="s">
        <v>1613</v>
      </c>
      <c r="D1747" s="201" t="s">
        <v>1679</v>
      </c>
      <c r="E1747" s="11" t="s">
        <v>105</v>
      </c>
      <c r="F1747" s="1517">
        <v>6500000</v>
      </c>
      <c r="G1747" s="11" t="s">
        <v>1616</v>
      </c>
      <c r="H1747" s="11" t="s">
        <v>36</v>
      </c>
      <c r="I1747" s="11" t="s">
        <v>36</v>
      </c>
      <c r="J1747" s="11">
        <v>1</v>
      </c>
      <c r="K1747" t="s">
        <v>1633</v>
      </c>
    </row>
    <row r="1748" spans="1:11" ht="15">
      <c r="A1748" s="10">
        <v>10</v>
      </c>
      <c r="B1748" s="2550" t="s">
        <v>1637</v>
      </c>
      <c r="C1748" s="11" t="s">
        <v>74</v>
      </c>
      <c r="D1748" s="2658" t="s">
        <v>1680</v>
      </c>
      <c r="E1748" s="11" t="s">
        <v>1681</v>
      </c>
      <c r="F1748" s="1517">
        <v>2600000</v>
      </c>
      <c r="G1748" s="11" t="s">
        <v>1616</v>
      </c>
      <c r="H1748" s="11" t="s">
        <v>36</v>
      </c>
      <c r="I1748" s="11" t="s">
        <v>36</v>
      </c>
      <c r="J1748" s="11">
        <v>1</v>
      </c>
      <c r="K1748" t="s">
        <v>1633</v>
      </c>
    </row>
    <row r="1749" spans="1:11" ht="15">
      <c r="A1749" s="10">
        <v>11</v>
      </c>
      <c r="B1749" s="2550" t="s">
        <v>1663</v>
      </c>
      <c r="C1749" s="11" t="s">
        <v>1613</v>
      </c>
      <c r="D1749" s="2658" t="s">
        <v>1682</v>
      </c>
      <c r="E1749" s="11" t="s">
        <v>1636</v>
      </c>
      <c r="F1749" s="1517">
        <v>1200000</v>
      </c>
      <c r="G1749" s="11" t="s">
        <v>168</v>
      </c>
      <c r="H1749" s="11" t="s">
        <v>36</v>
      </c>
      <c r="I1749" s="11" t="s">
        <v>36</v>
      </c>
      <c r="J1749" s="11">
        <v>1</v>
      </c>
      <c r="K1749" t="s">
        <v>1633</v>
      </c>
    </row>
    <row r="1750" spans="1:11" ht="15">
      <c r="A1750" s="10">
        <v>12</v>
      </c>
      <c r="B1750" s="2550" t="s">
        <v>1663</v>
      </c>
      <c r="C1750" s="11" t="s">
        <v>1613</v>
      </c>
      <c r="D1750" s="2658" t="s">
        <v>1683</v>
      </c>
      <c r="E1750" s="11" t="s">
        <v>1636</v>
      </c>
      <c r="F1750" s="1517">
        <v>1300000</v>
      </c>
      <c r="G1750" s="11" t="s">
        <v>168</v>
      </c>
      <c r="H1750" s="11" t="s">
        <v>36</v>
      </c>
      <c r="I1750" s="11" t="s">
        <v>36</v>
      </c>
      <c r="J1750" s="11">
        <v>1</v>
      </c>
      <c r="K1750" t="s">
        <v>1633</v>
      </c>
    </row>
    <row r="1751" spans="1:11">
      <c r="A1751" s="10">
        <v>13</v>
      </c>
      <c r="B1751" s="2" t="s">
        <v>1684</v>
      </c>
      <c r="C1751" s="11" t="s">
        <v>1638</v>
      </c>
      <c r="D1751" s="34" t="s">
        <v>1685</v>
      </c>
      <c r="E1751" s="11" t="s">
        <v>1686</v>
      </c>
      <c r="F1751" s="1517">
        <v>1600000</v>
      </c>
      <c r="G1751" s="11" t="s">
        <v>1616</v>
      </c>
      <c r="H1751" s="11" t="s">
        <v>36</v>
      </c>
      <c r="I1751" s="11" t="s">
        <v>36</v>
      </c>
      <c r="J1751" s="11">
        <v>1</v>
      </c>
      <c r="K1751" t="s">
        <v>1633</v>
      </c>
    </row>
    <row r="1752" spans="1:11">
      <c r="A1752" s="10">
        <v>14</v>
      </c>
      <c r="B1752" s="2" t="s">
        <v>1684</v>
      </c>
      <c r="C1752" s="11" t="s">
        <v>74</v>
      </c>
      <c r="D1752" s="34" t="s">
        <v>1687</v>
      </c>
      <c r="E1752" s="11" t="s">
        <v>1681</v>
      </c>
      <c r="F1752" s="1517">
        <v>2600000</v>
      </c>
      <c r="G1752" s="11" t="s">
        <v>1616</v>
      </c>
      <c r="H1752" s="11" t="s">
        <v>36</v>
      </c>
      <c r="I1752" s="11" t="s">
        <v>36</v>
      </c>
      <c r="J1752" s="11">
        <v>1</v>
      </c>
      <c r="K1752" t="s">
        <v>1633</v>
      </c>
    </row>
    <row r="1753" spans="1:11">
      <c r="B1753" s="2"/>
      <c r="C1753" s="11"/>
      <c r="D1753" s="34"/>
      <c r="E1753" s="11"/>
      <c r="F1753" s="11"/>
      <c r="G1753" s="11"/>
      <c r="H1753" s="11"/>
      <c r="I1753" s="11"/>
      <c r="J1753" s="11">
        <f>SUM(J1739:J1752)</f>
        <v>14</v>
      </c>
    </row>
    <row r="1754" spans="1:11" ht="24.6">
      <c r="A1754" s="2734" t="s">
        <v>1641</v>
      </c>
      <c r="B1754" s="2735"/>
      <c r="C1754" s="2735"/>
      <c r="D1754" s="2735"/>
      <c r="E1754" s="2735"/>
      <c r="F1754" s="2735"/>
      <c r="G1754" s="2735"/>
      <c r="H1754" s="2735"/>
      <c r="I1754" s="2735"/>
      <c r="J1754" s="2735"/>
    </row>
    <row r="1755" spans="1:11">
      <c r="A1755" s="2615" t="s">
        <v>3</v>
      </c>
      <c r="B1755" s="2616" t="s">
        <v>4</v>
      </c>
      <c r="C1755" s="2615" t="s">
        <v>5</v>
      </c>
      <c r="D1755" s="2615" t="s">
        <v>6</v>
      </c>
      <c r="E1755" s="2615" t="s">
        <v>7</v>
      </c>
      <c r="F1755" s="2615" t="s">
        <v>8</v>
      </c>
      <c r="G1755" s="2615" t="s">
        <v>9</v>
      </c>
      <c r="H1755" s="2615" t="s">
        <v>10</v>
      </c>
      <c r="I1755" s="2615" t="s">
        <v>11</v>
      </c>
      <c r="J1755" s="2615" t="s">
        <v>12</v>
      </c>
    </row>
    <row r="1756" spans="1:11">
      <c r="A1756" s="2617">
        <v>1</v>
      </c>
      <c r="B1756" s="2618"/>
      <c r="C1756" s="2619"/>
      <c r="D1756" s="2625"/>
      <c r="E1756" s="2619"/>
      <c r="F1756" s="2620"/>
      <c r="G1756" s="2619"/>
      <c r="H1756" s="2619"/>
      <c r="I1756" s="2619"/>
      <c r="J1756" s="2621"/>
    </row>
    <row r="1757" spans="1:11" ht="15.6">
      <c r="A1757" s="2622">
        <v>2</v>
      </c>
      <c r="B1757" s="2628"/>
      <c r="C1757" s="2623"/>
      <c r="D1757" s="2626"/>
      <c r="E1757" s="2623"/>
      <c r="F1757" s="2624"/>
      <c r="G1757" s="2623"/>
      <c r="H1757" s="2623"/>
      <c r="I1757" s="2623"/>
      <c r="J1757" s="2627"/>
    </row>
    <row r="1758" spans="1:11">
      <c r="A1758" s="2617">
        <v>3</v>
      </c>
      <c r="B1758" s="2618"/>
      <c r="C1758" s="2619"/>
      <c r="D1758" s="2619"/>
      <c r="E1758" s="2619"/>
      <c r="F1758" s="2620"/>
      <c r="G1758" s="2619"/>
      <c r="H1758" s="2619"/>
      <c r="I1758" s="2619"/>
      <c r="J1758" s="2621"/>
    </row>
    <row r="1759" spans="1:11" ht="15"/>
    <row r="1761" spans="1:11" ht="23.45">
      <c r="A1761" s="2736" t="s">
        <v>118</v>
      </c>
      <c r="B1761" s="2736"/>
      <c r="C1761" s="2736"/>
      <c r="D1761" s="2736"/>
      <c r="E1761" s="2736"/>
      <c r="F1761" s="2736"/>
      <c r="G1761" s="2736"/>
      <c r="H1761" s="2736"/>
      <c r="I1761" s="2736"/>
      <c r="J1761" s="2736"/>
    </row>
    <row r="1762" spans="1:11" ht="15.6">
      <c r="A1762" s="2737" t="s">
        <v>2</v>
      </c>
      <c r="B1762" s="2737"/>
      <c r="C1762" s="2737"/>
      <c r="D1762" s="2737"/>
      <c r="E1762" s="2737"/>
      <c r="F1762" s="2737"/>
      <c r="G1762" s="2737"/>
      <c r="H1762" s="2737"/>
      <c r="I1762" s="2737"/>
      <c r="J1762" s="2737"/>
    </row>
    <row r="1763" spans="1:11">
      <c r="A1763" s="147" t="s">
        <v>3</v>
      </c>
      <c r="B1763" s="2543" t="s">
        <v>4</v>
      </c>
      <c r="C1763" s="147" t="s">
        <v>5</v>
      </c>
      <c r="D1763" s="147" t="s">
        <v>6</v>
      </c>
      <c r="E1763" s="147" t="s">
        <v>7</v>
      </c>
      <c r="F1763" s="2487" t="s">
        <v>8</v>
      </c>
      <c r="G1763" s="147" t="s">
        <v>9</v>
      </c>
      <c r="H1763" s="147" t="s">
        <v>1612</v>
      </c>
      <c r="I1763" s="147" t="s">
        <v>11</v>
      </c>
      <c r="J1763" s="147" t="s">
        <v>12</v>
      </c>
    </row>
    <row r="1764" spans="1:11">
      <c r="A1764" s="11">
        <v>1</v>
      </c>
      <c r="B1764" s="51"/>
      <c r="C1764" s="34"/>
      <c r="D1764" s="34"/>
      <c r="E1764" s="34"/>
      <c r="F1764" s="2508"/>
      <c r="G1764" s="34"/>
      <c r="H1764" s="34"/>
      <c r="I1764" s="34"/>
      <c r="J1764" s="34"/>
    </row>
    <row r="1765" spans="1:11" ht="15"/>
    <row r="1766" spans="1:11" ht="15">
      <c r="A1766" s="2738" t="s">
        <v>1688</v>
      </c>
      <c r="B1766" s="2739"/>
      <c r="C1766" s="2739"/>
      <c r="D1766" s="2739"/>
      <c r="E1766" s="2739"/>
      <c r="F1766" s="2739"/>
      <c r="G1766" s="2739"/>
      <c r="H1766" s="2739"/>
      <c r="I1766" s="2739"/>
      <c r="J1766" s="2739"/>
    </row>
    <row r="1767" spans="1:11" ht="15">
      <c r="A1767" s="2739"/>
      <c r="B1767" s="2739"/>
      <c r="C1767" s="2739"/>
      <c r="D1767" s="2739"/>
      <c r="E1767" s="2739"/>
      <c r="F1767" s="2739"/>
      <c r="G1767" s="2739"/>
      <c r="H1767" s="2739"/>
      <c r="I1767" s="2739"/>
      <c r="J1767" s="2739"/>
    </row>
    <row r="1768" spans="1:11" ht="15"/>
    <row r="1769" spans="1:11" ht="23.25">
      <c r="A1769" s="2736" t="s">
        <v>1611</v>
      </c>
      <c r="B1769" s="2736"/>
      <c r="C1769" s="2736"/>
      <c r="D1769" s="2736"/>
      <c r="E1769" s="2736"/>
      <c r="F1769" s="2736"/>
      <c r="G1769" s="2736"/>
      <c r="H1769" s="2736"/>
      <c r="I1769" s="2736"/>
      <c r="J1769" s="2736"/>
    </row>
    <row r="1770" spans="1:11" ht="15.75">
      <c r="A1770" s="2737" t="s">
        <v>2</v>
      </c>
      <c r="B1770" s="2740"/>
      <c r="C1770" s="2740"/>
      <c r="D1770" s="2740"/>
      <c r="E1770" s="2740"/>
      <c r="F1770" s="2740"/>
      <c r="G1770" s="2740"/>
      <c r="H1770" s="2740"/>
      <c r="I1770" s="2740"/>
      <c r="J1770" s="2740"/>
    </row>
    <row r="1771" spans="1:11" ht="15">
      <c r="A1771" s="2646" t="s">
        <v>3</v>
      </c>
      <c r="B1771" s="2" t="s">
        <v>4</v>
      </c>
      <c r="C1771" s="11" t="s">
        <v>5</v>
      </c>
      <c r="D1771" s="11" t="s">
        <v>6</v>
      </c>
      <c r="E1771" s="11" t="s">
        <v>7</v>
      </c>
      <c r="F1771" s="1769" t="s">
        <v>8</v>
      </c>
      <c r="G1771" s="11" t="s">
        <v>9</v>
      </c>
      <c r="H1771" s="11" t="s">
        <v>1612</v>
      </c>
      <c r="I1771" s="11" t="s">
        <v>11</v>
      </c>
      <c r="J1771" s="11" t="s">
        <v>12</v>
      </c>
    </row>
    <row r="1772" spans="1:11" ht="15">
      <c r="A1772" s="10">
        <v>1</v>
      </c>
      <c r="B1772" s="2537">
        <v>44691</v>
      </c>
      <c r="C1772" s="34" t="s">
        <v>74</v>
      </c>
      <c r="D1772" s="201" t="s">
        <v>1689</v>
      </c>
      <c r="E1772" s="34" t="s">
        <v>1615</v>
      </c>
      <c r="F1772" s="1517">
        <v>4500000</v>
      </c>
      <c r="G1772" s="34" t="s">
        <v>1616</v>
      </c>
      <c r="H1772" s="11" t="s">
        <v>36</v>
      </c>
      <c r="I1772" s="11" t="s">
        <v>36</v>
      </c>
      <c r="J1772" s="11">
        <v>1</v>
      </c>
      <c r="K1772" t="s">
        <v>1633</v>
      </c>
    </row>
    <row r="1773" spans="1:11" ht="15">
      <c r="A1773" s="10">
        <v>2</v>
      </c>
      <c r="B1773" s="2537" t="s">
        <v>1690</v>
      </c>
      <c r="C1773" s="34" t="s">
        <v>1613</v>
      </c>
      <c r="D1773" s="2645" t="s">
        <v>1691</v>
      </c>
      <c r="E1773" s="11" t="s">
        <v>1692</v>
      </c>
      <c r="F1773" s="1517">
        <v>2300000</v>
      </c>
      <c r="G1773" s="11" t="s">
        <v>1616</v>
      </c>
      <c r="H1773" s="11" t="s">
        <v>36</v>
      </c>
      <c r="I1773" s="11" t="s">
        <v>36</v>
      </c>
      <c r="J1773" s="11">
        <v>1</v>
      </c>
      <c r="K1773" t="s">
        <v>1633</v>
      </c>
    </row>
    <row r="1774" spans="1:11" ht="15">
      <c r="A1774" s="10">
        <v>3</v>
      </c>
      <c r="B1774" s="2537" t="s">
        <v>1690</v>
      </c>
      <c r="C1774" s="34" t="s">
        <v>74</v>
      </c>
      <c r="D1774" s="2659" t="s">
        <v>1693</v>
      </c>
      <c r="E1774" s="11" t="s">
        <v>1694</v>
      </c>
      <c r="F1774" s="1517">
        <v>4500000</v>
      </c>
      <c r="G1774" s="11" t="s">
        <v>1616</v>
      </c>
      <c r="H1774" s="11" t="s">
        <v>36</v>
      </c>
      <c r="I1774" s="11" t="s">
        <v>36</v>
      </c>
      <c r="J1774" s="11">
        <v>1</v>
      </c>
      <c r="K1774" t="s">
        <v>1633</v>
      </c>
    </row>
    <row r="1775" spans="1:11" ht="15">
      <c r="A1775" s="10">
        <v>4</v>
      </c>
      <c r="B1775" s="2537" t="s">
        <v>1695</v>
      </c>
      <c r="C1775" s="34" t="s">
        <v>74</v>
      </c>
      <c r="D1775" s="2645" t="s">
        <v>1696</v>
      </c>
      <c r="E1775" s="11" t="s">
        <v>1694</v>
      </c>
      <c r="F1775" s="1517">
        <v>3000000</v>
      </c>
      <c r="G1775" s="11" t="s">
        <v>1616</v>
      </c>
      <c r="H1775" s="11" t="s">
        <v>36</v>
      </c>
      <c r="I1775" s="11" t="s">
        <v>36</v>
      </c>
      <c r="J1775" s="11">
        <v>1</v>
      </c>
      <c r="K1775" t="s">
        <v>1633</v>
      </c>
    </row>
    <row r="1776" spans="1:11" ht="15">
      <c r="A1776" s="10">
        <v>5</v>
      </c>
      <c r="B1776" s="2537" t="s">
        <v>1695</v>
      </c>
      <c r="C1776" s="34" t="s">
        <v>74</v>
      </c>
      <c r="D1776" s="2645" t="s">
        <v>1697</v>
      </c>
      <c r="E1776" s="11" t="s">
        <v>1647</v>
      </c>
      <c r="F1776" s="1517">
        <v>4500000</v>
      </c>
      <c r="G1776" s="11" t="s">
        <v>1616</v>
      </c>
      <c r="H1776" s="11" t="s">
        <v>36</v>
      </c>
      <c r="I1776" s="11" t="s">
        <v>36</v>
      </c>
      <c r="J1776" s="11">
        <v>1</v>
      </c>
      <c r="K1776" t="s">
        <v>1633</v>
      </c>
    </row>
    <row r="1777" spans="1:11" ht="15">
      <c r="A1777" s="10">
        <v>6</v>
      </c>
      <c r="B1777" s="2537" t="s">
        <v>1698</v>
      </c>
      <c r="C1777" s="34" t="s">
        <v>74</v>
      </c>
      <c r="D1777" s="2660" t="s">
        <v>1699</v>
      </c>
      <c r="E1777" s="11" t="s">
        <v>1700</v>
      </c>
      <c r="F1777" s="1517">
        <v>18000000</v>
      </c>
      <c r="G1777" s="11" t="s">
        <v>1616</v>
      </c>
      <c r="H1777" s="11" t="s">
        <v>36</v>
      </c>
      <c r="I1777" s="11" t="s">
        <v>36</v>
      </c>
      <c r="J1777" s="11">
        <v>1</v>
      </c>
      <c r="K1777" t="s">
        <v>1633</v>
      </c>
    </row>
    <row r="1778" spans="1:11" ht="15">
      <c r="A1778" s="10">
        <v>7</v>
      </c>
      <c r="B1778" s="2537" t="s">
        <v>1695</v>
      </c>
      <c r="C1778" s="34" t="s">
        <v>1701</v>
      </c>
      <c r="D1778" s="2645" t="s">
        <v>1702</v>
      </c>
      <c r="E1778" s="11" t="s">
        <v>1703</v>
      </c>
      <c r="F1778" s="1517">
        <v>15000000</v>
      </c>
      <c r="G1778" s="11" t="s">
        <v>1616</v>
      </c>
      <c r="H1778" s="11" t="s">
        <v>36</v>
      </c>
      <c r="I1778" s="11" t="s">
        <v>36</v>
      </c>
      <c r="J1778" s="11">
        <v>1</v>
      </c>
      <c r="K1778" t="s">
        <v>1633</v>
      </c>
    </row>
    <row r="1779" spans="1:11" ht="15">
      <c r="A1779" s="10">
        <v>8</v>
      </c>
      <c r="B1779" s="2550" t="s">
        <v>1704</v>
      </c>
      <c r="C1779" s="34" t="s">
        <v>74</v>
      </c>
      <c r="D1779" s="201" t="s">
        <v>1705</v>
      </c>
      <c r="E1779" s="11" t="s">
        <v>1706</v>
      </c>
      <c r="F1779" s="1517">
        <v>8500000</v>
      </c>
      <c r="G1779" s="11" t="s">
        <v>1616</v>
      </c>
      <c r="H1779" s="11" t="s">
        <v>36</v>
      </c>
      <c r="I1779" s="11" t="s">
        <v>36</v>
      </c>
      <c r="J1779" s="11">
        <v>1</v>
      </c>
      <c r="K1779" t="s">
        <v>1707</v>
      </c>
    </row>
    <row r="1780" spans="1:11" ht="15">
      <c r="A1780" s="11">
        <v>9</v>
      </c>
      <c r="B1780" s="2661" t="s">
        <v>1708</v>
      </c>
      <c r="C1780" s="1544" t="s">
        <v>92</v>
      </c>
      <c r="D1780" s="2662" t="s">
        <v>1709</v>
      </c>
      <c r="E1780" s="171" t="s">
        <v>1686</v>
      </c>
      <c r="F1780" s="2663">
        <v>2550000</v>
      </c>
      <c r="G1780" s="171" t="s">
        <v>1616</v>
      </c>
      <c r="H1780" s="171" t="s">
        <v>36</v>
      </c>
      <c r="I1780" s="171" t="s">
        <v>36</v>
      </c>
      <c r="J1780" s="171">
        <v>1</v>
      </c>
      <c r="K1780" t="s">
        <v>1707</v>
      </c>
    </row>
    <row r="1781" spans="1:11" ht="15">
      <c r="A1781" s="11">
        <v>10</v>
      </c>
      <c r="B1781" s="2550" t="s">
        <v>1710</v>
      </c>
      <c r="C1781" s="34" t="s">
        <v>1613</v>
      </c>
      <c r="D1781" s="2644" t="s">
        <v>1711</v>
      </c>
      <c r="E1781" s="11" t="s">
        <v>1632</v>
      </c>
      <c r="F1781" s="1517">
        <v>1800000</v>
      </c>
      <c r="G1781" s="11" t="s">
        <v>1616</v>
      </c>
      <c r="H1781" s="11" t="s">
        <v>36</v>
      </c>
      <c r="I1781" s="11" t="s">
        <v>36</v>
      </c>
      <c r="J1781" s="11">
        <v>1</v>
      </c>
      <c r="K1781" t="s">
        <v>1707</v>
      </c>
    </row>
    <row r="1782" spans="1:11" ht="15">
      <c r="A1782" s="11">
        <v>11</v>
      </c>
      <c r="B1782" s="2550"/>
      <c r="C1782" s="11"/>
      <c r="D1782" s="201"/>
      <c r="E1782" s="11"/>
      <c r="F1782" s="1517"/>
      <c r="G1782" s="11"/>
      <c r="H1782" s="11"/>
      <c r="I1782" s="11"/>
      <c r="J1782" s="11"/>
    </row>
    <row r="1783" spans="1:11" ht="15">
      <c r="A1783" s="11">
        <v>12</v>
      </c>
      <c r="B1783" s="2"/>
      <c r="C1783" s="11"/>
      <c r="D1783" s="201"/>
      <c r="E1783" s="11"/>
      <c r="F1783" s="1517"/>
      <c r="G1783" s="11"/>
      <c r="H1783" s="11"/>
      <c r="I1783" s="11"/>
      <c r="J1783" s="11"/>
    </row>
    <row r="1784" spans="1:11" ht="15">
      <c r="A1784" s="11">
        <v>13</v>
      </c>
      <c r="B1784" s="2"/>
      <c r="C1784" s="11"/>
      <c r="D1784" s="201"/>
      <c r="E1784" s="11"/>
      <c r="F1784" s="1517"/>
      <c r="G1784" s="11"/>
      <c r="H1784" s="11"/>
      <c r="I1784" s="11"/>
      <c r="J1784" s="11"/>
    </row>
    <row r="1785" spans="1:11" ht="15">
      <c r="A1785" s="11">
        <v>14</v>
      </c>
      <c r="B1785" s="2"/>
      <c r="C1785" s="11"/>
      <c r="D1785" s="11"/>
      <c r="E1785" s="11"/>
      <c r="F1785" s="1517"/>
      <c r="G1785" s="11"/>
      <c r="H1785" s="11"/>
      <c r="I1785" s="11"/>
      <c r="J1785" s="11"/>
    </row>
    <row r="1786" spans="1:11" ht="15">
      <c r="J1786">
        <f>SUM(J1772:J1785)</f>
        <v>10</v>
      </c>
    </row>
    <row r="1787" spans="1:11" ht="25.5">
      <c r="A1787" s="2734" t="s">
        <v>1641</v>
      </c>
      <c r="B1787" s="2734"/>
      <c r="C1787" s="2734"/>
      <c r="D1787" s="2734"/>
      <c r="E1787" s="2734"/>
      <c r="F1787" s="2734"/>
      <c r="G1787" s="2734"/>
      <c r="H1787" s="2734"/>
      <c r="I1787" s="2734"/>
      <c r="J1787" s="2734"/>
    </row>
    <row r="1788" spans="1:11" ht="15">
      <c r="A1788" s="2615" t="s">
        <v>3</v>
      </c>
      <c r="B1788" s="2616" t="s">
        <v>4</v>
      </c>
      <c r="C1788" s="2615" t="s">
        <v>5</v>
      </c>
      <c r="D1788" s="2615" t="s">
        <v>6</v>
      </c>
      <c r="E1788" s="2615" t="s">
        <v>7</v>
      </c>
      <c r="F1788" s="2615" t="s">
        <v>8</v>
      </c>
      <c r="G1788" s="2615" t="s">
        <v>9</v>
      </c>
      <c r="H1788" s="2615" t="s">
        <v>10</v>
      </c>
      <c r="I1788" s="2615" t="s">
        <v>11</v>
      </c>
      <c r="J1788" s="2615" t="s">
        <v>12</v>
      </c>
    </row>
    <row r="1789" spans="1:11" ht="15">
      <c r="A1789" s="2617">
        <v>1</v>
      </c>
      <c r="B1789" s="2618"/>
      <c r="C1789" s="2619"/>
      <c r="D1789" s="2619"/>
      <c r="E1789" s="2619"/>
      <c r="F1789" s="2620"/>
      <c r="G1789" s="2619"/>
      <c r="H1789" s="2619"/>
      <c r="I1789" s="2619"/>
      <c r="J1789" s="2621"/>
    </row>
    <row r="1790" spans="1:11" ht="15">
      <c r="A1790" s="2622">
        <v>2</v>
      </c>
      <c r="B1790" s="2618"/>
      <c r="C1790" s="2623"/>
      <c r="D1790" s="2619"/>
      <c r="E1790" s="2623"/>
      <c r="F1790" s="2624"/>
      <c r="G1790" s="2619"/>
      <c r="H1790" s="2619"/>
      <c r="I1790" s="2619"/>
      <c r="J1790" s="2621"/>
    </row>
    <row r="1791" spans="1:11" ht="15">
      <c r="A1791" s="2617">
        <v>3</v>
      </c>
      <c r="B1791" s="2618"/>
      <c r="C1791" s="2619"/>
      <c r="D1791" s="2619"/>
      <c r="E1791" s="2619"/>
      <c r="F1791" s="2620"/>
      <c r="G1791" s="2619"/>
      <c r="H1791" s="2619"/>
      <c r="I1791" s="2619"/>
      <c r="J1791" s="2621"/>
    </row>
    <row r="1792" spans="1:11" ht="15"/>
    <row r="1793" spans="1:11" ht="23.25">
      <c r="A1793" s="2736" t="s">
        <v>1642</v>
      </c>
      <c r="B1793" s="2736"/>
      <c r="C1793" s="2736"/>
      <c r="D1793" s="2736"/>
      <c r="E1793" s="2736"/>
      <c r="F1793" s="2736"/>
      <c r="G1793" s="2736"/>
      <c r="H1793" s="2736"/>
      <c r="I1793" s="2736"/>
      <c r="J1793" s="2736"/>
    </row>
    <row r="1794" spans="1:11" ht="15.75">
      <c r="A1794" s="2737" t="s">
        <v>2</v>
      </c>
      <c r="B1794" s="2737"/>
      <c r="C1794" s="2737"/>
      <c r="D1794" s="2737"/>
      <c r="E1794" s="2737"/>
      <c r="F1794" s="2737"/>
      <c r="G1794" s="2737"/>
      <c r="H1794" s="2737"/>
      <c r="I1794" s="2737"/>
      <c r="J1794" s="2737"/>
    </row>
    <row r="1795" spans="1:11" ht="15">
      <c r="A1795" s="147" t="s">
        <v>3</v>
      </c>
      <c r="B1795" s="2543" t="s">
        <v>4</v>
      </c>
      <c r="C1795" s="147" t="s">
        <v>5</v>
      </c>
      <c r="D1795" s="147" t="s">
        <v>6</v>
      </c>
      <c r="E1795" s="147" t="s">
        <v>7</v>
      </c>
      <c r="F1795" s="2487" t="s">
        <v>8</v>
      </c>
      <c r="G1795" s="147" t="s">
        <v>9</v>
      </c>
      <c r="H1795" s="147" t="s">
        <v>1612</v>
      </c>
      <c r="I1795" s="147" t="s">
        <v>11</v>
      </c>
      <c r="J1795" s="147" t="s">
        <v>12</v>
      </c>
    </row>
    <row r="1796" spans="1:11" ht="15">
      <c r="A1796" s="11">
        <v>1</v>
      </c>
      <c r="B1796" s="2537">
        <v>44630</v>
      </c>
      <c r="C1796" s="34" t="s">
        <v>1613</v>
      </c>
      <c r="D1796" s="34" t="s">
        <v>1712</v>
      </c>
      <c r="E1796" s="34" t="s">
        <v>1692</v>
      </c>
      <c r="F1796" s="1517">
        <v>2700000</v>
      </c>
      <c r="G1796" s="34" t="s">
        <v>1616</v>
      </c>
      <c r="H1796" s="34" t="s">
        <v>36</v>
      </c>
      <c r="I1796" s="34" t="s">
        <v>36</v>
      </c>
      <c r="J1796" s="34">
        <v>1</v>
      </c>
      <c r="K1796" t="s">
        <v>1633</v>
      </c>
    </row>
    <row r="1797" spans="1:11" ht="15">
      <c r="A1797" s="11">
        <v>2</v>
      </c>
      <c r="B1797" s="2537">
        <v>44630</v>
      </c>
      <c r="C1797" s="34" t="s">
        <v>1613</v>
      </c>
      <c r="D1797" s="34" t="s">
        <v>1713</v>
      </c>
      <c r="E1797" s="11" t="s">
        <v>1629</v>
      </c>
      <c r="F1797" s="1517">
        <v>1300000</v>
      </c>
      <c r="G1797" s="11" t="s">
        <v>1616</v>
      </c>
      <c r="H1797" s="11" t="s">
        <v>36</v>
      </c>
      <c r="I1797" s="11" t="s">
        <v>36</v>
      </c>
      <c r="J1797" s="11">
        <v>1</v>
      </c>
      <c r="K1797" t="s">
        <v>1633</v>
      </c>
    </row>
    <row r="1798" spans="1:11" ht="15">
      <c r="A1798" s="11">
        <v>3</v>
      </c>
      <c r="B1798" s="51"/>
      <c r="C1798" s="34"/>
      <c r="D1798" s="11"/>
      <c r="E1798" s="11"/>
      <c r="F1798" s="1517"/>
      <c r="G1798" s="11"/>
      <c r="H1798" s="11"/>
      <c r="I1798" s="11"/>
      <c r="J1798" s="11">
        <f>SUM(J1796:J1797)</f>
        <v>2</v>
      </c>
    </row>
    <row r="1799" spans="1:11" ht="25.5">
      <c r="A1799" s="2734" t="s">
        <v>1641</v>
      </c>
      <c r="B1799" s="2734"/>
      <c r="C1799" s="2734"/>
      <c r="D1799" s="2734"/>
      <c r="E1799" s="2734"/>
      <c r="F1799" s="2734"/>
      <c r="G1799" s="2734"/>
      <c r="H1799" s="2734"/>
      <c r="I1799" s="2734"/>
      <c r="J1799" s="2734"/>
    </row>
    <row r="1800" spans="1:11" ht="15">
      <c r="A1800" s="2615" t="s">
        <v>3</v>
      </c>
      <c r="B1800" s="2616" t="s">
        <v>4</v>
      </c>
      <c r="C1800" s="2615" t="s">
        <v>5</v>
      </c>
      <c r="D1800" s="2615" t="s">
        <v>6</v>
      </c>
      <c r="E1800" s="2615" t="s">
        <v>7</v>
      </c>
      <c r="F1800" s="2615" t="s">
        <v>8</v>
      </c>
      <c r="G1800" s="2615" t="s">
        <v>9</v>
      </c>
      <c r="H1800" s="2615" t="s">
        <v>10</v>
      </c>
      <c r="I1800" s="2615" t="s">
        <v>11</v>
      </c>
      <c r="J1800" s="2615" t="s">
        <v>12</v>
      </c>
    </row>
    <row r="1801" spans="1:11" ht="15">
      <c r="A1801" s="2617">
        <v>1</v>
      </c>
      <c r="B1801" s="2618" t="s">
        <v>1714</v>
      </c>
      <c r="C1801" s="2619" t="s">
        <v>1613</v>
      </c>
      <c r="D1801" s="2625" t="s">
        <v>1715</v>
      </c>
      <c r="E1801" s="2619" t="s">
        <v>1629</v>
      </c>
      <c r="F1801" s="2620">
        <v>320000000</v>
      </c>
      <c r="G1801" s="2619" t="s">
        <v>1616</v>
      </c>
      <c r="H1801" s="2619" t="s">
        <v>36</v>
      </c>
      <c r="I1801" s="2619" t="s">
        <v>36</v>
      </c>
      <c r="J1801" s="2621">
        <v>1</v>
      </c>
    </row>
    <row r="1802" spans="1:11" ht="15.75">
      <c r="A1802" s="2622">
        <v>2</v>
      </c>
      <c r="B1802" s="2618"/>
      <c r="C1802" s="2619"/>
      <c r="D1802" s="2626"/>
      <c r="E1802" s="2623"/>
      <c r="F1802" s="2624"/>
      <c r="G1802" s="2623"/>
      <c r="H1802" s="2623"/>
      <c r="I1802" s="2623"/>
      <c r="J1802" s="2627"/>
    </row>
    <row r="1803" spans="1:11" ht="15">
      <c r="A1803" s="2617">
        <v>3</v>
      </c>
      <c r="B1803" s="2618"/>
      <c r="C1803" s="2619"/>
      <c r="D1803" s="2619"/>
      <c r="E1803" s="2619"/>
      <c r="F1803" s="2620"/>
      <c r="G1803" s="2619"/>
      <c r="H1803" s="2619"/>
      <c r="I1803" s="2619"/>
      <c r="J1803" s="2621"/>
    </row>
    <row r="1804" spans="1:11" ht="15"/>
    <row r="1805" spans="1:11" ht="23.25">
      <c r="A1805" s="2736" t="s">
        <v>1667</v>
      </c>
      <c r="B1805" s="2736"/>
      <c r="C1805" s="2736"/>
      <c r="D1805" s="2736"/>
      <c r="E1805" s="2736"/>
      <c r="F1805" s="2736"/>
      <c r="G1805" s="2736"/>
      <c r="H1805" s="2736"/>
      <c r="I1805" s="2736"/>
      <c r="J1805" s="2736"/>
    </row>
    <row r="1806" spans="1:11" ht="15.75">
      <c r="A1806" s="2737" t="s">
        <v>2</v>
      </c>
      <c r="B1806" s="2740"/>
      <c r="C1806" s="2740"/>
      <c r="D1806" s="2740"/>
      <c r="E1806" s="2740"/>
      <c r="F1806" s="2740"/>
      <c r="G1806" s="2740"/>
      <c r="H1806" s="2740"/>
      <c r="I1806" s="2740"/>
      <c r="J1806" s="2740"/>
    </row>
    <row r="1807" spans="1:11" ht="15">
      <c r="A1807" s="2646" t="s">
        <v>3</v>
      </c>
      <c r="B1807" s="2" t="s">
        <v>4</v>
      </c>
      <c r="C1807" s="11" t="s">
        <v>5</v>
      </c>
      <c r="D1807" s="11" t="s">
        <v>6</v>
      </c>
      <c r="E1807" s="11" t="s">
        <v>7</v>
      </c>
      <c r="F1807" s="1769" t="s">
        <v>8</v>
      </c>
      <c r="G1807" s="11" t="s">
        <v>9</v>
      </c>
      <c r="H1807" s="11" t="s">
        <v>1612</v>
      </c>
      <c r="I1807" s="11" t="s">
        <v>11</v>
      </c>
      <c r="J1807" s="11" t="s">
        <v>12</v>
      </c>
    </row>
    <row r="1808" spans="1:11" ht="15">
      <c r="A1808" s="10">
        <v>1</v>
      </c>
      <c r="B1808" s="51" t="s">
        <v>1714</v>
      </c>
      <c r="C1808" s="34" t="s">
        <v>1613</v>
      </c>
      <c r="D1808" s="201" t="s">
        <v>1716</v>
      </c>
      <c r="E1808" s="34" t="s">
        <v>1647</v>
      </c>
      <c r="F1808" s="1305">
        <v>1800000</v>
      </c>
      <c r="G1808" s="34" t="s">
        <v>1616</v>
      </c>
      <c r="H1808" s="34" t="s">
        <v>36</v>
      </c>
      <c r="I1808" s="34" t="s">
        <v>36</v>
      </c>
      <c r="J1808" s="34">
        <v>1</v>
      </c>
      <c r="K1808" t="s">
        <v>1617</v>
      </c>
    </row>
    <row r="1809" spans="1:11" ht="15">
      <c r="A1809" s="10">
        <v>2</v>
      </c>
      <c r="B1809" s="51" t="s">
        <v>1714</v>
      </c>
      <c r="C1809" s="34" t="s">
        <v>1613</v>
      </c>
      <c r="D1809" s="201" t="s">
        <v>1717</v>
      </c>
      <c r="E1809" s="11" t="s">
        <v>1647</v>
      </c>
      <c r="F1809" s="1517">
        <v>1800000</v>
      </c>
      <c r="G1809" s="11" t="s">
        <v>1616</v>
      </c>
      <c r="H1809" s="11" t="s">
        <v>36</v>
      </c>
      <c r="I1809" s="11" t="s">
        <v>36</v>
      </c>
      <c r="J1809" s="11">
        <v>1</v>
      </c>
      <c r="K1809" t="s">
        <v>1617</v>
      </c>
    </row>
    <row r="1810" spans="1:11" ht="15">
      <c r="A1810" s="10">
        <v>3</v>
      </c>
      <c r="B1810" s="51" t="s">
        <v>1714</v>
      </c>
      <c r="C1810" s="34" t="s">
        <v>74</v>
      </c>
      <c r="D1810" s="201" t="s">
        <v>1718</v>
      </c>
      <c r="E1810" s="11" t="s">
        <v>1719</v>
      </c>
      <c r="F1810" s="1517">
        <v>6500000</v>
      </c>
      <c r="G1810" s="11" t="s">
        <v>1616</v>
      </c>
      <c r="H1810" s="11" t="s">
        <v>36</v>
      </c>
      <c r="I1810" s="11" t="s">
        <v>36</v>
      </c>
      <c r="J1810" s="11">
        <v>1</v>
      </c>
      <c r="K1810" t="s">
        <v>1633</v>
      </c>
    </row>
    <row r="1811" spans="1:11" ht="15">
      <c r="A1811" s="10">
        <v>4</v>
      </c>
      <c r="B1811" s="2550" t="s">
        <v>1720</v>
      </c>
      <c r="C1811" s="34" t="s">
        <v>1613</v>
      </c>
      <c r="D1811" s="201" t="s">
        <v>1721</v>
      </c>
      <c r="E1811" s="11" t="s">
        <v>1647</v>
      </c>
      <c r="F1811" s="1517">
        <v>1800000</v>
      </c>
      <c r="G1811" s="11" t="s">
        <v>1616</v>
      </c>
      <c r="H1811" s="11" t="s">
        <v>36</v>
      </c>
      <c r="I1811" s="11" t="s">
        <v>36</v>
      </c>
      <c r="J1811" s="11">
        <v>1</v>
      </c>
      <c r="K1811" t="s">
        <v>1633</v>
      </c>
    </row>
    <row r="1812" spans="1:11" ht="15">
      <c r="A1812" s="10">
        <v>5</v>
      </c>
      <c r="B1812" s="2550" t="s">
        <v>1720</v>
      </c>
      <c r="C1812" s="34" t="s">
        <v>1613</v>
      </c>
      <c r="D1812" s="201" t="s">
        <v>1722</v>
      </c>
      <c r="E1812" s="34" t="s">
        <v>1647</v>
      </c>
      <c r="F1812" s="1517">
        <v>2300000</v>
      </c>
      <c r="G1812" s="11" t="s">
        <v>1616</v>
      </c>
      <c r="H1812" s="11" t="s">
        <v>36</v>
      </c>
      <c r="I1812" s="11" t="s">
        <v>36</v>
      </c>
      <c r="J1812" s="11">
        <v>1</v>
      </c>
      <c r="K1812" t="s">
        <v>1633</v>
      </c>
    </row>
    <row r="1813" spans="1:11" ht="15">
      <c r="A1813" s="10">
        <v>6</v>
      </c>
      <c r="B1813" s="2550" t="s">
        <v>1723</v>
      </c>
      <c r="C1813" s="34" t="s">
        <v>1613</v>
      </c>
      <c r="D1813" s="160" t="s">
        <v>1724</v>
      </c>
      <c r="E1813" s="34" t="s">
        <v>1725</v>
      </c>
      <c r="F1813" s="1517">
        <v>2050000</v>
      </c>
      <c r="G1813" s="11" t="s">
        <v>1616</v>
      </c>
      <c r="H1813" s="11" t="s">
        <v>36</v>
      </c>
      <c r="I1813" s="11" t="s">
        <v>36</v>
      </c>
      <c r="J1813" s="11">
        <v>1</v>
      </c>
      <c r="K1813" t="s">
        <v>1633</v>
      </c>
    </row>
    <row r="1814" spans="1:11" ht="15">
      <c r="A1814" s="10">
        <v>7</v>
      </c>
      <c r="B1814" s="2550" t="s">
        <v>1726</v>
      </c>
      <c r="C1814" s="11" t="s">
        <v>1613</v>
      </c>
      <c r="D1814" s="160" t="s">
        <v>1727</v>
      </c>
      <c r="E1814" s="11" t="s">
        <v>1626</v>
      </c>
      <c r="F1814" s="1517">
        <v>1100000</v>
      </c>
      <c r="G1814" s="11" t="s">
        <v>1616</v>
      </c>
      <c r="H1814" s="11" t="s">
        <v>36</v>
      </c>
      <c r="I1814" s="11" t="s">
        <v>36</v>
      </c>
      <c r="J1814" s="11">
        <v>1</v>
      </c>
      <c r="K1814" t="s">
        <v>1633</v>
      </c>
    </row>
    <row r="1815" spans="1:11" ht="15">
      <c r="A1815" s="10">
        <v>8</v>
      </c>
      <c r="B1815" s="2550" t="s">
        <v>1726</v>
      </c>
      <c r="C1815" s="11" t="s">
        <v>1613</v>
      </c>
      <c r="D1815" s="201" t="s">
        <v>1728</v>
      </c>
      <c r="E1815" s="11" t="s">
        <v>1647</v>
      </c>
      <c r="F1815" s="1517">
        <v>1800000</v>
      </c>
      <c r="G1815" s="11" t="s">
        <v>1616</v>
      </c>
      <c r="H1815" s="11" t="s">
        <v>36</v>
      </c>
      <c r="I1815" s="11" t="s">
        <v>36</v>
      </c>
      <c r="J1815" s="11">
        <v>1</v>
      </c>
      <c r="K1815" t="s">
        <v>1633</v>
      </c>
    </row>
    <row r="1816" spans="1:11" ht="15">
      <c r="A1816" s="10">
        <v>9</v>
      </c>
      <c r="B1816" s="2550">
        <v>44661</v>
      </c>
      <c r="C1816" s="11" t="s">
        <v>1613</v>
      </c>
      <c r="D1816" s="201" t="s">
        <v>1729</v>
      </c>
      <c r="E1816" s="11" t="s">
        <v>1656</v>
      </c>
      <c r="F1816" s="1517">
        <v>1200000</v>
      </c>
      <c r="G1816" s="11" t="s">
        <v>1616</v>
      </c>
      <c r="H1816" s="11" t="s">
        <v>36</v>
      </c>
      <c r="I1816" s="11" t="s">
        <v>36</v>
      </c>
      <c r="J1816" s="11">
        <v>1</v>
      </c>
      <c r="K1816" t="s">
        <v>1633</v>
      </c>
    </row>
    <row r="1817" spans="1:11" ht="15">
      <c r="A1817" s="10">
        <v>10</v>
      </c>
      <c r="B1817" s="2550">
        <v>44661</v>
      </c>
      <c r="C1817" s="11" t="s">
        <v>1613</v>
      </c>
      <c r="D1817" s="201" t="s">
        <v>1730</v>
      </c>
      <c r="E1817" s="11" t="s">
        <v>1656</v>
      </c>
      <c r="F1817" s="1517">
        <v>1350000</v>
      </c>
      <c r="G1817" s="11" t="s">
        <v>1616</v>
      </c>
      <c r="H1817" s="11" t="s">
        <v>36</v>
      </c>
      <c r="I1817" s="11" t="s">
        <v>36</v>
      </c>
      <c r="J1817" s="11">
        <v>1</v>
      </c>
      <c r="K1817" t="s">
        <v>1633</v>
      </c>
    </row>
    <row r="1818" spans="1:11" ht="15">
      <c r="A1818" s="10">
        <v>11</v>
      </c>
      <c r="B1818" s="2550">
        <v>44844</v>
      </c>
      <c r="C1818" s="11" t="s">
        <v>1613</v>
      </c>
      <c r="D1818" s="2645" t="s">
        <v>1731</v>
      </c>
      <c r="E1818" s="11" t="s">
        <v>1629</v>
      </c>
      <c r="F1818" s="1517">
        <v>1300000</v>
      </c>
      <c r="G1818" s="11" t="s">
        <v>1616</v>
      </c>
      <c r="H1818" s="11" t="s">
        <v>36</v>
      </c>
      <c r="I1818" s="11" t="s">
        <v>36</v>
      </c>
      <c r="J1818" s="11">
        <v>1</v>
      </c>
      <c r="K1818" t="s">
        <v>1633</v>
      </c>
    </row>
    <row r="1819" spans="1:11" ht="15">
      <c r="A1819" s="10">
        <v>12</v>
      </c>
      <c r="B1819" s="2550">
        <v>44844</v>
      </c>
      <c r="C1819" s="11" t="s">
        <v>1613</v>
      </c>
      <c r="D1819" s="2645" t="s">
        <v>1732</v>
      </c>
      <c r="E1819" s="11" t="s">
        <v>1647</v>
      </c>
      <c r="F1819" s="1517">
        <v>1800000</v>
      </c>
      <c r="G1819" s="11" t="s">
        <v>1616</v>
      </c>
      <c r="H1819" s="11" t="s">
        <v>36</v>
      </c>
      <c r="I1819" s="11" t="s">
        <v>36</v>
      </c>
      <c r="J1819" s="11">
        <v>1</v>
      </c>
      <c r="K1819" t="s">
        <v>1633</v>
      </c>
    </row>
    <row r="1820" spans="1:11" ht="15">
      <c r="A1820" s="10">
        <v>13</v>
      </c>
      <c r="B1820" s="2550">
        <v>44905</v>
      </c>
      <c r="C1820" s="11" t="s">
        <v>1613</v>
      </c>
      <c r="D1820" s="34" t="s">
        <v>1733</v>
      </c>
      <c r="E1820" s="11" t="s">
        <v>1626</v>
      </c>
      <c r="F1820" s="1517">
        <v>1200000</v>
      </c>
      <c r="G1820" s="11" t="s">
        <v>1616</v>
      </c>
      <c r="H1820" s="11" t="s">
        <v>36</v>
      </c>
      <c r="I1820" s="11" t="s">
        <v>36</v>
      </c>
      <c r="J1820" s="11">
        <v>1</v>
      </c>
      <c r="K1820" t="s">
        <v>1633</v>
      </c>
    </row>
    <row r="1821" spans="1:11" ht="15">
      <c r="A1821" s="10">
        <v>14</v>
      </c>
      <c r="B1821" s="2550" t="s">
        <v>1734</v>
      </c>
      <c r="C1821" s="11" t="s">
        <v>74</v>
      </c>
      <c r="D1821" s="34" t="s">
        <v>1735</v>
      </c>
      <c r="E1821" s="11" t="s">
        <v>1736</v>
      </c>
      <c r="F1821" s="1517">
        <v>8200000</v>
      </c>
      <c r="G1821" s="11" t="s">
        <v>1616</v>
      </c>
      <c r="H1821" s="11" t="s">
        <v>36</v>
      </c>
      <c r="I1821" s="11" t="s">
        <v>36</v>
      </c>
      <c r="J1821" s="11">
        <v>1</v>
      </c>
      <c r="K1821" t="s">
        <v>1633</v>
      </c>
    </row>
    <row r="1822" spans="1:11" ht="15">
      <c r="A1822" s="10">
        <v>15</v>
      </c>
      <c r="B1822" s="2550" t="s">
        <v>1690</v>
      </c>
      <c r="C1822" s="11" t="s">
        <v>74</v>
      </c>
      <c r="D1822" s="2645" t="s">
        <v>1737</v>
      </c>
      <c r="E1822" s="11" t="s">
        <v>1736</v>
      </c>
      <c r="F1822" s="1517">
        <v>10000000</v>
      </c>
      <c r="G1822" s="11" t="s">
        <v>1616</v>
      </c>
      <c r="H1822" s="11" t="s">
        <v>36</v>
      </c>
      <c r="I1822" s="11" t="s">
        <v>36</v>
      </c>
      <c r="J1822" s="11">
        <v>1</v>
      </c>
      <c r="K1822" t="s">
        <v>1633</v>
      </c>
    </row>
    <row r="1823" spans="1:11" ht="15">
      <c r="A1823" s="10">
        <v>16</v>
      </c>
      <c r="B1823" s="2550" t="s">
        <v>1690</v>
      </c>
      <c r="C1823" s="11" t="s">
        <v>1613</v>
      </c>
      <c r="D1823" s="34" t="s">
        <v>1738</v>
      </c>
      <c r="E1823" s="11" t="s">
        <v>1647</v>
      </c>
      <c r="F1823" s="1517">
        <v>1850000</v>
      </c>
      <c r="G1823" s="11" t="s">
        <v>1616</v>
      </c>
      <c r="H1823" s="11" t="s">
        <v>36</v>
      </c>
      <c r="I1823" s="11" t="s">
        <v>36</v>
      </c>
      <c r="J1823" s="11">
        <v>1</v>
      </c>
      <c r="K1823" t="s">
        <v>1633</v>
      </c>
    </row>
    <row r="1824" spans="1:11" ht="15">
      <c r="A1824" s="10">
        <v>17</v>
      </c>
      <c r="B1824" s="2550" t="s">
        <v>1690</v>
      </c>
      <c r="C1824" s="11" t="s">
        <v>74</v>
      </c>
      <c r="D1824" s="2645" t="s">
        <v>1739</v>
      </c>
      <c r="E1824" s="11" t="s">
        <v>1647</v>
      </c>
      <c r="F1824" s="1517">
        <v>7000000</v>
      </c>
      <c r="G1824" s="11" t="s">
        <v>1616</v>
      </c>
      <c r="H1824" s="11" t="s">
        <v>36</v>
      </c>
      <c r="I1824" s="11" t="s">
        <v>36</v>
      </c>
      <c r="J1824" s="11">
        <v>1</v>
      </c>
      <c r="K1824" t="s">
        <v>1633</v>
      </c>
    </row>
    <row r="1825" spans="1:11" ht="15">
      <c r="A1825" s="10">
        <v>18</v>
      </c>
      <c r="B1825" s="2550" t="s">
        <v>1690</v>
      </c>
      <c r="C1825" s="11" t="s">
        <v>1613</v>
      </c>
      <c r="D1825" s="2645" t="s">
        <v>1740</v>
      </c>
      <c r="E1825" s="11" t="s">
        <v>1692</v>
      </c>
      <c r="F1825" s="1517">
        <v>2200000</v>
      </c>
      <c r="G1825" s="11" t="s">
        <v>1616</v>
      </c>
      <c r="H1825" s="11" t="s">
        <v>36</v>
      </c>
      <c r="I1825" s="11" t="s">
        <v>36</v>
      </c>
      <c r="J1825" s="11">
        <v>1</v>
      </c>
      <c r="K1825" t="s">
        <v>1633</v>
      </c>
    </row>
    <row r="1826" spans="1:11" ht="15">
      <c r="A1826" s="10">
        <v>19</v>
      </c>
      <c r="B1826" s="2550" t="s">
        <v>1690</v>
      </c>
      <c r="C1826" s="11" t="s">
        <v>1613</v>
      </c>
      <c r="D1826" s="34" t="s">
        <v>1741</v>
      </c>
      <c r="E1826" s="11" t="s">
        <v>1647</v>
      </c>
      <c r="F1826" s="1517">
        <v>1800000</v>
      </c>
      <c r="G1826" s="11" t="s">
        <v>1616</v>
      </c>
      <c r="H1826" s="11" t="s">
        <v>36</v>
      </c>
      <c r="I1826" s="11" t="s">
        <v>36</v>
      </c>
      <c r="J1826" s="11">
        <v>1</v>
      </c>
      <c r="K1826" t="s">
        <v>1633</v>
      </c>
    </row>
    <row r="1827" spans="1:11" ht="15">
      <c r="A1827" s="10">
        <v>20</v>
      </c>
      <c r="B1827" s="2" t="s">
        <v>1704</v>
      </c>
      <c r="C1827" s="11" t="s">
        <v>74</v>
      </c>
      <c r="D1827" s="11" t="s">
        <v>1742</v>
      </c>
      <c r="E1827" s="11" t="s">
        <v>1743</v>
      </c>
      <c r="F1827" s="1517">
        <v>15000000</v>
      </c>
      <c r="G1827" s="11" t="s">
        <v>1616</v>
      </c>
      <c r="H1827" s="11" t="s">
        <v>36</v>
      </c>
      <c r="I1827" s="11" t="s">
        <v>36</v>
      </c>
      <c r="J1827" s="11">
        <v>1</v>
      </c>
      <c r="K1827" t="s">
        <v>1633</v>
      </c>
    </row>
    <row r="1828" spans="1:11" ht="15">
      <c r="B1828" s="2"/>
      <c r="C1828" s="11"/>
      <c r="D1828" s="11"/>
      <c r="E1828" s="11"/>
      <c r="F1828" s="11"/>
      <c r="G1828" s="11"/>
      <c r="H1828" s="11"/>
      <c r="I1828" s="11"/>
      <c r="J1828" s="11">
        <f>SUM(J1808:J1827)</f>
        <v>20</v>
      </c>
    </row>
    <row r="1829" spans="1:11" ht="25.5">
      <c r="A1829" s="2734" t="s">
        <v>1641</v>
      </c>
      <c r="B1829" s="2735"/>
      <c r="C1829" s="2735"/>
      <c r="D1829" s="2735"/>
      <c r="E1829" s="2735"/>
      <c r="F1829" s="2735"/>
      <c r="G1829" s="2735"/>
      <c r="H1829" s="2735"/>
      <c r="I1829" s="2735"/>
      <c r="J1829" s="2735"/>
    </row>
    <row r="1830" spans="1:11" ht="15">
      <c r="A1830" s="2615" t="s">
        <v>3</v>
      </c>
      <c r="B1830" s="2616" t="s">
        <v>4</v>
      </c>
      <c r="C1830" s="2615" t="s">
        <v>5</v>
      </c>
      <c r="D1830" s="2615" t="s">
        <v>6</v>
      </c>
      <c r="E1830" s="2615" t="s">
        <v>7</v>
      </c>
      <c r="F1830" s="2615" t="s">
        <v>8</v>
      </c>
      <c r="G1830" s="2615" t="s">
        <v>9</v>
      </c>
      <c r="H1830" s="2615" t="s">
        <v>10</v>
      </c>
      <c r="I1830" s="2615" t="s">
        <v>11</v>
      </c>
      <c r="J1830" s="2615" t="s">
        <v>12</v>
      </c>
    </row>
    <row r="1831" spans="1:11" ht="15">
      <c r="A1831" s="2617">
        <v>1</v>
      </c>
      <c r="B1831" s="2618" t="s">
        <v>1720</v>
      </c>
      <c r="C1831" s="2619" t="s">
        <v>1613</v>
      </c>
      <c r="D1831" s="2625" t="s">
        <v>1744</v>
      </c>
      <c r="E1831" s="2619" t="s">
        <v>1745</v>
      </c>
      <c r="F1831" s="2620">
        <v>650000000</v>
      </c>
      <c r="G1831" s="2619" t="s">
        <v>168</v>
      </c>
      <c r="H1831" s="2619" t="s">
        <v>36</v>
      </c>
      <c r="I1831" s="2619" t="s">
        <v>36</v>
      </c>
      <c r="J1831" s="2621">
        <v>1</v>
      </c>
    </row>
    <row r="1832" spans="1:11" ht="15.75">
      <c r="A1832" s="2622">
        <v>2</v>
      </c>
      <c r="B1832" s="2628" t="s">
        <v>1720</v>
      </c>
      <c r="C1832" s="2623" t="s">
        <v>1613</v>
      </c>
      <c r="D1832" s="2626" t="s">
        <v>1722</v>
      </c>
      <c r="E1832" s="2623" t="s">
        <v>1647</v>
      </c>
      <c r="F1832" s="2624">
        <v>510000000</v>
      </c>
      <c r="G1832" s="2623" t="s">
        <v>1616</v>
      </c>
      <c r="H1832" s="2623" t="s">
        <v>36</v>
      </c>
      <c r="I1832" s="2623" t="s">
        <v>36</v>
      </c>
      <c r="J1832" s="2627">
        <v>1</v>
      </c>
    </row>
    <row r="1833" spans="1:11" ht="15">
      <c r="A1833" s="2617">
        <v>3</v>
      </c>
      <c r="B1833" s="2618" t="s">
        <v>1734</v>
      </c>
      <c r="C1833" s="2619" t="s">
        <v>74</v>
      </c>
      <c r="D1833" s="2619" t="s">
        <v>1735</v>
      </c>
      <c r="E1833" s="2619" t="s">
        <v>1736</v>
      </c>
      <c r="F1833" s="2620" t="s">
        <v>1746</v>
      </c>
      <c r="G1833" s="2619" t="s">
        <v>1616</v>
      </c>
      <c r="H1833" s="2619" t="s">
        <v>36</v>
      </c>
      <c r="I1833" s="2619" t="s">
        <v>36</v>
      </c>
      <c r="J1833" s="2621">
        <v>1</v>
      </c>
    </row>
    <row r="1834" spans="1:11" ht="15">
      <c r="A1834" s="2617">
        <v>4</v>
      </c>
      <c r="B1834" s="2618" t="s">
        <v>1734</v>
      </c>
      <c r="C1834" s="2619" t="s">
        <v>74</v>
      </c>
      <c r="D1834" s="2619" t="s">
        <v>1737</v>
      </c>
      <c r="E1834" s="2619" t="s">
        <v>1736</v>
      </c>
      <c r="F1834" s="2620" t="s">
        <v>1747</v>
      </c>
      <c r="G1834" s="2619" t="s">
        <v>1616</v>
      </c>
      <c r="H1834" s="2619" t="s">
        <v>36</v>
      </c>
      <c r="I1834" s="2619" t="s">
        <v>36</v>
      </c>
      <c r="J1834" s="2621">
        <v>1</v>
      </c>
    </row>
    <row r="1835" spans="1:11" ht="15"/>
    <row r="1836" spans="1:11" ht="23.25">
      <c r="A1836" s="2736" t="s">
        <v>118</v>
      </c>
      <c r="B1836" s="2736"/>
      <c r="C1836" s="2736"/>
      <c r="D1836" s="2736"/>
      <c r="E1836" s="2736"/>
      <c r="F1836" s="2736"/>
      <c r="G1836" s="2736"/>
      <c r="H1836" s="2736"/>
      <c r="I1836" s="2736"/>
      <c r="J1836" s="2736"/>
    </row>
    <row r="1837" spans="1:11" ht="15.75">
      <c r="A1837" s="2737" t="s">
        <v>2</v>
      </c>
      <c r="B1837" s="2737"/>
      <c r="C1837" s="2737"/>
      <c r="D1837" s="2737"/>
      <c r="E1837" s="2737"/>
      <c r="F1837" s="2737"/>
      <c r="G1837" s="2737"/>
      <c r="H1837" s="2737"/>
      <c r="I1837" s="2737"/>
      <c r="J1837" s="2737"/>
    </row>
    <row r="1838" spans="1:11" ht="15">
      <c r="A1838" s="147" t="s">
        <v>3</v>
      </c>
      <c r="B1838" s="2543" t="s">
        <v>4</v>
      </c>
      <c r="C1838" s="147" t="s">
        <v>5</v>
      </c>
      <c r="D1838" s="147" t="s">
        <v>6</v>
      </c>
      <c r="E1838" s="147" t="s">
        <v>7</v>
      </c>
      <c r="F1838" s="2487" t="s">
        <v>8</v>
      </c>
      <c r="G1838" s="147" t="s">
        <v>9</v>
      </c>
      <c r="H1838" s="147" t="s">
        <v>1612</v>
      </c>
      <c r="I1838" s="147" t="s">
        <v>11</v>
      </c>
      <c r="J1838" s="147" t="s">
        <v>12</v>
      </c>
    </row>
    <row r="1839" spans="1:11" ht="15">
      <c r="A1839" s="11">
        <v>1</v>
      </c>
      <c r="B1839" s="51"/>
      <c r="C1839" s="34"/>
      <c r="D1839" s="34"/>
      <c r="E1839" s="34"/>
      <c r="F1839" s="2508"/>
      <c r="G1839" s="34"/>
      <c r="H1839" s="34"/>
      <c r="I1839" s="34"/>
      <c r="J1839" s="34"/>
    </row>
    <row r="1840" spans="1:11" ht="15">
      <c r="A1840" s="11">
        <v>2</v>
      </c>
      <c r="B1840" s="51"/>
      <c r="C1840" s="34"/>
      <c r="D1840" s="11"/>
      <c r="E1840" s="11"/>
      <c r="F1840" s="1517"/>
      <c r="G1840" s="11"/>
      <c r="H1840" s="11"/>
      <c r="I1840" s="11"/>
      <c r="J1840" s="11"/>
    </row>
    <row r="1841" spans="1:11" ht="15">
      <c r="A1841" s="11">
        <v>3</v>
      </c>
      <c r="B1841" s="51"/>
      <c r="C1841" s="34"/>
      <c r="D1841" s="11"/>
      <c r="E1841" s="11"/>
      <c r="F1841" s="1517"/>
      <c r="G1841" s="11"/>
      <c r="H1841" s="11"/>
      <c r="I1841" s="11"/>
      <c r="J1841" s="11"/>
    </row>
    <row r="1842" spans="1:11" ht="15"/>
    <row r="1843" spans="1:11" ht="15"/>
    <row r="1845" spans="1:11" ht="15">
      <c r="A1845" s="2738" t="s">
        <v>1748</v>
      </c>
      <c r="B1845" s="2739"/>
      <c r="C1845" s="2739"/>
      <c r="D1845" s="2739"/>
      <c r="E1845" s="2739"/>
      <c r="F1845" s="2739"/>
      <c r="G1845" s="2739"/>
      <c r="H1845" s="2739"/>
      <c r="I1845" s="2739"/>
      <c r="J1845" s="2739"/>
    </row>
    <row r="1846" spans="1:11" ht="15">
      <c r="A1846" s="2739"/>
      <c r="B1846" s="2739"/>
      <c r="C1846" s="2739"/>
      <c r="D1846" s="2739"/>
      <c r="E1846" s="2739"/>
      <c r="F1846" s="2739"/>
      <c r="G1846" s="2739"/>
      <c r="H1846" s="2739"/>
      <c r="I1846" s="2739"/>
      <c r="J1846" s="2739"/>
    </row>
    <row r="1847" spans="1:11" ht="15"/>
    <row r="1848" spans="1:11" ht="23.25">
      <c r="A1848" s="2736" t="s">
        <v>1611</v>
      </c>
      <c r="B1848" s="2736"/>
      <c r="C1848" s="2736"/>
      <c r="D1848" s="2736"/>
      <c r="E1848" s="2736"/>
      <c r="F1848" s="2736"/>
      <c r="G1848" s="2736"/>
      <c r="H1848" s="2736"/>
      <c r="I1848" s="2736"/>
      <c r="J1848" s="2736"/>
    </row>
    <row r="1849" spans="1:11" ht="15.75">
      <c r="A1849" s="2737" t="s">
        <v>2</v>
      </c>
      <c r="B1849" s="2740"/>
      <c r="C1849" s="2740"/>
      <c r="D1849" s="2740"/>
      <c r="E1849" s="2740"/>
      <c r="F1849" s="2740"/>
      <c r="G1849" s="2740"/>
      <c r="H1849" s="2740"/>
      <c r="I1849" s="2740"/>
      <c r="J1849" s="2740"/>
    </row>
    <row r="1850" spans="1:11" ht="15">
      <c r="A1850" s="2646" t="s">
        <v>3</v>
      </c>
      <c r="B1850" s="260" t="s">
        <v>4</v>
      </c>
      <c r="C1850" s="1521" t="s">
        <v>5</v>
      </c>
      <c r="D1850" s="1521" t="s">
        <v>6</v>
      </c>
      <c r="E1850" s="1521" t="s">
        <v>7</v>
      </c>
      <c r="F1850" s="2693" t="s">
        <v>8</v>
      </c>
      <c r="G1850" s="1521" t="s">
        <v>9</v>
      </c>
      <c r="H1850" s="1521" t="s">
        <v>1612</v>
      </c>
      <c r="I1850" s="1521" t="s">
        <v>11</v>
      </c>
      <c r="J1850" s="1521" t="s">
        <v>12</v>
      </c>
    </row>
    <row r="1851" spans="1:11" ht="15">
      <c r="A1851" s="10">
        <v>1</v>
      </c>
      <c r="B1851" s="2537" t="s">
        <v>1749</v>
      </c>
      <c r="C1851" s="34" t="s">
        <v>1613</v>
      </c>
      <c r="D1851" s="2645" t="s">
        <v>1750</v>
      </c>
      <c r="E1851" s="34" t="s">
        <v>1751</v>
      </c>
      <c r="F1851" s="1517">
        <v>1450000</v>
      </c>
      <c r="G1851" s="34" t="s">
        <v>1616</v>
      </c>
      <c r="H1851" s="11" t="s">
        <v>36</v>
      </c>
      <c r="I1851" s="11" t="s">
        <v>36</v>
      </c>
      <c r="J1851" s="11">
        <v>1</v>
      </c>
      <c r="K1851" t="s">
        <v>1707</v>
      </c>
    </row>
    <row r="1852" spans="1:11" ht="15">
      <c r="A1852" s="10">
        <v>2</v>
      </c>
      <c r="B1852" s="2537">
        <v>44603</v>
      </c>
      <c r="C1852" s="34" t="s">
        <v>1613</v>
      </c>
      <c r="D1852" s="2645" t="s">
        <v>1752</v>
      </c>
      <c r="E1852" s="11" t="s">
        <v>1692</v>
      </c>
      <c r="F1852" s="1517">
        <v>2200000</v>
      </c>
      <c r="G1852" s="11" t="s">
        <v>1616</v>
      </c>
      <c r="H1852" s="11" t="s">
        <v>36</v>
      </c>
      <c r="I1852" s="11" t="s">
        <v>36</v>
      </c>
      <c r="J1852" s="11">
        <v>1</v>
      </c>
      <c r="K1852" t="s">
        <v>1633</v>
      </c>
    </row>
    <row r="1853" spans="1:11" ht="15">
      <c r="A1853" s="10">
        <v>3</v>
      </c>
      <c r="B1853" s="2537">
        <v>44603</v>
      </c>
      <c r="C1853" s="34" t="s">
        <v>1613</v>
      </c>
      <c r="D1853" s="2645" t="s">
        <v>1753</v>
      </c>
      <c r="E1853" s="11" t="s">
        <v>1706</v>
      </c>
      <c r="F1853" s="1517">
        <v>15000000</v>
      </c>
      <c r="G1853" s="11" t="s">
        <v>1616</v>
      </c>
      <c r="H1853" s="11" t="s">
        <v>36</v>
      </c>
      <c r="I1853" s="11" t="s">
        <v>36</v>
      </c>
      <c r="J1853" s="11">
        <v>1</v>
      </c>
      <c r="K1853" t="s">
        <v>1707</v>
      </c>
    </row>
    <row r="1854" spans="1:11" ht="15">
      <c r="A1854" s="10">
        <v>4</v>
      </c>
      <c r="B1854" s="2537">
        <v>44603</v>
      </c>
      <c r="C1854" s="34" t="s">
        <v>1613</v>
      </c>
      <c r="D1854" s="2645" t="s">
        <v>1754</v>
      </c>
      <c r="E1854" s="11" t="s">
        <v>1755</v>
      </c>
      <c r="F1854" s="1517">
        <v>2200000</v>
      </c>
      <c r="G1854" s="11" t="s">
        <v>1616</v>
      </c>
      <c r="H1854" s="11" t="s">
        <v>36</v>
      </c>
      <c r="I1854" s="11" t="s">
        <v>36</v>
      </c>
      <c r="J1854" s="11">
        <v>1</v>
      </c>
      <c r="K1854" t="s">
        <v>1633</v>
      </c>
    </row>
    <row r="1855" spans="1:11" ht="15">
      <c r="A1855" s="10">
        <v>5</v>
      </c>
      <c r="B1855" s="2537">
        <v>44692</v>
      </c>
      <c r="C1855" s="34" t="s">
        <v>1613</v>
      </c>
      <c r="D1855" s="2645" t="s">
        <v>1756</v>
      </c>
      <c r="E1855" s="11" t="s">
        <v>1632</v>
      </c>
      <c r="F1855" s="1517">
        <v>1500000</v>
      </c>
      <c r="G1855" s="11" t="s">
        <v>1616</v>
      </c>
      <c r="H1855" s="11" t="s">
        <v>36</v>
      </c>
      <c r="I1855" s="11" t="s">
        <v>36</v>
      </c>
      <c r="J1855" s="11">
        <v>1</v>
      </c>
      <c r="K1855" t="s">
        <v>1707</v>
      </c>
    </row>
    <row r="1856" spans="1:11" ht="15">
      <c r="A1856" s="10">
        <v>6</v>
      </c>
      <c r="B1856" s="2537">
        <v>44692</v>
      </c>
      <c r="C1856" s="34" t="s">
        <v>1613</v>
      </c>
      <c r="D1856" s="2645" t="s">
        <v>1757</v>
      </c>
      <c r="E1856" s="11" t="s">
        <v>1632</v>
      </c>
      <c r="F1856" s="1517">
        <v>1350000</v>
      </c>
      <c r="G1856" s="11" t="s">
        <v>1616</v>
      </c>
      <c r="H1856" s="11" t="s">
        <v>36</v>
      </c>
      <c r="I1856" s="11" t="s">
        <v>36</v>
      </c>
      <c r="J1856" s="11">
        <v>1</v>
      </c>
      <c r="K1856" t="s">
        <v>1633</v>
      </c>
    </row>
    <row r="1857" spans="1:11" ht="15">
      <c r="A1857" s="10">
        <v>7</v>
      </c>
      <c r="B1857" s="2537">
        <v>44784</v>
      </c>
      <c r="C1857" s="34" t="s">
        <v>1613</v>
      </c>
      <c r="D1857" s="2645" t="s">
        <v>1758</v>
      </c>
      <c r="E1857" s="11" t="s">
        <v>1632</v>
      </c>
      <c r="F1857" s="1517">
        <v>2500000</v>
      </c>
      <c r="G1857" s="11" t="s">
        <v>1616</v>
      </c>
      <c r="H1857" s="11" t="s">
        <v>36</v>
      </c>
      <c r="I1857" s="11" t="s">
        <v>36</v>
      </c>
      <c r="J1857" s="11">
        <v>1</v>
      </c>
      <c r="K1857" t="s">
        <v>1707</v>
      </c>
    </row>
    <row r="1858" spans="1:11" ht="15">
      <c r="A1858" s="10">
        <v>8</v>
      </c>
      <c r="B1858" s="2661" t="s">
        <v>1759</v>
      </c>
      <c r="C1858" s="1544" t="s">
        <v>1613</v>
      </c>
      <c r="D1858" s="2662" t="s">
        <v>1760</v>
      </c>
      <c r="E1858" s="171" t="s">
        <v>1647</v>
      </c>
      <c r="F1858" s="2663">
        <v>2500000</v>
      </c>
      <c r="G1858" s="171" t="s">
        <v>1616</v>
      </c>
      <c r="H1858" s="171" t="s">
        <v>36</v>
      </c>
      <c r="I1858" s="171" t="s">
        <v>36</v>
      </c>
      <c r="J1858" s="171">
        <v>1</v>
      </c>
      <c r="K1858" t="s">
        <v>1633</v>
      </c>
    </row>
    <row r="1859" spans="1:11" ht="15">
      <c r="A1859" s="11">
        <v>9</v>
      </c>
      <c r="B1859" s="2661" t="s">
        <v>1761</v>
      </c>
      <c r="C1859" s="1544" t="s">
        <v>1613</v>
      </c>
      <c r="D1859" s="2662" t="s">
        <v>1762</v>
      </c>
      <c r="E1859" s="171" t="s">
        <v>1755</v>
      </c>
      <c r="F1859" s="2663">
        <v>2000000</v>
      </c>
      <c r="G1859" s="171" t="s">
        <v>1616</v>
      </c>
      <c r="H1859" s="171" t="s">
        <v>36</v>
      </c>
      <c r="I1859" s="171" t="s">
        <v>36</v>
      </c>
      <c r="J1859" s="171">
        <v>1</v>
      </c>
      <c r="K1859" t="s">
        <v>1707</v>
      </c>
    </row>
    <row r="1860" spans="1:11" ht="15">
      <c r="A1860" s="11">
        <v>10</v>
      </c>
      <c r="B1860" s="2550" t="s">
        <v>1761</v>
      </c>
      <c r="C1860" s="34" t="s">
        <v>1638</v>
      </c>
      <c r="D1860" s="2644" t="s">
        <v>1763</v>
      </c>
      <c r="E1860" s="11" t="s">
        <v>1647</v>
      </c>
      <c r="F1860" s="1517">
        <v>1750000</v>
      </c>
      <c r="G1860" s="11" t="s">
        <v>1616</v>
      </c>
      <c r="H1860" s="11" t="s">
        <v>36</v>
      </c>
      <c r="I1860" s="11" t="s">
        <v>36</v>
      </c>
      <c r="J1860" s="11">
        <v>1</v>
      </c>
      <c r="K1860" t="s">
        <v>1633</v>
      </c>
    </row>
    <row r="1861" spans="1:11" ht="15">
      <c r="A1861" s="11">
        <v>11</v>
      </c>
      <c r="B1861" s="2550" t="s">
        <v>1761</v>
      </c>
      <c r="C1861" s="11" t="s">
        <v>74</v>
      </c>
      <c r="D1861" s="201" t="s">
        <v>1764</v>
      </c>
      <c r="E1861" s="11" t="s">
        <v>1751</v>
      </c>
      <c r="F1861" s="1517">
        <v>3000000</v>
      </c>
      <c r="G1861" s="11" t="s">
        <v>1616</v>
      </c>
      <c r="H1861" s="11" t="s">
        <v>36</v>
      </c>
      <c r="I1861" s="11" t="s">
        <v>36</v>
      </c>
      <c r="J1861" s="11">
        <v>1</v>
      </c>
      <c r="K1861" t="s">
        <v>1707</v>
      </c>
    </row>
    <row r="1862" spans="1:11" ht="15">
      <c r="A1862" s="11">
        <v>12</v>
      </c>
      <c r="B1862" s="2" t="s">
        <v>1765</v>
      </c>
      <c r="C1862" s="11" t="s">
        <v>74</v>
      </c>
      <c r="D1862" s="201" t="s">
        <v>1766</v>
      </c>
      <c r="E1862" s="11" t="s">
        <v>1647</v>
      </c>
      <c r="F1862" s="1517">
        <v>4500000</v>
      </c>
      <c r="G1862" s="11" t="s">
        <v>1616</v>
      </c>
      <c r="H1862" s="11" t="s">
        <v>36</v>
      </c>
      <c r="I1862" s="11" t="s">
        <v>36</v>
      </c>
      <c r="J1862" s="11">
        <v>1</v>
      </c>
      <c r="K1862" t="s">
        <v>1633</v>
      </c>
    </row>
    <row r="1863" spans="1:11" ht="15">
      <c r="A1863" s="11">
        <v>13</v>
      </c>
      <c r="B1863" s="2" t="s">
        <v>1765</v>
      </c>
      <c r="C1863" s="11" t="s">
        <v>74</v>
      </c>
      <c r="D1863" s="201" t="s">
        <v>1767</v>
      </c>
      <c r="E1863" s="11" t="s">
        <v>1647</v>
      </c>
      <c r="F1863" s="1517">
        <v>3500000</v>
      </c>
      <c r="G1863" s="11" t="s">
        <v>1616</v>
      </c>
      <c r="H1863" s="11" t="s">
        <v>36</v>
      </c>
      <c r="I1863" s="11" t="s">
        <v>36</v>
      </c>
      <c r="J1863" s="11">
        <v>1</v>
      </c>
      <c r="K1863" t="s">
        <v>1707</v>
      </c>
    </row>
    <row r="1864" spans="1:11" ht="15">
      <c r="A1864" s="11">
        <v>14</v>
      </c>
      <c r="B1864" s="2" t="s">
        <v>1768</v>
      </c>
      <c r="C1864" s="11" t="s">
        <v>74</v>
      </c>
      <c r="D1864" s="11" t="s">
        <v>1769</v>
      </c>
      <c r="E1864" s="11" t="s">
        <v>1706</v>
      </c>
      <c r="F1864" s="1517">
        <v>12500000</v>
      </c>
      <c r="G1864" s="11" t="s">
        <v>1616</v>
      </c>
      <c r="H1864" s="11" t="s">
        <v>36</v>
      </c>
      <c r="I1864" s="11" t="s">
        <v>36</v>
      </c>
      <c r="J1864" s="11">
        <v>1</v>
      </c>
      <c r="K1864" t="s">
        <v>1633</v>
      </c>
    </row>
    <row r="1865" spans="1:11" ht="15">
      <c r="J1865">
        <f>SUM(J1851:J1864)</f>
        <v>14</v>
      </c>
    </row>
    <row r="1866" spans="1:11" ht="25.5">
      <c r="A1866" s="2734" t="s">
        <v>1641</v>
      </c>
      <c r="B1866" s="2734"/>
      <c r="C1866" s="2734"/>
      <c r="D1866" s="2734"/>
      <c r="E1866" s="2734"/>
      <c r="F1866" s="2734"/>
      <c r="G1866" s="2734"/>
      <c r="H1866" s="2734"/>
      <c r="I1866" s="2734"/>
      <c r="J1866" s="2734"/>
    </row>
    <row r="1867" spans="1:11" ht="15">
      <c r="A1867" s="2615" t="s">
        <v>3</v>
      </c>
      <c r="B1867" s="2616" t="s">
        <v>4</v>
      </c>
      <c r="C1867" s="2615" t="s">
        <v>5</v>
      </c>
      <c r="D1867" s="2615" t="s">
        <v>6</v>
      </c>
      <c r="E1867" s="2615" t="s">
        <v>7</v>
      </c>
      <c r="F1867" s="2615" t="s">
        <v>8</v>
      </c>
      <c r="G1867" s="2615" t="s">
        <v>9</v>
      </c>
      <c r="H1867" s="2615" t="s">
        <v>10</v>
      </c>
      <c r="I1867" s="2615" t="s">
        <v>11</v>
      </c>
      <c r="J1867" s="2615" t="s">
        <v>12</v>
      </c>
    </row>
    <row r="1868" spans="1:11" ht="15">
      <c r="A1868" s="2617">
        <v>1</v>
      </c>
      <c r="B1868" s="2618" t="s">
        <v>1759</v>
      </c>
      <c r="C1868" s="2619" t="s">
        <v>74</v>
      </c>
      <c r="D1868" s="2619" t="s">
        <v>1770</v>
      </c>
      <c r="E1868" s="2619" t="s">
        <v>1647</v>
      </c>
      <c r="F1868" s="2620">
        <v>920000000</v>
      </c>
      <c r="G1868" s="2619" t="s">
        <v>1616</v>
      </c>
      <c r="H1868" s="2619" t="s">
        <v>36</v>
      </c>
      <c r="I1868" s="2619" t="s">
        <v>36</v>
      </c>
      <c r="J1868" s="2621">
        <v>1</v>
      </c>
    </row>
    <row r="1869" spans="1:11" ht="15">
      <c r="A1869" s="2622">
        <v>2</v>
      </c>
      <c r="B1869" s="2618"/>
      <c r="C1869" s="2623"/>
      <c r="D1869" s="2619"/>
      <c r="E1869" s="2623"/>
      <c r="F1869" s="2624"/>
      <c r="G1869" s="2619"/>
      <c r="H1869" s="2619"/>
      <c r="I1869" s="2619"/>
      <c r="J1869" s="2621"/>
    </row>
    <row r="1870" spans="1:11" ht="15">
      <c r="A1870" s="2617">
        <v>3</v>
      </c>
      <c r="B1870" s="2618"/>
      <c r="C1870" s="2619"/>
      <c r="D1870" s="2619"/>
      <c r="E1870" s="2619"/>
      <c r="F1870" s="2620"/>
      <c r="G1870" s="2619"/>
      <c r="H1870" s="2619"/>
      <c r="I1870" s="2619"/>
      <c r="J1870" s="2621"/>
    </row>
    <row r="1871" spans="1:11" ht="15"/>
    <row r="1872" spans="1:11" ht="15"/>
    <row r="1873" spans="1:11" ht="23.25">
      <c r="A1873" s="2736" t="s">
        <v>1667</v>
      </c>
      <c r="B1873" s="2736"/>
      <c r="C1873" s="2736"/>
      <c r="D1873" s="2736"/>
      <c r="E1873" s="2736"/>
      <c r="F1873" s="2736"/>
      <c r="G1873" s="2736"/>
      <c r="H1873" s="2736"/>
      <c r="I1873" s="2736"/>
      <c r="J1873" s="2736"/>
    </row>
    <row r="1874" spans="1:11" ht="15.75">
      <c r="A1874" s="2737" t="s">
        <v>2</v>
      </c>
      <c r="B1874" s="2740"/>
      <c r="C1874" s="2740"/>
      <c r="D1874" s="2740"/>
      <c r="E1874" s="2740"/>
      <c r="F1874" s="2740"/>
      <c r="G1874" s="2740"/>
      <c r="H1874" s="2740"/>
      <c r="I1874" s="2740"/>
      <c r="J1874" s="2740"/>
    </row>
    <row r="1875" spans="1:11" ht="15">
      <c r="A1875" s="2646" t="s">
        <v>3</v>
      </c>
      <c r="B1875" s="260" t="s">
        <v>4</v>
      </c>
      <c r="C1875" s="1521" t="s">
        <v>5</v>
      </c>
      <c r="D1875" s="1521" t="s">
        <v>6</v>
      </c>
      <c r="E1875" s="1521" t="s">
        <v>7</v>
      </c>
      <c r="F1875" s="2693" t="s">
        <v>8</v>
      </c>
      <c r="G1875" s="1521" t="s">
        <v>9</v>
      </c>
      <c r="H1875" s="1521" t="s">
        <v>1612</v>
      </c>
      <c r="I1875" s="1521" t="s">
        <v>11</v>
      </c>
      <c r="J1875" s="1521" t="s">
        <v>12</v>
      </c>
    </row>
    <row r="1876" spans="1:11" ht="15">
      <c r="A1876" s="10">
        <v>1</v>
      </c>
      <c r="B1876" s="51" t="s">
        <v>1771</v>
      </c>
      <c r="C1876" s="34" t="s">
        <v>1613</v>
      </c>
      <c r="D1876" s="201" t="s">
        <v>1772</v>
      </c>
      <c r="E1876" s="34" t="s">
        <v>1629</v>
      </c>
      <c r="F1876" s="1305">
        <v>1400000</v>
      </c>
      <c r="G1876" s="34" t="s">
        <v>1616</v>
      </c>
      <c r="H1876" s="34" t="s">
        <v>36</v>
      </c>
      <c r="I1876" s="34" t="s">
        <v>36</v>
      </c>
      <c r="J1876" s="34">
        <v>1</v>
      </c>
      <c r="K1876" t="s">
        <v>1707</v>
      </c>
    </row>
    <row r="1877" spans="1:11" ht="15">
      <c r="A1877" s="10">
        <v>2</v>
      </c>
      <c r="B1877" s="2537">
        <v>44572</v>
      </c>
      <c r="C1877" s="34" t="s">
        <v>1613</v>
      </c>
      <c r="D1877" s="201" t="s">
        <v>1773</v>
      </c>
      <c r="E1877" s="11" t="s">
        <v>1488</v>
      </c>
      <c r="F1877" s="1517">
        <v>1350000</v>
      </c>
      <c r="G1877" s="11" t="s">
        <v>1616</v>
      </c>
      <c r="H1877" s="11" t="s">
        <v>36</v>
      </c>
      <c r="I1877" s="11" t="s">
        <v>36</v>
      </c>
      <c r="J1877" s="11">
        <v>1</v>
      </c>
      <c r="K1877" t="s">
        <v>1633</v>
      </c>
    </row>
    <row r="1878" spans="1:11" ht="15">
      <c r="A1878" s="10">
        <v>3</v>
      </c>
      <c r="B1878" s="2537">
        <v>44572</v>
      </c>
      <c r="C1878" s="34" t="s">
        <v>1613</v>
      </c>
      <c r="D1878" s="2645" t="s">
        <v>1774</v>
      </c>
      <c r="E1878" s="11" t="s">
        <v>1692</v>
      </c>
      <c r="F1878" s="1517">
        <v>1950000</v>
      </c>
      <c r="G1878" s="11" t="s">
        <v>1616</v>
      </c>
      <c r="H1878" s="11" t="s">
        <v>36</v>
      </c>
      <c r="I1878" s="11" t="s">
        <v>36</v>
      </c>
      <c r="J1878" s="11">
        <v>1</v>
      </c>
      <c r="K1878" t="s">
        <v>1707</v>
      </c>
    </row>
    <row r="1879" spans="1:11" ht="15">
      <c r="A1879" s="10">
        <v>4</v>
      </c>
      <c r="B1879" s="2537">
        <v>44572</v>
      </c>
      <c r="C1879" s="34" t="s">
        <v>1613</v>
      </c>
      <c r="D1879" s="201" t="s">
        <v>1775</v>
      </c>
      <c r="E1879" s="11" t="s">
        <v>1647</v>
      </c>
      <c r="F1879" s="1517">
        <v>2650000</v>
      </c>
      <c r="G1879" s="11" t="s">
        <v>1616</v>
      </c>
      <c r="H1879" s="11" t="s">
        <v>36</v>
      </c>
      <c r="I1879" s="11" t="s">
        <v>36</v>
      </c>
      <c r="J1879" s="11">
        <v>1</v>
      </c>
      <c r="K1879" t="s">
        <v>1633</v>
      </c>
    </row>
    <row r="1880" spans="1:11" ht="15">
      <c r="A1880" s="10">
        <v>5</v>
      </c>
      <c r="B1880" s="2550">
        <v>44603</v>
      </c>
      <c r="C1880" s="34" t="s">
        <v>1613</v>
      </c>
      <c r="D1880" s="201" t="s">
        <v>1776</v>
      </c>
      <c r="E1880" s="34" t="s">
        <v>1777</v>
      </c>
      <c r="F1880" s="1517">
        <v>1250000</v>
      </c>
      <c r="G1880" s="11" t="s">
        <v>1616</v>
      </c>
      <c r="H1880" s="11" t="s">
        <v>36</v>
      </c>
      <c r="I1880" s="11" t="s">
        <v>36</v>
      </c>
      <c r="J1880" s="11">
        <v>1</v>
      </c>
      <c r="K1880" t="s">
        <v>1707</v>
      </c>
    </row>
    <row r="1881" spans="1:11" ht="15">
      <c r="A1881" s="10">
        <v>6</v>
      </c>
      <c r="B1881" s="2550">
        <v>44631</v>
      </c>
      <c r="C1881" s="34" t="s">
        <v>1613</v>
      </c>
      <c r="D1881" s="160" t="s">
        <v>1778</v>
      </c>
      <c r="E1881" s="34" t="s">
        <v>1777</v>
      </c>
      <c r="F1881" s="1517">
        <v>1150000</v>
      </c>
      <c r="G1881" s="11" t="s">
        <v>1616</v>
      </c>
      <c r="H1881" s="11" t="s">
        <v>36</v>
      </c>
      <c r="I1881" s="11" t="s">
        <v>36</v>
      </c>
      <c r="J1881" s="11">
        <v>1</v>
      </c>
      <c r="K1881" t="s">
        <v>1633</v>
      </c>
    </row>
    <row r="1882" spans="1:11" ht="15">
      <c r="A1882" s="10">
        <v>7</v>
      </c>
      <c r="B1882" s="2550">
        <v>44631</v>
      </c>
      <c r="C1882" s="34" t="s">
        <v>1613</v>
      </c>
      <c r="D1882" s="160" t="s">
        <v>1779</v>
      </c>
      <c r="E1882" s="11" t="s">
        <v>1777</v>
      </c>
      <c r="F1882" s="1517">
        <v>1280000</v>
      </c>
      <c r="G1882" s="11" t="s">
        <v>1616</v>
      </c>
      <c r="H1882" s="11" t="s">
        <v>36</v>
      </c>
      <c r="I1882" s="11" t="s">
        <v>36</v>
      </c>
      <c r="J1882" s="11">
        <v>1</v>
      </c>
      <c r="K1882" t="s">
        <v>1707</v>
      </c>
    </row>
    <row r="1883" spans="1:11" ht="15">
      <c r="A1883" s="10">
        <v>8</v>
      </c>
      <c r="B1883" s="2550">
        <v>44631</v>
      </c>
      <c r="C1883" s="11" t="s">
        <v>1613</v>
      </c>
      <c r="D1883" s="201" t="s">
        <v>1780</v>
      </c>
      <c r="E1883" s="11" t="s">
        <v>1686</v>
      </c>
      <c r="F1883" s="1517">
        <v>2500000</v>
      </c>
      <c r="G1883" s="11" t="s">
        <v>1616</v>
      </c>
      <c r="H1883" s="11" t="s">
        <v>36</v>
      </c>
      <c r="I1883" s="11" t="s">
        <v>36</v>
      </c>
      <c r="J1883" s="11">
        <v>1</v>
      </c>
      <c r="K1883" t="s">
        <v>1633</v>
      </c>
    </row>
    <row r="1884" spans="1:11" ht="15">
      <c r="A1884" s="10">
        <v>9</v>
      </c>
      <c r="B1884" s="2550">
        <v>44631</v>
      </c>
      <c r="C1884" s="11" t="s">
        <v>1613</v>
      </c>
      <c r="D1884" s="2645" t="s">
        <v>1781</v>
      </c>
      <c r="E1884" s="11" t="s">
        <v>1675</v>
      </c>
      <c r="F1884" s="1517">
        <v>6500000</v>
      </c>
      <c r="G1884" s="11" t="s">
        <v>1616</v>
      </c>
      <c r="H1884" s="11" t="s">
        <v>36</v>
      </c>
      <c r="I1884" s="11" t="s">
        <v>36</v>
      </c>
      <c r="J1884" s="11">
        <v>1</v>
      </c>
      <c r="K1884" t="s">
        <v>1707</v>
      </c>
    </row>
    <row r="1885" spans="1:11" ht="15">
      <c r="A1885" s="10">
        <v>10</v>
      </c>
      <c r="B1885" s="2550">
        <v>44662</v>
      </c>
      <c r="C1885" s="11" t="s">
        <v>1613</v>
      </c>
      <c r="D1885" s="201" t="s">
        <v>1782</v>
      </c>
      <c r="E1885" s="11" t="s">
        <v>1783</v>
      </c>
      <c r="F1885" s="1517">
        <v>1300000</v>
      </c>
      <c r="G1885" s="11" t="s">
        <v>1616</v>
      </c>
      <c r="H1885" s="11" t="s">
        <v>36</v>
      </c>
      <c r="I1885" s="11" t="s">
        <v>36</v>
      </c>
      <c r="J1885" s="11">
        <v>1</v>
      </c>
      <c r="K1885" t="s">
        <v>1633</v>
      </c>
    </row>
    <row r="1886" spans="1:11" ht="15">
      <c r="A1886" s="10">
        <v>11</v>
      </c>
      <c r="B1886" s="2550">
        <v>44662</v>
      </c>
      <c r="C1886" s="11" t="s">
        <v>74</v>
      </c>
      <c r="D1886" s="2645" t="s">
        <v>1784</v>
      </c>
      <c r="E1886" s="11" t="s">
        <v>1647</v>
      </c>
      <c r="F1886" s="1517">
        <v>6500000</v>
      </c>
      <c r="G1886" s="11" t="s">
        <v>1616</v>
      </c>
      <c r="H1886" s="11" t="s">
        <v>36</v>
      </c>
      <c r="I1886" s="11" t="s">
        <v>36</v>
      </c>
      <c r="J1886" s="11">
        <v>1</v>
      </c>
      <c r="K1886" t="s">
        <v>1707</v>
      </c>
    </row>
    <row r="1887" spans="1:11" ht="15">
      <c r="A1887" s="10">
        <v>12</v>
      </c>
      <c r="B1887" s="2550">
        <v>44662</v>
      </c>
      <c r="C1887" s="11" t="s">
        <v>74</v>
      </c>
      <c r="D1887" s="2645" t="s">
        <v>1785</v>
      </c>
      <c r="E1887" s="11" t="s">
        <v>1777</v>
      </c>
      <c r="F1887" s="1517">
        <v>3200000</v>
      </c>
      <c r="G1887" s="11" t="s">
        <v>1616</v>
      </c>
      <c r="H1887" s="11" t="s">
        <v>36</v>
      </c>
      <c r="I1887" s="11" t="s">
        <v>36</v>
      </c>
      <c r="J1887" s="11">
        <v>1</v>
      </c>
      <c r="K1887" t="s">
        <v>1633</v>
      </c>
    </row>
    <row r="1888" spans="1:11" ht="15">
      <c r="A1888" s="10">
        <v>13</v>
      </c>
      <c r="B1888" s="2550">
        <v>44692</v>
      </c>
      <c r="C1888" s="11" t="s">
        <v>1613</v>
      </c>
      <c r="D1888" s="2645" t="s">
        <v>1786</v>
      </c>
      <c r="E1888" s="11" t="s">
        <v>1787</v>
      </c>
      <c r="F1888" s="1517">
        <v>1150000</v>
      </c>
      <c r="G1888" s="11" t="s">
        <v>1616</v>
      </c>
      <c r="H1888" s="11" t="s">
        <v>36</v>
      </c>
      <c r="I1888" s="11" t="s">
        <v>36</v>
      </c>
      <c r="J1888" s="11">
        <v>1</v>
      </c>
      <c r="K1888" t="s">
        <v>1707</v>
      </c>
    </row>
    <row r="1889" spans="1:11" ht="15">
      <c r="A1889" s="10">
        <v>14</v>
      </c>
      <c r="B1889" s="2550">
        <v>44784</v>
      </c>
      <c r="C1889" s="11" t="s">
        <v>74</v>
      </c>
      <c r="D1889" s="2645" t="s">
        <v>1788</v>
      </c>
      <c r="E1889" s="11" t="s">
        <v>1632</v>
      </c>
      <c r="F1889" s="1517">
        <v>1800000</v>
      </c>
      <c r="G1889" s="11" t="s">
        <v>1616</v>
      </c>
      <c r="H1889" s="11" t="s">
        <v>36</v>
      </c>
      <c r="I1889" s="11" t="s">
        <v>36</v>
      </c>
      <c r="J1889" s="11">
        <v>1</v>
      </c>
      <c r="K1889" t="s">
        <v>1633</v>
      </c>
    </row>
    <row r="1890" spans="1:11" ht="15">
      <c r="A1890" s="10">
        <v>15</v>
      </c>
      <c r="B1890" s="2694">
        <v>44784</v>
      </c>
      <c r="C1890" s="1521" t="s">
        <v>74</v>
      </c>
      <c r="D1890" s="2695" t="s">
        <v>1789</v>
      </c>
      <c r="E1890" s="1521" t="s">
        <v>1620</v>
      </c>
      <c r="F1890" s="1326">
        <v>3500000</v>
      </c>
      <c r="G1890" s="1521" t="s">
        <v>1616</v>
      </c>
      <c r="H1890" s="1521" t="s">
        <v>36</v>
      </c>
      <c r="I1890" s="1521" t="s">
        <v>36</v>
      </c>
      <c r="J1890" s="1521">
        <v>1</v>
      </c>
      <c r="K1890" t="s">
        <v>1707</v>
      </c>
    </row>
    <row r="1891" spans="1:11" ht="15">
      <c r="A1891" s="10">
        <v>16</v>
      </c>
      <c r="B1891" s="2550">
        <v>44784</v>
      </c>
      <c r="C1891" s="11" t="s">
        <v>74</v>
      </c>
      <c r="D1891" s="2645" t="s">
        <v>1790</v>
      </c>
      <c r="E1891" s="11" t="s">
        <v>1620</v>
      </c>
      <c r="F1891" s="1517">
        <v>3500000</v>
      </c>
      <c r="G1891" s="11" t="s">
        <v>1616</v>
      </c>
      <c r="H1891" s="11" t="s">
        <v>36</v>
      </c>
      <c r="I1891" s="11" t="s">
        <v>36</v>
      </c>
      <c r="J1891" s="11">
        <v>1</v>
      </c>
      <c r="K1891" t="s">
        <v>1633</v>
      </c>
    </row>
    <row r="1892" spans="1:11" ht="15">
      <c r="A1892" s="10">
        <v>17</v>
      </c>
      <c r="B1892" s="2550" t="s">
        <v>1791</v>
      </c>
      <c r="C1892" s="11" t="s">
        <v>219</v>
      </c>
      <c r="D1892" s="2645" t="s">
        <v>1792</v>
      </c>
      <c r="E1892" s="11" t="s">
        <v>1793</v>
      </c>
      <c r="F1892" s="1517">
        <v>1200000</v>
      </c>
      <c r="G1892" s="11" t="s">
        <v>1616</v>
      </c>
      <c r="H1892" s="11" t="s">
        <v>36</v>
      </c>
      <c r="I1892" s="11" t="s">
        <v>36</v>
      </c>
      <c r="J1892" s="11">
        <v>1</v>
      </c>
      <c r="K1892" t="s">
        <v>1707</v>
      </c>
    </row>
    <row r="1893" spans="1:11" ht="15">
      <c r="A1893" s="10">
        <v>18</v>
      </c>
      <c r="B1893" s="2550" t="s">
        <v>1791</v>
      </c>
      <c r="C1893" s="11" t="s">
        <v>74</v>
      </c>
      <c r="D1893" s="2645" t="s">
        <v>1794</v>
      </c>
      <c r="E1893" s="11" t="s">
        <v>1647</v>
      </c>
      <c r="F1893" s="1517">
        <v>3200000</v>
      </c>
      <c r="G1893" s="11" t="s">
        <v>1616</v>
      </c>
      <c r="H1893" s="11" t="s">
        <v>36</v>
      </c>
      <c r="I1893" s="11" t="s">
        <v>36</v>
      </c>
      <c r="J1893" s="11">
        <v>1</v>
      </c>
      <c r="K1893" t="s">
        <v>1633</v>
      </c>
    </row>
    <row r="1894" spans="1:11" ht="15">
      <c r="A1894" s="10">
        <v>19</v>
      </c>
      <c r="B1894" s="2550" t="s">
        <v>1761</v>
      </c>
      <c r="C1894" s="11" t="s">
        <v>1613</v>
      </c>
      <c r="D1894" s="34" t="s">
        <v>1795</v>
      </c>
      <c r="E1894" s="11" t="s">
        <v>1647</v>
      </c>
      <c r="F1894" s="1517">
        <v>1800000</v>
      </c>
      <c r="G1894" s="11" t="s">
        <v>1616</v>
      </c>
      <c r="H1894" s="11" t="s">
        <v>36</v>
      </c>
      <c r="I1894" s="11" t="s">
        <v>36</v>
      </c>
      <c r="J1894" s="11">
        <v>1</v>
      </c>
      <c r="K1894" t="s">
        <v>1707</v>
      </c>
    </row>
    <row r="1895" spans="1:11" ht="15">
      <c r="A1895" s="51">
        <v>20</v>
      </c>
      <c r="B1895" s="2537" t="s">
        <v>1761</v>
      </c>
      <c r="C1895" s="201" t="s">
        <v>74</v>
      </c>
      <c r="D1895" s="201" t="s">
        <v>1796</v>
      </c>
      <c r="E1895" s="201" t="s">
        <v>1743</v>
      </c>
      <c r="F1895" s="2725">
        <v>13000000</v>
      </c>
      <c r="G1895" s="201" t="s">
        <v>1616</v>
      </c>
      <c r="H1895" s="201" t="s">
        <v>36</v>
      </c>
      <c r="I1895" s="201" t="s">
        <v>36</v>
      </c>
      <c r="J1895" s="34">
        <v>1</v>
      </c>
      <c r="K1895" t="s">
        <v>1633</v>
      </c>
    </row>
    <row r="1896" spans="1:11" ht="15">
      <c r="A1896">
        <v>21</v>
      </c>
      <c r="B1896" s="774" t="s">
        <v>1797</v>
      </c>
      <c r="C1896" s="171" t="s">
        <v>1613</v>
      </c>
      <c r="D1896" s="171" t="s">
        <v>1798</v>
      </c>
      <c r="E1896" s="171" t="s">
        <v>1777</v>
      </c>
      <c r="F1896" s="2663">
        <v>1400000</v>
      </c>
      <c r="G1896" s="171" t="s">
        <v>1616</v>
      </c>
      <c r="H1896" s="171" t="s">
        <v>36</v>
      </c>
      <c r="I1896" s="171" t="s">
        <v>36</v>
      </c>
      <c r="J1896" s="171">
        <v>1</v>
      </c>
      <c r="K1896" t="s">
        <v>1707</v>
      </c>
    </row>
    <row r="1897" spans="1:11" ht="15">
      <c r="A1897">
        <v>22</v>
      </c>
      <c r="B1897" s="774" t="s">
        <v>1797</v>
      </c>
      <c r="C1897" s="171" t="s">
        <v>1613</v>
      </c>
      <c r="D1897" s="171" t="s">
        <v>1799</v>
      </c>
      <c r="E1897" s="171" t="s">
        <v>1488</v>
      </c>
      <c r="F1897" s="2663">
        <v>1350000</v>
      </c>
      <c r="G1897" s="171" t="s">
        <v>1616</v>
      </c>
      <c r="H1897" s="171" t="s">
        <v>36</v>
      </c>
      <c r="I1897" s="171" t="s">
        <v>36</v>
      </c>
      <c r="J1897" s="171">
        <v>1</v>
      </c>
      <c r="K1897" t="s">
        <v>1633</v>
      </c>
    </row>
    <row r="1898" spans="1:11" ht="15">
      <c r="B1898" s="2"/>
      <c r="C1898" s="11"/>
      <c r="D1898" s="11"/>
      <c r="E1898" s="11"/>
      <c r="F1898" s="11"/>
      <c r="G1898" s="11"/>
      <c r="H1898" s="11"/>
      <c r="I1898" s="11"/>
      <c r="J1898" s="11">
        <f>SUM(J1876:J1897)</f>
        <v>22</v>
      </c>
    </row>
    <row r="1899" spans="1:11" ht="25.5">
      <c r="A1899" s="2734" t="s">
        <v>1641</v>
      </c>
      <c r="B1899" s="2735"/>
      <c r="C1899" s="2735"/>
      <c r="D1899" s="2735"/>
      <c r="E1899" s="2735"/>
      <c r="F1899" s="2735"/>
      <c r="G1899" s="2735"/>
      <c r="H1899" s="2735"/>
      <c r="I1899" s="2735"/>
      <c r="J1899" s="2735"/>
    </row>
    <row r="1900" spans="1:11" ht="15">
      <c r="A1900" s="2615" t="s">
        <v>3</v>
      </c>
      <c r="B1900" s="2616" t="s">
        <v>4</v>
      </c>
      <c r="C1900" s="2615" t="s">
        <v>5</v>
      </c>
      <c r="D1900" s="2615" t="s">
        <v>6</v>
      </c>
      <c r="E1900" s="2615" t="s">
        <v>7</v>
      </c>
      <c r="F1900" s="2615" t="s">
        <v>8</v>
      </c>
      <c r="G1900" s="2615" t="s">
        <v>9</v>
      </c>
      <c r="H1900" s="2615" t="s">
        <v>10</v>
      </c>
      <c r="I1900" s="2615" t="s">
        <v>11</v>
      </c>
      <c r="J1900" s="2615" t="s">
        <v>12</v>
      </c>
    </row>
    <row r="1901" spans="1:11" ht="15">
      <c r="A1901" s="2617">
        <v>1</v>
      </c>
      <c r="B1901" s="2618">
        <v>44845</v>
      </c>
      <c r="C1901" s="2619" t="s">
        <v>1613</v>
      </c>
      <c r="D1901" s="2625" t="s">
        <v>1800</v>
      </c>
      <c r="E1901" s="2619" t="s">
        <v>1629</v>
      </c>
      <c r="F1901" s="2620">
        <v>290000000</v>
      </c>
      <c r="G1901" s="2619" t="s">
        <v>1616</v>
      </c>
      <c r="H1901" s="2619" t="s">
        <v>36</v>
      </c>
      <c r="I1901" s="2619" t="s">
        <v>36</v>
      </c>
      <c r="J1901" s="2621">
        <v>1</v>
      </c>
    </row>
    <row r="1902" spans="1:11" ht="16.5" customHeight="1">
      <c r="A1902" s="2622">
        <v>2</v>
      </c>
      <c r="B1902" s="2628" t="s">
        <v>1761</v>
      </c>
      <c r="C1902" s="2623" t="s">
        <v>1613</v>
      </c>
      <c r="D1902" s="2626" t="s">
        <v>1795</v>
      </c>
      <c r="E1902" s="2623" t="s">
        <v>1647</v>
      </c>
      <c r="F1902" s="2624">
        <v>420000000</v>
      </c>
      <c r="G1902" s="2623" t="s">
        <v>1616</v>
      </c>
      <c r="H1902" s="2623" t="s">
        <v>36</v>
      </c>
      <c r="I1902" s="2623" t="s">
        <v>36</v>
      </c>
      <c r="J1902" s="2627">
        <v>1</v>
      </c>
    </row>
    <row r="1903" spans="1:11" ht="15">
      <c r="A1903" s="2617">
        <v>3</v>
      </c>
      <c r="B1903" s="2618" t="s">
        <v>1761</v>
      </c>
      <c r="C1903" s="2619" t="s">
        <v>74</v>
      </c>
      <c r="D1903" s="2619" t="s">
        <v>1796</v>
      </c>
      <c r="E1903" s="2619" t="s">
        <v>1743</v>
      </c>
      <c r="F1903" s="2620">
        <v>3000000000</v>
      </c>
      <c r="G1903" s="2619" t="s">
        <v>1616</v>
      </c>
      <c r="H1903" s="2619" t="s">
        <v>36</v>
      </c>
      <c r="I1903" s="2619" t="s">
        <v>36</v>
      </c>
      <c r="J1903" s="2621">
        <v>1</v>
      </c>
    </row>
    <row r="1904" spans="1:11" ht="15">
      <c r="A1904" s="2617">
        <v>4</v>
      </c>
      <c r="B1904" s="2618" t="s">
        <v>1801</v>
      </c>
      <c r="C1904" s="2619" t="s">
        <v>74</v>
      </c>
      <c r="D1904" s="2619" t="s">
        <v>1802</v>
      </c>
      <c r="E1904" s="2619" t="s">
        <v>1636</v>
      </c>
      <c r="F1904" s="2620">
        <v>550000000</v>
      </c>
      <c r="G1904" s="2619" t="s">
        <v>1616</v>
      </c>
      <c r="H1904" s="2619" t="s">
        <v>36</v>
      </c>
      <c r="I1904" s="2619" t="s">
        <v>36</v>
      </c>
      <c r="J1904" s="2621">
        <v>1</v>
      </c>
    </row>
    <row r="1905" spans="1:10" ht="15"/>
    <row r="1906" spans="1:10" ht="23.25">
      <c r="A1906" s="2736" t="s">
        <v>118</v>
      </c>
      <c r="B1906" s="2736"/>
      <c r="C1906" s="2736"/>
      <c r="D1906" s="2736"/>
      <c r="E1906" s="2736"/>
      <c r="F1906" s="2736"/>
      <c r="G1906" s="2736"/>
      <c r="H1906" s="2736"/>
      <c r="I1906" s="2736"/>
      <c r="J1906" s="2736"/>
    </row>
    <row r="1907" spans="1:10" ht="15.75">
      <c r="A1907" s="2737" t="s">
        <v>2</v>
      </c>
      <c r="B1907" s="2737"/>
      <c r="C1907" s="2737"/>
      <c r="D1907" s="2737"/>
      <c r="E1907" s="2737"/>
      <c r="F1907" s="2737"/>
      <c r="G1907" s="2737"/>
      <c r="H1907" s="2737"/>
      <c r="I1907" s="2737"/>
      <c r="J1907" s="2737"/>
    </row>
    <row r="1908" spans="1:10" ht="15">
      <c r="A1908" s="147" t="s">
        <v>3</v>
      </c>
      <c r="B1908" s="2543" t="s">
        <v>4</v>
      </c>
      <c r="C1908" s="147" t="s">
        <v>5</v>
      </c>
      <c r="D1908" s="147" t="s">
        <v>6</v>
      </c>
      <c r="E1908" s="147" t="s">
        <v>7</v>
      </c>
      <c r="F1908" s="2487" t="s">
        <v>8</v>
      </c>
      <c r="G1908" s="147" t="s">
        <v>9</v>
      </c>
      <c r="H1908" s="147" t="s">
        <v>1612</v>
      </c>
      <c r="I1908" s="147" t="s">
        <v>11</v>
      </c>
      <c r="J1908" s="147" t="s">
        <v>12</v>
      </c>
    </row>
    <row r="1909" spans="1:10" ht="15">
      <c r="A1909" s="11">
        <v>1</v>
      </c>
      <c r="B1909" s="51"/>
      <c r="C1909" s="34"/>
      <c r="D1909" s="34"/>
      <c r="E1909" s="34"/>
      <c r="F1909" s="2508"/>
      <c r="G1909" s="34"/>
      <c r="H1909" s="34"/>
      <c r="I1909" s="34"/>
      <c r="J1909" s="34"/>
    </row>
    <row r="1910" spans="1:10" ht="15">
      <c r="A1910" s="11">
        <v>2</v>
      </c>
      <c r="B1910" s="51"/>
      <c r="C1910" s="34"/>
      <c r="D1910" s="11"/>
      <c r="E1910" s="11"/>
      <c r="F1910" s="1517"/>
      <c r="G1910" s="11"/>
      <c r="H1910" s="11"/>
      <c r="I1910" s="11"/>
      <c r="J1910" s="11"/>
    </row>
    <row r="1911" spans="1:10" ht="15">
      <c r="A1911" s="11">
        <v>3</v>
      </c>
      <c r="B1911" s="51"/>
      <c r="C1911" s="34"/>
      <c r="D1911" s="11"/>
      <c r="E1911" s="11"/>
      <c r="F1911" s="1517"/>
      <c r="G1911" s="11"/>
      <c r="H1911" s="11"/>
      <c r="I1911" s="11"/>
      <c r="J1911" s="11"/>
    </row>
    <row r="1915" spans="1:10" ht="15"/>
    <row r="1918" spans="1:10" ht="15"/>
    <row r="1922" ht="15"/>
  </sheetData>
  <mergeCells count="198">
    <mergeCell ref="A1829:J1829"/>
    <mergeCell ref="A1836:J1836"/>
    <mergeCell ref="A1837:J1837"/>
    <mergeCell ref="A1766:J1767"/>
    <mergeCell ref="A1769:J1769"/>
    <mergeCell ref="A1770:J1770"/>
    <mergeCell ref="A1787:J1787"/>
    <mergeCell ref="A1793:J1793"/>
    <mergeCell ref="A1794:J1794"/>
    <mergeCell ref="A1799:J1799"/>
    <mergeCell ref="A1805:J1805"/>
    <mergeCell ref="A1806:J1806"/>
    <mergeCell ref="A1675:J1675"/>
    <mergeCell ref="A1591:J1591"/>
    <mergeCell ref="A1599:J1599"/>
    <mergeCell ref="A1600:J1600"/>
    <mergeCell ref="A1624:J1624"/>
    <mergeCell ref="A1632:J1632"/>
    <mergeCell ref="A1633:J1633"/>
    <mergeCell ref="A1657:J1657"/>
    <mergeCell ref="A1665:J1665"/>
    <mergeCell ref="A1666:J1666"/>
    <mergeCell ref="A1495:J1496"/>
    <mergeCell ref="A1498:J1498"/>
    <mergeCell ref="A1499:J1499"/>
    <mergeCell ref="A1523:J1523"/>
    <mergeCell ref="A1533:J1533"/>
    <mergeCell ref="A1534:J1534"/>
    <mergeCell ref="A1558:J1558"/>
    <mergeCell ref="A1566:J1566"/>
    <mergeCell ref="A1567:J1567"/>
    <mergeCell ref="A574:J574"/>
    <mergeCell ref="A586:J586"/>
    <mergeCell ref="A759:J759"/>
    <mergeCell ref="A783:J783"/>
    <mergeCell ref="A860:J860"/>
    <mergeCell ref="A861:J861"/>
    <mergeCell ref="A884:J884"/>
    <mergeCell ref="A927:J928"/>
    <mergeCell ref="A930:J930"/>
    <mergeCell ref="A893:J893"/>
    <mergeCell ref="A894:J894"/>
    <mergeCell ref="A917:J917"/>
    <mergeCell ref="A634:J634"/>
    <mergeCell ref="A635:J635"/>
    <mergeCell ref="A613:J613"/>
    <mergeCell ref="A614:J614"/>
    <mergeCell ref="A626:J626"/>
    <mergeCell ref="A593:J593"/>
    <mergeCell ref="A594:J594"/>
    <mergeCell ref="A606:J606"/>
    <mergeCell ref="A647:J647"/>
    <mergeCell ref="A655:J656"/>
    <mergeCell ref="A658:J658"/>
    <mergeCell ref="A659:J659"/>
    <mergeCell ref="A1207:J1207"/>
    <mergeCell ref="A1217:J1217"/>
    <mergeCell ref="A1218:J1218"/>
    <mergeCell ref="A818:J818"/>
    <mergeCell ref="A827:J827"/>
    <mergeCell ref="A828:J828"/>
    <mergeCell ref="A851:J851"/>
    <mergeCell ref="A931:J931"/>
    <mergeCell ref="A955:J955"/>
    <mergeCell ref="A966:J966"/>
    <mergeCell ref="A1039:J1039"/>
    <mergeCell ref="A1040:J1040"/>
    <mergeCell ref="A1063:J1063"/>
    <mergeCell ref="A1074:J1074"/>
    <mergeCell ref="A1075:J1075"/>
    <mergeCell ref="A967:J967"/>
    <mergeCell ref="A996:J996"/>
    <mergeCell ref="A1005:J1005"/>
    <mergeCell ref="A1006:J1006"/>
    <mergeCell ref="A1031:J1031"/>
    <mergeCell ref="A489:J489"/>
    <mergeCell ref="A522:J522"/>
    <mergeCell ref="A530:J530"/>
    <mergeCell ref="A496:J496"/>
    <mergeCell ref="A497:J497"/>
    <mergeCell ref="A509:J509"/>
    <mergeCell ref="A518:J519"/>
    <mergeCell ref="A521:J521"/>
    <mergeCell ref="A573:J573"/>
    <mergeCell ref="A540:J540"/>
    <mergeCell ref="A541:J541"/>
    <mergeCell ref="A564:J564"/>
    <mergeCell ref="A134:J135"/>
    <mergeCell ref="A137:J137"/>
    <mergeCell ref="A277:J278"/>
    <mergeCell ref="A280:J280"/>
    <mergeCell ref="A281:J281"/>
    <mergeCell ref="A138:J138"/>
    <mergeCell ref="A161:J161"/>
    <mergeCell ref="A176:J176"/>
    <mergeCell ref="A177:J177"/>
    <mergeCell ref="A200:J200"/>
    <mergeCell ref="A214:J214"/>
    <mergeCell ref="A215:J215"/>
    <mergeCell ref="A238:J238"/>
    <mergeCell ref="A251:J251"/>
    <mergeCell ref="A264:J264"/>
    <mergeCell ref="A252:J252"/>
    <mergeCell ref="A118:J118"/>
    <mergeCell ref="A1:J2"/>
    <mergeCell ref="A4:J4"/>
    <mergeCell ref="A5:J5"/>
    <mergeCell ref="A28:J28"/>
    <mergeCell ref="A42:J42"/>
    <mergeCell ref="A43:J43"/>
    <mergeCell ref="A66:J66"/>
    <mergeCell ref="A80:J80"/>
    <mergeCell ref="A81:J81"/>
    <mergeCell ref="A104:J104"/>
    <mergeCell ref="A117:J117"/>
    <mergeCell ref="A304:J304"/>
    <mergeCell ref="A313:J313"/>
    <mergeCell ref="A375:J375"/>
    <mergeCell ref="A376:J376"/>
    <mergeCell ref="A388:J388"/>
    <mergeCell ref="A314:J314"/>
    <mergeCell ref="A337:J337"/>
    <mergeCell ref="A345:J345"/>
    <mergeCell ref="A346:J346"/>
    <mergeCell ref="A369:J369"/>
    <mergeCell ref="A397:J398"/>
    <mergeCell ref="A400:J400"/>
    <mergeCell ref="A401:J401"/>
    <mergeCell ref="A424:J424"/>
    <mergeCell ref="A433:J433"/>
    <mergeCell ref="A434:J434"/>
    <mergeCell ref="A457:J457"/>
    <mergeCell ref="A465:J465"/>
    <mergeCell ref="A466:J466"/>
    <mergeCell ref="A682:J682"/>
    <mergeCell ref="A693:J693"/>
    <mergeCell ref="A794:J794"/>
    <mergeCell ref="A795:J795"/>
    <mergeCell ref="A725:J725"/>
    <mergeCell ref="A726:J726"/>
    <mergeCell ref="A760:J760"/>
    <mergeCell ref="A694:J694"/>
    <mergeCell ref="A717:J717"/>
    <mergeCell ref="A751:J751"/>
    <mergeCell ref="A1418:J1418"/>
    <mergeCell ref="A1428:J1428"/>
    <mergeCell ref="A1429:J1429"/>
    <mergeCell ref="A1453:J1453"/>
    <mergeCell ref="A1462:J1462"/>
    <mergeCell ref="A1463:J1463"/>
    <mergeCell ref="A1486:J1486"/>
    <mergeCell ref="A1099:J1099"/>
    <mergeCell ref="A1107:J1107"/>
    <mergeCell ref="A1108:J1108"/>
    <mergeCell ref="A1131:J1131"/>
    <mergeCell ref="A1308:J1308"/>
    <mergeCell ref="A1242:J1242"/>
    <mergeCell ref="A1251:J1251"/>
    <mergeCell ref="A1252:J1252"/>
    <mergeCell ref="A1276:J1276"/>
    <mergeCell ref="A1284:J1284"/>
    <mergeCell ref="A1285:J1285"/>
    <mergeCell ref="A1141:J1142"/>
    <mergeCell ref="A1144:J1144"/>
    <mergeCell ref="A1145:J1145"/>
    <mergeCell ref="A1169:J1169"/>
    <mergeCell ref="A1183:J1183"/>
    <mergeCell ref="A1184:J1184"/>
    <mergeCell ref="A1317:J1318"/>
    <mergeCell ref="A1320:J1320"/>
    <mergeCell ref="A1321:J1321"/>
    <mergeCell ref="A1345:J1345"/>
    <mergeCell ref="A1355:J1355"/>
    <mergeCell ref="A1356:J1356"/>
    <mergeCell ref="A1381:J1381"/>
    <mergeCell ref="A1392:J1392"/>
    <mergeCell ref="A1393:J1393"/>
    <mergeCell ref="A1754:J1754"/>
    <mergeCell ref="A1761:J1761"/>
    <mergeCell ref="A1762:J1762"/>
    <mergeCell ref="A1684:J1685"/>
    <mergeCell ref="A1687:J1687"/>
    <mergeCell ref="A1688:J1688"/>
    <mergeCell ref="A1705:J1705"/>
    <mergeCell ref="A1711:J1711"/>
    <mergeCell ref="A1712:J1712"/>
    <mergeCell ref="A1730:J1730"/>
    <mergeCell ref="A1736:J1736"/>
    <mergeCell ref="A1737:J1737"/>
    <mergeCell ref="A1899:J1899"/>
    <mergeCell ref="A1906:J1906"/>
    <mergeCell ref="A1907:J1907"/>
    <mergeCell ref="A1845:J1846"/>
    <mergeCell ref="A1848:J1848"/>
    <mergeCell ref="A1849:J1849"/>
    <mergeCell ref="A1866:J1866"/>
    <mergeCell ref="A1873:J1873"/>
    <mergeCell ref="A1874:J18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3678-16A1-4D5E-A8A5-DE782EFD626B}">
  <sheetPr>
    <tabColor theme="4" tint="0.39997558519241921"/>
  </sheetPr>
  <dimension ref="A2:S300"/>
  <sheetViews>
    <sheetView topLeftCell="A230" workbookViewId="0">
      <selection activeCell="E229" sqref="E229:E235"/>
    </sheetView>
  </sheetViews>
  <sheetFormatPr defaultColWidth="8.85546875" defaultRowHeight="14.45"/>
  <cols>
    <col min="1" max="1" width="16.42578125" customWidth="1"/>
    <col min="2" max="2" width="12.7109375" style="2323" customWidth="1"/>
    <col min="3" max="3" width="13.85546875" style="1" customWidth="1"/>
    <col min="4" max="4" width="59.85546875" customWidth="1"/>
    <col min="5" max="5" width="17.7109375" customWidth="1"/>
    <col min="6" max="6" width="7" style="1" customWidth="1"/>
    <col min="7" max="7" width="11.5703125" customWidth="1"/>
    <col min="8" max="8" width="13.5703125" style="2323" customWidth="1"/>
    <col min="9" max="9" width="13.28515625" style="2453" customWidth="1"/>
    <col min="10" max="10" width="11.140625" style="1" customWidth="1"/>
    <col min="11" max="11" width="14.140625" customWidth="1"/>
    <col min="12" max="12" width="15.42578125" style="1" customWidth="1"/>
    <col min="13" max="13" width="10.5703125" customWidth="1"/>
    <col min="14" max="14" width="41.5703125" customWidth="1"/>
    <col min="15" max="15" width="13.42578125" customWidth="1"/>
    <col min="16" max="16" width="9.140625" style="2526"/>
    <col min="17" max="17" width="13.140625" customWidth="1"/>
    <col min="18" max="18" width="9.5703125" customWidth="1"/>
  </cols>
  <sheetData>
    <row r="2" spans="1:17" ht="46.15" hidden="1">
      <c r="A2" s="2839" t="s">
        <v>1803</v>
      </c>
      <c r="B2" s="2839"/>
      <c r="C2" s="2839"/>
      <c r="D2" s="2839"/>
      <c r="E2" s="2839"/>
      <c r="F2" s="2839"/>
      <c r="G2" s="2839"/>
      <c r="H2" s="2840"/>
      <c r="I2" s="2839"/>
      <c r="J2" s="2839"/>
      <c r="K2" s="2839"/>
      <c r="L2" s="2498"/>
    </row>
    <row r="3" spans="1:17" hidden="1"/>
    <row r="4" spans="1:17" ht="21" hidden="1" customHeight="1">
      <c r="A4" s="2817" t="s">
        <v>1804</v>
      </c>
      <c r="B4" s="2817"/>
      <c r="C4" s="2817"/>
      <c r="D4" s="2817"/>
      <c r="E4" s="2817"/>
      <c r="F4" s="2817"/>
      <c r="G4" s="2817"/>
      <c r="H4" s="2818"/>
      <c r="I4" s="2817"/>
      <c r="J4" s="2817"/>
      <c r="K4" s="2817"/>
      <c r="L4" s="2502"/>
      <c r="M4" s="2819" t="s">
        <v>1805</v>
      </c>
      <c r="N4" s="2819"/>
      <c r="O4" s="2819"/>
      <c r="P4" s="2819"/>
      <c r="Q4" s="2"/>
    </row>
    <row r="5" spans="1:17" ht="15" hidden="1" customHeight="1">
      <c r="A5" s="1634" t="s">
        <v>1806</v>
      </c>
      <c r="B5" s="1878" t="s">
        <v>1807</v>
      </c>
      <c r="C5" s="783" t="s">
        <v>1808</v>
      </c>
      <c r="D5" s="1056" t="s">
        <v>1809</v>
      </c>
      <c r="E5" s="779" t="s">
        <v>1810</v>
      </c>
      <c r="F5" s="1634" t="s">
        <v>1811</v>
      </c>
      <c r="G5" s="167" t="s">
        <v>1812</v>
      </c>
      <c r="H5" s="2480" t="s">
        <v>1813</v>
      </c>
      <c r="I5" s="2218" t="s">
        <v>1814</v>
      </c>
      <c r="J5" s="26"/>
      <c r="K5" s="1634" t="s">
        <v>1815</v>
      </c>
      <c r="L5" s="26"/>
      <c r="M5" s="26" t="s">
        <v>1807</v>
      </c>
      <c r="N5" s="26" t="s">
        <v>1809</v>
      </c>
      <c r="O5" s="26" t="s">
        <v>1816</v>
      </c>
      <c r="P5" s="2527" t="s">
        <v>1811</v>
      </c>
      <c r="Q5" s="260" t="s">
        <v>1817</v>
      </c>
    </row>
    <row r="6" spans="1:17" ht="15" hidden="1" customHeight="1">
      <c r="A6" s="2821" t="s">
        <v>1818</v>
      </c>
      <c r="B6" s="2306">
        <v>12546</v>
      </c>
      <c r="C6" s="413">
        <v>0.1</v>
      </c>
      <c r="D6" s="1229" t="s">
        <v>1819</v>
      </c>
      <c r="E6" s="1607">
        <v>1300000</v>
      </c>
      <c r="F6" s="1363">
        <v>0.1</v>
      </c>
      <c r="G6" s="313">
        <f t="shared" ref="G6:G13" si="0">E6*F6</f>
        <v>130000</v>
      </c>
      <c r="H6" s="2350" t="s">
        <v>1482</v>
      </c>
      <c r="I6" s="2454" t="s">
        <v>1820</v>
      </c>
      <c r="J6" s="2115"/>
      <c r="K6" s="2115"/>
      <c r="L6" s="2115"/>
      <c r="M6" s="118"/>
      <c r="N6" s="1747"/>
      <c r="O6" s="1747"/>
      <c r="P6" s="1189"/>
      <c r="Q6" s="51"/>
    </row>
    <row r="7" spans="1:17" ht="15" hidden="1" customHeight="1">
      <c r="A7" s="2821"/>
      <c r="B7" s="2341">
        <v>12474</v>
      </c>
      <c r="C7" s="413">
        <v>0.1</v>
      </c>
      <c r="D7" s="1245" t="s">
        <v>1821</v>
      </c>
      <c r="E7" s="2345">
        <v>1250000</v>
      </c>
      <c r="F7" s="312">
        <v>0.1</v>
      </c>
      <c r="G7" s="313">
        <f t="shared" si="0"/>
        <v>125000</v>
      </c>
      <c r="H7" s="1850" t="s">
        <v>1482</v>
      </c>
      <c r="I7" s="2455" t="s">
        <v>217</v>
      </c>
      <c r="J7" s="118"/>
      <c r="K7" s="118"/>
      <c r="L7" s="118"/>
      <c r="M7" s="118"/>
      <c r="N7" s="1747"/>
      <c r="O7" s="1747"/>
      <c r="P7" s="1189"/>
      <c r="Q7" s="51"/>
    </row>
    <row r="8" spans="1:17" ht="15" hidden="1" customHeight="1">
      <c r="A8" s="2821"/>
      <c r="B8" s="2306">
        <v>12570</v>
      </c>
      <c r="C8" s="413">
        <v>0.1</v>
      </c>
      <c r="D8" s="431" t="s">
        <v>1822</v>
      </c>
      <c r="E8" s="1600">
        <v>1100000</v>
      </c>
      <c r="F8" s="1363">
        <v>0.05</v>
      </c>
      <c r="G8" s="313">
        <f t="shared" si="0"/>
        <v>55000</v>
      </c>
      <c r="H8" s="2350" t="s">
        <v>1823</v>
      </c>
      <c r="I8" s="2454" t="s">
        <v>1820</v>
      </c>
      <c r="J8" s="118"/>
      <c r="K8" s="118"/>
      <c r="L8" s="118"/>
      <c r="M8" s="118"/>
      <c r="N8" s="1747"/>
      <c r="O8" s="1747"/>
      <c r="P8" s="1189"/>
      <c r="Q8" s="51"/>
    </row>
    <row r="9" spans="1:17" ht="15" hidden="1" customHeight="1">
      <c r="A9" s="2821"/>
      <c r="B9" s="2247">
        <v>12589</v>
      </c>
      <c r="C9" s="1205">
        <v>0.1</v>
      </c>
      <c r="D9" s="1229" t="s">
        <v>1824</v>
      </c>
      <c r="E9" s="1600">
        <v>1150000</v>
      </c>
      <c r="F9" s="1363">
        <v>0.05</v>
      </c>
      <c r="G9" s="313">
        <f t="shared" si="0"/>
        <v>57500</v>
      </c>
      <c r="H9" s="1850" t="s">
        <v>1823</v>
      </c>
      <c r="I9" s="2456" t="s">
        <v>217</v>
      </c>
      <c r="J9" s="118"/>
      <c r="K9" s="1747"/>
      <c r="L9" s="118"/>
      <c r="M9" s="118"/>
      <c r="N9" s="1747"/>
      <c r="O9" s="1747"/>
      <c r="P9" s="1189"/>
      <c r="Q9" s="51"/>
    </row>
    <row r="10" spans="1:17" ht="15.75" hidden="1" customHeight="1">
      <c r="A10" s="2821"/>
      <c r="B10" s="2306">
        <v>12595</v>
      </c>
      <c r="C10" s="362">
        <v>0.1</v>
      </c>
      <c r="D10" s="431" t="s">
        <v>1825</v>
      </c>
      <c r="E10" s="1600">
        <v>1250000</v>
      </c>
      <c r="F10" s="1363">
        <v>0.05</v>
      </c>
      <c r="G10" s="313">
        <f t="shared" si="0"/>
        <v>62500</v>
      </c>
      <c r="H10" s="2350" t="s">
        <v>1826</v>
      </c>
      <c r="I10" s="2454" t="s">
        <v>1530</v>
      </c>
      <c r="J10" s="118"/>
      <c r="K10" s="1747"/>
      <c r="L10" s="118"/>
      <c r="M10" s="1884"/>
      <c r="N10" s="701"/>
      <c r="O10" s="1713"/>
      <c r="P10" s="368"/>
      <c r="Q10" s="368"/>
    </row>
    <row r="11" spans="1:17" ht="15.75" hidden="1" customHeight="1">
      <c r="A11" s="2821"/>
      <c r="B11" s="2333">
        <v>12628</v>
      </c>
      <c r="C11" s="362">
        <v>0.1</v>
      </c>
      <c r="D11" s="431" t="s">
        <v>1827</v>
      </c>
      <c r="E11" s="1600">
        <v>1200000</v>
      </c>
      <c r="F11" s="2318">
        <v>0.1</v>
      </c>
      <c r="G11" s="313">
        <f t="shared" si="0"/>
        <v>120000</v>
      </c>
      <c r="H11" s="2350" t="s">
        <v>1482</v>
      </c>
      <c r="I11" s="2454" t="s">
        <v>1820</v>
      </c>
      <c r="J11" s="1273"/>
      <c r="K11" s="1626"/>
      <c r="L11" s="1273"/>
      <c r="M11" s="1884"/>
      <c r="N11" s="701"/>
      <c r="O11" s="1713"/>
      <c r="P11" s="368"/>
      <c r="Q11" s="368"/>
    </row>
    <row r="12" spans="1:17" ht="15.75" hidden="1" customHeight="1">
      <c r="A12" s="2821"/>
      <c r="B12" s="2369">
        <v>12669</v>
      </c>
      <c r="C12" s="122">
        <v>0.1</v>
      </c>
      <c r="D12" s="431" t="s">
        <v>1828</v>
      </c>
      <c r="E12" s="1600">
        <v>1700000</v>
      </c>
      <c r="F12" s="2318">
        <v>0.1</v>
      </c>
      <c r="G12" s="313">
        <f t="shared" si="0"/>
        <v>170000</v>
      </c>
      <c r="H12" s="2350" t="s">
        <v>1482</v>
      </c>
      <c r="I12" s="2454" t="s">
        <v>133</v>
      </c>
      <c r="J12" s="1273"/>
      <c r="K12" s="1626"/>
      <c r="L12" s="1273"/>
      <c r="M12" s="1884"/>
      <c r="N12" s="701"/>
      <c r="O12" s="1713"/>
      <c r="P12" s="368"/>
      <c r="Q12" s="368"/>
    </row>
    <row r="13" spans="1:17" ht="15.75" hidden="1" customHeight="1">
      <c r="A13" s="2821"/>
      <c r="B13" s="2330">
        <v>12663</v>
      </c>
      <c r="C13" s="2368">
        <v>0.1</v>
      </c>
      <c r="D13" s="885" t="s">
        <v>1829</v>
      </c>
      <c r="E13" s="2346">
        <v>1250000</v>
      </c>
      <c r="F13" s="2318">
        <v>0.06</v>
      </c>
      <c r="G13" s="313">
        <f t="shared" si="0"/>
        <v>75000</v>
      </c>
      <c r="H13" s="2350" t="s">
        <v>118</v>
      </c>
      <c r="I13" s="2454" t="s">
        <v>133</v>
      </c>
      <c r="J13" s="771"/>
      <c r="K13" s="1626"/>
      <c r="L13" s="771"/>
      <c r="M13" s="2103"/>
      <c r="N13" s="701"/>
      <c r="O13" s="1713"/>
      <c r="P13" s="368"/>
      <c r="Q13" s="368"/>
    </row>
    <row r="14" spans="1:17" ht="15" hidden="1" customHeight="1">
      <c r="A14" s="2821"/>
      <c r="B14" s="2327" t="s">
        <v>1830</v>
      </c>
      <c r="C14" s="1210"/>
      <c r="D14" s="1142" t="s">
        <v>1831</v>
      </c>
      <c r="E14" s="1600"/>
      <c r="F14" s="312"/>
      <c r="G14" s="313"/>
      <c r="H14" s="1850"/>
      <c r="I14" s="2455" t="s">
        <v>133</v>
      </c>
      <c r="J14" s="2516"/>
      <c r="K14" s="1730" t="s">
        <v>1832</v>
      </c>
      <c r="L14" s="2516"/>
      <c r="M14" s="1452"/>
      <c r="N14" s="1747"/>
      <c r="O14" s="1747"/>
      <c r="P14" s="1189"/>
      <c r="Q14" s="2"/>
    </row>
    <row r="15" spans="1:17" ht="15.75" hidden="1" customHeight="1">
      <c r="A15" s="2821"/>
      <c r="B15" s="2328"/>
      <c r="C15" s="624"/>
      <c r="D15" s="2357" t="s">
        <v>1833</v>
      </c>
      <c r="E15" s="1602">
        <f>SUM(E6:E14)</f>
        <v>10200000</v>
      </c>
      <c r="F15" s="929"/>
      <c r="G15" s="1180">
        <f>SUM(G6:G14)</f>
        <v>795000</v>
      </c>
      <c r="H15" s="2351"/>
      <c r="I15" s="2457"/>
      <c r="J15" s="625"/>
      <c r="K15" s="773"/>
      <c r="L15" s="625"/>
      <c r="M15" s="308"/>
      <c r="N15" s="2822" t="s">
        <v>1834</v>
      </c>
      <c r="O15" s="2822"/>
      <c r="P15" s="2822"/>
      <c r="Q15" s="598"/>
    </row>
    <row r="16" spans="1:17" ht="15" hidden="1" customHeight="1">
      <c r="A16" s="2821"/>
      <c r="B16" s="1865"/>
      <c r="C16" s="1183"/>
      <c r="D16" s="1184" t="s">
        <v>1835</v>
      </c>
      <c r="E16" s="1185"/>
      <c r="F16" s="1183"/>
      <c r="G16" s="2385">
        <f>G15</f>
        <v>795000</v>
      </c>
      <c r="H16" s="1868"/>
      <c r="I16" s="2458"/>
      <c r="J16" s="1183"/>
      <c r="K16" s="816"/>
      <c r="L16" s="1183"/>
      <c r="M16" s="868"/>
      <c r="N16" s="868"/>
      <c r="O16" s="868"/>
      <c r="P16" s="965"/>
      <c r="Q16" s="422"/>
    </row>
    <row r="17" spans="1:17" ht="15" hidden="1" customHeight="1">
      <c r="A17" s="17"/>
      <c r="B17" s="2329"/>
      <c r="C17" s="17"/>
      <c r="D17" s="1058"/>
      <c r="E17" s="19"/>
      <c r="F17" s="17"/>
      <c r="G17" s="20"/>
      <c r="H17" s="1875"/>
      <c r="I17" s="2172"/>
      <c r="J17" s="17"/>
      <c r="K17" s="18"/>
      <c r="L17" s="17"/>
      <c r="Q17" s="1"/>
    </row>
    <row r="18" spans="1:17" ht="17.25" hidden="1" customHeight="1">
      <c r="A18" s="17"/>
      <c r="B18" s="2329"/>
      <c r="C18" s="17"/>
      <c r="D18" s="1058"/>
      <c r="E18" s="19"/>
      <c r="F18" s="17"/>
      <c r="G18" s="20"/>
      <c r="H18" s="1875"/>
      <c r="I18" s="2172"/>
      <c r="J18" s="17"/>
      <c r="K18" s="18"/>
      <c r="L18" s="17"/>
      <c r="Q18" s="1"/>
    </row>
    <row r="19" spans="1:17" ht="19.5" hidden="1" customHeight="1">
      <c r="A19" s="2823" t="s">
        <v>1836</v>
      </c>
      <c r="B19" s="2823"/>
      <c r="C19" s="2823"/>
      <c r="D19" s="2823"/>
      <c r="E19" s="2823"/>
      <c r="F19" s="2823"/>
      <c r="G19" s="2823"/>
      <c r="H19" s="2824"/>
      <c r="I19" s="2823"/>
      <c r="J19" s="2823"/>
      <c r="K19" s="2823"/>
      <c r="L19" s="2503"/>
      <c r="M19" s="2825" t="s">
        <v>1805</v>
      </c>
      <c r="N19" s="2825"/>
      <c r="O19" s="2825"/>
      <c r="P19" s="2825"/>
      <c r="Q19" s="260"/>
    </row>
    <row r="20" spans="1:17" ht="15" hidden="1" customHeight="1">
      <c r="A20" s="1747" t="s">
        <v>1806</v>
      </c>
      <c r="B20" s="2103" t="s">
        <v>1807</v>
      </c>
      <c r="C20" s="1747" t="s">
        <v>1837</v>
      </c>
      <c r="D20" s="2076" t="s">
        <v>1809</v>
      </c>
      <c r="E20" s="806" t="s">
        <v>1810</v>
      </c>
      <c r="F20" s="1747" t="s">
        <v>1811</v>
      </c>
      <c r="G20" s="807" t="s">
        <v>1812</v>
      </c>
      <c r="H20" s="2481" t="s">
        <v>1813</v>
      </c>
      <c r="I20" s="2250" t="s">
        <v>1814</v>
      </c>
      <c r="J20" s="1747"/>
      <c r="K20" s="1747" t="s">
        <v>1815</v>
      </c>
      <c r="L20" s="1747"/>
      <c r="M20" s="1747" t="s">
        <v>1807</v>
      </c>
      <c r="N20" s="1747" t="s">
        <v>1809</v>
      </c>
      <c r="O20" s="1747" t="s">
        <v>1816</v>
      </c>
      <c r="P20" s="1189" t="s">
        <v>1811</v>
      </c>
      <c r="Q20" s="51" t="s">
        <v>1817</v>
      </c>
    </row>
    <row r="21" spans="1:17" ht="15" hidden="1" customHeight="1">
      <c r="A21" s="2798" t="s">
        <v>1838</v>
      </c>
      <c r="B21" s="2330">
        <v>12502</v>
      </c>
      <c r="C21" s="362">
        <v>0.1</v>
      </c>
      <c r="D21" s="431" t="s">
        <v>1839</v>
      </c>
      <c r="E21" s="1925">
        <v>800000</v>
      </c>
      <c r="F21" s="312">
        <v>0.05</v>
      </c>
      <c r="G21" s="313">
        <f>E21*F21</f>
        <v>40000</v>
      </c>
      <c r="H21" s="2354" t="s">
        <v>1840</v>
      </c>
      <c r="I21" s="281" t="s">
        <v>1820</v>
      </c>
      <c r="J21" s="724"/>
      <c r="K21" s="1381"/>
      <c r="L21" s="724"/>
      <c r="M21" s="2247">
        <v>12446</v>
      </c>
      <c r="N21" s="1383" t="s">
        <v>1841</v>
      </c>
      <c r="O21" s="313">
        <v>1200000</v>
      </c>
      <c r="P21" s="1189">
        <v>0.05</v>
      </c>
      <c r="Q21" s="313">
        <f>O21*P21</f>
        <v>60000</v>
      </c>
    </row>
    <row r="22" spans="1:17" ht="15" hidden="1" customHeight="1">
      <c r="A22" s="2799"/>
      <c r="B22" s="2330">
        <v>12533</v>
      </c>
      <c r="C22" s="362">
        <v>0.1</v>
      </c>
      <c r="D22" s="1229" t="s">
        <v>1842</v>
      </c>
      <c r="E22" s="1925">
        <v>1200000</v>
      </c>
      <c r="F22" s="312">
        <v>0.1</v>
      </c>
      <c r="G22" s="313">
        <f>E22*F22</f>
        <v>120000</v>
      </c>
      <c r="H22" s="2354" t="s">
        <v>1843</v>
      </c>
      <c r="I22" s="2455" t="s">
        <v>1820</v>
      </c>
      <c r="J22" s="724"/>
      <c r="K22" s="1381"/>
      <c r="L22" s="724"/>
      <c r="M22" s="2334">
        <v>12510</v>
      </c>
      <c r="N22" s="1229" t="s">
        <v>1844</v>
      </c>
      <c r="O22" s="313">
        <v>1100000</v>
      </c>
      <c r="P22" s="1688">
        <v>0.05</v>
      </c>
      <c r="Q22" s="313">
        <f>O22*P22</f>
        <v>55000</v>
      </c>
    </row>
    <row r="23" spans="1:17" ht="15" hidden="1" customHeight="1">
      <c r="A23" s="2799"/>
      <c r="B23" s="2325">
        <v>12573</v>
      </c>
      <c r="C23" s="545">
        <v>0.08</v>
      </c>
      <c r="D23" s="1229" t="s">
        <v>1845</v>
      </c>
      <c r="E23" s="1925">
        <v>1850000</v>
      </c>
      <c r="F23" s="2375">
        <v>0.04</v>
      </c>
      <c r="G23" s="313">
        <f>E23*F23</f>
        <v>74000</v>
      </c>
      <c r="H23" s="2354" t="s">
        <v>1823</v>
      </c>
      <c r="I23" s="2459" t="s">
        <v>1820</v>
      </c>
      <c r="J23" s="724"/>
      <c r="K23" s="1381"/>
      <c r="L23" s="724"/>
      <c r="M23" s="2371">
        <v>12657</v>
      </c>
      <c r="N23" s="431" t="s">
        <v>1846</v>
      </c>
      <c r="O23" s="313">
        <v>770000</v>
      </c>
      <c r="P23" s="2377">
        <v>0.04</v>
      </c>
      <c r="Q23" s="313">
        <f>O23*P23</f>
        <v>30800</v>
      </c>
    </row>
    <row r="24" spans="1:17" ht="15" hidden="1" customHeight="1">
      <c r="A24" s="2799"/>
      <c r="B24" s="2326">
        <v>12582</v>
      </c>
      <c r="C24" s="362">
        <v>0.1</v>
      </c>
      <c r="D24" s="1482" t="s">
        <v>1847</v>
      </c>
      <c r="E24" s="1925">
        <v>1250000</v>
      </c>
      <c r="F24" s="958">
        <v>0.05</v>
      </c>
      <c r="G24" s="313">
        <f>E24*F24</f>
        <v>62500</v>
      </c>
      <c r="H24" s="2354" t="s">
        <v>1823</v>
      </c>
      <c r="I24" s="2223" t="s">
        <v>217</v>
      </c>
      <c r="J24" s="724"/>
      <c r="K24" s="1381"/>
      <c r="L24" s="724"/>
      <c r="M24" s="2167">
        <v>12495</v>
      </c>
      <c r="N24" s="1143" t="s">
        <v>1848</v>
      </c>
      <c r="O24" s="313">
        <v>1100000</v>
      </c>
      <c r="P24" s="1688">
        <v>0.05</v>
      </c>
      <c r="Q24" s="313">
        <f>O24*P24</f>
        <v>55000</v>
      </c>
    </row>
    <row r="25" spans="1:17" ht="15" hidden="1" customHeight="1">
      <c r="A25" s="2799"/>
      <c r="B25" s="2326">
        <v>12645</v>
      </c>
      <c r="C25" s="362">
        <v>0.1</v>
      </c>
      <c r="D25" s="1482" t="s">
        <v>1849</v>
      </c>
      <c r="E25" s="1925">
        <v>1100000</v>
      </c>
      <c r="F25" s="1289">
        <v>0.1</v>
      </c>
      <c r="G25" s="313">
        <f>E25*F25</f>
        <v>110000</v>
      </c>
      <c r="H25" s="2355" t="s">
        <v>1843</v>
      </c>
      <c r="I25" s="2215" t="s">
        <v>133</v>
      </c>
      <c r="J25" s="724"/>
      <c r="K25" s="1381"/>
      <c r="L25" s="724"/>
      <c r="M25" s="983">
        <v>12513</v>
      </c>
      <c r="N25" s="1383" t="s">
        <v>1850</v>
      </c>
      <c r="O25" s="313">
        <v>1000000</v>
      </c>
      <c r="P25" s="1688">
        <v>0.05</v>
      </c>
      <c r="Q25" s="313">
        <f>O25*P25</f>
        <v>50000</v>
      </c>
    </row>
    <row r="26" spans="1:17" ht="15" hidden="1" customHeight="1">
      <c r="A26" s="2799"/>
      <c r="B26" s="2342" t="s">
        <v>1851</v>
      </c>
      <c r="C26" s="2524"/>
      <c r="D26" s="2291" t="s">
        <v>1849</v>
      </c>
      <c r="E26" s="2343"/>
      <c r="F26" s="747"/>
      <c r="G26" s="523"/>
      <c r="H26" s="2356"/>
      <c r="I26" s="2374" t="s">
        <v>1455</v>
      </c>
      <c r="J26" s="2517"/>
      <c r="K26" s="1381" t="s">
        <v>1852</v>
      </c>
      <c r="L26" s="2517"/>
      <c r="M26" s="1626"/>
      <c r="N26" s="1452"/>
      <c r="O26" s="1747"/>
      <c r="P26" s="1189"/>
      <c r="Q26" s="51"/>
    </row>
    <row r="27" spans="1:17" ht="15" hidden="1" customHeight="1">
      <c r="A27" s="2799"/>
      <c r="B27" s="2331" t="s">
        <v>1853</v>
      </c>
      <c r="C27" s="2321"/>
      <c r="D27" s="1219" t="s">
        <v>1854</v>
      </c>
      <c r="E27" s="1595"/>
      <c r="F27" s="1570"/>
      <c r="G27" s="523"/>
      <c r="H27" s="2352"/>
      <c r="I27" s="2429" t="s">
        <v>217</v>
      </c>
      <c r="J27" s="2517"/>
      <c r="K27" s="1381"/>
      <c r="L27" s="2517"/>
      <c r="M27" s="1626"/>
      <c r="N27" s="1452"/>
      <c r="O27" s="1747"/>
      <c r="P27" s="1189"/>
      <c r="Q27" s="51"/>
    </row>
    <row r="28" spans="1:17" ht="15" hidden="1" customHeight="1">
      <c r="A28" s="2799"/>
      <c r="B28" s="2332" t="s">
        <v>1855</v>
      </c>
      <c r="C28" s="869"/>
      <c r="D28" s="1262" t="s">
        <v>1856</v>
      </c>
      <c r="E28" s="1597"/>
      <c r="F28" s="747"/>
      <c r="G28" s="523"/>
      <c r="H28" s="2352"/>
      <c r="I28" s="2429" t="s">
        <v>1530</v>
      </c>
      <c r="J28" s="2518"/>
      <c r="K28" s="1713" t="s">
        <v>1857</v>
      </c>
      <c r="L28" s="2518"/>
      <c r="M28" s="989"/>
      <c r="N28" s="1236"/>
      <c r="O28" s="959"/>
      <c r="P28" s="600"/>
      <c r="Q28" s="455"/>
    </row>
    <row r="29" spans="1:17" ht="15" hidden="1" customHeight="1">
      <c r="A29" s="2799"/>
      <c r="B29" s="2331"/>
      <c r="C29" s="1693"/>
      <c r="D29" s="1262" t="s">
        <v>1858</v>
      </c>
      <c r="E29" s="1598"/>
      <c r="F29" s="747"/>
      <c r="G29" s="748"/>
      <c r="H29" s="2352"/>
      <c r="I29" s="2374" t="s">
        <v>1820</v>
      </c>
      <c r="J29" s="724"/>
      <c r="K29" s="1381"/>
      <c r="L29" s="724"/>
      <c r="M29" s="290"/>
      <c r="N29" s="290"/>
      <c r="O29" s="290"/>
      <c r="P29" s="312"/>
      <c r="Q29" s="307"/>
    </row>
    <row r="30" spans="1:17" ht="15" hidden="1" customHeight="1">
      <c r="A30" s="2799"/>
      <c r="B30" s="1861"/>
      <c r="C30" s="675"/>
      <c r="D30" s="2358" t="s">
        <v>1833</v>
      </c>
      <c r="E30" s="1599">
        <f>SUM(E21:E29)</f>
        <v>6200000</v>
      </c>
      <c r="F30" s="506"/>
      <c r="G30" s="475">
        <f>SUM(G21:G29)</f>
        <v>406500</v>
      </c>
      <c r="H30" s="1897"/>
      <c r="I30" s="2460"/>
      <c r="J30" s="788"/>
      <c r="K30" s="334"/>
      <c r="L30" s="788"/>
      <c r="M30" s="1439"/>
      <c r="Q30" s="382">
        <f>SUM(Q21:Q29)</f>
        <v>250800</v>
      </c>
    </row>
    <row r="31" spans="1:17" ht="15" hidden="1" customHeight="1">
      <c r="A31" s="2799"/>
      <c r="B31" s="1868"/>
      <c r="C31" s="789"/>
      <c r="D31" s="1157" t="s">
        <v>1835</v>
      </c>
      <c r="E31" s="937"/>
      <c r="F31" s="450"/>
      <c r="G31" s="2380"/>
      <c r="H31" s="2353"/>
      <c r="I31" s="2461"/>
      <c r="J31" s="2519"/>
      <c r="K31" s="482"/>
      <c r="L31" s="2519"/>
      <c r="M31" s="453"/>
      <c r="N31" s="2794" t="s">
        <v>1859</v>
      </c>
      <c r="O31" s="2794"/>
      <c r="P31" s="2794"/>
      <c r="Q31" s="2386">
        <f>G30+Q30</f>
        <v>657300</v>
      </c>
    </row>
    <row r="32" spans="1:17" ht="15" hidden="1" customHeight="1">
      <c r="A32" s="790"/>
      <c r="B32" s="1875"/>
      <c r="C32" s="456"/>
      <c r="D32" s="1091"/>
      <c r="E32" s="458"/>
      <c r="F32" s="456"/>
      <c r="G32" s="459"/>
      <c r="H32" s="1872"/>
      <c r="I32" s="2462"/>
      <c r="J32" s="456"/>
      <c r="K32" s="457"/>
      <c r="L32" s="456"/>
      <c r="M32" s="460"/>
      <c r="N32" s="461"/>
      <c r="O32" s="461"/>
      <c r="P32" s="2528"/>
      <c r="Q32" s="805"/>
    </row>
    <row r="33" spans="1:17" ht="15" hidden="1" customHeight="1">
      <c r="A33" s="790"/>
      <c r="B33" s="1875"/>
      <c r="C33" s="799"/>
      <c r="D33" s="1145"/>
      <c r="E33" s="801"/>
      <c r="F33" s="799"/>
      <c r="G33" s="802"/>
      <c r="H33" s="1875"/>
      <c r="I33" s="2463"/>
      <c r="J33" s="799"/>
      <c r="K33" s="800"/>
      <c r="L33" s="799"/>
      <c r="M33" s="803"/>
      <c r="N33" s="804"/>
      <c r="O33" s="804"/>
      <c r="P33" s="2529"/>
      <c r="Q33" s="805"/>
    </row>
    <row r="34" spans="1:17" ht="21" hidden="1" customHeight="1">
      <c r="A34" s="2843" t="s">
        <v>1860</v>
      </c>
      <c r="B34" s="2843"/>
      <c r="C34" s="2843"/>
      <c r="D34" s="2843"/>
      <c r="E34" s="2843"/>
      <c r="F34" s="2843"/>
      <c r="G34" s="2843"/>
      <c r="H34" s="2844"/>
      <c r="I34" s="2843"/>
      <c r="J34" s="2843"/>
      <c r="K34" s="2843"/>
      <c r="L34" s="2497"/>
      <c r="M34" s="2811" t="s">
        <v>1805</v>
      </c>
      <c r="N34" s="2811"/>
      <c r="O34" s="2811"/>
      <c r="P34" s="2811"/>
      <c r="Q34" s="2"/>
    </row>
    <row r="35" spans="1:17" ht="15" hidden="1" customHeight="1">
      <c r="A35" s="23" t="s">
        <v>1806</v>
      </c>
      <c r="B35" s="1879" t="s">
        <v>1807</v>
      </c>
      <c r="C35" s="3" t="s">
        <v>1837</v>
      </c>
      <c r="D35" s="1059" t="s">
        <v>1809</v>
      </c>
      <c r="E35" s="779" t="s">
        <v>1810</v>
      </c>
      <c r="F35" s="1634" t="s">
        <v>1811</v>
      </c>
      <c r="G35" s="167" t="s">
        <v>1812</v>
      </c>
      <c r="H35" s="2480" t="s">
        <v>1813</v>
      </c>
      <c r="I35" s="2218" t="s">
        <v>1814</v>
      </c>
      <c r="J35" s="1634"/>
      <c r="K35" s="1634" t="s">
        <v>1815</v>
      </c>
      <c r="L35" s="1634"/>
      <c r="M35" s="1626" t="s">
        <v>1807</v>
      </c>
      <c r="N35" s="1626" t="s">
        <v>1809</v>
      </c>
      <c r="O35" s="1626" t="s">
        <v>1816</v>
      </c>
      <c r="P35" s="2381" t="s">
        <v>1811</v>
      </c>
      <c r="Q35" s="260" t="s">
        <v>1817</v>
      </c>
    </row>
    <row r="36" spans="1:17" ht="15" hidden="1" customHeight="1">
      <c r="A36" s="2798" t="s">
        <v>1818</v>
      </c>
      <c r="B36" s="2333">
        <v>12480</v>
      </c>
      <c r="C36" s="362">
        <v>0.1</v>
      </c>
      <c r="D36" s="431" t="s">
        <v>1861</v>
      </c>
      <c r="E36" s="1605">
        <v>1100000</v>
      </c>
      <c r="F36" s="958">
        <v>0.1</v>
      </c>
      <c r="G36" s="313">
        <f t="shared" ref="G36:G46" si="1">E36*F36</f>
        <v>110000</v>
      </c>
      <c r="H36" s="1854" t="s">
        <v>1826</v>
      </c>
      <c r="I36" s="2223" t="s">
        <v>1820</v>
      </c>
      <c r="J36" s="1747"/>
      <c r="K36" s="1747"/>
      <c r="L36" s="1747"/>
      <c r="M36" s="2370">
        <v>12595</v>
      </c>
      <c r="N36" s="431" t="s">
        <v>1825</v>
      </c>
      <c r="O36" s="1851">
        <v>1250000</v>
      </c>
      <c r="P36" s="2381">
        <v>0.05</v>
      </c>
      <c r="Q36" s="2383">
        <f>O36*P36</f>
        <v>62500</v>
      </c>
    </row>
    <row r="37" spans="1:17" ht="15" hidden="1" customHeight="1">
      <c r="A37" s="2799"/>
      <c r="B37" s="2247">
        <v>12527</v>
      </c>
      <c r="C37" s="2367">
        <v>0.09</v>
      </c>
      <c r="D37" s="1229" t="s">
        <v>1862</v>
      </c>
      <c r="E37" s="1605">
        <v>600000</v>
      </c>
      <c r="F37" s="2375">
        <v>0.05</v>
      </c>
      <c r="G37" s="313">
        <f t="shared" si="1"/>
        <v>30000</v>
      </c>
      <c r="H37" s="1854" t="s">
        <v>118</v>
      </c>
      <c r="I37" s="2464" t="s">
        <v>133</v>
      </c>
      <c r="J37" s="1747"/>
      <c r="K37" s="1747"/>
      <c r="L37" s="1747"/>
      <c r="M37" s="983">
        <v>12462</v>
      </c>
      <c r="N37" s="431" t="s">
        <v>1863</v>
      </c>
      <c r="O37" s="1851">
        <v>1200000</v>
      </c>
      <c r="P37" s="2382">
        <v>0.05</v>
      </c>
      <c r="Q37" s="2383">
        <f>O37*P37</f>
        <v>60000</v>
      </c>
    </row>
    <row r="38" spans="1:17" ht="15" hidden="1" customHeight="1">
      <c r="A38" s="2799"/>
      <c r="B38" s="2326">
        <v>12548</v>
      </c>
      <c r="C38" s="362">
        <v>0.1</v>
      </c>
      <c r="D38" s="1482" t="s">
        <v>1864</v>
      </c>
      <c r="E38" s="1605">
        <v>1300000</v>
      </c>
      <c r="F38" s="958">
        <v>0.1</v>
      </c>
      <c r="G38" s="313">
        <f t="shared" si="1"/>
        <v>130000</v>
      </c>
      <c r="H38" s="1854" t="s">
        <v>1826</v>
      </c>
      <c r="I38" s="2464" t="s">
        <v>133</v>
      </c>
      <c r="J38" s="1239"/>
      <c r="K38" s="1747"/>
      <c r="L38" s="1239"/>
      <c r="M38" s="2366">
        <v>12654</v>
      </c>
      <c r="N38" s="1482" t="s">
        <v>1865</v>
      </c>
      <c r="O38" s="1851">
        <v>850000</v>
      </c>
      <c r="P38" s="2382">
        <v>0.05</v>
      </c>
      <c r="Q38" s="2383">
        <f>O38*P38</f>
        <v>42500</v>
      </c>
    </row>
    <row r="39" spans="1:17" ht="15" hidden="1" customHeight="1">
      <c r="A39" s="2799"/>
      <c r="B39" s="2247">
        <v>12433</v>
      </c>
      <c r="C39" s="362">
        <v>0.1</v>
      </c>
      <c r="D39" s="2107" t="s">
        <v>1866</v>
      </c>
      <c r="E39" s="2302">
        <v>1200000</v>
      </c>
      <c r="F39" s="958">
        <v>0.1</v>
      </c>
      <c r="G39" s="313">
        <f t="shared" si="1"/>
        <v>120000</v>
      </c>
      <c r="H39" s="2482" t="s">
        <v>1826</v>
      </c>
      <c r="I39" s="2465" t="s">
        <v>133</v>
      </c>
      <c r="J39" s="398"/>
      <c r="K39" s="1626"/>
      <c r="L39" s="398"/>
      <c r="M39" s="398"/>
      <c r="N39" s="1161"/>
      <c r="O39" s="1595"/>
      <c r="P39" s="958"/>
      <c r="Q39" s="940"/>
    </row>
    <row r="40" spans="1:17" ht="15" hidden="1" customHeight="1">
      <c r="A40" s="2799"/>
      <c r="B40" s="2247">
        <v>12446</v>
      </c>
      <c r="C40" s="362">
        <v>0.1</v>
      </c>
      <c r="D40" s="1383" t="s">
        <v>1841</v>
      </c>
      <c r="E40" s="1596">
        <v>1200000</v>
      </c>
      <c r="F40" s="958">
        <v>0.05</v>
      </c>
      <c r="G40" s="313">
        <f t="shared" si="1"/>
        <v>60000</v>
      </c>
      <c r="H40" s="1854" t="s">
        <v>1843</v>
      </c>
      <c r="I40" s="2223" t="s">
        <v>133</v>
      </c>
      <c r="J40" s="1747"/>
      <c r="K40" s="1747"/>
      <c r="L40" s="1747"/>
      <c r="M40" s="1747"/>
      <c r="N40" s="2000"/>
      <c r="O40" s="1605"/>
      <c r="P40" s="312"/>
      <c r="Q40" s="290"/>
    </row>
    <row r="41" spans="1:17" ht="15" hidden="1" customHeight="1">
      <c r="A41" s="2799"/>
      <c r="B41" s="2306">
        <v>12469</v>
      </c>
      <c r="C41" s="362">
        <v>0.1</v>
      </c>
      <c r="D41" s="67" t="s">
        <v>1867</v>
      </c>
      <c r="E41" s="1596">
        <v>850000</v>
      </c>
      <c r="F41" s="958">
        <v>0.1</v>
      </c>
      <c r="G41" s="313">
        <f t="shared" si="1"/>
        <v>85000</v>
      </c>
      <c r="H41" s="1854" t="s">
        <v>1826</v>
      </c>
      <c r="I41" s="2223" t="s">
        <v>1455</v>
      </c>
      <c r="J41" s="1747"/>
      <c r="K41" s="1747"/>
      <c r="L41" s="1747"/>
      <c r="M41" s="1747"/>
      <c r="N41" s="2000"/>
      <c r="O41" s="1605"/>
      <c r="P41" s="312"/>
      <c r="Q41" s="290"/>
    </row>
    <row r="42" spans="1:17" ht="15" hidden="1" customHeight="1">
      <c r="A42" s="2799"/>
      <c r="B42" s="2334">
        <v>12510</v>
      </c>
      <c r="C42" s="362">
        <v>0.1</v>
      </c>
      <c r="D42" s="1229" t="s">
        <v>1844</v>
      </c>
      <c r="E42" s="1596">
        <v>1100000</v>
      </c>
      <c r="F42" s="958">
        <v>0.05</v>
      </c>
      <c r="G42" s="313">
        <f t="shared" si="1"/>
        <v>55000</v>
      </c>
      <c r="H42" s="1854" t="s">
        <v>1843</v>
      </c>
      <c r="I42" s="2223" t="s">
        <v>1455</v>
      </c>
      <c r="J42" s="1747"/>
      <c r="K42" s="1747"/>
      <c r="L42" s="1747"/>
      <c r="M42" s="1747"/>
      <c r="N42" s="2000"/>
      <c r="O42" s="1605"/>
      <c r="P42" s="312"/>
      <c r="Q42" s="290"/>
    </row>
    <row r="43" spans="1:17" ht="15" hidden="1" customHeight="1">
      <c r="A43" s="2799"/>
      <c r="B43" s="2325">
        <v>12577</v>
      </c>
      <c r="C43" s="362">
        <v>0.1</v>
      </c>
      <c r="D43" s="431" t="s">
        <v>1868</v>
      </c>
      <c r="E43" s="1606">
        <v>1100000</v>
      </c>
      <c r="F43" s="958">
        <v>0.1</v>
      </c>
      <c r="G43" s="313">
        <f t="shared" si="1"/>
        <v>110000</v>
      </c>
      <c r="H43" s="2481" t="s">
        <v>1826</v>
      </c>
      <c r="I43" s="2250" t="s">
        <v>1455</v>
      </c>
      <c r="J43" s="1747"/>
      <c r="K43" s="1747"/>
      <c r="L43" s="1747"/>
      <c r="M43" s="1747"/>
      <c r="N43" s="2000"/>
      <c r="O43" s="1605"/>
      <c r="P43" s="312"/>
      <c r="Q43" s="290"/>
    </row>
    <row r="44" spans="1:17" ht="15" hidden="1" customHeight="1">
      <c r="A44" s="2799"/>
      <c r="B44" s="2330">
        <v>12626</v>
      </c>
      <c r="C44" s="362">
        <v>0.1</v>
      </c>
      <c r="D44" s="431" t="s">
        <v>1869</v>
      </c>
      <c r="E44" s="1606">
        <v>950000</v>
      </c>
      <c r="F44" s="958">
        <v>0.1</v>
      </c>
      <c r="G44" s="313">
        <f t="shared" si="1"/>
        <v>95000</v>
      </c>
      <c r="H44" s="2481" t="s">
        <v>1826</v>
      </c>
      <c r="I44" s="2250" t="s">
        <v>1820</v>
      </c>
      <c r="J44" s="1747"/>
      <c r="K44" s="1747"/>
      <c r="L44" s="1747"/>
      <c r="M44" s="1747"/>
      <c r="N44" s="2078"/>
      <c r="O44" s="1996"/>
      <c r="P44" s="520"/>
      <c r="Q44" s="344"/>
    </row>
    <row r="45" spans="1:17" ht="15" hidden="1" customHeight="1">
      <c r="A45" s="2799"/>
      <c r="B45" s="2344">
        <v>12657</v>
      </c>
      <c r="C45" s="545">
        <v>0.08</v>
      </c>
      <c r="D45" s="431" t="s">
        <v>1846</v>
      </c>
      <c r="E45" s="1606">
        <v>770000</v>
      </c>
      <c r="F45" s="2375">
        <v>0.04</v>
      </c>
      <c r="G45" s="313">
        <f t="shared" si="1"/>
        <v>30800</v>
      </c>
      <c r="H45" s="2481" t="s">
        <v>1843</v>
      </c>
      <c r="I45" s="2250" t="s">
        <v>1820</v>
      </c>
      <c r="J45" s="1747"/>
      <c r="K45" s="1747"/>
      <c r="L45" s="1747"/>
      <c r="M45" s="1747"/>
      <c r="N45" s="1648"/>
      <c r="O45" s="1996"/>
      <c r="P45" s="520"/>
      <c r="Q45" s="344"/>
    </row>
    <row r="46" spans="1:17" ht="15" hidden="1" customHeight="1">
      <c r="A46" s="2799"/>
      <c r="B46" s="2325">
        <v>12665</v>
      </c>
      <c r="C46" s="415">
        <v>0.1</v>
      </c>
      <c r="D46" s="1229" t="s">
        <v>1870</v>
      </c>
      <c r="E46" s="1606">
        <v>1100000</v>
      </c>
      <c r="F46" s="958">
        <v>0.06</v>
      </c>
      <c r="G46" s="313">
        <f t="shared" si="1"/>
        <v>66000</v>
      </c>
      <c r="H46" s="2481" t="s">
        <v>118</v>
      </c>
      <c r="I46" s="2250" t="s">
        <v>1820</v>
      </c>
      <c r="J46" s="1747"/>
      <c r="K46" s="1747"/>
      <c r="L46" s="1747"/>
      <c r="M46" s="1747"/>
      <c r="N46" s="1648"/>
      <c r="O46" s="1996"/>
      <c r="P46" s="520"/>
      <c r="Q46" s="344"/>
    </row>
    <row r="47" spans="1:17" ht="15.75" hidden="1" customHeight="1">
      <c r="A47" s="2799"/>
      <c r="B47" s="2335" t="s">
        <v>1855</v>
      </c>
      <c r="C47" s="2319"/>
      <c r="D47" s="1262" t="s">
        <v>1871</v>
      </c>
      <c r="E47" s="1596"/>
      <c r="F47" s="1714"/>
      <c r="G47" s="368"/>
      <c r="H47" s="1854"/>
      <c r="I47" s="2223" t="s">
        <v>133</v>
      </c>
      <c r="J47" s="1747"/>
      <c r="K47" s="1747" t="s">
        <v>1872</v>
      </c>
      <c r="L47" s="1747"/>
      <c r="M47" s="1747"/>
      <c r="N47" s="398"/>
      <c r="O47" s="398"/>
      <c r="P47" s="2381"/>
      <c r="Q47" s="1044"/>
    </row>
    <row r="48" spans="1:17" ht="15.75" hidden="1" customHeight="1">
      <c r="A48" s="2799"/>
      <c r="B48" s="2336" t="s">
        <v>1855</v>
      </c>
      <c r="C48" s="2320"/>
      <c r="D48" s="1262" t="s">
        <v>1873</v>
      </c>
      <c r="E48" s="1596"/>
      <c r="F48" s="1714"/>
      <c r="G48" s="368"/>
      <c r="H48" s="1854"/>
      <c r="I48" s="2223" t="s">
        <v>1820</v>
      </c>
      <c r="J48" s="1747"/>
      <c r="K48" s="1747" t="s">
        <v>1874</v>
      </c>
      <c r="L48" s="1747"/>
      <c r="M48" s="1747"/>
      <c r="N48" s="398"/>
      <c r="O48" s="398"/>
      <c r="P48" s="2381"/>
      <c r="Q48" s="1044"/>
    </row>
    <row r="49" spans="1:17" ht="15" hidden="1" customHeight="1">
      <c r="A49" s="2799"/>
      <c r="B49" s="1861"/>
      <c r="C49" s="2301"/>
      <c r="D49" s="2359" t="s">
        <v>1833</v>
      </c>
      <c r="E49" s="1599">
        <f>SUM(E36:E48)</f>
        <v>11270000</v>
      </c>
      <c r="F49" s="506"/>
      <c r="G49" s="475">
        <f>SUM(G36:G48)</f>
        <v>891800</v>
      </c>
      <c r="H49" s="1861"/>
      <c r="I49" s="2460"/>
      <c r="J49" s="506"/>
      <c r="K49" s="334"/>
      <c r="L49" s="506"/>
      <c r="M49" s="279"/>
      <c r="Q49" s="821">
        <f>SUM(Q36:Q48)</f>
        <v>165000</v>
      </c>
    </row>
    <row r="50" spans="1:17" ht="15.75" hidden="1" customHeight="1">
      <c r="A50" s="2799"/>
      <c r="B50" s="1868"/>
      <c r="C50" s="813"/>
      <c r="D50" s="2303" t="s">
        <v>1835</v>
      </c>
      <c r="E50" s="1467"/>
      <c r="F50" s="1183"/>
      <c r="G50" s="2304"/>
      <c r="H50" s="1865"/>
      <c r="I50" s="2466"/>
      <c r="J50" s="1183"/>
      <c r="K50" s="2305"/>
      <c r="L50" s="1183"/>
      <c r="M50" s="868"/>
      <c r="N50" s="2820" t="s">
        <v>1859</v>
      </c>
      <c r="O50" s="2820"/>
      <c r="P50" s="2820"/>
      <c r="Q50" s="980">
        <f>G49+Q49</f>
        <v>1056800</v>
      </c>
    </row>
    <row r="51" spans="1:17" ht="15.6" hidden="1">
      <c r="A51" s="790"/>
      <c r="B51" s="1872"/>
      <c r="C51" s="456"/>
      <c r="D51" s="1091"/>
      <c r="E51" s="458"/>
      <c r="F51" s="456"/>
      <c r="G51" s="459"/>
      <c r="H51" s="1872"/>
      <c r="I51" s="2462"/>
      <c r="J51" s="456"/>
      <c r="K51" s="457"/>
      <c r="L51" s="456"/>
      <c r="M51" s="460"/>
      <c r="N51" s="461"/>
      <c r="O51" s="461"/>
      <c r="P51" s="2528"/>
      <c r="Q51" s="455"/>
    </row>
    <row r="52" spans="1:17" ht="15.6" hidden="1">
      <c r="A52" s="790"/>
      <c r="B52" s="1875"/>
      <c r="C52" s="799"/>
      <c r="D52" s="1145"/>
      <c r="E52" s="801"/>
      <c r="F52" s="799"/>
      <c r="G52" s="802"/>
      <c r="H52" s="1875"/>
      <c r="I52" s="2463"/>
      <c r="J52" s="799"/>
      <c r="K52" s="800"/>
      <c r="L52" s="799"/>
      <c r="M52" s="803"/>
      <c r="N52" s="804"/>
      <c r="O52" s="804"/>
      <c r="P52" s="2529"/>
      <c r="Q52" s="805"/>
    </row>
    <row r="53" spans="1:17" ht="21" hidden="1">
      <c r="A53" s="2827" t="s">
        <v>1875</v>
      </c>
      <c r="B53" s="2827"/>
      <c r="C53" s="2827"/>
      <c r="D53" s="2827"/>
      <c r="E53" s="2827"/>
      <c r="F53" s="2827"/>
      <c r="G53" s="2827"/>
      <c r="H53" s="2828"/>
      <c r="I53" s="2827"/>
      <c r="J53" s="2827"/>
      <c r="K53" s="2827"/>
      <c r="L53" s="2496"/>
      <c r="M53" s="279"/>
      <c r="N53" s="818"/>
      <c r="O53" s="818"/>
      <c r="P53" s="2530"/>
      <c r="Q53" s="286"/>
    </row>
    <row r="54" spans="1:17" hidden="1">
      <c r="A54" s="1634" t="s">
        <v>1806</v>
      </c>
      <c r="B54" s="1878" t="s">
        <v>1807</v>
      </c>
      <c r="C54" s="3" t="s">
        <v>1837</v>
      </c>
      <c r="D54" s="1059" t="s">
        <v>1809</v>
      </c>
      <c r="E54" s="4" t="s">
        <v>1810</v>
      </c>
      <c r="F54" s="3" t="s">
        <v>1811</v>
      </c>
      <c r="G54" s="5" t="s">
        <v>1812</v>
      </c>
      <c r="H54" s="2485" t="s">
        <v>1813</v>
      </c>
      <c r="I54" s="2171" t="s">
        <v>1814</v>
      </c>
      <c r="J54" s="23"/>
      <c r="K54" s="23" t="s">
        <v>1815</v>
      </c>
      <c r="L54" s="23"/>
      <c r="M54" s="1747" t="s">
        <v>1807</v>
      </c>
      <c r="N54" s="1747" t="s">
        <v>1809</v>
      </c>
      <c r="O54" s="1747" t="s">
        <v>1816</v>
      </c>
      <c r="P54" s="1189" t="s">
        <v>1811</v>
      </c>
      <c r="Q54" s="2" t="s">
        <v>1817</v>
      </c>
    </row>
    <row r="55" spans="1:17" ht="15" hidden="1" customHeight="1">
      <c r="A55" s="2826" t="s">
        <v>1818</v>
      </c>
      <c r="B55" s="2337">
        <v>12439</v>
      </c>
      <c r="C55" s="362">
        <v>0.1</v>
      </c>
      <c r="D55" s="431" t="s">
        <v>1876</v>
      </c>
      <c r="E55" s="1851">
        <v>1350000</v>
      </c>
      <c r="F55" s="1852">
        <v>0.1</v>
      </c>
      <c r="G55" s="1896">
        <f t="shared" ref="G55:G62" si="2">E55*F55</f>
        <v>135000</v>
      </c>
      <c r="H55" s="1854" t="s">
        <v>1877</v>
      </c>
      <c r="I55" s="2467" t="s">
        <v>1820</v>
      </c>
      <c r="J55" s="118"/>
      <c r="K55" s="118"/>
      <c r="L55" s="118"/>
      <c r="M55" s="2370">
        <v>12570</v>
      </c>
      <c r="N55" s="431" t="s">
        <v>1822</v>
      </c>
      <c r="O55" s="1851">
        <v>1100000</v>
      </c>
      <c r="P55" s="1189">
        <v>0.05</v>
      </c>
      <c r="Q55" s="2384">
        <f>O55*P55</f>
        <v>55000</v>
      </c>
    </row>
    <row r="56" spans="1:17" ht="15" hidden="1" customHeight="1">
      <c r="A56" s="2826"/>
      <c r="B56" s="2333">
        <v>12462</v>
      </c>
      <c r="C56" s="362">
        <v>0.1</v>
      </c>
      <c r="D56" s="431" t="s">
        <v>1863</v>
      </c>
      <c r="E56" s="1851">
        <v>1200000</v>
      </c>
      <c r="F56" s="1852">
        <v>0.05</v>
      </c>
      <c r="G56" s="1896">
        <f t="shared" si="2"/>
        <v>60000</v>
      </c>
      <c r="H56" s="1854" t="s">
        <v>1826</v>
      </c>
      <c r="I56" s="2467" t="s">
        <v>1820</v>
      </c>
      <c r="J56" s="118"/>
      <c r="K56" s="118"/>
      <c r="L56" s="118"/>
      <c r="M56" s="2247">
        <v>12589</v>
      </c>
      <c r="N56" s="1229" t="s">
        <v>1824</v>
      </c>
      <c r="O56" s="1851">
        <v>1150000</v>
      </c>
      <c r="P56" s="1688">
        <v>0.05</v>
      </c>
      <c r="Q56" s="2384">
        <f>O56*P56</f>
        <v>57500</v>
      </c>
    </row>
    <row r="57" spans="1:17" ht="15" hidden="1" customHeight="1">
      <c r="A57" s="2826"/>
      <c r="B57" s="2330">
        <v>12519</v>
      </c>
      <c r="C57" s="362">
        <v>0.1</v>
      </c>
      <c r="D57" s="1229" t="s">
        <v>1878</v>
      </c>
      <c r="E57" s="1851">
        <v>1050000</v>
      </c>
      <c r="F57" s="1852">
        <v>0.1</v>
      </c>
      <c r="G57" s="1896">
        <f t="shared" si="2"/>
        <v>105000</v>
      </c>
      <c r="H57" s="1854" t="s">
        <v>1877</v>
      </c>
      <c r="I57" s="2467" t="s">
        <v>1820</v>
      </c>
      <c r="J57" s="118"/>
      <c r="K57" s="118"/>
      <c r="L57" s="118"/>
      <c r="M57" s="2370">
        <v>12573</v>
      </c>
      <c r="N57" s="1229" t="s">
        <v>1845</v>
      </c>
      <c r="O57" s="1851">
        <v>1850000</v>
      </c>
      <c r="P57" s="2378">
        <v>0.04</v>
      </c>
      <c r="Q57" s="2384">
        <f>O57*P57</f>
        <v>74000</v>
      </c>
    </row>
    <row r="58" spans="1:17" ht="15" hidden="1" customHeight="1">
      <c r="A58" s="2826"/>
      <c r="B58" s="2325">
        <v>12549</v>
      </c>
      <c r="C58" s="362">
        <v>0.1</v>
      </c>
      <c r="D58" s="1229" t="s">
        <v>1879</v>
      </c>
      <c r="E58" s="1848">
        <v>900000</v>
      </c>
      <c r="F58" s="1849">
        <v>0.05</v>
      </c>
      <c r="G58" s="1896">
        <f t="shared" si="2"/>
        <v>45000</v>
      </c>
      <c r="H58" s="1850" t="s">
        <v>1880</v>
      </c>
      <c r="I58" s="2468" t="s">
        <v>1820</v>
      </c>
      <c r="J58" s="118"/>
      <c r="K58" s="118"/>
      <c r="L58" s="118"/>
      <c r="M58" s="2247">
        <v>12582</v>
      </c>
      <c r="N58" s="1229" t="s">
        <v>1847</v>
      </c>
      <c r="O58" s="1851">
        <v>1250000</v>
      </c>
      <c r="P58" s="1688">
        <v>0.05</v>
      </c>
      <c r="Q58" s="2384">
        <f>O58*P58</f>
        <v>62500</v>
      </c>
    </row>
    <row r="59" spans="1:17" ht="15" hidden="1" customHeight="1">
      <c r="A59" s="2826"/>
      <c r="B59" s="2167">
        <v>12495</v>
      </c>
      <c r="C59" s="362">
        <v>0.1</v>
      </c>
      <c r="D59" s="1143" t="s">
        <v>1848</v>
      </c>
      <c r="E59" s="1848">
        <v>1100000</v>
      </c>
      <c r="F59" s="1849">
        <v>0.05</v>
      </c>
      <c r="G59" s="1896">
        <f t="shared" si="2"/>
        <v>55000</v>
      </c>
      <c r="H59" s="1850" t="s">
        <v>1843</v>
      </c>
      <c r="I59" s="2468" t="s">
        <v>133</v>
      </c>
      <c r="J59" s="118"/>
      <c r="K59" s="118"/>
      <c r="L59" s="118"/>
      <c r="M59" s="2370">
        <v>12517</v>
      </c>
      <c r="N59" s="67" t="s">
        <v>1881</v>
      </c>
      <c r="O59" s="1851">
        <v>1150000</v>
      </c>
      <c r="P59" s="2379">
        <v>0.04</v>
      </c>
      <c r="Q59" s="2384">
        <f>O59*P59</f>
        <v>46000</v>
      </c>
    </row>
    <row r="60" spans="1:17" ht="15" hidden="1" customHeight="1">
      <c r="A60" s="2826"/>
      <c r="B60" s="2338">
        <v>12579</v>
      </c>
      <c r="C60" s="362">
        <v>0.1</v>
      </c>
      <c r="D60" s="67" t="s">
        <v>1882</v>
      </c>
      <c r="E60" s="1851">
        <v>1500000</v>
      </c>
      <c r="F60" s="1852">
        <v>0.1</v>
      </c>
      <c r="G60" s="1896">
        <f t="shared" si="2"/>
        <v>150000</v>
      </c>
      <c r="H60" s="1854" t="s">
        <v>1823</v>
      </c>
      <c r="I60" s="2467" t="s">
        <v>1455</v>
      </c>
      <c r="J60" s="118"/>
      <c r="K60" s="118"/>
      <c r="L60" s="118"/>
      <c r="M60" s="1747"/>
      <c r="N60" s="1747"/>
      <c r="O60" s="1747"/>
      <c r="P60" s="1189"/>
      <c r="Q60" s="2"/>
    </row>
    <row r="61" spans="1:17" ht="15" hidden="1" customHeight="1">
      <c r="A61" s="2826"/>
      <c r="B61" s="2325">
        <v>12627</v>
      </c>
      <c r="C61" s="362">
        <v>0.1</v>
      </c>
      <c r="D61" s="1229" t="s">
        <v>1883</v>
      </c>
      <c r="E61" s="1848">
        <v>900000</v>
      </c>
      <c r="F61" s="1849">
        <v>0.06</v>
      </c>
      <c r="G61" s="1896">
        <f t="shared" si="2"/>
        <v>54000</v>
      </c>
      <c r="H61" s="1850" t="s">
        <v>118</v>
      </c>
      <c r="I61" s="2468" t="s">
        <v>1820</v>
      </c>
      <c r="J61" s="118"/>
      <c r="K61" s="118"/>
      <c r="L61" s="118"/>
      <c r="M61" s="1747"/>
      <c r="N61" s="1747"/>
      <c r="O61" s="1747"/>
      <c r="P61" s="1189"/>
      <c r="Q61" s="2"/>
    </row>
    <row r="62" spans="1:17" ht="15" hidden="1" customHeight="1">
      <c r="A62" s="2826"/>
      <c r="B62" s="2366">
        <v>12654</v>
      </c>
      <c r="C62" s="362">
        <v>0.1</v>
      </c>
      <c r="D62" s="1482" t="s">
        <v>1865</v>
      </c>
      <c r="E62" s="1851">
        <v>850000</v>
      </c>
      <c r="F62" s="1852">
        <v>0.05</v>
      </c>
      <c r="G62" s="1896">
        <f t="shared" si="2"/>
        <v>42500</v>
      </c>
      <c r="H62" s="1854" t="s">
        <v>1826</v>
      </c>
      <c r="I62" s="2467" t="s">
        <v>133</v>
      </c>
      <c r="J62" s="1845"/>
      <c r="K62" s="1845"/>
      <c r="L62" s="1845"/>
      <c r="M62" s="1748"/>
      <c r="N62" s="1748"/>
      <c r="O62" s="1748"/>
      <c r="P62" s="368"/>
      <c r="Q62" s="286"/>
    </row>
    <row r="63" spans="1:17" ht="15" hidden="1" customHeight="1">
      <c r="A63" s="2826"/>
      <c r="B63" s="2339"/>
      <c r="C63" s="2090"/>
      <c r="D63" s="1710" t="s">
        <v>1884</v>
      </c>
      <c r="E63" s="1851"/>
      <c r="F63" s="1852"/>
      <c r="G63" s="1853"/>
      <c r="H63" s="1854"/>
      <c r="I63" s="2467" t="s">
        <v>133</v>
      </c>
      <c r="J63" s="1845"/>
      <c r="K63" s="1845"/>
      <c r="L63" s="1845"/>
      <c r="M63" s="1748"/>
      <c r="N63" s="1748"/>
      <c r="O63" s="1748"/>
      <c r="P63" s="368"/>
      <c r="Q63" s="286"/>
    </row>
    <row r="64" spans="1:17" ht="15" hidden="1" customHeight="1">
      <c r="A64" s="2826"/>
      <c r="B64" s="2339" t="s">
        <v>1855</v>
      </c>
      <c r="C64" s="1445"/>
      <c r="D64" s="1262" t="s">
        <v>1885</v>
      </c>
      <c r="E64" s="1851"/>
      <c r="F64" s="1852"/>
      <c r="G64" s="1853"/>
      <c r="H64" s="1854"/>
      <c r="I64" s="2467" t="s">
        <v>1820</v>
      </c>
      <c r="J64" s="1845"/>
      <c r="K64" s="1845"/>
      <c r="L64" s="1845"/>
      <c r="M64" s="1748"/>
      <c r="N64" s="1748"/>
      <c r="O64" s="1748"/>
      <c r="P64" s="368"/>
      <c r="Q64" s="286"/>
    </row>
    <row r="65" spans="1:17" ht="15" hidden="1" customHeight="1">
      <c r="A65" s="2826"/>
      <c r="B65" s="2331"/>
      <c r="C65" s="1693"/>
      <c r="D65" s="1759" t="s">
        <v>1886</v>
      </c>
      <c r="E65" s="1851"/>
      <c r="F65" s="1852"/>
      <c r="G65" s="1853"/>
      <c r="H65" s="1854"/>
      <c r="I65" s="2467" t="s">
        <v>1820</v>
      </c>
      <c r="J65" s="1845"/>
      <c r="K65" s="1845"/>
      <c r="L65" s="1845"/>
      <c r="M65" s="1748"/>
      <c r="N65" s="1748"/>
      <c r="O65" s="1748"/>
      <c r="P65" s="368"/>
      <c r="Q65" s="286"/>
    </row>
    <row r="66" spans="1:17" ht="15" hidden="1" customHeight="1">
      <c r="A66" s="2826"/>
      <c r="B66" s="1857"/>
      <c r="C66" s="1858"/>
      <c r="D66" s="2360" t="s">
        <v>1833</v>
      </c>
      <c r="E66" s="1860">
        <f>SUM(E55:E65)</f>
        <v>8850000</v>
      </c>
      <c r="F66" s="1861"/>
      <c r="G66" s="1862">
        <f>SUM(G55:G65)</f>
        <v>646500</v>
      </c>
      <c r="H66" s="1861"/>
      <c r="I66" s="2469"/>
      <c r="J66" s="2484"/>
      <c r="K66" s="1863"/>
      <c r="L66" s="2484"/>
      <c r="M66" s="868"/>
      <c r="Q66" s="1241">
        <f>SUM(Q55:Q65)</f>
        <v>295000</v>
      </c>
    </row>
    <row r="67" spans="1:17" ht="15" hidden="1" customHeight="1">
      <c r="A67" s="2826"/>
      <c r="B67" s="1864"/>
      <c r="C67" s="1865"/>
      <c r="D67" s="1866" t="s">
        <v>1835</v>
      </c>
      <c r="E67" s="1867"/>
      <c r="F67" s="1868"/>
      <c r="G67" s="1869"/>
      <c r="H67" s="1868"/>
      <c r="I67" s="2470"/>
      <c r="J67" s="1870"/>
      <c r="K67" s="1870"/>
      <c r="L67" s="1870"/>
      <c r="M67" s="279"/>
      <c r="N67" s="2813" t="s">
        <v>1859</v>
      </c>
      <c r="O67" s="2813"/>
      <c r="P67" s="2813"/>
      <c r="Q67" s="980">
        <f>G66+Q66</f>
        <v>941500</v>
      </c>
    </row>
    <row r="68" spans="1:17" ht="15.6" hidden="1">
      <c r="A68" s="1871"/>
      <c r="B68" s="1872"/>
      <c r="C68" s="1872"/>
      <c r="D68" s="1872"/>
      <c r="E68" s="1873"/>
      <c r="F68" s="1872"/>
      <c r="G68" s="1874"/>
      <c r="H68" s="1872"/>
      <c r="I68" s="2471"/>
      <c r="J68" s="1872"/>
      <c r="K68" s="1872"/>
      <c r="L68" s="1872"/>
      <c r="M68" s="460"/>
      <c r="N68" s="461"/>
      <c r="O68" s="461"/>
      <c r="P68" s="2528"/>
      <c r="Q68" s="455"/>
    </row>
    <row r="69" spans="1:17" ht="15.6" hidden="1">
      <c r="A69" s="1871"/>
      <c r="B69" s="1875"/>
      <c r="C69" s="1875"/>
      <c r="D69" s="1875"/>
      <c r="E69" s="1876"/>
      <c r="F69" s="1875"/>
      <c r="G69" s="1877"/>
      <c r="H69" s="1875"/>
      <c r="I69" s="2472"/>
      <c r="J69" s="1875"/>
      <c r="K69" s="1875"/>
      <c r="L69" s="1875"/>
      <c r="M69" s="803"/>
      <c r="N69" s="804"/>
      <c r="O69" s="804"/>
      <c r="P69" s="2529"/>
      <c r="Q69" s="805"/>
    </row>
    <row r="70" spans="1:17" ht="21" hidden="1">
      <c r="A70" s="2829" t="s">
        <v>1887</v>
      </c>
      <c r="B70" s="2829"/>
      <c r="C70" s="2829"/>
      <c r="D70" s="2829"/>
      <c r="E70" s="2829"/>
      <c r="F70" s="2829"/>
      <c r="G70" s="2829"/>
      <c r="H70" s="2830"/>
      <c r="I70" s="2829"/>
      <c r="J70" s="2829"/>
      <c r="K70" s="2829"/>
      <c r="L70" s="2495"/>
      <c r="M70" s="279"/>
      <c r="N70" s="818"/>
      <c r="O70" s="818"/>
      <c r="P70" s="2530"/>
      <c r="Q70" s="286"/>
    </row>
    <row r="71" spans="1:17" hidden="1">
      <c r="A71" s="1878" t="s">
        <v>1806</v>
      </c>
      <c r="B71" s="1878" t="s">
        <v>1807</v>
      </c>
      <c r="C71" s="1878" t="s">
        <v>1837</v>
      </c>
      <c r="D71" s="1878" t="s">
        <v>1809</v>
      </c>
      <c r="E71" s="2309" t="s">
        <v>1810</v>
      </c>
      <c r="F71" s="1878" t="s">
        <v>1811</v>
      </c>
      <c r="G71" s="2310" t="s">
        <v>1812</v>
      </c>
      <c r="H71" s="2480" t="s">
        <v>1813</v>
      </c>
      <c r="I71" s="2268" t="s">
        <v>1814</v>
      </c>
      <c r="J71" s="2311"/>
      <c r="K71" s="2311" t="s">
        <v>1815</v>
      </c>
      <c r="L71" s="2311"/>
      <c r="M71" s="1626" t="s">
        <v>1807</v>
      </c>
      <c r="N71" s="1626" t="s">
        <v>1809</v>
      </c>
      <c r="O71" s="1626" t="s">
        <v>1816</v>
      </c>
      <c r="P71" s="2381" t="s">
        <v>1811</v>
      </c>
      <c r="Q71" s="260" t="s">
        <v>1817</v>
      </c>
    </row>
    <row r="72" spans="1:17" ht="15" hidden="1" customHeight="1">
      <c r="A72" s="2816" t="s">
        <v>1818</v>
      </c>
      <c r="B72" s="2333">
        <v>12484</v>
      </c>
      <c r="C72" s="362">
        <v>0.1</v>
      </c>
      <c r="D72" s="431" t="s">
        <v>1888</v>
      </c>
      <c r="E72" s="1892">
        <v>850000</v>
      </c>
      <c r="F72" s="1893">
        <v>0.1</v>
      </c>
      <c r="G72" s="2308">
        <f t="shared" ref="G72:G79" si="3">E72*F72</f>
        <v>85000</v>
      </c>
      <c r="H72" s="1855" t="s">
        <v>1880</v>
      </c>
      <c r="I72" s="2473" t="s">
        <v>1820</v>
      </c>
      <c r="J72" s="1884"/>
      <c r="K72" s="1884"/>
      <c r="L72" s="1884"/>
      <c r="M72" s="983">
        <v>12502</v>
      </c>
      <c r="N72" s="431" t="s">
        <v>1839</v>
      </c>
      <c r="O72" s="1848">
        <v>800000</v>
      </c>
      <c r="P72" s="1688">
        <v>0.05</v>
      </c>
      <c r="Q72" s="2384">
        <f>O72*P72</f>
        <v>40000</v>
      </c>
    </row>
    <row r="73" spans="1:17" ht="15" hidden="1" customHeight="1">
      <c r="A73" s="2816"/>
      <c r="B73" s="2333">
        <v>12513</v>
      </c>
      <c r="C73" s="1205">
        <v>0.1</v>
      </c>
      <c r="D73" s="1383" t="s">
        <v>1850</v>
      </c>
      <c r="E73" s="1892">
        <v>1000000</v>
      </c>
      <c r="F73" s="1893">
        <v>0.05</v>
      </c>
      <c r="G73" s="2308">
        <f t="shared" si="3"/>
        <v>50000</v>
      </c>
      <c r="H73" s="1855" t="s">
        <v>1843</v>
      </c>
      <c r="I73" s="2473" t="s">
        <v>133</v>
      </c>
      <c r="J73" s="1884"/>
      <c r="K73" s="1884"/>
      <c r="L73" s="1884"/>
      <c r="M73" s="2370">
        <v>12549</v>
      </c>
      <c r="N73" s="1229" t="s">
        <v>1879</v>
      </c>
      <c r="O73" s="1848">
        <v>900000</v>
      </c>
      <c r="P73" s="1688">
        <v>0.05</v>
      </c>
      <c r="Q73" s="2384">
        <f>O73*P73</f>
        <v>45000</v>
      </c>
    </row>
    <row r="74" spans="1:17" ht="15" hidden="1" customHeight="1">
      <c r="A74" s="2816"/>
      <c r="B74" s="2306">
        <v>12517</v>
      </c>
      <c r="C74" s="545">
        <v>0.08</v>
      </c>
      <c r="D74" s="67" t="s">
        <v>1881</v>
      </c>
      <c r="E74" s="1892">
        <v>1150000</v>
      </c>
      <c r="F74" s="2376">
        <v>0.04</v>
      </c>
      <c r="G74" s="2308">
        <f t="shared" si="3"/>
        <v>46000</v>
      </c>
      <c r="H74" s="1855" t="s">
        <v>1823</v>
      </c>
      <c r="I74" s="2473" t="s">
        <v>1455</v>
      </c>
      <c r="J74" s="1845"/>
      <c r="K74" s="1845"/>
      <c r="L74" s="1845"/>
      <c r="M74" s="836">
        <v>12514</v>
      </c>
      <c r="N74" s="1206" t="s">
        <v>1889</v>
      </c>
      <c r="O74" s="1848">
        <v>750000</v>
      </c>
      <c r="P74" s="1688">
        <v>0.05</v>
      </c>
      <c r="Q74" s="2384">
        <f>O74*P74</f>
        <v>37500</v>
      </c>
    </row>
    <row r="75" spans="1:17" ht="15" hidden="1" customHeight="1">
      <c r="A75" s="2816"/>
      <c r="B75" s="1014">
        <v>12558</v>
      </c>
      <c r="C75" s="362">
        <v>0.1</v>
      </c>
      <c r="D75" s="1914" t="s">
        <v>1890</v>
      </c>
      <c r="E75" s="1892">
        <v>1000000</v>
      </c>
      <c r="F75" s="1893">
        <v>0.06</v>
      </c>
      <c r="G75" s="2308">
        <f t="shared" si="3"/>
        <v>60000</v>
      </c>
      <c r="H75" s="1855" t="s">
        <v>118</v>
      </c>
      <c r="I75" s="2473" t="s">
        <v>133</v>
      </c>
      <c r="J75" s="1845"/>
      <c r="K75" s="1845"/>
      <c r="L75" s="1845"/>
      <c r="M75" s="1747"/>
      <c r="N75" s="1747"/>
      <c r="O75" s="1747"/>
      <c r="P75" s="1189"/>
      <c r="Q75" s="2"/>
    </row>
    <row r="76" spans="1:17" ht="15" hidden="1" customHeight="1">
      <c r="A76" s="2816"/>
      <c r="B76" s="2306">
        <v>12580</v>
      </c>
      <c r="C76" s="362">
        <v>0.1</v>
      </c>
      <c r="D76" s="1229" t="s">
        <v>1891</v>
      </c>
      <c r="E76" s="1892">
        <v>1000000</v>
      </c>
      <c r="F76" s="1893">
        <v>0.1</v>
      </c>
      <c r="G76" s="2308">
        <f t="shared" si="3"/>
        <v>100000</v>
      </c>
      <c r="H76" s="1855" t="s">
        <v>1880</v>
      </c>
      <c r="I76" s="2467" t="s">
        <v>1455</v>
      </c>
      <c r="J76" s="1845"/>
      <c r="K76" s="1845"/>
      <c r="L76" s="1845"/>
      <c r="M76" s="1747"/>
      <c r="N76" s="1747"/>
      <c r="O76" s="1747"/>
      <c r="P76" s="1189"/>
      <c r="Q76" s="2"/>
    </row>
    <row r="77" spans="1:17" ht="15" hidden="1" customHeight="1">
      <c r="A77" s="2816"/>
      <c r="B77" s="2306">
        <v>12622</v>
      </c>
      <c r="C77" s="362">
        <v>0.1</v>
      </c>
      <c r="D77" s="1229" t="s">
        <v>1892</v>
      </c>
      <c r="E77" s="1892">
        <v>500000</v>
      </c>
      <c r="F77" s="1893">
        <v>0.1</v>
      </c>
      <c r="G77" s="2308">
        <f t="shared" si="3"/>
        <v>50000</v>
      </c>
      <c r="H77" s="1855" t="s">
        <v>1880</v>
      </c>
      <c r="I77" s="2467" t="s">
        <v>1455</v>
      </c>
      <c r="J77" s="1845"/>
      <c r="K77" s="1845"/>
      <c r="L77" s="1845"/>
      <c r="M77" s="1747"/>
      <c r="N77" s="1747"/>
      <c r="O77" s="1747"/>
      <c r="P77" s="1189"/>
      <c r="Q77" s="2"/>
    </row>
    <row r="78" spans="1:17" ht="15" hidden="1" customHeight="1">
      <c r="A78" s="2816"/>
      <c r="B78" s="2369">
        <v>12662</v>
      </c>
      <c r="C78" s="362">
        <v>0.1</v>
      </c>
      <c r="D78" s="1229" t="s">
        <v>1893</v>
      </c>
      <c r="E78" s="1848">
        <v>1100000</v>
      </c>
      <c r="F78" s="1889">
        <v>0.05</v>
      </c>
      <c r="G78" s="2308">
        <f t="shared" si="3"/>
        <v>55000</v>
      </c>
      <c r="H78" s="1850" t="s">
        <v>1894</v>
      </c>
      <c r="I78" s="2468" t="s">
        <v>1455</v>
      </c>
      <c r="J78" s="1845"/>
      <c r="K78" s="1845"/>
      <c r="L78" s="1845"/>
      <c r="M78" s="1747"/>
      <c r="N78" s="1747"/>
      <c r="O78" s="1747"/>
      <c r="P78" s="1189"/>
      <c r="Q78" s="2"/>
    </row>
    <row r="79" spans="1:17" ht="15" hidden="1" customHeight="1">
      <c r="A79" s="2816"/>
      <c r="B79" s="2330">
        <v>12670</v>
      </c>
      <c r="C79" s="362">
        <v>0.1</v>
      </c>
      <c r="D79" s="1229" t="s">
        <v>1895</v>
      </c>
      <c r="E79" s="1848">
        <v>1300000</v>
      </c>
      <c r="F79" s="1889">
        <v>0.1</v>
      </c>
      <c r="G79" s="2308">
        <f t="shared" si="3"/>
        <v>130000</v>
      </c>
      <c r="H79" s="1850" t="s">
        <v>1840</v>
      </c>
      <c r="I79" s="2468" t="s">
        <v>1820</v>
      </c>
      <c r="J79" s="1845"/>
      <c r="K79" s="1845"/>
      <c r="L79" s="1845"/>
      <c r="M79" s="1747"/>
      <c r="N79" s="1747"/>
      <c r="O79" s="1747"/>
      <c r="P79" s="1189"/>
      <c r="Q79" s="2"/>
    </row>
    <row r="80" spans="1:17" ht="15" hidden="1" customHeight="1">
      <c r="A80" s="2816"/>
      <c r="B80" s="2332" t="s">
        <v>1896</v>
      </c>
      <c r="C80" s="869"/>
      <c r="D80" s="98" t="s">
        <v>1897</v>
      </c>
      <c r="E80" s="1892"/>
      <c r="F80" s="1893"/>
      <c r="G80" s="2308"/>
      <c r="H80" s="1855"/>
      <c r="I80" s="2473" t="s">
        <v>1455</v>
      </c>
      <c r="J80" s="1845"/>
      <c r="K80" s="1845" t="s">
        <v>1857</v>
      </c>
      <c r="L80" s="1845"/>
      <c r="M80" s="1748"/>
      <c r="N80" s="1748"/>
      <c r="O80" s="1748"/>
      <c r="P80" s="368"/>
      <c r="Q80" s="286"/>
    </row>
    <row r="81" spans="1:17" ht="15" hidden="1" customHeight="1">
      <c r="A81" s="2816"/>
      <c r="B81" s="1861"/>
      <c r="C81" s="1861"/>
      <c r="D81" s="2361" t="s">
        <v>1833</v>
      </c>
      <c r="E81" s="1860">
        <f>SUM(E72:E80)</f>
        <v>7900000</v>
      </c>
      <c r="F81" s="1861"/>
      <c r="G81" s="1862">
        <f>SUM(G72:G80)</f>
        <v>576000</v>
      </c>
      <c r="H81" s="1861"/>
      <c r="I81" s="2469"/>
      <c r="J81" s="1858"/>
      <c r="K81" s="1861"/>
      <c r="L81" s="1858"/>
      <c r="M81" s="868"/>
      <c r="Q81" s="1241">
        <f>SUM(Q72:Q80)</f>
        <v>122500</v>
      </c>
    </row>
    <row r="82" spans="1:17" ht="15" hidden="1" customHeight="1">
      <c r="A82" s="2816"/>
      <c r="B82" s="1899"/>
      <c r="C82" s="1865"/>
      <c r="D82" s="2312" t="s">
        <v>1835</v>
      </c>
      <c r="E82" s="2313"/>
      <c r="F82" s="1865"/>
      <c r="G82" s="2314"/>
      <c r="H82" s="1865"/>
      <c r="I82" s="2474"/>
      <c r="J82" s="2315"/>
      <c r="K82" s="2315"/>
      <c r="L82" s="2315"/>
      <c r="M82" s="868"/>
      <c r="N82" s="2831" t="s">
        <v>1859</v>
      </c>
      <c r="O82" s="2831"/>
      <c r="P82" s="2831"/>
      <c r="Q82" s="980">
        <f>Q81+G81</f>
        <v>698500</v>
      </c>
    </row>
    <row r="83" spans="1:17" hidden="1"/>
    <row r="84" spans="1:17" ht="15" hidden="1" customHeight="1">
      <c r="A84" s="2801" t="s">
        <v>1898</v>
      </c>
      <c r="B84" s="2802"/>
      <c r="C84" s="79"/>
      <c r="D84" s="1222">
        <f>E15+E30+E49+E66+E81</f>
        <v>44420000</v>
      </c>
    </row>
    <row r="85" spans="1:17" ht="15" hidden="1" customHeight="1">
      <c r="A85" s="2803" t="s">
        <v>1899</v>
      </c>
      <c r="B85" s="2804"/>
      <c r="C85" s="41"/>
      <c r="D85" s="2365"/>
    </row>
    <row r="86" spans="1:17" ht="15" hidden="1" customHeight="1">
      <c r="A86" s="2805" t="s">
        <v>1900</v>
      </c>
      <c r="B86" s="2806"/>
      <c r="C86" s="1481"/>
      <c r="D86" s="2362"/>
    </row>
    <row r="87" spans="1:17" ht="15" hidden="1" customHeight="1">
      <c r="A87" s="2814" t="s">
        <v>1901</v>
      </c>
      <c r="B87" s="2815"/>
      <c r="C87" s="2364"/>
      <c r="D87" s="2363"/>
    </row>
    <row r="88" spans="1:17" ht="15" hidden="1" customHeight="1">
      <c r="A88" s="2837" t="s">
        <v>1902</v>
      </c>
      <c r="B88" s="2838"/>
      <c r="C88" s="1481"/>
      <c r="D88" s="714"/>
    </row>
    <row r="89" spans="1:17" ht="15" hidden="1" customHeight="1">
      <c r="A89" s="2812" t="s">
        <v>1903</v>
      </c>
      <c r="B89" s="2812"/>
      <c r="C89" s="1481"/>
      <c r="D89" s="714"/>
    </row>
    <row r="90" spans="1:17" ht="16.5" hidden="1" customHeight="1">
      <c r="A90" s="2176"/>
      <c r="B90" s="2340" t="s">
        <v>1904</v>
      </c>
      <c r="C90" s="43"/>
      <c r="D90" s="589">
        <f>SUM(D83:D89)</f>
        <v>44420000</v>
      </c>
    </row>
    <row r="91" spans="1:17" hidden="1">
      <c r="D91" s="589"/>
    </row>
    <row r="92" spans="1:17" hidden="1"/>
    <row r="93" spans="1:17" ht="46.15" hidden="1">
      <c r="A93" s="2839" t="s">
        <v>1905</v>
      </c>
      <c r="B93" s="2839"/>
      <c r="C93" s="2839"/>
      <c r="D93" s="2839"/>
      <c r="E93" s="2839"/>
      <c r="F93" s="2839"/>
      <c r="G93" s="2839"/>
      <c r="H93" s="2840"/>
      <c r="I93" s="2839"/>
      <c r="J93" s="2839"/>
      <c r="K93" s="2839"/>
      <c r="L93" s="2498"/>
    </row>
    <row r="94" spans="1:17" hidden="1"/>
    <row r="95" spans="1:17" ht="21" hidden="1" customHeight="1">
      <c r="A95" s="2841" t="s">
        <v>1804</v>
      </c>
      <c r="B95" s="2841"/>
      <c r="C95" s="2841"/>
      <c r="D95" s="2841"/>
      <c r="E95" s="2841"/>
      <c r="F95" s="2841"/>
      <c r="G95" s="2841"/>
      <c r="H95" s="2842"/>
      <c r="I95" s="2841"/>
      <c r="J95" s="2841"/>
      <c r="K95" s="2841"/>
      <c r="L95" s="2504"/>
      <c r="M95" s="2819" t="s">
        <v>1805</v>
      </c>
      <c r="N95" s="2819"/>
      <c r="O95" s="2819"/>
      <c r="P95" s="2819"/>
      <c r="Q95" s="2"/>
    </row>
    <row r="96" spans="1:17" ht="15" hidden="1" customHeight="1">
      <c r="A96" s="1634" t="s">
        <v>1806</v>
      </c>
      <c r="B96" s="1878" t="s">
        <v>1807</v>
      </c>
      <c r="C96" s="783" t="s">
        <v>1808</v>
      </c>
      <c r="D96" s="1056" t="s">
        <v>1809</v>
      </c>
      <c r="E96" s="779" t="s">
        <v>1810</v>
      </c>
      <c r="F96" s="1634" t="s">
        <v>1811</v>
      </c>
      <c r="G96" s="167" t="s">
        <v>1812</v>
      </c>
      <c r="H96" s="2480" t="s">
        <v>1813</v>
      </c>
      <c r="I96" s="2218" t="s">
        <v>1814</v>
      </c>
      <c r="J96" s="26"/>
      <c r="K96" s="1634" t="s">
        <v>1815</v>
      </c>
      <c r="L96" s="26"/>
      <c r="M96" s="26" t="s">
        <v>1807</v>
      </c>
      <c r="N96" s="26" t="s">
        <v>1809</v>
      </c>
      <c r="O96" s="26" t="s">
        <v>1816</v>
      </c>
      <c r="P96" s="2527" t="s">
        <v>1811</v>
      </c>
      <c r="Q96" s="260" t="s">
        <v>1817</v>
      </c>
    </row>
    <row r="97" spans="1:17" ht="15" hidden="1" customHeight="1">
      <c r="A97" s="2832" t="s">
        <v>1818</v>
      </c>
      <c r="B97" s="2417">
        <v>12700</v>
      </c>
      <c r="C97" s="1205">
        <v>0.1</v>
      </c>
      <c r="D97" s="1229" t="s">
        <v>1906</v>
      </c>
      <c r="E97" s="1600">
        <v>1300000</v>
      </c>
      <c r="F97" s="1363">
        <v>0.05</v>
      </c>
      <c r="G97" s="313">
        <f t="shared" ref="G97:G104" si="4">E97*F97</f>
        <v>65000</v>
      </c>
      <c r="H97" s="1850" t="s">
        <v>1907</v>
      </c>
      <c r="I97" s="2456" t="s">
        <v>1820</v>
      </c>
      <c r="J97" s="1626"/>
      <c r="K97" s="1747"/>
      <c r="L97" s="1626"/>
      <c r="M97" s="2443">
        <v>12730</v>
      </c>
      <c r="N97" s="840" t="s">
        <v>1908</v>
      </c>
      <c r="O97" s="2435">
        <v>1650000</v>
      </c>
      <c r="P97" s="2381">
        <v>0.05</v>
      </c>
      <c r="Q97" s="51">
        <f>O97*P97</f>
        <v>82500</v>
      </c>
    </row>
    <row r="98" spans="1:17" ht="15" hidden="1" customHeight="1">
      <c r="A98" s="2821"/>
      <c r="B98" s="2405">
        <v>12704</v>
      </c>
      <c r="C98" s="1205">
        <v>0.1</v>
      </c>
      <c r="D98" s="885" t="s">
        <v>1909</v>
      </c>
      <c r="E98" s="2322">
        <v>750000</v>
      </c>
      <c r="F98" s="2318">
        <v>0.1</v>
      </c>
      <c r="G98" s="313">
        <f t="shared" si="4"/>
        <v>75000</v>
      </c>
      <c r="H98" s="2350" t="s">
        <v>1482</v>
      </c>
      <c r="I98" s="2454" t="s">
        <v>133</v>
      </c>
      <c r="J98" s="2430"/>
      <c r="K98" s="2430"/>
      <c r="L98" s="2430"/>
      <c r="M98" s="2431">
        <v>12729</v>
      </c>
      <c r="N98" s="1229" t="s">
        <v>1910</v>
      </c>
      <c r="O98" s="1925">
        <v>1100000</v>
      </c>
      <c r="P98" s="1189">
        <v>0.05</v>
      </c>
      <c r="Q98" s="2433">
        <f>O98*P98</f>
        <v>55000</v>
      </c>
    </row>
    <row r="99" spans="1:17" ht="15" hidden="1" customHeight="1">
      <c r="A99" s="2821"/>
      <c r="B99" s="2417">
        <v>12758</v>
      </c>
      <c r="C99" s="1205">
        <v>0.1</v>
      </c>
      <c r="D99" s="1229" t="s">
        <v>1911</v>
      </c>
      <c r="E99" s="1600">
        <v>1550000</v>
      </c>
      <c r="F99" s="1363">
        <v>0.1</v>
      </c>
      <c r="G99" s="313">
        <f t="shared" si="4"/>
        <v>155000</v>
      </c>
      <c r="H99" s="2350" t="s">
        <v>1482</v>
      </c>
      <c r="I99" s="2454" t="s">
        <v>133</v>
      </c>
      <c r="J99" s="118"/>
      <c r="K99" s="118"/>
      <c r="L99" s="118"/>
      <c r="M99" s="2432">
        <v>12717</v>
      </c>
      <c r="N99" s="1229" t="s">
        <v>1912</v>
      </c>
      <c r="O99" s="1606">
        <v>750000</v>
      </c>
      <c r="P99" s="1189">
        <v>0.05</v>
      </c>
      <c r="Q99" s="2433">
        <f>O99*P99</f>
        <v>37500</v>
      </c>
    </row>
    <row r="100" spans="1:17" ht="15" hidden="1" customHeight="1">
      <c r="A100" s="2821"/>
      <c r="B100" s="2417">
        <v>12713</v>
      </c>
      <c r="C100" s="1205">
        <v>0.1</v>
      </c>
      <c r="D100" s="1229" t="s">
        <v>1913</v>
      </c>
      <c r="E100" s="1600">
        <v>1400000</v>
      </c>
      <c r="F100" s="1363">
        <v>0.05</v>
      </c>
      <c r="G100" s="313">
        <f t="shared" si="4"/>
        <v>70000</v>
      </c>
      <c r="H100" s="2350" t="s">
        <v>1843</v>
      </c>
      <c r="I100" s="2454" t="s">
        <v>1820</v>
      </c>
      <c r="J100" s="1366"/>
      <c r="K100" s="1747"/>
      <c r="L100" s="1366"/>
      <c r="M100" s="1366"/>
      <c r="N100" s="1747"/>
      <c r="O100" s="1747"/>
      <c r="P100" s="1189"/>
      <c r="Q100" s="2434"/>
    </row>
    <row r="101" spans="1:17" ht="15" hidden="1" customHeight="1">
      <c r="A101" s="2821"/>
      <c r="B101" s="2417">
        <v>12802</v>
      </c>
      <c r="C101" s="1205">
        <v>0.1</v>
      </c>
      <c r="D101" s="1229" t="s">
        <v>1914</v>
      </c>
      <c r="E101" s="1600">
        <v>1600000</v>
      </c>
      <c r="F101" s="1363">
        <v>0.1</v>
      </c>
      <c r="G101" s="313">
        <f t="shared" si="4"/>
        <v>160000</v>
      </c>
      <c r="H101" s="2350" t="s">
        <v>1482</v>
      </c>
      <c r="I101" s="2454" t="s">
        <v>133</v>
      </c>
      <c r="J101" s="1747"/>
      <c r="K101" s="1747"/>
      <c r="L101" s="1747"/>
      <c r="M101" s="1747"/>
      <c r="N101" s="1633"/>
      <c r="O101" s="1509"/>
      <c r="P101" s="1612"/>
      <c r="Q101" s="1032"/>
    </row>
    <row r="102" spans="1:17" ht="15" hidden="1" customHeight="1">
      <c r="A102" s="2821"/>
      <c r="B102" s="2417">
        <v>12868</v>
      </c>
      <c r="C102" s="1205">
        <v>0.1</v>
      </c>
      <c r="D102" s="1229" t="s">
        <v>1915</v>
      </c>
      <c r="E102" s="1600">
        <v>1400000</v>
      </c>
      <c r="F102" s="1363">
        <v>0.1</v>
      </c>
      <c r="G102" s="313">
        <f t="shared" si="4"/>
        <v>140000</v>
      </c>
      <c r="H102" s="2350" t="s">
        <v>1482</v>
      </c>
      <c r="I102" s="2454" t="s">
        <v>1455</v>
      </c>
      <c r="J102" s="1747"/>
      <c r="K102" s="1747"/>
      <c r="L102" s="1747"/>
      <c r="M102" s="1747"/>
      <c r="N102" s="1747"/>
      <c r="O102" s="1509"/>
      <c r="P102" s="1612"/>
      <c r="Q102" s="1032"/>
    </row>
    <row r="103" spans="1:17" ht="15" hidden="1" customHeight="1">
      <c r="A103" s="2821"/>
      <c r="B103" s="2417">
        <v>12829</v>
      </c>
      <c r="C103" s="1205">
        <v>0.1</v>
      </c>
      <c r="D103" s="1229" t="s">
        <v>1916</v>
      </c>
      <c r="E103" s="1600">
        <v>1200000</v>
      </c>
      <c r="F103" s="1363">
        <v>0.05</v>
      </c>
      <c r="G103" s="313">
        <f t="shared" si="4"/>
        <v>60000</v>
      </c>
      <c r="H103" s="2350" t="s">
        <v>1843</v>
      </c>
      <c r="I103" s="2454" t="s">
        <v>133</v>
      </c>
      <c r="J103" s="1747"/>
      <c r="K103" s="1747"/>
      <c r="L103" s="1747"/>
      <c r="M103" s="1747"/>
      <c r="N103" s="1747"/>
      <c r="O103" s="1509"/>
      <c r="P103" s="1612"/>
      <c r="Q103" s="1032"/>
    </row>
    <row r="104" spans="1:17" ht="15" hidden="1" customHeight="1">
      <c r="A104" s="2821"/>
      <c r="B104" s="2417">
        <v>12840</v>
      </c>
      <c r="C104" s="1205">
        <v>0.1</v>
      </c>
      <c r="D104" s="1229" t="s">
        <v>1917</v>
      </c>
      <c r="E104" s="1600">
        <v>1800000</v>
      </c>
      <c r="F104" s="1363">
        <v>0.1</v>
      </c>
      <c r="G104" s="313">
        <f t="shared" si="4"/>
        <v>180000</v>
      </c>
      <c r="H104" s="2350" t="s">
        <v>1482</v>
      </c>
      <c r="I104" s="2454" t="s">
        <v>1820</v>
      </c>
      <c r="J104" s="1747"/>
      <c r="K104" s="1747"/>
      <c r="L104" s="1747"/>
      <c r="M104" s="1747">
        <v>0</v>
      </c>
      <c r="N104" s="1747"/>
      <c r="O104" s="1509"/>
      <c r="P104" s="1612"/>
      <c r="Q104" s="1032"/>
    </row>
    <row r="105" spans="1:17" ht="15" hidden="1" customHeight="1">
      <c r="A105" s="2821"/>
      <c r="B105" s="2420" t="s">
        <v>1855</v>
      </c>
      <c r="C105" s="1210"/>
      <c r="D105" s="1262" t="s">
        <v>1918</v>
      </c>
      <c r="E105" s="1600"/>
      <c r="F105" s="1363"/>
      <c r="G105" s="313"/>
      <c r="H105" s="2350"/>
      <c r="I105" s="2454"/>
      <c r="J105" s="1747"/>
      <c r="K105" s="1747"/>
      <c r="L105" s="1747"/>
      <c r="M105" s="1747"/>
      <c r="N105" s="1747"/>
      <c r="O105" s="1509"/>
      <c r="P105" s="1612"/>
      <c r="Q105" s="2444">
        <f ca="1">SUM(Q97:Q107)</f>
        <v>175000</v>
      </c>
    </row>
    <row r="106" spans="1:17" ht="15.75" hidden="1" customHeight="1">
      <c r="A106" s="2821"/>
      <c r="B106" s="2421" t="s">
        <v>1855</v>
      </c>
      <c r="C106" s="869"/>
      <c r="D106" s="714" t="s">
        <v>1919</v>
      </c>
      <c r="E106" s="1600"/>
      <c r="F106" s="1363"/>
      <c r="G106" s="313"/>
      <c r="H106" s="2350"/>
      <c r="I106" s="2454"/>
      <c r="J106" s="1747"/>
      <c r="K106" s="1747"/>
      <c r="L106" s="1747"/>
      <c r="M106" s="1890"/>
      <c r="N106" s="701"/>
      <c r="O106" s="1901"/>
      <c r="P106" s="1278"/>
      <c r="Q106" s="600"/>
    </row>
    <row r="107" spans="1:17" ht="15.75" hidden="1" customHeight="1">
      <c r="A107" s="2821"/>
      <c r="B107" s="2422"/>
      <c r="C107" s="2347"/>
      <c r="D107" s="1212"/>
      <c r="E107" s="2346"/>
      <c r="F107" s="2318"/>
      <c r="G107" s="619"/>
      <c r="H107" s="2350"/>
      <c r="I107" s="2454"/>
      <c r="J107" s="398"/>
      <c r="K107" s="1626"/>
      <c r="L107" s="398"/>
      <c r="M107" s="2095"/>
      <c r="N107" s="701"/>
      <c r="O107" s="2307"/>
      <c r="P107" s="2531"/>
      <c r="Q107" s="368"/>
    </row>
    <row r="108" spans="1:17" ht="15.75" hidden="1" customHeight="1">
      <c r="A108" s="2821"/>
      <c r="B108" s="2423"/>
      <c r="C108" s="624"/>
      <c r="D108" s="2053" t="s">
        <v>1833</v>
      </c>
      <c r="E108" s="1602">
        <f>SUM(E97:E107)</f>
        <v>11000000</v>
      </c>
      <c r="F108" s="929"/>
      <c r="G108" s="448">
        <f>SUM(G97:G107)</f>
        <v>905000</v>
      </c>
      <c r="H108" s="2351"/>
      <c r="I108" s="2457"/>
      <c r="J108" s="625"/>
      <c r="K108" s="773"/>
      <c r="L108" s="625"/>
      <c r="M108" s="308"/>
      <c r="N108" s="2834" t="s">
        <v>1834</v>
      </c>
      <c r="O108" s="2834"/>
      <c r="P108" s="2834"/>
      <c r="Q108" s="2386">
        <f ca="1">G108+Q105</f>
        <v>0</v>
      </c>
    </row>
    <row r="109" spans="1:17" ht="15" hidden="1" customHeight="1">
      <c r="A109" s="2833"/>
      <c r="B109" s="1899"/>
      <c r="C109" s="1183"/>
      <c r="D109" s="2795" t="s">
        <v>1835</v>
      </c>
      <c r="E109" s="2796"/>
      <c r="F109" s="2797"/>
      <c r="G109" s="11"/>
      <c r="H109" s="1864"/>
      <c r="I109" s="2458"/>
      <c r="J109" s="1183"/>
      <c r="K109" s="816"/>
      <c r="L109" s="1183"/>
      <c r="M109" s="868"/>
      <c r="N109" s="868"/>
      <c r="O109" s="868"/>
      <c r="P109" s="1347"/>
      <c r="Q109" s="11"/>
    </row>
    <row r="110" spans="1:17" ht="15" hidden="1" customHeight="1">
      <c r="A110" s="17"/>
      <c r="B110" s="2329"/>
      <c r="C110" s="17"/>
      <c r="D110" s="1058"/>
      <c r="E110" s="19"/>
      <c r="F110" s="17"/>
      <c r="G110" s="20"/>
      <c r="H110" s="1875"/>
      <c r="I110" s="2172"/>
      <c r="J110" s="17"/>
      <c r="K110" s="18"/>
      <c r="L110" s="17"/>
      <c r="Q110" s="1"/>
    </row>
    <row r="111" spans="1:17" ht="17.25" hidden="1" customHeight="1">
      <c r="A111" s="17"/>
      <c r="B111" s="2329"/>
      <c r="C111" s="17"/>
      <c r="D111" s="1058"/>
      <c r="E111" s="19"/>
      <c r="F111" s="17"/>
      <c r="G111" s="20"/>
      <c r="H111" s="1875"/>
      <c r="I111" s="2172"/>
      <c r="J111" s="17"/>
      <c r="K111" s="18"/>
      <c r="L111" s="17"/>
      <c r="Q111" s="1"/>
    </row>
    <row r="112" spans="1:17" ht="19.5" hidden="1" customHeight="1">
      <c r="A112" s="2835" t="s">
        <v>1836</v>
      </c>
      <c r="B112" s="2835"/>
      <c r="C112" s="2835"/>
      <c r="D112" s="2835"/>
      <c r="E112" s="2835"/>
      <c r="F112" s="2835"/>
      <c r="G112" s="2835"/>
      <c r="H112" s="2836"/>
      <c r="I112" s="2835"/>
      <c r="J112" s="2835"/>
      <c r="K112" s="2835"/>
      <c r="L112" s="2505"/>
      <c r="M112" s="2825" t="s">
        <v>1805</v>
      </c>
      <c r="N112" s="2825"/>
      <c r="O112" s="2825"/>
      <c r="P112" s="2825"/>
      <c r="Q112" s="260"/>
    </row>
    <row r="113" spans="1:17" ht="15" hidden="1" customHeight="1">
      <c r="A113" s="1626" t="s">
        <v>1806</v>
      </c>
      <c r="B113" s="2348" t="s">
        <v>1807</v>
      </c>
      <c r="C113" s="1626" t="s">
        <v>1837</v>
      </c>
      <c r="D113" s="2349" t="s">
        <v>1809</v>
      </c>
      <c r="E113" s="1581" t="s">
        <v>1810</v>
      </c>
      <c r="F113" s="1626" t="s">
        <v>1811</v>
      </c>
      <c r="G113" s="1582" t="s">
        <v>1812</v>
      </c>
      <c r="H113" s="2482" t="s">
        <v>1813</v>
      </c>
      <c r="I113" s="2465" t="s">
        <v>1814</v>
      </c>
      <c r="J113" s="1626"/>
      <c r="K113" s="1626" t="s">
        <v>1815</v>
      </c>
      <c r="L113" s="1626"/>
      <c r="M113" s="1626" t="s">
        <v>1807</v>
      </c>
      <c r="N113" s="1626" t="s">
        <v>1809</v>
      </c>
      <c r="O113" s="1626" t="s">
        <v>1816</v>
      </c>
      <c r="P113" s="2381" t="s">
        <v>1811</v>
      </c>
      <c r="Q113" s="1044" t="s">
        <v>1817</v>
      </c>
    </row>
    <row r="114" spans="1:17" ht="15" hidden="1" customHeight="1">
      <c r="A114" s="2798" t="s">
        <v>1818</v>
      </c>
      <c r="B114" s="2417">
        <v>12687</v>
      </c>
      <c r="C114" s="1205">
        <v>0.1</v>
      </c>
      <c r="D114" s="67" t="s">
        <v>1920</v>
      </c>
      <c r="E114" s="1925">
        <v>1050000</v>
      </c>
      <c r="F114" s="368">
        <v>0.05</v>
      </c>
      <c r="G114" s="313">
        <f t="shared" ref="G114:G125" si="5">E114*F114</f>
        <v>52500</v>
      </c>
      <c r="H114" s="2354" t="s">
        <v>1826</v>
      </c>
      <c r="I114" s="2475" t="s">
        <v>1820</v>
      </c>
      <c r="J114" s="474"/>
      <c r="K114" s="327"/>
      <c r="L114" s="474"/>
      <c r="M114" s="2417">
        <v>12713</v>
      </c>
      <c r="N114" s="1229" t="s">
        <v>1913</v>
      </c>
      <c r="O114" s="1600">
        <v>1400000</v>
      </c>
      <c r="P114" s="1189">
        <v>0.05</v>
      </c>
      <c r="Q114" s="2397">
        <f>O114*P114</f>
        <v>70000</v>
      </c>
    </row>
    <row r="115" spans="1:17" ht="15" hidden="1" customHeight="1">
      <c r="A115" s="2799"/>
      <c r="B115" s="2417">
        <v>12703</v>
      </c>
      <c r="C115" s="1205">
        <v>0.1</v>
      </c>
      <c r="D115" s="67" t="s">
        <v>1921</v>
      </c>
      <c r="E115" s="1925">
        <v>1200000</v>
      </c>
      <c r="F115" s="368">
        <v>0.05</v>
      </c>
      <c r="G115" s="313">
        <f t="shared" si="5"/>
        <v>60000</v>
      </c>
      <c r="H115" s="2354" t="s">
        <v>1826</v>
      </c>
      <c r="I115" s="2475" t="s">
        <v>1820</v>
      </c>
      <c r="J115" s="474"/>
      <c r="K115" s="327"/>
      <c r="L115" s="474"/>
      <c r="M115" s="2417">
        <v>12829</v>
      </c>
      <c r="N115" s="1229" t="s">
        <v>1916</v>
      </c>
      <c r="O115" s="1600">
        <v>1200000</v>
      </c>
      <c r="P115" s="1189">
        <v>0.05</v>
      </c>
      <c r="Q115" s="2397">
        <f>O115*P115</f>
        <v>60000</v>
      </c>
    </row>
    <row r="116" spans="1:17" ht="15" hidden="1" customHeight="1">
      <c r="A116" s="2799"/>
      <c r="B116" s="2417">
        <v>12727</v>
      </c>
      <c r="C116" s="1205">
        <v>0.1</v>
      </c>
      <c r="D116" s="67" t="s">
        <v>1922</v>
      </c>
      <c r="E116" s="1925">
        <v>750000</v>
      </c>
      <c r="F116" s="368">
        <v>0.1</v>
      </c>
      <c r="G116" s="313">
        <f t="shared" si="5"/>
        <v>75000</v>
      </c>
      <c r="H116" s="2354" t="s">
        <v>1843</v>
      </c>
      <c r="I116" s="2475" t="s">
        <v>1455</v>
      </c>
      <c r="J116" s="308"/>
      <c r="K116" s="327"/>
      <c r="L116" s="308"/>
      <c r="M116" s="1747"/>
      <c r="N116" s="1747"/>
      <c r="O116" s="1747"/>
      <c r="P116" s="1189"/>
      <c r="Q116" s="51"/>
    </row>
    <row r="117" spans="1:17" ht="15" hidden="1" customHeight="1">
      <c r="A117" s="2799"/>
      <c r="B117" s="2417">
        <v>12713</v>
      </c>
      <c r="C117" s="1205">
        <v>0.1</v>
      </c>
      <c r="D117" s="1229" t="s">
        <v>1923</v>
      </c>
      <c r="E117" s="1925">
        <v>1300000</v>
      </c>
      <c r="F117" s="368">
        <v>0.1</v>
      </c>
      <c r="G117" s="313">
        <f t="shared" si="5"/>
        <v>130000</v>
      </c>
      <c r="H117" s="2354" t="s">
        <v>1843</v>
      </c>
      <c r="I117" s="2475" t="s">
        <v>1820</v>
      </c>
      <c r="J117" s="308"/>
      <c r="K117" s="327"/>
      <c r="L117" s="308"/>
      <c r="M117" s="1747"/>
      <c r="N117" s="1747"/>
      <c r="O117" s="1747"/>
      <c r="P117" s="1189"/>
      <c r="Q117" s="51"/>
    </row>
    <row r="118" spans="1:17" ht="15" hidden="1" customHeight="1">
      <c r="A118" s="2799"/>
      <c r="B118" s="2413">
        <v>12729</v>
      </c>
      <c r="C118" s="1205">
        <v>0.1</v>
      </c>
      <c r="D118" s="1442" t="s">
        <v>1924</v>
      </c>
      <c r="E118" s="2387">
        <v>1150000</v>
      </c>
      <c r="F118" s="600">
        <v>0.05</v>
      </c>
      <c r="G118" s="313">
        <f t="shared" si="5"/>
        <v>57500</v>
      </c>
      <c r="H118" s="2388" t="s">
        <v>1482</v>
      </c>
      <c r="I118" s="2476" t="s">
        <v>133</v>
      </c>
      <c r="J118" s="308"/>
      <c r="K118" s="327"/>
      <c r="L118" s="308"/>
      <c r="M118" s="1747"/>
      <c r="N118" s="1747"/>
      <c r="O118" s="1747"/>
      <c r="P118" s="1189"/>
      <c r="Q118" s="51"/>
    </row>
    <row r="119" spans="1:17" ht="15" hidden="1" customHeight="1">
      <c r="A119" s="2799"/>
      <c r="B119" s="2418">
        <v>12740</v>
      </c>
      <c r="C119" s="2426">
        <v>0.08</v>
      </c>
      <c r="D119" s="67" t="s">
        <v>1925</v>
      </c>
      <c r="E119" s="1596">
        <v>1150000</v>
      </c>
      <c r="F119" s="2428">
        <v>0.08</v>
      </c>
      <c r="G119" s="313">
        <f t="shared" si="5"/>
        <v>92000</v>
      </c>
      <c r="H119" s="1854" t="s">
        <v>1843</v>
      </c>
      <c r="I119" s="2475" t="s">
        <v>1455</v>
      </c>
      <c r="J119" s="308"/>
      <c r="K119" s="327"/>
      <c r="L119" s="308"/>
      <c r="M119" s="1747"/>
      <c r="N119" s="1747"/>
      <c r="O119" s="1747"/>
      <c r="P119" s="1189"/>
      <c r="Q119" s="51"/>
    </row>
    <row r="120" spans="1:17" ht="15" hidden="1" customHeight="1">
      <c r="A120" s="2799"/>
      <c r="B120" s="2407">
        <v>12779</v>
      </c>
      <c r="C120" s="1205">
        <v>0.1</v>
      </c>
      <c r="D120" s="67" t="s">
        <v>1926</v>
      </c>
      <c r="E120" s="1596">
        <v>1150000</v>
      </c>
      <c r="F120" s="600">
        <v>0.05</v>
      </c>
      <c r="G120" s="313">
        <f t="shared" si="5"/>
        <v>57500</v>
      </c>
      <c r="H120" s="1854" t="s">
        <v>1826</v>
      </c>
      <c r="I120" s="2475" t="s">
        <v>1820</v>
      </c>
      <c r="J120" s="308"/>
      <c r="K120" s="327"/>
      <c r="L120" s="308"/>
      <c r="M120" s="1747"/>
      <c r="N120" s="1747"/>
      <c r="O120" s="1747"/>
      <c r="P120" s="1189"/>
      <c r="Q120" s="51"/>
    </row>
    <row r="121" spans="1:17" ht="15" hidden="1" customHeight="1">
      <c r="A121" s="2799"/>
      <c r="B121" s="2407">
        <v>12764</v>
      </c>
      <c r="C121" s="2426">
        <v>0.08</v>
      </c>
      <c r="D121" s="67" t="s">
        <v>1927</v>
      </c>
      <c r="E121" s="1596">
        <v>1200000</v>
      </c>
      <c r="F121" s="2428">
        <v>0.08</v>
      </c>
      <c r="G121" s="313">
        <f t="shared" si="5"/>
        <v>96000</v>
      </c>
      <c r="H121" s="1854" t="s">
        <v>1843</v>
      </c>
      <c r="I121" s="2475" t="s">
        <v>1820</v>
      </c>
      <c r="J121" s="308"/>
      <c r="K121" s="327"/>
      <c r="L121" s="308"/>
      <c r="M121" s="1747"/>
      <c r="N121" s="1747"/>
      <c r="O121" s="1747"/>
      <c r="P121" s="1189"/>
      <c r="Q121" s="51"/>
    </row>
    <row r="122" spans="1:17" ht="15" hidden="1" customHeight="1">
      <c r="A122" s="2799"/>
      <c r="B122" s="2414">
        <v>12794</v>
      </c>
      <c r="C122" s="1205">
        <v>0.1</v>
      </c>
      <c r="D122" s="67" t="s">
        <v>1928</v>
      </c>
      <c r="E122" s="1596">
        <v>750000</v>
      </c>
      <c r="F122" s="368">
        <v>0.1</v>
      </c>
      <c r="G122" s="313">
        <f t="shared" si="5"/>
        <v>75000</v>
      </c>
      <c r="H122" s="1854" t="s">
        <v>1843</v>
      </c>
      <c r="I122" s="2475" t="s">
        <v>1820</v>
      </c>
      <c r="J122" s="308"/>
      <c r="K122" s="327"/>
      <c r="L122" s="308"/>
      <c r="M122" s="1747"/>
      <c r="N122" s="1747"/>
      <c r="O122" s="1747"/>
      <c r="P122" s="1189"/>
      <c r="Q122" s="51"/>
    </row>
    <row r="123" spans="1:17" ht="15" hidden="1" customHeight="1">
      <c r="A123" s="2799"/>
      <c r="B123" s="2418">
        <v>12882</v>
      </c>
      <c r="C123" s="1205">
        <v>0.1</v>
      </c>
      <c r="D123" s="67" t="s">
        <v>1929</v>
      </c>
      <c r="E123" s="1596">
        <v>850000</v>
      </c>
      <c r="F123" s="368">
        <v>0.05</v>
      </c>
      <c r="G123" s="313">
        <f t="shared" si="5"/>
        <v>42500</v>
      </c>
      <c r="H123" s="1854" t="s">
        <v>1826</v>
      </c>
      <c r="I123" s="2475" t="s">
        <v>1455</v>
      </c>
      <c r="J123" s="308"/>
      <c r="K123" s="327"/>
      <c r="L123" s="308"/>
      <c r="M123" s="1747"/>
      <c r="N123" s="1747"/>
      <c r="O123" s="1747"/>
      <c r="P123" s="1189"/>
      <c r="Q123" s="51"/>
    </row>
    <row r="124" spans="1:17" ht="15" hidden="1" customHeight="1">
      <c r="A124" s="2799"/>
      <c r="B124" s="2407">
        <v>12873</v>
      </c>
      <c r="C124" s="1205">
        <v>0.1</v>
      </c>
      <c r="D124" s="67" t="s">
        <v>1930</v>
      </c>
      <c r="E124" s="1596">
        <v>1300000</v>
      </c>
      <c r="F124" s="600">
        <v>0.05</v>
      </c>
      <c r="G124" s="313">
        <f t="shared" si="5"/>
        <v>65000</v>
      </c>
      <c r="H124" s="1854" t="s">
        <v>1826</v>
      </c>
      <c r="I124" s="2475" t="s">
        <v>1820</v>
      </c>
      <c r="J124" s="308"/>
      <c r="K124" s="327"/>
      <c r="L124" s="308"/>
      <c r="M124" s="1747"/>
      <c r="N124" s="1747"/>
      <c r="O124" s="1747"/>
      <c r="P124" s="1189"/>
      <c r="Q124" s="51"/>
    </row>
    <row r="125" spans="1:17" ht="15" hidden="1" customHeight="1">
      <c r="A125" s="2799"/>
      <c r="B125" s="2414">
        <v>12900</v>
      </c>
      <c r="C125" s="1701">
        <v>0.1</v>
      </c>
      <c r="D125" s="67" t="s">
        <v>1931</v>
      </c>
      <c r="E125" s="1596">
        <v>900000</v>
      </c>
      <c r="F125" s="600">
        <v>0.05</v>
      </c>
      <c r="G125" s="313">
        <f t="shared" si="5"/>
        <v>45000</v>
      </c>
      <c r="H125" s="1854" t="s">
        <v>1141</v>
      </c>
      <c r="I125" s="2475" t="s">
        <v>133</v>
      </c>
      <c r="J125" s="2520"/>
      <c r="K125" s="1346"/>
      <c r="L125" s="2520"/>
      <c r="M125" s="1747"/>
      <c r="N125" s="1747"/>
      <c r="O125" s="1747"/>
      <c r="P125" s="1189"/>
      <c r="Q125" s="51"/>
    </row>
    <row r="126" spans="1:17" ht="24.75" hidden="1" customHeight="1">
      <c r="A126" s="2799"/>
      <c r="B126" s="2419" t="s">
        <v>1855</v>
      </c>
      <c r="C126" s="687"/>
      <c r="D126" s="1262" t="s">
        <v>1932</v>
      </c>
      <c r="E126" s="1596"/>
      <c r="F126" s="1487"/>
      <c r="G126" s="290"/>
      <c r="H126" s="2354"/>
      <c r="I126" s="2456" t="s">
        <v>217</v>
      </c>
      <c r="J126" s="308"/>
      <c r="K126" s="327"/>
      <c r="L126" s="308"/>
      <c r="M126" s="2393"/>
      <c r="N126" s="2393"/>
      <c r="O126" s="2393"/>
      <c r="P126" s="1688"/>
      <c r="Q126" s="2445">
        <v>130000</v>
      </c>
    </row>
    <row r="127" spans="1:17" ht="15" hidden="1" customHeight="1">
      <c r="A127" s="2799"/>
      <c r="B127" s="2420" t="s">
        <v>1933</v>
      </c>
      <c r="C127" s="1210"/>
      <c r="D127" s="1262" t="s">
        <v>1934</v>
      </c>
      <c r="E127" s="1925"/>
      <c r="F127" s="368"/>
      <c r="G127" s="940"/>
      <c r="H127" s="2354"/>
      <c r="I127" s="2475" t="s">
        <v>1455</v>
      </c>
      <c r="J127" s="308"/>
      <c r="K127" s="327"/>
      <c r="L127" s="308"/>
      <c r="M127" s="1747"/>
      <c r="N127" s="1747"/>
      <c r="O127" s="1747"/>
      <c r="P127" s="1189"/>
      <c r="Q127" s="51"/>
    </row>
    <row r="128" spans="1:17" ht="15" hidden="1" customHeight="1">
      <c r="A128" s="2799"/>
      <c r="B128" s="2016"/>
      <c r="C128" s="675"/>
      <c r="D128" s="1144" t="s">
        <v>1833</v>
      </c>
      <c r="E128" s="2389">
        <f>SUM(E114:E127)</f>
        <v>12750000</v>
      </c>
      <c r="F128" s="1547"/>
      <c r="G128" s="2390">
        <f>SUM(G114:G127)</f>
        <v>848000</v>
      </c>
      <c r="H128" s="2016"/>
      <c r="I128" s="2477"/>
      <c r="J128" s="788"/>
      <c r="K128" s="2391"/>
      <c r="L128" s="788"/>
      <c r="M128" s="1439"/>
      <c r="N128" s="2794" t="s">
        <v>1859</v>
      </c>
      <c r="O128" s="2794"/>
      <c r="P128" s="2794"/>
      <c r="Q128" s="2446">
        <f>G128+Q126</f>
        <v>978000</v>
      </c>
    </row>
    <row r="129" spans="1:19" ht="15" hidden="1" customHeight="1">
      <c r="A129" s="2800"/>
      <c r="B129" s="1864"/>
      <c r="C129" s="789"/>
      <c r="D129" s="2795" t="s">
        <v>1835</v>
      </c>
      <c r="E129" s="2796"/>
      <c r="F129" s="2796"/>
      <c r="H129" s="2353"/>
      <c r="I129" s="2461"/>
      <c r="J129" s="2519"/>
      <c r="K129" s="482"/>
      <c r="L129" s="2519"/>
      <c r="M129" s="453"/>
      <c r="N129" s="938"/>
      <c r="O129" s="938"/>
      <c r="P129" s="2034"/>
      <c r="Q129" s="455"/>
    </row>
    <row r="130" spans="1:19" ht="15" hidden="1" customHeight="1">
      <c r="A130" s="790"/>
      <c r="B130" s="1875"/>
      <c r="C130" s="456"/>
      <c r="D130" s="1091"/>
      <c r="E130" s="458"/>
      <c r="F130" s="456"/>
      <c r="G130" s="459"/>
      <c r="H130" s="1872"/>
      <c r="I130" s="2462"/>
      <c r="J130" s="456"/>
      <c r="K130" s="457"/>
      <c r="L130" s="456"/>
      <c r="M130" s="460"/>
      <c r="N130" s="461"/>
      <c r="O130" s="461"/>
      <c r="P130" s="2528"/>
      <c r="Q130" s="455"/>
      <c r="S130" t="s">
        <v>1935</v>
      </c>
    </row>
    <row r="131" spans="1:19" ht="15" hidden="1" customHeight="1">
      <c r="A131" s="790"/>
      <c r="B131" s="1875"/>
      <c r="C131" s="799"/>
      <c r="D131" s="1145"/>
      <c r="E131" s="801"/>
      <c r="F131" s="799"/>
      <c r="G131" s="802"/>
      <c r="H131" s="1875"/>
      <c r="I131" s="2463"/>
      <c r="J131" s="799"/>
      <c r="K131" s="800"/>
      <c r="L131" s="799"/>
      <c r="M131" s="803"/>
      <c r="N131" s="804"/>
      <c r="O131" s="804"/>
      <c r="P131" s="2529"/>
      <c r="Q131" s="805"/>
    </row>
    <row r="132" spans="1:19" ht="21" hidden="1" customHeight="1">
      <c r="A132" s="2809" t="s">
        <v>1860</v>
      </c>
      <c r="B132" s="2809"/>
      <c r="C132" s="2809"/>
      <c r="D132" s="2809"/>
      <c r="E132" s="2809"/>
      <c r="F132" s="2809"/>
      <c r="G132" s="2809"/>
      <c r="H132" s="2810"/>
      <c r="I132" s="2809"/>
      <c r="J132" s="2809"/>
      <c r="K132" s="2809"/>
      <c r="L132" s="2501"/>
      <c r="M132" s="2811" t="s">
        <v>1805</v>
      </c>
      <c r="N132" s="2811"/>
      <c r="O132" s="2811"/>
      <c r="P132" s="2811"/>
      <c r="Q132" s="2"/>
    </row>
    <row r="133" spans="1:19" ht="15" hidden="1" customHeight="1">
      <c r="A133" s="783" t="s">
        <v>1806</v>
      </c>
      <c r="B133" s="1879" t="s">
        <v>1807</v>
      </c>
      <c r="C133" s="3" t="s">
        <v>1837</v>
      </c>
      <c r="D133" s="1059" t="s">
        <v>1809</v>
      </c>
      <c r="E133" s="779" t="s">
        <v>1810</v>
      </c>
      <c r="F133" s="1634" t="s">
        <v>1811</v>
      </c>
      <c r="G133" s="167" t="s">
        <v>1812</v>
      </c>
      <c r="H133" s="2480" t="s">
        <v>1813</v>
      </c>
      <c r="I133" s="2218" t="s">
        <v>1814</v>
      </c>
      <c r="J133" s="1634"/>
      <c r="K133" s="1634" t="s">
        <v>1815</v>
      </c>
      <c r="L133" s="1634"/>
      <c r="M133" s="1626" t="s">
        <v>1807</v>
      </c>
      <c r="N133" s="1626" t="s">
        <v>1809</v>
      </c>
      <c r="O133" s="1626" t="s">
        <v>1816</v>
      </c>
      <c r="P133" s="2381" t="s">
        <v>1811</v>
      </c>
      <c r="Q133" s="260" t="s">
        <v>1817</v>
      </c>
    </row>
    <row r="134" spans="1:19" ht="15" hidden="1" customHeight="1">
      <c r="A134" s="2798" t="s">
        <v>1818</v>
      </c>
      <c r="B134" s="2411">
        <v>12717</v>
      </c>
      <c r="C134" s="1205">
        <v>0.1</v>
      </c>
      <c r="D134" s="518" t="s">
        <v>1912</v>
      </c>
      <c r="E134" s="2302">
        <v>750000</v>
      </c>
      <c r="F134" s="2381">
        <v>0.05</v>
      </c>
      <c r="G134" s="313">
        <f>E134*F134</f>
        <v>37500</v>
      </c>
      <c r="H134" s="2482" t="s">
        <v>1482</v>
      </c>
      <c r="I134" s="2465" t="s">
        <v>1455</v>
      </c>
      <c r="J134" s="398"/>
      <c r="K134" s="1626"/>
      <c r="L134" s="398"/>
      <c r="M134" s="2417">
        <v>12687</v>
      </c>
      <c r="N134" s="67" t="s">
        <v>1920</v>
      </c>
      <c r="O134" s="1925">
        <v>1050000</v>
      </c>
      <c r="P134" s="1189">
        <v>0.05</v>
      </c>
      <c r="Q134" s="2397">
        <f>O134*P134</f>
        <v>52500</v>
      </c>
    </row>
    <row r="135" spans="1:19" ht="15" hidden="1" customHeight="1">
      <c r="A135" s="2799"/>
      <c r="B135" s="2411">
        <v>12812</v>
      </c>
      <c r="C135" s="1205">
        <v>0.1</v>
      </c>
      <c r="D135" s="431" t="s">
        <v>1936</v>
      </c>
      <c r="E135" s="1606">
        <v>1300000</v>
      </c>
      <c r="F135" s="1189">
        <v>0.06</v>
      </c>
      <c r="G135" s="313">
        <f>E135*F135</f>
        <v>78000</v>
      </c>
      <c r="H135" s="2481" t="s">
        <v>118</v>
      </c>
      <c r="I135" s="2250" t="s">
        <v>1820</v>
      </c>
      <c r="J135" s="64"/>
      <c r="K135" s="1747"/>
      <c r="L135" s="64"/>
      <c r="M135" s="2417">
        <v>12703</v>
      </c>
      <c r="N135" s="67" t="s">
        <v>1921</v>
      </c>
      <c r="O135" s="1925">
        <v>1200000</v>
      </c>
      <c r="P135" s="1189">
        <v>0.05</v>
      </c>
      <c r="Q135" s="2397">
        <f t="shared" ref="Q135:Q137" si="6">O135*P135</f>
        <v>60000</v>
      </c>
    </row>
    <row r="136" spans="1:19" ht="15" hidden="1" customHeight="1">
      <c r="A136" s="2799"/>
      <c r="B136" s="2412">
        <v>12811</v>
      </c>
      <c r="C136" s="1205">
        <v>0.1</v>
      </c>
      <c r="D136" s="431" t="s">
        <v>1937</v>
      </c>
      <c r="E136" s="1606">
        <v>970000</v>
      </c>
      <c r="F136" s="1189">
        <v>0.05</v>
      </c>
      <c r="G136" s="313">
        <f>E136*F136</f>
        <v>48500</v>
      </c>
      <c r="H136" s="2481" t="s">
        <v>1938</v>
      </c>
      <c r="I136" s="2250" t="s">
        <v>1455</v>
      </c>
      <c r="J136" s="64"/>
      <c r="K136" s="1747"/>
      <c r="L136" s="64"/>
      <c r="M136" s="2407">
        <v>12779</v>
      </c>
      <c r="N136" s="67" t="s">
        <v>1926</v>
      </c>
      <c r="O136" s="1596">
        <v>1150000</v>
      </c>
      <c r="P136" s="1189">
        <v>0.05</v>
      </c>
      <c r="Q136" s="2397">
        <f t="shared" si="6"/>
        <v>57500</v>
      </c>
    </row>
    <row r="137" spans="1:19" ht="15" hidden="1" customHeight="1">
      <c r="A137" s="2799"/>
      <c r="B137" s="2413">
        <v>12869</v>
      </c>
      <c r="C137" s="1205">
        <v>0.1</v>
      </c>
      <c r="D137" s="1442" t="s">
        <v>1939</v>
      </c>
      <c r="E137" s="1606">
        <v>1100000</v>
      </c>
      <c r="F137" s="1189">
        <v>0.1</v>
      </c>
      <c r="G137" s="313">
        <f>E137*F137</f>
        <v>110000</v>
      </c>
      <c r="H137" s="2481" t="s">
        <v>1826</v>
      </c>
      <c r="I137" s="2250" t="s">
        <v>133</v>
      </c>
      <c r="J137" s="398"/>
      <c r="K137" s="1747"/>
      <c r="L137" s="398"/>
      <c r="M137" s="2436">
        <v>12873</v>
      </c>
      <c r="N137" s="1257" t="s">
        <v>1930</v>
      </c>
      <c r="O137" s="1596">
        <v>1300000</v>
      </c>
      <c r="P137" s="1189">
        <v>0.05</v>
      </c>
      <c r="Q137" s="2397">
        <f t="shared" si="6"/>
        <v>65000</v>
      </c>
    </row>
    <row r="138" spans="1:19" ht="15" hidden="1" customHeight="1">
      <c r="A138" s="2799"/>
      <c r="B138" s="2414">
        <v>12880</v>
      </c>
      <c r="C138" s="1205">
        <v>0.1</v>
      </c>
      <c r="D138" s="1442" t="s">
        <v>1940</v>
      </c>
      <c r="E138" s="2398">
        <v>1100000</v>
      </c>
      <c r="F138" s="2381">
        <v>0.1</v>
      </c>
      <c r="G138" s="313">
        <f>E138*F138</f>
        <v>110000</v>
      </c>
      <c r="H138" s="2482" t="s">
        <v>1826</v>
      </c>
      <c r="I138" s="2465" t="s">
        <v>1820</v>
      </c>
      <c r="J138" s="771"/>
      <c r="K138" s="1273"/>
      <c r="L138" s="771"/>
      <c r="M138" s="2439">
        <v>12882</v>
      </c>
      <c r="N138" s="67" t="s">
        <v>1929</v>
      </c>
      <c r="O138" s="1596">
        <v>850000</v>
      </c>
      <c r="P138" s="1688">
        <v>0.05</v>
      </c>
      <c r="Q138" s="2397">
        <f>O138*P138</f>
        <v>42500</v>
      </c>
    </row>
    <row r="139" spans="1:19" ht="15" hidden="1" customHeight="1">
      <c r="A139" s="2799"/>
      <c r="B139" s="2415" t="s">
        <v>1933</v>
      </c>
      <c r="C139" s="2395"/>
      <c r="D139" s="1219" t="s">
        <v>1941</v>
      </c>
      <c r="E139" s="1606"/>
      <c r="F139" s="1747"/>
      <c r="G139" s="807"/>
      <c r="H139" s="2481"/>
      <c r="I139" s="2250" t="s">
        <v>1820</v>
      </c>
      <c r="J139" s="1452"/>
      <c r="K139" s="118" t="s">
        <v>1942</v>
      </c>
      <c r="L139" s="1452"/>
      <c r="M139" s="2418">
        <v>12882</v>
      </c>
      <c r="N139" s="67" t="s">
        <v>1929</v>
      </c>
      <c r="O139" s="1596">
        <v>850000</v>
      </c>
      <c r="P139" s="1688">
        <v>0.05</v>
      </c>
      <c r="Q139" s="2397">
        <f>O139*P139</f>
        <v>42500</v>
      </c>
    </row>
    <row r="140" spans="1:19" ht="15" hidden="1" customHeight="1">
      <c r="A140" s="2799"/>
      <c r="B140" s="2416" t="s">
        <v>1830</v>
      </c>
      <c r="C140" s="2321"/>
      <c r="D140" s="1219" t="s">
        <v>1943</v>
      </c>
      <c r="E140" s="1596"/>
      <c r="F140" s="1714"/>
      <c r="G140" s="368"/>
      <c r="H140" s="1854"/>
      <c r="I140" s="2223" t="s">
        <v>133</v>
      </c>
      <c r="J140" s="118"/>
      <c r="K140" s="118" t="s">
        <v>1944</v>
      </c>
      <c r="L140" s="118"/>
      <c r="M140" s="1747"/>
      <c r="N140" s="1648"/>
      <c r="O140" s="1996"/>
      <c r="P140" s="520"/>
      <c r="Q140" s="821">
        <f ca="1">SUM(Q134:Q140)</f>
        <v>320000</v>
      </c>
    </row>
    <row r="141" spans="1:19" ht="15" hidden="1" customHeight="1">
      <c r="A141" s="2799"/>
      <c r="B141" s="1897"/>
      <c r="C141" s="2301"/>
      <c r="D141" s="1089" t="s">
        <v>1833</v>
      </c>
      <c r="E141" s="1599">
        <f>SUM(E134:E140)</f>
        <v>5220000</v>
      </c>
      <c r="F141" s="506"/>
      <c r="G141" s="475">
        <f>SUM(G134:G140)</f>
        <v>384000</v>
      </c>
      <c r="H141" s="1861"/>
      <c r="I141" s="2460"/>
      <c r="J141" s="1547"/>
      <c r="K141" s="334"/>
      <c r="L141" s="1547"/>
      <c r="M141" s="868"/>
      <c r="N141" s="2846" t="s">
        <v>1859</v>
      </c>
      <c r="O141" s="2846"/>
      <c r="P141" s="2846"/>
      <c r="Q141" s="2447">
        <f ca="1">G141+Q140</f>
        <v>704000</v>
      </c>
    </row>
    <row r="142" spans="1:19" ht="15.75" hidden="1" customHeight="1">
      <c r="A142" s="2800"/>
      <c r="B142" s="1864"/>
      <c r="C142" s="813"/>
      <c r="D142" s="2795" t="s">
        <v>1835</v>
      </c>
      <c r="E142" s="2796"/>
      <c r="F142" s="2796"/>
      <c r="H142" s="1865"/>
      <c r="I142" s="2466"/>
      <c r="J142" s="1183"/>
      <c r="K142" s="2305"/>
      <c r="L142" s="1183"/>
      <c r="M142" s="868"/>
      <c r="N142" s="817"/>
      <c r="O142" s="817"/>
      <c r="P142" s="2044"/>
      <c r="Q142" s="286"/>
    </row>
    <row r="143" spans="1:19" ht="15.6" hidden="1">
      <c r="A143" s="790"/>
      <c r="B143" s="1872"/>
      <c r="C143" s="456"/>
      <c r="D143" s="1091"/>
      <c r="E143" s="458"/>
      <c r="F143" s="456"/>
      <c r="G143" s="459"/>
      <c r="H143" s="1872"/>
      <c r="I143" s="2462"/>
      <c r="J143" s="456"/>
      <c r="K143" s="457"/>
      <c r="L143" s="456"/>
      <c r="M143" s="460"/>
      <c r="N143" s="461"/>
      <c r="O143" s="461"/>
      <c r="P143" s="2528"/>
      <c r="Q143" s="455"/>
    </row>
    <row r="144" spans="1:19" ht="15.6" hidden="1">
      <c r="A144" s="790"/>
      <c r="B144" s="1875"/>
      <c r="C144" s="799"/>
      <c r="D144" s="1145"/>
      <c r="E144" s="801"/>
      <c r="F144" s="799"/>
      <c r="G144" s="802"/>
      <c r="H144" s="1875"/>
      <c r="I144" s="2463"/>
      <c r="J144" s="799"/>
      <c r="K144" s="800"/>
      <c r="L144" s="799"/>
      <c r="M144" s="803"/>
      <c r="N144" s="804"/>
      <c r="O144" s="804"/>
      <c r="P144" s="2529"/>
      <c r="Q144" s="805"/>
    </row>
    <row r="145" spans="1:17" ht="21" hidden="1">
      <c r="A145" s="2847" t="s">
        <v>1875</v>
      </c>
      <c r="B145" s="2847"/>
      <c r="C145" s="2847"/>
      <c r="D145" s="2847"/>
      <c r="E145" s="2847"/>
      <c r="F145" s="2847"/>
      <c r="G145" s="2847"/>
      <c r="H145" s="2848"/>
      <c r="I145" s="2847"/>
      <c r="J145" s="2847"/>
      <c r="K145" s="2847"/>
      <c r="L145" s="2499"/>
      <c r="M145" s="279"/>
      <c r="N145" s="818"/>
      <c r="O145" s="818"/>
      <c r="P145" s="2530"/>
      <c r="Q145" s="286"/>
    </row>
    <row r="146" spans="1:17" hidden="1">
      <c r="A146" s="1634" t="s">
        <v>1806</v>
      </c>
      <c r="B146" s="1878" t="s">
        <v>1807</v>
      </c>
      <c r="C146" s="3" t="s">
        <v>1837</v>
      </c>
      <c r="D146" s="1059" t="s">
        <v>1809</v>
      </c>
      <c r="E146" s="4" t="s">
        <v>1810</v>
      </c>
      <c r="F146" s="3" t="s">
        <v>1811</v>
      </c>
      <c r="G146" s="5" t="s">
        <v>1812</v>
      </c>
      <c r="H146" s="2485" t="s">
        <v>1813</v>
      </c>
      <c r="I146" s="2171" t="s">
        <v>1814</v>
      </c>
      <c r="J146" s="783"/>
      <c r="K146" s="23" t="s">
        <v>1815</v>
      </c>
      <c r="L146" s="783"/>
      <c r="M146" s="1626" t="s">
        <v>1807</v>
      </c>
      <c r="N146" s="1626" t="s">
        <v>1809</v>
      </c>
      <c r="O146" s="1626" t="s">
        <v>1816</v>
      </c>
      <c r="P146" s="2381" t="s">
        <v>1811</v>
      </c>
      <c r="Q146" s="2" t="s">
        <v>1817</v>
      </c>
    </row>
    <row r="147" spans="1:17" ht="15" hidden="1" customHeight="1">
      <c r="A147" s="2798" t="s">
        <v>1818</v>
      </c>
      <c r="B147" s="2405">
        <v>12695</v>
      </c>
      <c r="C147" s="1205">
        <v>0.1</v>
      </c>
      <c r="D147" s="1229" t="s">
        <v>1945</v>
      </c>
      <c r="E147" s="1848">
        <v>1200000</v>
      </c>
      <c r="F147" s="1889">
        <v>0.1</v>
      </c>
      <c r="G147" s="313">
        <f t="shared" ref="G147:G153" si="7">E147*F147</f>
        <v>120000</v>
      </c>
      <c r="H147" s="1850" t="s">
        <v>1946</v>
      </c>
      <c r="I147" s="2468" t="s">
        <v>133</v>
      </c>
      <c r="J147" s="1273"/>
      <c r="K147" s="118"/>
      <c r="L147" s="1273"/>
      <c r="M147" s="840">
        <v>12719</v>
      </c>
      <c r="N147" s="840" t="s">
        <v>1947</v>
      </c>
      <c r="O147" s="1848">
        <v>1380000</v>
      </c>
      <c r="P147" s="1189">
        <v>0.05</v>
      </c>
      <c r="Q147" s="2397">
        <f>O147*P147</f>
        <v>69000</v>
      </c>
    </row>
    <row r="148" spans="1:17" ht="15" hidden="1" customHeight="1">
      <c r="A148" s="2799"/>
      <c r="B148" s="2406">
        <v>12739</v>
      </c>
      <c r="C148" s="1205">
        <v>0.1</v>
      </c>
      <c r="D148" s="67" t="s">
        <v>1948</v>
      </c>
      <c r="E148" s="1851">
        <v>1000000</v>
      </c>
      <c r="F148" s="1852">
        <v>0.05</v>
      </c>
      <c r="G148" s="313">
        <f t="shared" si="7"/>
        <v>50000</v>
      </c>
      <c r="H148" s="1854" t="s">
        <v>1938</v>
      </c>
      <c r="I148" s="2467" t="s">
        <v>1820</v>
      </c>
      <c r="J148" s="1273"/>
      <c r="K148" s="118"/>
      <c r="L148" s="1273"/>
      <c r="M148" s="2442">
        <v>10899</v>
      </c>
      <c r="N148" s="518" t="s">
        <v>1949</v>
      </c>
      <c r="O148" s="1848">
        <v>1000000</v>
      </c>
      <c r="P148" s="1189">
        <v>0.05</v>
      </c>
      <c r="Q148" s="2397">
        <f>O148*P148</f>
        <v>50000</v>
      </c>
    </row>
    <row r="149" spans="1:17" ht="15" hidden="1" customHeight="1">
      <c r="A149" s="2799"/>
      <c r="B149" s="2406">
        <v>12738</v>
      </c>
      <c r="C149" s="1205">
        <v>0.1</v>
      </c>
      <c r="D149" s="132" t="s">
        <v>1950</v>
      </c>
      <c r="E149" s="1851">
        <v>1200000</v>
      </c>
      <c r="F149" s="1852">
        <v>0.1</v>
      </c>
      <c r="G149" s="313">
        <f t="shared" si="7"/>
        <v>120000</v>
      </c>
      <c r="H149" s="1854" t="s">
        <v>1946</v>
      </c>
      <c r="I149" s="2467" t="s">
        <v>1455</v>
      </c>
      <c r="J149" s="118"/>
      <c r="K149" s="118"/>
      <c r="L149" s="118"/>
      <c r="M149" s="1747"/>
      <c r="N149" s="1747"/>
      <c r="O149" s="1747"/>
      <c r="P149" s="1189"/>
      <c r="Q149" s="2"/>
    </row>
    <row r="150" spans="1:17" ht="15" hidden="1" customHeight="1">
      <c r="A150" s="2799"/>
      <c r="B150" s="2407">
        <v>12761</v>
      </c>
      <c r="C150" s="2426">
        <v>0.08</v>
      </c>
      <c r="D150" s="1229" t="s">
        <v>1951</v>
      </c>
      <c r="E150" s="1848">
        <v>1450000</v>
      </c>
      <c r="F150" s="2427">
        <v>0.08</v>
      </c>
      <c r="G150" s="313">
        <f t="shared" si="7"/>
        <v>116000</v>
      </c>
      <c r="H150" s="1850" t="s">
        <v>1946</v>
      </c>
      <c r="I150" s="2468" t="s">
        <v>133</v>
      </c>
      <c r="J150" s="118"/>
      <c r="K150" s="118"/>
      <c r="L150" s="118"/>
      <c r="M150" s="1747"/>
      <c r="N150" s="1747"/>
      <c r="O150" s="1747"/>
      <c r="P150" s="1189"/>
      <c r="Q150" s="2"/>
    </row>
    <row r="151" spans="1:17" ht="15" hidden="1" customHeight="1">
      <c r="A151" s="2799"/>
      <c r="B151" s="2408">
        <v>12839</v>
      </c>
      <c r="C151" s="1205">
        <v>0.1</v>
      </c>
      <c r="D151" s="1482" t="s">
        <v>1952</v>
      </c>
      <c r="E151" s="1848">
        <v>1700000</v>
      </c>
      <c r="F151" s="1852">
        <v>0.1</v>
      </c>
      <c r="G151" s="313">
        <f t="shared" si="7"/>
        <v>170000</v>
      </c>
      <c r="H151" s="1850" t="s">
        <v>1946</v>
      </c>
      <c r="I151" s="2468" t="s">
        <v>1455</v>
      </c>
      <c r="J151" s="118"/>
      <c r="K151" s="118"/>
      <c r="L151" s="118"/>
      <c r="M151" s="1747"/>
      <c r="N151" s="1747"/>
      <c r="O151" s="1747"/>
      <c r="P151" s="1189"/>
      <c r="Q151" s="2"/>
    </row>
    <row r="152" spans="1:17" ht="15" hidden="1" customHeight="1">
      <c r="A152" s="2799"/>
      <c r="B152" s="2405">
        <v>12830</v>
      </c>
      <c r="C152" s="1205">
        <v>0.1</v>
      </c>
      <c r="D152" s="1482" t="s">
        <v>1953</v>
      </c>
      <c r="E152" s="1848">
        <v>1000000</v>
      </c>
      <c r="F152" s="1852">
        <v>0.1</v>
      </c>
      <c r="G152" s="313">
        <f t="shared" si="7"/>
        <v>100000</v>
      </c>
      <c r="H152" s="1850" t="s">
        <v>1946</v>
      </c>
      <c r="I152" s="2468" t="s">
        <v>133</v>
      </c>
      <c r="J152" s="118"/>
      <c r="K152" s="118"/>
      <c r="L152" s="118"/>
      <c r="M152" s="1747"/>
      <c r="N152" s="1747"/>
      <c r="O152" s="1747"/>
      <c r="P152" s="1189"/>
      <c r="Q152" s="2"/>
    </row>
    <row r="153" spans="1:17" ht="15" hidden="1" customHeight="1">
      <c r="A153" s="2799"/>
      <c r="B153" s="2412">
        <v>12898</v>
      </c>
      <c r="C153" s="1205">
        <v>0.1</v>
      </c>
      <c r="D153" s="1482" t="s">
        <v>1954</v>
      </c>
      <c r="E153" s="1848">
        <v>1700000</v>
      </c>
      <c r="F153" s="1852">
        <v>0.1</v>
      </c>
      <c r="G153" s="313">
        <f t="shared" si="7"/>
        <v>170000</v>
      </c>
      <c r="H153" s="1850" t="s">
        <v>1946</v>
      </c>
      <c r="I153" s="2468" t="s">
        <v>133</v>
      </c>
      <c r="J153" s="2521"/>
      <c r="K153" s="2048"/>
      <c r="L153" s="2521"/>
      <c r="M153" s="1747"/>
      <c r="N153" s="1747"/>
      <c r="O153" s="1747"/>
      <c r="P153" s="1189"/>
      <c r="Q153" s="2"/>
    </row>
    <row r="154" spans="1:17" ht="15.75" hidden="1" customHeight="1">
      <c r="A154" s="2799"/>
      <c r="B154" s="2409" t="s">
        <v>1855</v>
      </c>
      <c r="C154" s="2400"/>
      <c r="D154" s="1142" t="s">
        <v>1955</v>
      </c>
      <c r="E154" s="1848"/>
      <c r="F154" s="1849"/>
      <c r="G154" s="1850"/>
      <c r="H154" s="1850"/>
      <c r="I154" s="2468" t="s">
        <v>1820</v>
      </c>
      <c r="J154" s="118"/>
      <c r="K154" s="118"/>
      <c r="L154" s="118"/>
      <c r="M154" s="1747"/>
      <c r="N154" s="1747"/>
      <c r="O154" s="1747"/>
      <c r="P154" s="1189"/>
      <c r="Q154" s="2"/>
    </row>
    <row r="155" spans="1:17" ht="15" hidden="1" customHeight="1">
      <c r="A155" s="2799"/>
      <c r="B155" s="2410" t="s">
        <v>1855</v>
      </c>
      <c r="C155" s="336"/>
      <c r="D155" s="2402" t="s">
        <v>1956</v>
      </c>
      <c r="E155" s="1848"/>
      <c r="F155" s="1889"/>
      <c r="G155" s="2013"/>
      <c r="H155" s="1850"/>
      <c r="I155" s="2468" t="s">
        <v>133</v>
      </c>
      <c r="J155" s="2394"/>
      <c r="K155" s="2394" t="s">
        <v>1957</v>
      </c>
      <c r="L155" s="2394"/>
      <c r="M155" s="2393"/>
      <c r="N155" s="2393"/>
      <c r="O155" s="2393"/>
      <c r="P155" s="1688"/>
      <c r="Q155" s="2"/>
    </row>
    <row r="156" spans="1:17" ht="15" hidden="1" customHeight="1">
      <c r="A156" s="2799"/>
      <c r="B156" s="2410" t="s">
        <v>1855</v>
      </c>
      <c r="C156" s="336"/>
      <c r="D156" s="2402" t="s">
        <v>1958</v>
      </c>
      <c r="E156" s="1851"/>
      <c r="F156" s="1852"/>
      <c r="G156" s="1853"/>
      <c r="H156" s="1854"/>
      <c r="I156" s="2467" t="s">
        <v>1455</v>
      </c>
      <c r="J156" s="118"/>
      <c r="K156" s="118"/>
      <c r="L156" s="118"/>
      <c r="M156" s="1747"/>
      <c r="N156" s="1747"/>
      <c r="O156" s="1747"/>
      <c r="P156" s="1189"/>
      <c r="Q156" s="2"/>
    </row>
    <row r="157" spans="1:17" ht="15" hidden="1" customHeight="1">
      <c r="A157" s="2799"/>
      <c r="B157" s="2410" t="s">
        <v>1855</v>
      </c>
      <c r="C157" s="336"/>
      <c r="D157" s="2402" t="s">
        <v>1959</v>
      </c>
      <c r="E157" s="1848"/>
      <c r="F157" s="1889"/>
      <c r="G157" s="2013"/>
      <c r="H157" s="1850"/>
      <c r="I157" s="2468" t="s">
        <v>1820</v>
      </c>
      <c r="J157" s="524"/>
      <c r="K157" s="327" t="s">
        <v>1960</v>
      </c>
      <c r="L157" s="524"/>
      <c r="M157" s="1633"/>
      <c r="N157" s="1366"/>
      <c r="O157" s="2437"/>
      <c r="P157" s="1433"/>
      <c r="Q157" s="774"/>
    </row>
    <row r="158" spans="1:17" ht="15" hidden="1" customHeight="1">
      <c r="A158" s="2799"/>
      <c r="B158" s="2410" t="s">
        <v>1933</v>
      </c>
      <c r="C158" s="336"/>
      <c r="D158" s="1262" t="s">
        <v>1961</v>
      </c>
      <c r="E158" s="1848"/>
      <c r="F158" s="1889"/>
      <c r="G158" s="2013"/>
      <c r="H158" s="1850"/>
      <c r="I158" s="2468" t="s">
        <v>133</v>
      </c>
      <c r="J158" s="1845"/>
      <c r="K158" s="1845"/>
      <c r="L158" s="1845"/>
      <c r="M158" s="1748"/>
      <c r="N158" s="1679"/>
      <c r="O158" s="1562"/>
      <c r="P158" s="958"/>
      <c r="Q158" s="821">
        <f ca="1">SUM(Q147:Q158)</f>
        <v>119000</v>
      </c>
    </row>
    <row r="159" spans="1:17" ht="15" hidden="1" customHeight="1">
      <c r="A159" s="2799"/>
      <c r="B159" s="1857"/>
      <c r="C159" s="1858"/>
      <c r="D159" s="1859" t="s">
        <v>1833</v>
      </c>
      <c r="E159" s="1860">
        <f>SUM(E147:E158)</f>
        <v>9250000</v>
      </c>
      <c r="F159" s="1861"/>
      <c r="G159" s="1862">
        <f>SUM(G147:G158)</f>
        <v>846000</v>
      </c>
      <c r="H159" s="1861"/>
      <c r="I159" s="2469"/>
      <c r="J159" s="1863"/>
      <c r="K159" s="1863"/>
      <c r="L159" s="1863"/>
      <c r="M159" s="279"/>
      <c r="N159" s="2849" t="s">
        <v>1859</v>
      </c>
      <c r="O159" s="2849"/>
      <c r="P159" s="2849"/>
      <c r="Q159" s="2448">
        <f ca="1">G159+Q158</f>
        <v>965000</v>
      </c>
    </row>
    <row r="160" spans="1:17" ht="15" hidden="1" customHeight="1">
      <c r="A160" s="2800"/>
      <c r="B160" s="1864"/>
      <c r="C160" s="1865"/>
      <c r="D160" s="2795" t="s">
        <v>1835</v>
      </c>
      <c r="E160" s="2796"/>
      <c r="F160" s="2796"/>
      <c r="H160" s="1868"/>
      <c r="I160" s="2470"/>
      <c r="J160" s="1870"/>
      <c r="K160" s="1870"/>
      <c r="L160" s="1870"/>
      <c r="M160" s="279"/>
      <c r="N160" s="941"/>
      <c r="O160" s="941"/>
      <c r="P160" s="2023"/>
      <c r="Q160" s="1869"/>
    </row>
    <row r="161" spans="1:17" ht="15.6" hidden="1">
      <c r="A161" s="2404"/>
      <c r="B161" s="1872"/>
      <c r="C161" s="1872"/>
      <c r="D161" s="1872"/>
      <c r="E161" s="1873"/>
      <c r="F161" s="1872"/>
      <c r="G161" s="1874"/>
      <c r="H161" s="1872"/>
      <c r="I161" s="2471"/>
      <c r="J161" s="1872"/>
      <c r="K161" s="1872"/>
      <c r="L161" s="1872"/>
      <c r="M161" s="460"/>
      <c r="N161" s="461"/>
      <c r="O161" s="461"/>
      <c r="P161" s="2528"/>
      <c r="Q161" s="455"/>
    </row>
    <row r="162" spans="1:17" ht="15.6" hidden="1">
      <c r="A162" s="1871"/>
      <c r="B162" s="1875"/>
      <c r="C162" s="1875"/>
      <c r="D162" s="1875"/>
      <c r="E162" s="1876"/>
      <c r="F162" s="1875"/>
      <c r="G162" s="1877"/>
      <c r="H162" s="1875"/>
      <c r="I162" s="2472"/>
      <c r="J162" s="1875"/>
      <c r="K162" s="1875"/>
      <c r="L162" s="1875"/>
      <c r="M162" s="803"/>
      <c r="N162" s="804"/>
      <c r="O162" s="804"/>
      <c r="P162" s="2529"/>
      <c r="Q162" s="805"/>
    </row>
    <row r="163" spans="1:17" ht="21" hidden="1">
      <c r="A163" s="2850" t="s">
        <v>1887</v>
      </c>
      <c r="B163" s="2850"/>
      <c r="C163" s="2850"/>
      <c r="D163" s="2850"/>
      <c r="E163" s="2850"/>
      <c r="F163" s="2850"/>
      <c r="G163" s="2850"/>
      <c r="H163" s="2851"/>
      <c r="I163" s="2850"/>
      <c r="J163" s="2850"/>
      <c r="K163" s="2850"/>
      <c r="L163" s="2500"/>
      <c r="M163" s="279"/>
      <c r="N163" s="818"/>
      <c r="O163" s="818"/>
      <c r="P163" s="2530"/>
      <c r="Q163" s="286"/>
    </row>
    <row r="164" spans="1:17" hidden="1">
      <c r="A164" s="1878" t="s">
        <v>1806</v>
      </c>
      <c r="B164" s="1878" t="s">
        <v>1807</v>
      </c>
      <c r="C164" s="1878" t="s">
        <v>1837</v>
      </c>
      <c r="D164" s="1878" t="s">
        <v>1809</v>
      </c>
      <c r="E164" s="2309" t="s">
        <v>1810</v>
      </c>
      <c r="F164" s="1878" t="s">
        <v>1811</v>
      </c>
      <c r="G164" s="2310" t="s">
        <v>1812</v>
      </c>
      <c r="H164" s="2480" t="s">
        <v>1813</v>
      </c>
      <c r="I164" s="2268" t="s">
        <v>1814</v>
      </c>
      <c r="J164" s="2311"/>
      <c r="K164" s="2311" t="s">
        <v>1815</v>
      </c>
      <c r="L164" s="2311"/>
      <c r="M164" s="1626" t="s">
        <v>1807</v>
      </c>
      <c r="N164" s="1747" t="s">
        <v>1809</v>
      </c>
      <c r="O164" s="1747" t="s">
        <v>1816</v>
      </c>
      <c r="P164" s="1189" t="s">
        <v>1811</v>
      </c>
      <c r="Q164" s="2" t="s">
        <v>1817</v>
      </c>
    </row>
    <row r="165" spans="1:17" ht="15" hidden="1" customHeight="1">
      <c r="A165" s="2798" t="s">
        <v>1818</v>
      </c>
      <c r="B165" s="2418">
        <v>12705</v>
      </c>
      <c r="C165" s="1205">
        <v>0.1</v>
      </c>
      <c r="D165" s="1229" t="s">
        <v>1962</v>
      </c>
      <c r="E165" s="1892">
        <v>800000</v>
      </c>
      <c r="F165" s="1893">
        <v>0.1</v>
      </c>
      <c r="G165" s="313">
        <f t="shared" ref="G165:G171" si="8">E165*F165</f>
        <v>80000</v>
      </c>
      <c r="H165" s="1855" t="s">
        <v>724</v>
      </c>
      <c r="I165" s="2478" t="s">
        <v>133</v>
      </c>
      <c r="J165" s="2522"/>
      <c r="K165" s="11"/>
      <c r="L165" s="2522"/>
      <c r="M165" s="2412">
        <v>12811</v>
      </c>
      <c r="N165" s="431" t="s">
        <v>1937</v>
      </c>
      <c r="O165" s="1606">
        <v>970000</v>
      </c>
      <c r="P165" s="1189">
        <v>0.05</v>
      </c>
      <c r="Q165" s="2384">
        <f>O165*P165</f>
        <v>48500</v>
      </c>
    </row>
    <row r="166" spans="1:17" ht="15" hidden="1" customHeight="1">
      <c r="A166" s="2799"/>
      <c r="B166" s="2407">
        <v>12728</v>
      </c>
      <c r="C166" s="1205">
        <v>0.1</v>
      </c>
      <c r="D166" s="1229" t="s">
        <v>1963</v>
      </c>
      <c r="E166" s="1892">
        <v>750000</v>
      </c>
      <c r="F166" s="1893">
        <v>0.1</v>
      </c>
      <c r="G166" s="313">
        <f t="shared" si="8"/>
        <v>75000</v>
      </c>
      <c r="H166" s="1855" t="s">
        <v>397</v>
      </c>
      <c r="I166" s="2478" t="s">
        <v>133</v>
      </c>
      <c r="J166" s="2488"/>
      <c r="K166" s="11"/>
      <c r="L166" s="2488"/>
      <c r="M166" s="2406">
        <v>12739</v>
      </c>
      <c r="N166" s="67" t="s">
        <v>1948</v>
      </c>
      <c r="O166" s="1851">
        <v>1000000</v>
      </c>
      <c r="P166" s="1189">
        <v>0.05</v>
      </c>
      <c r="Q166" s="2384">
        <f>O166*P166</f>
        <v>50000</v>
      </c>
    </row>
    <row r="167" spans="1:17" ht="15" hidden="1" customHeight="1">
      <c r="A167" s="2799"/>
      <c r="B167" s="2405">
        <v>12723</v>
      </c>
      <c r="C167" s="1205">
        <v>0.1</v>
      </c>
      <c r="D167" s="1229" t="s">
        <v>1964</v>
      </c>
      <c r="E167" s="1848">
        <v>950000</v>
      </c>
      <c r="F167" s="1893">
        <v>0.1</v>
      </c>
      <c r="G167" s="313">
        <f t="shared" si="8"/>
        <v>95000</v>
      </c>
      <c r="H167" s="1850" t="s">
        <v>397</v>
      </c>
      <c r="I167" s="2479" t="s">
        <v>1455</v>
      </c>
      <c r="J167" s="2522"/>
      <c r="K167" s="11"/>
      <c r="L167" s="2522"/>
      <c r="M167" s="2440"/>
      <c r="N167" s="1648"/>
      <c r="O167" s="1848"/>
      <c r="P167" s="1688"/>
      <c r="Q167" s="2397"/>
    </row>
    <row r="168" spans="1:17" ht="15" hidden="1" customHeight="1">
      <c r="A168" s="2799"/>
      <c r="B168" s="2405">
        <v>12709</v>
      </c>
      <c r="C168" s="1205">
        <v>0.1</v>
      </c>
      <c r="D168" s="1229" t="s">
        <v>1965</v>
      </c>
      <c r="E168" s="1848">
        <v>1100000</v>
      </c>
      <c r="F168" s="1893">
        <v>0.1</v>
      </c>
      <c r="G168" s="313">
        <f t="shared" si="8"/>
        <v>110000</v>
      </c>
      <c r="H168" s="1850" t="s">
        <v>397</v>
      </c>
      <c r="I168" s="2479" t="s">
        <v>105</v>
      </c>
      <c r="J168" s="2522"/>
      <c r="K168" s="11"/>
      <c r="L168" s="2522"/>
      <c r="M168" s="2440"/>
      <c r="N168" s="2401"/>
      <c r="O168" s="1848"/>
      <c r="P168" s="1688"/>
      <c r="Q168" s="2384"/>
    </row>
    <row r="169" spans="1:17" ht="15" hidden="1" customHeight="1">
      <c r="A169" s="2799"/>
      <c r="B169" s="2424">
        <v>12814</v>
      </c>
      <c r="C169" s="1205">
        <v>0.1</v>
      </c>
      <c r="D169" s="86" t="s">
        <v>1966</v>
      </c>
      <c r="E169" s="1848">
        <v>840000</v>
      </c>
      <c r="F169" s="1893">
        <v>0.1</v>
      </c>
      <c r="G169" s="313">
        <f t="shared" si="8"/>
        <v>84000</v>
      </c>
      <c r="H169" s="1850" t="s">
        <v>397</v>
      </c>
      <c r="I169" s="2479" t="s">
        <v>1455</v>
      </c>
      <c r="J169" s="2507"/>
      <c r="K169" s="1921"/>
      <c r="L169" s="2507"/>
      <c r="M169" s="64"/>
      <c r="N169" s="64"/>
      <c r="O169" s="1747"/>
      <c r="P169" s="1189"/>
      <c r="Q169" s="2"/>
    </row>
    <row r="170" spans="1:17" ht="15" hidden="1" customHeight="1">
      <c r="A170" s="2799"/>
      <c r="B170" s="2411">
        <v>12856</v>
      </c>
      <c r="C170" s="1205">
        <v>0.1</v>
      </c>
      <c r="D170" s="518" t="s">
        <v>1967</v>
      </c>
      <c r="E170" s="1848">
        <v>800000</v>
      </c>
      <c r="F170" s="1893">
        <v>0.1</v>
      </c>
      <c r="G170" s="313">
        <f t="shared" si="8"/>
        <v>80000</v>
      </c>
      <c r="H170" s="1850" t="s">
        <v>397</v>
      </c>
      <c r="I170" s="2479" t="s">
        <v>1820</v>
      </c>
      <c r="J170" s="2506"/>
      <c r="K170" s="2396"/>
      <c r="L170" s="2506"/>
      <c r="M170" s="64"/>
      <c r="N170" s="64"/>
      <c r="O170" s="1747"/>
      <c r="P170" s="1189"/>
      <c r="Q170" s="821">
        <f ca="1">SUM(Q165:Q172)</f>
        <v>98500</v>
      </c>
    </row>
    <row r="171" spans="1:17" ht="15" hidden="1" customHeight="1">
      <c r="A171" s="2799"/>
      <c r="B171" s="2441">
        <v>10899</v>
      </c>
      <c r="C171" s="1205">
        <v>0.1</v>
      </c>
      <c r="D171" s="518" t="s">
        <v>1949</v>
      </c>
      <c r="E171" s="1848">
        <v>1000000</v>
      </c>
      <c r="F171" s="1893">
        <v>0.05</v>
      </c>
      <c r="G171" s="313">
        <f t="shared" si="8"/>
        <v>50000</v>
      </c>
      <c r="H171" s="1850" t="s">
        <v>1946</v>
      </c>
      <c r="I171" s="2479" t="s">
        <v>1820</v>
      </c>
      <c r="J171" s="2506"/>
      <c r="K171" s="2396"/>
      <c r="L171" s="2506"/>
      <c r="M171" s="64"/>
      <c r="N171" s="64"/>
      <c r="O171" s="1747"/>
      <c r="P171" s="1189"/>
      <c r="Q171" s="2"/>
    </row>
    <row r="172" spans="1:17" ht="15" hidden="1" customHeight="1">
      <c r="A172" s="2799"/>
      <c r="B172" s="2425"/>
      <c r="C172" s="33"/>
      <c r="D172" s="1648"/>
      <c r="E172" s="1892"/>
      <c r="F172" s="1893"/>
      <c r="G172" s="1894"/>
      <c r="H172" s="1855"/>
      <c r="I172" s="2467"/>
      <c r="J172" s="1855"/>
      <c r="K172" s="1855"/>
      <c r="L172" s="1855"/>
      <c r="M172" s="1747"/>
      <c r="N172" s="1452"/>
      <c r="O172" s="1452"/>
      <c r="P172" s="2532"/>
      <c r="Q172" s="2"/>
    </row>
    <row r="173" spans="1:17" ht="15" hidden="1" customHeight="1">
      <c r="A173" s="2799"/>
      <c r="B173" s="1897"/>
      <c r="C173" s="1861"/>
      <c r="D173" s="1898" t="s">
        <v>1833</v>
      </c>
      <c r="E173" s="1860">
        <f>SUM(E165:E172)</f>
        <v>6240000</v>
      </c>
      <c r="F173" s="1861"/>
      <c r="G173" s="2451">
        <f>SUM(G165:G172)</f>
        <v>574000</v>
      </c>
      <c r="H173" s="1861"/>
      <c r="I173" s="2469"/>
      <c r="J173" s="1861"/>
      <c r="K173" s="1861"/>
      <c r="L173" s="1861"/>
      <c r="M173" s="279"/>
      <c r="N173" s="2845" t="s">
        <v>1859</v>
      </c>
      <c r="O173" s="2845"/>
      <c r="P173" s="2845"/>
      <c r="Q173" s="2450">
        <f ca="1">G173+Q170</f>
        <v>672500</v>
      </c>
    </row>
    <row r="174" spans="1:17" ht="15" hidden="1" customHeight="1">
      <c r="A174" s="2800"/>
      <c r="B174" s="1899"/>
      <c r="C174" s="1865"/>
      <c r="D174" s="2795" t="s">
        <v>1835</v>
      </c>
      <c r="E174" s="2796"/>
      <c r="F174" s="2797"/>
      <c r="G174" s="11"/>
      <c r="H174" s="1899"/>
      <c r="I174" s="2474"/>
      <c r="J174" s="2315"/>
      <c r="K174" s="2315"/>
      <c r="L174" s="2315"/>
      <c r="M174" s="868"/>
      <c r="N174" s="941"/>
      <c r="O174" s="941"/>
      <c r="P174" s="2023"/>
      <c r="Q174" s="286"/>
    </row>
    <row r="175" spans="1:17" hidden="1">
      <c r="E175" s="2449">
        <f>E165+E166+E167+E169+E170+E171</f>
        <v>5140000</v>
      </c>
    </row>
    <row r="176" spans="1:17" ht="15" hidden="1" customHeight="1">
      <c r="A176" s="2801" t="s">
        <v>1898</v>
      </c>
      <c r="B176" s="2802"/>
      <c r="C176" s="79"/>
      <c r="D176" s="1222">
        <f>E108+E128+E141+E159+E175</f>
        <v>43360000</v>
      </c>
    </row>
    <row r="177" spans="1:17" ht="15" hidden="1" customHeight="1">
      <c r="A177" s="2803" t="s">
        <v>1899</v>
      </c>
      <c r="B177" s="2804"/>
      <c r="C177" s="41"/>
      <c r="D177" s="1405"/>
    </row>
    <row r="178" spans="1:17" ht="15" hidden="1" customHeight="1">
      <c r="A178" s="2805" t="s">
        <v>1900</v>
      </c>
      <c r="B178" s="2806"/>
      <c r="C178" s="45"/>
      <c r="D178" s="2392"/>
    </row>
    <row r="179" spans="1:17" ht="15" hidden="1" customHeight="1">
      <c r="A179" s="2807" t="s">
        <v>1901</v>
      </c>
      <c r="B179" s="2808"/>
      <c r="C179" s="637"/>
      <c r="D179" s="1541"/>
    </row>
    <row r="180" spans="1:17" ht="15" hidden="1" customHeight="1">
      <c r="A180" s="2792" t="s">
        <v>1902</v>
      </c>
      <c r="B180" s="2793"/>
      <c r="C180" s="1481"/>
      <c r="D180" s="714"/>
    </row>
    <row r="181" spans="1:17" ht="15" hidden="1" customHeight="1">
      <c r="A181" s="2812" t="s">
        <v>1903</v>
      </c>
      <c r="B181" s="2812"/>
      <c r="C181" s="1481"/>
      <c r="D181" s="2399"/>
    </row>
    <row r="182" spans="1:17" hidden="1">
      <c r="A182" s="2176"/>
      <c r="B182" s="2340" t="s">
        <v>1904</v>
      </c>
      <c r="C182" s="43"/>
      <c r="D182" s="1130" t="s">
        <v>1968</v>
      </c>
    </row>
    <row r="183" spans="1:17" hidden="1">
      <c r="D183" s="589"/>
      <c r="E183" s="2403"/>
    </row>
    <row r="185" spans="1:17" ht="39.6" customHeight="1">
      <c r="A185" s="2791" t="s">
        <v>1969</v>
      </c>
      <c r="B185" s="2791"/>
      <c r="C185" s="2791"/>
      <c r="D185" s="2791"/>
      <c r="E185" s="2791"/>
      <c r="F185" s="2791"/>
      <c r="G185" s="2791"/>
      <c r="H185" s="2791"/>
      <c r="I185" s="2791"/>
      <c r="J185" s="2791"/>
      <c r="K185" s="2791"/>
      <c r="L185" s="2791"/>
    </row>
    <row r="187" spans="1:17" ht="33.6">
      <c r="A187" s="2776" t="s">
        <v>1970</v>
      </c>
      <c r="B187" s="2777"/>
      <c r="C187" s="2777"/>
      <c r="D187" s="2777"/>
      <c r="E187" s="2777"/>
      <c r="F187" s="2777"/>
      <c r="G187" s="2777"/>
      <c r="H187" s="2777"/>
      <c r="I187" s="2777"/>
      <c r="J187" s="2777"/>
      <c r="K187" s="2777"/>
      <c r="L187" s="2778"/>
    </row>
    <row r="188" spans="1:17" ht="21">
      <c r="A188" s="2779" t="s">
        <v>1667</v>
      </c>
      <c r="B188" s="2771"/>
      <c r="C188" s="2771"/>
      <c r="D188" s="2771"/>
      <c r="E188" s="2771"/>
      <c r="F188" s="2771"/>
      <c r="G188" s="2771"/>
      <c r="H188" s="2771"/>
      <c r="I188" s="2771"/>
      <c r="J188" s="2771"/>
      <c r="K188" s="2771"/>
      <c r="L188" s="2556"/>
      <c r="M188" s="2780" t="s">
        <v>1805</v>
      </c>
      <c r="N188" s="2780"/>
      <c r="O188" s="2780"/>
      <c r="P188" s="2780"/>
      <c r="Q188" s="2557"/>
    </row>
    <row r="189" spans="1:17">
      <c r="A189" s="2563" t="s">
        <v>1806</v>
      </c>
      <c r="B189" s="2564" t="s">
        <v>1807</v>
      </c>
      <c r="C189" s="2563" t="s">
        <v>1808</v>
      </c>
      <c r="D189" s="2563" t="s">
        <v>1809</v>
      </c>
      <c r="E189" s="2565" t="s">
        <v>1810</v>
      </c>
      <c r="F189" s="2563" t="s">
        <v>1811</v>
      </c>
      <c r="G189" s="2566" t="s">
        <v>1812</v>
      </c>
      <c r="H189" s="2564" t="s">
        <v>1813</v>
      </c>
      <c r="I189" s="2563" t="s">
        <v>1814</v>
      </c>
      <c r="J189" s="2563" t="s">
        <v>1971</v>
      </c>
      <c r="K189" s="2563" t="s">
        <v>1815</v>
      </c>
      <c r="L189" s="2563" t="s">
        <v>1972</v>
      </c>
      <c r="M189" s="2563" t="s">
        <v>1807</v>
      </c>
      <c r="N189" s="2563" t="s">
        <v>1809</v>
      </c>
      <c r="O189" s="2563" t="s">
        <v>1816</v>
      </c>
      <c r="P189" s="2567" t="s">
        <v>1811</v>
      </c>
      <c r="Q189" s="2568" t="s">
        <v>1817</v>
      </c>
    </row>
    <row r="190" spans="1:17" ht="15">
      <c r="A190" s="2790"/>
      <c r="B190" s="2653">
        <v>15205</v>
      </c>
      <c r="C190" s="2654">
        <v>0.1</v>
      </c>
      <c r="D190" s="2175" t="s">
        <v>1973</v>
      </c>
      <c r="E190" s="2509">
        <v>1200000</v>
      </c>
      <c r="F190" s="2664">
        <v>0.1</v>
      </c>
      <c r="G190" s="2509">
        <f>E190*F190</f>
        <v>120000</v>
      </c>
      <c r="H190" s="2494" t="s">
        <v>1826</v>
      </c>
      <c r="I190" s="2492" t="s">
        <v>1633</v>
      </c>
      <c r="J190" s="2492" t="s">
        <v>1974</v>
      </c>
      <c r="K190" s="2536"/>
      <c r="L190" s="2492" t="s">
        <v>1975</v>
      </c>
      <c r="M190" s="2665">
        <v>15156</v>
      </c>
      <c r="N190" s="2175" t="s">
        <v>1976</v>
      </c>
      <c r="O190" s="2666">
        <v>1200000</v>
      </c>
      <c r="P190" s="740">
        <v>0.05</v>
      </c>
      <c r="Q190" s="2666">
        <f>O190*P190</f>
        <v>60000</v>
      </c>
    </row>
    <row r="191" spans="1:17" ht="15">
      <c r="A191" s="2781"/>
      <c r="B191" s="2653">
        <v>15194</v>
      </c>
      <c r="C191" s="2654">
        <v>0.1</v>
      </c>
      <c r="D191" s="2175" t="s">
        <v>1977</v>
      </c>
      <c r="E191" s="2509">
        <v>1300000</v>
      </c>
      <c r="F191" s="2664">
        <v>0.1</v>
      </c>
      <c r="G191" s="2509">
        <f t="shared" ref="G191:G197" si="9">E191*F191</f>
        <v>130000</v>
      </c>
      <c r="H191" s="2494" t="s">
        <v>1826</v>
      </c>
      <c r="I191" s="2492" t="s">
        <v>1633</v>
      </c>
      <c r="J191" s="2492" t="s">
        <v>1974</v>
      </c>
      <c r="K191" s="2536"/>
      <c r="L191" s="2492" t="s">
        <v>1975</v>
      </c>
      <c r="M191" s="2175">
        <v>15224</v>
      </c>
      <c r="N191" s="2175" t="s">
        <v>1978</v>
      </c>
      <c r="O191" s="2666">
        <v>2050000</v>
      </c>
      <c r="P191" s="740">
        <v>0.05</v>
      </c>
      <c r="Q191" s="2666">
        <f>O191*P191</f>
        <v>102500</v>
      </c>
    </row>
    <row r="192" spans="1:17" ht="15">
      <c r="A192" s="2781"/>
      <c r="B192" s="2653">
        <v>15141</v>
      </c>
      <c r="C192" s="2654">
        <v>0.1</v>
      </c>
      <c r="D192" s="2175" t="s">
        <v>1979</v>
      </c>
      <c r="E192" s="2509">
        <v>1330000</v>
      </c>
      <c r="F192" s="2664">
        <v>0.05</v>
      </c>
      <c r="G192" s="2509">
        <f t="shared" si="9"/>
        <v>66500</v>
      </c>
      <c r="H192" s="2494" t="s">
        <v>1980</v>
      </c>
      <c r="I192" s="2492" t="s">
        <v>1633</v>
      </c>
      <c r="J192" s="2492" t="s">
        <v>1974</v>
      </c>
      <c r="K192" s="2536"/>
      <c r="L192" s="2492" t="s">
        <v>1975</v>
      </c>
      <c r="M192" s="11"/>
      <c r="N192" s="11"/>
      <c r="O192" s="11"/>
      <c r="P192" s="512"/>
      <c r="Q192" s="11"/>
    </row>
    <row r="193" spans="1:17" ht="15">
      <c r="A193" s="2781"/>
      <c r="B193" s="2653">
        <v>15217</v>
      </c>
      <c r="C193" s="2654">
        <v>0.1</v>
      </c>
      <c r="D193" s="2175" t="s">
        <v>1981</v>
      </c>
      <c r="E193" s="2509">
        <v>2800000</v>
      </c>
      <c r="F193" s="2664">
        <v>0.05</v>
      </c>
      <c r="G193" s="2509">
        <f t="shared" si="9"/>
        <v>140000</v>
      </c>
      <c r="H193" s="2494" t="s">
        <v>1982</v>
      </c>
      <c r="I193" s="2492" t="s">
        <v>1633</v>
      </c>
      <c r="J193" s="2492" t="s">
        <v>1974</v>
      </c>
      <c r="K193" s="2536"/>
      <c r="L193" s="2492" t="s">
        <v>1975</v>
      </c>
      <c r="M193" s="11"/>
      <c r="N193" s="11"/>
      <c r="O193" s="11"/>
      <c r="P193" s="512"/>
      <c r="Q193" s="11"/>
    </row>
    <row r="194" spans="1:17" ht="15">
      <c r="A194" s="2781"/>
      <c r="B194" s="121">
        <v>15195</v>
      </c>
      <c r="C194" s="2657">
        <v>0.08</v>
      </c>
      <c r="D194" s="2175" t="s">
        <v>1983</v>
      </c>
      <c r="E194" s="2509">
        <v>2600000</v>
      </c>
      <c r="F194" s="2673">
        <v>0.08</v>
      </c>
      <c r="G194" s="2509">
        <f t="shared" si="9"/>
        <v>208000</v>
      </c>
      <c r="H194" s="2494" t="s">
        <v>1826</v>
      </c>
      <c r="I194" s="2492" t="s">
        <v>1633</v>
      </c>
      <c r="J194" s="2492" t="s">
        <v>1974</v>
      </c>
      <c r="K194" s="257"/>
      <c r="L194" s="2492" t="s">
        <v>1975</v>
      </c>
      <c r="M194" s="11"/>
      <c r="N194" s="11"/>
      <c r="O194" s="11"/>
      <c r="P194" s="512"/>
      <c r="Q194" s="11"/>
    </row>
    <row r="195" spans="1:17" ht="15">
      <c r="A195" s="2781"/>
      <c r="B195" s="121">
        <v>15239</v>
      </c>
      <c r="C195" s="2654">
        <v>0.1</v>
      </c>
      <c r="D195" s="2175" t="s">
        <v>1984</v>
      </c>
      <c r="E195" s="2509">
        <v>1200000</v>
      </c>
      <c r="F195" s="2664">
        <v>0.05</v>
      </c>
      <c r="G195" s="2509">
        <f t="shared" si="9"/>
        <v>60000</v>
      </c>
      <c r="H195" s="2494" t="s">
        <v>1982</v>
      </c>
      <c r="I195" s="2492" t="s">
        <v>1633</v>
      </c>
      <c r="J195" s="2492" t="s">
        <v>1974</v>
      </c>
      <c r="K195" s="257"/>
      <c r="L195" s="2492" t="s">
        <v>1985</v>
      </c>
      <c r="M195" s="11"/>
      <c r="N195" s="11"/>
      <c r="O195" s="11"/>
      <c r="P195" s="512"/>
      <c r="Q195" s="11"/>
    </row>
    <row r="196" spans="1:17" ht="15">
      <c r="A196" s="2781"/>
      <c r="B196" s="121">
        <v>15251</v>
      </c>
      <c r="C196" s="2654">
        <v>0.1</v>
      </c>
      <c r="D196" s="2175" t="s">
        <v>1986</v>
      </c>
      <c r="E196" s="2509">
        <v>1550000</v>
      </c>
      <c r="F196" s="2664">
        <v>0.05</v>
      </c>
      <c r="G196" s="2509">
        <f t="shared" si="9"/>
        <v>77500</v>
      </c>
      <c r="H196" s="2494" t="s">
        <v>1982</v>
      </c>
      <c r="I196" s="2492" t="s">
        <v>1633</v>
      </c>
      <c r="J196" s="2492" t="s">
        <v>1974</v>
      </c>
      <c r="K196" s="257"/>
      <c r="L196" s="2492" t="s">
        <v>118</v>
      </c>
      <c r="M196" s="11"/>
      <c r="N196" s="11"/>
      <c r="O196" s="11"/>
      <c r="P196" s="512"/>
      <c r="Q196" s="11"/>
    </row>
    <row r="197" spans="1:17" ht="15">
      <c r="A197" s="2781"/>
      <c r="B197" s="121">
        <v>15312</v>
      </c>
      <c r="C197" s="740">
        <v>0.1</v>
      </c>
      <c r="D197" s="2175" t="s">
        <v>1987</v>
      </c>
      <c r="E197" s="2509">
        <v>1800000</v>
      </c>
      <c r="F197" s="2664">
        <v>0.1</v>
      </c>
      <c r="G197" s="2509">
        <f t="shared" si="9"/>
        <v>180000</v>
      </c>
      <c r="H197" s="2494" t="s">
        <v>1826</v>
      </c>
      <c r="I197" s="2492" t="s">
        <v>1633</v>
      </c>
      <c r="J197" s="2492" t="s">
        <v>1974</v>
      </c>
      <c r="K197" s="257"/>
      <c r="L197" s="2492" t="s">
        <v>118</v>
      </c>
      <c r="M197" s="11"/>
      <c r="N197" s="11"/>
      <c r="O197" s="11"/>
      <c r="P197" s="512"/>
      <c r="Q197" s="11"/>
    </row>
    <row r="198" spans="1:17">
      <c r="A198" s="2781"/>
      <c r="B198" s="2647"/>
      <c r="C198" s="2648"/>
      <c r="D198" s="2649" t="s">
        <v>1988</v>
      </c>
      <c r="E198" s="2667"/>
      <c r="F198" s="2492"/>
      <c r="G198" s="257"/>
      <c r="H198" s="2494"/>
      <c r="I198" s="2492"/>
      <c r="J198" s="2492"/>
      <c r="K198" s="2536"/>
      <c r="L198" s="2"/>
      <c r="M198" s="11"/>
      <c r="N198" s="11"/>
      <c r="O198" s="11"/>
      <c r="P198" s="512"/>
      <c r="Q198" s="11"/>
    </row>
    <row r="199" spans="1:17" ht="15">
      <c r="A199" s="2782"/>
      <c r="B199" s="2494"/>
      <c r="C199" s="2492"/>
      <c r="D199" s="257"/>
      <c r="E199" s="2669">
        <f>SUM(E190:E198)</f>
        <v>13780000</v>
      </c>
      <c r="F199" s="2668"/>
      <c r="G199" s="2669">
        <f>SUM(G190:G198)</f>
        <v>982000</v>
      </c>
      <c r="H199" s="2494"/>
      <c r="I199" s="2492"/>
      <c r="J199" s="2492"/>
      <c r="K199" s="257"/>
      <c r="L199" s="2"/>
      <c r="M199" s="11"/>
      <c r="N199" s="11"/>
      <c r="O199" s="11"/>
      <c r="P199" s="2664" t="s">
        <v>1989</v>
      </c>
      <c r="Q199" s="2509">
        <f>SUM(Q190:Q198)</f>
        <v>162500</v>
      </c>
    </row>
    <row r="200" spans="1:17" ht="15">
      <c r="E200" s="2670" t="s">
        <v>1990</v>
      </c>
      <c r="F200" s="2671"/>
      <c r="G200" s="2672">
        <f>G199+Q199</f>
        <v>1144500</v>
      </c>
    </row>
    <row r="203" spans="1:17" ht="21">
      <c r="A203" s="2779" t="s">
        <v>1642</v>
      </c>
      <c r="B203" s="2779"/>
      <c r="C203" s="2779"/>
      <c r="D203" s="2779"/>
      <c r="E203" s="2779"/>
      <c r="F203" s="2779"/>
      <c r="G203" s="2779"/>
      <c r="H203" s="2779"/>
      <c r="I203" s="2779"/>
      <c r="J203" s="2779"/>
      <c r="K203" s="2779"/>
      <c r="L203" s="2584"/>
      <c r="M203" s="2789" t="s">
        <v>1805</v>
      </c>
      <c r="N203" s="2789"/>
      <c r="O203" s="2789"/>
      <c r="P203" s="2789"/>
      <c r="Q203" s="2585"/>
    </row>
    <row r="204" spans="1:17">
      <c r="A204" s="2563" t="s">
        <v>1806</v>
      </c>
      <c r="B204" s="2564" t="s">
        <v>1807</v>
      </c>
      <c r="C204" s="2563" t="s">
        <v>1808</v>
      </c>
      <c r="D204" s="2563" t="s">
        <v>1809</v>
      </c>
      <c r="E204" s="2565" t="s">
        <v>1810</v>
      </c>
      <c r="F204" s="2563" t="s">
        <v>1811</v>
      </c>
      <c r="G204" s="2566" t="s">
        <v>1812</v>
      </c>
      <c r="H204" s="2564" t="s">
        <v>1813</v>
      </c>
      <c r="I204" s="2563" t="s">
        <v>1814</v>
      </c>
      <c r="J204" s="2563" t="s">
        <v>1971</v>
      </c>
      <c r="K204" s="2563" t="s">
        <v>1815</v>
      </c>
      <c r="L204" s="2563" t="s">
        <v>1972</v>
      </c>
      <c r="M204" s="2563" t="s">
        <v>1807</v>
      </c>
      <c r="N204" s="2563" t="s">
        <v>1809</v>
      </c>
      <c r="O204" s="2563" t="s">
        <v>1816</v>
      </c>
      <c r="P204" s="2567" t="s">
        <v>1811</v>
      </c>
      <c r="Q204" s="2568" t="s">
        <v>1817</v>
      </c>
    </row>
    <row r="205" spans="1:17" s="503" customFormat="1">
      <c r="A205" s="2768"/>
      <c r="B205" s="2650">
        <v>15156</v>
      </c>
      <c r="C205" s="2651">
        <v>0.1</v>
      </c>
      <c r="D205" s="2652" t="s">
        <v>1976</v>
      </c>
      <c r="E205" s="2572">
        <v>1200000</v>
      </c>
      <c r="F205" s="2655">
        <v>0.05</v>
      </c>
      <c r="G205" s="2573">
        <f>E205*F205</f>
        <v>60000</v>
      </c>
      <c r="H205" s="2574" t="s">
        <v>1826</v>
      </c>
      <c r="I205" s="2575" t="s">
        <v>1991</v>
      </c>
      <c r="J205" s="2576" t="s">
        <v>1974</v>
      </c>
      <c r="K205" s="2577"/>
      <c r="L205" s="2578" t="s">
        <v>118</v>
      </c>
      <c r="M205" s="2452"/>
      <c r="N205" s="2393"/>
      <c r="O205" s="2393"/>
      <c r="P205" s="1688"/>
      <c r="Q205" s="51"/>
    </row>
    <row r="206" spans="1:17">
      <c r="A206" s="2769"/>
      <c r="B206" s="2555"/>
      <c r="C206" s="2570"/>
      <c r="D206" s="2579"/>
      <c r="E206" s="2580"/>
      <c r="F206" s="2581"/>
      <c r="G206" s="2554"/>
      <c r="H206" s="2551"/>
      <c r="I206" s="2555"/>
      <c r="J206" s="2576"/>
      <c r="K206" s="2554"/>
      <c r="L206" s="2582"/>
      <c r="M206" s="11"/>
      <c r="N206" s="11"/>
      <c r="O206" s="11"/>
      <c r="P206" s="512"/>
      <c r="Q206" s="11"/>
    </row>
    <row r="207" spans="1:17" ht="15">
      <c r="A207" s="2770"/>
      <c r="B207" s="2494"/>
      <c r="C207" s="2492"/>
      <c r="D207" s="2525"/>
      <c r="E207" s="2509">
        <f>SUM(E205:E206)</f>
        <v>1200000</v>
      </c>
      <c r="F207" s="2525"/>
      <c r="G207" s="2656">
        <f>SUM(G205:G206)</f>
        <v>60000</v>
      </c>
      <c r="H207" s="2494"/>
      <c r="I207" s="2492"/>
      <c r="J207" s="2525"/>
      <c r="K207" s="2525"/>
      <c r="L207" s="2"/>
      <c r="M207" s="11"/>
      <c r="N207" s="11"/>
      <c r="O207" s="11"/>
      <c r="P207" s="512"/>
      <c r="Q207" s="11"/>
    </row>
    <row r="210" spans="1:11" ht="21">
      <c r="A210" s="2771" t="s">
        <v>732</v>
      </c>
      <c r="B210" s="2771"/>
      <c r="C210" s="2771"/>
      <c r="D210" s="2771"/>
      <c r="E210" s="2771"/>
      <c r="F210" s="2771"/>
      <c r="G210" s="2771"/>
      <c r="H210" s="2771"/>
      <c r="I210" s="2771"/>
      <c r="J210" s="2771"/>
      <c r="K210" s="2771"/>
    </row>
    <row r="211" spans="1:11">
      <c r="A211" s="2558" t="s">
        <v>1806</v>
      </c>
      <c r="B211" s="2559" t="s">
        <v>1807</v>
      </c>
      <c r="C211" s="2558" t="s">
        <v>1808</v>
      </c>
      <c r="D211" s="2558" t="s">
        <v>1809</v>
      </c>
      <c r="E211" s="2560" t="s">
        <v>1810</v>
      </c>
      <c r="F211" s="2558" t="s">
        <v>1811</v>
      </c>
      <c r="G211" s="2561" t="s">
        <v>1812</v>
      </c>
      <c r="H211" s="2559" t="s">
        <v>1813</v>
      </c>
      <c r="I211" s="2562" t="s">
        <v>1814</v>
      </c>
      <c r="J211" s="2590" t="s">
        <v>1971</v>
      </c>
      <c r="K211" s="2558" t="s">
        <v>1815</v>
      </c>
    </row>
    <row r="212" spans="1:11">
      <c r="A212" s="2769"/>
      <c r="B212" s="121">
        <v>15309</v>
      </c>
      <c r="C212" s="740">
        <v>0.1</v>
      </c>
      <c r="D212" s="2175" t="s">
        <v>1992</v>
      </c>
      <c r="E212" s="2511">
        <v>4000000</v>
      </c>
      <c r="F212" s="2510"/>
      <c r="G212" s="2512"/>
      <c r="H212" s="2468" t="s">
        <v>1980</v>
      </c>
      <c r="I212" s="2468" t="s">
        <v>1633</v>
      </c>
      <c r="J212" s="2513"/>
      <c r="K212" s="2535"/>
    </row>
    <row r="213" spans="1:11">
      <c r="A213" s="2769"/>
      <c r="B213" s="50"/>
      <c r="C213" s="50"/>
      <c r="D213" s="2231"/>
      <c r="E213" s="2511"/>
      <c r="F213" s="2510"/>
      <c r="G213" s="2512"/>
      <c r="H213" s="2468"/>
      <c r="I213" s="2468"/>
      <c r="J213" s="2513"/>
      <c r="K213" s="2535"/>
    </row>
    <row r="214" spans="1:11">
      <c r="A214" s="2769"/>
      <c r="B214" s="50"/>
      <c r="C214" s="50"/>
      <c r="D214" s="2231"/>
      <c r="E214" s="2231"/>
      <c r="F214" s="2492"/>
      <c r="G214" s="257"/>
      <c r="H214" s="2494"/>
      <c r="I214" s="2492"/>
      <c r="J214" s="2523"/>
      <c r="K214" s="257"/>
    </row>
    <row r="215" spans="1:11">
      <c r="A215" s="2769"/>
      <c r="B215" s="2492"/>
      <c r="C215" s="2492"/>
      <c r="D215" s="257"/>
      <c r="E215" s="257"/>
      <c r="F215" s="2492"/>
      <c r="G215" s="257"/>
      <c r="H215" s="2494"/>
      <c r="I215" s="2492"/>
      <c r="J215" s="2523"/>
      <c r="K215" s="257"/>
    </row>
    <row r="216" spans="1:11">
      <c r="A216" s="2769"/>
      <c r="B216" s="2467"/>
      <c r="C216" s="2120"/>
      <c r="D216" s="2231"/>
      <c r="E216" s="2511">
        <f>SUM(E212:E215)</f>
        <v>4000000</v>
      </c>
      <c r="F216" s="2510"/>
      <c r="G216" s="2512"/>
      <c r="H216" s="2468"/>
      <c r="I216" s="2468"/>
      <c r="J216" s="2513"/>
      <c r="K216" s="2535"/>
    </row>
    <row r="219" spans="1:11">
      <c r="A219" s="2772" t="s">
        <v>1898</v>
      </c>
      <c r="B219" s="2773"/>
      <c r="C219" s="2301"/>
      <c r="D219" s="2489">
        <f>E207+E199+E216</f>
        <v>18980000</v>
      </c>
    </row>
    <row r="220" spans="1:11">
      <c r="A220" s="2774" t="s">
        <v>1899</v>
      </c>
      <c r="B220" s="2775"/>
      <c r="C220" s="462"/>
      <c r="D220" s="2490"/>
    </row>
    <row r="221" spans="1:11">
      <c r="A221" s="2766" t="s">
        <v>1900</v>
      </c>
      <c r="B221" s="2767"/>
      <c r="C221" s="2483"/>
      <c r="D221" s="2491"/>
    </row>
    <row r="225" spans="1:17" ht="15"/>
    <row r="226" spans="1:17" ht="33.75">
      <c r="A226" s="2776" t="s">
        <v>1993</v>
      </c>
      <c r="B226" s="2777"/>
      <c r="C226" s="2777"/>
      <c r="D226" s="2777"/>
      <c r="E226" s="2777"/>
      <c r="F226" s="2777"/>
      <c r="G226" s="2777"/>
      <c r="H226" s="2777"/>
      <c r="I226" s="2777"/>
      <c r="J226" s="2777"/>
      <c r="K226" s="2777"/>
      <c r="L226" s="2778"/>
    </row>
    <row r="227" spans="1:17" ht="20.25">
      <c r="A227" s="2779" t="s">
        <v>1667</v>
      </c>
      <c r="B227" s="2771"/>
      <c r="C227" s="2771"/>
      <c r="D227" s="2771"/>
      <c r="E227" s="2771"/>
      <c r="F227" s="2771"/>
      <c r="G227" s="2771"/>
      <c r="H227" s="2771"/>
      <c r="I227" s="2771"/>
      <c r="J227" s="2771"/>
      <c r="K227" s="2771"/>
      <c r="L227" s="2556"/>
      <c r="M227" s="2780" t="s">
        <v>1805</v>
      </c>
      <c r="N227" s="2780"/>
      <c r="O227" s="2780"/>
      <c r="P227" s="2780"/>
      <c r="Q227" s="2557"/>
    </row>
    <row r="228" spans="1:17" ht="15">
      <c r="A228" s="2563" t="s">
        <v>1806</v>
      </c>
      <c r="B228" s="2564" t="s">
        <v>1807</v>
      </c>
      <c r="C228" s="2563" t="s">
        <v>1808</v>
      </c>
      <c r="D228" s="2563" t="s">
        <v>1809</v>
      </c>
      <c r="E228" s="2565" t="s">
        <v>1810</v>
      </c>
      <c r="F228" s="2563" t="s">
        <v>1811</v>
      </c>
      <c r="G228" s="2566" t="s">
        <v>1812</v>
      </c>
      <c r="H228" s="2564" t="s">
        <v>1813</v>
      </c>
      <c r="I228" s="2563" t="s">
        <v>1814</v>
      </c>
      <c r="J228" s="2563" t="s">
        <v>1971</v>
      </c>
      <c r="K228" s="2563" t="s">
        <v>1815</v>
      </c>
      <c r="L228" s="2563" t="s">
        <v>1972</v>
      </c>
      <c r="M228" s="2563" t="s">
        <v>1807</v>
      </c>
      <c r="N228" s="2563" t="s">
        <v>1809</v>
      </c>
      <c r="O228" s="2563" t="s">
        <v>1816</v>
      </c>
      <c r="P228" s="2567" t="s">
        <v>1811</v>
      </c>
      <c r="Q228" s="2568" t="s">
        <v>1817</v>
      </c>
    </row>
    <row r="229" spans="1:17" ht="15">
      <c r="A229" s="2832" t="s">
        <v>1994</v>
      </c>
      <c r="B229" s="121">
        <v>15463</v>
      </c>
      <c r="C229" s="2657">
        <v>0.08</v>
      </c>
      <c r="D229" s="2175" t="s">
        <v>1995</v>
      </c>
      <c r="E229" s="2509">
        <v>5200000</v>
      </c>
      <c r="F229" s="2664">
        <v>0.04</v>
      </c>
      <c r="G229" s="2509">
        <f>E229*F229</f>
        <v>208000</v>
      </c>
      <c r="H229" s="2494" t="s">
        <v>1980</v>
      </c>
      <c r="I229" s="2492" t="s">
        <v>1633</v>
      </c>
      <c r="J229" s="2492"/>
      <c r="K229" s="257" t="s">
        <v>1974</v>
      </c>
      <c r="L229" s="2"/>
      <c r="M229" s="11"/>
      <c r="N229" s="11"/>
      <c r="O229" s="11"/>
      <c r="P229" s="512"/>
      <c r="Q229" s="11"/>
    </row>
    <row r="230" spans="1:17" ht="15">
      <c r="A230" s="2781"/>
      <c r="B230" s="2653">
        <v>15481</v>
      </c>
      <c r="C230" s="2654">
        <v>0.1</v>
      </c>
      <c r="D230" s="2175" t="s">
        <v>1996</v>
      </c>
      <c r="E230" s="2509">
        <v>1300000</v>
      </c>
      <c r="F230" s="2664">
        <v>0.1</v>
      </c>
      <c r="G230" s="2509">
        <f t="shared" ref="G230:G234" si="10">E230*F230</f>
        <v>130000</v>
      </c>
      <c r="H230" s="2494" t="s">
        <v>1826</v>
      </c>
      <c r="I230" s="2492" t="s">
        <v>1707</v>
      </c>
      <c r="J230" s="2492"/>
      <c r="K230" s="2536" t="s">
        <v>1974</v>
      </c>
      <c r="L230" s="2492"/>
      <c r="M230" s="2175"/>
      <c r="N230" s="2231"/>
      <c r="O230" s="2667"/>
      <c r="P230" s="2674"/>
      <c r="Q230" s="2667"/>
    </row>
    <row r="231" spans="1:17" ht="15">
      <c r="A231" s="2781"/>
      <c r="B231" s="2653">
        <v>15534</v>
      </c>
      <c r="C231" s="2654">
        <v>0.1</v>
      </c>
      <c r="D231" s="2175" t="s">
        <v>1997</v>
      </c>
      <c r="E231" s="2509">
        <v>3500000</v>
      </c>
      <c r="F231" s="2664">
        <v>0.1</v>
      </c>
      <c r="G231" s="2509">
        <f t="shared" si="10"/>
        <v>350000</v>
      </c>
      <c r="H231" s="2494" t="s">
        <v>1826</v>
      </c>
      <c r="I231" s="2492" t="s">
        <v>1707</v>
      </c>
      <c r="J231" s="2492"/>
      <c r="K231" s="2536" t="s">
        <v>1974</v>
      </c>
      <c r="L231" s="2492"/>
      <c r="M231" s="11"/>
      <c r="N231" s="11"/>
      <c r="O231" s="11"/>
      <c r="P231" s="512"/>
      <c r="Q231" s="11"/>
    </row>
    <row r="232" spans="1:17" ht="15">
      <c r="A232" s="2781"/>
      <c r="B232" s="121">
        <v>15548</v>
      </c>
      <c r="C232" s="2654">
        <v>0.1</v>
      </c>
      <c r="D232" s="2175" t="s">
        <v>1998</v>
      </c>
      <c r="E232" s="2509">
        <v>1800000</v>
      </c>
      <c r="F232" s="2731">
        <v>0.1</v>
      </c>
      <c r="G232" s="2509">
        <f t="shared" si="10"/>
        <v>180000</v>
      </c>
      <c r="H232" s="2494" t="s">
        <v>1826</v>
      </c>
      <c r="I232" s="2492" t="s">
        <v>1707</v>
      </c>
      <c r="J232" s="2492"/>
      <c r="K232" s="257" t="s">
        <v>1974</v>
      </c>
      <c r="L232" s="2492"/>
      <c r="M232" s="11"/>
      <c r="N232" s="11"/>
      <c r="O232" s="11"/>
      <c r="P232" s="512"/>
      <c r="Q232" s="11"/>
    </row>
    <row r="233" spans="1:17" ht="15">
      <c r="A233" s="2781"/>
      <c r="B233" s="121">
        <v>15564</v>
      </c>
      <c r="C233" s="2654">
        <v>0.1</v>
      </c>
      <c r="D233" s="2175" t="s">
        <v>1999</v>
      </c>
      <c r="E233" s="2509">
        <v>1300000</v>
      </c>
      <c r="F233" s="2664">
        <v>0.1</v>
      </c>
      <c r="G233" s="2509">
        <f t="shared" si="10"/>
        <v>130000</v>
      </c>
      <c r="H233" s="2494" t="s">
        <v>1826</v>
      </c>
      <c r="I233" s="2492" t="s">
        <v>1633</v>
      </c>
      <c r="J233" s="2492"/>
      <c r="K233" s="257" t="s">
        <v>1974</v>
      </c>
      <c r="L233" s="2492"/>
      <c r="M233" s="11"/>
      <c r="N233" s="11"/>
      <c r="O233" s="11"/>
      <c r="P233" s="512"/>
      <c r="Q233" s="11"/>
    </row>
    <row r="234" spans="1:17" ht="15">
      <c r="A234" s="2781"/>
      <c r="B234" s="121">
        <v>15595</v>
      </c>
      <c r="C234" s="2654">
        <v>0.1</v>
      </c>
      <c r="D234" s="2175" t="s">
        <v>2000</v>
      </c>
      <c r="E234" s="2509">
        <v>1150000</v>
      </c>
      <c r="F234" s="2664">
        <v>0.1</v>
      </c>
      <c r="G234" s="2509">
        <f t="shared" si="10"/>
        <v>115000</v>
      </c>
      <c r="H234" s="2494" t="s">
        <v>1826</v>
      </c>
      <c r="I234" s="2492" t="s">
        <v>1707</v>
      </c>
      <c r="J234" s="2492"/>
      <c r="K234" s="257" t="s">
        <v>1974</v>
      </c>
      <c r="L234" s="2492"/>
      <c r="M234" s="11"/>
      <c r="N234" s="11"/>
      <c r="O234" s="11"/>
      <c r="P234" s="512"/>
      <c r="Q234" s="11"/>
    </row>
    <row r="235" spans="1:17" ht="15">
      <c r="A235" s="2781"/>
      <c r="B235" s="1003"/>
      <c r="C235" s="2724">
        <v>0.09</v>
      </c>
      <c r="D235" s="2649" t="s">
        <v>2001</v>
      </c>
      <c r="E235" s="2509"/>
      <c r="F235" s="2664"/>
      <c r="G235" s="2509"/>
      <c r="H235" s="2494"/>
      <c r="I235" s="2492"/>
      <c r="J235" s="2492"/>
      <c r="K235" s="257" t="s">
        <v>2002</v>
      </c>
      <c r="L235" s="2492"/>
      <c r="M235" s="11"/>
      <c r="N235" s="11"/>
      <c r="O235" s="11"/>
      <c r="P235" s="512"/>
      <c r="Q235" s="11"/>
    </row>
    <row r="236" spans="1:17" ht="15">
      <c r="A236" s="2781"/>
      <c r="B236" s="2647"/>
      <c r="C236" s="2726">
        <v>0.08</v>
      </c>
      <c r="D236" s="2649" t="s">
        <v>2003</v>
      </c>
      <c r="E236" s="2509"/>
      <c r="F236" s="2664"/>
      <c r="G236" s="2509"/>
      <c r="H236" s="2494"/>
      <c r="I236" s="2492"/>
      <c r="J236" s="2492"/>
      <c r="K236" s="2536" t="s">
        <v>2004</v>
      </c>
      <c r="L236" s="2492"/>
      <c r="M236" s="11"/>
      <c r="N236" s="11"/>
      <c r="O236" s="11"/>
      <c r="P236" s="512"/>
      <c r="Q236" s="11"/>
    </row>
    <row r="237" spans="1:17" ht="15">
      <c r="A237" s="2782"/>
      <c r="B237" s="2494"/>
      <c r="C237" s="2492"/>
      <c r="D237" s="257"/>
      <c r="E237" s="2669">
        <f>SUM(E229:E236)</f>
        <v>14250000</v>
      </c>
      <c r="F237" s="2668"/>
      <c r="G237" s="2669">
        <f>SUM(G229:G236)</f>
        <v>1113000</v>
      </c>
      <c r="H237" s="2494"/>
      <c r="I237" s="2492"/>
      <c r="J237" s="2492"/>
      <c r="K237" s="257"/>
      <c r="L237" s="2"/>
      <c r="M237" s="11"/>
      <c r="N237" s="11"/>
      <c r="O237" s="11"/>
      <c r="P237" s="2664"/>
      <c r="Q237" s="2509"/>
    </row>
    <row r="238" spans="1:17" ht="15">
      <c r="E238" s="2670" t="s">
        <v>1990</v>
      </c>
      <c r="F238" s="2671"/>
      <c r="G238" s="2672">
        <f>G237+Q237</f>
        <v>1113000</v>
      </c>
    </row>
    <row r="239" spans="1:17" ht="15"/>
    <row r="240" spans="1:17" ht="20.25">
      <c r="A240" s="2771" t="s">
        <v>732</v>
      </c>
      <c r="B240" s="2771"/>
      <c r="C240" s="2771"/>
      <c r="D240" s="2771"/>
      <c r="E240" s="2771"/>
      <c r="F240" s="2771"/>
      <c r="G240" s="2771"/>
      <c r="H240" s="2771"/>
      <c r="I240" s="2771"/>
      <c r="J240" s="2771"/>
      <c r="K240" s="2771"/>
    </row>
    <row r="241" spans="1:17" ht="15">
      <c r="A241" s="2558" t="s">
        <v>1806</v>
      </c>
      <c r="B241" s="2559" t="s">
        <v>1807</v>
      </c>
      <c r="C241" s="2558" t="s">
        <v>1808</v>
      </c>
      <c r="D241" s="2558" t="s">
        <v>1809</v>
      </c>
      <c r="E241" s="2560" t="s">
        <v>1810</v>
      </c>
      <c r="F241" s="2558" t="s">
        <v>1811</v>
      </c>
      <c r="G241" s="2561" t="s">
        <v>1812</v>
      </c>
      <c r="H241" s="2559" t="s">
        <v>1813</v>
      </c>
      <c r="I241" s="2562" t="s">
        <v>1814</v>
      </c>
      <c r="J241" s="2590" t="s">
        <v>1971</v>
      </c>
      <c r="K241" s="2558" t="s">
        <v>1815</v>
      </c>
    </row>
    <row r="242" spans="1:17" ht="15">
      <c r="A242" s="2852" t="s">
        <v>2005</v>
      </c>
      <c r="B242" s="121">
        <v>15677</v>
      </c>
      <c r="C242" s="740">
        <v>0.1</v>
      </c>
      <c r="D242" s="2175" t="s">
        <v>2006</v>
      </c>
      <c r="E242" s="2509">
        <v>2300000</v>
      </c>
      <c r="F242" s="2664">
        <v>0.1</v>
      </c>
      <c r="G242" s="2509">
        <f>E242*F242</f>
        <v>230000</v>
      </c>
      <c r="H242" s="2494" t="s">
        <v>1980</v>
      </c>
      <c r="I242" s="2492" t="s">
        <v>1633</v>
      </c>
      <c r="J242" s="2492"/>
      <c r="K242" s="257"/>
      <c r="L242" s="2"/>
      <c r="M242" s="11"/>
      <c r="N242" s="11"/>
      <c r="O242" s="11"/>
      <c r="P242" s="512"/>
      <c r="Q242" s="11"/>
    </row>
    <row r="243" spans="1:17" ht="15">
      <c r="A243" s="2769"/>
      <c r="B243" s="50"/>
      <c r="C243" s="50"/>
      <c r="D243" s="2231"/>
      <c r="E243" s="2511"/>
      <c r="F243" s="2510"/>
      <c r="G243" s="2512"/>
      <c r="H243" s="2468"/>
      <c r="I243" s="2468"/>
      <c r="J243" s="2513"/>
      <c r="K243" s="2535"/>
    </row>
    <row r="244" spans="1:17" ht="15">
      <c r="A244" s="2769"/>
      <c r="B244" s="50"/>
      <c r="C244" s="50"/>
      <c r="D244" s="2231"/>
      <c r="E244" s="2231"/>
      <c r="F244" s="50"/>
      <c r="G244" s="2231"/>
      <c r="H244" s="2677"/>
      <c r="I244" s="50"/>
      <c r="J244" s="2216"/>
      <c r="K244" s="2231"/>
    </row>
    <row r="245" spans="1:17" ht="15">
      <c r="A245" s="2769"/>
      <c r="B245" s="2494"/>
      <c r="C245" s="2492"/>
      <c r="D245" s="257"/>
      <c r="E245" s="2669">
        <f>SUM(E242:E244)</f>
        <v>2300000</v>
      </c>
      <c r="F245" s="2668"/>
      <c r="G245" s="2669"/>
      <c r="H245" s="2494"/>
      <c r="I245" s="2492"/>
      <c r="J245" s="2492"/>
      <c r="K245" s="257"/>
      <c r="L245" s="2"/>
      <c r="M245" s="11"/>
      <c r="N245" s="11"/>
      <c r="O245" s="11"/>
      <c r="P245" s="2664"/>
      <c r="Q245" s="2509"/>
    </row>
    <row r="246" spans="1:17" ht="15">
      <c r="A246" s="2769"/>
      <c r="E246" s="2670" t="s">
        <v>1990</v>
      </c>
      <c r="F246" s="2671"/>
      <c r="G246" s="2672">
        <f>G245+Q245</f>
        <v>0</v>
      </c>
    </row>
    <row r="247" spans="1:17" ht="15"/>
    <row r="248" spans="1:17" ht="15"/>
    <row r="249" spans="1:17" ht="15">
      <c r="A249" s="2772" t="s">
        <v>1898</v>
      </c>
      <c r="B249" s="2773"/>
      <c r="C249" s="2301"/>
      <c r="D249" s="2489">
        <f>E245+E237</f>
        <v>16550000</v>
      </c>
    </row>
    <row r="250" spans="1:17" ht="15">
      <c r="A250" s="2774" t="s">
        <v>1899</v>
      </c>
      <c r="B250" s="2775"/>
      <c r="C250" s="462"/>
      <c r="D250" s="2490"/>
    </row>
    <row r="251" spans="1:17" ht="15">
      <c r="A251" s="2766" t="s">
        <v>1900</v>
      </c>
      <c r="B251" s="2767"/>
      <c r="C251" s="2483"/>
      <c r="D251" s="2491">
        <v>1800000</v>
      </c>
    </row>
    <row r="252" spans="1:17" ht="15"/>
    <row r="253" spans="1:17" ht="15"/>
    <row r="254" spans="1:17" ht="33.75">
      <c r="A254" s="2776" t="s">
        <v>2007</v>
      </c>
      <c r="B254" s="2777"/>
      <c r="C254" s="2777"/>
      <c r="D254" s="2777"/>
      <c r="E254" s="2777"/>
      <c r="F254" s="2777"/>
      <c r="G254" s="2777"/>
      <c r="H254" s="2777"/>
      <c r="I254" s="2777"/>
      <c r="J254" s="2777"/>
      <c r="K254" s="2777"/>
      <c r="L254" s="2778"/>
    </row>
    <row r="255" spans="1:17" ht="20.25">
      <c r="A255" s="2779" t="s">
        <v>1667</v>
      </c>
      <c r="B255" s="2771"/>
      <c r="C255" s="2771"/>
      <c r="D255" s="2771"/>
      <c r="E255" s="2771"/>
      <c r="F255" s="2771"/>
      <c r="G255" s="2771"/>
      <c r="H255" s="2771"/>
      <c r="I255" s="2771"/>
      <c r="J255" s="2771"/>
      <c r="K255" s="2771"/>
      <c r="L255" s="2556"/>
      <c r="M255" s="2780" t="s">
        <v>1805</v>
      </c>
      <c r="N255" s="2780"/>
      <c r="O255" s="2780"/>
      <c r="P255" s="2780"/>
      <c r="Q255" s="2557"/>
    </row>
    <row r="256" spans="1:17" ht="15">
      <c r="A256" s="2563" t="s">
        <v>1806</v>
      </c>
      <c r="B256" s="2564" t="s">
        <v>1807</v>
      </c>
      <c r="C256" s="2563" t="s">
        <v>1808</v>
      </c>
      <c r="D256" s="2563" t="s">
        <v>1809</v>
      </c>
      <c r="E256" s="2565" t="s">
        <v>1810</v>
      </c>
      <c r="F256" s="2563" t="s">
        <v>1811</v>
      </c>
      <c r="G256" s="2566" t="s">
        <v>1812</v>
      </c>
      <c r="H256" s="2564" t="s">
        <v>1813</v>
      </c>
      <c r="I256" s="2563" t="s">
        <v>1814</v>
      </c>
      <c r="J256" s="2563" t="s">
        <v>1971</v>
      </c>
      <c r="K256" s="2563" t="s">
        <v>1815</v>
      </c>
      <c r="L256" s="2563" t="s">
        <v>1972</v>
      </c>
      <c r="M256" s="2563" t="s">
        <v>1807</v>
      </c>
      <c r="N256" s="2563" t="s">
        <v>1809</v>
      </c>
      <c r="O256" s="2563" t="s">
        <v>1816</v>
      </c>
      <c r="P256" s="2567" t="s">
        <v>1811</v>
      </c>
      <c r="Q256" s="2568" t="s">
        <v>1817</v>
      </c>
    </row>
    <row r="257" spans="1:17" ht="15">
      <c r="A257" s="2781"/>
      <c r="B257" s="2696">
        <v>15680</v>
      </c>
      <c r="C257" s="2697">
        <v>0.1</v>
      </c>
      <c r="D257" s="2670" t="s">
        <v>2008</v>
      </c>
      <c r="E257" s="2509"/>
      <c r="F257" s="2664">
        <v>0.04</v>
      </c>
      <c r="G257" s="2509"/>
      <c r="H257" s="2494" t="s">
        <v>1980</v>
      </c>
      <c r="I257" s="2492" t="s">
        <v>1707</v>
      </c>
      <c r="J257" s="2492"/>
      <c r="K257" s="2536"/>
      <c r="L257" s="2492"/>
      <c r="M257" s="11"/>
      <c r="N257" s="11"/>
      <c r="O257" s="11"/>
      <c r="P257" s="512"/>
      <c r="Q257" s="11"/>
    </row>
    <row r="258" spans="1:17" ht="15">
      <c r="A258" s="2781"/>
      <c r="B258" s="50"/>
      <c r="C258" s="2727"/>
      <c r="D258" s="2231"/>
      <c r="E258" s="2667"/>
      <c r="F258" s="2728"/>
      <c r="G258" s="2667"/>
      <c r="H258" s="2677"/>
      <c r="I258" s="50"/>
      <c r="J258" s="50"/>
      <c r="K258" s="2231"/>
      <c r="L258" s="50"/>
      <c r="M258" s="11"/>
      <c r="N258" s="11"/>
      <c r="O258" s="11"/>
      <c r="P258" s="512"/>
      <c r="Q258" s="11"/>
    </row>
    <row r="259" spans="1:17" ht="15">
      <c r="A259" s="2781"/>
      <c r="B259" s="50"/>
      <c r="C259" s="2727"/>
      <c r="D259" s="2231"/>
      <c r="E259" s="2667"/>
      <c r="F259" s="2674"/>
      <c r="G259" s="2667"/>
      <c r="H259" s="2677"/>
      <c r="I259" s="50"/>
      <c r="J259" s="50"/>
      <c r="K259" s="2231"/>
      <c r="L259" s="50"/>
      <c r="M259" s="11"/>
      <c r="N259" s="11"/>
      <c r="O259" s="11"/>
      <c r="P259" s="512"/>
      <c r="Q259" s="11"/>
    </row>
    <row r="260" spans="1:17" ht="15">
      <c r="A260" s="2781"/>
      <c r="B260" s="50"/>
      <c r="C260" s="2727"/>
      <c r="D260" s="2231"/>
      <c r="E260" s="2667"/>
      <c r="F260" s="2674"/>
      <c r="G260" s="2667"/>
      <c r="H260" s="2677"/>
      <c r="I260" s="50"/>
      <c r="J260" s="50"/>
      <c r="K260" s="2231"/>
      <c r="L260" s="50"/>
      <c r="M260" s="11"/>
      <c r="N260" s="11"/>
      <c r="O260" s="11"/>
      <c r="P260" s="512"/>
      <c r="Q260" s="11"/>
    </row>
    <row r="261" spans="1:17" ht="15">
      <c r="A261" s="2781"/>
      <c r="B261" s="50"/>
      <c r="C261" s="2674"/>
      <c r="D261" s="2231"/>
      <c r="E261" s="2667"/>
      <c r="F261" s="50"/>
      <c r="G261" s="2231"/>
      <c r="H261" s="2677"/>
      <c r="I261" s="50"/>
      <c r="J261" s="50"/>
      <c r="K261" s="2231"/>
      <c r="L261" s="51"/>
      <c r="M261" s="11"/>
      <c r="N261" s="11"/>
      <c r="O261" s="11"/>
      <c r="P261" s="512"/>
      <c r="Q261" s="11"/>
    </row>
    <row r="262" spans="1:17" ht="15">
      <c r="A262" s="2781"/>
      <c r="B262" s="50"/>
      <c r="C262" s="2674"/>
      <c r="D262" s="2231"/>
      <c r="E262" s="2667"/>
      <c r="F262" s="2674"/>
      <c r="G262" s="2667"/>
      <c r="H262" s="2677"/>
      <c r="I262" s="50"/>
      <c r="J262" s="50"/>
      <c r="K262" s="2231"/>
      <c r="L262" s="50"/>
      <c r="M262" s="11"/>
      <c r="N262" s="11"/>
      <c r="O262" s="11"/>
      <c r="P262" s="512"/>
      <c r="Q262" s="11"/>
    </row>
    <row r="263" spans="1:17" ht="15">
      <c r="A263" s="2781"/>
      <c r="B263" s="2677"/>
      <c r="C263" s="2728"/>
      <c r="D263" s="2231"/>
      <c r="E263" s="2667"/>
      <c r="F263" s="2674"/>
      <c r="G263" s="2667"/>
      <c r="H263" s="2677"/>
      <c r="I263" s="50"/>
      <c r="J263" s="50"/>
      <c r="K263" s="2729"/>
      <c r="L263" s="50"/>
      <c r="M263" s="11"/>
      <c r="N263" s="11"/>
      <c r="O263" s="11"/>
      <c r="P263" s="512"/>
      <c r="Q263" s="11"/>
    </row>
    <row r="264" spans="1:17" ht="15">
      <c r="A264" s="2782"/>
      <c r="B264" s="2677"/>
      <c r="C264" s="50"/>
      <c r="D264" s="2231"/>
      <c r="E264" s="2730"/>
      <c r="F264" s="2284"/>
      <c r="G264" s="2730"/>
      <c r="H264" s="2677"/>
      <c r="I264" s="50"/>
      <c r="J264" s="50"/>
      <c r="K264" s="2231"/>
      <c r="L264" s="51"/>
      <c r="M264" s="11"/>
      <c r="N264" s="11"/>
      <c r="O264" s="11"/>
      <c r="P264" s="2664"/>
      <c r="Q264" s="2509"/>
    </row>
    <row r="265" spans="1:17" ht="15">
      <c r="E265" s="2670" t="s">
        <v>1990</v>
      </c>
      <c r="F265" s="2671"/>
      <c r="G265" s="2672">
        <f>G264+Q264</f>
        <v>0</v>
      </c>
    </row>
    <row r="266" spans="1:17" ht="15">
      <c r="G266" s="2403">
        <f>SUM(G257:G265)</f>
        <v>0</v>
      </c>
    </row>
    <row r="267" spans="1:17" ht="15"/>
    <row r="268" spans="1:17" ht="20.25">
      <c r="A268" s="2783"/>
      <c r="B268" s="2784"/>
      <c r="C268" s="2784"/>
      <c r="D268" s="2784"/>
      <c r="E268" s="2784"/>
      <c r="F268" s="2784"/>
      <c r="G268" s="2784"/>
      <c r="H268" s="2784"/>
      <c r="I268" s="2784"/>
      <c r="J268" s="2784"/>
      <c r="K268" s="2785"/>
      <c r="L268" s="2584"/>
      <c r="M268" s="2786" t="s">
        <v>1805</v>
      </c>
      <c r="N268" s="2787"/>
      <c r="O268" s="2787"/>
      <c r="P268" s="2788"/>
      <c r="Q268" s="2585"/>
    </row>
    <row r="269" spans="1:17" ht="15">
      <c r="A269" s="2563" t="s">
        <v>1806</v>
      </c>
      <c r="B269" s="2564" t="s">
        <v>1807</v>
      </c>
      <c r="C269" s="2563" t="s">
        <v>1808</v>
      </c>
      <c r="D269" s="2563" t="s">
        <v>1809</v>
      </c>
      <c r="E269" s="2565" t="s">
        <v>1810</v>
      </c>
      <c r="F269" s="2563" t="s">
        <v>1811</v>
      </c>
      <c r="G269" s="2566" t="s">
        <v>1812</v>
      </c>
      <c r="H269" s="2564" t="s">
        <v>1813</v>
      </c>
      <c r="I269" s="2563" t="s">
        <v>1814</v>
      </c>
      <c r="J269" s="2563" t="s">
        <v>1971</v>
      </c>
      <c r="K269" s="2563" t="s">
        <v>1815</v>
      </c>
      <c r="L269" s="2563" t="s">
        <v>1972</v>
      </c>
      <c r="M269" s="2563" t="s">
        <v>1807</v>
      </c>
      <c r="N269" s="2563" t="s">
        <v>1809</v>
      </c>
      <c r="O269" s="2563" t="s">
        <v>1816</v>
      </c>
      <c r="P269" s="2567" t="s">
        <v>1811</v>
      </c>
      <c r="Q269" s="2568" t="s">
        <v>1817</v>
      </c>
    </row>
    <row r="270" spans="1:17" s="503" customFormat="1" ht="15">
      <c r="A270" s="2768"/>
      <c r="B270" s="2678"/>
      <c r="C270" s="2679"/>
      <c r="D270" s="2680"/>
      <c r="E270" s="2681"/>
      <c r="F270" s="2682"/>
      <c r="G270" s="2683"/>
      <c r="H270" s="2684"/>
      <c r="I270" s="2685"/>
      <c r="J270" s="2686"/>
      <c r="K270" s="2687"/>
      <c r="L270" s="2393"/>
      <c r="M270" s="2452"/>
      <c r="N270" s="2393"/>
      <c r="O270" s="2393"/>
      <c r="P270" s="1688"/>
      <c r="Q270" s="51"/>
    </row>
    <row r="271" spans="1:17" ht="15">
      <c r="A271" s="2769"/>
      <c r="B271" s="50"/>
      <c r="C271" s="2679"/>
      <c r="D271" s="2688"/>
      <c r="E271" s="2689"/>
      <c r="F271" s="2690"/>
      <c r="G271" s="2691"/>
      <c r="H271" s="2677"/>
      <c r="I271" s="50"/>
      <c r="J271" s="2686"/>
      <c r="K271" s="2691"/>
      <c r="L271" s="51"/>
      <c r="M271" s="34"/>
      <c r="N271" s="34"/>
      <c r="O271" s="34"/>
      <c r="P271" s="512"/>
      <c r="Q271" s="11"/>
    </row>
    <row r="272" spans="1:17" ht="15">
      <c r="A272" s="2770"/>
      <c r="B272" s="2677"/>
      <c r="C272" s="50"/>
      <c r="D272" s="2691"/>
      <c r="E272" s="2667"/>
      <c r="F272" s="2691"/>
      <c r="G272" s="2692"/>
      <c r="H272" s="2677"/>
      <c r="I272" s="50"/>
      <c r="J272" s="2691"/>
      <c r="K272" s="2691"/>
      <c r="L272" s="51"/>
      <c r="M272" s="34"/>
      <c r="N272" s="34"/>
      <c r="O272" s="34"/>
      <c r="P272" s="512"/>
      <c r="Q272" s="11"/>
    </row>
    <row r="273" spans="1:11" ht="15"/>
    <row r="274" spans="1:11" ht="15"/>
    <row r="275" spans="1:11" ht="20.25">
      <c r="A275" s="2771" t="s">
        <v>732</v>
      </c>
      <c r="B275" s="2771"/>
      <c r="C275" s="2771"/>
      <c r="D275" s="2771"/>
      <c r="E275" s="2771"/>
      <c r="F275" s="2771"/>
      <c r="G275" s="2771"/>
      <c r="H275" s="2771"/>
      <c r="I275" s="2771"/>
      <c r="J275" s="2771"/>
      <c r="K275" s="2771"/>
    </row>
    <row r="276" spans="1:11" ht="15">
      <c r="A276" s="2558" t="s">
        <v>1806</v>
      </c>
      <c r="B276" s="2559" t="s">
        <v>1807</v>
      </c>
      <c r="C276" s="2558" t="s">
        <v>1808</v>
      </c>
      <c r="D276" s="2558" t="s">
        <v>1809</v>
      </c>
      <c r="E276" s="2560" t="s">
        <v>1810</v>
      </c>
      <c r="F276" s="2558" t="s">
        <v>1811</v>
      </c>
      <c r="G276" s="2561" t="s">
        <v>1812</v>
      </c>
      <c r="H276" s="2559" t="s">
        <v>1813</v>
      </c>
      <c r="I276" s="2562" t="s">
        <v>1814</v>
      </c>
      <c r="J276" s="2590" t="s">
        <v>1971</v>
      </c>
      <c r="K276" s="2558" t="s">
        <v>1815</v>
      </c>
    </row>
    <row r="277" spans="1:11" ht="15">
      <c r="A277" s="2769"/>
      <c r="B277" s="50"/>
      <c r="C277" s="2674"/>
      <c r="D277" s="2231"/>
      <c r="E277" s="2511"/>
      <c r="F277" s="2510"/>
      <c r="G277" s="2512"/>
      <c r="H277" s="2468"/>
      <c r="I277" s="2468"/>
      <c r="J277" s="2513"/>
      <c r="K277" s="2535"/>
    </row>
    <row r="278" spans="1:11" ht="15">
      <c r="A278" s="2769"/>
      <c r="B278" s="50"/>
      <c r="C278" s="50"/>
      <c r="D278" s="2231"/>
      <c r="E278" s="2511"/>
      <c r="F278" s="2510"/>
      <c r="G278" s="2512"/>
      <c r="H278" s="2468"/>
      <c r="I278" s="2468"/>
      <c r="J278" s="2513"/>
      <c r="K278" s="2535"/>
    </row>
    <row r="279" spans="1:11" ht="15">
      <c r="A279" s="2769"/>
      <c r="B279" s="50"/>
      <c r="C279" s="50"/>
      <c r="D279" s="2231"/>
      <c r="E279" s="2231"/>
      <c r="F279" s="50"/>
      <c r="G279" s="2231"/>
      <c r="H279" s="2677"/>
      <c r="I279" s="50"/>
      <c r="J279" s="2216"/>
      <c r="K279" s="2231"/>
    </row>
    <row r="280" spans="1:11" ht="15">
      <c r="A280" s="2769"/>
      <c r="B280" s="50"/>
      <c r="C280" s="50"/>
      <c r="D280" s="2231"/>
      <c r="E280" s="2231"/>
      <c r="F280" s="50"/>
      <c r="G280" s="2231"/>
      <c r="H280" s="2677"/>
      <c r="I280" s="50"/>
      <c r="J280" s="2216"/>
      <c r="K280" s="2231"/>
    </row>
    <row r="281" spans="1:11" ht="15">
      <c r="A281" s="2769"/>
      <c r="B281" s="2467"/>
      <c r="C281" s="2120"/>
      <c r="D281" s="2231"/>
      <c r="E281" s="2511"/>
      <c r="F281" s="2510"/>
      <c r="G281" s="2512"/>
      <c r="H281" s="2468"/>
      <c r="I281" s="2468"/>
      <c r="J281" s="2513"/>
      <c r="K281" s="2535"/>
    </row>
    <row r="282" spans="1:11" ht="15"/>
    <row r="283" spans="1:11" ht="15"/>
    <row r="284" spans="1:11" ht="15">
      <c r="A284" s="2772" t="s">
        <v>1898</v>
      </c>
      <c r="B284" s="2773"/>
      <c r="C284" s="2301"/>
      <c r="D284" s="2489">
        <f>E272+E264+E281</f>
        <v>0</v>
      </c>
    </row>
    <row r="285" spans="1:11" ht="15">
      <c r="A285" s="2774" t="s">
        <v>1899</v>
      </c>
      <c r="B285" s="2775"/>
      <c r="C285" s="462"/>
      <c r="D285" s="2490" t="e">
        <f>#REF!+#REF!+#REF!+#REF!+#REF!+#REF!+#REF!+#REF!+#REF!+#REF!</f>
        <v>#REF!</v>
      </c>
    </row>
    <row r="286" spans="1:11" ht="15">
      <c r="A286" s="2766" t="s">
        <v>1900</v>
      </c>
      <c r="B286" s="2767"/>
      <c r="C286" s="2483"/>
      <c r="D286" s="2491">
        <v>1800000</v>
      </c>
    </row>
    <row r="287" spans="1:11" ht="15"/>
    <row r="288" spans="1:11" ht="15"/>
    <row r="289" ht="15"/>
    <row r="290" ht="15"/>
    <row r="291" ht="15"/>
    <row r="292" ht="15"/>
    <row r="293" ht="15"/>
    <row r="296" ht="15"/>
    <row r="297" ht="15"/>
    <row r="298" ht="15"/>
    <row r="299" ht="15"/>
    <row r="300" ht="15"/>
  </sheetData>
  <mergeCells count="89">
    <mergeCell ref="A251:B251"/>
    <mergeCell ref="A240:K240"/>
    <mergeCell ref="A242:A246"/>
    <mergeCell ref="A249:B249"/>
    <mergeCell ref="A250:B250"/>
    <mergeCell ref="A226:L226"/>
    <mergeCell ref="A227:K227"/>
    <mergeCell ref="M227:P227"/>
    <mergeCell ref="A229:A237"/>
    <mergeCell ref="A2:K2"/>
    <mergeCell ref="A34:K34"/>
    <mergeCell ref="N173:P173"/>
    <mergeCell ref="A134:A142"/>
    <mergeCell ref="N141:P141"/>
    <mergeCell ref="A145:K145"/>
    <mergeCell ref="N159:P159"/>
    <mergeCell ref="D142:F142"/>
    <mergeCell ref="D160:F160"/>
    <mergeCell ref="A163:K163"/>
    <mergeCell ref="A147:A160"/>
    <mergeCell ref="A165:A174"/>
    <mergeCell ref="A70:K70"/>
    <mergeCell ref="N82:P82"/>
    <mergeCell ref="A97:A109"/>
    <mergeCell ref="N108:P108"/>
    <mergeCell ref="A112:K112"/>
    <mergeCell ref="M112:P112"/>
    <mergeCell ref="D109:F109"/>
    <mergeCell ref="A84:B84"/>
    <mergeCell ref="A85:B85"/>
    <mergeCell ref="A86:B86"/>
    <mergeCell ref="A88:B88"/>
    <mergeCell ref="A93:K93"/>
    <mergeCell ref="A95:K95"/>
    <mergeCell ref="M95:P95"/>
    <mergeCell ref="A89:B89"/>
    <mergeCell ref="M34:P34"/>
    <mergeCell ref="N67:P67"/>
    <mergeCell ref="A87:B87"/>
    <mergeCell ref="A72:A82"/>
    <mergeCell ref="A4:K4"/>
    <mergeCell ref="M4:P4"/>
    <mergeCell ref="N50:P50"/>
    <mergeCell ref="A6:A16"/>
    <mergeCell ref="N15:P15"/>
    <mergeCell ref="A19:K19"/>
    <mergeCell ref="M19:P19"/>
    <mergeCell ref="A21:A31"/>
    <mergeCell ref="N31:P31"/>
    <mergeCell ref="A36:A50"/>
    <mergeCell ref="A55:A67"/>
    <mergeCell ref="A53:K53"/>
    <mergeCell ref="A188:K188"/>
    <mergeCell ref="A185:L185"/>
    <mergeCell ref="A180:B180"/>
    <mergeCell ref="N128:P128"/>
    <mergeCell ref="D174:F174"/>
    <mergeCell ref="A114:A129"/>
    <mergeCell ref="D129:F129"/>
    <mergeCell ref="A176:B176"/>
    <mergeCell ref="A177:B177"/>
    <mergeCell ref="A178:B178"/>
    <mergeCell ref="A179:B179"/>
    <mergeCell ref="A132:K132"/>
    <mergeCell ref="M188:P188"/>
    <mergeCell ref="M132:P132"/>
    <mergeCell ref="A187:L187"/>
    <mergeCell ref="A181:B181"/>
    <mergeCell ref="M203:P203"/>
    <mergeCell ref="A220:B220"/>
    <mergeCell ref="A221:B221"/>
    <mergeCell ref="A205:A207"/>
    <mergeCell ref="A190:A199"/>
    <mergeCell ref="A210:K210"/>
    <mergeCell ref="A212:A216"/>
    <mergeCell ref="A219:B219"/>
    <mergeCell ref="A203:K203"/>
    <mergeCell ref="A254:L254"/>
    <mergeCell ref="A255:K255"/>
    <mergeCell ref="M255:P255"/>
    <mergeCell ref="A257:A264"/>
    <mergeCell ref="A268:K268"/>
    <mergeCell ref="M268:P268"/>
    <mergeCell ref="A286:B286"/>
    <mergeCell ref="A270:A272"/>
    <mergeCell ref="A275:K275"/>
    <mergeCell ref="A277:A281"/>
    <mergeCell ref="A284:B284"/>
    <mergeCell ref="A285:B285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CEF0-9758-4CE4-8088-AF9A17EF7B14}">
  <sheetPr>
    <tabColor theme="5" tint="0.39997558519241921"/>
  </sheetPr>
  <dimension ref="A1:G96"/>
  <sheetViews>
    <sheetView tabSelected="1" topLeftCell="A2" workbookViewId="0">
      <selection activeCell="E11" sqref="E11"/>
    </sheetView>
  </sheetViews>
  <sheetFormatPr defaultColWidth="8.85546875" defaultRowHeight="14.45"/>
  <cols>
    <col min="1" max="1" width="15.5703125" style="1" customWidth="1"/>
    <col min="2" max="2" width="16" style="2323" customWidth="1"/>
    <col min="3" max="3" width="55.42578125" style="1055" customWidth="1"/>
    <col min="4" max="4" width="17.28515625" style="2534" customWidth="1"/>
    <col min="5" max="5" width="9.140625" style="1"/>
    <col min="6" max="6" width="14.42578125" customWidth="1"/>
    <col min="7" max="7" width="16.140625" customWidth="1"/>
    <col min="10" max="10" width="13.28515625" customWidth="1"/>
    <col min="14" max="14" width="33.5703125" customWidth="1"/>
    <col min="15" max="15" width="11.85546875" bestFit="1" customWidth="1"/>
    <col min="17" max="17" width="19.42578125" customWidth="1"/>
  </cols>
  <sheetData>
    <row r="1" spans="1:7" ht="46.5">
      <c r="A1" s="2861" t="s">
        <v>1969</v>
      </c>
      <c r="B1" s="2861"/>
      <c r="C1" s="2861"/>
      <c r="D1" s="2861"/>
      <c r="E1" s="2861"/>
      <c r="F1" s="2861"/>
    </row>
    <row r="3" spans="1:7" ht="33.75">
      <c r="A3" s="2862" t="s">
        <v>2009</v>
      </c>
      <c r="B3" s="2862"/>
      <c r="C3" s="2862"/>
      <c r="D3" s="2862"/>
      <c r="E3" s="2862"/>
      <c r="F3" s="2862"/>
      <c r="G3" s="2862"/>
    </row>
    <row r="4" spans="1:7" ht="15">
      <c r="A4" s="2853" t="s">
        <v>2010</v>
      </c>
      <c r="B4" s="2853"/>
      <c r="C4" s="2853"/>
      <c r="D4" s="2853"/>
      <c r="E4" s="2853"/>
      <c r="F4" s="2853"/>
      <c r="G4" s="2853"/>
    </row>
    <row r="5" spans="1:7" ht="15">
      <c r="A5" s="2854"/>
      <c r="B5" s="2854"/>
      <c r="C5" s="2854"/>
      <c r="D5" s="2854"/>
      <c r="E5" s="2854"/>
      <c r="F5" s="2854"/>
      <c r="G5" s="2854"/>
    </row>
    <row r="6" spans="1:7" ht="15">
      <c r="A6" s="2515" t="s">
        <v>2011</v>
      </c>
      <c r="B6" s="2438" t="s">
        <v>1808</v>
      </c>
      <c r="C6" s="2493" t="s">
        <v>2012</v>
      </c>
      <c r="D6" s="2533" t="s">
        <v>2013</v>
      </c>
      <c r="E6" s="2223" t="s">
        <v>1811</v>
      </c>
      <c r="F6" s="281" t="s">
        <v>1817</v>
      </c>
      <c r="G6" s="2168" t="s">
        <v>2014</v>
      </c>
    </row>
    <row r="7" spans="1:7" ht="15">
      <c r="A7" s="2653">
        <v>15205</v>
      </c>
      <c r="B7" s="2654">
        <v>0.1</v>
      </c>
      <c r="C7" s="2175" t="s">
        <v>1973</v>
      </c>
      <c r="D7" s="2509">
        <v>1200000</v>
      </c>
      <c r="E7" s="2676">
        <v>0.05</v>
      </c>
      <c r="F7" s="2591">
        <f>D7*E7</f>
        <v>60000</v>
      </c>
      <c r="G7" s="2592"/>
    </row>
    <row r="8" spans="1:7" ht="15">
      <c r="A8" s="2653">
        <v>15194</v>
      </c>
      <c r="B8" s="2654">
        <v>0.1</v>
      </c>
      <c r="C8" s="2175" t="s">
        <v>1977</v>
      </c>
      <c r="D8" s="2509">
        <v>1300000</v>
      </c>
      <c r="E8" s="2676">
        <v>0.05</v>
      </c>
      <c r="F8" s="2591">
        <f t="shared" ref="F8:F15" si="0">D8*E8</f>
        <v>65000</v>
      </c>
      <c r="G8" s="2592"/>
    </row>
    <row r="9" spans="1:7" ht="15">
      <c r="A9" s="2653">
        <v>15141</v>
      </c>
      <c r="B9" s="2654">
        <v>0.1</v>
      </c>
      <c r="C9" s="2175" t="s">
        <v>1979</v>
      </c>
      <c r="D9" s="2509">
        <v>1330000</v>
      </c>
      <c r="E9" s="2676">
        <v>0.05</v>
      </c>
      <c r="F9" s="2591">
        <f t="shared" si="0"/>
        <v>66500</v>
      </c>
      <c r="G9" s="2592"/>
    </row>
    <row r="10" spans="1:7" ht="15">
      <c r="A10" s="2653">
        <v>15217</v>
      </c>
      <c r="B10" s="2654">
        <v>0.1</v>
      </c>
      <c r="C10" s="2175" t="s">
        <v>1981</v>
      </c>
      <c r="D10" s="2509">
        <v>2800000</v>
      </c>
      <c r="E10" s="2676">
        <v>0.05</v>
      </c>
      <c r="F10" s="2591">
        <f t="shared" si="0"/>
        <v>140000</v>
      </c>
      <c r="G10" s="2592"/>
    </row>
    <row r="11" spans="1:7" ht="15">
      <c r="A11" s="121">
        <v>15195</v>
      </c>
      <c r="B11" s="2657">
        <v>0.08</v>
      </c>
      <c r="C11" s="2175" t="s">
        <v>1983</v>
      </c>
      <c r="D11" s="2509">
        <v>2600000</v>
      </c>
      <c r="E11" s="2733">
        <v>0.04</v>
      </c>
      <c r="F11" s="2591">
        <f t="shared" si="0"/>
        <v>104000</v>
      </c>
      <c r="G11" s="2592"/>
    </row>
    <row r="12" spans="1:7" ht="15">
      <c r="A12" s="121">
        <v>15239</v>
      </c>
      <c r="B12" s="2654">
        <v>0.1</v>
      </c>
      <c r="C12" s="2175" t="s">
        <v>1984</v>
      </c>
      <c r="D12" s="2509">
        <v>1200000</v>
      </c>
      <c r="E12" s="2676">
        <v>0.05</v>
      </c>
      <c r="F12" s="2591">
        <f t="shared" si="0"/>
        <v>60000</v>
      </c>
      <c r="G12" s="2592"/>
    </row>
    <row r="13" spans="1:7" ht="15">
      <c r="A13" s="121">
        <v>15251</v>
      </c>
      <c r="B13" s="2654">
        <v>0.1</v>
      </c>
      <c r="C13" s="2175" t="s">
        <v>1986</v>
      </c>
      <c r="D13" s="2509">
        <v>1550000</v>
      </c>
      <c r="E13" s="2676">
        <v>0.05</v>
      </c>
      <c r="F13" s="2591">
        <f t="shared" si="0"/>
        <v>77500</v>
      </c>
      <c r="G13" s="2592"/>
    </row>
    <row r="14" spans="1:7" ht="15">
      <c r="A14" s="121">
        <v>15312</v>
      </c>
      <c r="B14" s="740">
        <v>0.1</v>
      </c>
      <c r="C14" s="2175" t="s">
        <v>1987</v>
      </c>
      <c r="D14" s="2509">
        <v>1800000</v>
      </c>
      <c r="E14" s="2676">
        <v>0.05</v>
      </c>
      <c r="F14" s="2591">
        <f t="shared" si="0"/>
        <v>90000</v>
      </c>
      <c r="G14" s="2592"/>
    </row>
    <row r="15" spans="1:7" ht="15">
      <c r="A15" s="121">
        <v>15309</v>
      </c>
      <c r="B15" s="740">
        <v>0.1</v>
      </c>
      <c r="C15" s="2175" t="s">
        <v>1992</v>
      </c>
      <c r="D15" s="2509">
        <v>4000000</v>
      </c>
      <c r="E15" s="2676">
        <v>0.05</v>
      </c>
      <c r="F15" s="2591">
        <f t="shared" si="0"/>
        <v>200000</v>
      </c>
      <c r="G15" s="2592"/>
    </row>
    <row r="16" spans="1:7" ht="15">
      <c r="A16" s="50"/>
      <c r="B16" s="2674"/>
      <c r="C16" s="2231"/>
      <c r="D16" s="2675">
        <f>SUM(D7:D15)</f>
        <v>17780000</v>
      </c>
      <c r="E16" s="2671" t="s">
        <v>1989</v>
      </c>
      <c r="F16" s="2672">
        <f>SUM(F7:F15)</f>
        <v>863000</v>
      </c>
      <c r="G16" s="34"/>
    </row>
    <row r="17" spans="1:7" ht="15"/>
    <row r="18" spans="1:7" ht="15">
      <c r="A18" s="2855" t="s">
        <v>2015</v>
      </c>
      <c r="B18" s="2856"/>
      <c r="C18" s="2856"/>
      <c r="D18" s="2856"/>
      <c r="E18" s="2856"/>
      <c r="F18" s="2856"/>
      <c r="G18" s="2856"/>
    </row>
    <row r="19" spans="1:7" ht="15">
      <c r="A19" s="2855"/>
      <c r="B19" s="2856"/>
      <c r="C19" s="2856"/>
      <c r="D19" s="2856"/>
      <c r="E19" s="2856"/>
      <c r="F19" s="2856"/>
      <c r="G19" s="2856"/>
    </row>
    <row r="20" spans="1:7" ht="15">
      <c r="A20" s="2515" t="s">
        <v>2011</v>
      </c>
      <c r="B20" s="2438" t="s">
        <v>1808</v>
      </c>
      <c r="C20" s="2493" t="s">
        <v>2012</v>
      </c>
      <c r="D20" s="2533" t="s">
        <v>2013</v>
      </c>
      <c r="E20" s="2223" t="s">
        <v>1811</v>
      </c>
      <c r="F20" s="281" t="s">
        <v>1817</v>
      </c>
      <c r="G20" s="2168" t="s">
        <v>2014</v>
      </c>
    </row>
    <row r="21" spans="1:7" ht="15">
      <c r="A21" s="2569"/>
      <c r="B21" s="2570"/>
      <c r="C21" s="2571"/>
      <c r="D21" s="2589"/>
      <c r="E21" s="391"/>
      <c r="F21" s="2595"/>
      <c r="G21" s="1008"/>
    </row>
    <row r="22" spans="1:7" ht="15">
      <c r="A22" s="2555"/>
      <c r="B22" s="2570"/>
      <c r="C22" s="2579"/>
      <c r="D22" s="2589"/>
      <c r="E22" s="391"/>
      <c r="F22" s="2595"/>
      <c r="G22" s="1008"/>
    </row>
    <row r="23" spans="1:7" ht="15">
      <c r="A23" s="2569"/>
      <c r="B23" s="2570"/>
      <c r="C23" s="2571"/>
      <c r="D23" s="2589"/>
      <c r="E23" s="391"/>
      <c r="F23" s="2595"/>
      <c r="G23" s="1008"/>
    </row>
    <row r="24" spans="1:7" ht="15">
      <c r="A24" s="2586"/>
      <c r="B24" s="2587"/>
      <c r="C24" s="2588"/>
      <c r="D24" s="2589"/>
      <c r="E24" s="391"/>
      <c r="F24" s="2595"/>
      <c r="G24" s="1008"/>
    </row>
    <row r="25" spans="1:7" ht="15">
      <c r="A25" s="2586"/>
      <c r="B25" s="2587"/>
      <c r="C25" s="2588"/>
      <c r="D25" s="2589"/>
      <c r="E25" s="391"/>
      <c r="F25" s="2595"/>
      <c r="G25" s="1008"/>
    </row>
    <row r="26" spans="1:7" ht="15">
      <c r="A26" s="2596"/>
      <c r="B26" s="387"/>
      <c r="C26" s="2597"/>
      <c r="D26" s="2589"/>
      <c r="E26" s="391"/>
      <c r="F26" s="2595"/>
      <c r="G26" s="1008"/>
    </row>
    <row r="27" spans="1:7" ht="15">
      <c r="A27" s="2551"/>
      <c r="B27" s="2552"/>
      <c r="C27" s="2553"/>
      <c r="D27" s="2583"/>
      <c r="E27" s="2582"/>
      <c r="F27" s="2592"/>
      <c r="G27" s="2592"/>
    </row>
    <row r="28" spans="1:7" ht="15">
      <c r="A28" s="2551"/>
      <c r="B28" s="2552"/>
      <c r="C28" s="2553"/>
      <c r="D28" s="2583"/>
      <c r="E28" s="2582"/>
      <c r="F28" s="2592"/>
      <c r="G28" s="2592"/>
    </row>
    <row r="29" spans="1:7" ht="15">
      <c r="A29" s="2555"/>
      <c r="B29" s="2555"/>
      <c r="C29" s="2553"/>
      <c r="D29" s="2583"/>
      <c r="E29" s="2582"/>
      <c r="F29" s="2592"/>
      <c r="G29" s="2592"/>
    </row>
    <row r="30" spans="1:7" ht="15">
      <c r="A30" s="2586"/>
      <c r="B30" s="2587"/>
      <c r="C30" s="2588"/>
      <c r="D30" s="2583"/>
      <c r="E30" s="2582"/>
      <c r="F30" s="2592"/>
      <c r="G30" s="2592"/>
    </row>
    <row r="31" spans="1:7" ht="15">
      <c r="A31" s="2586"/>
      <c r="B31" s="2587"/>
      <c r="C31" s="2588"/>
      <c r="D31" s="2583"/>
      <c r="E31" s="2582"/>
      <c r="F31" s="2592"/>
      <c r="G31" s="2592"/>
    </row>
    <row r="32" spans="1:7" ht="15">
      <c r="A32" s="2586"/>
      <c r="B32" s="2587"/>
      <c r="C32" s="2588"/>
      <c r="D32" s="2583"/>
      <c r="E32" s="2582"/>
      <c r="F32" s="2592"/>
      <c r="G32" s="2592"/>
    </row>
    <row r="33" spans="1:7" ht="15">
      <c r="A33" s="2555"/>
      <c r="B33" s="2555"/>
      <c r="C33" s="2553"/>
      <c r="D33" s="2583"/>
      <c r="E33" s="2582"/>
      <c r="F33" s="2592"/>
      <c r="G33" s="2592"/>
    </row>
    <row r="34" spans="1:7" ht="15">
      <c r="A34" s="2582"/>
      <c r="B34" s="2593"/>
      <c r="C34" s="2594"/>
      <c r="D34" s="2583"/>
      <c r="E34" s="2582"/>
      <c r="F34" s="2592"/>
      <c r="G34" s="2592"/>
    </row>
    <row r="35" spans="1:7" ht="15">
      <c r="A35" s="2"/>
      <c r="B35" s="2324"/>
      <c r="C35" s="160"/>
      <c r="D35" s="2514"/>
      <c r="E35" s="2"/>
      <c r="F35" s="11"/>
      <c r="G35" s="11"/>
    </row>
    <row r="38" spans="1:7" ht="14.45" customHeight="1">
      <c r="A38" s="2857" t="s">
        <v>2016</v>
      </c>
      <c r="B38" s="2858"/>
      <c r="C38" s="2858"/>
      <c r="D38" s="2858"/>
      <c r="E38" s="2858"/>
      <c r="F38" s="2858"/>
      <c r="G38" s="2858"/>
    </row>
    <row r="39" spans="1:7" ht="14.45" customHeight="1">
      <c r="A39" s="2859"/>
      <c r="B39" s="2860"/>
      <c r="C39" s="2860"/>
      <c r="D39" s="2860"/>
      <c r="E39" s="2860"/>
      <c r="F39" s="2860"/>
      <c r="G39" s="2860"/>
    </row>
    <row r="40" spans="1:7" ht="15">
      <c r="A40" s="2598" t="s">
        <v>2011</v>
      </c>
      <c r="B40" s="2599" t="s">
        <v>1808</v>
      </c>
      <c r="C40" s="2600" t="s">
        <v>2012</v>
      </c>
      <c r="D40" s="2600" t="s">
        <v>2013</v>
      </c>
      <c r="E40" s="2601" t="s">
        <v>1811</v>
      </c>
      <c r="F40" s="2602" t="s">
        <v>1817</v>
      </c>
      <c r="G40" s="2598" t="s">
        <v>2014</v>
      </c>
    </row>
    <row r="41" spans="1:7" ht="15">
      <c r="A41" s="2653">
        <v>15205</v>
      </c>
      <c r="B41" s="2654">
        <v>0.1</v>
      </c>
      <c r="C41" s="2175" t="s">
        <v>1973</v>
      </c>
      <c r="D41" s="2509">
        <v>1200000</v>
      </c>
      <c r="E41" s="2610"/>
      <c r="F41" s="2611"/>
      <c r="G41" s="2612"/>
    </row>
    <row r="42" spans="1:7" ht="15">
      <c r="A42" s="2653">
        <v>15194</v>
      </c>
      <c r="B42" s="2654">
        <v>0.1</v>
      </c>
      <c r="C42" s="2175" t="s">
        <v>1977</v>
      </c>
      <c r="D42" s="2509">
        <v>1300000</v>
      </c>
      <c r="E42" s="2610"/>
      <c r="F42" s="2611"/>
      <c r="G42" s="2612"/>
    </row>
    <row r="43" spans="1:7" ht="15">
      <c r="A43" s="2653">
        <v>15141</v>
      </c>
      <c r="B43" s="2654">
        <v>0.1</v>
      </c>
      <c r="C43" s="2175" t="s">
        <v>1979</v>
      </c>
      <c r="D43" s="2509">
        <v>1330000</v>
      </c>
      <c r="E43" s="2610"/>
      <c r="F43" s="2611"/>
      <c r="G43" s="2612"/>
    </row>
    <row r="44" spans="1:7" ht="15">
      <c r="A44" s="2653">
        <v>15217</v>
      </c>
      <c r="B44" s="2654">
        <v>0.1</v>
      </c>
      <c r="C44" s="2175" t="s">
        <v>1981</v>
      </c>
      <c r="D44" s="2509">
        <v>2800000</v>
      </c>
      <c r="E44" s="2610"/>
      <c r="F44" s="2611"/>
      <c r="G44" s="2612"/>
    </row>
    <row r="45" spans="1:7" ht="15">
      <c r="A45" s="121">
        <v>15195</v>
      </c>
      <c r="B45" s="2657">
        <v>0.08</v>
      </c>
      <c r="C45" s="2175" t="s">
        <v>1983</v>
      </c>
      <c r="D45" s="2509">
        <v>2600000</v>
      </c>
      <c r="E45" s="2610"/>
      <c r="F45" s="2611"/>
      <c r="G45" s="2612"/>
    </row>
    <row r="46" spans="1:7" ht="15">
      <c r="A46" s="121">
        <v>15239</v>
      </c>
      <c r="B46" s="2654">
        <v>0.1</v>
      </c>
      <c r="C46" s="2175" t="s">
        <v>1984</v>
      </c>
      <c r="D46" s="2509">
        <v>1200000</v>
      </c>
      <c r="E46" s="2610"/>
      <c r="F46" s="2611"/>
      <c r="G46" s="2612"/>
    </row>
    <row r="47" spans="1:7" ht="15">
      <c r="A47" s="121">
        <v>15251</v>
      </c>
      <c r="B47" s="2654">
        <v>0.1</v>
      </c>
      <c r="C47" s="2175" t="s">
        <v>1986</v>
      </c>
      <c r="D47" s="2509">
        <v>1550000</v>
      </c>
      <c r="E47" s="2610"/>
      <c r="F47" s="2611"/>
      <c r="G47" s="2597"/>
    </row>
    <row r="48" spans="1:7" ht="15">
      <c r="A48" s="121">
        <v>15312</v>
      </c>
      <c r="B48" s="740">
        <v>0.1</v>
      </c>
      <c r="C48" s="2175" t="s">
        <v>1987</v>
      </c>
      <c r="D48" s="2509">
        <v>1800000</v>
      </c>
      <c r="E48" s="2610"/>
      <c r="F48" s="2611"/>
      <c r="G48" s="2597"/>
    </row>
    <row r="49" spans="1:7" ht="15">
      <c r="A49" s="121">
        <v>15309</v>
      </c>
      <c r="B49" s="740">
        <v>0.1</v>
      </c>
      <c r="C49" s="2175" t="s">
        <v>1992</v>
      </c>
      <c r="D49" s="2509">
        <v>4000000</v>
      </c>
      <c r="E49" s="2610"/>
      <c r="F49" s="2611"/>
      <c r="G49" s="2597"/>
    </row>
    <row r="50" spans="1:7" ht="15">
      <c r="A50" s="2650">
        <v>15156</v>
      </c>
      <c r="B50" s="2651">
        <v>0.1</v>
      </c>
      <c r="C50" s="2652" t="s">
        <v>1976</v>
      </c>
      <c r="D50" s="2572">
        <v>1200000</v>
      </c>
      <c r="E50" s="2613"/>
      <c r="F50" s="2611"/>
      <c r="G50" s="2614"/>
    </row>
    <row r="51" spans="1:7" ht="15">
      <c r="A51" s="2603"/>
      <c r="B51" s="2604"/>
      <c r="C51" s="2605"/>
      <c r="D51" s="2606">
        <f>SUM(D41:D50)</f>
        <v>18980000</v>
      </c>
      <c r="E51" s="2607"/>
      <c r="F51" s="2608"/>
      <c r="G51" s="2609"/>
    </row>
    <row r="52" spans="1:7" ht="15"/>
    <row r="53" spans="1:7" ht="15"/>
    <row r="54" spans="1:7" ht="15"/>
    <row r="55" spans="1:7" ht="33.75">
      <c r="A55" s="2862" t="s">
        <v>2017</v>
      </c>
      <c r="B55" s="2862"/>
      <c r="C55" s="2862"/>
      <c r="D55" s="2862"/>
      <c r="E55" s="2862"/>
      <c r="F55" s="2862"/>
      <c r="G55" s="2862"/>
    </row>
    <row r="56" spans="1:7" ht="15">
      <c r="A56" s="2853" t="s">
        <v>2010</v>
      </c>
      <c r="B56" s="2853"/>
      <c r="C56" s="2853"/>
      <c r="D56" s="2853"/>
      <c r="E56" s="2853"/>
      <c r="F56" s="2853"/>
      <c r="G56" s="2853"/>
    </row>
    <row r="57" spans="1:7" ht="15">
      <c r="A57" s="2854"/>
      <c r="B57" s="2854"/>
      <c r="C57" s="2854"/>
      <c r="D57" s="2854"/>
      <c r="E57" s="2854"/>
      <c r="F57" s="2854"/>
      <c r="G57" s="2854"/>
    </row>
    <row r="58" spans="1:7" ht="15">
      <c r="A58" s="2515" t="s">
        <v>2011</v>
      </c>
      <c r="B58" s="2438" t="s">
        <v>1808</v>
      </c>
      <c r="C58" s="2493" t="s">
        <v>2012</v>
      </c>
      <c r="D58" s="2533" t="s">
        <v>2013</v>
      </c>
      <c r="E58" s="2223" t="s">
        <v>1811</v>
      </c>
      <c r="F58" s="281" t="s">
        <v>1817</v>
      </c>
      <c r="G58" s="2168" t="s">
        <v>2014</v>
      </c>
    </row>
    <row r="59" spans="1:7" ht="15">
      <c r="A59" s="121">
        <v>15463</v>
      </c>
      <c r="B59" s="2657">
        <v>0.08</v>
      </c>
      <c r="C59" s="2175" t="s">
        <v>1995</v>
      </c>
      <c r="D59" s="2509">
        <v>5200000</v>
      </c>
      <c r="E59" s="2676">
        <v>0.04</v>
      </c>
      <c r="F59" s="2591">
        <f>D59*E59</f>
        <v>208000</v>
      </c>
      <c r="G59" s="2592"/>
    </row>
    <row r="60" spans="1:7" ht="15">
      <c r="A60" s="121">
        <v>15564</v>
      </c>
      <c r="B60" s="2654">
        <v>0.1</v>
      </c>
      <c r="C60" s="2175" t="s">
        <v>1999</v>
      </c>
      <c r="D60" s="2509">
        <v>1300000</v>
      </c>
      <c r="E60" s="2676">
        <v>0.05</v>
      </c>
      <c r="F60" s="2591">
        <f t="shared" ref="F60:F61" si="1">D60*E60</f>
        <v>65000</v>
      </c>
      <c r="G60" s="2592"/>
    </row>
    <row r="61" spans="1:7" ht="15">
      <c r="A61" s="121"/>
      <c r="B61" s="740">
        <v>0.1</v>
      </c>
      <c r="C61" s="2175" t="s">
        <v>2006</v>
      </c>
      <c r="D61" s="2509">
        <v>2300000</v>
      </c>
      <c r="E61" s="2676">
        <v>0.05</v>
      </c>
      <c r="F61" s="2591">
        <f t="shared" si="1"/>
        <v>115000</v>
      </c>
      <c r="G61" s="2592"/>
    </row>
    <row r="62" spans="1:7" ht="15">
      <c r="A62" s="50"/>
      <c r="B62" s="2674"/>
      <c r="C62" s="2231"/>
      <c r="D62" s="2675">
        <f>SUM(D59:D61)</f>
        <v>8800000</v>
      </c>
      <c r="E62" s="2671" t="s">
        <v>1989</v>
      </c>
      <c r="F62" s="2672">
        <f>SUM(F59:F61)</f>
        <v>388000</v>
      </c>
      <c r="G62" s="34"/>
    </row>
    <row r="63" spans="1:7" ht="15"/>
    <row r="64" spans="1:7" ht="15">
      <c r="A64" s="2855" t="s">
        <v>2018</v>
      </c>
      <c r="B64" s="2856"/>
      <c r="C64" s="2856"/>
      <c r="D64" s="2856"/>
      <c r="E64" s="2856"/>
      <c r="F64" s="2856"/>
      <c r="G64" s="2856"/>
    </row>
    <row r="65" spans="1:7" ht="15">
      <c r="A65" s="2855"/>
      <c r="B65" s="2856"/>
      <c r="C65" s="2856"/>
      <c r="D65" s="2856"/>
      <c r="E65" s="2856"/>
      <c r="F65" s="2856"/>
      <c r="G65" s="2856"/>
    </row>
    <row r="66" spans="1:7" ht="15">
      <c r="A66" s="2515" t="s">
        <v>2011</v>
      </c>
      <c r="B66" s="2438" t="s">
        <v>1808</v>
      </c>
      <c r="C66" s="2493" t="s">
        <v>2012</v>
      </c>
      <c r="D66" s="2533" t="s">
        <v>2013</v>
      </c>
      <c r="E66" s="2223" t="s">
        <v>1811</v>
      </c>
      <c r="F66" s="281" t="s">
        <v>1817</v>
      </c>
      <c r="G66" s="2168" t="s">
        <v>2014</v>
      </c>
    </row>
    <row r="67" spans="1:7" ht="15">
      <c r="A67" s="2653">
        <v>15481</v>
      </c>
      <c r="B67" s="2654">
        <v>0.1</v>
      </c>
      <c r="C67" s="2175" t="s">
        <v>1996</v>
      </c>
      <c r="D67" s="2509">
        <v>1300000</v>
      </c>
      <c r="E67" s="387">
        <v>0.05</v>
      </c>
      <c r="F67" s="2732">
        <f>D67*E67</f>
        <v>65000</v>
      </c>
      <c r="G67" s="1008"/>
    </row>
    <row r="68" spans="1:7" ht="15">
      <c r="A68" s="2653">
        <v>15534</v>
      </c>
      <c r="B68" s="2654">
        <v>0.1</v>
      </c>
      <c r="C68" s="2175" t="s">
        <v>1997</v>
      </c>
      <c r="D68" s="2509">
        <v>3500000</v>
      </c>
      <c r="E68" s="387">
        <v>0.05</v>
      </c>
      <c r="F68" s="2732">
        <f t="shared" ref="F68:F70" si="2">D68*E68</f>
        <v>175000</v>
      </c>
      <c r="G68" s="1008"/>
    </row>
    <row r="69" spans="1:7" ht="15">
      <c r="A69" s="121">
        <v>15548</v>
      </c>
      <c r="B69" s="2654">
        <v>0.1</v>
      </c>
      <c r="C69" s="2175" t="s">
        <v>1998</v>
      </c>
      <c r="D69" s="2509">
        <v>1800000</v>
      </c>
      <c r="E69" s="387">
        <v>0.05</v>
      </c>
      <c r="F69" s="2732">
        <f t="shared" si="2"/>
        <v>90000</v>
      </c>
      <c r="G69" s="1008"/>
    </row>
    <row r="70" spans="1:7" ht="15">
      <c r="A70" s="121">
        <v>15595</v>
      </c>
      <c r="B70" s="2654">
        <v>0.1</v>
      </c>
      <c r="C70" s="2175" t="s">
        <v>2000</v>
      </c>
      <c r="D70" s="2509">
        <v>1150000</v>
      </c>
      <c r="E70" s="387">
        <v>0.05</v>
      </c>
      <c r="F70" s="2732">
        <f t="shared" si="2"/>
        <v>57500</v>
      </c>
      <c r="G70" s="1008"/>
    </row>
    <row r="71" spans="1:7" ht="15">
      <c r="A71" s="50"/>
      <c r="B71" s="2674"/>
      <c r="C71" s="2231"/>
      <c r="D71" s="2675">
        <f>SUM(D67:D70)</f>
        <v>7750000</v>
      </c>
      <c r="E71" s="2671" t="s">
        <v>1989</v>
      </c>
      <c r="F71" s="2672">
        <f>SUM(F67:F70)</f>
        <v>387500</v>
      </c>
      <c r="G71" s="34"/>
    </row>
    <row r="74" spans="1:7" ht="14.45" customHeight="1">
      <c r="A74" s="2857" t="s">
        <v>2016</v>
      </c>
      <c r="B74" s="2858"/>
      <c r="C74" s="2858"/>
      <c r="D74" s="2858"/>
      <c r="E74" s="2858"/>
      <c r="F74" s="2858"/>
      <c r="G74" s="2858"/>
    </row>
    <row r="75" spans="1:7" ht="14.45" customHeight="1">
      <c r="A75" s="2859"/>
      <c r="B75" s="2860"/>
      <c r="C75" s="2860"/>
      <c r="D75" s="2860"/>
      <c r="E75" s="2860"/>
      <c r="F75" s="2860"/>
      <c r="G75" s="2860"/>
    </row>
    <row r="76" spans="1:7" ht="15">
      <c r="A76" s="2598" t="s">
        <v>2011</v>
      </c>
      <c r="B76" s="2599" t="s">
        <v>1808</v>
      </c>
      <c r="C76" s="2600" t="s">
        <v>2012</v>
      </c>
      <c r="D76" s="2600" t="s">
        <v>2013</v>
      </c>
      <c r="E76" s="2601" t="s">
        <v>1811</v>
      </c>
      <c r="F76" s="2602" t="s">
        <v>1817</v>
      </c>
      <c r="G76" s="2598" t="s">
        <v>2014</v>
      </c>
    </row>
    <row r="77" spans="1:7" ht="15">
      <c r="A77" s="121">
        <v>15463</v>
      </c>
      <c r="B77" s="2657">
        <v>0.08</v>
      </c>
      <c r="C77" s="2175" t="s">
        <v>1995</v>
      </c>
      <c r="D77" s="2509">
        <v>5200000</v>
      </c>
      <c r="E77" s="2610"/>
      <c r="F77" s="2611"/>
      <c r="G77" s="2612"/>
    </row>
    <row r="78" spans="1:7" ht="15">
      <c r="A78" s="121">
        <v>15564</v>
      </c>
      <c r="B78" s="2654">
        <v>0.1</v>
      </c>
      <c r="C78" s="2175" t="s">
        <v>1999</v>
      </c>
      <c r="D78" s="2509">
        <v>1300000</v>
      </c>
      <c r="E78" s="2610"/>
      <c r="F78" s="2611"/>
      <c r="G78" s="2612"/>
    </row>
    <row r="79" spans="1:7" ht="15">
      <c r="A79" s="121"/>
      <c r="B79" s="740">
        <v>0.1</v>
      </c>
      <c r="C79" s="2175" t="s">
        <v>2006</v>
      </c>
      <c r="D79" s="2509">
        <v>2300000</v>
      </c>
      <c r="E79" s="2610"/>
      <c r="F79" s="2611"/>
      <c r="G79" s="2612"/>
    </row>
    <row r="80" spans="1:7" ht="15">
      <c r="A80" s="2653">
        <v>15481</v>
      </c>
      <c r="B80" s="2654">
        <v>0.1</v>
      </c>
      <c r="C80" s="2175" t="s">
        <v>1996</v>
      </c>
      <c r="D80" s="2509">
        <v>1300000</v>
      </c>
      <c r="E80" s="2610"/>
      <c r="F80" s="2611"/>
      <c r="G80" s="2612"/>
    </row>
    <row r="81" spans="1:7" ht="15">
      <c r="A81" s="2653">
        <v>15534</v>
      </c>
      <c r="B81" s="2654">
        <v>0.1</v>
      </c>
      <c r="C81" s="2175" t="s">
        <v>1997</v>
      </c>
      <c r="D81" s="2509">
        <v>3500000</v>
      </c>
      <c r="E81" s="2610"/>
      <c r="F81" s="2611"/>
      <c r="G81" s="2612"/>
    </row>
    <row r="82" spans="1:7" ht="15">
      <c r="A82" s="121">
        <v>15548</v>
      </c>
      <c r="B82" s="2654">
        <v>0.1</v>
      </c>
      <c r="C82" s="2175" t="s">
        <v>1998</v>
      </c>
      <c r="D82" s="2509">
        <v>1800000</v>
      </c>
      <c r="E82" s="2610"/>
      <c r="F82" s="2611"/>
      <c r="G82" s="2612"/>
    </row>
    <row r="83" spans="1:7" ht="15">
      <c r="A83" s="121">
        <v>15595</v>
      </c>
      <c r="B83" s="2654">
        <v>0.1</v>
      </c>
      <c r="C83" s="2175" t="s">
        <v>2000</v>
      </c>
      <c r="D83" s="2509">
        <v>1150000</v>
      </c>
      <c r="E83" s="2610"/>
      <c r="F83" s="2611"/>
      <c r="G83" s="2597"/>
    </row>
    <row r="84" spans="1:7" ht="15">
      <c r="A84" s="2603"/>
      <c r="B84" s="2604"/>
      <c r="C84" s="2605"/>
      <c r="D84" s="2606">
        <f>SUM(D77:D83)</f>
        <v>16550000</v>
      </c>
      <c r="E84" s="2607"/>
      <c r="F84" s="2608"/>
      <c r="G84" s="2609"/>
    </row>
    <row r="85" spans="1:7" ht="15"/>
    <row r="86" spans="1:7" ht="15"/>
    <row r="87" spans="1:7" ht="15"/>
    <row r="88" spans="1:7" ht="15"/>
    <row r="89" spans="1:7" ht="15"/>
    <row r="90" spans="1:7" ht="15"/>
    <row r="91" spans="1:7" ht="15"/>
    <row r="92" spans="1:7" ht="15"/>
    <row r="95" spans="1:7" ht="15"/>
    <row r="96" spans="1:7" ht="15"/>
  </sheetData>
  <mergeCells count="9">
    <mergeCell ref="A56:G57"/>
    <mergeCell ref="A64:G65"/>
    <mergeCell ref="A74:G75"/>
    <mergeCell ref="A38:G39"/>
    <mergeCell ref="A1:F1"/>
    <mergeCell ref="A3:G3"/>
    <mergeCell ref="A4:G5"/>
    <mergeCell ref="A18:G19"/>
    <mergeCell ref="A55:G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4804-9086-4F67-B810-5037FFDE60EC}">
  <sheetPr>
    <pageSetUpPr fitToPage="1"/>
  </sheetPr>
  <dimension ref="A2:C13"/>
  <sheetViews>
    <sheetView workbookViewId="0">
      <selection activeCell="E27" sqref="E27"/>
    </sheetView>
  </sheetViews>
  <sheetFormatPr defaultColWidth="8.85546875" defaultRowHeight="14.45"/>
  <cols>
    <col min="1" max="1" width="22.85546875" customWidth="1"/>
    <col min="2" max="2" width="35.85546875" customWidth="1"/>
    <col min="3" max="3" width="22.5703125" customWidth="1"/>
  </cols>
  <sheetData>
    <row r="2" spans="1:3">
      <c r="A2" s="2863" t="s">
        <v>1610</v>
      </c>
      <c r="B2" s="2863"/>
      <c r="C2" s="2863"/>
    </row>
    <row r="3" spans="1:3">
      <c r="A3" s="2864"/>
      <c r="B3" s="2864"/>
      <c r="C3" s="2864"/>
    </row>
    <row r="4" spans="1:3" ht="15.6">
      <c r="A4" s="2629" t="s">
        <v>2019</v>
      </c>
      <c r="B4" s="2630" t="s">
        <v>2020</v>
      </c>
      <c r="C4" s="2631">
        <v>40500</v>
      </c>
    </row>
    <row r="5" spans="1:3" ht="15.6">
      <c r="A5" s="2629" t="s">
        <v>2021</v>
      </c>
      <c r="B5" s="2630" t="s">
        <v>489</v>
      </c>
      <c r="C5" s="2631">
        <v>44100</v>
      </c>
    </row>
    <row r="6" spans="1:3" ht="15.6">
      <c r="A6" s="2629"/>
      <c r="B6" s="2632"/>
      <c r="C6" s="2631"/>
    </row>
    <row r="7" spans="1:3" ht="15.6">
      <c r="A7" s="2629"/>
      <c r="B7" s="2630"/>
      <c r="C7" s="2631"/>
    </row>
    <row r="8" spans="1:3" ht="15.6">
      <c r="A8" s="2629"/>
      <c r="B8" s="2630"/>
      <c r="C8" s="2631"/>
    </row>
    <row r="9" spans="1:3" ht="15.6">
      <c r="A9" s="2629"/>
      <c r="B9" s="2630"/>
      <c r="C9" s="2631"/>
    </row>
    <row r="10" spans="1:3" ht="15.6">
      <c r="A10" s="2629"/>
      <c r="B10" s="2630"/>
      <c r="C10" s="2631"/>
    </row>
    <row r="11" spans="1:3" ht="15.6">
      <c r="A11" s="2629"/>
      <c r="B11" s="2630"/>
      <c r="C11" s="2631"/>
    </row>
    <row r="12" spans="1:3" ht="15.6">
      <c r="A12" s="2629"/>
      <c r="B12" s="2630"/>
      <c r="C12" s="2631"/>
    </row>
    <row r="13" spans="1:3" ht="15.6">
      <c r="A13" s="2865" t="s">
        <v>1904</v>
      </c>
      <c r="B13" s="2866"/>
      <c r="C13" s="2633">
        <f>SUM(C4:C12)</f>
        <v>84600</v>
      </c>
    </row>
  </sheetData>
  <mergeCells count="2">
    <mergeCell ref="A2:C3"/>
    <mergeCell ref="A13:B13"/>
  </mergeCells>
  <pageMargins left="0.7" right="0.7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A3F9-FF86-42E0-9755-05220D9A64E0}">
  <dimension ref="B2:G15"/>
  <sheetViews>
    <sheetView workbookViewId="0">
      <selection activeCell="G14" sqref="G14"/>
    </sheetView>
  </sheetViews>
  <sheetFormatPr defaultColWidth="11.42578125" defaultRowHeight="14.45"/>
  <cols>
    <col min="2" max="2" width="33.5703125" customWidth="1"/>
    <col min="3" max="3" width="15.7109375" customWidth="1"/>
    <col min="7" max="7" width="56.28515625" customWidth="1"/>
  </cols>
  <sheetData>
    <row r="2" spans="2:7" ht="17.45">
      <c r="B2" s="2867" t="s">
        <v>1610</v>
      </c>
      <c r="C2" s="2868"/>
      <c r="D2" s="2868"/>
      <c r="E2" s="2868"/>
      <c r="F2" s="2868"/>
      <c r="G2" s="2869"/>
    </row>
    <row r="3" spans="2:7">
      <c r="B3" s="2634" t="s">
        <v>2022</v>
      </c>
      <c r="C3" s="2634" t="s">
        <v>2023</v>
      </c>
      <c r="D3" s="2634" t="s">
        <v>2024</v>
      </c>
      <c r="E3" s="2634" t="s">
        <v>2025</v>
      </c>
      <c r="F3" s="2634" t="s">
        <v>2026</v>
      </c>
      <c r="G3" s="2635" t="s">
        <v>2027</v>
      </c>
    </row>
    <row r="4" spans="2:7" ht="34.9" customHeight="1">
      <c r="B4" s="2636"/>
      <c r="C4" s="2637"/>
      <c r="D4" s="2637"/>
      <c r="E4" s="2637"/>
      <c r="F4" s="2637"/>
      <c r="G4" s="2638"/>
    </row>
    <row r="5" spans="2:7" ht="37.9" customHeight="1">
      <c r="B5" s="2639"/>
      <c r="C5" s="2637"/>
      <c r="D5" s="2637"/>
      <c r="E5" s="2637"/>
      <c r="F5" s="2637"/>
      <c r="G5" s="2638"/>
    </row>
    <row r="6" spans="2:7" ht="28.9" customHeight="1">
      <c r="B6" s="2639"/>
      <c r="C6" s="2637"/>
      <c r="D6" s="2637"/>
      <c r="E6" s="2637"/>
      <c r="F6" s="2637"/>
      <c r="G6" s="2638"/>
    </row>
    <row r="7" spans="2:7" ht="24.6" customHeight="1">
      <c r="B7" s="2639"/>
      <c r="C7" s="2637"/>
      <c r="D7" s="2637"/>
      <c r="E7" s="2637"/>
      <c r="F7" s="2637"/>
      <c r="G7" s="2638"/>
    </row>
    <row r="8" spans="2:7" ht="27" customHeight="1">
      <c r="B8" s="2639"/>
      <c r="C8" s="2637"/>
      <c r="D8" s="2637"/>
      <c r="E8" s="2637"/>
      <c r="F8" s="2637"/>
      <c r="G8" s="2638"/>
    </row>
    <row r="9" spans="2:7" ht="18.600000000000001" customHeight="1">
      <c r="B9" s="2639"/>
      <c r="C9" s="2637"/>
      <c r="D9" s="2637"/>
      <c r="E9" s="2637"/>
      <c r="F9" s="2637"/>
      <c r="G9" s="2638"/>
    </row>
    <row r="10" spans="2:7" ht="25.15" customHeight="1">
      <c r="B10" s="2639"/>
      <c r="C10" s="2637"/>
      <c r="D10" s="2637"/>
      <c r="E10" s="2637"/>
      <c r="F10" s="2637"/>
      <c r="G10" s="2638"/>
    </row>
    <row r="11" spans="2:7">
      <c r="B11" s="2639"/>
      <c r="C11" s="2637"/>
      <c r="D11" s="2637"/>
      <c r="E11" s="2637"/>
      <c r="F11" s="2637"/>
      <c r="G11" s="2638"/>
    </row>
    <row r="12" spans="2:7">
      <c r="B12" s="2639"/>
      <c r="C12" s="2637"/>
      <c r="D12" s="2637"/>
      <c r="E12" s="2637"/>
      <c r="F12" s="2637"/>
      <c r="G12" s="2638"/>
    </row>
    <row r="13" spans="2:7">
      <c r="B13" s="2639"/>
      <c r="C13" s="2637"/>
      <c r="D13" s="2637"/>
      <c r="E13" s="2637"/>
      <c r="F13" s="2637"/>
      <c r="G13" s="2638"/>
    </row>
    <row r="14" spans="2:7">
      <c r="B14" s="2640"/>
      <c r="C14" s="2641"/>
      <c r="D14" s="2641"/>
      <c r="E14" s="2641"/>
      <c r="F14" s="2641"/>
      <c r="G14" s="2642"/>
    </row>
    <row r="15" spans="2:7">
      <c r="B15" s="2639"/>
      <c r="C15" s="2637"/>
      <c r="D15" s="2637"/>
      <c r="E15" s="2637"/>
      <c r="F15" s="2637"/>
      <c r="G15" s="2638"/>
    </row>
  </sheetData>
  <mergeCells count="1">
    <mergeCell ref="B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3AED-3BE4-4FE5-9F7C-075D14A2B95F}">
  <dimension ref="B2:G28"/>
  <sheetViews>
    <sheetView topLeftCell="A23" workbookViewId="0">
      <selection activeCell="B4" sqref="B4"/>
    </sheetView>
  </sheetViews>
  <sheetFormatPr defaultColWidth="8.85546875" defaultRowHeight="14.45"/>
  <cols>
    <col min="3" max="3" width="9.5703125" customWidth="1"/>
    <col min="4" max="4" width="66" customWidth="1"/>
    <col min="5" max="5" width="14.85546875" customWidth="1"/>
    <col min="7" max="7" width="11.7109375" customWidth="1"/>
  </cols>
  <sheetData>
    <row r="2" spans="2:7">
      <c r="B2" s="2870" t="s">
        <v>2028</v>
      </c>
      <c r="C2" s="2870"/>
      <c r="D2" s="2870"/>
      <c r="E2" s="2870"/>
      <c r="F2" s="2870"/>
      <c r="G2" s="2870"/>
    </row>
    <row r="3" spans="2:7">
      <c r="B3" s="2870"/>
      <c r="C3" s="2870"/>
      <c r="D3" s="2870"/>
      <c r="E3" s="2870"/>
      <c r="F3" s="2870"/>
      <c r="G3" s="2870"/>
    </row>
    <row r="5" spans="2:7" ht="17.25" customHeight="1">
      <c r="B5" s="2874" t="s">
        <v>2029</v>
      </c>
      <c r="C5" s="2874"/>
      <c r="D5" s="2874"/>
      <c r="E5" s="2144" t="s">
        <v>1810</v>
      </c>
      <c r="F5" s="2145" t="s">
        <v>1811</v>
      </c>
      <c r="G5" s="2145" t="s">
        <v>1817</v>
      </c>
    </row>
    <row r="6" spans="2:7" ht="21.75" customHeight="1">
      <c r="B6" s="2146">
        <v>12474</v>
      </c>
      <c r="C6" s="2147">
        <v>0.1</v>
      </c>
      <c r="D6" s="2127" t="s">
        <v>2030</v>
      </c>
      <c r="E6" s="2128">
        <v>1250000</v>
      </c>
      <c r="F6" s="11"/>
      <c r="G6" s="11"/>
    </row>
    <row r="7" spans="2:7">
      <c r="B7" s="2148">
        <v>12433</v>
      </c>
      <c r="C7" s="2149">
        <v>0.1</v>
      </c>
      <c r="D7" s="2129" t="s">
        <v>2031</v>
      </c>
      <c r="E7" s="2128">
        <v>1200000</v>
      </c>
      <c r="F7" s="11"/>
      <c r="G7" s="11"/>
    </row>
    <row r="8" spans="2:7">
      <c r="B8" s="2148">
        <v>12446</v>
      </c>
      <c r="C8" s="2149">
        <v>0.1</v>
      </c>
      <c r="D8" s="2130" t="s">
        <v>2032</v>
      </c>
      <c r="E8" s="2131">
        <v>1200000</v>
      </c>
      <c r="F8" s="11"/>
      <c r="G8" s="11"/>
    </row>
    <row r="9" spans="2:7">
      <c r="B9" s="2148">
        <v>12469</v>
      </c>
      <c r="C9" s="2150">
        <v>0.1</v>
      </c>
      <c r="D9" s="2132" t="s">
        <v>2033</v>
      </c>
      <c r="E9" s="2133">
        <v>850000</v>
      </c>
      <c r="F9" s="11"/>
      <c r="G9" s="11"/>
    </row>
    <row r="10" spans="2:7">
      <c r="B10" s="2151">
        <v>12480</v>
      </c>
      <c r="C10" s="2149">
        <v>0.1</v>
      </c>
      <c r="D10" s="2134" t="s">
        <v>2034</v>
      </c>
      <c r="E10" s="2135">
        <v>1100000</v>
      </c>
      <c r="F10" s="11"/>
      <c r="G10" s="11"/>
    </row>
    <row r="11" spans="2:7">
      <c r="B11" s="1536">
        <v>12439</v>
      </c>
      <c r="C11" s="2149">
        <v>0.1</v>
      </c>
      <c r="D11" s="2136" t="s">
        <v>2035</v>
      </c>
      <c r="E11" s="2137">
        <v>1350000</v>
      </c>
      <c r="F11" s="11"/>
      <c r="G11" s="11"/>
    </row>
    <row r="12" spans="2:7">
      <c r="B12" s="2152">
        <v>12462</v>
      </c>
      <c r="C12" s="2153">
        <v>0.1</v>
      </c>
      <c r="D12" s="2136" t="s">
        <v>2036</v>
      </c>
      <c r="E12" s="2137">
        <v>1200000</v>
      </c>
      <c r="F12" s="11"/>
      <c r="G12" s="11"/>
    </row>
    <row r="13" spans="2:7">
      <c r="B13" s="2138">
        <v>12495</v>
      </c>
      <c r="C13" s="2139">
        <v>0.1</v>
      </c>
      <c r="D13" s="2140" t="s">
        <v>2037</v>
      </c>
      <c r="E13" s="2141">
        <v>1100000</v>
      </c>
      <c r="F13" s="11"/>
      <c r="G13" s="11"/>
    </row>
    <row r="14" spans="2:7">
      <c r="B14" s="2154">
        <v>12484</v>
      </c>
      <c r="C14" s="2149">
        <v>0.1</v>
      </c>
      <c r="D14" s="2142" t="s">
        <v>2038</v>
      </c>
      <c r="E14" s="2143">
        <v>850000</v>
      </c>
      <c r="F14" s="11"/>
      <c r="G14" s="11"/>
    </row>
    <row r="15" spans="2:7">
      <c r="B15" s="2871" t="s">
        <v>1989</v>
      </c>
      <c r="C15" s="2872"/>
      <c r="D15" s="2873"/>
      <c r="E15" s="2143">
        <f>SUM(E6:E14)</f>
        <v>10100000</v>
      </c>
      <c r="F15" s="11"/>
      <c r="G15" s="11"/>
    </row>
    <row r="17" spans="2:7">
      <c r="B17" s="2870" t="s">
        <v>1896</v>
      </c>
      <c r="C17" s="2870"/>
      <c r="D17" s="2870"/>
      <c r="E17" s="2870"/>
      <c r="F17" s="2870"/>
      <c r="G17" s="2870"/>
    </row>
    <row r="18" spans="2:7">
      <c r="B18" s="2870"/>
      <c r="C18" s="2870"/>
      <c r="D18" s="2870"/>
      <c r="E18" s="2870"/>
      <c r="F18" s="2870"/>
      <c r="G18" s="2870"/>
    </row>
    <row r="21" spans="2:7" ht="15.6">
      <c r="B21" s="2874" t="s">
        <v>2029</v>
      </c>
      <c r="C21" s="2874"/>
      <c r="D21" s="2874"/>
      <c r="E21" s="2144" t="s">
        <v>1810</v>
      </c>
      <c r="F21" s="2145" t="s">
        <v>1811</v>
      </c>
      <c r="G21" s="2145" t="s">
        <v>1817</v>
      </c>
    </row>
    <row r="22" spans="2:7">
      <c r="B22" s="2155"/>
      <c r="C22" s="325"/>
      <c r="D22" s="2156" t="s">
        <v>2039</v>
      </c>
      <c r="E22" s="2079">
        <v>800000</v>
      </c>
      <c r="F22" s="11"/>
      <c r="G22" s="11"/>
    </row>
    <row r="23" spans="2:7">
      <c r="B23" s="2155"/>
      <c r="C23" s="325"/>
      <c r="D23" s="2157" t="s">
        <v>2040</v>
      </c>
      <c r="E23" s="2079">
        <v>1200000</v>
      </c>
      <c r="F23" s="11"/>
      <c r="G23" s="11"/>
    </row>
    <row r="24" spans="2:7">
      <c r="B24" s="2158"/>
      <c r="C24" s="2159"/>
      <c r="D24" s="2160" t="s">
        <v>2041</v>
      </c>
      <c r="E24" s="1596">
        <v>1000000</v>
      </c>
      <c r="F24" s="11"/>
      <c r="G24" s="11"/>
    </row>
    <row r="25" spans="2:7">
      <c r="B25" s="2158"/>
      <c r="C25" s="2159"/>
      <c r="D25" s="2161" t="s">
        <v>2042</v>
      </c>
      <c r="E25" s="1596">
        <v>1100000</v>
      </c>
      <c r="F25" s="11"/>
      <c r="G25" s="11"/>
    </row>
    <row r="26" spans="2:7">
      <c r="B26" s="2162"/>
      <c r="C26" s="2139"/>
      <c r="D26" s="2163" t="s">
        <v>2043</v>
      </c>
      <c r="E26" s="1851">
        <v>1050000</v>
      </c>
      <c r="F26" s="11"/>
      <c r="G26" s="11"/>
    </row>
    <row r="27" spans="2:7">
      <c r="B27" s="2164"/>
      <c r="C27" s="2165"/>
      <c r="D27" s="2166" t="s">
        <v>2044</v>
      </c>
      <c r="E27" s="1895">
        <v>1100000</v>
      </c>
      <c r="F27" s="11"/>
      <c r="G27" s="11"/>
    </row>
    <row r="28" spans="2:7">
      <c r="B28" s="2871" t="s">
        <v>1989</v>
      </c>
      <c r="C28" s="2872"/>
      <c r="D28" s="2873"/>
      <c r="E28" s="1895">
        <f>SUM(E22:E27)</f>
        <v>6250000</v>
      </c>
      <c r="F28" s="11"/>
      <c r="G28" s="11"/>
    </row>
  </sheetData>
  <mergeCells count="6">
    <mergeCell ref="B2:G3"/>
    <mergeCell ref="B15:D15"/>
    <mergeCell ref="B5:D5"/>
    <mergeCell ref="B21:D21"/>
    <mergeCell ref="B28:D28"/>
    <mergeCell ref="B17:G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1A5A-2A4B-4CB4-91D8-3272A0004890}">
  <sheetPr>
    <pageSetUpPr fitToPage="1"/>
  </sheetPr>
  <dimension ref="A2:F235"/>
  <sheetViews>
    <sheetView workbookViewId="0">
      <selection activeCell="F55" sqref="A2:F55"/>
    </sheetView>
  </sheetViews>
  <sheetFormatPr defaultColWidth="8.85546875" defaultRowHeight="14.45"/>
  <cols>
    <col min="1" max="1" width="17.5703125" customWidth="1"/>
    <col min="2" max="2" width="19.85546875" customWidth="1"/>
    <col min="3" max="3" width="52.5703125" customWidth="1"/>
    <col min="4" max="4" width="33.28515625" customWidth="1"/>
    <col min="5" max="5" width="15.28515625" customWidth="1"/>
    <col min="6" max="6" width="32.140625" customWidth="1"/>
  </cols>
  <sheetData>
    <row r="2" spans="1:6" ht="15" customHeight="1">
      <c r="A2" s="2887" t="s">
        <v>2045</v>
      </c>
      <c r="B2" s="2888"/>
      <c r="C2" s="2888"/>
      <c r="D2" s="2888"/>
      <c r="E2" s="2888"/>
      <c r="F2" s="2889"/>
    </row>
    <row r="3" spans="1:6" ht="15" customHeight="1">
      <c r="A3" s="2890"/>
      <c r="B3" s="2891"/>
      <c r="C3" s="2891"/>
      <c r="D3" s="2891"/>
      <c r="E3" s="2891"/>
      <c r="F3" s="2892"/>
    </row>
    <row r="4" spans="1:6" ht="15.75" customHeight="1">
      <c r="A4" s="2893" t="s">
        <v>2046</v>
      </c>
      <c r="B4" s="2894"/>
      <c r="C4" s="2894"/>
      <c r="D4" s="2894"/>
      <c r="E4" s="2894"/>
      <c r="F4" s="2895"/>
    </row>
    <row r="5" spans="1:6">
      <c r="A5" s="212" t="s">
        <v>2047</v>
      </c>
      <c r="B5" s="1750" t="s">
        <v>2047</v>
      </c>
      <c r="C5" s="1750" t="s">
        <v>2047</v>
      </c>
      <c r="D5" s="1750" t="s">
        <v>2047</v>
      </c>
      <c r="E5" s="1750" t="s">
        <v>2047</v>
      </c>
      <c r="F5" s="1751" t="s">
        <v>2047</v>
      </c>
    </row>
    <row r="6" spans="1:6" ht="15" customHeight="1">
      <c r="A6" s="2877" t="s">
        <v>2048</v>
      </c>
      <c r="B6" s="2878"/>
      <c r="C6" s="2879"/>
      <c r="D6" s="2880" t="s">
        <v>2049</v>
      </c>
      <c r="E6" s="2880"/>
      <c r="F6" s="2896"/>
    </row>
    <row r="7" spans="1:6" ht="15">
      <c r="A7" s="2877" t="s">
        <v>2050</v>
      </c>
      <c r="B7" s="2878"/>
      <c r="C7" s="2879"/>
      <c r="D7" s="2880" t="s">
        <v>2051</v>
      </c>
      <c r="E7" s="2880"/>
      <c r="F7" s="2896"/>
    </row>
    <row r="8" spans="1:6" ht="15">
      <c r="A8" s="2877" t="s">
        <v>2052</v>
      </c>
      <c r="B8" s="2878"/>
      <c r="C8" s="2879"/>
      <c r="D8" s="2880" t="s">
        <v>2053</v>
      </c>
      <c r="E8" s="2881"/>
      <c r="F8" s="213">
        <v>750000</v>
      </c>
    </row>
    <row r="9" spans="1:6">
      <c r="A9" s="214" t="s">
        <v>2047</v>
      </c>
      <c r="B9" s="215"/>
      <c r="C9" s="215"/>
      <c r="D9" s="1750" t="s">
        <v>2047</v>
      </c>
      <c r="E9" s="215"/>
      <c r="F9" s="216" t="s">
        <v>2047</v>
      </c>
    </row>
    <row r="10" spans="1:6" ht="15">
      <c r="A10" s="217" t="s">
        <v>2054</v>
      </c>
      <c r="B10" s="218" t="s">
        <v>2055</v>
      </c>
      <c r="C10" s="218" t="s">
        <v>2056</v>
      </c>
      <c r="D10" s="218" t="s">
        <v>2057</v>
      </c>
      <c r="E10" s="218" t="s">
        <v>2058</v>
      </c>
      <c r="F10" s="219" t="s">
        <v>1815</v>
      </c>
    </row>
    <row r="11" spans="1:6" ht="45.75">
      <c r="A11" s="2702" t="s">
        <v>2059</v>
      </c>
      <c r="B11" s="2703" t="s">
        <v>2060</v>
      </c>
      <c r="C11" s="2698" t="s">
        <v>2061</v>
      </c>
      <c r="D11" s="2704" t="s">
        <v>2062</v>
      </c>
      <c r="E11" s="2698">
        <v>13300</v>
      </c>
      <c r="F11" s="2705"/>
    </row>
    <row r="12" spans="1:6" ht="45.75">
      <c r="A12" s="2706">
        <v>44845</v>
      </c>
      <c r="B12" s="2703" t="s">
        <v>2060</v>
      </c>
      <c r="C12" s="2698" t="s">
        <v>2061</v>
      </c>
      <c r="D12" s="2704" t="s">
        <v>2062</v>
      </c>
      <c r="E12" s="2698">
        <v>13300</v>
      </c>
      <c r="F12" s="2705"/>
    </row>
    <row r="13" spans="1:6" ht="45.75">
      <c r="A13" s="2706" t="s">
        <v>2063</v>
      </c>
      <c r="B13" s="2703" t="s">
        <v>2060</v>
      </c>
      <c r="C13" s="2698" t="s">
        <v>2061</v>
      </c>
      <c r="D13" s="2704" t="s">
        <v>2062</v>
      </c>
      <c r="E13" s="2698">
        <v>13300</v>
      </c>
      <c r="F13" s="2705"/>
    </row>
    <row r="14" spans="1:6" ht="30.75">
      <c r="A14" s="2706">
        <v>44631</v>
      </c>
      <c r="B14" s="2703" t="s">
        <v>2060</v>
      </c>
      <c r="C14" s="2698" t="s">
        <v>2061</v>
      </c>
      <c r="D14" s="2704" t="s">
        <v>2062</v>
      </c>
      <c r="E14" s="2698">
        <v>13300</v>
      </c>
      <c r="F14" s="2705"/>
    </row>
    <row r="15" spans="1:6" ht="30.75">
      <c r="A15" s="2702" t="s">
        <v>2059</v>
      </c>
      <c r="B15" s="2703" t="s">
        <v>2064</v>
      </c>
      <c r="C15" s="2698" t="s">
        <v>2065</v>
      </c>
      <c r="D15" s="2704" t="s">
        <v>2066</v>
      </c>
      <c r="E15" s="2698">
        <v>19300</v>
      </c>
      <c r="F15" s="2705"/>
    </row>
    <row r="16" spans="1:6" ht="30.75">
      <c r="A16" s="2706" t="s">
        <v>1749</v>
      </c>
      <c r="B16" s="2703" t="s">
        <v>2064</v>
      </c>
      <c r="C16" s="2698" t="s">
        <v>2065</v>
      </c>
      <c r="D16" s="2704" t="s">
        <v>2066</v>
      </c>
      <c r="E16" s="2698">
        <v>19300</v>
      </c>
      <c r="F16" s="2705"/>
    </row>
    <row r="17" spans="1:6" ht="30.75">
      <c r="A17" s="2706">
        <v>44845</v>
      </c>
      <c r="B17" s="2703" t="s">
        <v>2064</v>
      </c>
      <c r="C17" s="2698" t="s">
        <v>2065</v>
      </c>
      <c r="D17" s="2704" t="s">
        <v>2066</v>
      </c>
      <c r="E17" s="2698">
        <v>19300</v>
      </c>
      <c r="F17" s="2705"/>
    </row>
    <row r="18" spans="1:6" ht="30.75">
      <c r="A18" s="2706">
        <v>44631</v>
      </c>
      <c r="B18" s="2703" t="s">
        <v>2064</v>
      </c>
      <c r="C18" s="2698" t="s">
        <v>2065</v>
      </c>
      <c r="D18" s="2704" t="s">
        <v>2066</v>
      </c>
      <c r="E18" s="2698">
        <v>19300</v>
      </c>
      <c r="F18" s="2705"/>
    </row>
    <row r="19" spans="1:6" ht="30.75">
      <c r="A19" s="2702" t="s">
        <v>2059</v>
      </c>
      <c r="B19" s="2703" t="s">
        <v>2064</v>
      </c>
      <c r="C19" s="2698" t="s">
        <v>2065</v>
      </c>
      <c r="D19" s="2704" t="s">
        <v>2066</v>
      </c>
      <c r="E19" s="2698">
        <v>19300</v>
      </c>
      <c r="F19" s="2705"/>
    </row>
    <row r="20" spans="1:6" ht="15.75">
      <c r="A20" s="2706" t="s">
        <v>2059</v>
      </c>
      <c r="B20" s="2703" t="s">
        <v>2067</v>
      </c>
      <c r="C20" s="2698" t="s">
        <v>2068</v>
      </c>
      <c r="D20" s="2704" t="s">
        <v>2069</v>
      </c>
      <c r="E20" s="2698">
        <v>7100</v>
      </c>
      <c r="F20" s="2705"/>
    </row>
    <row r="21" spans="1:6" ht="15.75">
      <c r="A21" s="2706" t="s">
        <v>2063</v>
      </c>
      <c r="B21" s="2703" t="s">
        <v>2070</v>
      </c>
      <c r="C21" s="2699" t="s">
        <v>2071</v>
      </c>
      <c r="D21" s="2704" t="s">
        <v>2072</v>
      </c>
      <c r="E21" s="2698">
        <v>30000</v>
      </c>
      <c r="F21" s="2705"/>
    </row>
    <row r="22" spans="1:6" ht="15.75">
      <c r="A22" s="2706" t="s">
        <v>2063</v>
      </c>
      <c r="B22" s="2703" t="s">
        <v>2070</v>
      </c>
      <c r="C22" s="2699" t="s">
        <v>2071</v>
      </c>
      <c r="D22" s="2704" t="s">
        <v>2073</v>
      </c>
      <c r="E22" s="2698">
        <v>25000</v>
      </c>
      <c r="F22" s="2705"/>
    </row>
    <row r="23" spans="1:6" ht="15.75">
      <c r="A23" s="2706">
        <v>44572</v>
      </c>
      <c r="B23" s="2703" t="s">
        <v>2074</v>
      </c>
      <c r="C23" s="2699" t="s">
        <v>2075</v>
      </c>
      <c r="D23" s="2704" t="s">
        <v>2073</v>
      </c>
      <c r="E23" s="2698">
        <v>25000</v>
      </c>
      <c r="F23" s="2705"/>
    </row>
    <row r="24" spans="1:6" ht="16.5" customHeight="1">
      <c r="A24" s="2706">
        <v>44662</v>
      </c>
      <c r="B24" s="2703" t="s">
        <v>2074</v>
      </c>
      <c r="C24" s="2699" t="s">
        <v>2075</v>
      </c>
      <c r="D24" s="2704" t="s">
        <v>2073</v>
      </c>
      <c r="E24" s="2698">
        <v>25000</v>
      </c>
      <c r="F24" s="2705"/>
    </row>
    <row r="25" spans="1:6" ht="16.5" customHeight="1">
      <c r="A25" s="2706">
        <v>44662</v>
      </c>
      <c r="B25" s="2703" t="s">
        <v>2076</v>
      </c>
      <c r="C25" s="2700" t="s">
        <v>2077</v>
      </c>
      <c r="D25" s="2704" t="s">
        <v>2072</v>
      </c>
      <c r="E25" s="2698">
        <v>30000</v>
      </c>
      <c r="F25" s="2705"/>
    </row>
    <row r="26" spans="1:6" ht="15.75">
      <c r="A26" s="2706">
        <v>44784</v>
      </c>
      <c r="B26" s="2703" t="s">
        <v>2078</v>
      </c>
      <c r="C26" s="2701" t="s">
        <v>2079</v>
      </c>
      <c r="D26" s="2704" t="s">
        <v>2073</v>
      </c>
      <c r="E26" s="2698">
        <v>25000</v>
      </c>
      <c r="F26" s="2705"/>
    </row>
    <row r="27" spans="1:6" ht="30.75">
      <c r="A27" s="2708" t="s">
        <v>2080</v>
      </c>
      <c r="B27" s="2709" t="s">
        <v>2081</v>
      </c>
      <c r="C27" s="2710" t="s">
        <v>2082</v>
      </c>
      <c r="D27" s="2711" t="s">
        <v>2073</v>
      </c>
      <c r="E27" s="2712">
        <v>25000</v>
      </c>
      <c r="F27" s="2713"/>
    </row>
    <row r="28" spans="1:6" ht="35.25" customHeight="1">
      <c r="A28" s="2706">
        <v>44876</v>
      </c>
      <c r="B28" s="2707" t="s">
        <v>2083</v>
      </c>
      <c r="C28" s="2700" t="s">
        <v>2084</v>
      </c>
      <c r="D28" s="2704" t="s">
        <v>2073</v>
      </c>
      <c r="E28" s="2698">
        <v>25000</v>
      </c>
      <c r="F28" s="2705"/>
    </row>
    <row r="29" spans="1:6" ht="15.75">
      <c r="A29" s="2706">
        <v>44845</v>
      </c>
      <c r="B29" s="2707" t="s">
        <v>2085</v>
      </c>
      <c r="C29" s="2699" t="s">
        <v>2086</v>
      </c>
      <c r="D29" s="2704" t="s">
        <v>2072</v>
      </c>
      <c r="E29" s="2698">
        <v>30000</v>
      </c>
      <c r="F29" s="2705"/>
    </row>
    <row r="30" spans="1:6" ht="15.75">
      <c r="A30" s="2714" t="s">
        <v>2059</v>
      </c>
      <c r="B30" s="2715" t="s">
        <v>2087</v>
      </c>
      <c r="C30" s="2716" t="s">
        <v>2088</v>
      </c>
      <c r="D30" s="2717" t="s">
        <v>2089</v>
      </c>
      <c r="E30" s="2718">
        <v>22000</v>
      </c>
      <c r="F30" s="2719"/>
    </row>
    <row r="31" spans="1:6" ht="15.75">
      <c r="A31" s="2706" t="s">
        <v>1759</v>
      </c>
      <c r="B31" s="2707" t="s">
        <v>2087</v>
      </c>
      <c r="C31" s="2699" t="s">
        <v>2088</v>
      </c>
      <c r="D31" s="2704" t="s">
        <v>2089</v>
      </c>
      <c r="E31" s="2698">
        <v>24000</v>
      </c>
      <c r="F31" s="2705"/>
    </row>
    <row r="32" spans="1:6" ht="15.75">
      <c r="A32" s="2706">
        <v>44815</v>
      </c>
      <c r="B32" s="2707" t="s">
        <v>2087</v>
      </c>
      <c r="C32" s="2699" t="s">
        <v>2088</v>
      </c>
      <c r="D32" s="2704" t="s">
        <v>2089</v>
      </c>
      <c r="E32" s="2698">
        <v>25000</v>
      </c>
      <c r="F32" s="2705"/>
    </row>
    <row r="33" spans="1:6" ht="15.75">
      <c r="A33" s="2706">
        <v>44845</v>
      </c>
      <c r="B33" s="2707" t="s">
        <v>2087</v>
      </c>
      <c r="C33" s="2699" t="s">
        <v>2088</v>
      </c>
      <c r="D33" s="2704" t="s">
        <v>2089</v>
      </c>
      <c r="E33" s="2698">
        <v>12000</v>
      </c>
      <c r="F33" s="2705"/>
    </row>
    <row r="34" spans="1:6" ht="15.75">
      <c r="A34" s="2706">
        <v>44876</v>
      </c>
      <c r="B34" s="2707" t="s">
        <v>2087</v>
      </c>
      <c r="C34" s="2699" t="s">
        <v>2088</v>
      </c>
      <c r="D34" s="2704" t="s">
        <v>2089</v>
      </c>
      <c r="E34" s="2698">
        <v>12000</v>
      </c>
      <c r="F34" s="2705"/>
    </row>
    <row r="35" spans="1:6" ht="15.75">
      <c r="A35" s="2706">
        <v>44603</v>
      </c>
      <c r="B35" s="2707" t="s">
        <v>2087</v>
      </c>
      <c r="C35" s="2699" t="s">
        <v>2088</v>
      </c>
      <c r="D35" s="2704" t="s">
        <v>2089</v>
      </c>
      <c r="E35" s="2698">
        <v>12000</v>
      </c>
      <c r="F35" s="2705"/>
    </row>
    <row r="36" spans="1:6" ht="15.75">
      <c r="A36" s="2706">
        <v>44662</v>
      </c>
      <c r="B36" s="2707" t="s">
        <v>2087</v>
      </c>
      <c r="C36" s="2699" t="s">
        <v>2088</v>
      </c>
      <c r="D36" s="2704" t="s">
        <v>2089</v>
      </c>
      <c r="E36" s="2698">
        <v>12000</v>
      </c>
      <c r="F36" s="2705"/>
    </row>
    <row r="37" spans="1:6" ht="15.75">
      <c r="A37" s="2706">
        <v>44784</v>
      </c>
      <c r="B37" s="2707" t="s">
        <v>2087</v>
      </c>
      <c r="C37" s="2699" t="s">
        <v>2088</v>
      </c>
      <c r="D37" s="2704" t="s">
        <v>2089</v>
      </c>
      <c r="E37" s="2698">
        <v>15000</v>
      </c>
      <c r="F37" s="2705"/>
    </row>
    <row r="38" spans="1:6" ht="15.75">
      <c r="A38" s="2706" t="s">
        <v>1761</v>
      </c>
      <c r="B38" s="2707" t="s">
        <v>2087</v>
      </c>
      <c r="C38" s="2699" t="s">
        <v>2088</v>
      </c>
      <c r="D38" s="2704" t="s">
        <v>2089</v>
      </c>
      <c r="E38" s="2698">
        <v>16000</v>
      </c>
      <c r="F38" s="2705"/>
    </row>
    <row r="39" spans="1:6" ht="15.75">
      <c r="A39" s="2706" t="s">
        <v>1791</v>
      </c>
      <c r="B39" s="2707" t="s">
        <v>2087</v>
      </c>
      <c r="C39" s="2699" t="s">
        <v>2088</v>
      </c>
      <c r="D39" s="2704" t="s">
        <v>2089</v>
      </c>
      <c r="E39" s="2698">
        <v>14000</v>
      </c>
      <c r="F39" s="2705"/>
    </row>
    <row r="40" spans="1:6" ht="15.75">
      <c r="A40" s="2706" t="s">
        <v>1765</v>
      </c>
      <c r="B40" s="2707" t="s">
        <v>2087</v>
      </c>
      <c r="C40" s="2699" t="s">
        <v>2088</v>
      </c>
      <c r="D40" s="2704" t="s">
        <v>2089</v>
      </c>
      <c r="E40" s="2698">
        <v>24000</v>
      </c>
      <c r="F40" s="2705"/>
    </row>
    <row r="41" spans="1:6" ht="15.75">
      <c r="A41" s="2706">
        <v>44784</v>
      </c>
      <c r="B41" s="2707">
        <v>3438474</v>
      </c>
      <c r="C41" s="2699" t="s">
        <v>2090</v>
      </c>
      <c r="D41" s="2704" t="s">
        <v>2091</v>
      </c>
      <c r="E41" s="2698">
        <v>5500</v>
      </c>
      <c r="F41" s="2705"/>
    </row>
    <row r="42" spans="1:6" ht="15.75">
      <c r="A42" s="2706">
        <v>44845</v>
      </c>
      <c r="B42" s="2707" t="s">
        <v>2092</v>
      </c>
      <c r="C42" s="2699" t="s">
        <v>2093</v>
      </c>
      <c r="D42" s="2704" t="s">
        <v>2091</v>
      </c>
      <c r="E42" s="2698">
        <v>3500</v>
      </c>
      <c r="F42" s="2705"/>
    </row>
    <row r="43" spans="1:6" ht="15.75">
      <c r="A43" s="2706" t="s">
        <v>2094</v>
      </c>
      <c r="B43" s="2707" t="s">
        <v>2092</v>
      </c>
      <c r="C43" s="2699" t="s">
        <v>2093</v>
      </c>
      <c r="D43" s="2704" t="s">
        <v>2091</v>
      </c>
      <c r="E43" s="2698">
        <v>3000</v>
      </c>
      <c r="F43" s="2705"/>
    </row>
    <row r="44" spans="1:6" ht="15.75">
      <c r="A44" s="2706" t="s">
        <v>2059</v>
      </c>
      <c r="B44" s="2703" t="s">
        <v>2070</v>
      </c>
      <c r="C44" s="2699" t="s">
        <v>2071</v>
      </c>
      <c r="D44" s="2704" t="s">
        <v>2072</v>
      </c>
      <c r="E44" s="2698">
        <v>30000</v>
      </c>
      <c r="F44" s="2705"/>
    </row>
    <row r="45" spans="1:6" ht="30.75">
      <c r="A45" s="2708" t="s">
        <v>2095</v>
      </c>
      <c r="B45" s="2709" t="s">
        <v>2064</v>
      </c>
      <c r="C45" s="2712" t="s">
        <v>2065</v>
      </c>
      <c r="D45" s="2711" t="s">
        <v>2066</v>
      </c>
      <c r="E45" s="2712">
        <v>19300</v>
      </c>
      <c r="F45" s="2705"/>
    </row>
    <row r="46" spans="1:6" ht="15.75">
      <c r="A46" s="2706" t="s">
        <v>2095</v>
      </c>
      <c r="B46" s="2703">
        <v>890908096</v>
      </c>
      <c r="C46" s="2720" t="s">
        <v>2096</v>
      </c>
      <c r="D46" s="2704" t="s">
        <v>2072</v>
      </c>
      <c r="E46" s="2698">
        <v>30000</v>
      </c>
      <c r="F46" s="2721"/>
    </row>
    <row r="47" spans="1:6" ht="28.5">
      <c r="A47" s="2706" t="s">
        <v>2095</v>
      </c>
      <c r="B47" s="2703">
        <v>900913832</v>
      </c>
      <c r="C47" s="2723" t="s">
        <v>2084</v>
      </c>
      <c r="D47" s="2704" t="s">
        <v>2073</v>
      </c>
      <c r="E47" s="2698">
        <v>25000</v>
      </c>
      <c r="F47" s="2721"/>
    </row>
    <row r="48" spans="1:6" ht="15.75">
      <c r="A48" s="2882" t="s">
        <v>2097</v>
      </c>
      <c r="B48" s="2882"/>
      <c r="C48" s="2882"/>
      <c r="D48" s="2882"/>
      <c r="E48" s="2722">
        <f>SUM(E11:E47)</f>
        <v>701100</v>
      </c>
      <c r="F48" s="2705" t="s">
        <v>2047</v>
      </c>
    </row>
    <row r="49" spans="1:6" ht="15.75">
      <c r="A49" s="2883" t="s">
        <v>2098</v>
      </c>
      <c r="B49" s="2883"/>
      <c r="C49" s="2883"/>
      <c r="D49" s="2883"/>
      <c r="E49" s="2701">
        <f>F8-E48</f>
        <v>48900</v>
      </c>
      <c r="F49" s="2705" t="s">
        <v>2047</v>
      </c>
    </row>
    <row r="50" spans="1:6">
      <c r="A50" s="214" t="s">
        <v>2047</v>
      </c>
      <c r="B50" s="215"/>
      <c r="C50" s="215"/>
      <c r="D50" s="215"/>
      <c r="E50" s="215"/>
      <c r="F50" s="216" t="s">
        <v>2047</v>
      </c>
    </row>
    <row r="51" spans="1:6">
      <c r="A51" s="214" t="s">
        <v>2047</v>
      </c>
      <c r="B51" s="215"/>
      <c r="C51" s="215"/>
      <c r="D51" s="811" t="s">
        <v>2099</v>
      </c>
      <c r="E51" s="215"/>
      <c r="F51" s="216" t="s">
        <v>2047</v>
      </c>
    </row>
    <row r="52" spans="1:6" ht="15.6">
      <c r="A52" s="214" t="s">
        <v>2047</v>
      </c>
      <c r="B52" s="215"/>
      <c r="C52" s="215"/>
      <c r="D52" s="1399"/>
      <c r="E52" s="215"/>
      <c r="F52" s="216" t="s">
        <v>2047</v>
      </c>
    </row>
    <row r="53" spans="1:6">
      <c r="A53" s="2884" t="s">
        <v>2100</v>
      </c>
      <c r="B53" s="2875"/>
      <c r="C53" s="2875"/>
      <c r="D53" s="215"/>
      <c r="E53" s="2885" t="s">
        <v>2047</v>
      </c>
      <c r="F53" s="2886"/>
    </row>
    <row r="54" spans="1:6">
      <c r="A54" s="212" t="s">
        <v>2047</v>
      </c>
      <c r="B54" s="1750" t="s">
        <v>2047</v>
      </c>
      <c r="C54" s="1750" t="s">
        <v>2047</v>
      </c>
      <c r="D54" s="215"/>
      <c r="E54" s="2875" t="s">
        <v>2047</v>
      </c>
      <c r="F54" s="2876"/>
    </row>
    <row r="55" spans="1:6">
      <c r="A55" s="220" t="s">
        <v>2047</v>
      </c>
      <c r="B55" s="221" t="s">
        <v>2047</v>
      </c>
      <c r="C55" s="221" t="s">
        <v>2047</v>
      </c>
      <c r="D55" s="221" t="s">
        <v>2047</v>
      </c>
      <c r="E55" s="221" t="s">
        <v>2047</v>
      </c>
      <c r="F55" s="222" t="s">
        <v>2047</v>
      </c>
    </row>
    <row r="56" spans="1:6" ht="15"/>
    <row r="57" spans="1:6" ht="15"/>
    <row r="58" spans="1:6" ht="15"/>
    <row r="59" spans="1:6" ht="15"/>
    <row r="60" spans="1:6" ht="15"/>
    <row r="61" spans="1:6" ht="15"/>
    <row r="62" spans="1:6" ht="15"/>
    <row r="63" spans="1:6" ht="15"/>
    <row r="64" spans="1:6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9" ht="15"/>
    <row r="230" ht="15"/>
    <row r="231" ht="15"/>
    <row r="232" ht="15"/>
    <row r="233" ht="15"/>
    <row r="234" ht="15"/>
    <row r="235" ht="15"/>
  </sheetData>
  <mergeCells count="13">
    <mergeCell ref="A2:F3"/>
    <mergeCell ref="A4:F4"/>
    <mergeCell ref="A6:C6"/>
    <mergeCell ref="D6:F6"/>
    <mergeCell ref="A7:C7"/>
    <mergeCell ref="D7:F7"/>
    <mergeCell ref="E54:F54"/>
    <mergeCell ref="A8:C8"/>
    <mergeCell ref="D8:E8"/>
    <mergeCell ref="A48:D48"/>
    <mergeCell ref="A49:D49"/>
    <mergeCell ref="A53:C53"/>
    <mergeCell ref="E53:F53"/>
  </mergeCells>
  <pageMargins left="0.7" right="0.7" top="0.75" bottom="0.75" header="0.3" footer="0.3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D1865"/>
  <sheetViews>
    <sheetView topLeftCell="A136" workbookViewId="0">
      <selection activeCell="D150" sqref="D150"/>
    </sheetView>
  </sheetViews>
  <sheetFormatPr defaultColWidth="9.140625" defaultRowHeight="14.45"/>
  <cols>
    <col min="1" max="1" width="17.42578125" style="2170" customWidth="1"/>
    <col min="2" max="2" width="13.42578125" customWidth="1"/>
    <col min="3" max="3" width="69.42578125" customWidth="1"/>
    <col min="4" max="4" width="79.140625" style="1055" customWidth="1"/>
    <col min="5" max="5" width="26.28515625" customWidth="1"/>
    <col min="6" max="6" width="10.5703125" customWidth="1"/>
    <col min="7" max="7" width="12.5703125" customWidth="1"/>
    <col min="8" max="8" width="24.42578125" style="1" customWidth="1"/>
    <col min="9" max="9" width="18" style="1" customWidth="1"/>
    <col min="10" max="10" width="18.5703125" customWidth="1"/>
    <col min="11" max="11" width="10.28515625" customWidth="1"/>
    <col min="12" max="12" width="54.28515625" customWidth="1"/>
    <col min="13" max="13" width="14" customWidth="1"/>
    <col min="14" max="14" width="9.5703125" customWidth="1"/>
    <col min="15" max="15" width="19" customWidth="1"/>
  </cols>
  <sheetData>
    <row r="2" spans="1:16" ht="46.15">
      <c r="A2" s="3033" t="s">
        <v>2101</v>
      </c>
      <c r="B2" s="3033"/>
      <c r="C2" s="3033"/>
      <c r="D2" s="3033"/>
      <c r="E2" s="3033"/>
      <c r="F2" s="3033"/>
      <c r="G2" s="3033"/>
      <c r="H2" s="3033"/>
      <c r="I2" s="3033"/>
      <c r="J2" s="3033"/>
      <c r="O2" s="1"/>
    </row>
    <row r="3" spans="1:16">
      <c r="O3" s="1"/>
    </row>
    <row r="4" spans="1:16">
      <c r="A4" s="3030" t="s">
        <v>2102</v>
      </c>
      <c r="B4" s="3030"/>
      <c r="C4" s="3030"/>
      <c r="D4" s="3030"/>
      <c r="E4" s="3030"/>
      <c r="F4" s="3030"/>
      <c r="G4" s="3030"/>
      <c r="H4" s="3030"/>
      <c r="I4" s="3030"/>
      <c r="J4" s="3030"/>
      <c r="K4" s="2819" t="s">
        <v>1805</v>
      </c>
      <c r="L4" s="2819"/>
      <c r="M4" s="2819"/>
      <c r="N4" s="2819"/>
      <c r="O4" s="2"/>
    </row>
    <row r="5" spans="1:16">
      <c r="A5" s="2171" t="s">
        <v>1806</v>
      </c>
      <c r="B5" s="3" t="s">
        <v>1807</v>
      </c>
      <c r="C5" s="1634" t="s">
        <v>1837</v>
      </c>
      <c r="D5" s="1056" t="s">
        <v>1809</v>
      </c>
      <c r="E5" s="32" t="s">
        <v>1810</v>
      </c>
      <c r="F5" s="1634" t="s">
        <v>1811</v>
      </c>
      <c r="G5" s="167" t="s">
        <v>1812</v>
      </c>
      <c r="H5" s="1634" t="s">
        <v>1813</v>
      </c>
      <c r="I5" s="3" t="s">
        <v>1814</v>
      </c>
      <c r="J5" s="3" t="s">
        <v>1815</v>
      </c>
      <c r="K5" s="6" t="s">
        <v>1807</v>
      </c>
      <c r="L5" s="6" t="s">
        <v>1809</v>
      </c>
      <c r="M5" s="6" t="s">
        <v>1816</v>
      </c>
      <c r="N5" s="7" t="s">
        <v>1811</v>
      </c>
      <c r="O5" s="2" t="s">
        <v>1817</v>
      </c>
    </row>
    <row r="6" spans="1:16">
      <c r="A6" s="2799" t="s">
        <v>2103</v>
      </c>
      <c r="B6" s="164"/>
      <c r="C6" s="11"/>
      <c r="D6" s="160"/>
      <c r="E6" s="11"/>
      <c r="F6" s="11"/>
      <c r="G6" s="11"/>
      <c r="H6" s="2"/>
      <c r="I6" s="165"/>
      <c r="J6" s="8"/>
      <c r="K6" s="208">
        <v>10524</v>
      </c>
      <c r="L6" s="85" t="s">
        <v>2104</v>
      </c>
      <c r="M6" s="87">
        <v>1250000</v>
      </c>
      <c r="N6" s="194">
        <v>0.04</v>
      </c>
      <c r="O6" s="195">
        <f>M6*N6</f>
        <v>50000</v>
      </c>
    </row>
    <row r="7" spans="1:16">
      <c r="A7" s="2799"/>
      <c r="B7" s="59"/>
      <c r="C7" s="11"/>
      <c r="D7" s="160"/>
      <c r="E7" s="11"/>
      <c r="F7" s="11"/>
      <c r="G7" s="11"/>
      <c r="H7" s="2"/>
      <c r="I7" s="166"/>
      <c r="J7" s="205"/>
      <c r="K7" s="121">
        <v>10468</v>
      </c>
      <c r="L7" s="210" t="s">
        <v>2105</v>
      </c>
      <c r="M7" s="211">
        <v>1200000</v>
      </c>
      <c r="N7" s="194">
        <v>0.04</v>
      </c>
      <c r="O7" s="195">
        <f>M7*N7</f>
        <v>48000</v>
      </c>
    </row>
    <row r="8" spans="1:16" ht="15.6">
      <c r="A8" s="2799"/>
      <c r="B8" s="59"/>
      <c r="C8" s="11"/>
      <c r="D8" s="160"/>
      <c r="E8" s="11"/>
      <c r="F8" s="11"/>
      <c r="G8" s="11"/>
      <c r="H8" s="2"/>
      <c r="I8" s="166"/>
      <c r="J8" s="205"/>
      <c r="K8" s="50"/>
      <c r="L8" s="207"/>
      <c r="M8" s="209">
        <f>SUM(M6:M7)</f>
        <v>2450000</v>
      </c>
      <c r="N8" s="202"/>
      <c r="O8" s="203"/>
    </row>
    <row r="9" spans="1:16" ht="21">
      <c r="A9" s="2799"/>
      <c r="B9" s="12"/>
      <c r="C9" s="12"/>
      <c r="D9" s="1057" t="s">
        <v>1989</v>
      </c>
      <c r="E9" s="13">
        <f>SUM(E6:E7)</f>
        <v>0</v>
      </c>
      <c r="F9" s="14"/>
      <c r="G9" s="15">
        <f>SUM(G6:G7)</f>
        <v>0</v>
      </c>
      <c r="H9" s="14"/>
      <c r="I9" s="12"/>
      <c r="J9" s="206"/>
      <c r="K9" s="204"/>
      <c r="L9" s="3027" t="s">
        <v>1859</v>
      </c>
      <c r="M9" s="3027"/>
      <c r="N9" s="3027"/>
      <c r="O9" s="16">
        <f>SUM(O6:O7)</f>
        <v>98000</v>
      </c>
      <c r="P9" s="191"/>
    </row>
    <row r="10" spans="1:16">
      <c r="A10" s="2172"/>
      <c r="B10" s="17"/>
      <c r="C10" s="17"/>
      <c r="D10" s="1058"/>
      <c r="E10" s="19"/>
      <c r="F10" s="17"/>
      <c r="G10" s="20"/>
      <c r="H10" s="17"/>
      <c r="I10" s="17"/>
      <c r="J10" s="18"/>
      <c r="O10" s="1"/>
    </row>
    <row r="11" spans="1:16">
      <c r="A11" s="3028" t="s">
        <v>2106</v>
      </c>
      <c r="B11" s="3028"/>
      <c r="C11" s="3028"/>
      <c r="D11" s="3028"/>
      <c r="E11" s="3028"/>
      <c r="F11" s="3028"/>
      <c r="G11" s="3028"/>
      <c r="H11" s="3028"/>
      <c r="I11" s="3028"/>
      <c r="J11" s="3028"/>
      <c r="K11" s="2819" t="s">
        <v>1805</v>
      </c>
      <c r="L11" s="2819"/>
      <c r="M11" s="2819"/>
      <c r="N11" s="2819"/>
      <c r="O11" s="2"/>
    </row>
    <row r="12" spans="1:16" ht="18.75" customHeight="1">
      <c r="A12" s="2173" t="s">
        <v>1806</v>
      </c>
      <c r="B12" s="23" t="s">
        <v>1807</v>
      </c>
      <c r="C12" s="3" t="s">
        <v>1837</v>
      </c>
      <c r="D12" s="1059" t="s">
        <v>1809</v>
      </c>
      <c r="E12" s="24" t="s">
        <v>1810</v>
      </c>
      <c r="F12" s="3" t="s">
        <v>1811</v>
      </c>
      <c r="G12" s="25" t="s">
        <v>1812</v>
      </c>
      <c r="H12" s="26" t="s">
        <v>1813</v>
      </c>
      <c r="I12" s="3" t="s">
        <v>1814</v>
      </c>
      <c r="J12" s="6" t="s">
        <v>1815</v>
      </c>
      <c r="K12" s="6" t="s">
        <v>1807</v>
      </c>
      <c r="L12" s="6" t="s">
        <v>1809</v>
      </c>
      <c r="M12" s="6" t="s">
        <v>1816</v>
      </c>
      <c r="N12" s="7" t="s">
        <v>1811</v>
      </c>
      <c r="O12" s="2" t="s">
        <v>1817</v>
      </c>
    </row>
    <row r="13" spans="1:16" ht="18.75" customHeight="1">
      <c r="A13" s="2173"/>
      <c r="B13" s="102"/>
      <c r="C13" s="103"/>
      <c r="D13" s="1060" t="s">
        <v>2107</v>
      </c>
      <c r="E13" s="104"/>
      <c r="F13" s="97"/>
      <c r="G13" s="105"/>
      <c r="H13" s="106" t="s">
        <v>2108</v>
      </c>
      <c r="I13" s="107" t="s">
        <v>27</v>
      </c>
      <c r="J13" s="108" t="s">
        <v>2109</v>
      </c>
      <c r="K13" s="109"/>
      <c r="L13" s="110"/>
      <c r="M13" s="111"/>
      <c r="N13" s="112"/>
      <c r="O13" s="113"/>
    </row>
    <row r="14" spans="1:16">
      <c r="A14" s="3034" t="s">
        <v>2110</v>
      </c>
      <c r="B14" s="121">
        <v>10524</v>
      </c>
      <c r="C14" s="122">
        <v>0.1</v>
      </c>
      <c r="D14" s="1061" t="s">
        <v>2104</v>
      </c>
      <c r="E14" s="68">
        <v>1250000</v>
      </c>
      <c r="F14" s="123">
        <v>0.04</v>
      </c>
      <c r="G14" s="124">
        <f>E14*F14</f>
        <v>50000</v>
      </c>
      <c r="H14" s="125" t="s">
        <v>582</v>
      </c>
      <c r="I14" s="126" t="s">
        <v>27</v>
      </c>
      <c r="J14" s="81" t="s">
        <v>2111</v>
      </c>
      <c r="K14" s="55"/>
      <c r="L14" s="9"/>
      <c r="M14" s="54"/>
      <c r="N14" s="57"/>
      <c r="O14" s="48"/>
    </row>
    <row r="15" spans="1:16">
      <c r="A15" s="3034"/>
      <c r="B15" s="121">
        <v>10543</v>
      </c>
      <c r="C15" s="122">
        <v>0.1</v>
      </c>
      <c r="D15" s="1062" t="s">
        <v>2112</v>
      </c>
      <c r="E15" s="178">
        <v>750000</v>
      </c>
      <c r="F15" s="123">
        <v>0.05</v>
      </c>
      <c r="G15" s="124">
        <f>E15*F15</f>
        <v>37500</v>
      </c>
      <c r="H15" s="125" t="s">
        <v>732</v>
      </c>
      <c r="I15" s="126" t="s">
        <v>27</v>
      </c>
      <c r="J15" s="81" t="s">
        <v>2111</v>
      </c>
      <c r="K15" s="44"/>
      <c r="L15" s="34"/>
      <c r="M15" s="34"/>
      <c r="N15" s="34"/>
      <c r="O15" s="51"/>
    </row>
    <row r="16" spans="1:16">
      <c r="A16" s="3034"/>
      <c r="B16" s="196">
        <v>10570</v>
      </c>
      <c r="C16" s="197">
        <v>0.1</v>
      </c>
      <c r="D16" s="1061" t="s">
        <v>2113</v>
      </c>
      <c r="E16" s="198">
        <v>1300000</v>
      </c>
      <c r="F16" s="199">
        <v>0.08</v>
      </c>
      <c r="G16" s="124">
        <f>E16*F16</f>
        <v>104000</v>
      </c>
      <c r="H16" s="125" t="s">
        <v>2114</v>
      </c>
      <c r="I16" s="126" t="s">
        <v>27</v>
      </c>
      <c r="J16" s="81" t="s">
        <v>2111</v>
      </c>
      <c r="K16" s="44"/>
      <c r="L16" s="34"/>
      <c r="M16" s="34"/>
      <c r="N16" s="34"/>
      <c r="O16" s="51"/>
    </row>
    <row r="17" spans="1:15">
      <c r="A17" s="3034"/>
      <c r="B17" s="58"/>
      <c r="C17" s="177"/>
      <c r="D17" s="201"/>
      <c r="E17" s="168"/>
      <c r="F17" s="169"/>
      <c r="G17" s="53"/>
      <c r="H17" s="56"/>
      <c r="I17" s="42"/>
      <c r="J17" s="21"/>
      <c r="K17" s="44"/>
      <c r="L17" s="34"/>
      <c r="M17" s="34"/>
      <c r="N17" s="34"/>
      <c r="O17" s="51"/>
    </row>
    <row r="18" spans="1:15" ht="24.6">
      <c r="A18" s="3034"/>
      <c r="B18" s="28"/>
      <c r="C18" s="29"/>
      <c r="D18" s="1063"/>
      <c r="E18" s="179">
        <f>SUM(E14:E17)</f>
        <v>3300000</v>
      </c>
      <c r="F18" s="29"/>
      <c r="G18" s="190">
        <f>SUM(G14:G17)</f>
        <v>191500</v>
      </c>
      <c r="H18" s="997" t="s">
        <v>1904</v>
      </c>
      <c r="I18" s="43"/>
      <c r="J18" s="31"/>
      <c r="K18" s="11"/>
      <c r="L18" s="3029" t="s">
        <v>1859</v>
      </c>
      <c r="M18" s="3029"/>
      <c r="N18" s="3029"/>
      <c r="O18" s="22"/>
    </row>
    <row r="19" spans="1:15">
      <c r="A19" s="2174"/>
      <c r="B19" s="17"/>
      <c r="C19" s="17"/>
      <c r="D19" s="1058"/>
      <c r="E19" s="19"/>
      <c r="F19" s="17"/>
      <c r="G19" s="20"/>
      <c r="H19" s="17"/>
      <c r="I19" s="17"/>
      <c r="J19" s="18"/>
      <c r="O19" s="1"/>
    </row>
    <row r="20" spans="1:15">
      <c r="A20" s="3030" t="s">
        <v>2115</v>
      </c>
      <c r="B20" s="3030"/>
      <c r="C20" s="3030"/>
      <c r="D20" s="3030"/>
      <c r="E20" s="3030"/>
      <c r="F20" s="3030"/>
      <c r="G20" s="3030"/>
      <c r="H20" s="3030"/>
      <c r="I20" s="3030"/>
      <c r="J20" s="3030"/>
      <c r="K20" s="2819" t="s">
        <v>1805</v>
      </c>
      <c r="L20" s="2819"/>
      <c r="M20" s="2819"/>
      <c r="N20" s="2819"/>
      <c r="O20" s="2"/>
    </row>
    <row r="21" spans="1:15">
      <c r="A21" s="3031" t="s">
        <v>2116</v>
      </c>
      <c r="B21" s="3" t="s">
        <v>1807</v>
      </c>
      <c r="C21" s="3" t="s">
        <v>1837</v>
      </c>
      <c r="D21" s="1056" t="s">
        <v>1809</v>
      </c>
      <c r="E21" s="32" t="s">
        <v>1810</v>
      </c>
      <c r="F21" s="3" t="s">
        <v>1811</v>
      </c>
      <c r="G21" s="5" t="s">
        <v>1812</v>
      </c>
      <c r="H21" s="3" t="s">
        <v>1813</v>
      </c>
      <c r="I21" s="3" t="s">
        <v>2117</v>
      </c>
      <c r="J21" s="3" t="s">
        <v>1815</v>
      </c>
      <c r="K21" s="6" t="s">
        <v>1807</v>
      </c>
      <c r="L21" s="6" t="s">
        <v>1809</v>
      </c>
      <c r="M21" s="6" t="s">
        <v>1816</v>
      </c>
      <c r="N21" s="7" t="s">
        <v>1811</v>
      </c>
      <c r="O21" s="2" t="s">
        <v>1817</v>
      </c>
    </row>
    <row r="22" spans="1:15" ht="15" customHeight="1">
      <c r="A22" s="3031"/>
      <c r="B22" s="65">
        <v>10478</v>
      </c>
      <c r="C22" s="66">
        <v>0.1</v>
      </c>
      <c r="D22" s="1061" t="s">
        <v>2118</v>
      </c>
      <c r="E22" s="68">
        <v>850000</v>
      </c>
      <c r="F22" s="69">
        <v>0.04</v>
      </c>
      <c r="G22" s="70">
        <f>E22*F22</f>
        <v>34000</v>
      </c>
      <c r="H22" s="71" t="s">
        <v>2119</v>
      </c>
      <c r="I22" s="72" t="s">
        <v>115</v>
      </c>
      <c r="J22" s="73" t="s">
        <v>2111</v>
      </c>
      <c r="K22" s="33"/>
      <c r="L22" s="34"/>
      <c r="M22" s="35"/>
      <c r="N22" s="36"/>
      <c r="O22" s="51"/>
    </row>
    <row r="23" spans="1:15" ht="15" customHeight="1">
      <c r="A23" s="3031"/>
      <c r="B23" s="170">
        <v>10494</v>
      </c>
      <c r="C23" s="78">
        <v>0.1</v>
      </c>
      <c r="D23" s="1062" t="s">
        <v>2120</v>
      </c>
      <c r="E23" s="68">
        <v>1000000</v>
      </c>
      <c r="F23" s="76">
        <v>0.05</v>
      </c>
      <c r="G23" s="70">
        <f>E23*F23</f>
        <v>50000</v>
      </c>
      <c r="H23" s="74" t="s">
        <v>118</v>
      </c>
      <c r="I23" s="77" t="s">
        <v>115</v>
      </c>
      <c r="J23" s="73" t="s">
        <v>2111</v>
      </c>
      <c r="K23" s="33"/>
      <c r="L23" s="34"/>
      <c r="M23" s="35"/>
      <c r="N23" s="36"/>
      <c r="O23" s="51"/>
    </row>
    <row r="24" spans="1:15" ht="15" customHeight="1">
      <c r="A24" s="3031"/>
      <c r="B24" s="39"/>
      <c r="C24" s="52"/>
      <c r="D24" s="1064"/>
      <c r="E24" s="62"/>
      <c r="F24" s="49"/>
      <c r="G24" s="61"/>
      <c r="H24" s="33"/>
      <c r="I24" s="33"/>
      <c r="J24" s="37"/>
      <c r="K24" s="33"/>
      <c r="L24" s="34"/>
      <c r="M24" s="35"/>
      <c r="N24" s="36"/>
      <c r="O24" s="51"/>
    </row>
    <row r="25" spans="1:15" ht="23.25" customHeight="1">
      <c r="A25" s="3031"/>
      <c r="B25" s="29"/>
      <c r="C25" s="29"/>
      <c r="D25" s="1065"/>
      <c r="E25" s="30">
        <f>SUM(E22:E24)</f>
        <v>1850000</v>
      </c>
      <c r="F25" s="38"/>
      <c r="G25" s="189">
        <f>SUM(G22:G24)</f>
        <v>84000</v>
      </c>
      <c r="H25" s="998" t="s">
        <v>1904</v>
      </c>
      <c r="I25" s="29"/>
      <c r="J25" s="27"/>
      <c r="K25" s="11"/>
      <c r="L25" s="3032" t="s">
        <v>2121</v>
      </c>
      <c r="M25" s="3032"/>
      <c r="N25" s="3032"/>
      <c r="O25" s="22">
        <f>G25</f>
        <v>84000</v>
      </c>
    </row>
    <row r="26" spans="1:15">
      <c r="A26" s="2172"/>
      <c r="B26" s="17"/>
      <c r="C26" s="17"/>
      <c r="F26" s="17"/>
      <c r="O26" s="1"/>
    </row>
    <row r="28" spans="1:15" ht="15" customHeight="1">
      <c r="A28" s="3035" t="s">
        <v>2122</v>
      </c>
      <c r="B28" s="3035"/>
      <c r="C28" s="3035"/>
      <c r="D28" s="3035"/>
      <c r="E28" s="3035"/>
      <c r="F28" s="3035"/>
      <c r="G28" s="3035"/>
      <c r="H28" s="3035"/>
    </row>
    <row r="29" spans="1:15" ht="15" customHeight="1">
      <c r="A29" s="3035"/>
      <c r="B29" s="3035"/>
      <c r="C29" s="3035"/>
      <c r="D29" s="3035"/>
      <c r="E29" s="3035"/>
      <c r="F29" s="3035"/>
      <c r="G29" s="3035"/>
      <c r="H29" s="3035"/>
    </row>
    <row r="30" spans="1:15">
      <c r="A30" s="33" t="s">
        <v>1807</v>
      </c>
      <c r="B30" s="33" t="s">
        <v>1808</v>
      </c>
      <c r="C30" s="33" t="s">
        <v>2012</v>
      </c>
      <c r="D30" s="1066" t="s">
        <v>2123</v>
      </c>
      <c r="E30" s="63" t="s">
        <v>2013</v>
      </c>
      <c r="F30" s="64" t="s">
        <v>1811</v>
      </c>
      <c r="G30" s="88" t="s">
        <v>1817</v>
      </c>
      <c r="H30" s="2" t="s">
        <v>2124</v>
      </c>
      <c r="I30" s="1" t="s">
        <v>2125</v>
      </c>
    </row>
    <row r="31" spans="1:15">
      <c r="A31" s="109"/>
      <c r="B31" s="97"/>
      <c r="C31" s="98" t="s">
        <v>2126</v>
      </c>
      <c r="D31" s="1067" t="s">
        <v>2127</v>
      </c>
      <c r="E31" s="99"/>
      <c r="F31" s="100"/>
      <c r="G31" s="101">
        <f t="shared" ref="G31:G37" si="0">E31*F31</f>
        <v>0</v>
      </c>
      <c r="H31" s="999"/>
      <c r="I31" s="1" t="s">
        <v>2128</v>
      </c>
    </row>
    <row r="32" spans="1:15">
      <c r="A32" s="75">
        <v>10479</v>
      </c>
      <c r="B32" s="80">
        <v>0.1</v>
      </c>
      <c r="C32" s="81" t="s">
        <v>2129</v>
      </c>
      <c r="D32" s="1061" t="s">
        <v>2130</v>
      </c>
      <c r="E32" s="68">
        <v>1050000</v>
      </c>
      <c r="F32" s="82">
        <v>0.02</v>
      </c>
      <c r="G32" s="89">
        <f t="shared" si="0"/>
        <v>21000</v>
      </c>
      <c r="H32" s="851" t="s">
        <v>2124</v>
      </c>
      <c r="I32" s="1" t="s">
        <v>2131</v>
      </c>
    </row>
    <row r="33" spans="1:9">
      <c r="A33" s="83">
        <v>10478</v>
      </c>
      <c r="B33" s="84">
        <v>0.1</v>
      </c>
      <c r="C33" s="85" t="s">
        <v>2118</v>
      </c>
      <c r="D33" s="1068" t="s">
        <v>2111</v>
      </c>
      <c r="E33" s="87">
        <v>850000</v>
      </c>
      <c r="F33" s="82">
        <v>0.02</v>
      </c>
      <c r="G33" s="89">
        <f t="shared" si="0"/>
        <v>17000</v>
      </c>
      <c r="H33" s="851" t="s">
        <v>2124</v>
      </c>
      <c r="I33" s="1" t="s">
        <v>1946</v>
      </c>
    </row>
    <row r="34" spans="1:9">
      <c r="A34" s="65">
        <v>10494</v>
      </c>
      <c r="B34" s="84">
        <v>0.1</v>
      </c>
      <c r="C34" s="86" t="s">
        <v>2120</v>
      </c>
      <c r="D34" s="1068" t="s">
        <v>2111</v>
      </c>
      <c r="E34" s="87">
        <v>1000000</v>
      </c>
      <c r="F34" s="82">
        <v>0.02</v>
      </c>
      <c r="G34" s="89">
        <f t="shared" si="0"/>
        <v>20000</v>
      </c>
      <c r="H34" s="851" t="s">
        <v>2124</v>
      </c>
      <c r="I34" s="1" t="s">
        <v>1946</v>
      </c>
    </row>
    <row r="35" spans="1:9">
      <c r="A35" s="75">
        <v>10524</v>
      </c>
      <c r="B35" s="114">
        <v>0.1</v>
      </c>
      <c r="C35" s="67" t="s">
        <v>2132</v>
      </c>
      <c r="D35" s="1068" t="s">
        <v>2111</v>
      </c>
      <c r="E35" s="115">
        <v>1250000</v>
      </c>
      <c r="F35" s="82">
        <v>0.02</v>
      </c>
      <c r="G35" s="89">
        <f t="shared" si="0"/>
        <v>25000</v>
      </c>
      <c r="H35" s="851" t="s">
        <v>2124</v>
      </c>
      <c r="I35" s="1" t="s">
        <v>2128</v>
      </c>
    </row>
    <row r="36" spans="1:9">
      <c r="A36" s="131">
        <v>10543</v>
      </c>
      <c r="B36" s="80">
        <v>0.1</v>
      </c>
      <c r="C36" s="132" t="s">
        <v>2112</v>
      </c>
      <c r="D36" s="1069" t="s">
        <v>2133</v>
      </c>
      <c r="E36" s="134">
        <v>750000</v>
      </c>
      <c r="F36" s="82">
        <v>0.02</v>
      </c>
      <c r="G36" s="89">
        <f t="shared" si="0"/>
        <v>15000</v>
      </c>
      <c r="H36" s="851" t="s">
        <v>2124</v>
      </c>
      <c r="I36" s="1" t="s">
        <v>2128</v>
      </c>
    </row>
    <row r="37" spans="1:9">
      <c r="A37" s="131">
        <v>10570</v>
      </c>
      <c r="B37" s="80">
        <v>0.1</v>
      </c>
      <c r="C37" s="132" t="s">
        <v>2134</v>
      </c>
      <c r="D37" s="1069" t="s">
        <v>2135</v>
      </c>
      <c r="E37" s="134">
        <v>1300000</v>
      </c>
      <c r="F37" s="82">
        <v>0.02</v>
      </c>
      <c r="G37" s="89">
        <f t="shared" si="0"/>
        <v>26000</v>
      </c>
      <c r="H37" s="851" t="s">
        <v>2124</v>
      </c>
      <c r="I37" s="1" t="s">
        <v>2136</v>
      </c>
    </row>
    <row r="38" spans="1:9">
      <c r="A38" s="59"/>
      <c r="B38" s="36"/>
      <c r="C38" s="11"/>
      <c r="D38" s="160"/>
      <c r="E38" s="11"/>
      <c r="F38" s="11"/>
      <c r="G38" s="11"/>
      <c r="H38" s="2"/>
    </row>
    <row r="39" spans="1:9">
      <c r="A39" s="59"/>
      <c r="B39" s="36"/>
      <c r="C39" s="11"/>
      <c r="D39" s="160"/>
      <c r="E39" s="11"/>
      <c r="F39" s="11"/>
      <c r="G39" s="11"/>
      <c r="H39" s="2"/>
    </row>
    <row r="40" spans="1:9">
      <c r="A40" s="59"/>
      <c r="B40" s="36"/>
      <c r="C40" s="11"/>
      <c r="D40" s="160"/>
      <c r="E40" s="11"/>
      <c r="F40" s="11"/>
      <c r="G40" s="11"/>
      <c r="H40" s="2"/>
    </row>
    <row r="41" spans="1:9">
      <c r="A41" s="59"/>
      <c r="B41" s="36"/>
      <c r="C41" s="11"/>
      <c r="D41" s="160"/>
      <c r="E41" s="11"/>
      <c r="F41" s="11"/>
      <c r="G41" s="11"/>
      <c r="H41" s="2"/>
    </row>
    <row r="42" spans="1:9" ht="17.45">
      <c r="A42" s="46" t="s">
        <v>1904</v>
      </c>
      <c r="B42" s="11"/>
      <c r="C42" s="171"/>
      <c r="D42" s="1070"/>
      <c r="E42" s="172">
        <f>SUM(E32:E41)</f>
        <v>6200000</v>
      </c>
      <c r="F42" s="173"/>
      <c r="G42" s="188">
        <f>SUM(G32:G41)</f>
        <v>124000</v>
      </c>
      <c r="H42" s="1000" t="s">
        <v>1904</v>
      </c>
    </row>
    <row r="43" spans="1:9">
      <c r="A43" s="90"/>
      <c r="E43" s="91"/>
      <c r="G43" s="92"/>
      <c r="H43" s="1001"/>
    </row>
    <row r="44" spans="1:9">
      <c r="A44" s="90"/>
      <c r="E44" s="91"/>
      <c r="G44" s="92"/>
      <c r="H44" s="1001"/>
    </row>
    <row r="45" spans="1:9" ht="15" customHeight="1">
      <c r="A45" s="3037" t="s">
        <v>2137</v>
      </c>
      <c r="B45" s="3037"/>
      <c r="C45" s="3037"/>
      <c r="D45" s="3037"/>
      <c r="E45" s="3037"/>
      <c r="F45" s="3037"/>
      <c r="G45" s="3037"/>
      <c r="H45" s="3037"/>
    </row>
    <row r="46" spans="1:9" ht="15" customHeight="1">
      <c r="A46" s="3037"/>
      <c r="B46" s="3037"/>
      <c r="C46" s="3037"/>
      <c r="D46" s="3037"/>
      <c r="E46" s="3037"/>
      <c r="F46" s="3037"/>
      <c r="G46" s="3037"/>
      <c r="H46" s="3037"/>
    </row>
    <row r="47" spans="1:9" ht="20.45">
      <c r="A47" s="46" t="s">
        <v>2011</v>
      </c>
      <c r="B47" s="116" t="s">
        <v>1808</v>
      </c>
      <c r="C47" s="33" t="s">
        <v>2012</v>
      </c>
      <c r="D47" s="1066" t="s">
        <v>2123</v>
      </c>
      <c r="E47" s="63" t="s">
        <v>2013</v>
      </c>
      <c r="F47" s="64" t="s">
        <v>1811</v>
      </c>
      <c r="G47" s="88" t="s">
        <v>1817</v>
      </c>
      <c r="H47" s="94"/>
    </row>
    <row r="48" spans="1:9">
      <c r="A48" s="75" t="s">
        <v>2138</v>
      </c>
      <c r="B48" s="76">
        <v>0.1</v>
      </c>
      <c r="C48" s="180" t="s">
        <v>2129</v>
      </c>
      <c r="D48" s="1071" t="s">
        <v>2130</v>
      </c>
      <c r="E48" s="181">
        <v>1050000</v>
      </c>
      <c r="F48" s="185">
        <v>0.02</v>
      </c>
      <c r="G48" s="186">
        <f>E48*F48</f>
        <v>21000</v>
      </c>
      <c r="H48" s="50"/>
    </row>
    <row r="49" spans="1:8">
      <c r="A49" s="83">
        <v>10478</v>
      </c>
      <c r="B49" s="69">
        <v>0.1</v>
      </c>
      <c r="C49" s="182" t="s">
        <v>2118</v>
      </c>
      <c r="D49" s="1069" t="s">
        <v>2111</v>
      </c>
      <c r="E49" s="183">
        <v>850000</v>
      </c>
      <c r="F49" s="185">
        <v>0.02</v>
      </c>
      <c r="G49" s="186">
        <f>E49*F49</f>
        <v>17000</v>
      </c>
      <c r="H49" s="50"/>
    </row>
    <row r="50" spans="1:8">
      <c r="A50" s="184">
        <v>10494</v>
      </c>
      <c r="B50" s="69">
        <v>0.1</v>
      </c>
      <c r="C50" s="133" t="s">
        <v>2120</v>
      </c>
      <c r="D50" s="1069" t="s">
        <v>2111</v>
      </c>
      <c r="E50" s="183">
        <v>1000000</v>
      </c>
      <c r="F50" s="185">
        <v>0.02</v>
      </c>
      <c r="G50" s="186">
        <f>E50*F50</f>
        <v>20000</v>
      </c>
      <c r="H50" s="50"/>
    </row>
    <row r="51" spans="1:8" ht="24.75" customHeight="1">
      <c r="A51" s="46"/>
      <c r="B51" s="117"/>
      <c r="C51" s="11"/>
      <c r="D51" s="160"/>
      <c r="E51" s="47"/>
      <c r="F51" s="11"/>
      <c r="G51" s="187">
        <f>SUM(G48:G50)</f>
        <v>58000</v>
      </c>
      <c r="H51" s="1002" t="s">
        <v>1904</v>
      </c>
    </row>
    <row r="52" spans="1:8">
      <c r="A52" s="90"/>
      <c r="E52" s="91"/>
      <c r="G52" s="92"/>
      <c r="H52" s="1001"/>
    </row>
    <row r="53" spans="1:8" ht="15" customHeight="1">
      <c r="A53" s="3037" t="s">
        <v>2139</v>
      </c>
      <c r="B53" s="3037"/>
      <c r="C53" s="3037"/>
      <c r="D53" s="3037"/>
      <c r="E53" s="3037"/>
      <c r="F53" s="3037"/>
      <c r="G53" s="3037"/>
      <c r="H53" s="3037"/>
    </row>
    <row r="54" spans="1:8" ht="15" customHeight="1">
      <c r="A54" s="3037"/>
      <c r="B54" s="3037"/>
      <c r="C54" s="3037"/>
      <c r="D54" s="3037"/>
      <c r="E54" s="3037"/>
      <c r="F54" s="3037"/>
      <c r="G54" s="3037"/>
      <c r="H54" s="3037"/>
    </row>
    <row r="55" spans="1:8" ht="20.45">
      <c r="A55" s="46" t="s">
        <v>2011</v>
      </c>
      <c r="B55" s="116" t="s">
        <v>1808</v>
      </c>
      <c r="C55" s="33" t="s">
        <v>2012</v>
      </c>
      <c r="D55" s="1066" t="s">
        <v>2123</v>
      </c>
      <c r="E55" s="63" t="s">
        <v>2013</v>
      </c>
      <c r="F55" s="64" t="s">
        <v>1811</v>
      </c>
      <c r="G55" s="88" t="s">
        <v>1817</v>
      </c>
      <c r="H55" s="94"/>
    </row>
    <row r="56" spans="1:8">
      <c r="A56" s="127"/>
      <c r="B56" s="128"/>
      <c r="C56" s="175" t="s">
        <v>2140</v>
      </c>
      <c r="D56" s="1072" t="s">
        <v>2141</v>
      </c>
      <c r="E56" s="104"/>
      <c r="F56" s="129"/>
      <c r="G56" s="130"/>
      <c r="H56" s="1003"/>
    </row>
    <row r="57" spans="1:8">
      <c r="A57" s="46"/>
      <c r="B57" s="174"/>
      <c r="C57" s="11"/>
      <c r="D57" s="160"/>
      <c r="E57" s="40"/>
      <c r="F57" s="95"/>
      <c r="G57" s="93"/>
      <c r="H57" s="50"/>
    </row>
    <row r="58" spans="1:8">
      <c r="A58" s="46"/>
      <c r="B58" s="174"/>
      <c r="C58" s="34"/>
      <c r="D58" s="201"/>
      <c r="E58" s="40"/>
      <c r="F58" s="95"/>
      <c r="G58" s="93"/>
      <c r="H58" s="50"/>
    </row>
    <row r="59" spans="1:8" ht="17.45">
      <c r="A59" s="46"/>
      <c r="B59" s="117"/>
      <c r="C59" s="171"/>
      <c r="D59" s="1070"/>
      <c r="E59" s="47"/>
      <c r="F59" s="11"/>
      <c r="G59" s="96"/>
      <c r="H59" s="1004" t="s">
        <v>1904</v>
      </c>
    </row>
    <row r="60" spans="1:8">
      <c r="A60" s="90"/>
      <c r="E60" s="91"/>
      <c r="G60" s="92"/>
      <c r="H60" s="1001"/>
    </row>
    <row r="62" spans="1:8" ht="15" customHeight="1">
      <c r="A62" s="3007" t="s">
        <v>2142</v>
      </c>
      <c r="B62" s="3007"/>
      <c r="C62" s="3007"/>
      <c r="D62" s="3007"/>
      <c r="E62" s="3007"/>
      <c r="F62" s="3007"/>
      <c r="G62" s="3007"/>
      <c r="H62" s="3007"/>
    </row>
    <row r="63" spans="1:8" ht="15" customHeight="1">
      <c r="A63" s="3007"/>
      <c r="B63" s="3007"/>
      <c r="C63" s="3007"/>
      <c r="D63" s="3007"/>
      <c r="E63" s="3007"/>
      <c r="F63" s="3007"/>
      <c r="G63" s="3007"/>
      <c r="H63" s="3007"/>
    </row>
    <row r="64" spans="1:8" ht="15" customHeight="1">
      <c r="A64" s="257"/>
      <c r="B64" s="33" t="s">
        <v>1808</v>
      </c>
      <c r="C64" s="33" t="s">
        <v>2012</v>
      </c>
      <c r="D64" s="1066" t="s">
        <v>2123</v>
      </c>
      <c r="E64" s="63" t="s">
        <v>2013</v>
      </c>
      <c r="F64" s="118" t="s">
        <v>1811</v>
      </c>
      <c r="G64" s="88" t="s">
        <v>1817</v>
      </c>
      <c r="H64" s="94"/>
    </row>
    <row r="65" spans="1:8">
      <c r="A65" s="2175">
        <v>10524</v>
      </c>
      <c r="B65" s="119">
        <v>0.1</v>
      </c>
      <c r="C65" s="67" t="s">
        <v>2132</v>
      </c>
      <c r="D65" s="1061" t="s">
        <v>2111</v>
      </c>
      <c r="E65" s="67">
        <v>1250000</v>
      </c>
      <c r="F65" s="192">
        <v>0.02</v>
      </c>
      <c r="G65" s="120">
        <f>E65*F65</f>
        <v>25000</v>
      </c>
      <c r="H65" s="51"/>
    </row>
    <row r="66" spans="1:8">
      <c r="A66" s="135">
        <v>10543</v>
      </c>
      <c r="B66" s="119">
        <v>0.1</v>
      </c>
      <c r="C66" s="132" t="s">
        <v>2112</v>
      </c>
      <c r="D66" s="1071" t="s">
        <v>2111</v>
      </c>
      <c r="E66" s="67">
        <v>750000</v>
      </c>
      <c r="F66" s="192">
        <v>0.02</v>
      </c>
      <c r="G66" s="120">
        <f>E66*F66</f>
        <v>15000</v>
      </c>
      <c r="H66" s="51"/>
    </row>
    <row r="67" spans="1:8">
      <c r="A67" s="2175">
        <v>10570</v>
      </c>
      <c r="B67" s="119">
        <v>0.1</v>
      </c>
      <c r="C67" s="132" t="s">
        <v>2134</v>
      </c>
      <c r="D67" s="1071" t="s">
        <v>2111</v>
      </c>
      <c r="E67" s="67">
        <v>1300000</v>
      </c>
      <c r="F67" s="192">
        <v>0.02</v>
      </c>
      <c r="G67" s="120">
        <f>E67*F67</f>
        <v>26000</v>
      </c>
      <c r="H67" s="51"/>
    </row>
    <row r="68" spans="1:8">
      <c r="A68" s="257"/>
      <c r="B68" s="11"/>
      <c r="C68" s="60"/>
      <c r="D68" s="1073"/>
      <c r="E68" s="11"/>
      <c r="F68" s="10"/>
      <c r="G68" s="10"/>
      <c r="H68" s="2"/>
    </row>
    <row r="69" spans="1:8" ht="17.45">
      <c r="A69" s="257"/>
      <c r="B69" s="11"/>
      <c r="C69" s="11"/>
      <c r="D69" s="160"/>
      <c r="E69" s="11">
        <f>SUM(E65:E68)</f>
        <v>3300000</v>
      </c>
      <c r="F69" s="10"/>
      <c r="G69" s="193">
        <f>SUM(G65:G68)</f>
        <v>66000</v>
      </c>
      <c r="H69" s="1005" t="s">
        <v>1904</v>
      </c>
    </row>
    <row r="72" spans="1:8">
      <c r="A72" s="2922" t="s">
        <v>1898</v>
      </c>
      <c r="B72" s="2922"/>
      <c r="C72" s="79"/>
      <c r="D72" s="1074">
        <v>6200000</v>
      </c>
    </row>
    <row r="73" spans="1:8">
      <c r="A73" s="2923" t="s">
        <v>1899</v>
      </c>
      <c r="B73" s="2923"/>
      <c r="C73" s="41"/>
      <c r="D73" s="1075"/>
    </row>
    <row r="74" spans="1:8">
      <c r="A74" s="2924" t="s">
        <v>1900</v>
      </c>
      <c r="B74" s="2924"/>
      <c r="C74" s="45"/>
      <c r="D74" s="1076"/>
    </row>
    <row r="75" spans="1:8">
      <c r="A75" s="2913" t="s">
        <v>1902</v>
      </c>
      <c r="B75" s="2913"/>
      <c r="C75" s="45"/>
      <c r="D75" s="1077">
        <v>1800000</v>
      </c>
    </row>
    <row r="76" spans="1:8">
      <c r="A76" s="2176"/>
      <c r="B76" s="43" t="s">
        <v>1904</v>
      </c>
      <c r="C76" s="43"/>
      <c r="D76" s="1078"/>
    </row>
    <row r="83" spans="1:15" ht="46.15">
      <c r="A83" s="3025" t="s">
        <v>2143</v>
      </c>
      <c r="B83" s="3025"/>
      <c r="C83" s="3025"/>
      <c r="D83" s="3025"/>
      <c r="E83" s="3025"/>
      <c r="F83" s="3025"/>
      <c r="G83" s="3025"/>
      <c r="H83" s="3025"/>
      <c r="I83" s="3025"/>
      <c r="J83" s="3025"/>
      <c r="O83" s="1"/>
    </row>
    <row r="84" spans="1:15">
      <c r="O84" s="1"/>
    </row>
    <row r="85" spans="1:15" ht="21">
      <c r="A85" s="3026" t="s">
        <v>1804</v>
      </c>
      <c r="B85" s="3026"/>
      <c r="C85" s="3026"/>
      <c r="D85" s="3026"/>
      <c r="E85" s="3026"/>
      <c r="F85" s="3026"/>
      <c r="G85" s="3026"/>
      <c r="H85" s="3026"/>
      <c r="I85" s="3026"/>
      <c r="J85" s="3026"/>
      <c r="K85" s="2819" t="s">
        <v>1805</v>
      </c>
      <c r="L85" s="2819"/>
      <c r="M85" s="2819"/>
      <c r="N85" s="2819"/>
      <c r="O85" s="2"/>
    </row>
    <row r="86" spans="1:15">
      <c r="A86" s="2171" t="s">
        <v>1806</v>
      </c>
      <c r="B86" s="3" t="s">
        <v>1807</v>
      </c>
      <c r="C86" s="3" t="s">
        <v>1837</v>
      </c>
      <c r="D86" s="1059" t="s">
        <v>1809</v>
      </c>
      <c r="E86" s="4" t="s">
        <v>1810</v>
      </c>
      <c r="F86" s="3" t="s">
        <v>1811</v>
      </c>
      <c r="G86" s="5" t="s">
        <v>1812</v>
      </c>
      <c r="H86" s="3" t="s">
        <v>1813</v>
      </c>
      <c r="I86" s="3" t="s">
        <v>1814</v>
      </c>
      <c r="J86" s="3" t="s">
        <v>1815</v>
      </c>
      <c r="K86" s="6" t="s">
        <v>1807</v>
      </c>
      <c r="L86" s="6" t="s">
        <v>1809</v>
      </c>
      <c r="M86" s="6" t="s">
        <v>1816</v>
      </c>
      <c r="N86" s="7" t="s">
        <v>1811</v>
      </c>
      <c r="O86" s="2" t="s">
        <v>1817</v>
      </c>
    </row>
    <row r="87" spans="1:15">
      <c r="A87" s="2177"/>
      <c r="B87" s="291"/>
      <c r="C87" s="292"/>
      <c r="D87" s="1079" t="s">
        <v>2144</v>
      </c>
      <c r="E87" s="293"/>
      <c r="F87" s="292"/>
      <c r="G87" s="294"/>
      <c r="H87" s="291"/>
      <c r="I87" s="295"/>
      <c r="J87" s="283"/>
      <c r="K87" s="284"/>
      <c r="L87" s="285"/>
      <c r="M87" s="284"/>
      <c r="N87" s="285"/>
      <c r="O87" s="286"/>
    </row>
    <row r="88" spans="1:15" ht="15" customHeight="1">
      <c r="A88" s="2799" t="s">
        <v>1818</v>
      </c>
      <c r="B88" s="553">
        <v>10618</v>
      </c>
      <c r="C88" s="296">
        <v>0.1</v>
      </c>
      <c r="D88" s="1080" t="s">
        <v>2145</v>
      </c>
      <c r="E88" s="297">
        <v>1500000</v>
      </c>
      <c r="F88" s="273">
        <v>0.1</v>
      </c>
      <c r="G88" s="268">
        <f t="shared" ref="G88:G94" si="1">E88*F88</f>
        <v>150000</v>
      </c>
      <c r="H88" s="298" t="s">
        <v>582</v>
      </c>
      <c r="I88" s="299" t="s">
        <v>2146</v>
      </c>
      <c r="J88" s="280"/>
      <c r="K88" s="300"/>
      <c r="L88" s="287"/>
      <c r="M88" s="301"/>
      <c r="N88" s="288"/>
      <c r="O88" s="289"/>
    </row>
    <row r="89" spans="1:15" ht="15" customHeight="1">
      <c r="A89" s="2799"/>
      <c r="B89" s="554">
        <v>10626</v>
      </c>
      <c r="C89" s="302">
        <v>0.1</v>
      </c>
      <c r="D89" s="1081" t="s">
        <v>2147</v>
      </c>
      <c r="E89" s="304">
        <v>1100000</v>
      </c>
      <c r="F89" s="305">
        <v>0.1</v>
      </c>
      <c r="G89" s="268">
        <f t="shared" si="1"/>
        <v>110000</v>
      </c>
      <c r="H89" s="306" t="s">
        <v>582</v>
      </c>
      <c r="I89" s="307" t="s">
        <v>133</v>
      </c>
      <c r="J89" s="280"/>
      <c r="K89" s="308"/>
      <c r="L89" s="290"/>
      <c r="M89" s="309"/>
      <c r="N89" s="288"/>
      <c r="O89" s="289"/>
    </row>
    <row r="90" spans="1:15" ht="15" customHeight="1">
      <c r="A90" s="2799"/>
      <c r="B90" s="555">
        <v>10776</v>
      </c>
      <c r="C90" s="435">
        <v>0.1</v>
      </c>
      <c r="D90" s="1082" t="s">
        <v>2148</v>
      </c>
      <c r="E90" s="297">
        <v>1100000</v>
      </c>
      <c r="F90" s="273">
        <v>0.1</v>
      </c>
      <c r="G90" s="268">
        <f t="shared" si="1"/>
        <v>110000</v>
      </c>
      <c r="H90" s="298" t="s">
        <v>582</v>
      </c>
      <c r="I90" s="299" t="s">
        <v>133</v>
      </c>
      <c r="J90" s="280"/>
      <c r="K90" s="308"/>
      <c r="L90" s="290"/>
      <c r="M90" s="309"/>
      <c r="N90" s="288"/>
      <c r="O90" s="289"/>
    </row>
    <row r="91" spans="1:15" ht="15" customHeight="1">
      <c r="A91" s="2799"/>
      <c r="B91" s="555">
        <v>10664</v>
      </c>
      <c r="C91" s="314">
        <v>0.1</v>
      </c>
      <c r="D91" s="1083" t="s">
        <v>2149</v>
      </c>
      <c r="E91" s="297">
        <v>950000</v>
      </c>
      <c r="F91" s="273">
        <v>0.06</v>
      </c>
      <c r="G91" s="268">
        <f t="shared" si="1"/>
        <v>57000</v>
      </c>
      <c r="H91" s="298" t="s">
        <v>732</v>
      </c>
      <c r="I91" s="299" t="s">
        <v>32</v>
      </c>
      <c r="J91" s="280"/>
      <c r="K91" s="308"/>
      <c r="L91" s="290"/>
      <c r="M91" s="315"/>
      <c r="N91" s="288"/>
      <c r="O91" s="289"/>
    </row>
    <row r="92" spans="1:15" ht="15" customHeight="1">
      <c r="A92" s="2799"/>
      <c r="B92" s="555">
        <v>10720</v>
      </c>
      <c r="C92" s="314">
        <v>0.1</v>
      </c>
      <c r="D92" s="1083" t="s">
        <v>2150</v>
      </c>
      <c r="E92" s="297">
        <v>1350000</v>
      </c>
      <c r="F92" s="273">
        <v>0.1</v>
      </c>
      <c r="G92" s="268">
        <f t="shared" si="1"/>
        <v>135000</v>
      </c>
      <c r="H92" s="298" t="s">
        <v>582</v>
      </c>
      <c r="I92" s="299" t="s">
        <v>133</v>
      </c>
      <c r="J92" s="280"/>
      <c r="K92" s="308"/>
      <c r="L92" s="290"/>
      <c r="M92" s="315"/>
      <c r="N92" s="288"/>
      <c r="O92" s="289"/>
    </row>
    <row r="93" spans="1:15" ht="15" customHeight="1">
      <c r="A93" s="2799"/>
      <c r="B93" s="555">
        <v>10781</v>
      </c>
      <c r="C93" s="314">
        <v>0.1</v>
      </c>
      <c r="D93" s="1083" t="s">
        <v>2151</v>
      </c>
      <c r="E93" s="297">
        <v>1150000</v>
      </c>
      <c r="F93" s="273">
        <v>0.1</v>
      </c>
      <c r="G93" s="268">
        <f t="shared" si="1"/>
        <v>115000</v>
      </c>
      <c r="H93" s="298" t="s">
        <v>582</v>
      </c>
      <c r="I93" s="299" t="s">
        <v>133</v>
      </c>
      <c r="J93" s="280"/>
      <c r="K93" s="308"/>
      <c r="L93" s="290"/>
      <c r="M93" s="315"/>
      <c r="N93" s="288"/>
      <c r="O93" s="289"/>
    </row>
    <row r="94" spans="1:15" ht="15" customHeight="1">
      <c r="A94" s="2799"/>
      <c r="B94" s="556">
        <v>10768</v>
      </c>
      <c r="C94" s="314">
        <v>0.1</v>
      </c>
      <c r="D94" s="1083" t="s">
        <v>2152</v>
      </c>
      <c r="E94" s="297">
        <v>1200000</v>
      </c>
      <c r="F94" s="273">
        <v>0.1</v>
      </c>
      <c r="G94" s="268">
        <f t="shared" si="1"/>
        <v>120000</v>
      </c>
      <c r="H94" s="298" t="s">
        <v>582</v>
      </c>
      <c r="I94" s="299" t="s">
        <v>32</v>
      </c>
      <c r="J94" s="280"/>
      <c r="K94" s="308"/>
      <c r="L94" s="290"/>
      <c r="M94" s="315"/>
      <c r="N94" s="288"/>
      <c r="O94" s="289"/>
    </row>
    <row r="95" spans="1:15" ht="15" customHeight="1">
      <c r="A95" s="2799"/>
      <c r="B95" s="317"/>
      <c r="C95" s="318"/>
      <c r="D95" s="1084"/>
      <c r="E95" s="311"/>
      <c r="F95" s="312"/>
      <c r="G95" s="313"/>
      <c r="H95" s="299"/>
      <c r="I95" s="299"/>
      <c r="J95" s="282"/>
      <c r="K95" s="299"/>
      <c r="L95" s="290"/>
      <c r="M95" s="319"/>
      <c r="N95" s="288"/>
      <c r="O95" s="289"/>
    </row>
    <row r="96" spans="1:15" ht="15" customHeight="1">
      <c r="A96" s="2799"/>
      <c r="B96" s="444"/>
      <c r="C96" s="445"/>
      <c r="D96" s="1085" t="s">
        <v>1833</v>
      </c>
      <c r="E96" s="446">
        <f>SUM(E88:E95)</f>
        <v>8350000</v>
      </c>
      <c r="F96" s="447"/>
      <c r="G96" s="448">
        <f>SUM(G88:G95)</f>
        <v>797000</v>
      </c>
      <c r="H96" s="447"/>
      <c r="I96" s="444"/>
      <c r="J96" s="449"/>
      <c r="K96" s="450"/>
      <c r="L96" s="3024" t="s">
        <v>2153</v>
      </c>
      <c r="M96" s="3024"/>
      <c r="N96" s="3024"/>
      <c r="O96" s="543">
        <v>797000</v>
      </c>
    </row>
    <row r="97" spans="1:15" ht="15.6">
      <c r="A97" s="2799"/>
      <c r="B97" s="204"/>
      <c r="C97" s="204"/>
      <c r="D97" s="1086" t="s">
        <v>2154</v>
      </c>
      <c r="E97" s="451">
        <f>G96</f>
        <v>797000</v>
      </c>
      <c r="F97" s="204"/>
      <c r="G97" s="443"/>
      <c r="H97" s="204"/>
      <c r="I97" s="204"/>
      <c r="J97" s="442"/>
      <c r="K97" s="11"/>
      <c r="L97" s="11"/>
      <c r="M97" s="11"/>
      <c r="N97" s="11"/>
      <c r="O97" s="2"/>
    </row>
    <row r="98" spans="1:15">
      <c r="A98" s="2172"/>
      <c r="B98" s="17"/>
      <c r="C98" s="17"/>
      <c r="D98" s="1058"/>
      <c r="E98" s="19"/>
      <c r="F98" s="17"/>
      <c r="G98" s="20"/>
      <c r="H98" s="17"/>
      <c r="I98" s="17"/>
      <c r="J98" s="18"/>
      <c r="O98" s="1"/>
    </row>
    <row r="99" spans="1:15">
      <c r="A99" s="2172"/>
      <c r="B99" s="17"/>
      <c r="C99" s="17"/>
      <c r="D99" s="1058"/>
      <c r="E99" s="19"/>
      <c r="F99" s="17"/>
      <c r="G99" s="20"/>
      <c r="H99" s="17"/>
      <c r="I99" s="17"/>
      <c r="J99" s="18"/>
      <c r="O99" s="1"/>
    </row>
    <row r="100" spans="1:15" ht="21">
      <c r="A100" s="3036" t="s">
        <v>2155</v>
      </c>
      <c r="B100" s="3036"/>
      <c r="C100" s="3036"/>
      <c r="D100" s="3036"/>
      <c r="E100" s="3036"/>
      <c r="F100" s="3036"/>
      <c r="G100" s="3036"/>
      <c r="H100" s="3036"/>
      <c r="I100" s="3036"/>
      <c r="J100" s="3036"/>
      <c r="K100" s="2819" t="s">
        <v>1805</v>
      </c>
      <c r="L100" s="2819"/>
      <c r="M100" s="2819"/>
      <c r="N100" s="2819"/>
      <c r="O100" s="2"/>
    </row>
    <row r="101" spans="1:15">
      <c r="A101" s="2173" t="s">
        <v>1806</v>
      </c>
      <c r="B101" s="23" t="s">
        <v>1807</v>
      </c>
      <c r="C101" s="3" t="s">
        <v>1837</v>
      </c>
      <c r="D101" s="1059" t="s">
        <v>1809</v>
      </c>
      <c r="E101" s="24" t="s">
        <v>1810</v>
      </c>
      <c r="F101" s="3" t="s">
        <v>1811</v>
      </c>
      <c r="G101" s="25" t="s">
        <v>1812</v>
      </c>
      <c r="H101" s="26" t="s">
        <v>1813</v>
      </c>
      <c r="I101" s="3" t="s">
        <v>1814</v>
      </c>
      <c r="J101" s="6" t="s">
        <v>1815</v>
      </c>
      <c r="K101" s="26" t="s">
        <v>1807</v>
      </c>
      <c r="L101" s="26" t="s">
        <v>1809</v>
      </c>
      <c r="M101" s="26" t="s">
        <v>1816</v>
      </c>
      <c r="N101" s="259" t="s">
        <v>1811</v>
      </c>
      <c r="O101" s="260" t="s">
        <v>1817</v>
      </c>
    </row>
    <row r="102" spans="1:15">
      <c r="A102" s="3021" t="s">
        <v>2156</v>
      </c>
      <c r="B102" s="335"/>
      <c r="C102" s="354"/>
      <c r="D102" s="755" t="s">
        <v>2157</v>
      </c>
      <c r="E102" s="355"/>
      <c r="F102" s="336"/>
      <c r="G102" s="356"/>
      <c r="H102" s="320" t="s">
        <v>2136</v>
      </c>
      <c r="I102" s="321" t="s">
        <v>133</v>
      </c>
      <c r="J102" s="429"/>
      <c r="K102" s="431">
        <v>10628</v>
      </c>
      <c r="L102" s="432" t="s">
        <v>2158</v>
      </c>
      <c r="M102" s="433">
        <v>1200000</v>
      </c>
      <c r="N102" s="302">
        <v>0.04</v>
      </c>
      <c r="O102" s="298">
        <f>M102*N102</f>
        <v>48000</v>
      </c>
    </row>
    <row r="103" spans="1:15">
      <c r="A103" s="3021"/>
      <c r="B103" s="335"/>
      <c r="C103" s="354"/>
      <c r="D103" s="899" t="s">
        <v>2159</v>
      </c>
      <c r="E103" s="355"/>
      <c r="F103" s="336"/>
      <c r="G103" s="356"/>
      <c r="H103" s="320" t="s">
        <v>582</v>
      </c>
      <c r="I103" s="321" t="s">
        <v>32</v>
      </c>
      <c r="J103" s="429"/>
      <c r="K103" s="428"/>
      <c r="L103" s="430"/>
      <c r="M103" s="428"/>
      <c r="N103" s="428"/>
      <c r="O103" s="286"/>
    </row>
    <row r="104" spans="1:15">
      <c r="A104" s="3021"/>
      <c r="B104" s="555">
        <v>10721</v>
      </c>
      <c r="C104" s="357">
        <v>0.1</v>
      </c>
      <c r="D104" s="1087" t="s">
        <v>2160</v>
      </c>
      <c r="E104" s="358">
        <v>1000000</v>
      </c>
      <c r="F104" s="273">
        <v>0.04</v>
      </c>
      <c r="G104" s="359">
        <f>E104*F104</f>
        <v>40000</v>
      </c>
      <c r="H104" s="322" t="s">
        <v>2131</v>
      </c>
      <c r="I104" s="323" t="s">
        <v>133</v>
      </c>
      <c r="J104" s="427"/>
      <c r="K104" s="429"/>
      <c r="L104" s="428"/>
      <c r="M104" s="428"/>
      <c r="N104" s="428"/>
      <c r="O104" s="286"/>
    </row>
    <row r="105" spans="1:15">
      <c r="A105" s="3021"/>
      <c r="B105" s="557">
        <v>10652</v>
      </c>
      <c r="C105" s="357">
        <v>0.1</v>
      </c>
      <c r="D105" s="576" t="s">
        <v>2161</v>
      </c>
      <c r="E105" s="360">
        <v>1750000</v>
      </c>
      <c r="F105" s="361">
        <v>0.04</v>
      </c>
      <c r="G105" s="359">
        <f>E105*F105</f>
        <v>70000</v>
      </c>
      <c r="H105" s="329" t="s">
        <v>118</v>
      </c>
      <c r="I105" s="323" t="s">
        <v>2146</v>
      </c>
      <c r="J105" s="324"/>
      <c r="K105" s="422"/>
      <c r="L105" s="423"/>
      <c r="M105" s="424"/>
      <c r="N105" s="425"/>
      <c r="O105" s="426"/>
    </row>
    <row r="106" spans="1:15">
      <c r="A106" s="3021"/>
      <c r="B106" s="555">
        <v>10623</v>
      </c>
      <c r="C106" s="362">
        <v>0.1</v>
      </c>
      <c r="D106" s="970" t="s">
        <v>2162</v>
      </c>
      <c r="E106" s="414">
        <v>880000</v>
      </c>
      <c r="F106" s="305">
        <v>0.04</v>
      </c>
      <c r="G106" s="478">
        <f>E106*F106</f>
        <v>35200</v>
      </c>
      <c r="H106" s="322" t="s">
        <v>732</v>
      </c>
      <c r="I106" s="323" t="s">
        <v>2146</v>
      </c>
      <c r="J106" s="324"/>
      <c r="K106" s="363"/>
      <c r="L106" s="282"/>
      <c r="M106" s="364"/>
      <c r="N106" s="343"/>
      <c r="O106" s="289"/>
    </row>
    <row r="107" spans="1:15">
      <c r="A107" s="3021"/>
      <c r="B107" s="555">
        <v>10662</v>
      </c>
      <c r="C107" s="362">
        <v>0.1</v>
      </c>
      <c r="D107" s="1082" t="s">
        <v>2163</v>
      </c>
      <c r="E107" s="497">
        <v>600000</v>
      </c>
      <c r="F107" s="273">
        <v>0.04</v>
      </c>
      <c r="G107" s="498">
        <f>E107*F107</f>
        <v>24000</v>
      </c>
      <c r="H107" s="479" t="s">
        <v>2164</v>
      </c>
      <c r="I107" s="480" t="s">
        <v>133</v>
      </c>
      <c r="J107" s="326"/>
      <c r="K107" s="310"/>
      <c r="L107" s="290"/>
      <c r="M107" s="290"/>
      <c r="N107" s="290"/>
      <c r="O107" s="299"/>
    </row>
    <row r="108" spans="1:15">
      <c r="A108" s="3021"/>
      <c r="B108" s="558">
        <v>10801</v>
      </c>
      <c r="C108" s="496">
        <v>0.1</v>
      </c>
      <c r="D108" s="1088" t="s">
        <v>2165</v>
      </c>
      <c r="E108" s="508">
        <v>850000</v>
      </c>
      <c r="F108" s="305">
        <v>0.08</v>
      </c>
      <c r="G108" s="509">
        <f>E108*F108</f>
        <v>68000</v>
      </c>
      <c r="H108" s="499" t="s">
        <v>2114</v>
      </c>
      <c r="I108" s="330" t="s">
        <v>133</v>
      </c>
      <c r="J108" s="324"/>
      <c r="K108" s="476"/>
      <c r="L108" s="344"/>
      <c r="M108" s="344"/>
      <c r="N108" s="344"/>
      <c r="O108" s="307"/>
    </row>
    <row r="109" spans="1:15" s="503" customFormat="1">
      <c r="A109" s="3021"/>
      <c r="B109" s="501"/>
      <c r="C109" s="502"/>
      <c r="D109" s="1031"/>
      <c r="E109" s="504"/>
      <c r="F109" s="312"/>
      <c r="G109" s="505"/>
      <c r="H109" s="363"/>
      <c r="I109" s="308"/>
      <c r="J109" s="327"/>
      <c r="K109" s="476"/>
      <c r="L109" s="500"/>
      <c r="M109" s="500"/>
      <c r="N109" s="500"/>
      <c r="O109" s="439">
        <f>SUM(O102:O108)</f>
        <v>48000</v>
      </c>
    </row>
    <row r="110" spans="1:15">
      <c r="A110" s="3021"/>
      <c r="B110" s="437"/>
      <c r="C110" s="507"/>
      <c r="D110" s="1089" t="s">
        <v>1833</v>
      </c>
      <c r="E110" s="475">
        <f>SUM(E104:E108)</f>
        <v>5080000</v>
      </c>
      <c r="F110" s="506"/>
      <c r="G110" s="475">
        <f>SUM(G104:G108)</f>
        <v>237200</v>
      </c>
      <c r="H110" s="891"/>
      <c r="I110" s="506"/>
      <c r="J110" s="334"/>
      <c r="K110" s="477">
        <v>0</v>
      </c>
      <c r="L110" s="3038" t="s">
        <v>2166</v>
      </c>
      <c r="M110" s="3038"/>
      <c r="N110" s="3038"/>
      <c r="O110" s="544">
        <f>G110+O109</f>
        <v>285200</v>
      </c>
    </row>
    <row r="111" spans="1:15" ht="15.6">
      <c r="A111" s="3021"/>
      <c r="B111" s="452"/>
      <c r="C111" s="452"/>
      <c r="D111" s="1090" t="s">
        <v>2154</v>
      </c>
      <c r="E111" s="510">
        <f>G110+O109</f>
        <v>285200</v>
      </c>
      <c r="F111" s="450"/>
      <c r="G111" s="481"/>
      <c r="H111" s="450"/>
      <c r="I111" s="450"/>
      <c r="J111" s="482"/>
      <c r="K111" s="453"/>
      <c r="L111" s="454"/>
      <c r="M111" s="454"/>
      <c r="N111" s="454"/>
      <c r="O111" s="455"/>
    </row>
    <row r="112" spans="1:15" ht="15.6">
      <c r="A112" s="2178"/>
      <c r="B112" s="456"/>
      <c r="C112" s="456"/>
      <c r="D112" s="1091"/>
      <c r="E112" s="458"/>
      <c r="F112" s="456"/>
      <c r="G112" s="459"/>
      <c r="H112" s="456"/>
      <c r="I112" s="456"/>
      <c r="J112" s="457"/>
      <c r="K112" s="460"/>
      <c r="L112" s="461"/>
      <c r="M112" s="461"/>
      <c r="N112" s="461"/>
      <c r="O112" s="455"/>
    </row>
    <row r="113" spans="1:15" ht="15.6">
      <c r="A113" s="2179"/>
      <c r="B113" s="462"/>
      <c r="C113" s="462"/>
      <c r="D113" s="1092"/>
      <c r="E113" s="464"/>
      <c r="F113" s="462"/>
      <c r="G113" s="465"/>
      <c r="H113" s="462"/>
      <c r="I113" s="462"/>
      <c r="J113" s="463"/>
      <c r="K113" s="440"/>
      <c r="L113" s="441"/>
      <c r="M113" s="441"/>
      <c r="N113" s="441"/>
      <c r="O113" s="466"/>
    </row>
    <row r="114" spans="1:15" ht="17.45">
      <c r="A114" s="3039" t="s">
        <v>2167</v>
      </c>
      <c r="B114" s="3039"/>
      <c r="C114" s="3039"/>
      <c r="D114" s="3039"/>
      <c r="E114" s="3039"/>
      <c r="F114" s="3039"/>
      <c r="G114" s="3039"/>
      <c r="H114" s="3039"/>
      <c r="I114" s="3039"/>
      <c r="J114" s="3039"/>
      <c r="K114" s="3040" t="s">
        <v>1805</v>
      </c>
      <c r="L114" s="3040"/>
      <c r="M114" s="3040"/>
      <c r="N114" s="3040"/>
      <c r="O114" s="422"/>
    </row>
    <row r="115" spans="1:15">
      <c r="A115" s="3044" t="s">
        <v>2168</v>
      </c>
      <c r="B115" s="472" t="s">
        <v>1807</v>
      </c>
      <c r="C115" s="345" t="s">
        <v>1837</v>
      </c>
      <c r="D115" s="1093" t="s">
        <v>1809</v>
      </c>
      <c r="E115" s="346" t="s">
        <v>1810</v>
      </c>
      <c r="F115" s="345" t="s">
        <v>1811</v>
      </c>
      <c r="G115" s="383" t="s">
        <v>1812</v>
      </c>
      <c r="H115" s="345" t="s">
        <v>1813</v>
      </c>
      <c r="I115" s="345" t="s">
        <v>2117</v>
      </c>
      <c r="J115" s="345" t="s">
        <v>1815</v>
      </c>
      <c r="K115" s="337" t="s">
        <v>1807</v>
      </c>
      <c r="L115" s="337" t="s">
        <v>1809</v>
      </c>
      <c r="M115" s="337" t="s">
        <v>1816</v>
      </c>
      <c r="N115" s="338" t="s">
        <v>1811</v>
      </c>
      <c r="O115" s="339" t="s">
        <v>1817</v>
      </c>
    </row>
    <row r="116" spans="1:15">
      <c r="A116" s="3044"/>
      <c r="B116" s="473"/>
      <c r="C116" s="347"/>
      <c r="D116" s="377" t="s">
        <v>2169</v>
      </c>
      <c r="E116" s="348"/>
      <c r="F116" s="347"/>
      <c r="G116" s="378"/>
      <c r="H116" s="347"/>
      <c r="I116" s="347"/>
      <c r="J116" s="295"/>
      <c r="K116" s="295"/>
      <c r="L116" s="295"/>
      <c r="M116" s="295"/>
      <c r="N116" s="295"/>
      <c r="O116" s="286"/>
    </row>
    <row r="117" spans="1:15">
      <c r="A117" s="3044"/>
      <c r="B117" s="473"/>
      <c r="C117" s="347"/>
      <c r="D117" s="377" t="s">
        <v>2170</v>
      </c>
      <c r="E117" s="349"/>
      <c r="F117" s="294"/>
      <c r="G117" s="336"/>
      <c r="H117" s="1006"/>
      <c r="I117" s="592"/>
      <c r="J117" s="295"/>
      <c r="K117" s="295"/>
      <c r="L117" s="295"/>
      <c r="M117" s="295"/>
      <c r="N117" s="295"/>
      <c r="O117" s="286"/>
    </row>
    <row r="118" spans="1:15">
      <c r="A118" s="3044"/>
      <c r="B118" s="559">
        <v>10593</v>
      </c>
      <c r="C118" s="302">
        <v>0.1</v>
      </c>
      <c r="D118" s="574" t="s">
        <v>2171</v>
      </c>
      <c r="E118" s="367">
        <v>1200000</v>
      </c>
      <c r="F118" s="302">
        <v>0.08</v>
      </c>
      <c r="G118" s="380">
        <f>E118*F118</f>
        <v>96000</v>
      </c>
      <c r="H118" s="330" t="s">
        <v>510</v>
      </c>
      <c r="I118" s="330" t="s">
        <v>2146</v>
      </c>
      <c r="J118" s="331"/>
      <c r="K118" s="365"/>
      <c r="L118" s="351"/>
      <c r="M118" s="366"/>
      <c r="N118" s="381"/>
      <c r="O118" s="352"/>
    </row>
    <row r="119" spans="1:15">
      <c r="A119" s="3044"/>
      <c r="B119" s="560">
        <v>10628</v>
      </c>
      <c r="C119" s="302">
        <v>0.1</v>
      </c>
      <c r="D119" s="573" t="s">
        <v>2172</v>
      </c>
      <c r="E119" s="563">
        <v>1200000</v>
      </c>
      <c r="F119" s="545">
        <v>0.04</v>
      </c>
      <c r="G119" s="380">
        <f>E119*F119</f>
        <v>48000</v>
      </c>
      <c r="H119" s="330" t="s">
        <v>2114</v>
      </c>
      <c r="I119" s="330" t="s">
        <v>2146</v>
      </c>
      <c r="J119" s="331"/>
      <c r="K119" s="365"/>
      <c r="L119" s="351"/>
      <c r="M119" s="366"/>
      <c r="N119" s="381"/>
      <c r="O119" s="352"/>
    </row>
    <row r="120" spans="1:15">
      <c r="A120" s="3044"/>
      <c r="B120" s="559">
        <v>10701</v>
      </c>
      <c r="C120" s="302">
        <v>0.1</v>
      </c>
      <c r="D120" s="574" t="s">
        <v>2173</v>
      </c>
      <c r="E120" s="367">
        <v>1200000</v>
      </c>
      <c r="F120" s="545">
        <v>0.04</v>
      </c>
      <c r="G120" s="380">
        <f>E120*F120</f>
        <v>48000</v>
      </c>
      <c r="H120" s="330" t="s">
        <v>732</v>
      </c>
      <c r="I120" s="330" t="s">
        <v>32</v>
      </c>
      <c r="J120" s="331"/>
      <c r="K120" s="365"/>
      <c r="L120" s="290"/>
      <c r="M120" s="309"/>
      <c r="N120" s="368"/>
      <c r="O120" s="299"/>
    </row>
    <row r="121" spans="1:15">
      <c r="A121" s="3044"/>
      <c r="B121" s="561">
        <v>10658</v>
      </c>
      <c r="C121" s="266">
        <v>0.08</v>
      </c>
      <c r="D121" s="573" t="s">
        <v>2174</v>
      </c>
      <c r="E121" s="367">
        <v>1100000</v>
      </c>
      <c r="F121" s="545">
        <v>0.04</v>
      </c>
      <c r="G121" s="380">
        <f>E121*F121</f>
        <v>44000</v>
      </c>
      <c r="H121" s="330" t="s">
        <v>732</v>
      </c>
      <c r="I121" s="330" t="s">
        <v>133</v>
      </c>
      <c r="J121" s="333"/>
      <c r="K121" s="308"/>
      <c r="L121" s="290"/>
      <c r="M121" s="309"/>
      <c r="N121" s="368"/>
      <c r="O121" s="299"/>
    </row>
    <row r="122" spans="1:15">
      <c r="A122" s="3044"/>
      <c r="B122" s="561">
        <v>10785</v>
      </c>
      <c r="C122" s="302">
        <v>0.1</v>
      </c>
      <c r="D122" s="573" t="s">
        <v>2175</v>
      </c>
      <c r="E122" s="367">
        <v>1200000</v>
      </c>
      <c r="F122" s="302">
        <v>0.08</v>
      </c>
      <c r="G122" s="380">
        <f>E122*F122</f>
        <v>96000</v>
      </c>
      <c r="H122" s="330" t="s">
        <v>510</v>
      </c>
      <c r="I122" s="330" t="s">
        <v>133</v>
      </c>
      <c r="J122" s="333"/>
      <c r="K122" s="308"/>
      <c r="L122" s="290"/>
      <c r="M122" s="309"/>
      <c r="N122" s="368"/>
      <c r="O122" s="299"/>
    </row>
    <row r="123" spans="1:15">
      <c r="A123" s="3044"/>
      <c r="B123" s="562"/>
      <c r="C123" s="270"/>
      <c r="D123" s="1094"/>
      <c r="E123" s="270"/>
      <c r="F123" s="270"/>
      <c r="G123" s="270"/>
      <c r="H123" s="1007"/>
      <c r="I123" s="1007"/>
      <c r="J123" s="270"/>
      <c r="K123" s="270"/>
      <c r="L123" s="270"/>
      <c r="M123" s="270"/>
      <c r="N123" s="270"/>
      <c r="O123" s="270"/>
    </row>
    <row r="124" spans="1:15">
      <c r="A124" s="3044"/>
      <c r="B124" s="436"/>
      <c r="C124" s="467"/>
      <c r="D124" s="1095" t="s">
        <v>1833</v>
      </c>
      <c r="E124" s="468">
        <f>SUM(E118:E123)</f>
        <v>5900000</v>
      </c>
      <c r="F124" s="469"/>
      <c r="G124" s="470">
        <f>SUM(G118:G123)</f>
        <v>332000</v>
      </c>
      <c r="H124" s="437"/>
      <c r="I124" s="1034"/>
      <c r="J124" s="438"/>
      <c r="K124" s="3042" t="s">
        <v>2121</v>
      </c>
      <c r="L124" s="3042"/>
      <c r="M124" s="3042"/>
      <c r="N124" s="564">
        <f>SUM(N118:N123)</f>
        <v>0</v>
      </c>
      <c r="O124" s="565">
        <v>332000</v>
      </c>
    </row>
    <row r="125" spans="1:15" ht="15.6">
      <c r="A125" s="3044"/>
      <c r="B125" s="474"/>
      <c r="C125" s="308"/>
      <c r="D125" s="483" t="s">
        <v>2154</v>
      </c>
      <c r="E125" s="484">
        <f>G124</f>
        <v>332000</v>
      </c>
      <c r="F125" s="471"/>
      <c r="G125" s="309"/>
      <c r="H125" s="471"/>
      <c r="I125" s="308"/>
      <c r="J125" s="327"/>
      <c r="K125" s="290"/>
      <c r="L125" s="299"/>
      <c r="M125" s="299"/>
      <c r="N125" s="299"/>
      <c r="O125" s="382"/>
    </row>
    <row r="126" spans="1:15">
      <c r="A126" s="2180"/>
      <c r="B126" s="373"/>
      <c r="C126" s="373"/>
      <c r="D126" s="1096"/>
      <c r="E126" s="374"/>
      <c r="F126" s="375"/>
      <c r="G126" s="376"/>
      <c r="H126" s="375"/>
      <c r="I126" s="373"/>
      <c r="J126" s="369"/>
      <c r="K126" s="370"/>
      <c r="L126" s="371"/>
      <c r="M126" s="371"/>
      <c r="N126" s="371"/>
      <c r="O126" s="372"/>
    </row>
    <row r="127" spans="1:15">
      <c r="A127" s="2180"/>
      <c r="B127" s="373"/>
      <c r="C127" s="373"/>
      <c r="D127" s="1096"/>
      <c r="E127" s="374"/>
      <c r="F127" s="375"/>
      <c r="G127" s="376"/>
      <c r="H127" s="375"/>
      <c r="I127" s="373"/>
      <c r="J127" s="369"/>
      <c r="K127" s="370"/>
      <c r="L127" s="371"/>
      <c r="M127" s="371"/>
      <c r="N127" s="371"/>
      <c r="O127" s="372"/>
    </row>
    <row r="128" spans="1:15">
      <c r="A128" s="2180"/>
      <c r="B128" s="373"/>
      <c r="C128" s="373"/>
      <c r="D128" s="1096"/>
      <c r="E128" s="374"/>
      <c r="F128" s="375"/>
      <c r="G128" s="376"/>
      <c r="H128" s="375"/>
      <c r="I128" s="373"/>
      <c r="J128" s="369"/>
      <c r="K128" s="370"/>
      <c r="L128" s="371"/>
      <c r="M128" s="371"/>
      <c r="N128" s="371"/>
      <c r="O128" s="372"/>
    </row>
    <row r="129" spans="1:9" ht="15" customHeight="1">
      <c r="A129" s="3043" t="s">
        <v>2176</v>
      </c>
      <c r="B129" s="3043"/>
      <c r="C129" s="3043"/>
      <c r="D129" s="3043"/>
      <c r="E129" s="3043"/>
      <c r="F129" s="3043"/>
      <c r="G129" s="3043"/>
      <c r="H129" s="3043"/>
    </row>
    <row r="130" spans="1:9" ht="21.75" customHeight="1">
      <c r="A130" s="3043"/>
      <c r="B130" s="3043"/>
      <c r="C130" s="3043"/>
      <c r="D130" s="3043"/>
      <c r="E130" s="3043"/>
      <c r="F130" s="3043"/>
      <c r="G130" s="3043"/>
      <c r="H130" s="3043"/>
    </row>
    <row r="131" spans="1:9">
      <c r="A131" s="281" t="s">
        <v>1807</v>
      </c>
      <c r="B131" s="281" t="s">
        <v>1808</v>
      </c>
      <c r="C131" s="281" t="s">
        <v>2012</v>
      </c>
      <c r="D131" s="1097" t="s">
        <v>2123</v>
      </c>
      <c r="E131" s="384" t="s">
        <v>2013</v>
      </c>
      <c r="F131" s="1748" t="s">
        <v>1811</v>
      </c>
      <c r="G131" s="308" t="s">
        <v>1817</v>
      </c>
      <c r="H131" s="286" t="s">
        <v>2124</v>
      </c>
      <c r="I131" s="286" t="s">
        <v>2125</v>
      </c>
    </row>
    <row r="132" spans="1:9">
      <c r="A132" s="353"/>
      <c r="B132" s="385"/>
      <c r="C132" s="349" t="s">
        <v>2177</v>
      </c>
      <c r="D132" s="377" t="s">
        <v>2178</v>
      </c>
      <c r="E132" s="267"/>
      <c r="F132" s="336"/>
      <c r="G132" s="379"/>
      <c r="H132" s="592"/>
      <c r="I132" s="286" t="s">
        <v>2179</v>
      </c>
    </row>
    <row r="133" spans="1:9">
      <c r="A133" s="389">
        <v>10593</v>
      </c>
      <c r="B133" s="266">
        <v>0.1</v>
      </c>
      <c r="C133" s="342" t="s">
        <v>2180</v>
      </c>
      <c r="D133" s="573" t="s">
        <v>2111</v>
      </c>
      <c r="E133" s="265">
        <v>1200000</v>
      </c>
      <c r="F133" s="273"/>
      <c r="G133" s="268"/>
      <c r="H133" s="298" t="s">
        <v>2124</v>
      </c>
      <c r="I133" s="286" t="s">
        <v>2179</v>
      </c>
    </row>
    <row r="134" spans="1:9">
      <c r="A134" s="332">
        <v>10618</v>
      </c>
      <c r="B134" s="266">
        <v>0.1</v>
      </c>
      <c r="C134" s="342" t="s">
        <v>2181</v>
      </c>
      <c r="D134" s="573" t="s">
        <v>2111</v>
      </c>
      <c r="E134" s="265">
        <v>1500000</v>
      </c>
      <c r="F134" s="273"/>
      <c r="G134" s="268"/>
      <c r="H134" s="298" t="s">
        <v>2124</v>
      </c>
      <c r="I134" s="286" t="s">
        <v>1485</v>
      </c>
    </row>
    <row r="135" spans="1:9">
      <c r="A135" s="390">
        <v>10623</v>
      </c>
      <c r="B135" s="266">
        <v>0.1</v>
      </c>
      <c r="C135" s="342" t="s">
        <v>2182</v>
      </c>
      <c r="D135" s="573" t="s">
        <v>2111</v>
      </c>
      <c r="E135" s="265">
        <v>880000</v>
      </c>
      <c r="F135" s="273"/>
      <c r="G135" s="268"/>
      <c r="H135" s="298" t="s">
        <v>2124</v>
      </c>
      <c r="I135" s="286" t="s">
        <v>2136</v>
      </c>
    </row>
    <row r="136" spans="1:9">
      <c r="A136" s="332">
        <v>10652</v>
      </c>
      <c r="B136" s="325">
        <v>0.1</v>
      </c>
      <c r="C136" s="342" t="s">
        <v>2183</v>
      </c>
      <c r="D136" s="573" t="s">
        <v>2111</v>
      </c>
      <c r="E136" s="386">
        <v>1750000</v>
      </c>
      <c r="F136" s="273"/>
      <c r="G136" s="268"/>
      <c r="H136" s="298" t="s">
        <v>2124</v>
      </c>
      <c r="I136" s="352" t="s">
        <v>2136</v>
      </c>
    </row>
    <row r="137" spans="1:9">
      <c r="A137" s="332">
        <v>10628</v>
      </c>
      <c r="B137" s="266">
        <v>0.1</v>
      </c>
      <c r="C137" s="342" t="s">
        <v>2184</v>
      </c>
      <c r="D137" s="573" t="s">
        <v>2111</v>
      </c>
      <c r="E137" s="265">
        <v>1200000</v>
      </c>
      <c r="F137" s="273"/>
      <c r="G137" s="268"/>
      <c r="H137" s="298" t="s">
        <v>2124</v>
      </c>
      <c r="I137" s="352" t="s">
        <v>2185</v>
      </c>
    </row>
    <row r="138" spans="1:9">
      <c r="A138" s="391"/>
      <c r="B138" s="387"/>
      <c r="C138" s="388"/>
      <c r="D138" s="1098"/>
      <c r="E138" s="392"/>
      <c r="F138" s="393"/>
      <c r="G138" s="394"/>
      <c r="H138" s="352"/>
      <c r="I138" s="352"/>
    </row>
    <row r="139" spans="1:9">
      <c r="A139" s="269" t="s">
        <v>1904</v>
      </c>
      <c r="B139" s="279"/>
      <c r="C139" s="279"/>
      <c r="D139" s="1099" t="s">
        <v>1904</v>
      </c>
      <c r="E139" s="271">
        <f>SUM(E133:E138)</f>
        <v>6530000</v>
      </c>
      <c r="F139" s="279"/>
      <c r="G139" s="395"/>
      <c r="H139" s="1008"/>
      <c r="I139" s="286"/>
    </row>
    <row r="140" spans="1:9" ht="15.6">
      <c r="A140" s="3045" t="s">
        <v>2186</v>
      </c>
      <c r="B140" s="3045"/>
      <c r="C140" s="3045"/>
      <c r="D140" s="3045"/>
      <c r="E140" s="3045"/>
      <c r="F140" s="3045"/>
      <c r="G140" s="3045"/>
      <c r="H140" s="3045"/>
      <c r="I140" s="3045"/>
    </row>
    <row r="141" spans="1:9">
      <c r="A141" s="261"/>
      <c r="E141" s="91"/>
      <c r="G141" s="92"/>
      <c r="H141" s="1001"/>
    </row>
    <row r="142" spans="1:9">
      <c r="A142" s="3006" t="s">
        <v>2187</v>
      </c>
      <c r="B142" s="3006"/>
      <c r="C142" s="3006"/>
      <c r="D142" s="3006"/>
      <c r="E142" s="3006"/>
      <c r="F142" s="3006"/>
      <c r="G142" s="3006"/>
      <c r="H142" s="3006"/>
    </row>
    <row r="143" spans="1:9">
      <c r="A143" s="3006"/>
      <c r="B143" s="3006"/>
      <c r="C143" s="3006"/>
      <c r="D143" s="3006"/>
      <c r="E143" s="3006"/>
      <c r="F143" s="3006"/>
      <c r="G143" s="3006"/>
      <c r="H143" s="3006"/>
    </row>
    <row r="144" spans="1:9" ht="20.45">
      <c r="A144" s="263" t="s">
        <v>2011</v>
      </c>
      <c r="B144" s="396" t="s">
        <v>1808</v>
      </c>
      <c r="C144" s="176" t="s">
        <v>2012</v>
      </c>
      <c r="D144" s="1100" t="s">
        <v>2123</v>
      </c>
      <c r="E144" s="397" t="s">
        <v>2013</v>
      </c>
      <c r="F144" s="398" t="s">
        <v>1811</v>
      </c>
      <c r="G144" s="399" t="s">
        <v>1817</v>
      </c>
      <c r="H144" s="400"/>
    </row>
    <row r="145" spans="1:9" s="163" customFormat="1">
      <c r="A145" s="2181"/>
      <c r="B145" s="401"/>
      <c r="C145" s="350" t="s">
        <v>2182</v>
      </c>
      <c r="D145" s="409" t="s">
        <v>2188</v>
      </c>
      <c r="E145" s="402"/>
      <c r="F145" s="403"/>
      <c r="G145" s="404"/>
      <c r="H145" s="592"/>
      <c r="I145" s="1035"/>
    </row>
    <row r="146" spans="1:9" s="163" customFormat="1">
      <c r="A146" s="2181"/>
      <c r="B146" s="401"/>
      <c r="C146" s="340" t="s">
        <v>2189</v>
      </c>
      <c r="D146" s="409" t="s">
        <v>2190</v>
      </c>
      <c r="E146" s="402"/>
      <c r="F146" s="403"/>
      <c r="G146" s="404"/>
      <c r="H146" s="592"/>
      <c r="I146" s="1035"/>
    </row>
    <row r="147" spans="1:9" s="163" customFormat="1">
      <c r="A147" s="2160">
        <v>10701</v>
      </c>
      <c r="B147" s="302">
        <v>0.1</v>
      </c>
      <c r="C147" s="274" t="s">
        <v>2191</v>
      </c>
      <c r="D147" s="576" t="s">
        <v>2111</v>
      </c>
      <c r="E147" s="380">
        <v>1200000</v>
      </c>
      <c r="F147" s="277">
        <v>0.02</v>
      </c>
      <c r="G147" s="405">
        <f>E147*F147</f>
        <v>24000</v>
      </c>
      <c r="H147" s="298" t="s">
        <v>2124</v>
      </c>
      <c r="I147" s="1035"/>
    </row>
    <row r="148" spans="1:9">
      <c r="A148" s="2160">
        <v>10664</v>
      </c>
      <c r="B148" s="302">
        <v>0.1</v>
      </c>
      <c r="C148" s="274" t="s">
        <v>2192</v>
      </c>
      <c r="D148" s="576" t="s">
        <v>2111</v>
      </c>
      <c r="E148" s="380">
        <v>950000</v>
      </c>
      <c r="F148" s="277">
        <v>0.02</v>
      </c>
      <c r="G148" s="405">
        <f>E148*F148</f>
        <v>19000</v>
      </c>
      <c r="H148" s="306" t="s">
        <v>2124</v>
      </c>
    </row>
    <row r="149" spans="1:9">
      <c r="A149" s="2160">
        <v>10768</v>
      </c>
      <c r="B149" s="302">
        <v>0.1</v>
      </c>
      <c r="C149" s="275" t="s">
        <v>2193</v>
      </c>
      <c r="D149" s="576" t="s">
        <v>2194</v>
      </c>
      <c r="E149" s="380">
        <v>1200000</v>
      </c>
      <c r="F149" s="277">
        <v>0.02</v>
      </c>
      <c r="G149" s="568">
        <f>E149*F149</f>
        <v>24000</v>
      </c>
      <c r="H149" s="298" t="s">
        <v>2124</v>
      </c>
    </row>
    <row r="150" spans="1:9">
      <c r="A150" s="269"/>
      <c r="B150" s="368"/>
      <c r="C150" s="407"/>
      <c r="D150" s="1031"/>
      <c r="E150" s="566"/>
      <c r="F150" s="567"/>
      <c r="G150" s="569"/>
      <c r="H150" s="299"/>
    </row>
    <row r="151" spans="1:9">
      <c r="A151" s="2182"/>
      <c r="B151" s="438"/>
      <c r="C151" s="438"/>
      <c r="D151" s="1101" t="s">
        <v>2195</v>
      </c>
      <c r="E151" s="271">
        <f>SUM(E147:E150)</f>
        <v>3350000</v>
      </c>
      <c r="F151" s="279"/>
      <c r="G151" s="570">
        <f>SUM(G147:G150)</f>
        <v>67000</v>
      </c>
      <c r="H151" s="2"/>
    </row>
    <row r="152" spans="1:9" ht="15.6">
      <c r="A152" s="46"/>
      <c r="B152" s="11"/>
      <c r="C152" s="11"/>
      <c r="D152" s="1102" t="s">
        <v>2154</v>
      </c>
      <c r="E152" s="11"/>
      <c r="F152" s="10"/>
      <c r="G152" s="571" t="s">
        <v>1904</v>
      </c>
      <c r="H152" s="1009">
        <f>G151</f>
        <v>67000</v>
      </c>
    </row>
    <row r="153" spans="1:9">
      <c r="A153" s="90"/>
      <c r="E153" s="91"/>
      <c r="G153" s="92"/>
      <c r="H153" s="1001"/>
    </row>
    <row r="154" spans="1:9">
      <c r="A154" s="90"/>
      <c r="E154" s="91"/>
      <c r="G154" s="92"/>
      <c r="H154" s="1001"/>
    </row>
    <row r="155" spans="1:9">
      <c r="A155" s="3006" t="s">
        <v>2196</v>
      </c>
      <c r="B155" s="3006"/>
      <c r="C155" s="3006"/>
      <c r="D155" s="3006"/>
      <c r="E155" s="3006"/>
      <c r="F155" s="3006"/>
      <c r="G155" s="3006"/>
      <c r="H155" s="3006"/>
    </row>
    <row r="156" spans="1:9">
      <c r="A156" s="3006"/>
      <c r="B156" s="3006"/>
      <c r="C156" s="3006"/>
      <c r="D156" s="3006"/>
      <c r="E156" s="3006"/>
      <c r="F156" s="3006"/>
      <c r="G156" s="3006"/>
      <c r="H156" s="3006"/>
    </row>
    <row r="157" spans="1:9" ht="20.45">
      <c r="A157" s="263" t="s">
        <v>2011</v>
      </c>
      <c r="B157" s="396" t="s">
        <v>1808</v>
      </c>
      <c r="C157" s="176" t="s">
        <v>2012</v>
      </c>
      <c r="D157" s="1100" t="s">
        <v>2123</v>
      </c>
      <c r="E157" s="397" t="s">
        <v>2013</v>
      </c>
      <c r="F157" s="398" t="s">
        <v>1811</v>
      </c>
      <c r="G157" s="399" t="s">
        <v>1817</v>
      </c>
      <c r="H157" s="400"/>
    </row>
    <row r="158" spans="1:9">
      <c r="A158" s="2183"/>
      <c r="B158" s="408"/>
      <c r="C158" s="408" t="s">
        <v>2197</v>
      </c>
      <c r="D158" s="377" t="s">
        <v>2198</v>
      </c>
      <c r="E158" s="410"/>
      <c r="F158" s="377"/>
      <c r="G158" s="408"/>
      <c r="H158" s="1010"/>
      <c r="I158" s="592"/>
    </row>
    <row r="159" spans="1:9">
      <c r="A159" s="2181"/>
      <c r="B159" s="336">
        <v>0.1</v>
      </c>
      <c r="C159" s="340" t="s">
        <v>2199</v>
      </c>
      <c r="D159" s="409" t="s">
        <v>2200</v>
      </c>
      <c r="E159" s="379"/>
      <c r="F159" s="350"/>
      <c r="G159" s="404"/>
      <c r="H159" s="592"/>
      <c r="I159" s="592" t="s">
        <v>2136</v>
      </c>
    </row>
    <row r="160" spans="1:9">
      <c r="A160" s="2160">
        <v>10611</v>
      </c>
      <c r="B160" s="273">
        <v>0.1</v>
      </c>
      <c r="C160" s="274" t="s">
        <v>2201</v>
      </c>
      <c r="D160" s="576" t="s">
        <v>2111</v>
      </c>
      <c r="E160" s="268">
        <v>1100000</v>
      </c>
      <c r="F160" s="273">
        <v>0.02</v>
      </c>
      <c r="G160" s="405">
        <f t="shared" ref="G160:G171" si="2">E160*F160</f>
        <v>22000</v>
      </c>
      <c r="H160" s="298"/>
      <c r="I160" s="298"/>
    </row>
    <row r="161" spans="1:9">
      <c r="A161" s="2160">
        <v>10614</v>
      </c>
      <c r="B161" s="273">
        <v>0.1</v>
      </c>
      <c r="C161" s="274" t="s">
        <v>2202</v>
      </c>
      <c r="D161" s="576" t="s">
        <v>2111</v>
      </c>
      <c r="E161" s="268">
        <v>1100000</v>
      </c>
      <c r="F161" s="273">
        <v>0.02</v>
      </c>
      <c r="G161" s="405">
        <f t="shared" si="2"/>
        <v>22000</v>
      </c>
      <c r="H161" s="298"/>
      <c r="I161" s="298"/>
    </row>
    <row r="162" spans="1:9">
      <c r="A162" s="2160">
        <v>10641</v>
      </c>
      <c r="B162" s="273">
        <v>0.1</v>
      </c>
      <c r="C162" s="274" t="s">
        <v>2203</v>
      </c>
      <c r="D162" s="576" t="s">
        <v>2111</v>
      </c>
      <c r="E162" s="268">
        <v>750000</v>
      </c>
      <c r="F162" s="273">
        <v>0.02</v>
      </c>
      <c r="G162" s="405">
        <f t="shared" si="2"/>
        <v>15000</v>
      </c>
      <c r="H162" s="298"/>
      <c r="I162" s="298"/>
    </row>
    <row r="163" spans="1:9">
      <c r="A163" s="2160">
        <v>10721</v>
      </c>
      <c r="B163" s="273">
        <v>0.1</v>
      </c>
      <c r="C163" s="275" t="s">
        <v>2204</v>
      </c>
      <c r="D163" s="576" t="s">
        <v>2111</v>
      </c>
      <c r="E163" s="268">
        <v>1000000</v>
      </c>
      <c r="F163" s="273">
        <v>0.02</v>
      </c>
      <c r="G163" s="405">
        <f t="shared" si="2"/>
        <v>20000</v>
      </c>
      <c r="H163" s="298" t="s">
        <v>2124</v>
      </c>
      <c r="I163" s="298" t="s">
        <v>2136</v>
      </c>
    </row>
    <row r="164" spans="1:9">
      <c r="A164" s="2160">
        <v>10626</v>
      </c>
      <c r="B164" s="302">
        <v>0.1</v>
      </c>
      <c r="C164" s="275" t="s">
        <v>2205</v>
      </c>
      <c r="D164" s="576" t="s">
        <v>2111</v>
      </c>
      <c r="E164" s="367">
        <v>1100000</v>
      </c>
      <c r="F164" s="273">
        <v>0.02</v>
      </c>
      <c r="G164" s="405">
        <f t="shared" si="2"/>
        <v>22000</v>
      </c>
      <c r="H164" s="853" t="s">
        <v>2124</v>
      </c>
      <c r="I164" s="298" t="s">
        <v>582</v>
      </c>
    </row>
    <row r="165" spans="1:9">
      <c r="A165" s="2160">
        <v>10662</v>
      </c>
      <c r="B165" s="302">
        <v>0.1</v>
      </c>
      <c r="C165" s="275" t="s">
        <v>2206</v>
      </c>
      <c r="D165" s="576" t="s">
        <v>2111</v>
      </c>
      <c r="E165" s="380">
        <v>600000</v>
      </c>
      <c r="F165" s="273">
        <v>0.02</v>
      </c>
      <c r="G165" s="405">
        <f t="shared" si="2"/>
        <v>12000</v>
      </c>
      <c r="H165" s="726" t="s">
        <v>2124</v>
      </c>
      <c r="I165" s="298" t="s">
        <v>2207</v>
      </c>
    </row>
    <row r="166" spans="1:9">
      <c r="A166" s="2184">
        <v>10776</v>
      </c>
      <c r="B166" s="302">
        <v>0.1</v>
      </c>
      <c r="C166" s="275" t="s">
        <v>225</v>
      </c>
      <c r="D166" s="576" t="s">
        <v>2111</v>
      </c>
      <c r="E166" s="380">
        <v>1100000</v>
      </c>
      <c r="F166" s="273">
        <v>0.02</v>
      </c>
      <c r="G166" s="405">
        <f t="shared" si="2"/>
        <v>22000</v>
      </c>
      <c r="H166" s="298" t="s">
        <v>2124</v>
      </c>
      <c r="I166" s="298" t="s">
        <v>582</v>
      </c>
    </row>
    <row r="167" spans="1:9">
      <c r="A167" s="2160">
        <v>10658</v>
      </c>
      <c r="B167" s="545">
        <v>0.08</v>
      </c>
      <c r="C167" s="275" t="s">
        <v>2208</v>
      </c>
      <c r="D167" s="576" t="s">
        <v>2111</v>
      </c>
      <c r="E167" s="268">
        <v>1100000</v>
      </c>
      <c r="F167" s="545">
        <v>0.01</v>
      </c>
      <c r="G167" s="405">
        <f t="shared" si="2"/>
        <v>11000</v>
      </c>
      <c r="H167" s="726" t="s">
        <v>2124</v>
      </c>
      <c r="I167" s="298" t="s">
        <v>2179</v>
      </c>
    </row>
    <row r="168" spans="1:9">
      <c r="A168" s="2160">
        <v>10720</v>
      </c>
      <c r="B168" s="273">
        <v>0.1</v>
      </c>
      <c r="C168" s="274" t="s">
        <v>2209</v>
      </c>
      <c r="D168" s="576" t="s">
        <v>2111</v>
      </c>
      <c r="E168" s="268">
        <v>1350000</v>
      </c>
      <c r="F168" s="273">
        <v>0.02</v>
      </c>
      <c r="G168" s="405">
        <f t="shared" si="2"/>
        <v>27000</v>
      </c>
      <c r="H168" s="298" t="s">
        <v>2124</v>
      </c>
      <c r="I168" s="298" t="s">
        <v>1485</v>
      </c>
    </row>
    <row r="169" spans="1:9">
      <c r="A169" s="2160">
        <v>10785</v>
      </c>
      <c r="B169" s="302">
        <v>0.1</v>
      </c>
      <c r="C169" s="342" t="s">
        <v>187</v>
      </c>
      <c r="D169" s="576" t="s">
        <v>2111</v>
      </c>
      <c r="E169" s="297">
        <v>1200000</v>
      </c>
      <c r="F169" s="302">
        <v>0.02</v>
      </c>
      <c r="G169" s="511">
        <f t="shared" si="2"/>
        <v>24000</v>
      </c>
      <c r="H169" s="433" t="s">
        <v>2124</v>
      </c>
      <c r="I169" s="433" t="s">
        <v>2179</v>
      </c>
    </row>
    <row r="170" spans="1:9">
      <c r="A170" s="2160">
        <v>10781</v>
      </c>
      <c r="B170" s="273">
        <v>0.1</v>
      </c>
      <c r="C170" s="275" t="s">
        <v>2210</v>
      </c>
      <c r="D170" s="576" t="s">
        <v>2111</v>
      </c>
      <c r="E170" s="268">
        <v>1150000</v>
      </c>
      <c r="F170" s="273">
        <v>0.02</v>
      </c>
      <c r="G170" s="405">
        <f t="shared" si="2"/>
        <v>23000</v>
      </c>
      <c r="H170" s="298" t="s">
        <v>2124</v>
      </c>
      <c r="I170" s="298" t="s">
        <v>1485</v>
      </c>
    </row>
    <row r="171" spans="1:9">
      <c r="A171" s="2160">
        <v>10801</v>
      </c>
      <c r="B171" s="273">
        <v>0.1</v>
      </c>
      <c r="C171" s="275" t="s">
        <v>2211</v>
      </c>
      <c r="D171" s="576" t="s">
        <v>2111</v>
      </c>
      <c r="E171" s="268">
        <v>850000</v>
      </c>
      <c r="F171" s="273">
        <v>0.02</v>
      </c>
      <c r="G171" s="405">
        <f t="shared" si="2"/>
        <v>17000</v>
      </c>
      <c r="H171" s="298" t="s">
        <v>2124</v>
      </c>
      <c r="I171" s="298" t="s">
        <v>2136</v>
      </c>
    </row>
    <row r="172" spans="1:9">
      <c r="A172" s="2182"/>
      <c r="B172" s="488"/>
      <c r="C172" s="438"/>
      <c r="D172" s="1103"/>
      <c r="E172" s="485"/>
      <c r="F172" s="438"/>
      <c r="G172" s="486">
        <f>SUM(G160:G171)</f>
        <v>237000</v>
      </c>
      <c r="H172" s="307"/>
      <c r="I172" s="339"/>
    </row>
    <row r="173" spans="1:9">
      <c r="A173" s="2182"/>
      <c r="B173" s="488"/>
      <c r="C173" s="438"/>
      <c r="D173" s="1103" t="s">
        <v>2195</v>
      </c>
      <c r="E173" s="485">
        <f>SUM(E159:E171)</f>
        <v>12400000</v>
      </c>
      <c r="F173" s="438"/>
      <c r="G173" s="486"/>
      <c r="H173" s="307"/>
      <c r="I173" s="339"/>
    </row>
    <row r="174" spans="1:9" ht="15.6">
      <c r="A174" s="46"/>
      <c r="B174" s="11"/>
      <c r="C174" s="11"/>
      <c r="D174" s="1102" t="s">
        <v>2154</v>
      </c>
      <c r="E174" s="11"/>
      <c r="F174" s="117"/>
      <c r="G174" s="546">
        <v>237000</v>
      </c>
      <c r="H174" s="50"/>
      <c r="I174" s="2"/>
    </row>
    <row r="176" spans="1:9">
      <c r="A176" s="3007" t="s">
        <v>2212</v>
      </c>
      <c r="B176" s="3007"/>
      <c r="C176" s="3007"/>
      <c r="D176" s="3007"/>
      <c r="E176" s="3007"/>
      <c r="F176" s="3007"/>
      <c r="G176" s="3007"/>
      <c r="H176" s="3007"/>
      <c r="I176" s="2"/>
    </row>
    <row r="177" spans="1:9">
      <c r="A177" s="3007"/>
      <c r="B177" s="3007"/>
      <c r="C177" s="3007"/>
      <c r="D177" s="3007"/>
      <c r="E177" s="3007"/>
      <c r="F177" s="3007"/>
      <c r="G177" s="3007"/>
      <c r="H177" s="3007"/>
      <c r="I177" s="2"/>
    </row>
    <row r="178" spans="1:9" ht="20.45">
      <c r="A178" s="257" t="s">
        <v>2011</v>
      </c>
      <c r="B178" s="33" t="s">
        <v>1808</v>
      </c>
      <c r="C178" s="33" t="s">
        <v>2012</v>
      </c>
      <c r="D178" s="1066" t="s">
        <v>2123</v>
      </c>
      <c r="E178" s="63" t="s">
        <v>2013</v>
      </c>
      <c r="F178" s="118" t="s">
        <v>1811</v>
      </c>
      <c r="G178" s="88" t="s">
        <v>1817</v>
      </c>
      <c r="H178" s="258" t="s">
        <v>2213</v>
      </c>
      <c r="I178" s="2"/>
    </row>
    <row r="179" spans="1:9" s="163" customFormat="1">
      <c r="A179" s="2185">
        <v>10593</v>
      </c>
      <c r="B179" s="418">
        <v>0.1</v>
      </c>
      <c r="C179" s="342" t="s">
        <v>2180</v>
      </c>
      <c r="D179" s="573" t="s">
        <v>2130</v>
      </c>
      <c r="E179" s="419">
        <v>1200000</v>
      </c>
      <c r="F179" s="415">
        <v>0.02</v>
      </c>
      <c r="G179" s="492">
        <f t="shared" ref="G179:G195" si="3">E179*F179</f>
        <v>24000</v>
      </c>
      <c r="H179" s="1011" t="s">
        <v>2214</v>
      </c>
      <c r="I179" s="298" t="s">
        <v>1971</v>
      </c>
    </row>
    <row r="180" spans="1:9" s="163" customFormat="1">
      <c r="A180" s="2186">
        <v>10618</v>
      </c>
      <c r="B180" s="421">
        <v>0.1</v>
      </c>
      <c r="C180" s="342" t="s">
        <v>2181</v>
      </c>
      <c r="D180" s="573" t="s">
        <v>2111</v>
      </c>
      <c r="E180" s="419">
        <v>1500000</v>
      </c>
      <c r="F180" s="415">
        <v>0.02</v>
      </c>
      <c r="G180" s="492">
        <f t="shared" si="3"/>
        <v>30000</v>
      </c>
      <c r="H180" s="1011" t="s">
        <v>1482</v>
      </c>
      <c r="I180" s="298" t="s">
        <v>1971</v>
      </c>
    </row>
    <row r="181" spans="1:9">
      <c r="A181" s="2187">
        <v>10623</v>
      </c>
      <c r="B181" s="273">
        <v>0.1</v>
      </c>
      <c r="C181" s="342" t="s">
        <v>2182</v>
      </c>
      <c r="D181" s="573" t="s">
        <v>2111</v>
      </c>
      <c r="E181" s="275">
        <v>880000</v>
      </c>
      <c r="F181" s="415">
        <v>0.02</v>
      </c>
      <c r="G181" s="492">
        <f t="shared" si="3"/>
        <v>17600</v>
      </c>
      <c r="H181" s="1011" t="s">
        <v>2136</v>
      </c>
      <c r="I181" s="298" t="s">
        <v>1971</v>
      </c>
    </row>
    <row r="182" spans="1:9">
      <c r="A182" s="2187">
        <v>10628</v>
      </c>
      <c r="B182" s="273">
        <v>0.1</v>
      </c>
      <c r="C182" s="412" t="s">
        <v>2184</v>
      </c>
      <c r="D182" s="573" t="s">
        <v>2111</v>
      </c>
      <c r="E182" s="275">
        <v>1200000</v>
      </c>
      <c r="F182" s="415">
        <v>0.02</v>
      </c>
      <c r="G182" s="492">
        <f t="shared" si="3"/>
        <v>24000</v>
      </c>
      <c r="H182" s="1011" t="s">
        <v>2179</v>
      </c>
      <c r="I182" s="298" t="s">
        <v>1971</v>
      </c>
    </row>
    <row r="183" spans="1:9">
      <c r="A183" s="2188">
        <v>10626</v>
      </c>
      <c r="B183" s="273">
        <v>0.1</v>
      </c>
      <c r="C183" s="342" t="s">
        <v>2205</v>
      </c>
      <c r="D183" s="573" t="s">
        <v>2111</v>
      </c>
      <c r="E183" s="275">
        <v>1100000</v>
      </c>
      <c r="F183" s="415">
        <v>0.02</v>
      </c>
      <c r="G183" s="492">
        <f t="shared" si="3"/>
        <v>22000</v>
      </c>
      <c r="H183" s="1011" t="s">
        <v>1485</v>
      </c>
      <c r="I183" s="298" t="s">
        <v>1971</v>
      </c>
    </row>
    <row r="184" spans="1:9">
      <c r="A184" s="2161">
        <v>10652</v>
      </c>
      <c r="B184" s="413">
        <v>0.1</v>
      </c>
      <c r="C184" s="342" t="s">
        <v>2183</v>
      </c>
      <c r="D184" s="573" t="s">
        <v>2111</v>
      </c>
      <c r="E184" s="275">
        <v>1750000</v>
      </c>
      <c r="F184" s="415">
        <v>0.02</v>
      </c>
      <c r="G184" s="492">
        <f t="shared" si="3"/>
        <v>35000</v>
      </c>
      <c r="H184" s="1011" t="s">
        <v>2114</v>
      </c>
      <c r="I184" s="298" t="s">
        <v>2124</v>
      </c>
    </row>
    <row r="185" spans="1:9">
      <c r="A185" s="2161">
        <v>10658</v>
      </c>
      <c r="B185" s="549">
        <v>0.08</v>
      </c>
      <c r="C185" s="342" t="s">
        <v>2208</v>
      </c>
      <c r="D185" s="573" t="s">
        <v>2111</v>
      </c>
      <c r="E185" s="275">
        <v>1100000</v>
      </c>
      <c r="F185" s="548">
        <v>0.01</v>
      </c>
      <c r="G185" s="492">
        <f t="shared" si="3"/>
        <v>11000</v>
      </c>
      <c r="H185" s="1011" t="s">
        <v>510</v>
      </c>
      <c r="I185" s="298" t="s">
        <v>2124</v>
      </c>
    </row>
    <row r="186" spans="1:9">
      <c r="A186" s="2189">
        <v>10662</v>
      </c>
      <c r="B186" s="273">
        <v>0.1</v>
      </c>
      <c r="C186" s="414" t="s">
        <v>2206</v>
      </c>
      <c r="D186" s="573" t="s">
        <v>2111</v>
      </c>
      <c r="E186" s="275">
        <v>600000</v>
      </c>
      <c r="F186" s="415">
        <v>0.02</v>
      </c>
      <c r="G186" s="492">
        <f t="shared" si="3"/>
        <v>12000</v>
      </c>
      <c r="H186" s="1011" t="s">
        <v>2114</v>
      </c>
      <c r="I186" s="298" t="s">
        <v>2124</v>
      </c>
    </row>
    <row r="187" spans="1:9">
      <c r="A187" s="2187">
        <v>10664</v>
      </c>
      <c r="B187" s="415">
        <v>0.1</v>
      </c>
      <c r="C187" s="274" t="s">
        <v>2215</v>
      </c>
      <c r="D187" s="1104" t="s">
        <v>2111</v>
      </c>
      <c r="E187" s="275">
        <v>950000</v>
      </c>
      <c r="F187" s="415">
        <v>0.02</v>
      </c>
      <c r="G187" s="492">
        <f t="shared" si="3"/>
        <v>19000</v>
      </c>
      <c r="H187" s="1011" t="s">
        <v>1482</v>
      </c>
      <c r="I187" s="298" t="s">
        <v>2124</v>
      </c>
    </row>
    <row r="188" spans="1:9">
      <c r="A188" s="2187">
        <v>10701</v>
      </c>
      <c r="B188" s="415">
        <v>0.1</v>
      </c>
      <c r="C188" s="274" t="s">
        <v>2216</v>
      </c>
      <c r="D188" s="1104" t="s">
        <v>2111</v>
      </c>
      <c r="E188" s="275">
        <v>1200000</v>
      </c>
      <c r="F188" s="415">
        <v>0.02</v>
      </c>
      <c r="G188" s="492">
        <f t="shared" si="3"/>
        <v>24000</v>
      </c>
      <c r="H188" s="1011" t="s">
        <v>510</v>
      </c>
      <c r="I188" s="298" t="s">
        <v>2124</v>
      </c>
    </row>
    <row r="189" spans="1:9">
      <c r="A189" s="2188">
        <v>10720</v>
      </c>
      <c r="B189" s="416">
        <v>0.1</v>
      </c>
      <c r="C189" s="417" t="s">
        <v>2209</v>
      </c>
      <c r="D189" s="777" t="s">
        <v>2111</v>
      </c>
      <c r="E189" s="278">
        <v>1350000</v>
      </c>
      <c r="F189" s="415">
        <v>0.02</v>
      </c>
      <c r="G189" s="492">
        <f t="shared" si="3"/>
        <v>27000</v>
      </c>
      <c r="H189" s="712" t="s">
        <v>1485</v>
      </c>
      <c r="I189" s="306" t="s">
        <v>2124</v>
      </c>
    </row>
    <row r="190" spans="1:9">
      <c r="A190" s="2187">
        <v>10721</v>
      </c>
      <c r="B190" s="273">
        <v>0.1</v>
      </c>
      <c r="C190" s="274" t="s">
        <v>2217</v>
      </c>
      <c r="D190" s="573" t="s">
        <v>2111</v>
      </c>
      <c r="E190" s="275">
        <v>1000000</v>
      </c>
      <c r="F190" s="415">
        <v>0.02</v>
      </c>
      <c r="G190" s="492">
        <f t="shared" si="3"/>
        <v>20000</v>
      </c>
      <c r="H190" s="298" t="s">
        <v>2128</v>
      </c>
      <c r="I190" s="298" t="s">
        <v>2124</v>
      </c>
    </row>
    <row r="191" spans="1:9">
      <c r="A191" s="2189">
        <v>10776</v>
      </c>
      <c r="B191" s="547">
        <v>0.1</v>
      </c>
      <c r="C191" s="417" t="s">
        <v>225</v>
      </c>
      <c r="D191" s="1105" t="s">
        <v>2111</v>
      </c>
      <c r="E191" s="276">
        <v>1100000</v>
      </c>
      <c r="F191" s="415">
        <v>0.02</v>
      </c>
      <c r="G191" s="492">
        <f t="shared" si="3"/>
        <v>22000</v>
      </c>
      <c r="H191" s="1012" t="s">
        <v>2218</v>
      </c>
      <c r="I191" s="605" t="s">
        <v>2124</v>
      </c>
    </row>
    <row r="192" spans="1:9">
      <c r="A192" s="2190">
        <v>10781</v>
      </c>
      <c r="B192" s="273">
        <v>0.1</v>
      </c>
      <c r="C192" s="431" t="s">
        <v>2210</v>
      </c>
      <c r="D192" s="1104" t="s">
        <v>2111</v>
      </c>
      <c r="E192" s="495">
        <v>1150000</v>
      </c>
      <c r="F192" s="415">
        <v>0.02</v>
      </c>
      <c r="G192" s="492">
        <f t="shared" si="3"/>
        <v>23000</v>
      </c>
      <c r="H192" s="1011" t="s">
        <v>2218</v>
      </c>
      <c r="I192" s="298" t="s">
        <v>2124</v>
      </c>
    </row>
    <row r="193" spans="1:9">
      <c r="A193" s="2190">
        <v>10768</v>
      </c>
      <c r="B193" s="273">
        <v>0.1</v>
      </c>
      <c r="C193" s="431" t="s">
        <v>2193</v>
      </c>
      <c r="D193" s="1106" t="s">
        <v>2111</v>
      </c>
      <c r="E193" s="275">
        <v>1200000</v>
      </c>
      <c r="F193" s="415">
        <v>0.02</v>
      </c>
      <c r="G193" s="492">
        <f t="shared" si="3"/>
        <v>24000</v>
      </c>
      <c r="H193" s="1011" t="s">
        <v>2218</v>
      </c>
      <c r="I193" s="298" t="s">
        <v>2124</v>
      </c>
    </row>
    <row r="194" spans="1:9">
      <c r="A194" s="2175">
        <v>10785</v>
      </c>
      <c r="B194" s="515">
        <v>0.1</v>
      </c>
      <c r="C194" s="516" t="s">
        <v>2219</v>
      </c>
      <c r="D194" s="1107" t="s">
        <v>2111</v>
      </c>
      <c r="E194" s="67">
        <v>1200000</v>
      </c>
      <c r="F194" s="194">
        <v>0.02</v>
      </c>
      <c r="G194" s="492">
        <f t="shared" si="3"/>
        <v>24000</v>
      </c>
      <c r="H194" s="678" t="s">
        <v>510</v>
      </c>
      <c r="I194" s="851" t="s">
        <v>2124</v>
      </c>
    </row>
    <row r="195" spans="1:9">
      <c r="A195" s="2191">
        <v>10801</v>
      </c>
      <c r="B195" s="517">
        <v>0.1</v>
      </c>
      <c r="C195" s="518" t="s">
        <v>2220</v>
      </c>
      <c r="D195" s="1108" t="s">
        <v>2111</v>
      </c>
      <c r="E195" s="210">
        <v>850000</v>
      </c>
      <c r="F195" s="194">
        <v>0.02</v>
      </c>
      <c r="G195" s="492">
        <f t="shared" si="3"/>
        <v>17000</v>
      </c>
      <c r="H195" s="678" t="s">
        <v>2114</v>
      </c>
      <c r="I195" s="851" t="s">
        <v>2124</v>
      </c>
    </row>
    <row r="196" spans="1:9">
      <c r="A196" s="2192"/>
      <c r="B196" s="512"/>
      <c r="C196" s="519"/>
      <c r="D196" s="1073"/>
      <c r="E196" s="513"/>
      <c r="F196" s="490"/>
      <c r="G196" s="490"/>
      <c r="H196" s="1013"/>
      <c r="I196" s="260"/>
    </row>
    <row r="197" spans="1:9">
      <c r="A197" s="2192"/>
      <c r="B197" s="11"/>
      <c r="C197" s="11"/>
      <c r="D197" s="1109" t="s">
        <v>2221</v>
      </c>
      <c r="E197" s="489">
        <f>SUM(E179:E195)</f>
        <v>19330000</v>
      </c>
      <c r="F197" s="490"/>
      <c r="G197" s="493">
        <f>SUM(G179:G195)</f>
        <v>375600</v>
      </c>
      <c r="H197" s="957"/>
      <c r="I197" s="260"/>
    </row>
    <row r="198" spans="1:9" ht="15.6">
      <c r="A198" s="257"/>
      <c r="B198" s="171"/>
      <c r="C198" s="171"/>
      <c r="D198" s="1110" t="s">
        <v>2154</v>
      </c>
      <c r="E198" s="551">
        <f>G197</f>
        <v>375600</v>
      </c>
      <c r="F198" s="11"/>
      <c r="G198" s="11"/>
      <c r="H198" s="2"/>
      <c r="I198" s="2"/>
    </row>
    <row r="199" spans="1:9" ht="18">
      <c r="D199" s="1111" t="s">
        <v>2222</v>
      </c>
      <c r="E199" s="552">
        <f>E198+H152</f>
        <v>442600</v>
      </c>
    </row>
    <row r="201" spans="1:9">
      <c r="A201" s="2922" t="s">
        <v>1898</v>
      </c>
      <c r="B201" s="2922"/>
      <c r="C201" s="79"/>
      <c r="D201" s="1074">
        <f>E197</f>
        <v>19330000</v>
      </c>
    </row>
    <row r="202" spans="1:9">
      <c r="A202" s="2923" t="s">
        <v>1899</v>
      </c>
      <c r="B202" s="2923"/>
      <c r="C202" s="41"/>
      <c r="D202" s="1075"/>
    </row>
    <row r="203" spans="1:9">
      <c r="A203" s="2924" t="s">
        <v>1900</v>
      </c>
      <c r="B203" s="2924"/>
      <c r="C203" s="45"/>
      <c r="D203" s="1076"/>
    </row>
    <row r="204" spans="1:9">
      <c r="A204" s="2913" t="s">
        <v>1902</v>
      </c>
      <c r="B204" s="2913"/>
      <c r="C204" s="45"/>
      <c r="D204" s="1112">
        <v>5730000</v>
      </c>
    </row>
    <row r="205" spans="1:9">
      <c r="A205" s="2176"/>
      <c r="B205" s="43" t="s">
        <v>1904</v>
      </c>
      <c r="C205" s="43"/>
      <c r="D205" s="1078"/>
    </row>
    <row r="211" spans="1:16" ht="46.15">
      <c r="A211" s="3041" t="s">
        <v>2223</v>
      </c>
      <c r="B211" s="3041"/>
      <c r="C211" s="3041"/>
      <c r="D211" s="3041"/>
      <c r="E211" s="3041"/>
      <c r="F211" s="3041"/>
      <c r="G211" s="3041"/>
      <c r="H211" s="3041"/>
      <c r="I211" s="3041"/>
      <c r="J211" s="3041"/>
      <c r="O211" s="1"/>
    </row>
    <row r="212" spans="1:16">
      <c r="O212" s="1"/>
    </row>
    <row r="213" spans="1:16" ht="21">
      <c r="A213" s="3015" t="s">
        <v>1804</v>
      </c>
      <c r="B213" s="3015"/>
      <c r="C213" s="3015"/>
      <c r="D213" s="3015"/>
      <c r="E213" s="3015"/>
      <c r="F213" s="3015"/>
      <c r="G213" s="3015"/>
      <c r="H213" s="3015"/>
      <c r="I213" s="3015"/>
      <c r="J213" s="3015"/>
      <c r="K213" s="2819" t="s">
        <v>1805</v>
      </c>
      <c r="L213" s="2819"/>
      <c r="M213" s="2819"/>
      <c r="N213" s="2819"/>
      <c r="O213" s="2"/>
    </row>
    <row r="214" spans="1:16">
      <c r="A214" s="2171" t="s">
        <v>1806</v>
      </c>
      <c r="B214" s="1634" t="s">
        <v>1807</v>
      </c>
      <c r="C214" s="1634" t="s">
        <v>1837</v>
      </c>
      <c r="D214" s="1056" t="s">
        <v>1809</v>
      </c>
      <c r="E214" s="4" t="s">
        <v>1810</v>
      </c>
      <c r="F214" s="3" t="s">
        <v>1811</v>
      </c>
      <c r="G214" s="5" t="s">
        <v>1812</v>
      </c>
      <c r="H214" s="3" t="s">
        <v>1813</v>
      </c>
      <c r="I214" s="3" t="s">
        <v>1814</v>
      </c>
      <c r="J214" s="3" t="s">
        <v>1815</v>
      </c>
      <c r="K214" s="6" t="s">
        <v>1807</v>
      </c>
      <c r="L214" s="6" t="s">
        <v>1809</v>
      </c>
      <c r="M214" s="6" t="s">
        <v>1816</v>
      </c>
      <c r="N214" s="7" t="s">
        <v>1811</v>
      </c>
      <c r="O214" s="2" t="s">
        <v>1817</v>
      </c>
    </row>
    <row r="215" spans="1:16">
      <c r="A215" s="2193"/>
      <c r="B215" s="607"/>
      <c r="C215" s="608"/>
      <c r="D215" s="1113" t="s">
        <v>2224</v>
      </c>
      <c r="E215" s="294"/>
      <c r="F215" s="336"/>
      <c r="G215" s="379"/>
      <c r="H215" s="592"/>
      <c r="I215" s="592" t="s">
        <v>2225</v>
      </c>
      <c r="J215" s="280"/>
      <c r="K215" s="308"/>
      <c r="L215" s="290"/>
      <c r="M215" s="315"/>
      <c r="N215" s="288"/>
      <c r="O215" s="289"/>
    </row>
    <row r="216" spans="1:16">
      <c r="A216" s="2193"/>
      <c r="B216" s="555">
        <v>10968</v>
      </c>
      <c r="C216" s="302">
        <v>0.1</v>
      </c>
      <c r="D216" s="1083" t="s">
        <v>2226</v>
      </c>
      <c r="E216" s="297">
        <v>1150000</v>
      </c>
      <c r="F216" s="273">
        <v>0.06</v>
      </c>
      <c r="G216" s="268">
        <f>E216*F216</f>
        <v>69000</v>
      </c>
      <c r="H216" s="298" t="s">
        <v>732</v>
      </c>
      <c r="I216" s="298" t="s">
        <v>133</v>
      </c>
      <c r="J216" s="280"/>
      <c r="K216" s="521"/>
      <c r="L216" s="316"/>
      <c r="M216" s="315"/>
      <c r="N216" s="629"/>
      <c r="O216" s="289"/>
    </row>
    <row r="217" spans="1:16">
      <c r="A217" s="2193"/>
      <c r="B217" s="638">
        <v>10828</v>
      </c>
      <c r="C217" s="302">
        <v>0.1</v>
      </c>
      <c r="D217" s="1114" t="s">
        <v>2227</v>
      </c>
      <c r="E217" s="577">
        <v>1600000</v>
      </c>
      <c r="F217" s="578">
        <v>0.1</v>
      </c>
      <c r="G217" s="268">
        <f t="shared" ref="G217:G221" si="4">E217*F217</f>
        <v>160000</v>
      </c>
      <c r="H217" s="579" t="s">
        <v>2218</v>
      </c>
      <c r="I217" s="433" t="s">
        <v>133</v>
      </c>
      <c r="J217" s="300"/>
      <c r="K217" s="284"/>
      <c r="L217" s="285"/>
      <c r="M217" s="284"/>
      <c r="N217" s="285"/>
      <c r="O217" s="286"/>
    </row>
    <row r="218" spans="1:16">
      <c r="A218" s="2919" t="s">
        <v>1818</v>
      </c>
      <c r="B218" s="639">
        <v>10866</v>
      </c>
      <c r="C218" s="545">
        <v>0.08</v>
      </c>
      <c r="D218" s="1081" t="s">
        <v>2228</v>
      </c>
      <c r="E218" s="594">
        <v>1500000</v>
      </c>
      <c r="F218" s="545">
        <v>0.05</v>
      </c>
      <c r="G218" s="268">
        <f t="shared" si="4"/>
        <v>75000</v>
      </c>
      <c r="H218" s="298" t="s">
        <v>732</v>
      </c>
      <c r="I218" s="298" t="s">
        <v>133</v>
      </c>
      <c r="J218" s="280"/>
      <c r="K218" s="300"/>
      <c r="L218" s="287"/>
      <c r="M218" s="301"/>
      <c r="N218" s="288"/>
      <c r="O218" s="289"/>
    </row>
    <row r="219" spans="1:16">
      <c r="A219" s="2919"/>
      <c r="B219" s="638">
        <v>10870</v>
      </c>
      <c r="C219" s="302">
        <v>0.1</v>
      </c>
      <c r="D219" s="576" t="s">
        <v>2229</v>
      </c>
      <c r="E219" s="297">
        <v>1030000</v>
      </c>
      <c r="F219" s="273">
        <v>0.05</v>
      </c>
      <c r="G219" s="268">
        <f t="shared" si="4"/>
        <v>51500</v>
      </c>
      <c r="H219" s="298" t="s">
        <v>2114</v>
      </c>
      <c r="I219" s="298" t="s">
        <v>2225</v>
      </c>
      <c r="J219" s="595"/>
      <c r="K219" s="308"/>
      <c r="L219" s="290"/>
      <c r="M219" s="309"/>
      <c r="N219" s="312"/>
      <c r="O219" s="289"/>
    </row>
    <row r="220" spans="1:16">
      <c r="A220" s="2919"/>
      <c r="B220" s="640">
        <v>10891</v>
      </c>
      <c r="C220" s="614">
        <v>0.1</v>
      </c>
      <c r="D220" s="1115" t="s">
        <v>2230</v>
      </c>
      <c r="E220" s="612">
        <v>1250000</v>
      </c>
      <c r="F220" s="631">
        <v>0.1</v>
      </c>
      <c r="G220" s="268">
        <f t="shared" si="4"/>
        <v>125000</v>
      </c>
      <c r="H220" s="613" t="s">
        <v>2218</v>
      </c>
      <c r="I220" s="613" t="s">
        <v>2225</v>
      </c>
      <c r="J220" s="630"/>
      <c r="K220" s="11"/>
      <c r="L220" s="11"/>
      <c r="M220" s="11"/>
      <c r="N220" s="11"/>
      <c r="O220" s="11"/>
    </row>
    <row r="221" spans="1:16">
      <c r="A221" s="2919"/>
      <c r="B221" s="641">
        <v>10987</v>
      </c>
      <c r="C221" s="636">
        <v>0.1</v>
      </c>
      <c r="D221" s="1083" t="s">
        <v>2231</v>
      </c>
      <c r="E221" s="297">
        <v>1800000</v>
      </c>
      <c r="F221" s="614">
        <v>0.1</v>
      </c>
      <c r="G221" s="268">
        <f t="shared" si="4"/>
        <v>180000</v>
      </c>
      <c r="H221" s="613" t="s">
        <v>582</v>
      </c>
      <c r="I221" s="613" t="s">
        <v>2225</v>
      </c>
      <c r="J221" s="630"/>
      <c r="K221" s="11"/>
      <c r="L221" s="11"/>
      <c r="M221" s="11"/>
      <c r="N221" s="11"/>
      <c r="O221" s="11"/>
    </row>
    <row r="222" spans="1:16">
      <c r="A222" s="2919"/>
      <c r="B222" s="317"/>
      <c r="C222" s="617"/>
      <c r="D222" s="1084"/>
      <c r="E222" s="311"/>
      <c r="F222" s="312"/>
      <c r="G222" s="313"/>
      <c r="H222" s="299"/>
      <c r="I222" s="299"/>
      <c r="J222" s="282"/>
      <c r="K222" s="299"/>
      <c r="L222" s="290"/>
      <c r="M222" s="319"/>
      <c r="N222" s="288"/>
      <c r="O222" s="289"/>
    </row>
    <row r="223" spans="1:16">
      <c r="A223" s="2919"/>
      <c r="B223" s="616"/>
      <c r="C223" s="318"/>
      <c r="D223" s="1116"/>
      <c r="E223" s="618"/>
      <c r="F223" s="520"/>
      <c r="G223" s="619"/>
      <c r="H223" s="307"/>
      <c r="I223" s="307"/>
      <c r="J223" s="620"/>
      <c r="K223" s="621"/>
      <c r="L223" s="622"/>
      <c r="M223" s="623"/>
      <c r="N223" s="536"/>
      <c r="O223" s="526"/>
    </row>
    <row r="224" spans="1:16" ht="15.6">
      <c r="A224" s="2919"/>
      <c r="B224" s="625"/>
      <c r="C224" s="624"/>
      <c r="D224" s="1117" t="s">
        <v>1833</v>
      </c>
      <c r="E224" s="446">
        <f>E216+E217+E218+E219+E220+E221</f>
        <v>8330000</v>
      </c>
      <c r="F224" s="447"/>
      <c r="G224" s="448">
        <f>G216+G217+G218+G219+G220+G221</f>
        <v>660500</v>
      </c>
      <c r="H224" s="447"/>
      <c r="I224" s="444"/>
      <c r="J224" s="449"/>
      <c r="K224" s="450"/>
      <c r="L224" s="3024" t="s">
        <v>2232</v>
      </c>
      <c r="M224" s="3024"/>
      <c r="N224" s="3024"/>
      <c r="O224" s="642" t="s">
        <v>2233</v>
      </c>
      <c r="P224" s="550" t="s">
        <v>1974</v>
      </c>
    </row>
    <row r="225" spans="1:16" ht="15.6">
      <c r="A225" s="2919"/>
      <c r="B225" s="204"/>
      <c r="C225" s="626"/>
      <c r="D225" s="1118"/>
      <c r="E225" s="209"/>
      <c r="F225" s="643"/>
      <c r="G225" s="443"/>
      <c r="H225" s="204"/>
      <c r="I225" s="204"/>
      <c r="J225" s="442"/>
      <c r="K225" s="11"/>
      <c r="L225" s="11"/>
      <c r="M225" s="11"/>
      <c r="N225" s="11"/>
      <c r="O225" s="2"/>
    </row>
    <row r="226" spans="1:16">
      <c r="A226" s="2172"/>
      <c r="B226" s="17"/>
      <c r="C226" s="17"/>
      <c r="D226" s="1058"/>
      <c r="E226" s="19"/>
      <c r="F226" s="17"/>
      <c r="G226" s="20"/>
      <c r="H226" s="17"/>
      <c r="I226" s="17"/>
      <c r="J226" s="18"/>
      <c r="O226" s="1"/>
    </row>
    <row r="227" spans="1:16">
      <c r="A227" s="2172"/>
      <c r="B227" s="17"/>
      <c r="C227" s="17"/>
      <c r="D227" s="1058"/>
      <c r="E227" s="19"/>
      <c r="F227" s="17"/>
      <c r="G227" s="20"/>
      <c r="H227" s="17"/>
      <c r="I227" s="17"/>
      <c r="J227" s="18"/>
      <c r="O227" s="1"/>
    </row>
    <row r="228" spans="1:16" ht="21">
      <c r="A228" s="3020" t="s">
        <v>2155</v>
      </c>
      <c r="B228" s="3020"/>
      <c r="C228" s="3020"/>
      <c r="D228" s="3020"/>
      <c r="E228" s="3020"/>
      <c r="F228" s="3020"/>
      <c r="G228" s="3020"/>
      <c r="H228" s="3020"/>
      <c r="I228" s="3020"/>
      <c r="J228" s="3020"/>
      <c r="K228" s="2819" t="s">
        <v>1805</v>
      </c>
      <c r="L228" s="2819"/>
      <c r="M228" s="2819"/>
      <c r="N228" s="2819"/>
      <c r="O228" s="2"/>
    </row>
    <row r="229" spans="1:16">
      <c r="A229" s="2173" t="s">
        <v>1806</v>
      </c>
      <c r="B229" s="23" t="s">
        <v>1807</v>
      </c>
      <c r="C229" s="3" t="s">
        <v>1837</v>
      </c>
      <c r="D229" s="1059" t="s">
        <v>1809</v>
      </c>
      <c r="E229" s="24" t="s">
        <v>1810</v>
      </c>
      <c r="F229" s="3" t="s">
        <v>1811</v>
      </c>
      <c r="G229" s="25" t="s">
        <v>1812</v>
      </c>
      <c r="H229" s="26" t="s">
        <v>1813</v>
      </c>
      <c r="I229" s="3" t="s">
        <v>1814</v>
      </c>
      <c r="J229" s="6" t="s">
        <v>1815</v>
      </c>
      <c r="K229" s="26" t="s">
        <v>1807</v>
      </c>
      <c r="L229" s="26" t="s">
        <v>1809</v>
      </c>
      <c r="M229" s="26" t="s">
        <v>1816</v>
      </c>
      <c r="N229" s="259" t="s">
        <v>1811</v>
      </c>
      <c r="O229" s="260" t="s">
        <v>1817</v>
      </c>
    </row>
    <row r="230" spans="1:16">
      <c r="A230" s="3021" t="s">
        <v>2234</v>
      </c>
      <c r="B230" s="335"/>
      <c r="C230" s="354"/>
      <c r="D230" s="755" t="s">
        <v>2235</v>
      </c>
      <c r="E230" s="355"/>
      <c r="F230" s="336"/>
      <c r="G230" s="356"/>
      <c r="H230" s="320" t="s">
        <v>2114</v>
      </c>
      <c r="I230" s="321" t="s">
        <v>2225</v>
      </c>
      <c r="J230" s="522"/>
      <c r="K230" s="431">
        <v>10870</v>
      </c>
      <c r="L230" s="649" t="s">
        <v>2236</v>
      </c>
      <c r="M230" s="579">
        <v>1030000</v>
      </c>
      <c r="N230" s="578">
        <v>0.05</v>
      </c>
      <c r="O230" s="298">
        <f>M230*N230</f>
        <v>51500</v>
      </c>
    </row>
    <row r="231" spans="1:16">
      <c r="A231" s="3021"/>
      <c r="B231" s="580">
        <v>10843</v>
      </c>
      <c r="C231" s="357">
        <v>0.1</v>
      </c>
      <c r="D231" s="968" t="s">
        <v>2237</v>
      </c>
      <c r="E231" s="358">
        <v>700000</v>
      </c>
      <c r="F231" s="273">
        <v>0.06</v>
      </c>
      <c r="G231" s="359">
        <f>E231*F231</f>
        <v>42000</v>
      </c>
      <c r="H231" s="322" t="s">
        <v>732</v>
      </c>
      <c r="I231" s="323" t="s">
        <v>2225</v>
      </c>
      <c r="J231" s="522"/>
      <c r="K231" s="1679"/>
      <c r="L231" s="1748"/>
      <c r="M231" s="1748"/>
      <c r="N231" s="1748"/>
      <c r="O231" s="363"/>
    </row>
    <row r="232" spans="1:16">
      <c r="A232" s="3021"/>
      <c r="B232" s="298">
        <v>10883</v>
      </c>
      <c r="C232" s="357">
        <v>0.1</v>
      </c>
      <c r="D232" s="1087" t="s">
        <v>2238</v>
      </c>
      <c r="E232" s="358">
        <v>950000</v>
      </c>
      <c r="F232" s="273">
        <v>0.05</v>
      </c>
      <c r="G232" s="359">
        <f t="shared" ref="G232:G233" si="5">E232*F232</f>
        <v>47500</v>
      </c>
      <c r="H232" s="322" t="s">
        <v>510</v>
      </c>
      <c r="I232" s="323" t="s">
        <v>133</v>
      </c>
      <c r="J232" s="632"/>
      <c r="K232" s="522"/>
      <c r="L232" s="1748"/>
      <c r="M232" s="1748"/>
      <c r="N232" s="1748"/>
      <c r="O232" s="363"/>
    </row>
    <row r="233" spans="1:16">
      <c r="A233" s="3021"/>
      <c r="B233" s="306">
        <v>10925</v>
      </c>
      <c r="C233" s="357">
        <v>0.1</v>
      </c>
      <c r="D233" s="576" t="s">
        <v>2239</v>
      </c>
      <c r="E233" s="360">
        <v>800000</v>
      </c>
      <c r="F233" s="361">
        <v>0.1</v>
      </c>
      <c r="G233" s="359">
        <f t="shared" si="5"/>
        <v>80000</v>
      </c>
      <c r="H233" s="329" t="s">
        <v>2114</v>
      </c>
      <c r="I233" s="323" t="s">
        <v>133</v>
      </c>
      <c r="J233" s="327"/>
      <c r="K233" s="317"/>
      <c r="L233" s="290"/>
      <c r="M233" s="309"/>
      <c r="N233" s="312"/>
      <c r="O233" s="647"/>
    </row>
    <row r="234" spans="1:16">
      <c r="A234" s="3021"/>
      <c r="B234" s="501"/>
      <c r="C234" s="502"/>
      <c r="D234" s="1031"/>
      <c r="E234" s="504"/>
      <c r="F234" s="312"/>
      <c r="G234" s="505"/>
      <c r="H234" s="363"/>
      <c r="I234" s="308"/>
      <c r="J234" s="327"/>
      <c r="K234" s="476"/>
      <c r="L234" s="290"/>
      <c r="M234" s="290"/>
      <c r="N234" s="290"/>
      <c r="O234" s="648"/>
    </row>
    <row r="235" spans="1:16">
      <c r="A235" s="3021"/>
      <c r="B235" s="437"/>
      <c r="C235" s="507"/>
      <c r="D235" s="1089" t="s">
        <v>1833</v>
      </c>
      <c r="E235" s="475">
        <f>E231+E232+E233</f>
        <v>2450000</v>
      </c>
      <c r="F235" s="506"/>
      <c r="G235" s="475">
        <f>G231+G232+G233</f>
        <v>169500</v>
      </c>
      <c r="H235" s="891"/>
      <c r="I235" s="506"/>
      <c r="J235" s="334"/>
      <c r="K235" s="460"/>
      <c r="L235" s="11"/>
      <c r="M235" s="11"/>
      <c r="N235" s="11"/>
      <c r="O235" s="645">
        <f>SUM(O230:O233)</f>
        <v>51500</v>
      </c>
    </row>
    <row r="236" spans="1:16" ht="15.6">
      <c r="A236" s="3021"/>
      <c r="B236" s="452"/>
      <c r="C236" s="452"/>
      <c r="D236" s="1119"/>
      <c r="E236" s="644"/>
      <c r="F236" s="450"/>
      <c r="G236" s="481"/>
      <c r="H236" s="450"/>
      <c r="I236" s="450"/>
      <c r="J236" s="482"/>
      <c r="K236" s="453"/>
      <c r="L236" s="3022" t="s">
        <v>1859</v>
      </c>
      <c r="M236" s="3022"/>
      <c r="N236" s="3022"/>
      <c r="O236" s="646">
        <f>O235+G235</f>
        <v>221000</v>
      </c>
      <c r="P236" s="650" t="s">
        <v>2240</v>
      </c>
    </row>
    <row r="237" spans="1:16" ht="15.6">
      <c r="A237" s="2178"/>
      <c r="B237" s="456"/>
      <c r="C237" s="456"/>
      <c r="D237" s="1091"/>
      <c r="E237" s="458"/>
      <c r="F237" s="456"/>
      <c r="G237" s="459"/>
      <c r="H237" s="456"/>
      <c r="I237" s="456"/>
      <c r="J237" s="457"/>
      <c r="K237" s="460"/>
      <c r="L237" s="461"/>
      <c r="M237" s="461"/>
      <c r="N237" s="461"/>
      <c r="O237" s="455"/>
    </row>
    <row r="238" spans="1:16" ht="15.6">
      <c r="A238" s="2179"/>
      <c r="B238" s="462"/>
      <c r="C238" s="462"/>
      <c r="D238" s="1092"/>
      <c r="E238" s="464"/>
      <c r="F238" s="462"/>
      <c r="G238" s="465"/>
      <c r="H238" s="462"/>
      <c r="I238" s="462"/>
      <c r="J238" s="463"/>
      <c r="K238" s="440"/>
      <c r="L238" s="441"/>
      <c r="M238" s="441"/>
      <c r="N238" s="441"/>
      <c r="O238" s="466"/>
    </row>
    <row r="239" spans="1:16" ht="21">
      <c r="A239" s="3023" t="s">
        <v>2241</v>
      </c>
      <c r="B239" s="3023"/>
      <c r="C239" s="3023"/>
      <c r="D239" s="3023"/>
      <c r="E239" s="3023"/>
      <c r="F239" s="3023"/>
      <c r="G239" s="3023"/>
      <c r="H239" s="3023"/>
      <c r="I239" s="3023"/>
      <c r="J239" s="3023"/>
      <c r="K239" s="3012" t="s">
        <v>1805</v>
      </c>
      <c r="L239" s="3012"/>
      <c r="M239" s="3012"/>
      <c r="N239" s="3012"/>
      <c r="O239" s="534"/>
    </row>
    <row r="240" spans="1:16">
      <c r="A240" s="3003" t="s">
        <v>2242</v>
      </c>
      <c r="B240" s="295" t="s">
        <v>1807</v>
      </c>
      <c r="C240" s="295" t="s">
        <v>1837</v>
      </c>
      <c r="D240" s="1120" t="s">
        <v>1809</v>
      </c>
      <c r="E240" s="527" t="s">
        <v>1810</v>
      </c>
      <c r="F240" s="295" t="s">
        <v>1811</v>
      </c>
      <c r="G240" s="528" t="s">
        <v>1812</v>
      </c>
      <c r="H240" s="295" t="s">
        <v>1813</v>
      </c>
      <c r="I240" s="295" t="s">
        <v>2117</v>
      </c>
      <c r="J240" s="295" t="s">
        <v>1815</v>
      </c>
      <c r="K240" s="295" t="s">
        <v>1807</v>
      </c>
      <c r="L240" s="295" t="s">
        <v>1809</v>
      </c>
      <c r="M240" s="295" t="s">
        <v>1816</v>
      </c>
      <c r="N240" s="295" t="s">
        <v>1811</v>
      </c>
      <c r="O240" s="286" t="s">
        <v>1817</v>
      </c>
    </row>
    <row r="241" spans="1:16">
      <c r="A241" s="3003"/>
      <c r="B241" s="433">
        <v>10854</v>
      </c>
      <c r="C241" s="302">
        <v>0.1</v>
      </c>
      <c r="D241" s="573" t="s">
        <v>2243</v>
      </c>
      <c r="E241" s="511">
        <v>1000000</v>
      </c>
      <c r="F241" s="302">
        <v>0.04</v>
      </c>
      <c r="G241" s="588">
        <f>E241*F241</f>
        <v>40000</v>
      </c>
      <c r="H241" s="433" t="s">
        <v>732</v>
      </c>
      <c r="I241" s="433" t="s">
        <v>2225</v>
      </c>
      <c r="J241" s="1748"/>
      <c r="K241" s="433">
        <v>10883</v>
      </c>
      <c r="L241" s="602" t="s">
        <v>2244</v>
      </c>
      <c r="M241" s="655">
        <v>950000</v>
      </c>
      <c r="N241" s="302">
        <v>0.04</v>
      </c>
      <c r="O241" s="654">
        <f>M241*N241</f>
        <v>38000</v>
      </c>
    </row>
    <row r="242" spans="1:16">
      <c r="A242" s="3003"/>
      <c r="B242" s="433">
        <v>10912</v>
      </c>
      <c r="C242" s="302">
        <v>0.1</v>
      </c>
      <c r="D242" s="573" t="s">
        <v>2245</v>
      </c>
      <c r="E242" s="420">
        <v>1350000</v>
      </c>
      <c r="F242" s="302">
        <v>0.04</v>
      </c>
      <c r="G242" s="588">
        <f t="shared" ref="G242:G243" si="6">E242*F242</f>
        <v>54000</v>
      </c>
      <c r="H242" s="853" t="s">
        <v>732</v>
      </c>
      <c r="I242" s="298" t="s">
        <v>2225</v>
      </c>
      <c r="J242" s="1748"/>
      <c r="K242" s="1748"/>
      <c r="L242" s="1748"/>
      <c r="M242" s="1748"/>
      <c r="N242" s="1748"/>
      <c r="O242" s="299"/>
    </row>
    <row r="243" spans="1:16">
      <c r="A243" s="3003"/>
      <c r="B243" s="298">
        <v>10926</v>
      </c>
      <c r="C243" s="302">
        <v>0.1</v>
      </c>
      <c r="D243" s="574" t="s">
        <v>2246</v>
      </c>
      <c r="E243" s="611">
        <v>960000</v>
      </c>
      <c r="F243" s="302">
        <v>0.04</v>
      </c>
      <c r="G243" s="588">
        <f t="shared" si="6"/>
        <v>38400</v>
      </c>
      <c r="H243" s="330" t="s">
        <v>732</v>
      </c>
      <c r="I243" s="330" t="s">
        <v>2225</v>
      </c>
      <c r="J243" s="333"/>
      <c r="K243" s="308"/>
      <c r="L243" s="290"/>
      <c r="M243" s="309"/>
      <c r="N243" s="368"/>
      <c r="O243" s="299"/>
    </row>
    <row r="244" spans="1:16">
      <c r="A244" s="3003"/>
      <c r="B244" s="506"/>
      <c r="C244" s="270"/>
      <c r="D244" s="1121"/>
      <c r="E244" s="270"/>
      <c r="F244" s="270"/>
      <c r="G244" s="270"/>
      <c r="H244" s="1007"/>
      <c r="I244" s="1007"/>
      <c r="J244" s="270"/>
      <c r="K244" s="270"/>
      <c r="L244" s="434"/>
      <c r="M244" s="434"/>
      <c r="N244" s="434"/>
      <c r="O244" s="486">
        <f>O241</f>
        <v>38000</v>
      </c>
    </row>
    <row r="245" spans="1:16">
      <c r="A245" s="3003"/>
      <c r="B245" s="506"/>
      <c r="C245" s="529"/>
      <c r="D245" s="1122" t="s">
        <v>1833</v>
      </c>
      <c r="E245" s="530">
        <f>SUM(E241:E244)</f>
        <v>3310000</v>
      </c>
      <c r="F245" s="531"/>
      <c r="G245" s="532">
        <f>G241+G242+G243</f>
        <v>132400</v>
      </c>
      <c r="H245" s="506"/>
      <c r="I245" s="308"/>
      <c r="J245" s="279"/>
      <c r="L245" s="11"/>
      <c r="M245" s="11"/>
      <c r="N245" s="11"/>
      <c r="O245" s="11"/>
    </row>
    <row r="246" spans="1:16" ht="15.6">
      <c r="A246" s="3003"/>
      <c r="B246" s="308"/>
      <c r="C246" s="308"/>
      <c r="D246" s="483"/>
      <c r="E246" s="484">
        <f>G245+O244</f>
        <v>170400</v>
      </c>
      <c r="F246" s="471"/>
      <c r="G246" s="309"/>
      <c r="H246" s="471"/>
      <c r="I246" s="308"/>
      <c r="J246" s="327"/>
      <c r="K246" s="290"/>
      <c r="L246" s="525"/>
      <c r="M246" s="525"/>
      <c r="N246" s="525"/>
      <c r="O246" s="653"/>
    </row>
    <row r="247" spans="1:16">
      <c r="A247" s="2194"/>
      <c r="B247" s="308"/>
      <c r="C247" s="308"/>
      <c r="D247" s="1123"/>
      <c r="E247" s="533"/>
      <c r="F247" s="471"/>
      <c r="G247" s="309"/>
      <c r="H247" s="471"/>
      <c r="I247" s="308"/>
      <c r="J247" s="327"/>
      <c r="K247" s="3018" t="s">
        <v>2121</v>
      </c>
      <c r="L247" s="3018"/>
      <c r="M247" s="3018"/>
      <c r="N247" s="652"/>
      <c r="O247" s="651">
        <f>O244+G245</f>
        <v>170400</v>
      </c>
      <c r="P247" s="550" t="s">
        <v>2240</v>
      </c>
    </row>
    <row r="248" spans="1:16">
      <c r="A248" s="2180"/>
      <c r="B248" s="373"/>
      <c r="C248" s="373"/>
      <c r="D248" s="1096"/>
      <c r="E248" s="374"/>
      <c r="F248" s="375"/>
      <c r="G248" s="376"/>
      <c r="H248" s="375"/>
      <c r="I248" s="373"/>
      <c r="J248" s="369"/>
      <c r="K248" s="370"/>
      <c r="L248" s="371"/>
      <c r="M248" s="371"/>
      <c r="N248" s="371"/>
      <c r="O248" s="372"/>
    </row>
    <row r="249" spans="1:16" ht="3.75" customHeight="1">
      <c r="A249" s="2180"/>
      <c r="B249" s="373"/>
      <c r="C249" s="373"/>
      <c r="D249" s="1096"/>
      <c r="E249" s="374"/>
      <c r="F249" s="375"/>
      <c r="G249" s="376"/>
      <c r="H249" s="375"/>
      <c r="I249" s="373"/>
      <c r="J249" s="369"/>
      <c r="K249" s="370"/>
      <c r="L249" s="371"/>
      <c r="M249" s="371"/>
      <c r="N249" s="371"/>
      <c r="O249" s="372"/>
    </row>
    <row r="250" spans="1:16">
      <c r="A250" s="261"/>
      <c r="E250" s="91"/>
      <c r="G250" s="92"/>
      <c r="H250" s="1001"/>
    </row>
    <row r="251" spans="1:16">
      <c r="A251" s="3019" t="s">
        <v>2247</v>
      </c>
      <c r="B251" s="3019"/>
      <c r="C251" s="3019"/>
      <c r="D251" s="3019"/>
      <c r="E251" s="3019"/>
      <c r="F251" s="3019"/>
      <c r="G251" s="3019"/>
      <c r="H251" s="3019"/>
    </row>
    <row r="252" spans="1:16">
      <c r="A252" s="3019"/>
      <c r="B252" s="3019"/>
      <c r="C252" s="3019"/>
      <c r="D252" s="3019"/>
      <c r="E252" s="3019"/>
      <c r="F252" s="3019"/>
      <c r="G252" s="3019"/>
      <c r="H252" s="3019"/>
    </row>
    <row r="253" spans="1:16" ht="20.45">
      <c r="A253" s="263" t="s">
        <v>2011</v>
      </c>
      <c r="B253" s="396" t="s">
        <v>1808</v>
      </c>
      <c r="C253" s="176" t="s">
        <v>2012</v>
      </c>
      <c r="D253" s="1100" t="s">
        <v>2123</v>
      </c>
      <c r="E253" s="397" t="s">
        <v>2013</v>
      </c>
      <c r="F253" s="398" t="s">
        <v>1811</v>
      </c>
      <c r="G253" s="399" t="s">
        <v>1817</v>
      </c>
      <c r="H253" s="400"/>
    </row>
    <row r="254" spans="1:16">
      <c r="A254" s="2195"/>
      <c r="B254" s="610"/>
      <c r="C254" s="609" t="s">
        <v>2248</v>
      </c>
      <c r="D254" s="1124" t="s">
        <v>2249</v>
      </c>
      <c r="E254" s="294"/>
      <c r="F254" s="585"/>
      <c r="G254" s="586"/>
      <c r="H254" s="347" t="s">
        <v>2114</v>
      </c>
      <c r="I254" s="1035"/>
      <c r="J254" s="163"/>
      <c r="K254" s="163"/>
      <c r="L254" s="163"/>
      <c r="M254" s="163"/>
      <c r="N254" s="163"/>
      <c r="O254" s="163"/>
    </row>
    <row r="255" spans="1:16">
      <c r="A255" s="2181"/>
      <c r="B255" s="401"/>
      <c r="C255" s="350" t="s">
        <v>2250</v>
      </c>
      <c r="D255" s="409" t="s">
        <v>2251</v>
      </c>
      <c r="E255" s="593"/>
      <c r="F255" s="403"/>
      <c r="G255" s="404"/>
      <c r="H255" s="592"/>
      <c r="I255" s="1035"/>
      <c r="J255" s="163"/>
      <c r="K255" s="163"/>
      <c r="L255" s="163"/>
      <c r="M255" s="163"/>
      <c r="N255" s="163"/>
      <c r="O255" s="163"/>
    </row>
    <row r="256" spans="1:16">
      <c r="A256" s="2160">
        <v>10843</v>
      </c>
      <c r="B256" s="302">
        <v>0.1</v>
      </c>
      <c r="C256" s="274" t="s">
        <v>2252</v>
      </c>
      <c r="D256" s="576" t="s">
        <v>2111</v>
      </c>
      <c r="E256" s="367">
        <v>700000</v>
      </c>
      <c r="F256" s="273">
        <v>0.02</v>
      </c>
      <c r="G256" s="405">
        <f>E256*F256</f>
        <v>14000</v>
      </c>
      <c r="H256" s="298" t="s">
        <v>2114</v>
      </c>
      <c r="I256" s="1036" t="s">
        <v>2124</v>
      </c>
      <c r="J256" s="163"/>
      <c r="K256" s="163"/>
      <c r="L256" s="163"/>
      <c r="M256" s="163"/>
      <c r="N256" s="163"/>
      <c r="O256" s="163"/>
    </row>
    <row r="257" spans="1:15">
      <c r="A257" s="2160">
        <v>10854</v>
      </c>
      <c r="B257" s="302">
        <v>0.1</v>
      </c>
      <c r="C257" s="274" t="s">
        <v>2253</v>
      </c>
      <c r="D257" s="576" t="s">
        <v>2111</v>
      </c>
      <c r="E257" s="380">
        <v>1000000</v>
      </c>
      <c r="F257" s="273">
        <v>0.02</v>
      </c>
      <c r="G257" s="405">
        <f>E257*F257</f>
        <v>20000</v>
      </c>
      <c r="H257" s="298" t="s">
        <v>510</v>
      </c>
      <c r="I257" s="1036" t="s">
        <v>2124</v>
      </c>
      <c r="J257" s="163"/>
      <c r="K257" s="163"/>
      <c r="L257" s="163"/>
      <c r="M257" s="163"/>
      <c r="N257" s="163"/>
      <c r="O257" s="163"/>
    </row>
    <row r="258" spans="1:15">
      <c r="A258" s="2160">
        <v>10870</v>
      </c>
      <c r="B258" s="302">
        <v>0.1</v>
      </c>
      <c r="C258" s="274" t="s">
        <v>2254</v>
      </c>
      <c r="D258" s="576" t="s">
        <v>2111</v>
      </c>
      <c r="E258" s="380">
        <v>1030000</v>
      </c>
      <c r="F258" s="273">
        <v>0.02</v>
      </c>
      <c r="G258" s="405">
        <f t="shared" ref="G258:G262" si="7">E258*F258</f>
        <v>20600</v>
      </c>
      <c r="H258" s="298" t="s">
        <v>2218</v>
      </c>
      <c r="I258" s="1036" t="s">
        <v>2124</v>
      </c>
    </row>
    <row r="259" spans="1:15">
      <c r="A259" s="2196">
        <v>10912</v>
      </c>
      <c r="B259" s="302">
        <v>0.1</v>
      </c>
      <c r="C259" s="342" t="s">
        <v>2255</v>
      </c>
      <c r="D259" s="573" t="s">
        <v>2111</v>
      </c>
      <c r="E259" s="606">
        <v>1350000</v>
      </c>
      <c r="F259" s="273">
        <v>0.02</v>
      </c>
      <c r="G259" s="405">
        <f t="shared" si="7"/>
        <v>27000</v>
      </c>
      <c r="H259" s="433" t="s">
        <v>510</v>
      </c>
      <c r="I259" s="1037" t="s">
        <v>2124</v>
      </c>
    </row>
    <row r="260" spans="1:15">
      <c r="A260" s="2160">
        <v>10926</v>
      </c>
      <c r="B260" s="302">
        <v>0.1</v>
      </c>
      <c r="C260" s="275" t="s">
        <v>2256</v>
      </c>
      <c r="D260" s="576" t="s">
        <v>2130</v>
      </c>
      <c r="E260" s="380">
        <v>960000</v>
      </c>
      <c r="F260" s="273">
        <v>0.02</v>
      </c>
      <c r="G260" s="405">
        <f t="shared" si="7"/>
        <v>19200</v>
      </c>
      <c r="H260" s="298" t="s">
        <v>510</v>
      </c>
      <c r="I260" s="1036" t="s">
        <v>2124</v>
      </c>
    </row>
    <row r="261" spans="1:15">
      <c r="A261" s="2160">
        <v>10891</v>
      </c>
      <c r="B261" s="302">
        <v>0.1</v>
      </c>
      <c r="C261" s="275" t="s">
        <v>2257</v>
      </c>
      <c r="D261" s="576" t="s">
        <v>2111</v>
      </c>
      <c r="E261" s="380">
        <v>1250000</v>
      </c>
      <c r="F261" s="273">
        <v>0.02</v>
      </c>
      <c r="G261" s="405">
        <f t="shared" si="7"/>
        <v>25000</v>
      </c>
      <c r="H261" s="298" t="s">
        <v>2218</v>
      </c>
      <c r="I261" s="1036" t="s">
        <v>2124</v>
      </c>
    </row>
    <row r="262" spans="1:15">
      <c r="A262" s="2160">
        <v>10987</v>
      </c>
      <c r="B262" s="302">
        <v>0.1</v>
      </c>
      <c r="C262" s="602" t="s">
        <v>2258</v>
      </c>
      <c r="D262" s="576" t="s">
        <v>2259</v>
      </c>
      <c r="E262" s="380">
        <v>1800000</v>
      </c>
      <c r="F262" s="273">
        <v>0.02</v>
      </c>
      <c r="G262" s="405">
        <f t="shared" si="7"/>
        <v>36000</v>
      </c>
      <c r="H262" s="298" t="s">
        <v>582</v>
      </c>
      <c r="I262" s="1036" t="s">
        <v>2124</v>
      </c>
    </row>
    <row r="263" spans="1:15">
      <c r="A263" s="2182"/>
      <c r="B263" s="600"/>
      <c r="C263" s="601"/>
      <c r="D263" s="1125"/>
      <c r="E263" s="566"/>
      <c r="F263" s="567"/>
      <c r="G263" s="406"/>
      <c r="H263" s="307"/>
    </row>
    <row r="264" spans="1:15">
      <c r="A264" s="2182"/>
      <c r="B264" s="438"/>
      <c r="C264" s="438"/>
      <c r="D264" s="1126" t="s">
        <v>2195</v>
      </c>
      <c r="E264" s="485">
        <f>E256+E257+E258+E259+E260+E261+E262</f>
        <v>8090000</v>
      </c>
      <c r="F264" s="438"/>
      <c r="G264" s="406">
        <v>161800</v>
      </c>
      <c r="H264" s="307"/>
    </row>
    <row r="265" spans="1:15" ht="18">
      <c r="A265" s="46"/>
      <c r="B265" s="11"/>
      <c r="C265" s="11"/>
      <c r="D265" s="1110" t="s">
        <v>2154</v>
      </c>
      <c r="E265" s="657">
        <f>G264</f>
        <v>161800</v>
      </c>
      <c r="F265" s="658" t="s">
        <v>2240</v>
      </c>
      <c r="G265" s="93"/>
      <c r="H265" s="50"/>
    </row>
    <row r="266" spans="1:15">
      <c r="A266" s="90"/>
      <c r="E266" s="91"/>
      <c r="G266" s="92"/>
      <c r="H266" s="1001"/>
    </row>
    <row r="267" spans="1:15">
      <c r="A267" s="90"/>
      <c r="E267" s="91"/>
      <c r="G267" s="92"/>
      <c r="H267" s="1001"/>
    </row>
    <row r="268" spans="1:15">
      <c r="A268" s="3016" t="s">
        <v>2260</v>
      </c>
      <c r="B268" s="3016"/>
      <c r="C268" s="3016"/>
      <c r="D268" s="3016"/>
      <c r="E268" s="3016"/>
      <c r="F268" s="3016"/>
      <c r="G268" s="3016"/>
      <c r="H268" s="3016"/>
    </row>
    <row r="269" spans="1:15">
      <c r="A269" s="3016"/>
      <c r="B269" s="3016"/>
      <c r="C269" s="3016"/>
      <c r="D269" s="3016"/>
      <c r="E269" s="3016"/>
      <c r="F269" s="3016"/>
      <c r="G269" s="3016"/>
      <c r="H269" s="3016"/>
    </row>
    <row r="270" spans="1:15" ht="20.45">
      <c r="A270" s="263" t="s">
        <v>2011</v>
      </c>
      <c r="B270" s="396" t="s">
        <v>1808</v>
      </c>
      <c r="C270" s="176" t="s">
        <v>2012</v>
      </c>
      <c r="D270" s="1100" t="s">
        <v>2123</v>
      </c>
      <c r="E270" s="397" t="s">
        <v>2013</v>
      </c>
      <c r="F270" s="398" t="s">
        <v>1811</v>
      </c>
      <c r="G270" s="399" t="s">
        <v>1817</v>
      </c>
      <c r="H270" s="400"/>
    </row>
    <row r="271" spans="1:15">
      <c r="A271" s="332">
        <v>10828</v>
      </c>
      <c r="B271" s="362">
        <v>0.1</v>
      </c>
      <c r="C271" s="574" t="s">
        <v>2261</v>
      </c>
      <c r="D271" s="573" t="s">
        <v>2130</v>
      </c>
      <c r="E271" s="575">
        <v>1600000</v>
      </c>
      <c r="F271" s="302">
        <v>0.02</v>
      </c>
      <c r="G271" s="633">
        <f>E271*F271</f>
        <v>32000</v>
      </c>
      <c r="H271" s="1014" t="s">
        <v>2218</v>
      </c>
      <c r="I271" s="298" t="s">
        <v>1971</v>
      </c>
    </row>
    <row r="272" spans="1:15">
      <c r="A272" s="332">
        <v>10866</v>
      </c>
      <c r="B272" s="635">
        <v>0.08</v>
      </c>
      <c r="C272" s="274" t="s">
        <v>408</v>
      </c>
      <c r="D272" s="576" t="s">
        <v>2262</v>
      </c>
      <c r="E272" s="599">
        <v>1500000</v>
      </c>
      <c r="F272" s="635">
        <v>0.01</v>
      </c>
      <c r="G272" s="633">
        <f t="shared" ref="G272:G275" si="8">E272*F272</f>
        <v>15000</v>
      </c>
      <c r="H272" s="298" t="s">
        <v>2218</v>
      </c>
      <c r="I272" s="298" t="s">
        <v>2124</v>
      </c>
    </row>
    <row r="273" spans="1:15">
      <c r="A273" s="332">
        <v>10883</v>
      </c>
      <c r="B273" s="273">
        <v>0.1</v>
      </c>
      <c r="C273" s="274" t="s">
        <v>310</v>
      </c>
      <c r="D273" s="576" t="s">
        <v>2111</v>
      </c>
      <c r="E273" s="603">
        <v>950000</v>
      </c>
      <c r="F273" s="302">
        <v>0.02</v>
      </c>
      <c r="G273" s="633">
        <f t="shared" si="8"/>
        <v>19000</v>
      </c>
      <c r="H273" s="298" t="s">
        <v>2114</v>
      </c>
      <c r="I273" s="298" t="s">
        <v>2124</v>
      </c>
    </row>
    <row r="274" spans="1:15">
      <c r="A274" s="332">
        <v>10925</v>
      </c>
      <c r="B274" s="273">
        <v>0.1</v>
      </c>
      <c r="C274" s="275" t="s">
        <v>2263</v>
      </c>
      <c r="D274" s="1127" t="s">
        <v>2262</v>
      </c>
      <c r="E274" s="599">
        <v>800000</v>
      </c>
      <c r="F274" s="302">
        <v>0.02</v>
      </c>
      <c r="G274" s="633">
        <f t="shared" si="8"/>
        <v>16000</v>
      </c>
      <c r="H274" s="298" t="s">
        <v>2114</v>
      </c>
      <c r="I274" s="298" t="s">
        <v>2124</v>
      </c>
    </row>
    <row r="275" spans="1:15">
      <c r="A275" s="332">
        <v>10968</v>
      </c>
      <c r="B275" s="302">
        <v>0.1</v>
      </c>
      <c r="C275" s="275" t="s">
        <v>2264</v>
      </c>
      <c r="D275" s="576" t="s">
        <v>2111</v>
      </c>
      <c r="E275" s="634">
        <v>1150000</v>
      </c>
      <c r="F275" s="302">
        <v>0.02</v>
      </c>
      <c r="G275" s="633">
        <f t="shared" si="8"/>
        <v>23000</v>
      </c>
      <c r="H275" s="298" t="s">
        <v>2265</v>
      </c>
      <c r="I275" s="298" t="s">
        <v>2124</v>
      </c>
    </row>
    <row r="276" spans="1:15">
      <c r="A276" s="2182"/>
      <c r="B276" s="488"/>
      <c r="C276" s="438"/>
      <c r="D276" s="1103"/>
      <c r="E276" s="485"/>
      <c r="F276" s="438"/>
      <c r="G276" s="486"/>
      <c r="H276" s="307"/>
      <c r="I276" s="339"/>
    </row>
    <row r="277" spans="1:15">
      <c r="A277" s="2182"/>
      <c r="B277" s="488"/>
      <c r="C277" s="438"/>
      <c r="D277" s="1103" t="s">
        <v>2195</v>
      </c>
      <c r="E277" s="485">
        <f>E271+E272+E273+E274+E275</f>
        <v>6000000</v>
      </c>
      <c r="F277" s="438"/>
      <c r="G277" s="486">
        <f>G271+G272+G273+G274+G275</f>
        <v>105000</v>
      </c>
      <c r="H277" s="307"/>
      <c r="I277" s="339"/>
    </row>
    <row r="278" spans="1:15" ht="15.6">
      <c r="A278" s="46"/>
      <c r="B278" s="11"/>
      <c r="C278" s="11"/>
      <c r="D278" s="1110" t="s">
        <v>2154</v>
      </c>
      <c r="E278" s="487">
        <f>G277</f>
        <v>105000</v>
      </c>
      <c r="F278" s="11"/>
      <c r="G278" s="93"/>
      <c r="H278" s="50"/>
      <c r="I278" s="2"/>
    </row>
    <row r="279" spans="1:15">
      <c r="E279" s="589"/>
    </row>
    <row r="280" spans="1:15">
      <c r="A280" s="3017" t="s">
        <v>2266</v>
      </c>
      <c r="B280" s="3017"/>
      <c r="C280" s="3017"/>
      <c r="D280" s="3017"/>
      <c r="E280" s="3017"/>
      <c r="F280" s="3017"/>
      <c r="G280" s="3017"/>
      <c r="H280" s="3017"/>
      <c r="I280" s="2"/>
    </row>
    <row r="281" spans="1:15">
      <c r="A281" s="3017"/>
      <c r="B281" s="3017"/>
      <c r="C281" s="3017"/>
      <c r="D281" s="3017"/>
      <c r="E281" s="3017"/>
      <c r="F281" s="3017"/>
      <c r="G281" s="3017"/>
      <c r="H281" s="3017"/>
      <c r="I281" s="2"/>
    </row>
    <row r="282" spans="1:15" ht="20.45">
      <c r="A282" s="257" t="s">
        <v>2011</v>
      </c>
      <c r="B282" s="33" t="s">
        <v>1808</v>
      </c>
      <c r="C282" s="33" t="s">
        <v>2012</v>
      </c>
      <c r="D282" s="1066" t="s">
        <v>2123</v>
      </c>
      <c r="E282" s="63" t="s">
        <v>2013</v>
      </c>
      <c r="F282" s="118" t="s">
        <v>1811</v>
      </c>
      <c r="G282" s="88" t="s">
        <v>1817</v>
      </c>
      <c r="H282" s="258" t="s">
        <v>2213</v>
      </c>
      <c r="I282" s="2"/>
    </row>
    <row r="283" spans="1:15">
      <c r="A283" s="2197">
        <v>10828</v>
      </c>
      <c r="B283" s="418">
        <v>0.1</v>
      </c>
      <c r="C283" s="342" t="s">
        <v>2267</v>
      </c>
      <c r="D283" s="573" t="s">
        <v>2130</v>
      </c>
      <c r="E283" s="419">
        <v>1600000</v>
      </c>
      <c r="F283" s="415">
        <v>0.02</v>
      </c>
      <c r="G283" s="492">
        <f>E283*F283</f>
        <v>32000</v>
      </c>
      <c r="H283" s="1011" t="s">
        <v>2218</v>
      </c>
      <c r="I283" s="298" t="s">
        <v>1971</v>
      </c>
      <c r="J283" s="163"/>
      <c r="K283" s="163"/>
      <c r="L283" s="163"/>
      <c r="M283" s="163"/>
      <c r="N283" s="163"/>
      <c r="O283" s="163"/>
    </row>
    <row r="284" spans="1:15">
      <c r="A284" s="639">
        <v>10843</v>
      </c>
      <c r="B284" s="421">
        <v>0.1</v>
      </c>
      <c r="C284" s="342" t="s">
        <v>2252</v>
      </c>
      <c r="D284" s="573" t="s">
        <v>2111</v>
      </c>
      <c r="E284" s="419">
        <v>700000</v>
      </c>
      <c r="F284" s="415">
        <v>0.02</v>
      </c>
      <c r="G284" s="492">
        <f t="shared" ref="G284:G294" si="9">E284*F284</f>
        <v>14000</v>
      </c>
      <c r="H284" s="1011" t="s">
        <v>2114</v>
      </c>
      <c r="I284" s="298" t="s">
        <v>2124</v>
      </c>
      <c r="J284" s="163"/>
      <c r="K284" s="163"/>
      <c r="L284" s="163"/>
      <c r="M284" s="163"/>
      <c r="N284" s="163"/>
      <c r="O284" s="163"/>
    </row>
    <row r="285" spans="1:15">
      <c r="A285" s="555">
        <v>10854</v>
      </c>
      <c r="B285" s="273">
        <v>0.1</v>
      </c>
      <c r="C285" s="414" t="s">
        <v>2253</v>
      </c>
      <c r="D285" s="573" t="s">
        <v>2111</v>
      </c>
      <c r="E285" s="275">
        <v>1000000</v>
      </c>
      <c r="F285" s="415">
        <v>0.02</v>
      </c>
      <c r="G285" s="492">
        <f t="shared" si="9"/>
        <v>20000</v>
      </c>
      <c r="H285" s="1011" t="s">
        <v>510</v>
      </c>
      <c r="I285" s="298" t="s">
        <v>2124</v>
      </c>
    </row>
    <row r="286" spans="1:15">
      <c r="A286" s="555">
        <v>10866</v>
      </c>
      <c r="B286" s="548">
        <v>0.08</v>
      </c>
      <c r="C286" s="274" t="s">
        <v>2268</v>
      </c>
      <c r="D286" s="1104" t="s">
        <v>2111</v>
      </c>
      <c r="E286" s="275">
        <v>1500000</v>
      </c>
      <c r="F286" s="548">
        <v>0.01</v>
      </c>
      <c r="G286" s="492">
        <f t="shared" si="9"/>
        <v>15000</v>
      </c>
      <c r="H286" s="1011" t="s">
        <v>2218</v>
      </c>
      <c r="I286" s="298" t="s">
        <v>2124</v>
      </c>
    </row>
    <row r="287" spans="1:15">
      <c r="A287" s="557">
        <v>10870</v>
      </c>
      <c r="B287" s="415">
        <v>0.1</v>
      </c>
      <c r="C287" s="431" t="s">
        <v>2254</v>
      </c>
      <c r="D287" s="1104" t="s">
        <v>2111</v>
      </c>
      <c r="E287" s="275">
        <v>1030000</v>
      </c>
      <c r="F287" s="415">
        <v>0.02</v>
      </c>
      <c r="G287" s="492">
        <f t="shared" si="9"/>
        <v>20600</v>
      </c>
      <c r="H287" s="1011" t="s">
        <v>2218</v>
      </c>
      <c r="I287" s="298" t="s">
        <v>2124</v>
      </c>
    </row>
    <row r="288" spans="1:15">
      <c r="A288" s="2198">
        <v>10891</v>
      </c>
      <c r="B288" s="413">
        <v>0.1</v>
      </c>
      <c r="C288" s="341" t="s">
        <v>2257</v>
      </c>
      <c r="D288" s="573" t="s">
        <v>2111</v>
      </c>
      <c r="E288" s="275">
        <v>1250000</v>
      </c>
      <c r="F288" s="415">
        <v>0.02</v>
      </c>
      <c r="G288" s="492">
        <f t="shared" si="9"/>
        <v>25000</v>
      </c>
      <c r="H288" s="1011" t="s">
        <v>2218</v>
      </c>
      <c r="I288" s="298" t="s">
        <v>2124</v>
      </c>
    </row>
    <row r="289" spans="1:9">
      <c r="A289" s="2198">
        <v>10883</v>
      </c>
      <c r="B289" s="413">
        <v>0.1</v>
      </c>
      <c r="C289" s="602" t="s">
        <v>310</v>
      </c>
      <c r="D289" s="573" t="s">
        <v>2111</v>
      </c>
      <c r="E289" s="275">
        <v>950000</v>
      </c>
      <c r="F289" s="415">
        <v>0.02</v>
      </c>
      <c r="G289" s="492">
        <f t="shared" si="9"/>
        <v>19000</v>
      </c>
      <c r="H289" s="1011" t="s">
        <v>2114</v>
      </c>
      <c r="I289" s="298" t="s">
        <v>2124</v>
      </c>
    </row>
    <row r="290" spans="1:9">
      <c r="A290" s="2199">
        <v>10912</v>
      </c>
      <c r="B290" s="273">
        <v>0.1</v>
      </c>
      <c r="C290" s="414" t="s">
        <v>2269</v>
      </c>
      <c r="D290" s="573" t="s">
        <v>2111</v>
      </c>
      <c r="E290" s="275">
        <v>1350000</v>
      </c>
      <c r="F290" s="415">
        <v>0.02</v>
      </c>
      <c r="G290" s="492">
        <f t="shared" si="9"/>
        <v>27000</v>
      </c>
      <c r="H290" s="1011" t="s">
        <v>510</v>
      </c>
      <c r="I290" s="298" t="s">
        <v>2124</v>
      </c>
    </row>
    <row r="291" spans="1:9">
      <c r="A291" s="555">
        <v>10926</v>
      </c>
      <c r="B291" s="415">
        <v>0.1</v>
      </c>
      <c r="C291" s="615" t="s">
        <v>2270</v>
      </c>
      <c r="D291" s="1104" t="s">
        <v>2111</v>
      </c>
      <c r="E291" s="275">
        <v>960000</v>
      </c>
      <c r="F291" s="415">
        <v>0.02</v>
      </c>
      <c r="G291" s="492">
        <f t="shared" si="9"/>
        <v>19200</v>
      </c>
      <c r="H291" s="1011" t="s">
        <v>510</v>
      </c>
      <c r="I291" s="298" t="s">
        <v>2124</v>
      </c>
    </row>
    <row r="292" spans="1:9">
      <c r="A292" s="555">
        <v>10925</v>
      </c>
      <c r="B292" s="415">
        <v>0.1</v>
      </c>
      <c r="C292" s="431" t="s">
        <v>270</v>
      </c>
      <c r="D292" s="1104" t="s">
        <v>2111</v>
      </c>
      <c r="E292" s="275">
        <v>800000</v>
      </c>
      <c r="F292" s="415">
        <v>0.02</v>
      </c>
      <c r="G292" s="492">
        <f t="shared" si="9"/>
        <v>16000</v>
      </c>
      <c r="H292" s="1011" t="s">
        <v>2114</v>
      </c>
      <c r="I292" s="298" t="s">
        <v>2124</v>
      </c>
    </row>
    <row r="293" spans="1:9">
      <c r="A293" s="557">
        <v>10968</v>
      </c>
      <c r="B293" s="416">
        <v>0.1</v>
      </c>
      <c r="C293" s="417" t="s">
        <v>2264</v>
      </c>
      <c r="D293" s="777" t="s">
        <v>2111</v>
      </c>
      <c r="E293" s="278">
        <v>1150000</v>
      </c>
      <c r="F293" s="415">
        <v>0.02</v>
      </c>
      <c r="G293" s="492">
        <f t="shared" si="9"/>
        <v>23000</v>
      </c>
      <c r="H293" s="712" t="s">
        <v>582</v>
      </c>
      <c r="I293" s="306" t="s">
        <v>2124</v>
      </c>
    </row>
    <row r="294" spans="1:9">
      <c r="A294" s="555">
        <v>10987</v>
      </c>
      <c r="B294" s="273">
        <v>0.1</v>
      </c>
      <c r="C294" s="274" t="s">
        <v>2258</v>
      </c>
      <c r="D294" s="573" t="s">
        <v>2259</v>
      </c>
      <c r="E294" s="275">
        <v>1800000</v>
      </c>
      <c r="F294" s="415">
        <v>0.02</v>
      </c>
      <c r="G294" s="492">
        <f t="shared" si="9"/>
        <v>36000</v>
      </c>
      <c r="H294" s="298" t="s">
        <v>2218</v>
      </c>
      <c r="I294" s="298" t="s">
        <v>2124</v>
      </c>
    </row>
    <row r="295" spans="1:9">
      <c r="A295" s="2192"/>
      <c r="B295" s="512"/>
      <c r="C295" s="519"/>
      <c r="D295" s="1073"/>
      <c r="E295" s="513"/>
      <c r="F295" s="490"/>
      <c r="G295" s="490"/>
      <c r="H295" s="1013"/>
      <c r="I295" s="260"/>
    </row>
    <row r="296" spans="1:9">
      <c r="A296" s="2192"/>
      <c r="B296" s="11"/>
      <c r="C296" s="11"/>
      <c r="D296" s="1109" t="s">
        <v>2271</v>
      </c>
      <c r="E296" s="489">
        <f>SUM(E283:E295)</f>
        <v>14090000</v>
      </c>
      <c r="F296" s="490"/>
      <c r="G296" s="493">
        <f>SUM(G283:G294)</f>
        <v>266800</v>
      </c>
      <c r="H296" s="957"/>
      <c r="I296" s="260"/>
    </row>
    <row r="297" spans="1:9" ht="15.6">
      <c r="A297" s="257"/>
      <c r="B297" s="171"/>
      <c r="C297" s="171"/>
      <c r="D297" s="1128" t="s">
        <v>2272</v>
      </c>
      <c r="E297" s="659">
        <f>G296+G264</f>
        <v>428600</v>
      </c>
      <c r="F297" s="656" t="s">
        <v>2240</v>
      </c>
      <c r="G297" s="11"/>
      <c r="H297" s="2"/>
      <c r="I297" s="2"/>
    </row>
    <row r="300" spans="1:9">
      <c r="A300" s="2922" t="s">
        <v>1898</v>
      </c>
      <c r="B300" s="2922"/>
      <c r="C300" s="79"/>
      <c r="D300" s="1074">
        <v>14090000</v>
      </c>
    </row>
    <row r="301" spans="1:9">
      <c r="A301" s="2923" t="s">
        <v>1899</v>
      </c>
      <c r="B301" s="2923"/>
      <c r="C301" s="41"/>
      <c r="D301" s="1075"/>
    </row>
    <row r="302" spans="1:9">
      <c r="A302" s="2924" t="s">
        <v>1900</v>
      </c>
      <c r="B302" s="2924"/>
      <c r="C302" s="45"/>
      <c r="D302" s="1076"/>
    </row>
    <row r="303" spans="1:9">
      <c r="A303" s="2807" t="s">
        <v>1901</v>
      </c>
      <c r="B303" s="2807"/>
      <c r="C303" s="591"/>
      <c r="D303" s="1129"/>
    </row>
    <row r="304" spans="1:9">
      <c r="A304" s="2913" t="s">
        <v>1902</v>
      </c>
      <c r="B304" s="2913"/>
      <c r="C304" s="45"/>
      <c r="D304" s="1112">
        <v>1700000</v>
      </c>
    </row>
    <row r="305" spans="1:15">
      <c r="A305" s="2176"/>
      <c r="B305" s="43" t="s">
        <v>1904</v>
      </c>
      <c r="C305" s="43"/>
      <c r="D305" s="1130" t="s">
        <v>1968</v>
      </c>
    </row>
    <row r="311" spans="1:15" ht="46.15">
      <c r="A311" s="3013" t="s">
        <v>2273</v>
      </c>
      <c r="B311" s="3013"/>
      <c r="C311" s="3013"/>
      <c r="D311" s="3013"/>
      <c r="E311" s="3013"/>
      <c r="F311" s="3013"/>
      <c r="G311" s="3013"/>
      <c r="H311" s="3013"/>
      <c r="I311" s="3013"/>
      <c r="J311" s="3013"/>
      <c r="O311" s="1"/>
    </row>
    <row r="312" spans="1:15">
      <c r="O312" s="1"/>
    </row>
    <row r="313" spans="1:15" ht="21">
      <c r="A313" s="3014" t="s">
        <v>1804</v>
      </c>
      <c r="B313" s="3014"/>
      <c r="C313" s="3014"/>
      <c r="D313" s="3014"/>
      <c r="E313" s="3014"/>
      <c r="F313" s="3014"/>
      <c r="G313" s="3014"/>
      <c r="H313" s="3014"/>
      <c r="I313" s="3014"/>
      <c r="J313" s="3014"/>
      <c r="K313" s="2819" t="s">
        <v>1805</v>
      </c>
      <c r="L313" s="2819"/>
      <c r="M313" s="2819"/>
      <c r="N313" s="2819"/>
      <c r="O313" s="2"/>
    </row>
    <row r="314" spans="1:15">
      <c r="A314" s="2171" t="s">
        <v>1806</v>
      </c>
      <c r="B314" s="1634" t="s">
        <v>1807</v>
      </c>
      <c r="C314" s="1634" t="s">
        <v>1837</v>
      </c>
      <c r="D314" s="1056" t="s">
        <v>1809</v>
      </c>
      <c r="E314" s="4" t="s">
        <v>1810</v>
      </c>
      <c r="F314" s="3" t="s">
        <v>1811</v>
      </c>
      <c r="G314" s="5" t="s">
        <v>1812</v>
      </c>
      <c r="H314" s="3" t="s">
        <v>1813</v>
      </c>
      <c r="I314" s="3" t="s">
        <v>1814</v>
      </c>
      <c r="J314" s="3" t="s">
        <v>1815</v>
      </c>
      <c r="K314" s="6" t="s">
        <v>1807</v>
      </c>
      <c r="L314" s="6" t="s">
        <v>1809</v>
      </c>
      <c r="M314" s="6" t="s">
        <v>1816</v>
      </c>
      <c r="N314" s="7" t="s">
        <v>1811</v>
      </c>
      <c r="O314" s="2" t="s">
        <v>1817</v>
      </c>
    </row>
    <row r="315" spans="1:15">
      <c r="A315" s="2919" t="s">
        <v>2274</v>
      </c>
      <c r="B315" s="677"/>
      <c r="C315" s="292"/>
      <c r="D315" s="894" t="s">
        <v>2275</v>
      </c>
      <c r="E315" s="294"/>
      <c r="F315" s="336"/>
      <c r="G315" s="379"/>
      <c r="H315" s="592"/>
      <c r="I315" s="592"/>
      <c r="J315" s="595"/>
      <c r="K315" s="330">
        <v>11019</v>
      </c>
      <c r="L315" s="278" t="s">
        <v>2276</v>
      </c>
      <c r="M315" s="725">
        <v>1000000</v>
      </c>
      <c r="N315" s="273">
        <v>0.05</v>
      </c>
      <c r="O315" s="726">
        <f>M315*N315</f>
        <v>50000</v>
      </c>
    </row>
    <row r="316" spans="1:15">
      <c r="A316" s="2919"/>
      <c r="B316" s="677"/>
      <c r="C316" s="292"/>
      <c r="D316" s="1131" t="s">
        <v>2277</v>
      </c>
      <c r="E316" s="704"/>
      <c r="F316" s="705"/>
      <c r="G316" s="706"/>
      <c r="H316" s="607"/>
      <c r="I316" s="607"/>
      <c r="J316" s="596"/>
      <c r="K316" s="727">
        <v>11007</v>
      </c>
      <c r="L316" s="431" t="s">
        <v>2278</v>
      </c>
      <c r="M316" s="367">
        <v>750000</v>
      </c>
      <c r="N316" s="728">
        <v>0.05</v>
      </c>
      <c r="O316" s="729">
        <f>M316*N316</f>
        <v>37500</v>
      </c>
    </row>
    <row r="317" spans="1:15">
      <c r="A317" s="2919"/>
      <c r="B317" s="306">
        <v>10998</v>
      </c>
      <c r="C317" s="578">
        <v>0.1</v>
      </c>
      <c r="D317" s="1026" t="s">
        <v>2279</v>
      </c>
      <c r="E317" s="663">
        <v>1200000</v>
      </c>
      <c r="F317" s="664">
        <v>0.1</v>
      </c>
      <c r="G317" s="665">
        <f>E317*F317</f>
        <v>120000</v>
      </c>
      <c r="H317" s="605" t="s">
        <v>582</v>
      </c>
      <c r="I317" s="605" t="s">
        <v>133</v>
      </c>
      <c r="J317" s="596"/>
      <c r="K317" s="724"/>
      <c r="L317" s="290"/>
      <c r="M317" s="309"/>
      <c r="N317" s="629"/>
      <c r="O317" s="598"/>
    </row>
    <row r="318" spans="1:15">
      <c r="A318" s="2919"/>
      <c r="B318" s="661" t="s">
        <v>2280</v>
      </c>
      <c r="C318" s="680">
        <v>0.1</v>
      </c>
      <c r="D318" s="576" t="s">
        <v>2281</v>
      </c>
      <c r="E318" s="577">
        <v>1100000</v>
      </c>
      <c r="F318" s="305">
        <v>0.1</v>
      </c>
      <c r="G318" s="665">
        <f t="shared" ref="G318:G323" si="10">E318*F318</f>
        <v>110000</v>
      </c>
      <c r="H318" s="306" t="s">
        <v>582</v>
      </c>
      <c r="I318" s="306" t="s">
        <v>2225</v>
      </c>
      <c r="J318" s="620"/>
      <c r="K318" s="524"/>
      <c r="L318" s="523"/>
      <c r="M318" s="315"/>
      <c r="N318" s="597"/>
      <c r="O318" s="598"/>
    </row>
    <row r="319" spans="1:15">
      <c r="A319" s="2919"/>
      <c r="B319" s="298">
        <v>11090</v>
      </c>
      <c r="C319" s="699">
        <v>0.1</v>
      </c>
      <c r="D319" s="1132" t="s">
        <v>2282</v>
      </c>
      <c r="E319" s="577">
        <v>1200000</v>
      </c>
      <c r="F319" s="305">
        <v>0.05</v>
      </c>
      <c r="G319" s="665">
        <f t="shared" si="10"/>
        <v>60000</v>
      </c>
      <c r="H319" s="306" t="s">
        <v>2114</v>
      </c>
      <c r="I319" s="306" t="s">
        <v>133</v>
      </c>
      <c r="J319" s="698"/>
      <c r="K319" s="524"/>
      <c r="L319" s="523"/>
      <c r="M319" s="315"/>
      <c r="N319" s="597"/>
      <c r="O319" s="598"/>
    </row>
    <row r="320" spans="1:15">
      <c r="A320" s="2919"/>
      <c r="B320" s="660">
        <v>11114</v>
      </c>
      <c r="C320" s="302">
        <v>0.1</v>
      </c>
      <c r="D320" s="576" t="s">
        <v>2283</v>
      </c>
      <c r="E320" s="297">
        <v>1600000</v>
      </c>
      <c r="F320" s="273">
        <v>0.1</v>
      </c>
      <c r="G320" s="665">
        <f t="shared" si="10"/>
        <v>160000</v>
      </c>
      <c r="H320" s="298" t="s">
        <v>582</v>
      </c>
      <c r="I320" s="298" t="s">
        <v>133</v>
      </c>
      <c r="J320" s="595"/>
      <c r="K320" s="521"/>
      <c r="L320" s="523"/>
      <c r="M320" s="315"/>
      <c r="N320" s="597"/>
      <c r="O320" s="598"/>
    </row>
    <row r="321" spans="1:15">
      <c r="A321" s="2919"/>
      <c r="B321" s="712">
        <v>11127</v>
      </c>
      <c r="C321" s="362">
        <v>0.1</v>
      </c>
      <c r="D321" s="576" t="s">
        <v>2284</v>
      </c>
      <c r="E321" s="297">
        <v>1300000</v>
      </c>
      <c r="F321" s="273">
        <v>0.05</v>
      </c>
      <c r="G321" s="665">
        <f t="shared" si="10"/>
        <v>65000</v>
      </c>
      <c r="H321" s="298" t="s">
        <v>732</v>
      </c>
      <c r="I321" s="298" t="s">
        <v>2225</v>
      </c>
      <c r="J321" s="327"/>
      <c r="K321" s="363"/>
      <c r="L321" s="290"/>
      <c r="M321" s="319"/>
      <c r="N321" s="288"/>
      <c r="O321" s="598">
        <f>O316+O315</f>
        <v>87500</v>
      </c>
    </row>
    <row r="322" spans="1:15">
      <c r="A322" s="2919"/>
      <c r="B322" s="298">
        <v>11123</v>
      </c>
      <c r="C322" s="708">
        <v>0.1</v>
      </c>
      <c r="D322" s="1087" t="s">
        <v>2285</v>
      </c>
      <c r="E322" s="709">
        <v>600000</v>
      </c>
      <c r="F322" s="710">
        <v>0.06</v>
      </c>
      <c r="G322" s="665">
        <f t="shared" si="10"/>
        <v>36000</v>
      </c>
      <c r="H322" s="711" t="s">
        <v>732</v>
      </c>
      <c r="I322" s="711" t="s">
        <v>2225</v>
      </c>
      <c r="J322" s="698"/>
      <c r="K322" s="524"/>
      <c r="L322" s="523"/>
      <c r="M322" s="315"/>
      <c r="N322" s="597"/>
      <c r="O322" s="598"/>
    </row>
    <row r="323" spans="1:15">
      <c r="A323" s="2919"/>
      <c r="B323" s="298">
        <v>11121</v>
      </c>
      <c r="C323" s="680">
        <v>0.08</v>
      </c>
      <c r="D323" s="576" t="s">
        <v>2286</v>
      </c>
      <c r="E323" s="577">
        <v>950000</v>
      </c>
      <c r="F323" s="305">
        <v>0.08</v>
      </c>
      <c r="G323" s="665">
        <f t="shared" si="10"/>
        <v>76000</v>
      </c>
      <c r="H323" s="306" t="s">
        <v>582</v>
      </c>
      <c r="I323" s="306" t="s">
        <v>133</v>
      </c>
      <c r="J323" s="620"/>
      <c r="K323" s="524"/>
      <c r="L323" s="523"/>
      <c r="M323" s="315"/>
      <c r="N323" s="597"/>
      <c r="O323" s="598"/>
    </row>
    <row r="324" spans="1:15">
      <c r="A324" s="2919"/>
      <c r="B324" s="299"/>
      <c r="C324" s="692"/>
      <c r="D324" s="1031"/>
      <c r="E324" s="670"/>
      <c r="F324" s="520"/>
      <c r="G324" s="619"/>
      <c r="H324" s="307"/>
      <c r="I324" s="307"/>
      <c r="J324" s="620"/>
      <c r="K324" s="521"/>
      <c r="L324" s="523"/>
      <c r="M324" s="315"/>
      <c r="N324" s="597"/>
      <c r="O324" s="598"/>
    </row>
    <row r="325" spans="1:15">
      <c r="A325" s="2919"/>
      <c r="B325" s="671"/>
      <c r="C325" s="672"/>
      <c r="D325" s="1133" t="s">
        <v>1833</v>
      </c>
      <c r="E325" s="446">
        <f>E317+E318+E319+E320+E321+E322+E323</f>
        <v>7950000</v>
      </c>
      <c r="F325" s="447"/>
      <c r="G325" s="448">
        <f>G317+G318+G319+G320+G321+G322+G323</f>
        <v>627000</v>
      </c>
      <c r="H325" s="447"/>
      <c r="I325" s="444"/>
      <c r="J325" s="449"/>
      <c r="K325" s="450"/>
      <c r="L325" s="2794" t="s">
        <v>1834</v>
      </c>
      <c r="M325" s="2794"/>
      <c r="N325" s="2794"/>
      <c r="O325" s="735">
        <f>O321+G325</f>
        <v>714500</v>
      </c>
    </row>
    <row r="326" spans="1:15" ht="15.6">
      <c r="A326" s="2919"/>
      <c r="B326" s="204"/>
      <c r="C326" s="626"/>
      <c r="D326" s="1118"/>
      <c r="E326" s="642">
        <f>G325+O320</f>
        <v>627000</v>
      </c>
      <c r="F326" s="204"/>
      <c r="G326" s="443"/>
      <c r="H326" s="204"/>
      <c r="I326" s="204"/>
      <c r="J326" s="442"/>
      <c r="K326" s="11"/>
      <c r="L326" s="11"/>
      <c r="M326" s="11"/>
      <c r="N326" s="11"/>
      <c r="O326" s="2"/>
    </row>
    <row r="327" spans="1:15">
      <c r="A327" s="2172"/>
      <c r="B327" s="17"/>
      <c r="C327" s="17"/>
      <c r="D327" s="1058"/>
      <c r="E327" s="19"/>
      <c r="F327" s="17"/>
      <c r="G327" s="20"/>
      <c r="H327" s="17"/>
      <c r="I327" s="17"/>
      <c r="J327" s="18"/>
      <c r="O327" s="1"/>
    </row>
    <row r="328" spans="1:15">
      <c r="A328" s="2172"/>
      <c r="B328" s="17"/>
      <c r="C328" s="17"/>
      <c r="D328" s="1058"/>
      <c r="E328" s="19"/>
      <c r="F328" s="17"/>
      <c r="G328" s="20"/>
      <c r="H328" s="17"/>
      <c r="I328" s="17"/>
      <c r="J328" s="18"/>
      <c r="O328" s="1"/>
    </row>
    <row r="329" spans="1:15" ht="21">
      <c r="A329" s="3009" t="s">
        <v>2155</v>
      </c>
      <c r="B329" s="3009"/>
      <c r="C329" s="3009"/>
      <c r="D329" s="3009"/>
      <c r="E329" s="3009"/>
      <c r="F329" s="3009"/>
      <c r="G329" s="3009"/>
      <c r="H329" s="3009"/>
      <c r="I329" s="3009"/>
      <c r="J329" s="3009"/>
      <c r="K329" s="2819" t="s">
        <v>1805</v>
      </c>
      <c r="L329" s="2819"/>
      <c r="M329" s="2819"/>
      <c r="N329" s="2819"/>
      <c r="O329" s="2"/>
    </row>
    <row r="330" spans="1:15">
      <c r="A330" s="2173" t="s">
        <v>1806</v>
      </c>
      <c r="B330" s="23" t="s">
        <v>1807</v>
      </c>
      <c r="C330" s="3" t="s">
        <v>1837</v>
      </c>
      <c r="D330" s="1059" t="s">
        <v>1809</v>
      </c>
      <c r="E330" s="24" t="s">
        <v>1810</v>
      </c>
      <c r="F330" s="3" t="s">
        <v>1811</v>
      </c>
      <c r="G330" s="25" t="s">
        <v>1812</v>
      </c>
      <c r="H330" s="26" t="s">
        <v>1813</v>
      </c>
      <c r="I330" s="3" t="s">
        <v>1814</v>
      </c>
      <c r="J330" s="6" t="s">
        <v>1815</v>
      </c>
      <c r="K330" s="26" t="s">
        <v>1807</v>
      </c>
      <c r="L330" s="26" t="s">
        <v>1809</v>
      </c>
      <c r="M330" s="26" t="s">
        <v>1816</v>
      </c>
      <c r="N330" s="259" t="s">
        <v>1811</v>
      </c>
      <c r="O330" s="260" t="s">
        <v>1817</v>
      </c>
    </row>
    <row r="331" spans="1:15">
      <c r="A331" s="2193"/>
      <c r="B331" s="686"/>
      <c r="C331" s="687"/>
      <c r="D331" s="1134" t="s">
        <v>2287</v>
      </c>
      <c r="E331" s="688"/>
      <c r="F331" s="689"/>
      <c r="G331" s="690"/>
      <c r="H331" s="691"/>
      <c r="I331" s="734"/>
      <c r="J331" s="668"/>
      <c r="K331" s="26"/>
      <c r="L331" s="26"/>
      <c r="M331" s="26"/>
      <c r="N331" s="259"/>
      <c r="O331" s="260"/>
    </row>
    <row r="332" spans="1:15">
      <c r="A332" s="3010" t="s">
        <v>2288</v>
      </c>
      <c r="B332" s="306">
        <v>10996</v>
      </c>
      <c r="C332" s="662">
        <v>0.08</v>
      </c>
      <c r="D332" s="970" t="s">
        <v>2289</v>
      </c>
      <c r="E332" s="414">
        <v>500000</v>
      </c>
      <c r="F332" s="416">
        <v>0.04</v>
      </c>
      <c r="G332" s="498">
        <f>E332*F332</f>
        <v>20000</v>
      </c>
      <c r="H332" s="730" t="s">
        <v>732</v>
      </c>
      <c r="I332" s="330" t="s">
        <v>133</v>
      </c>
      <c r="J332" s="303" t="s">
        <v>43</v>
      </c>
      <c r="K332" s="363"/>
      <c r="L332" s="282"/>
      <c r="M332" s="364"/>
      <c r="N332" s="343"/>
      <c r="O332" s="289"/>
    </row>
    <row r="333" spans="1:15">
      <c r="A333" s="3010"/>
      <c r="B333" s="298">
        <v>11003</v>
      </c>
      <c r="C333" s="362">
        <v>0.08</v>
      </c>
      <c r="D333" s="1135" t="s">
        <v>2290</v>
      </c>
      <c r="E333" s="497">
        <v>500000</v>
      </c>
      <c r="F333" s="415">
        <v>0.04</v>
      </c>
      <c r="G333" s="498">
        <f t="shared" ref="G333:G336" si="11">E333*F333</f>
        <v>20000</v>
      </c>
      <c r="H333" s="731" t="s">
        <v>732</v>
      </c>
      <c r="I333" s="330" t="s">
        <v>133</v>
      </c>
      <c r="J333" s="733" t="s">
        <v>43</v>
      </c>
      <c r="K333" s="310"/>
      <c r="L333" s="290"/>
      <c r="M333" s="290"/>
      <c r="N333" s="290"/>
      <c r="O333" s="299"/>
    </row>
    <row r="334" spans="1:15">
      <c r="A334" s="3010"/>
      <c r="B334" s="298">
        <v>11018</v>
      </c>
      <c r="C334" s="362">
        <v>0.1</v>
      </c>
      <c r="D334" s="1136" t="s">
        <v>2291</v>
      </c>
      <c r="E334" s="508">
        <v>1300000</v>
      </c>
      <c r="F334" s="416">
        <v>0.08</v>
      </c>
      <c r="G334" s="498">
        <f t="shared" si="11"/>
        <v>104000</v>
      </c>
      <c r="H334" s="731" t="s">
        <v>2114</v>
      </c>
      <c r="I334" s="330" t="s">
        <v>133</v>
      </c>
      <c r="J334" s="733" t="s">
        <v>2292</v>
      </c>
      <c r="K334" s="476"/>
      <c r="L334" s="344"/>
      <c r="M334" s="344"/>
      <c r="N334" s="344"/>
      <c r="O334" s="307"/>
    </row>
    <row r="335" spans="1:15">
      <c r="A335" s="3010"/>
      <c r="B335" s="685">
        <v>11050</v>
      </c>
      <c r="C335" s="362">
        <v>0.1</v>
      </c>
      <c r="D335" s="1136" t="s">
        <v>2293</v>
      </c>
      <c r="E335" s="508">
        <v>750000</v>
      </c>
      <c r="F335" s="416">
        <v>0.04</v>
      </c>
      <c r="G335" s="498">
        <f t="shared" si="11"/>
        <v>30000</v>
      </c>
      <c r="H335" s="732" t="s">
        <v>732</v>
      </c>
      <c r="I335" s="330" t="s">
        <v>133</v>
      </c>
      <c r="J335" s="303" t="s">
        <v>43</v>
      </c>
      <c r="K335" s="476"/>
      <c r="L335" s="344"/>
      <c r="M335" s="344"/>
      <c r="N335" s="344"/>
      <c r="O335" s="307"/>
    </row>
    <row r="336" spans="1:15">
      <c r="A336" s="3010"/>
      <c r="B336" s="685">
        <v>11100</v>
      </c>
      <c r="C336" s="362">
        <v>0.1</v>
      </c>
      <c r="D336" s="1132" t="s">
        <v>2294</v>
      </c>
      <c r="E336" s="497">
        <v>6500000</v>
      </c>
      <c r="F336" s="415">
        <v>0.04</v>
      </c>
      <c r="G336" s="498">
        <f t="shared" si="11"/>
        <v>260000</v>
      </c>
      <c r="H336" s="499" t="s">
        <v>732</v>
      </c>
      <c r="I336" s="323" t="s">
        <v>133</v>
      </c>
      <c r="J336" s="328" t="s">
        <v>43</v>
      </c>
      <c r="K336" s="476"/>
      <c r="L336" s="500"/>
      <c r="M336" s="500"/>
      <c r="N336" s="500"/>
      <c r="O336" s="307"/>
    </row>
    <row r="337" spans="1:15">
      <c r="A337" s="3010"/>
      <c r="B337" s="299"/>
      <c r="C337" s="318"/>
      <c r="D337" s="1137"/>
      <c r="E337" s="504"/>
      <c r="F337" s="312"/>
      <c r="G337" s="505"/>
      <c r="H337" s="363"/>
      <c r="I337" s="308"/>
      <c r="J337" s="327"/>
      <c r="K337" s="476"/>
      <c r="L337" s="500"/>
      <c r="M337" s="500"/>
      <c r="N337" s="500"/>
      <c r="O337" s="307"/>
    </row>
    <row r="338" spans="1:15">
      <c r="A338" s="3010"/>
      <c r="B338" s="674"/>
      <c r="C338" s="675"/>
      <c r="D338" s="1089" t="s">
        <v>1833</v>
      </c>
      <c r="E338" s="475">
        <f>E332+E333+E334+E335+E336</f>
        <v>9550000</v>
      </c>
      <c r="F338" s="506"/>
      <c r="G338" s="475">
        <f>G332+G333+G334+G335+G336</f>
        <v>434000</v>
      </c>
      <c r="H338" s="891"/>
      <c r="I338" s="506"/>
      <c r="J338" s="334"/>
      <c r="K338" s="477"/>
      <c r="L338" s="2981" t="s">
        <v>2166</v>
      </c>
      <c r="M338" s="2981"/>
      <c r="N338" s="2981"/>
      <c r="O338" s="736">
        <v>434000</v>
      </c>
    </row>
    <row r="339" spans="1:15" ht="15.6">
      <c r="A339" s="3010"/>
      <c r="B339" s="452"/>
      <c r="C339" s="452"/>
      <c r="D339" s="1119"/>
      <c r="E339" s="644"/>
      <c r="F339" s="450"/>
      <c r="G339" s="481"/>
      <c r="H339" s="450"/>
      <c r="I339" s="450"/>
      <c r="J339" s="482"/>
      <c r="K339" s="453"/>
      <c r="L339" s="454"/>
      <c r="M339" s="454"/>
      <c r="N339" s="454"/>
      <c r="O339" s="455"/>
    </row>
    <row r="340" spans="1:15" ht="15.6">
      <c r="A340" s="2178"/>
      <c r="B340" s="456"/>
      <c r="C340" s="456"/>
      <c r="D340" s="1091"/>
      <c r="E340" s="458"/>
      <c r="F340" s="456"/>
      <c r="G340" s="459"/>
      <c r="H340" s="456"/>
      <c r="I340" s="456"/>
      <c r="J340" s="457"/>
      <c r="K340" s="460"/>
      <c r="L340" s="461"/>
      <c r="M340" s="461"/>
      <c r="N340" s="461"/>
      <c r="O340" s="455"/>
    </row>
    <row r="341" spans="1:15" ht="15.6">
      <c r="A341" s="2179"/>
      <c r="B341" s="462"/>
      <c r="C341" s="462"/>
      <c r="D341" s="1092"/>
      <c r="E341" s="464"/>
      <c r="F341" s="462"/>
      <c r="G341" s="465"/>
      <c r="H341" s="462"/>
      <c r="I341" s="462"/>
      <c r="J341" s="463"/>
      <c r="K341" s="440"/>
      <c r="L341" s="441"/>
      <c r="M341" s="441"/>
      <c r="N341" s="441"/>
      <c r="O341" s="466"/>
    </row>
    <row r="342" spans="1:15" ht="21">
      <c r="A342" s="3011" t="s">
        <v>2241</v>
      </c>
      <c r="B342" s="3011"/>
      <c r="C342" s="3011"/>
      <c r="D342" s="3011"/>
      <c r="E342" s="3011"/>
      <c r="F342" s="3011"/>
      <c r="G342" s="3011"/>
      <c r="H342" s="3011"/>
      <c r="I342" s="3011"/>
      <c r="J342" s="3011"/>
      <c r="K342" s="3012" t="s">
        <v>1805</v>
      </c>
      <c r="L342" s="3012"/>
      <c r="M342" s="3012"/>
      <c r="N342" s="3012"/>
      <c r="O342" s="534"/>
    </row>
    <row r="343" spans="1:15">
      <c r="A343" s="3003" t="s">
        <v>2295</v>
      </c>
      <c r="B343" s="295" t="s">
        <v>1807</v>
      </c>
      <c r="C343" s="295" t="s">
        <v>1837</v>
      </c>
      <c r="D343" s="1120" t="s">
        <v>1809</v>
      </c>
      <c r="E343" s="527" t="s">
        <v>1810</v>
      </c>
      <c r="F343" s="295" t="s">
        <v>1811</v>
      </c>
      <c r="G343" s="528" t="s">
        <v>1812</v>
      </c>
      <c r="H343" s="295" t="s">
        <v>1813</v>
      </c>
      <c r="I343" s="295" t="s">
        <v>2117</v>
      </c>
      <c r="J343" s="295" t="s">
        <v>1815</v>
      </c>
      <c r="K343" s="295" t="s">
        <v>1807</v>
      </c>
      <c r="L343" s="295" t="s">
        <v>1809</v>
      </c>
      <c r="M343" s="295" t="s">
        <v>1816</v>
      </c>
      <c r="N343" s="295" t="s">
        <v>1811</v>
      </c>
      <c r="O343" s="286" t="s">
        <v>1817</v>
      </c>
    </row>
    <row r="344" spans="1:15">
      <c r="A344" s="3003"/>
      <c r="B344" s="409"/>
      <c r="C344" s="401"/>
      <c r="D344" s="408" t="s">
        <v>2296</v>
      </c>
      <c r="E344" s="402"/>
      <c r="F344" s="401"/>
      <c r="G344" s="593"/>
      <c r="H344" s="669"/>
      <c r="I344" s="669" t="s">
        <v>133</v>
      </c>
      <c r="J344" s="295"/>
      <c r="K344" s="295"/>
      <c r="L344" s="295"/>
      <c r="M344" s="295"/>
      <c r="N344" s="295"/>
      <c r="O344" s="286"/>
    </row>
    <row r="345" spans="1:15">
      <c r="A345" s="3003"/>
      <c r="B345" s="697">
        <v>11007</v>
      </c>
      <c r="C345" s="578">
        <v>0.1</v>
      </c>
      <c r="D345" s="942" t="s">
        <v>2297</v>
      </c>
      <c r="E345" s="414">
        <v>750000</v>
      </c>
      <c r="F345" s="578">
        <v>0.04</v>
      </c>
      <c r="G345" s="682">
        <f>E345*F345</f>
        <v>30000</v>
      </c>
      <c r="H345" s="330" t="s">
        <v>582</v>
      </c>
      <c r="I345" s="330" t="s">
        <v>133</v>
      </c>
      <c r="J345" s="333"/>
      <c r="K345" s="308"/>
      <c r="L345" s="290"/>
      <c r="M345" s="309"/>
      <c r="N345" s="368"/>
      <c r="O345" s="299"/>
    </row>
    <row r="346" spans="1:15">
      <c r="A346" s="3003"/>
      <c r="B346" s="506"/>
      <c r="C346" s="270"/>
      <c r="D346" s="1121"/>
      <c r="E346" s="270"/>
      <c r="F346" s="270"/>
      <c r="G346" s="270"/>
      <c r="H346" s="1007"/>
      <c r="I346" s="1007"/>
      <c r="J346" s="270"/>
      <c r="K346" s="270"/>
      <c r="L346" s="270"/>
      <c r="M346" s="270"/>
      <c r="N346" s="270"/>
      <c r="O346" s="270"/>
    </row>
    <row r="347" spans="1:15">
      <c r="A347" s="3003"/>
      <c r="B347" s="506"/>
      <c r="C347" s="529"/>
      <c r="D347" s="1122" t="s">
        <v>1833</v>
      </c>
      <c r="E347" s="530">
        <f>E345</f>
        <v>750000</v>
      </c>
      <c r="F347" s="531"/>
      <c r="G347" s="532">
        <f>G345</f>
        <v>30000</v>
      </c>
      <c r="H347" s="506"/>
      <c r="I347" s="308"/>
      <c r="J347" s="279"/>
      <c r="K347" s="3004" t="s">
        <v>2121</v>
      </c>
      <c r="L347" s="3004"/>
      <c r="M347" s="3004"/>
      <c r="N347" s="739">
        <v>30000</v>
      </c>
      <c r="O347" s="382"/>
    </row>
    <row r="348" spans="1:15" ht="15.6">
      <c r="A348" s="3003"/>
      <c r="B348" s="308"/>
      <c r="C348" s="308"/>
      <c r="D348" s="737"/>
      <c r="E348" s="738"/>
      <c r="F348" s="471"/>
      <c r="G348" s="309"/>
      <c r="H348" s="471"/>
      <c r="I348" s="308"/>
      <c r="J348" s="327"/>
      <c r="K348" s="290"/>
      <c r="L348" s="299"/>
      <c r="M348" s="299"/>
      <c r="N348" s="299"/>
      <c r="O348" s="382"/>
    </row>
    <row r="349" spans="1:15">
      <c r="A349" s="2194"/>
      <c r="B349" s="308"/>
      <c r="C349" s="308"/>
      <c r="D349" s="1123"/>
      <c r="E349" s="533"/>
      <c r="F349" s="471"/>
      <c r="G349" s="309"/>
      <c r="H349" s="471"/>
      <c r="I349" s="308"/>
      <c r="J349" s="327"/>
      <c r="K349" s="290"/>
      <c r="L349" s="299"/>
      <c r="M349" s="299"/>
      <c r="N349" s="299"/>
      <c r="O349" s="382"/>
    </row>
    <row r="350" spans="1:15">
      <c r="A350" s="2180"/>
      <c r="B350" s="373"/>
      <c r="C350" s="373"/>
      <c r="D350" s="1096"/>
      <c r="E350" s="374"/>
      <c r="F350" s="375"/>
      <c r="G350" s="376"/>
      <c r="H350" s="375"/>
      <c r="I350" s="373"/>
      <c r="J350" s="369"/>
      <c r="K350" s="370"/>
      <c r="L350" s="371"/>
      <c r="M350" s="371"/>
      <c r="N350" s="371"/>
      <c r="O350" s="372"/>
    </row>
    <row r="351" spans="1:15">
      <c r="A351" s="2180"/>
      <c r="B351" s="373"/>
      <c r="C351" s="373"/>
      <c r="D351" s="1096"/>
      <c r="E351" s="374"/>
      <c r="F351" s="375"/>
      <c r="G351" s="376"/>
      <c r="H351" s="375"/>
      <c r="I351" s="373"/>
      <c r="J351" s="369"/>
      <c r="K351" s="370"/>
      <c r="L351" s="371"/>
      <c r="M351" s="371"/>
      <c r="N351" s="371"/>
      <c r="O351" s="372"/>
    </row>
    <row r="352" spans="1:15">
      <c r="A352" s="261"/>
      <c r="E352" s="91"/>
      <c r="G352" s="92"/>
      <c r="H352" s="1001"/>
    </row>
    <row r="353" spans="1:9">
      <c r="A353" s="3005" t="s">
        <v>2298</v>
      </c>
      <c r="B353" s="3005"/>
      <c r="C353" s="3005"/>
      <c r="D353" s="3005"/>
      <c r="E353" s="3005"/>
      <c r="F353" s="3005"/>
      <c r="G353" s="3005"/>
      <c r="H353" s="3005"/>
    </row>
    <row r="354" spans="1:9">
      <c r="A354" s="3005"/>
      <c r="B354" s="3005"/>
      <c r="C354" s="3005"/>
      <c r="D354" s="3005"/>
      <c r="E354" s="3005"/>
      <c r="F354" s="3005"/>
      <c r="G354" s="3005"/>
      <c r="H354" s="3005"/>
    </row>
    <row r="355" spans="1:9" ht="20.45">
      <c r="A355" s="263" t="s">
        <v>2011</v>
      </c>
      <c r="B355" s="396" t="s">
        <v>1808</v>
      </c>
      <c r="C355" s="176" t="s">
        <v>2012</v>
      </c>
      <c r="D355" s="1100" t="s">
        <v>2123</v>
      </c>
      <c r="E355" s="397" t="s">
        <v>2013</v>
      </c>
      <c r="F355" s="398" t="s">
        <v>1811</v>
      </c>
      <c r="G355" s="399" t="s">
        <v>1817</v>
      </c>
      <c r="H355" s="683" t="s">
        <v>2125</v>
      </c>
      <c r="I355" s="2"/>
    </row>
    <row r="356" spans="1:9">
      <c r="A356" s="2181"/>
      <c r="B356" s="401"/>
      <c r="C356" s="340" t="s">
        <v>2299</v>
      </c>
      <c r="D356" s="409" t="s">
        <v>2300</v>
      </c>
      <c r="E356" s="593"/>
      <c r="F356" s="403"/>
      <c r="G356" s="404"/>
      <c r="H356" s="1015"/>
      <c r="I356" s="2"/>
    </row>
    <row r="357" spans="1:9" s="503" customFormat="1">
      <c r="A357" s="2200" t="s">
        <v>2280</v>
      </c>
      <c r="B357" s="435">
        <v>0.1</v>
      </c>
      <c r="C357" s="615" t="s">
        <v>2301</v>
      </c>
      <c r="D357" s="1132" t="s">
        <v>2111</v>
      </c>
      <c r="E357" s="682">
        <v>1100000</v>
      </c>
      <c r="F357" s="305">
        <v>0.03</v>
      </c>
      <c r="G357" s="405">
        <f>E357*F357</f>
        <v>33000</v>
      </c>
      <c r="H357" s="712" t="s">
        <v>582</v>
      </c>
      <c r="I357" s="851" t="s">
        <v>2124</v>
      </c>
    </row>
    <row r="358" spans="1:9">
      <c r="A358" s="2201">
        <v>11127</v>
      </c>
      <c r="B358" s="435">
        <v>0.1</v>
      </c>
      <c r="C358" s="615" t="s">
        <v>2302</v>
      </c>
      <c r="D358" s="1132" t="s">
        <v>2303</v>
      </c>
      <c r="E358" s="682">
        <v>1300000</v>
      </c>
      <c r="F358" s="305">
        <v>0.03</v>
      </c>
      <c r="G358" s="405">
        <f t="shared" ref="G358:G360" si="12">E358*F358</f>
        <v>39000</v>
      </c>
      <c r="H358" s="712" t="s">
        <v>732</v>
      </c>
      <c r="I358" s="851"/>
    </row>
    <row r="359" spans="1:9">
      <c r="A359" s="553">
        <v>11123</v>
      </c>
      <c r="B359" s="435">
        <v>0.1</v>
      </c>
      <c r="C359" s="615" t="s">
        <v>2304</v>
      </c>
      <c r="D359" s="1132" t="s">
        <v>2111</v>
      </c>
      <c r="E359" s="682">
        <v>600000</v>
      </c>
      <c r="F359" s="305">
        <v>0.03</v>
      </c>
      <c r="G359" s="405">
        <f t="shared" si="12"/>
        <v>18000</v>
      </c>
      <c r="H359" s="712" t="s">
        <v>582</v>
      </c>
      <c r="I359" s="851" t="s">
        <v>2124</v>
      </c>
    </row>
    <row r="360" spans="1:9">
      <c r="A360" s="639">
        <v>11095</v>
      </c>
      <c r="B360" s="435">
        <v>0.1</v>
      </c>
      <c r="C360" s="615" t="s">
        <v>2305</v>
      </c>
      <c r="D360" s="1132" t="s">
        <v>2111</v>
      </c>
      <c r="E360" s="682">
        <v>820000</v>
      </c>
      <c r="F360" s="305">
        <v>0.03</v>
      </c>
      <c r="G360" s="405">
        <f t="shared" si="12"/>
        <v>24600</v>
      </c>
      <c r="H360" s="712"/>
      <c r="I360" s="851" t="s">
        <v>2124</v>
      </c>
    </row>
    <row r="361" spans="1:9">
      <c r="A361" s="2202"/>
      <c r="B361" s="600"/>
      <c r="C361" s="601"/>
      <c r="D361" s="1125"/>
      <c r="E361" s="566"/>
      <c r="F361" s="567"/>
      <c r="G361" s="406"/>
      <c r="H361" s="501"/>
      <c r="I361" s="2"/>
    </row>
    <row r="362" spans="1:9">
      <c r="A362" s="2182"/>
      <c r="B362" s="438"/>
      <c r="C362" s="438"/>
      <c r="D362" s="1126" t="s">
        <v>2195</v>
      </c>
      <c r="E362" s="485">
        <f>E357+E358+E359+E360</f>
        <v>3820000</v>
      </c>
      <c r="F362" s="438"/>
      <c r="H362" s="501"/>
      <c r="I362" s="2"/>
    </row>
    <row r="363" spans="1:9" ht="15.6">
      <c r="A363" s="46"/>
      <c r="B363" s="11"/>
      <c r="C363" s="11"/>
      <c r="D363" s="1138"/>
      <c r="E363" s="487"/>
      <c r="F363" s="11"/>
      <c r="G363" s="93"/>
      <c r="H363" s="1016" t="s">
        <v>2306</v>
      </c>
      <c r="I363" s="980">
        <f>G357+G358+G359+G360</f>
        <v>114600</v>
      </c>
    </row>
    <row r="364" spans="1:9">
      <c r="A364" s="90"/>
      <c r="E364" s="91"/>
      <c r="G364" s="92"/>
      <c r="H364" s="1001"/>
    </row>
    <row r="365" spans="1:9">
      <c r="A365" s="90"/>
      <c r="E365" s="91"/>
      <c r="G365" s="92"/>
      <c r="H365" s="1001"/>
    </row>
    <row r="366" spans="1:9">
      <c r="A366" s="3006" t="s">
        <v>2307</v>
      </c>
      <c r="B366" s="3006"/>
      <c r="C366" s="3006"/>
      <c r="D366" s="3006"/>
      <c r="E366" s="3006"/>
      <c r="F366" s="3006"/>
      <c r="G366" s="3006"/>
      <c r="H366" s="3006"/>
    </row>
    <row r="367" spans="1:9">
      <c r="A367" s="3006"/>
      <c r="B367" s="3006"/>
      <c r="C367" s="3006"/>
      <c r="D367" s="3006"/>
      <c r="E367" s="3006"/>
      <c r="F367" s="3006"/>
      <c r="G367" s="3006"/>
      <c r="H367" s="3006"/>
    </row>
    <row r="368" spans="1:9" ht="20.45">
      <c r="A368" s="263" t="s">
        <v>2011</v>
      </c>
      <c r="B368" s="396" t="s">
        <v>1808</v>
      </c>
      <c r="C368" s="176" t="s">
        <v>2012</v>
      </c>
      <c r="D368" s="1100" t="s">
        <v>2123</v>
      </c>
      <c r="E368" s="397" t="s">
        <v>2013</v>
      </c>
      <c r="F368" s="398" t="s">
        <v>1811</v>
      </c>
      <c r="G368" s="399" t="s">
        <v>1817</v>
      </c>
      <c r="H368" s="400"/>
    </row>
    <row r="369" spans="1:9">
      <c r="A369" s="2181"/>
      <c r="B369" s="401"/>
      <c r="C369" s="349" t="s">
        <v>2308</v>
      </c>
      <c r="D369" s="377" t="s">
        <v>2309</v>
      </c>
      <c r="E369" s="294"/>
      <c r="F369" s="401"/>
      <c r="G369" s="586"/>
      <c r="H369" s="347"/>
      <c r="I369" s="347"/>
    </row>
    <row r="370" spans="1:9">
      <c r="A370" s="2181"/>
      <c r="B370" s="336"/>
      <c r="C370" s="272" t="s">
        <v>2310</v>
      </c>
      <c r="D370" s="409" t="s">
        <v>2311</v>
      </c>
      <c r="E370" s="379"/>
      <c r="F370" s="336"/>
      <c r="G370" s="404"/>
      <c r="H370" s="592"/>
      <c r="I370" s="592" t="s">
        <v>2312</v>
      </c>
    </row>
    <row r="371" spans="1:9">
      <c r="A371" s="2181"/>
      <c r="B371" s="715"/>
      <c r="C371" s="350" t="s">
        <v>2313</v>
      </c>
      <c r="D371" s="1139" t="s">
        <v>2314</v>
      </c>
      <c r="E371" s="379"/>
      <c r="F371" s="336"/>
      <c r="G371" s="404"/>
      <c r="H371" s="592"/>
      <c r="I371" s="592"/>
    </row>
    <row r="372" spans="1:9">
      <c r="A372" s="2181"/>
      <c r="B372" s="716"/>
      <c r="C372" s="714" t="s">
        <v>2315</v>
      </c>
      <c r="D372" s="1139" t="s">
        <v>2316</v>
      </c>
      <c r="E372" s="379"/>
      <c r="F372" s="336"/>
      <c r="G372" s="404"/>
      <c r="H372" s="592"/>
      <c r="I372" s="592"/>
    </row>
    <row r="373" spans="1:9">
      <c r="A373" s="982">
        <v>10998</v>
      </c>
      <c r="B373" s="314">
        <v>0.1</v>
      </c>
      <c r="C373" s="276" t="s">
        <v>2317</v>
      </c>
      <c r="D373" s="576" t="s">
        <v>2111</v>
      </c>
      <c r="E373" s="380">
        <v>1200000</v>
      </c>
      <c r="F373" s="273">
        <v>0.05</v>
      </c>
      <c r="G373" s="405">
        <f>E373*F373</f>
        <v>60000</v>
      </c>
      <c r="H373" s="298" t="s">
        <v>1482</v>
      </c>
      <c r="I373" s="298" t="s">
        <v>1971</v>
      </c>
    </row>
    <row r="374" spans="1:9">
      <c r="A374" s="2203" t="s">
        <v>2318</v>
      </c>
      <c r="B374" s="302">
        <v>0.08</v>
      </c>
      <c r="C374" s="275" t="s">
        <v>2319</v>
      </c>
      <c r="D374" s="576" t="s">
        <v>2111</v>
      </c>
      <c r="E374" s="268">
        <v>500000</v>
      </c>
      <c r="F374" s="273">
        <v>0.04</v>
      </c>
      <c r="G374" s="405">
        <f t="shared" ref="G374:G382" si="13">E374*F374</f>
        <v>20000</v>
      </c>
      <c r="H374" s="726" t="s">
        <v>2320</v>
      </c>
      <c r="I374" s="298" t="s">
        <v>1971</v>
      </c>
    </row>
    <row r="375" spans="1:9">
      <c r="A375" s="639">
        <v>11003</v>
      </c>
      <c r="B375" s="302">
        <v>0.08</v>
      </c>
      <c r="C375" s="602" t="s">
        <v>2321</v>
      </c>
      <c r="D375" s="576" t="s">
        <v>2111</v>
      </c>
      <c r="E375" s="268">
        <v>500000</v>
      </c>
      <c r="F375" s="273">
        <v>0.04</v>
      </c>
      <c r="G375" s="405">
        <f t="shared" si="13"/>
        <v>20000</v>
      </c>
      <c r="H375" s="298" t="s">
        <v>2320</v>
      </c>
      <c r="I375" s="298" t="s">
        <v>1971</v>
      </c>
    </row>
    <row r="376" spans="1:9">
      <c r="A376" s="639">
        <v>11007</v>
      </c>
      <c r="B376" s="302">
        <v>0.1</v>
      </c>
      <c r="C376" s="275" t="s">
        <v>2322</v>
      </c>
      <c r="D376" s="576" t="s">
        <v>2111</v>
      </c>
      <c r="E376" s="268">
        <v>750000</v>
      </c>
      <c r="F376" s="273">
        <v>0.05</v>
      </c>
      <c r="G376" s="405">
        <f t="shared" si="13"/>
        <v>37500</v>
      </c>
      <c r="H376" s="298" t="s">
        <v>1946</v>
      </c>
      <c r="I376" s="298" t="s">
        <v>2124</v>
      </c>
    </row>
    <row r="377" spans="1:9">
      <c r="A377" s="2200">
        <v>11018</v>
      </c>
      <c r="B377" s="314">
        <v>0.1</v>
      </c>
      <c r="C377" s="278" t="s">
        <v>2323</v>
      </c>
      <c r="D377" s="1132" t="s">
        <v>2111</v>
      </c>
      <c r="E377" s="673">
        <v>1300000</v>
      </c>
      <c r="F377" s="305">
        <v>0.05</v>
      </c>
      <c r="G377" s="405">
        <f t="shared" si="13"/>
        <v>65000</v>
      </c>
      <c r="H377" s="306" t="s">
        <v>2114</v>
      </c>
      <c r="I377" s="306" t="s">
        <v>2124</v>
      </c>
    </row>
    <row r="378" spans="1:9">
      <c r="A378" s="639">
        <v>11050</v>
      </c>
      <c r="B378" s="681">
        <v>0.1</v>
      </c>
      <c r="C378" s="278" t="s">
        <v>2324</v>
      </c>
      <c r="D378" s="1132" t="s">
        <v>2111</v>
      </c>
      <c r="E378" s="673">
        <v>750000</v>
      </c>
      <c r="F378" s="305">
        <v>0.05</v>
      </c>
      <c r="G378" s="405">
        <f t="shared" si="13"/>
        <v>37500</v>
      </c>
      <c r="H378" s="306" t="s">
        <v>2108</v>
      </c>
      <c r="I378" s="306" t="s">
        <v>2124</v>
      </c>
    </row>
    <row r="379" spans="1:9">
      <c r="A379" s="554">
        <v>11100</v>
      </c>
      <c r="B379" s="314">
        <v>0.1</v>
      </c>
      <c r="C379" s="278" t="s">
        <v>2325</v>
      </c>
      <c r="D379" s="1132" t="s">
        <v>2111</v>
      </c>
      <c r="E379" s="673">
        <v>6500000</v>
      </c>
      <c r="F379" s="305">
        <v>0.05</v>
      </c>
      <c r="G379" s="405">
        <f t="shared" si="13"/>
        <v>325000</v>
      </c>
      <c r="H379" s="306" t="s">
        <v>2114</v>
      </c>
      <c r="I379" s="306" t="s">
        <v>2124</v>
      </c>
    </row>
    <row r="380" spans="1:9">
      <c r="A380" s="639">
        <v>11114</v>
      </c>
      <c r="B380" s="314">
        <v>0.1</v>
      </c>
      <c r="C380" s="275" t="s">
        <v>2326</v>
      </c>
      <c r="D380" s="576" t="s">
        <v>2111</v>
      </c>
      <c r="E380" s="673">
        <v>1600000</v>
      </c>
      <c r="F380" s="305">
        <v>0.05</v>
      </c>
      <c r="G380" s="405">
        <f t="shared" si="13"/>
        <v>80000</v>
      </c>
      <c r="H380" s="306" t="s">
        <v>582</v>
      </c>
      <c r="I380" s="306" t="s">
        <v>2124</v>
      </c>
    </row>
    <row r="381" spans="1:9">
      <c r="A381" s="987">
        <v>11090</v>
      </c>
      <c r="B381" s="681">
        <v>0.1</v>
      </c>
      <c r="C381" s="278" t="s">
        <v>315</v>
      </c>
      <c r="D381" s="1132" t="s">
        <v>2111</v>
      </c>
      <c r="E381" s="673">
        <v>1200000</v>
      </c>
      <c r="F381" s="305">
        <v>0.05</v>
      </c>
      <c r="G381" s="405">
        <f t="shared" si="13"/>
        <v>60000</v>
      </c>
      <c r="H381" s="306"/>
      <c r="I381" s="306" t="s">
        <v>2124</v>
      </c>
    </row>
    <row r="382" spans="1:9">
      <c r="A382" s="2204">
        <v>11121</v>
      </c>
      <c r="B382" s="305">
        <v>0.08</v>
      </c>
      <c r="C382" s="278" t="s">
        <v>2327</v>
      </c>
      <c r="D382" s="1132" t="s">
        <v>2111</v>
      </c>
      <c r="E382" s="673">
        <v>950000</v>
      </c>
      <c r="F382" s="305">
        <v>0.04</v>
      </c>
      <c r="G382" s="405">
        <f t="shared" si="13"/>
        <v>38000</v>
      </c>
      <c r="H382" s="306" t="s">
        <v>582</v>
      </c>
      <c r="I382" s="306" t="s">
        <v>2124</v>
      </c>
    </row>
    <row r="383" spans="1:9">
      <c r="A383" s="2182"/>
      <c r="B383" s="488"/>
      <c r="C383" s="438"/>
      <c r="D383" s="1140"/>
      <c r="E383" s="485"/>
      <c r="F383" s="438"/>
      <c r="G383" s="486"/>
      <c r="H383" s="307"/>
      <c r="I383" s="339"/>
    </row>
    <row r="384" spans="1:9">
      <c r="A384" s="2182"/>
      <c r="B384" s="488"/>
      <c r="C384" s="438"/>
      <c r="D384" s="1103"/>
      <c r="E384" s="485"/>
      <c r="F384" s="438"/>
      <c r="G384" s="486"/>
      <c r="H384" s="307"/>
      <c r="I384" s="339"/>
    </row>
    <row r="385" spans="1:9">
      <c r="A385" s="2182"/>
      <c r="B385" s="488"/>
      <c r="C385" s="438"/>
      <c r="D385" s="1103" t="s">
        <v>2195</v>
      </c>
      <c r="E385" s="485">
        <f>E373+E374+E375+E376+E377+E378+E379+E380+E381+E382</f>
        <v>15250000</v>
      </c>
      <c r="F385" s="438"/>
      <c r="G385" s="486">
        <f>G373+G374+G375+G376+G377+G378+G379+G380+G381+G382</f>
        <v>743000</v>
      </c>
      <c r="H385" s="307"/>
      <c r="I385" s="339"/>
    </row>
    <row r="386" spans="1:9" ht="15.6">
      <c r="A386" s="46"/>
      <c r="B386" s="11"/>
      <c r="C386" s="11"/>
      <c r="D386" s="1110" t="s">
        <v>2154</v>
      </c>
      <c r="E386" s="487">
        <f>G385</f>
        <v>743000</v>
      </c>
      <c r="F386" s="11"/>
      <c r="G386" s="93"/>
      <c r="H386" s="50"/>
      <c r="I386" s="2"/>
    </row>
    <row r="387" spans="1:9">
      <c r="E387" s="589"/>
    </row>
    <row r="388" spans="1:9">
      <c r="A388" s="3007" t="s">
        <v>2328</v>
      </c>
      <c r="B388" s="3007"/>
      <c r="C388" s="3007"/>
      <c r="D388" s="3007"/>
      <c r="E388" s="3007"/>
      <c r="F388" s="3007"/>
      <c r="G388" s="3007"/>
      <c r="H388" s="3007"/>
      <c r="I388" s="2"/>
    </row>
    <row r="389" spans="1:9">
      <c r="A389" s="3007"/>
      <c r="B389" s="3007"/>
      <c r="C389" s="3007"/>
      <c r="D389" s="3007"/>
      <c r="E389" s="3007"/>
      <c r="F389" s="3007"/>
      <c r="G389" s="3007"/>
      <c r="H389" s="3007"/>
      <c r="I389" s="2"/>
    </row>
    <row r="390" spans="1:9" ht="20.45">
      <c r="A390" s="257" t="s">
        <v>2011</v>
      </c>
      <c r="B390" s="33" t="s">
        <v>1808</v>
      </c>
      <c r="C390" s="33" t="s">
        <v>2012</v>
      </c>
      <c r="D390" s="1066" t="s">
        <v>2123</v>
      </c>
      <c r="E390" s="63" t="s">
        <v>2013</v>
      </c>
      <c r="F390" s="118" t="s">
        <v>1811</v>
      </c>
      <c r="G390" s="88" t="s">
        <v>1817</v>
      </c>
      <c r="H390" s="258" t="s">
        <v>2213</v>
      </c>
      <c r="I390" s="2"/>
    </row>
    <row r="391" spans="1:9">
      <c r="A391" s="982">
        <v>10998</v>
      </c>
      <c r="B391" s="314">
        <v>0.1</v>
      </c>
      <c r="C391" s="275" t="s">
        <v>2317</v>
      </c>
      <c r="D391" s="576" t="s">
        <v>2111</v>
      </c>
      <c r="E391" s="380">
        <v>1200000</v>
      </c>
      <c r="F391" s="415">
        <v>0.03</v>
      </c>
      <c r="G391" s="492">
        <f>E391*F391</f>
        <v>36000</v>
      </c>
      <c r="H391" s="1012" t="s">
        <v>1482</v>
      </c>
      <c r="I391" s="605" t="s">
        <v>1971</v>
      </c>
    </row>
    <row r="392" spans="1:9">
      <c r="A392" s="2203" t="s">
        <v>2318</v>
      </c>
      <c r="B392" s="266">
        <v>0.08</v>
      </c>
      <c r="C392" s="278" t="s">
        <v>2319</v>
      </c>
      <c r="D392" s="576" t="s">
        <v>2111</v>
      </c>
      <c r="E392" s="268">
        <v>500000</v>
      </c>
      <c r="F392" s="415">
        <v>0.02</v>
      </c>
      <c r="G392" s="492">
        <f t="shared" ref="G392:G404" si="14">E392*F392</f>
        <v>10000</v>
      </c>
      <c r="H392" s="1011" t="s">
        <v>2320</v>
      </c>
      <c r="I392" s="298" t="s">
        <v>2124</v>
      </c>
    </row>
    <row r="393" spans="1:9">
      <c r="A393" s="639">
        <v>11003</v>
      </c>
      <c r="B393" s="741">
        <v>0.08</v>
      </c>
      <c r="C393" s="431" t="s">
        <v>2321</v>
      </c>
      <c r="D393" s="1027" t="s">
        <v>2111</v>
      </c>
      <c r="E393" s="268">
        <v>500000</v>
      </c>
      <c r="F393" s="415">
        <v>0.02</v>
      </c>
      <c r="G393" s="492">
        <f t="shared" si="14"/>
        <v>10000</v>
      </c>
      <c r="H393" s="1011" t="s">
        <v>2320</v>
      </c>
      <c r="I393" s="298" t="s">
        <v>2124</v>
      </c>
    </row>
    <row r="394" spans="1:9">
      <c r="A394" s="2205">
        <v>11007</v>
      </c>
      <c r="B394" s="194">
        <v>0.1</v>
      </c>
      <c r="C394" s="431" t="s">
        <v>2329</v>
      </c>
      <c r="D394" s="1107" t="s">
        <v>2111</v>
      </c>
      <c r="E394" s="67">
        <v>750000</v>
      </c>
      <c r="F394" s="194">
        <v>0.03</v>
      </c>
      <c r="G394" s="492">
        <f t="shared" si="14"/>
        <v>22500</v>
      </c>
      <c r="H394" s="678" t="s">
        <v>2179</v>
      </c>
      <c r="I394" s="851" t="s">
        <v>2124</v>
      </c>
    </row>
    <row r="395" spans="1:9">
      <c r="A395" s="985">
        <v>11018</v>
      </c>
      <c r="B395" s="123">
        <v>0.1</v>
      </c>
      <c r="C395" s="684" t="s">
        <v>2323</v>
      </c>
      <c r="D395" s="1107" t="s">
        <v>2111</v>
      </c>
      <c r="E395" s="210">
        <v>1300000</v>
      </c>
      <c r="F395" s="194">
        <v>0.03</v>
      </c>
      <c r="G395" s="492">
        <f t="shared" si="14"/>
        <v>39000</v>
      </c>
      <c r="H395" s="678" t="s">
        <v>2114</v>
      </c>
      <c r="I395" s="851" t="s">
        <v>2330</v>
      </c>
    </row>
    <row r="396" spans="1:9">
      <c r="A396" s="985">
        <v>11049</v>
      </c>
      <c r="B396" s="123">
        <v>0.1</v>
      </c>
      <c r="C396" s="679" t="s">
        <v>2331</v>
      </c>
      <c r="D396" s="1107" t="s">
        <v>2111</v>
      </c>
      <c r="E396" s="210">
        <v>1100000</v>
      </c>
      <c r="F396" s="194">
        <v>0.03</v>
      </c>
      <c r="G396" s="492">
        <f t="shared" si="14"/>
        <v>33000</v>
      </c>
      <c r="H396" s="678" t="s">
        <v>582</v>
      </c>
      <c r="I396" s="851" t="s">
        <v>2124</v>
      </c>
    </row>
    <row r="397" spans="1:9">
      <c r="A397" s="986">
        <v>11050</v>
      </c>
      <c r="B397" s="123">
        <v>0.1</v>
      </c>
      <c r="C397" s="679" t="s">
        <v>2332</v>
      </c>
      <c r="D397" s="1107" t="s">
        <v>2111</v>
      </c>
      <c r="E397" s="210">
        <v>750000</v>
      </c>
      <c r="F397" s="194">
        <v>0.03</v>
      </c>
      <c r="G397" s="492">
        <f t="shared" si="14"/>
        <v>22500</v>
      </c>
      <c r="H397" s="678" t="s">
        <v>2114</v>
      </c>
      <c r="I397" s="851" t="s">
        <v>2124</v>
      </c>
    </row>
    <row r="398" spans="1:9">
      <c r="A398" s="987">
        <v>11090</v>
      </c>
      <c r="B398" s="199">
        <v>0.1</v>
      </c>
      <c r="C398" s="602" t="s">
        <v>315</v>
      </c>
      <c r="D398" s="1107" t="s">
        <v>2111</v>
      </c>
      <c r="E398" s="210">
        <v>1200000</v>
      </c>
      <c r="F398" s="194">
        <v>0.03</v>
      </c>
      <c r="G398" s="492">
        <f t="shared" si="14"/>
        <v>36000</v>
      </c>
      <c r="H398" s="678" t="s">
        <v>582</v>
      </c>
      <c r="I398" s="851" t="s">
        <v>2124</v>
      </c>
    </row>
    <row r="399" spans="1:9">
      <c r="A399" s="982" t="s">
        <v>2333</v>
      </c>
      <c r="B399" s="199">
        <v>0.1</v>
      </c>
      <c r="C399" s="679" t="s">
        <v>2305</v>
      </c>
      <c r="D399" s="1107" t="s">
        <v>2111</v>
      </c>
      <c r="E399" s="210">
        <v>820000</v>
      </c>
      <c r="F399" s="194">
        <v>0.03</v>
      </c>
      <c r="G399" s="492">
        <f t="shared" si="14"/>
        <v>24600</v>
      </c>
      <c r="H399" s="678"/>
      <c r="I399" s="851" t="s">
        <v>2124</v>
      </c>
    </row>
    <row r="400" spans="1:9">
      <c r="A400" s="2206">
        <v>11114</v>
      </c>
      <c r="B400" s="123">
        <v>0.1</v>
      </c>
      <c r="C400" s="679" t="s">
        <v>2334</v>
      </c>
      <c r="D400" s="1107" t="s">
        <v>2111</v>
      </c>
      <c r="E400" s="210">
        <v>1600000</v>
      </c>
      <c r="F400" s="194">
        <v>0.03</v>
      </c>
      <c r="G400" s="492">
        <f t="shared" si="14"/>
        <v>48000</v>
      </c>
      <c r="H400" s="678" t="s">
        <v>582</v>
      </c>
      <c r="I400" s="851" t="s">
        <v>2124</v>
      </c>
    </row>
    <row r="401" spans="1:9">
      <c r="A401" s="985">
        <v>11100</v>
      </c>
      <c r="B401" s="123">
        <v>0.1</v>
      </c>
      <c r="C401" s="679" t="s">
        <v>2325</v>
      </c>
      <c r="D401" s="1107" t="s">
        <v>2111</v>
      </c>
      <c r="E401" s="210">
        <v>6500000</v>
      </c>
      <c r="F401" s="194">
        <v>0.03</v>
      </c>
      <c r="G401" s="492">
        <f t="shared" si="14"/>
        <v>195000</v>
      </c>
      <c r="H401" s="678" t="s">
        <v>2114</v>
      </c>
      <c r="I401" s="851" t="s">
        <v>2124</v>
      </c>
    </row>
    <row r="402" spans="1:9">
      <c r="A402" s="985">
        <v>11123</v>
      </c>
      <c r="B402" s="517">
        <v>0.1</v>
      </c>
      <c r="C402" s="717" t="s">
        <v>2304</v>
      </c>
      <c r="D402" s="1107" t="s">
        <v>2111</v>
      </c>
      <c r="E402" s="210">
        <v>600000</v>
      </c>
      <c r="F402" s="194">
        <v>0.03</v>
      </c>
      <c r="G402" s="492">
        <f t="shared" si="14"/>
        <v>18000</v>
      </c>
      <c r="H402" s="678" t="s">
        <v>582</v>
      </c>
      <c r="I402" s="851" t="s">
        <v>2124</v>
      </c>
    </row>
    <row r="403" spans="1:9">
      <c r="A403" s="985">
        <v>11121</v>
      </c>
      <c r="B403" s="740">
        <v>0.08</v>
      </c>
      <c r="C403" s="679" t="s">
        <v>2335</v>
      </c>
      <c r="D403" s="1107" t="s">
        <v>2111</v>
      </c>
      <c r="E403" s="210">
        <v>950000</v>
      </c>
      <c r="F403" s="742">
        <v>0.02</v>
      </c>
      <c r="G403" s="492">
        <f t="shared" si="14"/>
        <v>19000</v>
      </c>
      <c r="H403" s="678" t="s">
        <v>582</v>
      </c>
      <c r="I403" s="851" t="s">
        <v>2124</v>
      </c>
    </row>
    <row r="404" spans="1:9">
      <c r="A404" s="985">
        <v>11127</v>
      </c>
      <c r="B404" s="123">
        <v>0.1</v>
      </c>
      <c r="C404" s="679" t="s">
        <v>2336</v>
      </c>
      <c r="D404" s="1107" t="s">
        <v>2111</v>
      </c>
      <c r="E404" s="210">
        <v>1300000</v>
      </c>
      <c r="F404" s="194">
        <v>0.03</v>
      </c>
      <c r="G404" s="492">
        <f t="shared" si="14"/>
        <v>39000</v>
      </c>
      <c r="H404" s="1017" t="s">
        <v>732</v>
      </c>
      <c r="I404" s="1038" t="s">
        <v>2124</v>
      </c>
    </row>
    <row r="405" spans="1:9">
      <c r="A405" s="2207"/>
      <c r="B405" s="666"/>
      <c r="C405" s="667"/>
      <c r="D405" s="1141"/>
      <c r="E405" s="236"/>
      <c r="F405" s="537"/>
      <c r="G405" s="535"/>
      <c r="H405" s="707"/>
      <c r="I405" s="51"/>
    </row>
    <row r="406" spans="1:9">
      <c r="A406" s="2207"/>
      <c r="B406" s="666"/>
      <c r="C406" s="701"/>
      <c r="D406" s="1141"/>
      <c r="E406" s="236"/>
      <c r="F406" s="537"/>
      <c r="G406" s="535"/>
      <c r="H406" s="707"/>
      <c r="I406" s="51"/>
    </row>
    <row r="407" spans="1:9">
      <c r="A407" s="2192"/>
      <c r="B407" s="702"/>
      <c r="C407" s="703"/>
      <c r="D407" s="1073"/>
      <c r="E407" s="513"/>
      <c r="F407" s="490"/>
      <c r="G407" s="490"/>
      <c r="H407" s="1013"/>
      <c r="I407" s="260"/>
    </row>
    <row r="408" spans="1:9">
      <c r="A408" s="2192"/>
      <c r="B408" s="11"/>
      <c r="C408" s="11"/>
      <c r="D408" s="1109" t="s">
        <v>2271</v>
      </c>
      <c r="E408" s="489">
        <f>SUM(E391:E404)</f>
        <v>19070000</v>
      </c>
      <c r="F408" s="490"/>
      <c r="H408" s="957"/>
      <c r="I408" s="260"/>
    </row>
    <row r="409" spans="1:9" ht="15.6">
      <c r="A409" s="257" t="s">
        <v>2337</v>
      </c>
      <c r="B409" s="171"/>
      <c r="C409" s="171"/>
      <c r="D409" s="1138"/>
      <c r="E409" s="494"/>
      <c r="F409" s="11"/>
      <c r="G409" s="10"/>
      <c r="H409" s="1018" t="s">
        <v>2306</v>
      </c>
      <c r="I409" s="1039">
        <f>G391+G392+G393+G394+G395+G396+G397+G398+G399+G400+G401+G402+G403+G404</f>
        <v>552600</v>
      </c>
    </row>
    <row r="412" spans="1:9">
      <c r="A412" s="2922" t="s">
        <v>1898</v>
      </c>
      <c r="B412" s="2922"/>
      <c r="C412" s="79"/>
      <c r="D412" s="1074">
        <v>19070000</v>
      </c>
    </row>
    <row r="413" spans="1:9">
      <c r="A413" s="2923" t="s">
        <v>1899</v>
      </c>
      <c r="B413" s="2923"/>
      <c r="C413" s="41"/>
      <c r="D413" s="1075"/>
    </row>
    <row r="414" spans="1:9">
      <c r="A414" s="2924" t="s">
        <v>1900</v>
      </c>
      <c r="B414" s="2924"/>
      <c r="C414" s="45"/>
      <c r="D414" s="1076"/>
    </row>
    <row r="415" spans="1:9">
      <c r="A415" s="2807" t="s">
        <v>1901</v>
      </c>
      <c r="B415" s="2807"/>
      <c r="C415" s="637"/>
      <c r="D415" s="1129">
        <v>3550000</v>
      </c>
    </row>
    <row r="416" spans="1:9">
      <c r="A416" s="2913" t="s">
        <v>1902</v>
      </c>
      <c r="B416" s="2913"/>
      <c r="C416" s="45"/>
      <c r="D416" s="1112">
        <v>3800000</v>
      </c>
    </row>
    <row r="417" spans="1:15">
      <c r="A417" s="2176"/>
      <c r="B417" s="43" t="s">
        <v>1904</v>
      </c>
      <c r="C417" s="43"/>
      <c r="D417" s="1130" t="s">
        <v>1968</v>
      </c>
    </row>
    <row r="422" spans="1:15" ht="46.15">
      <c r="A422" s="2998" t="s">
        <v>2338</v>
      </c>
      <c r="B422" s="2998"/>
      <c r="C422" s="2998"/>
      <c r="D422" s="2998"/>
      <c r="E422" s="2998"/>
      <c r="F422" s="2998"/>
      <c r="G422" s="2998"/>
      <c r="H422" s="2998"/>
      <c r="I422" s="2998"/>
      <c r="J422" s="2998"/>
      <c r="O422" s="1"/>
    </row>
    <row r="423" spans="1:15">
      <c r="O423" s="1"/>
    </row>
    <row r="424" spans="1:15" ht="21">
      <c r="A424" s="2997" t="s">
        <v>1804</v>
      </c>
      <c r="B424" s="2997"/>
      <c r="C424" s="2997"/>
      <c r="D424" s="2997"/>
      <c r="E424" s="2997"/>
      <c r="F424" s="2997"/>
      <c r="G424" s="2997"/>
      <c r="H424" s="2997"/>
      <c r="I424" s="2997"/>
      <c r="J424" s="2997"/>
      <c r="K424" s="2819" t="s">
        <v>1805</v>
      </c>
      <c r="L424" s="2819"/>
      <c r="M424" s="2819"/>
      <c r="N424" s="2819"/>
      <c r="O424" s="2"/>
    </row>
    <row r="425" spans="1:15">
      <c r="A425" s="2171" t="s">
        <v>1806</v>
      </c>
      <c r="B425" s="1634" t="s">
        <v>1807</v>
      </c>
      <c r="C425" s="1634" t="s">
        <v>1837</v>
      </c>
      <c r="D425" s="1056" t="s">
        <v>1809</v>
      </c>
      <c r="E425" s="4" t="s">
        <v>1810</v>
      </c>
      <c r="F425" s="3" t="s">
        <v>1811</v>
      </c>
      <c r="G425" s="5" t="s">
        <v>1812</v>
      </c>
      <c r="H425" s="3" t="s">
        <v>1813</v>
      </c>
      <c r="I425" s="3" t="s">
        <v>1814</v>
      </c>
      <c r="J425" s="3" t="s">
        <v>1815</v>
      </c>
      <c r="K425" s="26" t="s">
        <v>1807</v>
      </c>
      <c r="L425" s="26" t="s">
        <v>1809</v>
      </c>
      <c r="M425" s="26" t="s">
        <v>1816</v>
      </c>
      <c r="N425" s="259" t="s">
        <v>1811</v>
      </c>
      <c r="O425" s="260" t="s">
        <v>1817</v>
      </c>
    </row>
    <row r="426" spans="1:15" ht="27">
      <c r="A426" s="3002" t="s">
        <v>2339</v>
      </c>
      <c r="B426" s="753"/>
      <c r="C426" s="754"/>
      <c r="D426" s="755" t="s">
        <v>2340</v>
      </c>
      <c r="E426" s="756"/>
      <c r="F426" s="753"/>
      <c r="G426" s="757"/>
      <c r="H426" s="753"/>
      <c r="I426" s="753"/>
      <c r="J426" s="770"/>
      <c r="K426" s="836">
        <v>11236</v>
      </c>
      <c r="L426" s="836" t="s">
        <v>2341</v>
      </c>
      <c r="M426" s="836">
        <v>1100000</v>
      </c>
      <c r="N426" s="837">
        <v>0.04</v>
      </c>
      <c r="O426" s="851">
        <f>M426*N426</f>
        <v>44000</v>
      </c>
    </row>
    <row r="427" spans="1:15">
      <c r="A427" s="3002"/>
      <c r="B427" s="753"/>
      <c r="C427" s="770"/>
      <c r="D427" s="377" t="s">
        <v>2342</v>
      </c>
      <c r="E427" s="756"/>
      <c r="F427" s="753"/>
      <c r="G427" s="757"/>
      <c r="H427" s="753"/>
      <c r="I427" s="753"/>
      <c r="J427" s="770"/>
      <c r="K427" s="855">
        <v>11215</v>
      </c>
      <c r="L427" s="836" t="s">
        <v>2343</v>
      </c>
      <c r="M427" s="836">
        <v>700000</v>
      </c>
      <c r="N427" s="837">
        <v>0.04</v>
      </c>
      <c r="O427" s="851">
        <f>M427*N427</f>
        <v>28000</v>
      </c>
    </row>
    <row r="428" spans="1:15">
      <c r="A428" s="3002"/>
      <c r="B428" s="753"/>
      <c r="C428" s="770"/>
      <c r="D428" s="1142" t="s">
        <v>2344</v>
      </c>
      <c r="E428" s="756"/>
      <c r="F428" s="753"/>
      <c r="G428" s="757"/>
      <c r="H428" s="753"/>
      <c r="I428" s="753"/>
      <c r="J428" s="770"/>
      <c r="K428" s="1747"/>
      <c r="L428" s="1747"/>
      <c r="M428" s="1747"/>
      <c r="N428" s="1747"/>
      <c r="O428" s="51"/>
    </row>
    <row r="429" spans="1:15">
      <c r="A429" s="3002"/>
      <c r="B429" s="298">
        <v>11177</v>
      </c>
      <c r="C429" s="680">
        <v>0.1</v>
      </c>
      <c r="D429" s="576" t="s">
        <v>2345</v>
      </c>
      <c r="E429" s="577">
        <v>1100000</v>
      </c>
      <c r="F429" s="305">
        <v>0.04</v>
      </c>
      <c r="G429" s="852">
        <f>E429*F429</f>
        <v>44000</v>
      </c>
      <c r="H429" s="306" t="s">
        <v>2346</v>
      </c>
      <c r="I429" s="306" t="s">
        <v>2225</v>
      </c>
      <c r="J429" s="771"/>
      <c r="K429" s="1747"/>
      <c r="L429" s="1747"/>
      <c r="M429" s="1747"/>
      <c r="N429" s="1747"/>
      <c r="O429" s="51"/>
    </row>
    <row r="430" spans="1:15">
      <c r="A430" s="3002"/>
      <c r="B430" s="298">
        <v>11184</v>
      </c>
      <c r="C430" s="680">
        <v>0.1</v>
      </c>
      <c r="D430" s="576" t="s">
        <v>2347</v>
      </c>
      <c r="E430" s="577">
        <v>1100000</v>
      </c>
      <c r="F430" s="305">
        <v>0.08</v>
      </c>
      <c r="G430" s="852">
        <f t="shared" ref="G430:G434" si="15">E430*F430</f>
        <v>88000</v>
      </c>
      <c r="H430" s="306" t="s">
        <v>582</v>
      </c>
      <c r="I430" s="306" t="s">
        <v>2225</v>
      </c>
      <c r="J430" s="771"/>
      <c r="K430" s="1747"/>
      <c r="L430" s="1747"/>
      <c r="M430" s="1747"/>
      <c r="N430" s="1747"/>
      <c r="O430" s="51"/>
    </row>
    <row r="431" spans="1:15">
      <c r="A431" s="3002"/>
      <c r="B431" s="298">
        <v>11181</v>
      </c>
      <c r="C431" s="680">
        <v>0.1</v>
      </c>
      <c r="D431" s="576" t="s">
        <v>2348</v>
      </c>
      <c r="E431" s="577">
        <v>1200000</v>
      </c>
      <c r="F431" s="305">
        <v>0.04</v>
      </c>
      <c r="G431" s="852">
        <f t="shared" si="15"/>
        <v>48000</v>
      </c>
      <c r="H431" s="306" t="s">
        <v>510</v>
      </c>
      <c r="I431" s="306" t="s">
        <v>2225</v>
      </c>
      <c r="J431" s="771"/>
      <c r="K431" s="1747"/>
      <c r="L431" s="1747"/>
      <c r="M431" s="1747"/>
      <c r="N431" s="1747"/>
      <c r="O431" s="51"/>
    </row>
    <row r="432" spans="1:15">
      <c r="A432" s="3002"/>
      <c r="B432" s="298">
        <v>11205</v>
      </c>
      <c r="C432" s="680">
        <v>0.1</v>
      </c>
      <c r="D432" s="576" t="s">
        <v>2349</v>
      </c>
      <c r="E432" s="577">
        <v>1300000</v>
      </c>
      <c r="F432" s="305">
        <v>0.08</v>
      </c>
      <c r="G432" s="852">
        <f t="shared" si="15"/>
        <v>104000</v>
      </c>
      <c r="H432" s="306" t="s">
        <v>582</v>
      </c>
      <c r="I432" s="306" t="s">
        <v>2225</v>
      </c>
      <c r="J432" s="772"/>
      <c r="K432" s="1747"/>
      <c r="L432" s="1747"/>
      <c r="M432" s="1747"/>
      <c r="N432" s="1747"/>
      <c r="O432" s="51"/>
    </row>
    <row r="433" spans="1:15" ht="15" customHeight="1">
      <c r="A433" s="3002"/>
      <c r="B433" s="306">
        <v>11239</v>
      </c>
      <c r="C433" s="699">
        <v>0.1</v>
      </c>
      <c r="D433" s="576" t="s">
        <v>2350</v>
      </c>
      <c r="E433" s="577">
        <v>1400000</v>
      </c>
      <c r="F433" s="305">
        <v>0.08</v>
      </c>
      <c r="G433" s="852">
        <f t="shared" si="15"/>
        <v>112000</v>
      </c>
      <c r="H433" s="306" t="s">
        <v>582</v>
      </c>
      <c r="I433" s="306" t="s">
        <v>2225</v>
      </c>
      <c r="J433" s="772"/>
      <c r="K433" s="299"/>
      <c r="L433" s="290"/>
      <c r="M433" s="504"/>
      <c r="N433" s="312"/>
      <c r="O433" s="289"/>
    </row>
    <row r="434" spans="1:15" ht="16.5" customHeight="1">
      <c r="A434" s="3002"/>
      <c r="B434" s="795">
        <v>11264</v>
      </c>
      <c r="C434" s="362">
        <v>0.1</v>
      </c>
      <c r="D434" s="1027" t="s">
        <v>2351</v>
      </c>
      <c r="E434" s="577">
        <v>1300000</v>
      </c>
      <c r="F434" s="305">
        <v>0.08</v>
      </c>
      <c r="G434" s="852">
        <f t="shared" si="15"/>
        <v>104000</v>
      </c>
      <c r="H434" s="306" t="s">
        <v>582</v>
      </c>
      <c r="I434" s="306" t="s">
        <v>2352</v>
      </c>
      <c r="J434" s="772"/>
      <c r="K434" s="299"/>
      <c r="L434" s="290"/>
      <c r="M434" s="504"/>
      <c r="N434" s="312"/>
      <c r="O434" s="289"/>
    </row>
    <row r="435" spans="1:15" ht="15" customHeight="1">
      <c r="A435" s="3002"/>
      <c r="B435" s="525"/>
      <c r="C435" s="794"/>
      <c r="D435" s="1031"/>
      <c r="E435" s="670"/>
      <c r="F435" s="520"/>
      <c r="G435" s="619"/>
      <c r="H435" s="307"/>
      <c r="I435" s="307"/>
      <c r="J435" s="772"/>
      <c r="K435" s="299"/>
      <c r="L435" s="290"/>
      <c r="M435" s="504"/>
      <c r="N435" s="312"/>
      <c r="O435" s="289"/>
    </row>
    <row r="436" spans="1:15" ht="15" customHeight="1">
      <c r="A436" s="3002"/>
      <c r="B436" s="299"/>
      <c r="C436" s="692"/>
      <c r="D436" s="1031"/>
      <c r="E436" s="670"/>
      <c r="F436" s="520"/>
      <c r="G436" s="619"/>
      <c r="H436" s="307"/>
      <c r="I436" s="307"/>
      <c r="J436" s="772"/>
      <c r="K436" s="299"/>
      <c r="L436" s="290"/>
      <c r="M436" s="504"/>
      <c r="N436" s="312"/>
      <c r="O436" s="289"/>
    </row>
    <row r="437" spans="1:15" ht="15" customHeight="1">
      <c r="A437" s="3002"/>
      <c r="B437" s="671"/>
      <c r="C437" s="672"/>
      <c r="D437" s="1133" t="s">
        <v>1833</v>
      </c>
      <c r="E437" s="446">
        <f>E429+E430+E432+E431+E433+E434</f>
        <v>7400000</v>
      </c>
      <c r="F437" s="447"/>
      <c r="G437" s="448">
        <f>G429+G430+G431+G432+G433+G434</f>
        <v>500000</v>
      </c>
      <c r="H437" s="447"/>
      <c r="I437" s="444"/>
      <c r="J437" s="773"/>
      <c r="K437" s="308"/>
      <c r="L437" s="2834" t="s">
        <v>1834</v>
      </c>
      <c r="M437" s="2834"/>
      <c r="N437" s="2834"/>
      <c r="O437" s="289">
        <f>O426+O427</f>
        <v>72000</v>
      </c>
    </row>
    <row r="438" spans="1:15" ht="15.75" customHeight="1">
      <c r="A438" s="3002"/>
      <c r="B438" s="204"/>
      <c r="C438" s="626"/>
      <c r="D438" s="1086" t="s">
        <v>1835</v>
      </c>
      <c r="E438" s="451">
        <f>G437+O437</f>
        <v>572000</v>
      </c>
      <c r="F438" s="204"/>
      <c r="G438" s="443"/>
      <c r="H438" s="204"/>
      <c r="I438" s="204"/>
      <c r="J438" s="442"/>
      <c r="K438" s="171"/>
      <c r="L438" s="171"/>
      <c r="M438" s="171"/>
      <c r="N438" s="171"/>
      <c r="O438" s="774"/>
    </row>
    <row r="439" spans="1:15">
      <c r="A439" s="2172"/>
      <c r="B439" s="17"/>
      <c r="C439" s="17"/>
      <c r="D439" s="1058"/>
      <c r="E439" s="19"/>
      <c r="F439" s="17"/>
      <c r="G439" s="20"/>
      <c r="H439" s="17"/>
      <c r="I439" s="17"/>
      <c r="J439" s="18"/>
      <c r="O439" s="1"/>
    </row>
    <row r="440" spans="1:15">
      <c r="A440" s="2172"/>
      <c r="B440" s="17"/>
      <c r="C440" s="17"/>
      <c r="D440" s="1058"/>
      <c r="E440" s="19"/>
      <c r="F440" s="17"/>
      <c r="G440" s="20"/>
      <c r="H440" s="17"/>
      <c r="I440" s="17"/>
      <c r="J440" s="18"/>
      <c r="O440" s="1"/>
    </row>
    <row r="441" spans="1:15" ht="21">
      <c r="A441" s="3008" t="s">
        <v>2155</v>
      </c>
      <c r="B441" s="3008"/>
      <c r="C441" s="3008"/>
      <c r="D441" s="3008"/>
      <c r="E441" s="3008"/>
      <c r="F441" s="3008"/>
      <c r="G441" s="3008"/>
      <c r="H441" s="3008"/>
      <c r="I441" s="3008"/>
      <c r="J441" s="3008"/>
      <c r="K441" s="2819" t="s">
        <v>1805</v>
      </c>
      <c r="L441" s="2819"/>
      <c r="M441" s="2819"/>
      <c r="N441" s="2819"/>
      <c r="O441" s="2"/>
    </row>
    <row r="442" spans="1:15">
      <c r="A442" s="2208" t="s">
        <v>1806</v>
      </c>
      <c r="B442" s="783" t="s">
        <v>1807</v>
      </c>
      <c r="C442" s="1634" t="s">
        <v>1837</v>
      </c>
      <c r="D442" s="1056" t="s">
        <v>1809</v>
      </c>
      <c r="E442" s="779" t="s">
        <v>1810</v>
      </c>
      <c r="F442" s="1634" t="s">
        <v>1811</v>
      </c>
      <c r="G442" s="25" t="s">
        <v>1812</v>
      </c>
      <c r="H442" s="26" t="s">
        <v>1813</v>
      </c>
      <c r="I442" s="1634" t="s">
        <v>1814</v>
      </c>
      <c r="J442" s="26" t="s">
        <v>1815</v>
      </c>
      <c r="K442" s="26" t="s">
        <v>1807</v>
      </c>
      <c r="L442" s="26" t="s">
        <v>1809</v>
      </c>
      <c r="M442" s="26" t="s">
        <v>1816</v>
      </c>
      <c r="N442" s="259" t="s">
        <v>1811</v>
      </c>
      <c r="O442" s="260" t="s">
        <v>1817</v>
      </c>
    </row>
    <row r="443" spans="1:15" ht="27">
      <c r="A443" s="3001" t="s">
        <v>2353</v>
      </c>
      <c r="B443" s="784"/>
      <c r="C443" s="780"/>
      <c r="D443" s="1142" t="s">
        <v>2354</v>
      </c>
      <c r="E443" s="781"/>
      <c r="F443" s="780"/>
      <c r="G443" s="782"/>
      <c r="H443" s="780"/>
      <c r="I443" s="780"/>
      <c r="J443" s="3"/>
      <c r="K443" s="259"/>
      <c r="L443" s="259"/>
      <c r="M443" s="259"/>
      <c r="N443" s="259"/>
      <c r="O443" s="260"/>
    </row>
    <row r="444" spans="1:15">
      <c r="A444" s="3001"/>
      <c r="B444" s="784"/>
      <c r="C444" s="780"/>
      <c r="D444" s="1142" t="s">
        <v>2355</v>
      </c>
      <c r="E444" s="781"/>
      <c r="F444" s="780"/>
      <c r="G444" s="782"/>
      <c r="H444" s="780"/>
      <c r="I444" s="780"/>
      <c r="J444" s="3"/>
      <c r="K444" s="259"/>
      <c r="L444" s="259"/>
      <c r="M444" s="259"/>
      <c r="N444" s="259"/>
      <c r="O444" s="260"/>
    </row>
    <row r="445" spans="1:15">
      <c r="A445" s="3001"/>
      <c r="B445" s="785">
        <v>11165</v>
      </c>
      <c r="C445" s="123">
        <v>0.1</v>
      </c>
      <c r="D445" s="1143" t="s">
        <v>2356</v>
      </c>
      <c r="E445" s="67">
        <v>1350000</v>
      </c>
      <c r="F445" s="123">
        <v>0.08</v>
      </c>
      <c r="G445" s="851">
        <f>E445*F445</f>
        <v>108000</v>
      </c>
      <c r="H445" s="851" t="s">
        <v>2114</v>
      </c>
      <c r="I445" s="851" t="s">
        <v>2225</v>
      </c>
      <c r="J445" s="3"/>
      <c r="K445" s="259"/>
      <c r="L445" s="259"/>
      <c r="M445" s="259"/>
      <c r="N445" s="259"/>
      <c r="O445" s="260"/>
    </row>
    <row r="446" spans="1:15">
      <c r="A446" s="3001"/>
      <c r="B446" s="785">
        <v>11154</v>
      </c>
      <c r="C446" s="123">
        <v>0.1</v>
      </c>
      <c r="D446" s="1143" t="s">
        <v>2357</v>
      </c>
      <c r="E446" s="67">
        <v>1050000</v>
      </c>
      <c r="F446" s="123">
        <v>0.08</v>
      </c>
      <c r="G446" s="851">
        <f t="shared" ref="G446:G448" si="16">E446*F446</f>
        <v>84000</v>
      </c>
      <c r="H446" s="851" t="s">
        <v>2207</v>
      </c>
      <c r="I446" s="851" t="s">
        <v>2225</v>
      </c>
      <c r="J446" s="3"/>
      <c r="K446" s="259"/>
      <c r="L446" s="259"/>
      <c r="M446" s="259"/>
      <c r="N446" s="259"/>
      <c r="O446" s="260"/>
    </row>
    <row r="447" spans="1:15" ht="15" customHeight="1">
      <c r="A447" s="3001"/>
      <c r="B447" s="843">
        <v>11318</v>
      </c>
      <c r="C447" s="362">
        <v>0.1</v>
      </c>
      <c r="D447" s="576" t="s">
        <v>2358</v>
      </c>
      <c r="E447" s="497">
        <v>1150000</v>
      </c>
      <c r="F447" s="273">
        <v>0.08</v>
      </c>
      <c r="G447" s="851">
        <f t="shared" si="16"/>
        <v>92000</v>
      </c>
      <c r="H447" s="298" t="s">
        <v>2114</v>
      </c>
      <c r="I447" s="330" t="s">
        <v>133</v>
      </c>
      <c r="J447" s="327"/>
      <c r="K447" s="476"/>
      <c r="L447" s="500"/>
      <c r="M447" s="500"/>
      <c r="N447" s="500"/>
      <c r="O447" s="307"/>
    </row>
    <row r="448" spans="1:15" ht="15" customHeight="1">
      <c r="A448" s="3001"/>
      <c r="B448" s="791">
        <v>11236</v>
      </c>
      <c r="C448" s="792">
        <v>0.1</v>
      </c>
      <c r="D448" s="1087" t="s">
        <v>2359</v>
      </c>
      <c r="E448" s="358">
        <v>1100000</v>
      </c>
      <c r="F448" s="664">
        <v>0.04</v>
      </c>
      <c r="G448" s="851">
        <f t="shared" si="16"/>
        <v>44000</v>
      </c>
      <c r="H448" s="322" t="s">
        <v>582</v>
      </c>
      <c r="I448" s="329" t="s">
        <v>133</v>
      </c>
      <c r="J448" s="749"/>
      <c r="K448" s="476"/>
      <c r="L448" s="500"/>
      <c r="M448" s="500"/>
      <c r="N448" s="500"/>
      <c r="O448" s="307"/>
    </row>
    <row r="449" spans="1:108" ht="15" customHeight="1">
      <c r="A449" s="3001"/>
      <c r="B449" s="786"/>
      <c r="C449" s="318"/>
      <c r="D449" s="1031"/>
      <c r="E449" s="319"/>
      <c r="F449" s="747"/>
      <c r="G449" s="748"/>
      <c r="H449" s="696"/>
      <c r="I449" s="524"/>
      <c r="J449" s="749"/>
      <c r="K449" s="476"/>
      <c r="L449" s="500"/>
      <c r="M449" s="500"/>
      <c r="N449" s="500"/>
      <c r="O449" s="307"/>
    </row>
    <row r="450" spans="1:108" ht="15" customHeight="1">
      <c r="A450" s="3001"/>
      <c r="B450" s="787"/>
      <c r="C450" s="318"/>
      <c r="D450" s="1031"/>
      <c r="E450" s="319"/>
      <c r="F450" s="747"/>
      <c r="G450" s="748"/>
      <c r="H450" s="363"/>
      <c r="I450" s="308"/>
      <c r="J450" s="327"/>
      <c r="K450" s="476"/>
      <c r="L450" s="500"/>
      <c r="M450" s="500"/>
      <c r="N450" s="500"/>
      <c r="O450" s="307"/>
    </row>
    <row r="451" spans="1:108" ht="15" customHeight="1">
      <c r="A451" s="3001"/>
      <c r="B451" s="788"/>
      <c r="C451" s="675"/>
      <c r="D451" s="1144" t="s">
        <v>1833</v>
      </c>
      <c r="E451" s="475">
        <f>E445+E446+E447+E448</f>
        <v>4650000</v>
      </c>
      <c r="F451" s="506"/>
      <c r="G451" s="475">
        <f>G445+G446+G447+G448</f>
        <v>328000</v>
      </c>
      <c r="H451" s="891"/>
      <c r="I451" s="506"/>
      <c r="J451" s="334"/>
      <c r="K451" s="477"/>
      <c r="L451" s="2981" t="s">
        <v>1859</v>
      </c>
      <c r="M451" s="2981"/>
      <c r="N451" s="2981"/>
      <c r="O451" s="439"/>
    </row>
    <row r="452" spans="1:108" ht="15.75" customHeight="1">
      <c r="A452" s="3001"/>
      <c r="B452" s="789"/>
      <c r="C452" s="452"/>
      <c r="D452" s="1090" t="s">
        <v>1835</v>
      </c>
      <c r="E452" s="510">
        <f>G451</f>
        <v>328000</v>
      </c>
      <c r="F452" s="450"/>
      <c r="G452" s="481"/>
      <c r="H452" s="450"/>
      <c r="I452" s="450"/>
      <c r="J452" s="482"/>
      <c r="K452" s="453"/>
      <c r="L452" s="454"/>
      <c r="M452" s="454"/>
      <c r="N452" s="454"/>
      <c r="O452" s="455"/>
    </row>
    <row r="453" spans="1:108" ht="15.6">
      <c r="A453" s="2209"/>
      <c r="B453" s="456"/>
      <c r="C453" s="456"/>
      <c r="D453" s="1091"/>
      <c r="E453" s="458"/>
      <c r="F453" s="456"/>
      <c r="G453" s="459"/>
      <c r="H453" s="456"/>
      <c r="I453" s="456"/>
      <c r="J453" s="457"/>
      <c r="K453" s="460"/>
      <c r="L453" s="461"/>
      <c r="M453" s="461"/>
      <c r="N453" s="461"/>
      <c r="O453" s="455"/>
    </row>
    <row r="454" spans="1:108" ht="15.6">
      <c r="A454" s="2209"/>
      <c r="B454" s="799"/>
      <c r="C454" s="799"/>
      <c r="D454" s="1145"/>
      <c r="E454" s="801"/>
      <c r="F454" s="799"/>
      <c r="G454" s="802"/>
      <c r="H454" s="799"/>
      <c r="I454" s="799"/>
      <c r="J454" s="800"/>
      <c r="K454" s="803"/>
      <c r="L454" s="804"/>
      <c r="M454" s="804"/>
      <c r="N454" s="804"/>
      <c r="O454" s="805"/>
    </row>
    <row r="455" spans="1:108" ht="21">
      <c r="A455" s="2997" t="s">
        <v>2360</v>
      </c>
      <c r="B455" s="2997"/>
      <c r="C455" s="2997"/>
      <c r="D455" s="2997"/>
      <c r="E455" s="2997"/>
      <c r="F455" s="2997"/>
      <c r="G455" s="2997"/>
      <c r="H455" s="2997"/>
      <c r="I455" s="2997"/>
      <c r="J455" s="2997"/>
      <c r="K455" s="2999" t="s">
        <v>1805</v>
      </c>
      <c r="L455" s="2999"/>
      <c r="M455" s="2999"/>
      <c r="N455" s="2999"/>
      <c r="O455" s="2"/>
    </row>
    <row r="456" spans="1:108">
      <c r="A456" s="2171" t="s">
        <v>1806</v>
      </c>
      <c r="B456" s="3" t="s">
        <v>1807</v>
      </c>
      <c r="C456" s="3" t="s">
        <v>1837</v>
      </c>
      <c r="D456" s="1059" t="s">
        <v>1809</v>
      </c>
      <c r="E456" s="4" t="s">
        <v>1810</v>
      </c>
      <c r="F456" s="3" t="s">
        <v>1811</v>
      </c>
      <c r="G456" s="5" t="s">
        <v>1812</v>
      </c>
      <c r="H456" s="3" t="s">
        <v>1813</v>
      </c>
      <c r="I456" s="3" t="s">
        <v>1814</v>
      </c>
      <c r="J456" s="3" t="s">
        <v>1815</v>
      </c>
      <c r="K456" s="3" t="s">
        <v>1807</v>
      </c>
      <c r="L456" s="3" t="s">
        <v>1809</v>
      </c>
      <c r="M456" s="3" t="s">
        <v>1816</v>
      </c>
      <c r="N456" s="3" t="s">
        <v>1811</v>
      </c>
      <c r="O456" s="2" t="s">
        <v>1817</v>
      </c>
    </row>
    <row r="457" spans="1:108">
      <c r="A457" s="3000">
        <v>9</v>
      </c>
      <c r="B457" s="836">
        <v>11316</v>
      </c>
      <c r="C457" s="837">
        <v>0.1</v>
      </c>
      <c r="D457" s="1143" t="s">
        <v>2361</v>
      </c>
      <c r="E457" s="838">
        <v>1100000</v>
      </c>
      <c r="F457" s="836"/>
      <c r="G457" s="839"/>
      <c r="H457" s="836" t="s">
        <v>489</v>
      </c>
      <c r="I457" s="836" t="s">
        <v>2225</v>
      </c>
      <c r="J457" s="1747"/>
      <c r="K457" s="3"/>
      <c r="L457" s="3"/>
      <c r="M457" s="3"/>
      <c r="N457" s="3"/>
      <c r="O457" s="2"/>
    </row>
    <row r="458" spans="1:108">
      <c r="A458" s="3000"/>
      <c r="B458" s="836">
        <v>11322</v>
      </c>
      <c r="C458" s="837">
        <v>0.1</v>
      </c>
      <c r="D458" s="1143" t="s">
        <v>2362</v>
      </c>
      <c r="E458" s="838">
        <v>880000</v>
      </c>
      <c r="F458" s="836"/>
      <c r="G458" s="839"/>
      <c r="H458" s="836" t="s">
        <v>489</v>
      </c>
      <c r="I458" s="836" t="s">
        <v>2363</v>
      </c>
      <c r="J458" s="1747"/>
      <c r="K458" s="3"/>
      <c r="L458" s="3"/>
      <c r="M458" s="3"/>
      <c r="N458" s="3"/>
      <c r="O458" s="2"/>
    </row>
    <row r="459" spans="1:108">
      <c r="A459" s="3000"/>
      <c r="B459" s="51"/>
      <c r="C459" s="666"/>
      <c r="D459" s="1146"/>
      <c r="E459" s="34"/>
      <c r="F459" s="666"/>
      <c r="G459" s="34"/>
      <c r="H459" s="51"/>
      <c r="I459" s="51"/>
      <c r="J459" s="1747"/>
      <c r="K459" s="3"/>
      <c r="L459" s="3"/>
      <c r="M459" s="3"/>
      <c r="N459" s="3"/>
      <c r="O459" s="2"/>
    </row>
    <row r="460" spans="1:108">
      <c r="A460" s="3000"/>
      <c r="B460" s="506"/>
      <c r="C460" s="506"/>
      <c r="D460" s="1089" t="s">
        <v>1833</v>
      </c>
      <c r="E460" s="475">
        <f>E457+E458</f>
        <v>1980000</v>
      </c>
      <c r="F460" s="506"/>
      <c r="G460" s="475"/>
      <c r="H460" s="506"/>
      <c r="I460" s="506"/>
      <c r="J460" s="334"/>
      <c r="K460" s="279"/>
      <c r="L460" s="2916" t="s">
        <v>1859</v>
      </c>
      <c r="M460" s="2916"/>
      <c r="N460" s="2916"/>
      <c r="O460" s="821"/>
    </row>
    <row r="461" spans="1:108" ht="15.6">
      <c r="A461" s="3000"/>
      <c r="B461" s="813"/>
      <c r="C461" s="813"/>
      <c r="D461" s="483" t="s">
        <v>1835</v>
      </c>
      <c r="E461" s="814">
        <v>0</v>
      </c>
      <c r="F461" s="813"/>
      <c r="G461" s="815"/>
      <c r="H461" s="813"/>
      <c r="I461" s="813"/>
      <c r="J461" s="816"/>
      <c r="K461" s="279"/>
      <c r="L461" s="817"/>
      <c r="M461" s="817"/>
      <c r="N461" s="817"/>
      <c r="O461" s="286"/>
    </row>
    <row r="462" spans="1:108" s="34" customFormat="1" ht="15" customHeight="1">
      <c r="A462" s="2210"/>
      <c r="B462" s="308"/>
      <c r="C462" s="308"/>
      <c r="D462" s="1147"/>
      <c r="E462" s="819"/>
      <c r="F462" s="308"/>
      <c r="G462" s="820"/>
      <c r="H462" s="308"/>
      <c r="I462" s="308"/>
      <c r="J462" s="327"/>
      <c r="K462" s="290"/>
      <c r="L462" s="817"/>
      <c r="M462" s="817"/>
      <c r="N462" s="817"/>
      <c r="O462" s="825"/>
      <c r="DD462" s="236"/>
    </row>
    <row r="463" spans="1:108" s="34" customFormat="1" ht="9" customHeight="1">
      <c r="A463" s="2210"/>
      <c r="B463" s="308"/>
      <c r="C463" s="308"/>
      <c r="D463" s="1147"/>
      <c r="E463" s="819"/>
      <c r="F463" s="308"/>
      <c r="G463" s="820"/>
      <c r="H463" s="308"/>
      <c r="I463" s="308"/>
      <c r="J463" s="327"/>
      <c r="K463" s="290"/>
      <c r="L463" s="817"/>
      <c r="M463" s="817"/>
      <c r="N463" s="817"/>
      <c r="O463" s="825"/>
      <c r="DD463" s="236"/>
    </row>
    <row r="464" spans="1:108" s="34" customFormat="1" ht="22.5" customHeight="1">
      <c r="A464" s="2997" t="s">
        <v>2364</v>
      </c>
      <c r="B464" s="2997"/>
      <c r="C464" s="2997"/>
      <c r="D464" s="2997"/>
      <c r="E464" s="2997"/>
      <c r="F464" s="2997"/>
      <c r="G464" s="2997"/>
      <c r="H464" s="2997"/>
      <c r="I464" s="2997"/>
      <c r="J464" s="2997"/>
      <c r="K464" s="2811" t="s">
        <v>1805</v>
      </c>
      <c r="L464" s="2811"/>
      <c r="M464" s="2811"/>
      <c r="N464" s="2811"/>
      <c r="O464" s="826"/>
      <c r="DD464" s="236"/>
    </row>
    <row r="465" spans="1:108" s="34" customFormat="1" ht="15" customHeight="1">
      <c r="A465" s="2171" t="s">
        <v>1806</v>
      </c>
      <c r="B465" s="3" t="s">
        <v>1807</v>
      </c>
      <c r="C465" s="3" t="s">
        <v>1837</v>
      </c>
      <c r="D465" s="1059" t="s">
        <v>1809</v>
      </c>
      <c r="E465" s="4" t="s">
        <v>1810</v>
      </c>
      <c r="F465" s="3" t="s">
        <v>1811</v>
      </c>
      <c r="G465" s="5" t="s">
        <v>1812</v>
      </c>
      <c r="H465" s="3" t="s">
        <v>1813</v>
      </c>
      <c r="I465" s="3" t="s">
        <v>1814</v>
      </c>
      <c r="J465" s="3" t="s">
        <v>1815</v>
      </c>
      <c r="K465" s="1747" t="s">
        <v>1807</v>
      </c>
      <c r="L465" s="1747" t="s">
        <v>1809</v>
      </c>
      <c r="M465" s="1747" t="s">
        <v>1816</v>
      </c>
      <c r="N465" s="1747" t="s">
        <v>1811</v>
      </c>
      <c r="O465" s="826" t="s">
        <v>1817</v>
      </c>
      <c r="DD465" s="236"/>
    </row>
    <row r="466" spans="1:108" s="34" customFormat="1" ht="12" customHeight="1">
      <c r="A466" s="2990" t="s">
        <v>2365</v>
      </c>
      <c r="B466" s="836">
        <v>11211</v>
      </c>
      <c r="C466" s="837">
        <v>0.1</v>
      </c>
      <c r="D466" s="1143" t="s">
        <v>2366</v>
      </c>
      <c r="E466" s="838">
        <v>1100000</v>
      </c>
      <c r="F466" s="837">
        <v>0.04</v>
      </c>
      <c r="G466" s="839">
        <f>E466*F466</f>
        <v>44000</v>
      </c>
      <c r="H466" s="836" t="s">
        <v>489</v>
      </c>
      <c r="I466" s="840" t="s">
        <v>2367</v>
      </c>
      <c r="J466" s="1747"/>
      <c r="K466" s="836">
        <v>11181</v>
      </c>
      <c r="L466" s="836" t="s">
        <v>2368</v>
      </c>
      <c r="M466" s="836">
        <v>1200000</v>
      </c>
      <c r="N466" s="837">
        <v>0.04</v>
      </c>
      <c r="O466" s="678">
        <f>M466*N466</f>
        <v>48000</v>
      </c>
      <c r="DD466" s="236"/>
    </row>
    <row r="467" spans="1:108" s="34" customFormat="1" ht="15.75" customHeight="1">
      <c r="A467" s="2990"/>
      <c r="B467" s="836">
        <v>11233</v>
      </c>
      <c r="C467" s="837">
        <v>0.1</v>
      </c>
      <c r="D467" s="1143" t="s">
        <v>2369</v>
      </c>
      <c r="E467" s="838">
        <v>720000</v>
      </c>
      <c r="F467" s="837">
        <v>0.04</v>
      </c>
      <c r="G467" s="839">
        <f t="shared" ref="G467:G471" si="17">E467*F467</f>
        <v>28800</v>
      </c>
      <c r="H467" s="841" t="s">
        <v>732</v>
      </c>
      <c r="I467" s="842" t="s">
        <v>2370</v>
      </c>
      <c r="J467" s="64"/>
      <c r="K467" s="836">
        <v>11317</v>
      </c>
      <c r="L467" s="836" t="s">
        <v>2371</v>
      </c>
      <c r="M467" s="836">
        <v>1400000</v>
      </c>
      <c r="N467" s="837">
        <v>0.04</v>
      </c>
      <c r="O467" s="678">
        <f>M467*N467</f>
        <v>56000</v>
      </c>
      <c r="DD467" s="236"/>
    </row>
    <row r="468" spans="1:108" s="34" customFormat="1" ht="15.75" customHeight="1">
      <c r="A468" s="2990"/>
      <c r="B468" s="836">
        <v>11183</v>
      </c>
      <c r="C468" s="837">
        <v>0.1</v>
      </c>
      <c r="D468" s="1143" t="s">
        <v>2372</v>
      </c>
      <c r="E468" s="838">
        <v>1170000</v>
      </c>
      <c r="F468" s="837">
        <v>0.04</v>
      </c>
      <c r="G468" s="839">
        <f t="shared" si="17"/>
        <v>46800</v>
      </c>
      <c r="H468" s="841" t="s">
        <v>732</v>
      </c>
      <c r="I468" s="842" t="s">
        <v>2370</v>
      </c>
      <c r="J468" s="64"/>
      <c r="K468" s="1747"/>
      <c r="L468" s="1747"/>
      <c r="M468" s="1747"/>
      <c r="N468" s="1747"/>
      <c r="O468" s="826"/>
      <c r="DD468" s="236"/>
    </row>
    <row r="469" spans="1:108" s="34" customFormat="1" ht="15.75" customHeight="1">
      <c r="A469" s="2990"/>
      <c r="B469" s="836">
        <v>11238</v>
      </c>
      <c r="C469" s="837">
        <v>0.1</v>
      </c>
      <c r="D469" s="1143" t="s">
        <v>2373</v>
      </c>
      <c r="E469" s="838">
        <v>1650000</v>
      </c>
      <c r="F469" s="837">
        <v>0.08</v>
      </c>
      <c r="G469" s="839">
        <f t="shared" si="17"/>
        <v>132000</v>
      </c>
      <c r="H469" s="841" t="s">
        <v>510</v>
      </c>
      <c r="I469" s="842" t="s">
        <v>2370</v>
      </c>
      <c r="J469" s="64"/>
      <c r="K469" s="1747"/>
      <c r="L469" s="1747"/>
      <c r="M469" s="1747"/>
      <c r="N469" s="1747"/>
      <c r="O469" s="826"/>
      <c r="DD469" s="236"/>
    </row>
    <row r="470" spans="1:108" s="34" customFormat="1" ht="15.75" customHeight="1">
      <c r="A470" s="2990"/>
      <c r="B470" s="836">
        <v>11273</v>
      </c>
      <c r="C470" s="837">
        <v>0.1</v>
      </c>
      <c r="D470" s="1143" t="s">
        <v>2374</v>
      </c>
      <c r="E470" s="838">
        <v>900000</v>
      </c>
      <c r="F470" s="837">
        <v>0.04</v>
      </c>
      <c r="G470" s="839">
        <f t="shared" si="17"/>
        <v>36000</v>
      </c>
      <c r="H470" s="841" t="s">
        <v>732</v>
      </c>
      <c r="I470" s="842" t="s">
        <v>2370</v>
      </c>
      <c r="J470" s="64"/>
      <c r="K470" s="1747"/>
      <c r="L470" s="1747"/>
      <c r="M470" s="1747"/>
      <c r="N470" s="1747"/>
      <c r="O470" s="826"/>
      <c r="DD470" s="236"/>
    </row>
    <row r="471" spans="1:108" s="34" customFormat="1" ht="15.75" customHeight="1">
      <c r="A471" s="2990"/>
      <c r="B471" s="836">
        <v>11330</v>
      </c>
      <c r="C471" s="837">
        <v>0.1</v>
      </c>
      <c r="D471" s="1143" t="s">
        <v>2375</v>
      </c>
      <c r="E471" s="838">
        <v>950000</v>
      </c>
      <c r="F471" s="837">
        <v>0.08</v>
      </c>
      <c r="G471" s="839">
        <f t="shared" si="17"/>
        <v>76000</v>
      </c>
      <c r="H471" s="841" t="s">
        <v>510</v>
      </c>
      <c r="I471" s="842" t="s">
        <v>2370</v>
      </c>
      <c r="J471" s="64"/>
      <c r="K471" s="1747"/>
      <c r="L471" s="1747"/>
      <c r="M471" s="1747"/>
      <c r="N471" s="1747"/>
      <c r="O471" s="826"/>
      <c r="DD471" s="236"/>
    </row>
    <row r="472" spans="1:108" s="34" customFormat="1">
      <c r="A472" s="2990"/>
      <c r="B472" s="51"/>
      <c r="C472" s="666"/>
      <c r="D472" s="1146"/>
      <c r="F472" s="666"/>
      <c r="H472" s="51"/>
      <c r="I472" s="1032"/>
      <c r="J472" s="1747"/>
      <c r="K472" s="1747"/>
      <c r="L472" s="1747"/>
      <c r="M472" s="1747"/>
      <c r="N472" s="1747"/>
      <c r="O472" s="826"/>
      <c r="DD472" s="236"/>
    </row>
    <row r="473" spans="1:108" ht="15.6">
      <c r="A473" s="2990"/>
      <c r="B473" s="506"/>
      <c r="C473" s="506"/>
      <c r="D473" s="1089" t="s">
        <v>1833</v>
      </c>
      <c r="E473" s="475">
        <f>E466+E467+E468+E469+E470+E471</f>
        <v>6490000</v>
      </c>
      <c r="F473" s="506"/>
      <c r="G473" s="475">
        <f>G466+G467+G468+G469+G470+G471</f>
        <v>363600</v>
      </c>
      <c r="H473" s="506"/>
      <c r="I473" s="506"/>
      <c r="J473" s="334"/>
      <c r="K473" s="279"/>
      <c r="L473" s="2916" t="s">
        <v>1859</v>
      </c>
      <c r="M473" s="2916"/>
      <c r="N473" s="2916"/>
      <c r="O473" s="856">
        <f>O466+O467</f>
        <v>104000</v>
      </c>
    </row>
    <row r="474" spans="1:108" ht="15.6">
      <c r="A474" s="2990"/>
      <c r="B474" s="813"/>
      <c r="C474" s="813"/>
      <c r="D474" s="483" t="s">
        <v>1835</v>
      </c>
      <c r="E474" s="857">
        <f>G473+O473</f>
        <v>467600</v>
      </c>
      <c r="F474" s="813"/>
      <c r="G474" s="815"/>
      <c r="H474" s="813"/>
      <c r="I474" s="813"/>
      <c r="J474" s="816"/>
      <c r="K474" s="279"/>
      <c r="L474" s="817"/>
      <c r="M474" s="817"/>
      <c r="N474" s="817"/>
      <c r="O474" s="286"/>
    </row>
    <row r="475" spans="1:108" ht="27" customHeight="1">
      <c r="A475" s="2211"/>
      <c r="B475" s="373"/>
      <c r="C475" s="373"/>
      <c r="D475" s="1148"/>
      <c r="E475" s="823"/>
      <c r="F475" s="373"/>
      <c r="G475" s="824"/>
      <c r="H475" s="1019"/>
      <c r="I475" s="799"/>
      <c r="J475" s="800"/>
      <c r="K475" s="803"/>
      <c r="L475" s="812"/>
      <c r="M475" s="812"/>
      <c r="N475" s="812"/>
      <c r="O475" s="822"/>
    </row>
    <row r="476" spans="1:108">
      <c r="A476" s="2994" t="s">
        <v>2376</v>
      </c>
      <c r="B476" s="2994"/>
      <c r="C476" s="2994"/>
      <c r="D476" s="2994"/>
      <c r="E476" s="2994"/>
      <c r="F476" s="2994"/>
      <c r="G476" s="2994"/>
      <c r="H476" s="2994"/>
    </row>
    <row r="477" spans="1:108" ht="15" customHeight="1">
      <c r="A477" s="2994"/>
      <c r="B477" s="2994"/>
      <c r="C477" s="2994"/>
      <c r="D477" s="2994"/>
      <c r="E477" s="2994"/>
      <c r="F477" s="2994"/>
      <c r="G477" s="2994"/>
      <c r="H477" s="2994"/>
    </row>
    <row r="478" spans="1:108" ht="15" customHeight="1">
      <c r="A478" s="263" t="s">
        <v>2011</v>
      </c>
      <c r="B478" s="396" t="s">
        <v>1808</v>
      </c>
      <c r="C478" s="176" t="s">
        <v>2012</v>
      </c>
      <c r="D478" s="1100" t="s">
        <v>2123</v>
      </c>
      <c r="E478" s="397" t="s">
        <v>2013</v>
      </c>
      <c r="F478" s="398" t="s">
        <v>1811</v>
      </c>
      <c r="G478" s="399" t="s">
        <v>1817</v>
      </c>
      <c r="H478" s="683" t="s">
        <v>2125</v>
      </c>
      <c r="I478" s="2"/>
    </row>
    <row r="479" spans="1:108" ht="15" customHeight="1">
      <c r="A479" s="2212"/>
      <c r="B479" s="761"/>
      <c r="C479" s="762" t="s">
        <v>2377</v>
      </c>
      <c r="D479" s="759" t="s">
        <v>2378</v>
      </c>
      <c r="E479" s="763"/>
      <c r="F479" s="764"/>
      <c r="G479" s="765"/>
      <c r="H479" s="760"/>
      <c r="I479" s="1040"/>
    </row>
    <row r="480" spans="1:108" ht="15" customHeight="1">
      <c r="A480" s="639">
        <v>11165</v>
      </c>
      <c r="B480" s="750">
        <v>0.1</v>
      </c>
      <c r="C480" s="274" t="s">
        <v>2379</v>
      </c>
      <c r="D480" s="1029" t="s">
        <v>2111</v>
      </c>
      <c r="E480" s="682">
        <v>1350000</v>
      </c>
      <c r="F480" s="305">
        <v>0.02</v>
      </c>
      <c r="G480" s="853">
        <f>E480*F480</f>
        <v>27000</v>
      </c>
      <c r="H480" s="712" t="s">
        <v>2207</v>
      </c>
      <c r="I480" s="613" t="s">
        <v>2124</v>
      </c>
    </row>
    <row r="481" spans="1:9" ht="15" customHeight="1">
      <c r="A481" s="639">
        <v>11154</v>
      </c>
      <c r="B481" s="750">
        <v>0.1</v>
      </c>
      <c r="C481" s="615" t="s">
        <v>2380</v>
      </c>
      <c r="D481" s="1029" t="s">
        <v>2111</v>
      </c>
      <c r="E481" s="682">
        <v>1050000</v>
      </c>
      <c r="F481" s="305">
        <v>0.02</v>
      </c>
      <c r="G481" s="853">
        <f t="shared" ref="G481:G487" si="18">E481*F481</f>
        <v>21000</v>
      </c>
      <c r="H481" s="712" t="s">
        <v>2207</v>
      </c>
      <c r="I481" s="613" t="s">
        <v>2124</v>
      </c>
    </row>
    <row r="482" spans="1:9" ht="15" customHeight="1">
      <c r="A482" s="983">
        <v>11177</v>
      </c>
      <c r="B482" s="750">
        <v>0.1</v>
      </c>
      <c r="C482" s="274" t="s">
        <v>2381</v>
      </c>
      <c r="D482" s="1029" t="s">
        <v>2111</v>
      </c>
      <c r="E482" s="682">
        <v>1100000</v>
      </c>
      <c r="F482" s="305">
        <v>0.02</v>
      </c>
      <c r="G482" s="853">
        <f t="shared" si="18"/>
        <v>22000</v>
      </c>
      <c r="H482" s="712" t="s">
        <v>582</v>
      </c>
      <c r="I482" s="613" t="s">
        <v>2124</v>
      </c>
    </row>
    <row r="483" spans="1:9" ht="15" customHeight="1">
      <c r="A483" s="639">
        <v>11184</v>
      </c>
      <c r="B483" s="750">
        <v>0.1</v>
      </c>
      <c r="C483" s="274" t="s">
        <v>2382</v>
      </c>
      <c r="D483" s="1029" t="s">
        <v>2111</v>
      </c>
      <c r="E483" s="682">
        <v>1100000</v>
      </c>
      <c r="F483" s="305">
        <v>0.02</v>
      </c>
      <c r="G483" s="853">
        <f t="shared" si="18"/>
        <v>22000</v>
      </c>
      <c r="H483" s="712" t="s">
        <v>582</v>
      </c>
      <c r="I483" s="613" t="s">
        <v>2124</v>
      </c>
    </row>
    <row r="484" spans="1:9" ht="15" customHeight="1">
      <c r="A484" s="639">
        <v>11181</v>
      </c>
      <c r="B484" s="750">
        <v>0.1</v>
      </c>
      <c r="C484" s="274" t="s">
        <v>396</v>
      </c>
      <c r="D484" s="1029" t="s">
        <v>2111</v>
      </c>
      <c r="E484" s="682">
        <v>1200000</v>
      </c>
      <c r="F484" s="305">
        <v>0.02</v>
      </c>
      <c r="G484" s="853">
        <f t="shared" si="18"/>
        <v>24000</v>
      </c>
      <c r="H484" s="712" t="s">
        <v>582</v>
      </c>
      <c r="I484" s="613" t="s">
        <v>2124</v>
      </c>
    </row>
    <row r="485" spans="1:9" ht="15" customHeight="1">
      <c r="A485" s="639">
        <v>11205</v>
      </c>
      <c r="B485" s="750">
        <v>0.1</v>
      </c>
      <c r="C485" s="274" t="s">
        <v>2383</v>
      </c>
      <c r="D485" s="1029" t="s">
        <v>2111</v>
      </c>
      <c r="E485" s="682">
        <v>1300000</v>
      </c>
      <c r="F485" s="305">
        <v>0.02</v>
      </c>
      <c r="G485" s="853">
        <f t="shared" si="18"/>
        <v>26000</v>
      </c>
      <c r="H485" s="712" t="s">
        <v>582</v>
      </c>
      <c r="I485" s="613" t="s">
        <v>2124</v>
      </c>
    </row>
    <row r="486" spans="1:9" ht="15.75" customHeight="1">
      <c r="A486" s="554">
        <v>11149</v>
      </c>
      <c r="B486" s="775">
        <v>0.1</v>
      </c>
      <c r="C486" s="776" t="s">
        <v>2384</v>
      </c>
      <c r="D486" s="777" t="s">
        <v>2111</v>
      </c>
      <c r="E486" s="778">
        <v>950000</v>
      </c>
      <c r="F486" s="305">
        <v>0.02</v>
      </c>
      <c r="G486" s="853">
        <f t="shared" si="18"/>
        <v>19000</v>
      </c>
      <c r="H486" s="1020" t="s">
        <v>732</v>
      </c>
      <c r="I486" s="613" t="s">
        <v>2124</v>
      </c>
    </row>
    <row r="487" spans="1:9">
      <c r="A487" s="554">
        <v>11239</v>
      </c>
      <c r="B487" s="750">
        <v>0.1</v>
      </c>
      <c r="C487" s="615" t="s">
        <v>2385</v>
      </c>
      <c r="D487" s="1029" t="s">
        <v>2111</v>
      </c>
      <c r="E487" s="682">
        <v>1400000</v>
      </c>
      <c r="F487" s="305">
        <v>0.02</v>
      </c>
      <c r="G487" s="853">
        <f t="shared" si="18"/>
        <v>28000</v>
      </c>
      <c r="H487" s="712" t="s">
        <v>582</v>
      </c>
      <c r="I487" s="1041" t="s">
        <v>2124</v>
      </c>
    </row>
    <row r="488" spans="1:9" s="11" customFormat="1">
      <c r="A488" s="121">
        <v>11316</v>
      </c>
      <c r="B488" s="123">
        <v>0.1</v>
      </c>
      <c r="C488" s="67" t="s">
        <v>2386</v>
      </c>
      <c r="D488" s="1061" t="s">
        <v>2387</v>
      </c>
      <c r="E488" s="120">
        <v>1100000</v>
      </c>
      <c r="F488" s="273">
        <v>0.02</v>
      </c>
      <c r="G488" s="853">
        <f>E488*F488</f>
        <v>22000</v>
      </c>
      <c r="H488" s="851" t="s">
        <v>489</v>
      </c>
      <c r="I488" s="851" t="s">
        <v>2124</v>
      </c>
    </row>
    <row r="489" spans="1:9">
      <c r="A489" s="2213"/>
      <c r="B489" s="767"/>
      <c r="C489" s="768"/>
      <c r="D489" s="1149"/>
      <c r="E489" s="847"/>
      <c r="F489" s="846"/>
      <c r="G489" s="848"/>
      <c r="H489" s="616"/>
      <c r="I489" s="1042"/>
    </row>
    <row r="490" spans="1:9">
      <c r="A490" s="269"/>
      <c r="B490" s="743"/>
      <c r="C490" s="407"/>
      <c r="D490" s="1150"/>
      <c r="E490" s="566"/>
      <c r="F490" s="769"/>
      <c r="G490" s="406"/>
      <c r="H490" s="501"/>
      <c r="I490" s="1007"/>
    </row>
    <row r="491" spans="1:9">
      <c r="A491" s="269"/>
      <c r="B491" s="743"/>
      <c r="C491" s="407"/>
      <c r="D491" s="1150"/>
      <c r="E491" s="566"/>
      <c r="F491" s="567"/>
      <c r="G491" s="406"/>
      <c r="H491" s="501"/>
      <c r="I491" s="1007"/>
    </row>
    <row r="492" spans="1:9">
      <c r="A492" s="269"/>
      <c r="B492" s="743"/>
      <c r="C492" s="407"/>
      <c r="D492" s="1150" t="s">
        <v>1833</v>
      </c>
      <c r="E492" s="566">
        <v>10550000</v>
      </c>
      <c r="F492" s="567"/>
      <c r="G492" s="406">
        <f>G480+G481+G482+G483+G484+G485+G486+G487+G488</f>
        <v>211000</v>
      </c>
      <c r="H492" s="501"/>
      <c r="I492" s="1007"/>
    </row>
    <row r="493" spans="1:9" ht="15.6">
      <c r="A493" s="269"/>
      <c r="B493" s="270"/>
      <c r="C493" s="270"/>
      <c r="D493" s="1110" t="s">
        <v>2388</v>
      </c>
      <c r="E493" s="546">
        <f>G492</f>
        <v>211000</v>
      </c>
      <c r="F493" s="270"/>
      <c r="G493" s="766"/>
      <c r="H493" s="1021"/>
      <c r="I493" s="1007"/>
    </row>
    <row r="494" spans="1:9" ht="15.6">
      <c r="A494" s="261"/>
      <c r="B494" s="796"/>
      <c r="C494" s="796"/>
      <c r="D494" s="1151"/>
      <c r="E494" s="797"/>
      <c r="F494" s="796"/>
      <c r="G494" s="798"/>
      <c r="H494" s="1022"/>
      <c r="I494" s="1043"/>
    </row>
    <row r="495" spans="1:9">
      <c r="A495" s="90"/>
      <c r="E495" s="91"/>
      <c r="G495" s="92"/>
      <c r="H495" s="1001"/>
    </row>
    <row r="496" spans="1:9">
      <c r="A496" s="2995" t="s">
        <v>2389</v>
      </c>
      <c r="B496" s="2995"/>
      <c r="C496" s="2995"/>
      <c r="D496" s="2995"/>
      <c r="E496" s="2995"/>
      <c r="F496" s="2995"/>
      <c r="G496" s="2995"/>
      <c r="H496" s="2995"/>
    </row>
    <row r="497" spans="1:9">
      <c r="A497" s="2995"/>
      <c r="B497" s="2995"/>
      <c r="C497" s="2995"/>
      <c r="D497" s="2995"/>
      <c r="E497" s="2995"/>
      <c r="F497" s="2995"/>
      <c r="G497" s="2995"/>
      <c r="H497" s="2995"/>
    </row>
    <row r="498" spans="1:9" ht="20.45">
      <c r="A498" s="263" t="s">
        <v>2011</v>
      </c>
      <c r="B498" s="396" t="s">
        <v>1808</v>
      </c>
      <c r="C498" s="176" t="s">
        <v>2012</v>
      </c>
      <c r="D498" s="1100" t="s">
        <v>2123</v>
      </c>
      <c r="E498" s="397" t="s">
        <v>2013</v>
      </c>
      <c r="F498" s="398" t="s">
        <v>1811</v>
      </c>
      <c r="G498" s="399" t="s">
        <v>1817</v>
      </c>
      <c r="H498" s="400"/>
    </row>
    <row r="499" spans="1:9">
      <c r="A499" s="2181"/>
      <c r="B499" s="752"/>
      <c r="C499" s="714" t="s">
        <v>2390</v>
      </c>
      <c r="D499" s="759" t="s">
        <v>2391</v>
      </c>
      <c r="E499" s="294"/>
      <c r="F499" s="401"/>
      <c r="G499" s="586"/>
      <c r="H499" s="347"/>
      <c r="I499" s="347"/>
    </row>
    <row r="500" spans="1:9">
      <c r="A500" s="2181"/>
      <c r="B500" s="715"/>
      <c r="C500" s="810" t="s">
        <v>2392</v>
      </c>
      <c r="D500" s="1139" t="s">
        <v>2393</v>
      </c>
      <c r="E500" s="379"/>
      <c r="F500" s="336"/>
      <c r="G500" s="404"/>
      <c r="H500" s="592"/>
      <c r="I500" s="592"/>
    </row>
    <row r="501" spans="1:9">
      <c r="A501" s="2181"/>
      <c r="B501" s="715"/>
      <c r="C501" s="350" t="s">
        <v>2394</v>
      </c>
      <c r="D501" s="409" t="s">
        <v>2395</v>
      </c>
      <c r="E501" s="809"/>
      <c r="F501" s="336"/>
      <c r="G501" s="404"/>
      <c r="H501" s="592"/>
      <c r="I501" s="592"/>
    </row>
    <row r="502" spans="1:9">
      <c r="A502" s="2181"/>
      <c r="B502" s="715"/>
      <c r="C502" s="714" t="s">
        <v>2396</v>
      </c>
      <c r="D502" s="1142" t="s">
        <v>2397</v>
      </c>
      <c r="E502" s="809"/>
      <c r="F502" s="336"/>
      <c r="G502" s="404"/>
      <c r="H502" s="592"/>
      <c r="I502" s="592"/>
    </row>
    <row r="503" spans="1:9" s="503" customFormat="1">
      <c r="A503" s="2214">
        <v>11236</v>
      </c>
      <c r="B503" s="416">
        <v>0.1</v>
      </c>
      <c r="C503" s="275" t="s">
        <v>2398</v>
      </c>
      <c r="D503" s="1029" t="s">
        <v>2111</v>
      </c>
      <c r="E503" s="268">
        <v>1100000</v>
      </c>
      <c r="F503" s="273">
        <v>0.02</v>
      </c>
      <c r="G503" s="853">
        <f>E503*F503</f>
        <v>22000</v>
      </c>
      <c r="H503" s="298" t="s">
        <v>2207</v>
      </c>
      <c r="I503" s="298" t="s">
        <v>2124</v>
      </c>
    </row>
    <row r="504" spans="1:9">
      <c r="A504" s="554">
        <v>11264</v>
      </c>
      <c r="B504" s="750">
        <v>0.1</v>
      </c>
      <c r="C504" s="431" t="s">
        <v>2399</v>
      </c>
      <c r="D504" s="777" t="s">
        <v>2111</v>
      </c>
      <c r="E504" s="297">
        <v>1300000</v>
      </c>
      <c r="F504" s="273">
        <v>0.02</v>
      </c>
      <c r="G504" s="853">
        <f t="shared" ref="G504:G506" si="19">E504*F504</f>
        <v>26000</v>
      </c>
      <c r="H504" s="433" t="s">
        <v>582</v>
      </c>
      <c r="I504" s="433" t="s">
        <v>2124</v>
      </c>
    </row>
    <row r="505" spans="1:9">
      <c r="A505" s="982">
        <v>11318</v>
      </c>
      <c r="B505" s="302">
        <v>0.1</v>
      </c>
      <c r="C505" s="858" t="s">
        <v>2400</v>
      </c>
      <c r="D505" s="576" t="s">
        <v>2111</v>
      </c>
      <c r="E505" s="380">
        <v>1150000</v>
      </c>
      <c r="F505" s="273">
        <v>0.02</v>
      </c>
      <c r="G505" s="853">
        <f t="shared" si="19"/>
        <v>23000</v>
      </c>
      <c r="H505" s="298" t="s">
        <v>2207</v>
      </c>
      <c r="I505" s="298" t="s">
        <v>2124</v>
      </c>
    </row>
    <row r="506" spans="1:9">
      <c r="A506" s="982">
        <v>11322</v>
      </c>
      <c r="B506" s="302">
        <v>0.1</v>
      </c>
      <c r="C506" s="495" t="s">
        <v>2401</v>
      </c>
      <c r="D506" s="576" t="s">
        <v>2111</v>
      </c>
      <c r="E506" s="268">
        <v>880000</v>
      </c>
      <c r="F506" s="273">
        <v>0.02</v>
      </c>
      <c r="G506" s="853">
        <f t="shared" si="19"/>
        <v>17600</v>
      </c>
      <c r="H506" s="726" t="s">
        <v>489</v>
      </c>
      <c r="I506" s="298" t="s">
        <v>2124</v>
      </c>
    </row>
    <row r="507" spans="1:9">
      <c r="A507" s="2215"/>
      <c r="B507" s="845"/>
      <c r="C507" s="720"/>
      <c r="D507" s="1031"/>
      <c r="E507" s="313"/>
      <c r="F507" s="312"/>
      <c r="G507" s="406"/>
      <c r="H507" s="299"/>
      <c r="I507" s="299"/>
    </row>
    <row r="508" spans="1:9">
      <c r="A508" s="2182"/>
      <c r="B508" s="488"/>
      <c r="C508" s="438"/>
      <c r="D508" s="1103" t="s">
        <v>2195</v>
      </c>
      <c r="E508" s="485">
        <f>E503+E504+E505+E506</f>
        <v>4430000</v>
      </c>
      <c r="F508" s="438"/>
      <c r="G508" s="486">
        <f>G503+G504+G505+G506</f>
        <v>88600</v>
      </c>
      <c r="H508" s="307"/>
      <c r="I508" s="339"/>
    </row>
    <row r="509" spans="1:9" ht="15.6">
      <c r="A509" s="46"/>
      <c r="B509" s="11"/>
      <c r="C509" s="11"/>
      <c r="D509" s="1110" t="s">
        <v>2388</v>
      </c>
      <c r="E509" s="849">
        <f>G508</f>
        <v>88600</v>
      </c>
      <c r="F509" s="11"/>
      <c r="G509" s="93"/>
      <c r="H509" s="50"/>
      <c r="I509" s="2"/>
    </row>
    <row r="510" spans="1:9">
      <c r="E510" s="589"/>
    </row>
    <row r="511" spans="1:9">
      <c r="A511" s="2996" t="s">
        <v>2402</v>
      </c>
      <c r="B511" s="2996"/>
      <c r="C511" s="2996"/>
      <c r="D511" s="2996"/>
      <c r="E511" s="2996"/>
      <c r="F511" s="2996"/>
      <c r="G511" s="2996"/>
      <c r="H511" s="2996"/>
      <c r="I511" s="2"/>
    </row>
    <row r="512" spans="1:9">
      <c r="A512" s="2996"/>
      <c r="B512" s="2996"/>
      <c r="C512" s="2996"/>
      <c r="D512" s="2996"/>
      <c r="E512" s="2996"/>
      <c r="F512" s="2996"/>
      <c r="G512" s="2996"/>
      <c r="H512" s="2996"/>
      <c r="I512" s="2"/>
    </row>
    <row r="513" spans="1:9" ht="20.45">
      <c r="A513" s="257" t="s">
        <v>2011</v>
      </c>
      <c r="B513" s="33" t="s">
        <v>1808</v>
      </c>
      <c r="C513" s="33" t="s">
        <v>2012</v>
      </c>
      <c r="D513" s="1066" t="s">
        <v>2123</v>
      </c>
      <c r="E513" s="63" t="s">
        <v>2013</v>
      </c>
      <c r="F513" s="118" t="s">
        <v>1811</v>
      </c>
      <c r="G513" s="88" t="s">
        <v>1817</v>
      </c>
      <c r="H513" s="258" t="s">
        <v>2213</v>
      </c>
      <c r="I513" s="2"/>
    </row>
    <row r="514" spans="1:9">
      <c r="A514" s="982">
        <v>11154</v>
      </c>
      <c r="B514" s="314">
        <v>0.1</v>
      </c>
      <c r="C514" s="275" t="s">
        <v>2380</v>
      </c>
      <c r="D514" s="576" t="s">
        <v>2111</v>
      </c>
      <c r="E514" s="380">
        <v>1050000</v>
      </c>
      <c r="F514" s="415">
        <v>0.02</v>
      </c>
      <c r="G514" s="854">
        <f>E514*F514</f>
        <v>21000</v>
      </c>
      <c r="H514" s="1012" t="s">
        <v>2207</v>
      </c>
      <c r="I514" s="605" t="s">
        <v>2124</v>
      </c>
    </row>
    <row r="515" spans="1:9">
      <c r="A515" s="558">
        <v>11165</v>
      </c>
      <c r="B515" s="302">
        <v>0.1</v>
      </c>
      <c r="C515" s="278" t="s">
        <v>2403</v>
      </c>
      <c r="D515" s="576" t="s">
        <v>2111</v>
      </c>
      <c r="E515" s="268">
        <v>1350000</v>
      </c>
      <c r="F515" s="415">
        <v>0.02</v>
      </c>
      <c r="G515" s="854">
        <f t="shared" ref="G515:G526" si="20">E515*F515</f>
        <v>27000</v>
      </c>
      <c r="H515" s="1011" t="s">
        <v>2207</v>
      </c>
      <c r="I515" s="298" t="s">
        <v>2124</v>
      </c>
    </row>
    <row r="516" spans="1:9">
      <c r="A516" s="983">
        <v>11177</v>
      </c>
      <c r="B516" s="750">
        <v>0.1</v>
      </c>
      <c r="C516" s="431" t="s">
        <v>2404</v>
      </c>
      <c r="D516" s="1029" t="s">
        <v>2111</v>
      </c>
      <c r="E516" s="682">
        <v>1100000</v>
      </c>
      <c r="F516" s="415">
        <v>0.02</v>
      </c>
      <c r="G516" s="854">
        <f t="shared" si="20"/>
        <v>22000</v>
      </c>
      <c r="H516" s="712" t="s">
        <v>582</v>
      </c>
      <c r="I516" s="851" t="s">
        <v>2124</v>
      </c>
    </row>
    <row r="517" spans="1:9">
      <c r="A517" s="2205">
        <v>11181</v>
      </c>
      <c r="B517" s="194">
        <v>0.1</v>
      </c>
      <c r="C517" s="431" t="s">
        <v>2405</v>
      </c>
      <c r="D517" s="1107" t="s">
        <v>2111</v>
      </c>
      <c r="E517" s="67">
        <v>1200000</v>
      </c>
      <c r="F517" s="415">
        <v>0.02</v>
      </c>
      <c r="G517" s="854">
        <f t="shared" si="20"/>
        <v>24000</v>
      </c>
      <c r="H517" s="678" t="s">
        <v>2218</v>
      </c>
      <c r="I517" s="851" t="s">
        <v>2124</v>
      </c>
    </row>
    <row r="518" spans="1:9">
      <c r="A518" s="985">
        <v>11184</v>
      </c>
      <c r="B518" s="123">
        <v>0.1</v>
      </c>
      <c r="C518" s="684" t="s">
        <v>2406</v>
      </c>
      <c r="D518" s="1107" t="s">
        <v>2111</v>
      </c>
      <c r="E518" s="210">
        <v>1100000</v>
      </c>
      <c r="F518" s="415">
        <v>0.02</v>
      </c>
      <c r="G518" s="854">
        <f t="shared" si="20"/>
        <v>22000</v>
      </c>
      <c r="H518" s="678" t="s">
        <v>582</v>
      </c>
      <c r="I518" s="851" t="s">
        <v>2124</v>
      </c>
    </row>
    <row r="519" spans="1:9">
      <c r="A519" s="985">
        <v>11205</v>
      </c>
      <c r="B519" s="123">
        <v>0.1</v>
      </c>
      <c r="C519" s="679" t="s">
        <v>2407</v>
      </c>
      <c r="D519" s="1107" t="s">
        <v>2111</v>
      </c>
      <c r="E519" s="210">
        <v>1300000</v>
      </c>
      <c r="F519" s="415">
        <v>0.02</v>
      </c>
      <c r="G519" s="854">
        <f t="shared" si="20"/>
        <v>26000</v>
      </c>
      <c r="H519" s="678" t="s">
        <v>582</v>
      </c>
      <c r="I519" s="851" t="s">
        <v>2124</v>
      </c>
    </row>
    <row r="520" spans="1:9">
      <c r="A520" s="986">
        <v>11149</v>
      </c>
      <c r="B520" s="123">
        <v>0.1</v>
      </c>
      <c r="C520" s="717" t="s">
        <v>2384</v>
      </c>
      <c r="D520" s="1107" t="s">
        <v>2111</v>
      </c>
      <c r="E520" s="210">
        <v>950000</v>
      </c>
      <c r="F520" s="415">
        <v>0.02</v>
      </c>
      <c r="G520" s="854">
        <f t="shared" si="20"/>
        <v>19000</v>
      </c>
      <c r="H520" s="678" t="s">
        <v>732</v>
      </c>
      <c r="I520" s="851" t="s">
        <v>2124</v>
      </c>
    </row>
    <row r="521" spans="1:9">
      <c r="A521" s="987">
        <v>11236</v>
      </c>
      <c r="B521" s="793">
        <v>0.1</v>
      </c>
      <c r="C521" s="431" t="s">
        <v>2398</v>
      </c>
      <c r="D521" s="1107" t="s">
        <v>2111</v>
      </c>
      <c r="E521" s="210">
        <v>1100000</v>
      </c>
      <c r="F521" s="415">
        <v>0.02</v>
      </c>
      <c r="G521" s="854">
        <f t="shared" si="20"/>
        <v>22000</v>
      </c>
      <c r="H521" s="678" t="s">
        <v>2207</v>
      </c>
      <c r="I521" s="851" t="s">
        <v>2124</v>
      </c>
    </row>
    <row r="522" spans="1:9">
      <c r="A522" s="982">
        <v>11239</v>
      </c>
      <c r="B522" s="199">
        <v>0.1</v>
      </c>
      <c r="C522" s="684" t="s">
        <v>2385</v>
      </c>
      <c r="D522" s="1107" t="s">
        <v>2111</v>
      </c>
      <c r="E522" s="210">
        <v>1400000</v>
      </c>
      <c r="F522" s="415">
        <v>0.02</v>
      </c>
      <c r="G522" s="854">
        <f t="shared" si="20"/>
        <v>28000</v>
      </c>
      <c r="H522" s="678" t="s">
        <v>582</v>
      </c>
      <c r="I522" s="851" t="s">
        <v>2124</v>
      </c>
    </row>
    <row r="523" spans="1:9">
      <c r="A523" s="2206">
        <v>11264</v>
      </c>
      <c r="B523" s="123">
        <v>0.1</v>
      </c>
      <c r="C523" s="679" t="s">
        <v>2399</v>
      </c>
      <c r="D523" s="1107" t="s">
        <v>2111</v>
      </c>
      <c r="E523" s="210">
        <v>1300000</v>
      </c>
      <c r="F523" s="415">
        <v>0.02</v>
      </c>
      <c r="G523" s="854">
        <f t="shared" si="20"/>
        <v>26000</v>
      </c>
      <c r="H523" s="678" t="s">
        <v>582</v>
      </c>
      <c r="I523" s="851" t="s">
        <v>2124</v>
      </c>
    </row>
    <row r="524" spans="1:9">
      <c r="A524" s="985">
        <v>11318</v>
      </c>
      <c r="B524" s="123">
        <v>0.1</v>
      </c>
      <c r="C524" s="679" t="s">
        <v>2400</v>
      </c>
      <c r="D524" s="1107" t="s">
        <v>2111</v>
      </c>
      <c r="E524" s="210">
        <v>1150000</v>
      </c>
      <c r="F524" s="415">
        <v>0.02</v>
      </c>
      <c r="G524" s="854">
        <f t="shared" si="20"/>
        <v>23000</v>
      </c>
      <c r="H524" s="678" t="s">
        <v>2207</v>
      </c>
      <c r="I524" s="851" t="s">
        <v>2124</v>
      </c>
    </row>
    <row r="525" spans="1:9">
      <c r="A525" s="985">
        <v>11322</v>
      </c>
      <c r="B525" s="517">
        <v>0.1</v>
      </c>
      <c r="C525" s="717" t="s">
        <v>2401</v>
      </c>
      <c r="D525" s="1107" t="s">
        <v>2111</v>
      </c>
      <c r="E525" s="210">
        <v>880000</v>
      </c>
      <c r="F525" s="415">
        <v>0.02</v>
      </c>
      <c r="G525" s="854">
        <f t="shared" si="20"/>
        <v>17600</v>
      </c>
      <c r="H525" s="678" t="s">
        <v>489</v>
      </c>
      <c r="I525" s="851" t="s">
        <v>2124</v>
      </c>
    </row>
    <row r="526" spans="1:9">
      <c r="A526" s="985">
        <v>11316</v>
      </c>
      <c r="B526" s="123">
        <v>0.1</v>
      </c>
      <c r="C526" s="679" t="s">
        <v>2386</v>
      </c>
      <c r="D526" s="1107" t="s">
        <v>2387</v>
      </c>
      <c r="E526" s="210">
        <v>1100000</v>
      </c>
      <c r="F526" s="415">
        <v>0.02</v>
      </c>
      <c r="G526" s="854">
        <f t="shared" si="20"/>
        <v>22000</v>
      </c>
      <c r="H526" s="678" t="s">
        <v>489</v>
      </c>
      <c r="I526" s="851" t="s">
        <v>2124</v>
      </c>
    </row>
    <row r="527" spans="1:9">
      <c r="A527" s="2216"/>
      <c r="B527" s="666"/>
      <c r="C527" s="667"/>
      <c r="D527" s="1141"/>
      <c r="E527" s="236"/>
      <c r="F527" s="537"/>
      <c r="G527" s="535"/>
      <c r="H527" s="707"/>
      <c r="I527" s="51"/>
    </row>
    <row r="528" spans="1:9">
      <c r="A528" s="2207"/>
      <c r="B528" s="666"/>
      <c r="C528" s="667"/>
      <c r="D528" s="1141"/>
      <c r="E528" s="236"/>
      <c r="F528" s="537"/>
      <c r="G528" s="535"/>
      <c r="H528" s="707"/>
      <c r="I528" s="51"/>
    </row>
    <row r="529" spans="1:9">
      <c r="A529" s="2207"/>
      <c r="B529" s="666"/>
      <c r="C529" s="701"/>
      <c r="D529" s="1141"/>
      <c r="E529" s="236"/>
      <c r="F529" s="537"/>
      <c r="G529" s="535"/>
      <c r="H529" s="707"/>
      <c r="I529" s="51"/>
    </row>
    <row r="530" spans="1:9">
      <c r="A530" s="2217"/>
      <c r="B530" s="721"/>
      <c r="C530" s="722"/>
      <c r="D530" s="1073"/>
      <c r="E530" s="723"/>
      <c r="F530" s="491"/>
      <c r="G530" s="491"/>
      <c r="H530" s="957"/>
      <c r="I530" s="1044"/>
    </row>
    <row r="531" spans="1:9">
      <c r="A531" s="2192"/>
      <c r="B531" s="11"/>
      <c r="C531" s="11"/>
      <c r="D531" s="1109" t="s">
        <v>2271</v>
      </c>
      <c r="E531" s="489">
        <f>SUM(E514:E527)</f>
        <v>14980000</v>
      </c>
      <c r="F531" s="490"/>
      <c r="G531" s="493">
        <f>G514+G515+G516+G517+G518+G519+G521+G522+G523+G524+G525+G526+G520</f>
        <v>299600</v>
      </c>
      <c r="H531" s="957"/>
      <c r="I531" s="260"/>
    </row>
    <row r="532" spans="1:9" ht="17.45">
      <c r="A532" s="257"/>
      <c r="B532" s="171"/>
      <c r="C532" s="171"/>
      <c r="D532" s="1110" t="s">
        <v>2408</v>
      </c>
      <c r="E532" s="850">
        <f>G531+G492</f>
        <v>510600</v>
      </c>
      <c r="F532" s="11"/>
      <c r="G532" s="11"/>
      <c r="H532" s="2"/>
      <c r="I532" s="2"/>
    </row>
    <row r="535" spans="1:9">
      <c r="A535" s="2922" t="s">
        <v>1898</v>
      </c>
      <c r="B535" s="2922"/>
      <c r="C535" s="79"/>
      <c r="D535" s="1074">
        <f>E531</f>
        <v>14980000</v>
      </c>
    </row>
    <row r="536" spans="1:9">
      <c r="A536" s="2923" t="s">
        <v>1899</v>
      </c>
      <c r="B536" s="2923"/>
      <c r="C536" s="41"/>
      <c r="D536" s="1075"/>
    </row>
    <row r="537" spans="1:9">
      <c r="A537" s="2924" t="s">
        <v>1900</v>
      </c>
      <c r="B537" s="2924"/>
      <c r="C537" s="45"/>
      <c r="D537" s="1076"/>
    </row>
    <row r="538" spans="1:9">
      <c r="A538" s="2807" t="s">
        <v>1901</v>
      </c>
      <c r="B538" s="2807"/>
      <c r="C538" s="637"/>
      <c r="D538" s="1129">
        <v>1300000</v>
      </c>
    </row>
    <row r="539" spans="1:9">
      <c r="A539" s="2913" t="s">
        <v>1902</v>
      </c>
      <c r="B539" s="2913"/>
      <c r="C539" s="45"/>
      <c r="D539" s="1112">
        <v>5850000</v>
      </c>
    </row>
    <row r="540" spans="1:9">
      <c r="A540" s="2176"/>
      <c r="B540" s="43" t="s">
        <v>1904</v>
      </c>
      <c r="C540" s="43"/>
      <c r="D540" s="1130" t="s">
        <v>1968</v>
      </c>
    </row>
    <row r="545" spans="1:18" ht="46.15">
      <c r="A545" s="2991" t="s">
        <v>2409</v>
      </c>
      <c r="B545" s="2991"/>
      <c r="C545" s="2991"/>
      <c r="D545" s="2991"/>
      <c r="E545" s="2991"/>
      <c r="F545" s="2991"/>
      <c r="G545" s="2991"/>
      <c r="H545" s="2991"/>
      <c r="I545" s="2991"/>
      <c r="J545" s="2991"/>
      <c r="O545" s="1"/>
    </row>
    <row r="546" spans="1:18">
      <c r="O546" s="1"/>
    </row>
    <row r="547" spans="1:18" ht="21">
      <c r="A547" s="2985" t="s">
        <v>1804</v>
      </c>
      <c r="B547" s="2985"/>
      <c r="C547" s="2985"/>
      <c r="D547" s="2985"/>
      <c r="E547" s="2985"/>
      <c r="F547" s="2985"/>
      <c r="G547" s="2985"/>
      <c r="H547" s="2985"/>
      <c r="I547" s="2985"/>
      <c r="J547" s="2985"/>
      <c r="K547" s="2819" t="s">
        <v>1805</v>
      </c>
      <c r="L547" s="2819"/>
      <c r="M547" s="2819"/>
      <c r="N547" s="2819"/>
      <c r="O547" s="2"/>
    </row>
    <row r="548" spans="1:18">
      <c r="A548" s="2171" t="s">
        <v>1806</v>
      </c>
      <c r="B548" s="1634" t="s">
        <v>1807</v>
      </c>
      <c r="C548" s="1634" t="s">
        <v>1837</v>
      </c>
      <c r="D548" s="1056" t="s">
        <v>1809</v>
      </c>
      <c r="E548" s="4" t="s">
        <v>1810</v>
      </c>
      <c r="F548" s="3" t="s">
        <v>1811</v>
      </c>
      <c r="G548" s="5" t="s">
        <v>1812</v>
      </c>
      <c r="H548" s="3" t="s">
        <v>1813</v>
      </c>
      <c r="I548" s="3" t="s">
        <v>1814</v>
      </c>
      <c r="J548" s="1634" t="s">
        <v>1815</v>
      </c>
      <c r="K548" s="26" t="s">
        <v>1807</v>
      </c>
      <c r="L548" s="26" t="s">
        <v>1809</v>
      </c>
      <c r="M548" s="26" t="s">
        <v>1816</v>
      </c>
      <c r="N548" s="259" t="s">
        <v>1811</v>
      </c>
      <c r="O548" s="260" t="s">
        <v>1817</v>
      </c>
    </row>
    <row r="549" spans="1:18">
      <c r="A549" s="2177"/>
      <c r="B549" s="291"/>
      <c r="C549" s="919"/>
      <c r="D549" s="758" t="s">
        <v>2410</v>
      </c>
      <c r="E549" s="920"/>
      <c r="F549" s="291"/>
      <c r="G549" s="921"/>
      <c r="H549" s="291" t="s">
        <v>523</v>
      </c>
      <c r="I549" s="335" t="s">
        <v>2363</v>
      </c>
      <c r="J549" s="933"/>
      <c r="K549" s="433">
        <v>11410</v>
      </c>
      <c r="L549" s="968" t="s">
        <v>2411</v>
      </c>
      <c r="M549" s="962">
        <v>1200000</v>
      </c>
      <c r="N549" s="314">
        <v>0.05</v>
      </c>
      <c r="O549" s="433">
        <f>M549*N549</f>
        <v>60000</v>
      </c>
      <c r="P549" s="807"/>
      <c r="Q549" s="1747"/>
      <c r="R549" s="1747"/>
    </row>
    <row r="550" spans="1:18">
      <c r="A550" s="2992" t="s">
        <v>1818</v>
      </c>
      <c r="B550" s="291"/>
      <c r="C550" s="919"/>
      <c r="D550" s="899" t="s">
        <v>2412</v>
      </c>
      <c r="E550" s="348"/>
      <c r="F550" s="923"/>
      <c r="G550" s="921"/>
      <c r="H550" s="291" t="s">
        <v>582</v>
      </c>
      <c r="I550" s="335" t="s">
        <v>2363</v>
      </c>
      <c r="J550" s="933"/>
      <c r="K550" s="433">
        <v>11430</v>
      </c>
      <c r="L550" s="968" t="s">
        <v>2413</v>
      </c>
      <c r="M550" s="962">
        <v>1550000</v>
      </c>
      <c r="N550" s="314">
        <v>0.05</v>
      </c>
      <c r="O550" s="433">
        <f t="shared" ref="O550:O553" si="21">M550*N550</f>
        <v>77500</v>
      </c>
      <c r="P550" s="807"/>
      <c r="Q550" s="1747"/>
      <c r="R550" s="1747"/>
    </row>
    <row r="551" spans="1:18">
      <c r="A551" s="2992"/>
      <c r="B551" s="712">
        <v>11431</v>
      </c>
      <c r="C551" s="362">
        <v>0.1</v>
      </c>
      <c r="D551" s="1027" t="s">
        <v>2414</v>
      </c>
      <c r="E551" s="297">
        <v>1300000</v>
      </c>
      <c r="F551" s="681">
        <v>0.1</v>
      </c>
      <c r="G551" s="673">
        <f>E551*F551</f>
        <v>130000</v>
      </c>
      <c r="H551" s="306" t="s">
        <v>582</v>
      </c>
      <c r="I551" s="712" t="s">
        <v>2363</v>
      </c>
      <c r="J551" s="1748"/>
      <c r="K551" s="433">
        <v>11352</v>
      </c>
      <c r="L551" s="969" t="s">
        <v>2415</v>
      </c>
      <c r="M551" s="963">
        <v>1100000</v>
      </c>
      <c r="N551" s="314">
        <v>0.05</v>
      </c>
      <c r="O551" s="433">
        <f t="shared" si="21"/>
        <v>55000</v>
      </c>
    </row>
    <row r="552" spans="1:18">
      <c r="A552" s="2992"/>
      <c r="B552" s="298">
        <v>11452</v>
      </c>
      <c r="C552" s="680">
        <v>0.1</v>
      </c>
      <c r="D552" s="1027" t="s">
        <v>2416</v>
      </c>
      <c r="E552" s="297">
        <v>1150000</v>
      </c>
      <c r="F552" s="681">
        <v>0.1</v>
      </c>
      <c r="G552" s="673">
        <f t="shared" ref="G552:G556" si="22">E552*F552</f>
        <v>115000</v>
      </c>
      <c r="H552" s="306" t="s">
        <v>582</v>
      </c>
      <c r="I552" s="712" t="s">
        <v>2417</v>
      </c>
      <c r="J552" s="1748"/>
      <c r="K552" s="925" t="s">
        <v>2418</v>
      </c>
      <c r="L552" s="573" t="s">
        <v>2419</v>
      </c>
      <c r="M552" s="962">
        <v>1200000</v>
      </c>
      <c r="N552" s="314">
        <v>0.05</v>
      </c>
      <c r="O552" s="433">
        <f t="shared" si="21"/>
        <v>60000</v>
      </c>
    </row>
    <row r="553" spans="1:18">
      <c r="A553" s="2992"/>
      <c r="B553" s="298">
        <v>11450</v>
      </c>
      <c r="C553" s="699">
        <v>0.1</v>
      </c>
      <c r="D553" s="1029" t="s">
        <v>2420</v>
      </c>
      <c r="E553" s="577">
        <v>1050000</v>
      </c>
      <c r="F553" s="305">
        <v>0.05</v>
      </c>
      <c r="G553" s="673">
        <f t="shared" si="22"/>
        <v>52500</v>
      </c>
      <c r="H553" s="306" t="s">
        <v>489</v>
      </c>
      <c r="I553" s="306" t="s">
        <v>2417</v>
      </c>
      <c r="J553" s="934"/>
      <c r="K553" s="718">
        <v>11443</v>
      </c>
      <c r="L553" s="970" t="s">
        <v>2421</v>
      </c>
      <c r="M553" s="420">
        <v>1250000</v>
      </c>
      <c r="N553" s="314">
        <v>0.05</v>
      </c>
      <c r="O553" s="433">
        <f t="shared" si="21"/>
        <v>62500</v>
      </c>
    </row>
    <row r="554" spans="1:18">
      <c r="A554" s="2992"/>
      <c r="B554" s="925" t="s">
        <v>2422</v>
      </c>
      <c r="C554" s="362">
        <v>0.1</v>
      </c>
      <c r="D554" s="968" t="s">
        <v>2423</v>
      </c>
      <c r="E554" s="297">
        <v>950000</v>
      </c>
      <c r="F554" s="273">
        <v>0.05</v>
      </c>
      <c r="G554" s="673">
        <f t="shared" si="22"/>
        <v>47500</v>
      </c>
      <c r="H554" s="298" t="s">
        <v>2424</v>
      </c>
      <c r="I554" s="298" t="s">
        <v>2417</v>
      </c>
      <c r="J554" s="924"/>
      <c r="K554" s="1748"/>
      <c r="L554" s="1748"/>
      <c r="M554" s="1748"/>
      <c r="N554" s="1748"/>
      <c r="O554" s="299"/>
    </row>
    <row r="555" spans="1:18">
      <c r="A555" s="2992"/>
      <c r="B555" s="927">
        <v>11496</v>
      </c>
      <c r="C555" s="662">
        <v>0.1</v>
      </c>
      <c r="D555" s="1152" t="s">
        <v>2425</v>
      </c>
      <c r="E555" s="304">
        <v>1500000</v>
      </c>
      <c r="F555" s="305">
        <v>0.1</v>
      </c>
      <c r="G555" s="673">
        <f t="shared" si="22"/>
        <v>150000</v>
      </c>
      <c r="H555" s="306" t="s">
        <v>582</v>
      </c>
      <c r="I555" s="306" t="s">
        <v>2417</v>
      </c>
      <c r="J555" s="924"/>
      <c r="K555" s="1748"/>
      <c r="L555" s="1748"/>
      <c r="M555" s="1748"/>
      <c r="N555" s="1748"/>
      <c r="O555" s="289">
        <f>SUM(O549:O553)</f>
        <v>315000</v>
      </c>
    </row>
    <row r="556" spans="1:18">
      <c r="A556" s="2992"/>
      <c r="B556" s="298">
        <v>11500</v>
      </c>
      <c r="C556" s="362">
        <v>0.1</v>
      </c>
      <c r="D556" s="576" t="s">
        <v>2426</v>
      </c>
      <c r="E556" s="297">
        <v>1200000</v>
      </c>
      <c r="F556" s="273">
        <v>0.1</v>
      </c>
      <c r="G556" s="673">
        <f t="shared" si="22"/>
        <v>120000</v>
      </c>
      <c r="H556" s="298" t="s">
        <v>582</v>
      </c>
      <c r="I556" s="298" t="s">
        <v>2417</v>
      </c>
      <c r="J556" s="1748"/>
      <c r="K556" s="300"/>
      <c r="L556" s="1748"/>
      <c r="M556" s="1748"/>
      <c r="N556" s="1748"/>
      <c r="O556" s="307"/>
    </row>
    <row r="557" spans="1:18">
      <c r="A557" s="2992"/>
      <c r="B557" s="299"/>
      <c r="C557" s="318"/>
      <c r="D557" s="1153"/>
      <c r="E557" s="311"/>
      <c r="F557" s="312"/>
      <c r="G557" s="930"/>
      <c r="H557" s="307"/>
      <c r="I557" s="307"/>
      <c r="J557" s="772"/>
      <c r="K557" s="299"/>
      <c r="L557" s="290"/>
      <c r="M557" s="504"/>
      <c r="N557" s="288"/>
      <c r="O557" s="289"/>
    </row>
    <row r="558" spans="1:18">
      <c r="A558" s="2992"/>
      <c r="B558" s="624"/>
      <c r="C558" s="624"/>
      <c r="D558" s="1154" t="s">
        <v>1833</v>
      </c>
      <c r="E558" s="928">
        <f>SUM(E551:E556)</f>
        <v>7150000</v>
      </c>
      <c r="F558" s="929"/>
      <c r="G558" s="931">
        <f>SUM(G551:G556)</f>
        <v>615000</v>
      </c>
      <c r="H558" s="447"/>
      <c r="I558" s="444"/>
      <c r="J558" s="773"/>
      <c r="K558" s="308"/>
      <c r="L558" s="2834"/>
      <c r="M558" s="2834"/>
      <c r="N558" s="2834"/>
      <c r="O558" s="976"/>
    </row>
    <row r="559" spans="1:18">
      <c r="A559" s="2992"/>
      <c r="B559" s="813"/>
      <c r="C559" s="813"/>
      <c r="D559" s="1155" t="s">
        <v>1835</v>
      </c>
      <c r="E559" s="926">
        <f>G558+O555</f>
        <v>930000</v>
      </c>
      <c r="F559" s="813"/>
      <c r="G559" s="932"/>
      <c r="H559" s="813"/>
      <c r="I559" s="813"/>
      <c r="J559" s="816"/>
      <c r="K559" s="868"/>
      <c r="L559" s="868"/>
      <c r="M559" s="868"/>
      <c r="N559" s="975"/>
      <c r="O559" s="286"/>
    </row>
    <row r="560" spans="1:18">
      <c r="A560" s="2172"/>
      <c r="B560" s="17"/>
      <c r="C560" s="17"/>
      <c r="D560" s="1058"/>
      <c r="E560" s="19"/>
      <c r="F560" s="17"/>
      <c r="G560" s="20"/>
      <c r="H560" s="17"/>
      <c r="I560" s="17"/>
      <c r="J560" s="18"/>
      <c r="O560" s="1"/>
    </row>
    <row r="561" spans="1:15">
      <c r="A561" s="2172"/>
      <c r="B561" s="17"/>
      <c r="C561" s="17"/>
      <c r="D561" s="1058"/>
      <c r="E561" s="19"/>
      <c r="F561" s="17"/>
      <c r="G561" s="20"/>
      <c r="H561" s="17"/>
      <c r="I561" s="17"/>
      <c r="J561" s="18"/>
      <c r="O561" s="1"/>
    </row>
    <row r="562" spans="1:15" ht="21">
      <c r="A562" s="2993" t="s">
        <v>1836</v>
      </c>
      <c r="B562" s="2993"/>
      <c r="C562" s="2993"/>
      <c r="D562" s="2993"/>
      <c r="E562" s="2993"/>
      <c r="F562" s="2993"/>
      <c r="G562" s="2993"/>
      <c r="H562" s="2993"/>
      <c r="I562" s="2993"/>
      <c r="J562" s="2993"/>
      <c r="K562" s="2819" t="s">
        <v>1805</v>
      </c>
      <c r="L562" s="2819"/>
      <c r="M562" s="2819"/>
      <c r="N562" s="2819"/>
      <c r="O562" s="2"/>
    </row>
    <row r="563" spans="1:15">
      <c r="A563" s="2208" t="s">
        <v>1806</v>
      </c>
      <c r="B563" s="783" t="s">
        <v>1807</v>
      </c>
      <c r="C563" s="1634" t="s">
        <v>1837</v>
      </c>
      <c r="D563" s="1056" t="s">
        <v>1809</v>
      </c>
      <c r="E563" s="779" t="s">
        <v>1810</v>
      </c>
      <c r="F563" s="1634" t="s">
        <v>1811</v>
      </c>
      <c r="G563" s="25" t="s">
        <v>1812</v>
      </c>
      <c r="H563" s="26" t="s">
        <v>1813</v>
      </c>
      <c r="I563" s="1634" t="s">
        <v>1814</v>
      </c>
      <c r="J563" s="26" t="s">
        <v>1815</v>
      </c>
      <c r="K563" s="26" t="s">
        <v>1807</v>
      </c>
      <c r="L563" s="26" t="s">
        <v>1809</v>
      </c>
      <c r="M563" s="26" t="s">
        <v>1816</v>
      </c>
      <c r="N563" s="259" t="s">
        <v>1811</v>
      </c>
      <c r="O563" s="260" t="s">
        <v>1817</v>
      </c>
    </row>
    <row r="564" spans="1:15">
      <c r="A564" s="2978" t="s">
        <v>1838</v>
      </c>
      <c r="B564" s="335"/>
      <c r="C564" s="291"/>
      <c r="D564" s="758" t="s">
        <v>2427</v>
      </c>
      <c r="E564" s="920"/>
      <c r="F564" s="335"/>
      <c r="G564" s="378"/>
      <c r="H564" s="347"/>
      <c r="I564" s="923" t="s">
        <v>2417</v>
      </c>
      <c r="J564" s="337"/>
      <c r="K564" s="337"/>
      <c r="L564" s="338"/>
      <c r="M564" s="337"/>
      <c r="N564" s="338"/>
      <c r="O564" s="455"/>
    </row>
    <row r="565" spans="1:15">
      <c r="A565" s="2978"/>
      <c r="B565" s="335"/>
      <c r="C565" s="291"/>
      <c r="D565" s="758" t="s">
        <v>2410</v>
      </c>
      <c r="E565" s="920"/>
      <c r="F565" s="335"/>
      <c r="G565" s="378"/>
      <c r="H565" s="347" t="s">
        <v>523</v>
      </c>
      <c r="I565" s="923" t="s">
        <v>2417</v>
      </c>
      <c r="J565" s="337"/>
      <c r="K565" s="337"/>
      <c r="L565" s="338"/>
      <c r="M565" s="337"/>
      <c r="N565" s="338"/>
      <c r="O565" s="455"/>
    </row>
    <row r="566" spans="1:15" ht="15" customHeight="1">
      <c r="A566" s="2978"/>
      <c r="B566" s="433">
        <v>11352</v>
      </c>
      <c r="C566" s="302">
        <v>0.1</v>
      </c>
      <c r="D566" s="968" t="s">
        <v>2428</v>
      </c>
      <c r="E566" s="511">
        <v>1100000</v>
      </c>
      <c r="F566" s="302">
        <v>0.05</v>
      </c>
      <c r="G566" s="935">
        <f>E566*F566</f>
        <v>55000</v>
      </c>
      <c r="H566" s="718" t="s">
        <v>2218</v>
      </c>
      <c r="I566" s="433" t="s">
        <v>2363</v>
      </c>
      <c r="J566" s="1748"/>
      <c r="K566" s="1748"/>
      <c r="L566" s="1679"/>
      <c r="M566" s="1748"/>
      <c r="N566" s="1748"/>
      <c r="O566" s="455"/>
    </row>
    <row r="567" spans="1:15" ht="15" customHeight="1">
      <c r="A567" s="2978"/>
      <c r="B567" s="433">
        <v>11353</v>
      </c>
      <c r="C567" s="302">
        <v>0.1</v>
      </c>
      <c r="D567" s="968" t="s">
        <v>2429</v>
      </c>
      <c r="E567" s="511">
        <v>1150000</v>
      </c>
      <c r="F567" s="302">
        <v>0.1</v>
      </c>
      <c r="G567" s="935">
        <f t="shared" ref="G567:G571" si="23">E567*F567</f>
        <v>115000</v>
      </c>
      <c r="H567" s="433" t="s">
        <v>2430</v>
      </c>
      <c r="I567" s="433" t="s">
        <v>2352</v>
      </c>
      <c r="J567" s="1748"/>
      <c r="K567" s="1748"/>
      <c r="L567" s="1679"/>
      <c r="M567" s="959"/>
      <c r="N567" s="959"/>
      <c r="O567" s="455"/>
    </row>
    <row r="568" spans="1:15" ht="15" customHeight="1">
      <c r="A568" s="2978"/>
      <c r="B568" s="298">
        <v>11411</v>
      </c>
      <c r="C568" s="273">
        <v>0.1</v>
      </c>
      <c r="D568" s="968" t="s">
        <v>2431</v>
      </c>
      <c r="E568" s="936">
        <v>1000000</v>
      </c>
      <c r="F568" s="273">
        <v>0.1</v>
      </c>
      <c r="G568" s="935">
        <f t="shared" si="23"/>
        <v>100000</v>
      </c>
      <c r="H568" s="298" t="s">
        <v>523</v>
      </c>
      <c r="I568" s="298" t="s">
        <v>2363</v>
      </c>
      <c r="J568" s="1748"/>
      <c r="K568" s="1748"/>
      <c r="L568" s="1679"/>
      <c r="M568" s="1748"/>
      <c r="N568" s="1748"/>
      <c r="O568" s="455"/>
    </row>
    <row r="569" spans="1:15" ht="15" customHeight="1">
      <c r="A569" s="2978"/>
      <c r="B569" s="604">
        <v>11432</v>
      </c>
      <c r="C569" s="362">
        <v>0.1</v>
      </c>
      <c r="D569" s="576" t="s">
        <v>2432</v>
      </c>
      <c r="E569" s="497">
        <v>1200000</v>
      </c>
      <c r="F569" s="273">
        <v>0.1</v>
      </c>
      <c r="G569" s="935">
        <f t="shared" si="23"/>
        <v>120000</v>
      </c>
      <c r="H569" s="298" t="s">
        <v>523</v>
      </c>
      <c r="I569" s="330" t="s">
        <v>2363</v>
      </c>
      <c r="J569" s="327"/>
      <c r="K569" s="290"/>
      <c r="L569" s="310"/>
      <c r="M569" s="290"/>
      <c r="N569" s="290"/>
      <c r="O569" s="648"/>
    </row>
    <row r="570" spans="1:15" ht="15" customHeight="1">
      <c r="A570" s="2978"/>
      <c r="B570" s="604">
        <v>11484</v>
      </c>
      <c r="C570" s="362">
        <v>0.1</v>
      </c>
      <c r="D570" s="576" t="s">
        <v>2433</v>
      </c>
      <c r="E570" s="497">
        <v>1100000</v>
      </c>
      <c r="F570" s="273">
        <v>0.05</v>
      </c>
      <c r="G570" s="935">
        <f t="shared" si="23"/>
        <v>55000</v>
      </c>
      <c r="H570" s="298" t="s">
        <v>510</v>
      </c>
      <c r="I570" s="330" t="s">
        <v>2417</v>
      </c>
      <c r="J570" s="327"/>
      <c r="K570" s="290"/>
      <c r="L570" s="310"/>
      <c r="M570" s="290"/>
      <c r="N570" s="290"/>
      <c r="O570" s="648"/>
    </row>
    <row r="571" spans="1:15" ht="15" customHeight="1">
      <c r="A571" s="2978"/>
      <c r="B571" s="604">
        <v>11525</v>
      </c>
      <c r="C571" s="362">
        <v>0.09</v>
      </c>
      <c r="D571" s="576" t="s">
        <v>2434</v>
      </c>
      <c r="E571" s="497">
        <v>960000</v>
      </c>
      <c r="F571" s="273">
        <v>0.04</v>
      </c>
      <c r="G571" s="935">
        <f t="shared" si="23"/>
        <v>38400</v>
      </c>
      <c r="H571" s="298" t="s">
        <v>732</v>
      </c>
      <c r="I571" s="330" t="s">
        <v>2417</v>
      </c>
      <c r="J571" s="327"/>
      <c r="K571" s="290"/>
      <c r="L571" s="310"/>
      <c r="M571" s="290"/>
      <c r="N571" s="290"/>
      <c r="O571" s="648"/>
    </row>
    <row r="572" spans="1:15" ht="15" customHeight="1">
      <c r="A572" s="2978"/>
      <c r="B572" s="918"/>
      <c r="C572" s="318"/>
      <c r="D572" s="1031"/>
      <c r="E572" s="504"/>
      <c r="F572" s="312"/>
      <c r="G572" s="505"/>
      <c r="H572" s="299"/>
      <c r="I572" s="308"/>
      <c r="J572" s="327"/>
      <c r="K572" s="290"/>
      <c r="L572" s="310"/>
      <c r="M572" s="290"/>
      <c r="N572" s="290"/>
      <c r="O572" s="648"/>
    </row>
    <row r="573" spans="1:15" ht="15" customHeight="1">
      <c r="A573" s="2978"/>
      <c r="B573" s="827"/>
      <c r="C573" s="808"/>
      <c r="D573" s="1156"/>
      <c r="E573" s="319"/>
      <c r="F573" s="747"/>
      <c r="G573" s="748"/>
      <c r="H573" s="696"/>
      <c r="I573" s="524"/>
      <c r="J573" s="749"/>
      <c r="K573" s="370"/>
      <c r="L573" s="622"/>
      <c r="M573" s="290"/>
      <c r="N573" s="290"/>
      <c r="O573" s="648"/>
    </row>
    <row r="574" spans="1:15" ht="15" customHeight="1">
      <c r="A574" s="2978"/>
      <c r="B574" s="788"/>
      <c r="C574" s="675"/>
      <c r="D574" s="1144" t="s">
        <v>1833</v>
      </c>
      <c r="E574" s="475">
        <f>SUM(E566:E572)</f>
        <v>6510000</v>
      </c>
      <c r="F574" s="506"/>
      <c r="G574" s="475">
        <f>SUM(G566:G571)</f>
        <v>483400</v>
      </c>
      <c r="H574" s="891"/>
      <c r="I574" s="506"/>
      <c r="J574" s="334"/>
      <c r="K574" s="477"/>
      <c r="L574" s="2981" t="s">
        <v>1859</v>
      </c>
      <c r="M574" s="2981"/>
      <c r="N574" s="2981"/>
      <c r="O574" s="979">
        <v>483400</v>
      </c>
    </row>
    <row r="575" spans="1:15" ht="15.75" customHeight="1">
      <c r="A575" s="2978"/>
      <c r="B575" s="789"/>
      <c r="C575" s="452"/>
      <c r="D575" s="1157" t="s">
        <v>1835</v>
      </c>
      <c r="E575" s="937">
        <f>G574</f>
        <v>483400</v>
      </c>
      <c r="F575" s="450"/>
      <c r="G575" s="481"/>
      <c r="H575" s="450"/>
      <c r="I575" s="450"/>
      <c r="J575" s="482"/>
      <c r="K575" s="453"/>
      <c r="L575" s="938"/>
      <c r="M575" s="938"/>
      <c r="N575" s="938"/>
      <c r="O575" s="455"/>
    </row>
    <row r="576" spans="1:15" ht="15.6">
      <c r="A576" s="2209"/>
      <c r="B576" s="456"/>
      <c r="C576" s="456"/>
      <c r="D576" s="1091"/>
      <c r="E576" s="458"/>
      <c r="F576" s="456"/>
      <c r="G576" s="459"/>
      <c r="H576" s="456"/>
      <c r="I576" s="456"/>
      <c r="J576" s="457"/>
      <c r="K576" s="460"/>
      <c r="L576" s="461"/>
      <c r="M576" s="461"/>
      <c r="N576" s="461"/>
      <c r="O576" s="455"/>
    </row>
    <row r="577" spans="1:16" ht="15.6">
      <c r="A577" s="2209"/>
      <c r="B577" s="799"/>
      <c r="C577" s="799"/>
      <c r="D577" s="1145"/>
      <c r="E577" s="801"/>
      <c r="F577" s="799"/>
      <c r="G577" s="802"/>
      <c r="H577" s="799"/>
      <c r="I577" s="799"/>
      <c r="J577" s="800"/>
      <c r="K577" s="803"/>
      <c r="L577" s="804"/>
      <c r="M577" s="804"/>
      <c r="N577" s="804"/>
      <c r="O577" s="805"/>
    </row>
    <row r="578" spans="1:16" ht="21">
      <c r="A578" s="2985" t="s">
        <v>1860</v>
      </c>
      <c r="B578" s="2985"/>
      <c r="C578" s="2985"/>
      <c r="D578" s="2985"/>
      <c r="E578" s="2985"/>
      <c r="F578" s="2985"/>
      <c r="G578" s="2985"/>
      <c r="H578" s="2985"/>
      <c r="I578" s="2985"/>
      <c r="J578" s="2985"/>
      <c r="K578" s="2811" t="s">
        <v>1805</v>
      </c>
      <c r="L578" s="2811"/>
      <c r="M578" s="2811"/>
      <c r="N578" s="2811"/>
      <c r="O578" s="2"/>
    </row>
    <row r="579" spans="1:16">
      <c r="A579" s="2218" t="s">
        <v>1806</v>
      </c>
      <c r="B579" s="1634" t="s">
        <v>1807</v>
      </c>
      <c r="C579" s="1634" t="s">
        <v>1837</v>
      </c>
      <c r="D579" s="1056" t="s">
        <v>1809</v>
      </c>
      <c r="E579" s="32" t="s">
        <v>1810</v>
      </c>
      <c r="F579" s="1634" t="s">
        <v>1811</v>
      </c>
      <c r="G579" s="167" t="s">
        <v>1812</v>
      </c>
      <c r="H579" s="1634" t="s">
        <v>1813</v>
      </c>
      <c r="I579" s="1634" t="s">
        <v>1814</v>
      </c>
      <c r="J579" s="1634" t="s">
        <v>1815</v>
      </c>
      <c r="K579" s="1626" t="s">
        <v>1807</v>
      </c>
      <c r="L579" s="1626" t="s">
        <v>1809</v>
      </c>
      <c r="M579" s="1626" t="s">
        <v>1816</v>
      </c>
      <c r="N579" s="1626" t="s">
        <v>1811</v>
      </c>
      <c r="O579" s="260" t="s">
        <v>1817</v>
      </c>
    </row>
    <row r="580" spans="1:16">
      <c r="A580" s="2986" t="s">
        <v>2435</v>
      </c>
      <c r="B580" s="660" t="s">
        <v>2418</v>
      </c>
      <c r="C580" s="837">
        <v>0.1</v>
      </c>
      <c r="D580" s="1143" t="s">
        <v>2436</v>
      </c>
      <c r="E580" s="964">
        <v>1200000</v>
      </c>
      <c r="F580" s="837">
        <v>0.04</v>
      </c>
      <c r="G580" s="839">
        <f>E580*F580</f>
        <v>48000</v>
      </c>
      <c r="H580" s="836" t="s">
        <v>582</v>
      </c>
      <c r="I580" s="836" t="s">
        <v>2417</v>
      </c>
      <c r="J580" s="1747"/>
      <c r="K580" s="1747"/>
      <c r="L580" s="1747"/>
      <c r="M580" s="1747"/>
      <c r="N580" s="1747"/>
      <c r="O580" s="2"/>
    </row>
    <row r="581" spans="1:16">
      <c r="A581" s="2986"/>
      <c r="B581" s="836">
        <v>11526</v>
      </c>
      <c r="C581" s="837">
        <v>0.1</v>
      </c>
      <c r="D581" s="1143" t="s">
        <v>2437</v>
      </c>
      <c r="E581" s="964">
        <v>1000000</v>
      </c>
      <c r="F581" s="837">
        <v>0.04</v>
      </c>
      <c r="G581" s="839">
        <f>E581*F581</f>
        <v>40000</v>
      </c>
      <c r="H581" s="836" t="s">
        <v>2438</v>
      </c>
      <c r="I581" s="836" t="s">
        <v>2417</v>
      </c>
      <c r="J581" s="1747"/>
      <c r="K581" s="1747"/>
      <c r="L581" s="1747"/>
      <c r="M581" s="1747"/>
      <c r="N581" s="1747"/>
      <c r="O581" s="2"/>
    </row>
    <row r="582" spans="1:16">
      <c r="A582" s="2986"/>
      <c r="B582" s="1747"/>
      <c r="C582" s="1747"/>
      <c r="D582" s="1146"/>
      <c r="E582" s="806"/>
      <c r="F582" s="1747"/>
      <c r="G582" s="807"/>
      <c r="H582" s="1747"/>
      <c r="I582" s="1747"/>
      <c r="J582" s="1747"/>
      <c r="K582" s="1747"/>
      <c r="L582" s="1747"/>
      <c r="M582" s="1747"/>
      <c r="N582" s="1747"/>
      <c r="O582" s="2"/>
    </row>
    <row r="583" spans="1:16">
      <c r="A583" s="2986"/>
      <c r="B583" s="1747"/>
      <c r="C583" s="1747"/>
      <c r="D583" s="1146"/>
      <c r="E583" s="806"/>
      <c r="F583" s="1747"/>
      <c r="G583" s="807"/>
      <c r="H583" s="1747"/>
      <c r="I583" s="1747"/>
      <c r="J583" s="1747"/>
      <c r="K583" s="1747"/>
      <c r="L583" s="1747"/>
      <c r="M583" s="1747"/>
      <c r="N583" s="1747"/>
      <c r="O583" s="2"/>
    </row>
    <row r="584" spans="1:16">
      <c r="A584" s="2986"/>
      <c r="B584" s="506"/>
      <c r="C584" s="506"/>
      <c r="D584" s="1089" t="s">
        <v>1833</v>
      </c>
      <c r="E584" s="475">
        <f>SUM(E580:E583)</f>
        <v>2200000</v>
      </c>
      <c r="F584" s="506"/>
      <c r="G584" s="475">
        <f>SUM(G580:G581)</f>
        <v>88000</v>
      </c>
      <c r="H584" s="506"/>
      <c r="I584" s="506"/>
      <c r="J584" s="334"/>
      <c r="K584" s="279"/>
      <c r="L584" s="2916" t="s">
        <v>1859</v>
      </c>
      <c r="M584" s="2916"/>
      <c r="N584" s="2916"/>
      <c r="O584" s="980">
        <v>88000</v>
      </c>
    </row>
    <row r="585" spans="1:16" ht="15.6">
      <c r="A585" s="2986"/>
      <c r="B585" s="813"/>
      <c r="C585" s="813"/>
      <c r="D585" s="483" t="s">
        <v>2439</v>
      </c>
      <c r="E585" s="814">
        <f>G584</f>
        <v>88000</v>
      </c>
      <c r="F585" s="813"/>
      <c r="G585" s="815"/>
      <c r="H585" s="813"/>
      <c r="I585" s="813"/>
      <c r="J585" s="816"/>
      <c r="K585" s="279"/>
      <c r="L585" s="817"/>
      <c r="M585" s="817"/>
      <c r="N585" s="817"/>
      <c r="O585" s="286"/>
    </row>
    <row r="586" spans="1:16" s="828" customFormat="1" ht="15.75" customHeight="1">
      <c r="A586" s="2210"/>
      <c r="B586" s="308"/>
      <c r="C586" s="308"/>
      <c r="D586" s="1147"/>
      <c r="E586" s="819"/>
      <c r="F586" s="308"/>
      <c r="G586" s="820"/>
      <c r="H586" s="308"/>
      <c r="I586" s="813"/>
      <c r="J586" s="816"/>
      <c r="K586" s="279"/>
      <c r="L586" s="817"/>
      <c r="M586" s="817"/>
      <c r="N586" s="817"/>
      <c r="O586" s="286"/>
      <c r="P586" s="514"/>
    </row>
    <row r="587" spans="1:16" ht="15.6">
      <c r="A587" s="2209"/>
      <c r="B587" s="456"/>
      <c r="C587" s="456"/>
      <c r="D587" s="1091"/>
      <c r="E587" s="458"/>
      <c r="F587" s="456"/>
      <c r="G587" s="459"/>
      <c r="H587" s="456"/>
      <c r="I587" s="456"/>
      <c r="J587" s="457"/>
      <c r="K587" s="460"/>
      <c r="L587" s="461"/>
      <c r="M587" s="461"/>
      <c r="N587" s="461"/>
      <c r="O587" s="455"/>
    </row>
    <row r="588" spans="1:16" ht="15.6">
      <c r="A588" s="2209"/>
      <c r="B588" s="799"/>
      <c r="C588" s="799"/>
      <c r="D588" s="1145"/>
      <c r="E588" s="801"/>
      <c r="F588" s="799"/>
      <c r="G588" s="802"/>
      <c r="H588" s="799"/>
      <c r="I588" s="799"/>
      <c r="J588" s="800"/>
      <c r="K588" s="803"/>
      <c r="L588" s="804"/>
      <c r="M588" s="804"/>
      <c r="N588" s="804"/>
      <c r="O588" s="805"/>
    </row>
    <row r="589" spans="1:16" ht="21">
      <c r="A589" s="2984" t="s">
        <v>1875</v>
      </c>
      <c r="B589" s="2984"/>
      <c r="C589" s="2984"/>
      <c r="D589" s="2984"/>
      <c r="E589" s="2984"/>
      <c r="F589" s="2984"/>
      <c r="G589" s="2984"/>
      <c r="H589" s="2984"/>
      <c r="I589" s="2984"/>
      <c r="J589" s="2984"/>
      <c r="K589" s="279"/>
      <c r="L589" s="818"/>
      <c r="M589" s="818"/>
      <c r="N589" s="818"/>
      <c r="O589" s="286"/>
    </row>
    <row r="590" spans="1:16" ht="15" customHeight="1">
      <c r="A590" s="2218" t="s">
        <v>1806</v>
      </c>
      <c r="B590" s="3" t="s">
        <v>1807</v>
      </c>
      <c r="C590" s="3" t="s">
        <v>1837</v>
      </c>
      <c r="D590" s="1059" t="s">
        <v>1809</v>
      </c>
      <c r="E590" s="4" t="s">
        <v>1810</v>
      </c>
      <c r="F590" s="3" t="s">
        <v>1811</v>
      </c>
      <c r="G590" s="5" t="s">
        <v>1812</v>
      </c>
      <c r="H590" s="3" t="s">
        <v>1813</v>
      </c>
      <c r="I590" s="3" t="s">
        <v>1814</v>
      </c>
      <c r="J590" s="23" t="s">
        <v>1815</v>
      </c>
      <c r="K590" s="1747" t="s">
        <v>1807</v>
      </c>
      <c r="L590" s="1747" t="s">
        <v>1809</v>
      </c>
      <c r="M590" s="1747" t="s">
        <v>1816</v>
      </c>
      <c r="N590" s="1747" t="s">
        <v>1811</v>
      </c>
      <c r="O590" s="2" t="s">
        <v>1817</v>
      </c>
    </row>
    <row r="591" spans="1:16" ht="15" customHeight="1">
      <c r="A591" s="2219"/>
      <c r="B591" s="473"/>
      <c r="C591" s="347"/>
      <c r="D591" s="377" t="s">
        <v>2440</v>
      </c>
      <c r="E591" s="348"/>
      <c r="F591" s="347"/>
      <c r="G591" s="378"/>
      <c r="H591" s="347"/>
      <c r="I591" s="347" t="s">
        <v>2417</v>
      </c>
      <c r="J591" s="939"/>
      <c r="K591" s="1748"/>
      <c r="L591" s="1748"/>
      <c r="M591" s="1748"/>
      <c r="N591" s="1748"/>
      <c r="O591" s="286"/>
    </row>
    <row r="592" spans="1:16" ht="15" customHeight="1">
      <c r="A592" s="2982" t="s">
        <v>2234</v>
      </c>
      <c r="B592" s="473"/>
      <c r="C592" s="347"/>
      <c r="D592" s="1079" t="s">
        <v>2441</v>
      </c>
      <c r="E592" s="348"/>
      <c r="F592" s="347"/>
      <c r="G592" s="378"/>
      <c r="H592" s="347"/>
      <c r="I592" s="347"/>
      <c r="J592" s="939"/>
      <c r="K592" s="1748"/>
      <c r="L592" s="1748"/>
      <c r="M592" s="1748"/>
      <c r="N592" s="1748"/>
      <c r="O592" s="286"/>
    </row>
    <row r="593" spans="1:15" ht="15" customHeight="1">
      <c r="A593" s="2982"/>
      <c r="B593" s="432">
        <v>11407</v>
      </c>
      <c r="C593" s="302">
        <v>0.1</v>
      </c>
      <c r="D593" s="573" t="s">
        <v>2442</v>
      </c>
      <c r="E593" s="511">
        <v>1000000</v>
      </c>
      <c r="F593" s="302">
        <v>0.05</v>
      </c>
      <c r="G593" s="588">
        <f>E593*F593</f>
        <v>50000</v>
      </c>
      <c r="H593" s="433" t="s">
        <v>2241</v>
      </c>
      <c r="I593" s="433" t="s">
        <v>2363</v>
      </c>
      <c r="J593" s="1679"/>
      <c r="K593" s="1748"/>
      <c r="L593" s="1748"/>
      <c r="M593" s="1748"/>
      <c r="N593" s="1748"/>
      <c r="O593" s="286"/>
    </row>
    <row r="594" spans="1:15" ht="15" customHeight="1">
      <c r="A594" s="2982"/>
      <c r="B594" s="432">
        <v>11419</v>
      </c>
      <c r="C594" s="302">
        <v>0.1</v>
      </c>
      <c r="D594" s="573" t="s">
        <v>2443</v>
      </c>
      <c r="E594" s="511">
        <v>1150000</v>
      </c>
      <c r="F594" s="302">
        <v>0.1</v>
      </c>
      <c r="G594" s="588">
        <f t="shared" ref="G594:G596" si="24">E594*F594</f>
        <v>115000</v>
      </c>
      <c r="H594" s="433" t="s">
        <v>527</v>
      </c>
      <c r="I594" s="433" t="s">
        <v>2363</v>
      </c>
      <c r="J594" s="1679"/>
      <c r="K594" s="1748"/>
      <c r="L594" s="1748"/>
      <c r="M594" s="1748"/>
      <c r="N594" s="1748"/>
      <c r="O594" s="286"/>
    </row>
    <row r="595" spans="1:15" ht="15" customHeight="1">
      <c r="A595" s="2982"/>
      <c r="B595" s="432">
        <v>11494</v>
      </c>
      <c r="C595" s="302">
        <v>0.1</v>
      </c>
      <c r="D595" s="573" t="s">
        <v>2444</v>
      </c>
      <c r="E595" s="511">
        <v>1100000</v>
      </c>
      <c r="F595" s="302">
        <v>0.05</v>
      </c>
      <c r="G595" s="588">
        <f t="shared" si="24"/>
        <v>55000</v>
      </c>
      <c r="H595" s="433" t="s">
        <v>2438</v>
      </c>
      <c r="I595" s="433" t="s">
        <v>2417</v>
      </c>
      <c r="J595" s="1679"/>
      <c r="K595" s="1748"/>
      <c r="L595" s="1748"/>
      <c r="M595" s="1748"/>
      <c r="N595" s="1748"/>
      <c r="O595" s="286"/>
    </row>
    <row r="596" spans="1:15" ht="15" customHeight="1">
      <c r="A596" s="2982"/>
      <c r="B596" s="432">
        <v>11524</v>
      </c>
      <c r="C596" s="302">
        <v>0.1</v>
      </c>
      <c r="D596" s="1158" t="s">
        <v>2445</v>
      </c>
      <c r="E596" s="511">
        <v>1150000</v>
      </c>
      <c r="F596" s="302">
        <v>0.05</v>
      </c>
      <c r="G596" s="588">
        <f t="shared" si="24"/>
        <v>57500</v>
      </c>
      <c r="H596" s="433" t="s">
        <v>510</v>
      </c>
      <c r="I596" s="433" t="s">
        <v>2417</v>
      </c>
      <c r="J596" s="1679"/>
      <c r="K596" s="1748"/>
      <c r="L596" s="1748"/>
      <c r="M596" s="1748"/>
      <c r="N596" s="1748"/>
      <c r="O596" s="286"/>
    </row>
    <row r="597" spans="1:15" ht="15" customHeight="1">
      <c r="A597" s="2982"/>
      <c r="B597" s="300"/>
      <c r="C597" s="1748"/>
      <c r="D597" s="1159"/>
      <c r="E597" s="719"/>
      <c r="F597" s="1748"/>
      <c r="G597" s="940"/>
      <c r="H597" s="1748"/>
      <c r="I597" s="1748"/>
      <c r="J597" s="1679"/>
      <c r="K597" s="1748"/>
      <c r="L597" s="1748"/>
      <c r="M597" s="1748"/>
      <c r="N597" s="1748"/>
      <c r="O597" s="286"/>
    </row>
    <row r="598" spans="1:15" ht="15" customHeight="1">
      <c r="A598" s="2982"/>
      <c r="B598" s="300"/>
      <c r="C598" s="1679"/>
      <c r="D598" s="1160"/>
      <c r="E598" s="944"/>
      <c r="F598" s="1748"/>
      <c r="G598" s="940"/>
      <c r="H598" s="1748"/>
      <c r="I598" s="1748"/>
      <c r="J598" s="1679"/>
      <c r="K598" s="1748"/>
      <c r="L598" s="1748"/>
      <c r="M598" s="1748"/>
      <c r="N598" s="368"/>
      <c r="O598" s="286"/>
    </row>
    <row r="599" spans="1:15" ht="15" customHeight="1">
      <c r="A599" s="2982"/>
      <c r="B599" s="891"/>
      <c r="C599" s="506"/>
      <c r="D599" s="1089" t="s">
        <v>1833</v>
      </c>
      <c r="E599" s="475">
        <f>SUM(E593:E598)</f>
        <v>4400000</v>
      </c>
      <c r="F599" s="506"/>
      <c r="G599" s="475">
        <f>SUM(G593:G596)</f>
        <v>277500</v>
      </c>
      <c r="H599" s="506"/>
      <c r="I599" s="506"/>
      <c r="J599" s="829"/>
      <c r="K599" s="279"/>
      <c r="L599" s="2849" t="s">
        <v>1859</v>
      </c>
      <c r="M599" s="2849"/>
      <c r="N599" s="2849"/>
      <c r="O599" s="980">
        <v>227500</v>
      </c>
    </row>
    <row r="600" spans="1:15" ht="15.75" customHeight="1">
      <c r="A600" s="2982"/>
      <c r="B600" s="892"/>
      <c r="C600" s="813"/>
      <c r="D600" s="1155" t="s">
        <v>1835</v>
      </c>
      <c r="E600" s="926">
        <f>G599</f>
        <v>277500</v>
      </c>
      <c r="F600" s="813"/>
      <c r="G600" s="815"/>
      <c r="H600" s="813"/>
      <c r="I600" s="813"/>
      <c r="J600" s="830"/>
      <c r="K600" s="279"/>
      <c r="L600" s="941"/>
      <c r="M600" s="941"/>
      <c r="N600" s="941"/>
      <c r="O600" s="286"/>
    </row>
    <row r="601" spans="1:15" ht="15.6">
      <c r="A601" s="2209"/>
      <c r="B601" s="456"/>
      <c r="C601" s="456"/>
      <c r="D601" s="1091"/>
      <c r="E601" s="458"/>
      <c r="F601" s="456"/>
      <c r="G601" s="459"/>
      <c r="H601" s="456"/>
      <c r="I601" s="456"/>
      <c r="J601" s="457"/>
      <c r="K601" s="460"/>
      <c r="L601" s="461"/>
      <c r="M601" s="461"/>
      <c r="N601" s="461"/>
      <c r="O601" s="455"/>
    </row>
    <row r="602" spans="1:15" ht="15.6">
      <c r="A602" s="2209"/>
      <c r="B602" s="799"/>
      <c r="C602" s="799"/>
      <c r="D602" s="1145"/>
      <c r="E602" s="801"/>
      <c r="F602" s="799"/>
      <c r="G602" s="802"/>
      <c r="H602" s="799"/>
      <c r="I602" s="799"/>
      <c r="J602" s="800"/>
      <c r="K602" s="803"/>
      <c r="L602" s="804"/>
      <c r="M602" s="804"/>
      <c r="N602" s="804"/>
      <c r="O602" s="805"/>
    </row>
    <row r="603" spans="1:15" ht="21">
      <c r="A603" s="2984" t="s">
        <v>2446</v>
      </c>
      <c r="B603" s="2984"/>
      <c r="C603" s="2984"/>
      <c r="D603" s="2984"/>
      <c r="E603" s="2984"/>
      <c r="F603" s="2984"/>
      <c r="G603" s="2984"/>
      <c r="H603" s="2984"/>
      <c r="I603" s="2984"/>
      <c r="J603" s="2984"/>
      <c r="K603" s="279"/>
      <c r="L603" s="818"/>
      <c r="M603" s="818"/>
      <c r="N603" s="818"/>
      <c r="O603" s="286"/>
    </row>
    <row r="604" spans="1:15">
      <c r="A604" s="2218" t="s">
        <v>1806</v>
      </c>
      <c r="B604" s="3" t="s">
        <v>1807</v>
      </c>
      <c r="C604" s="3" t="s">
        <v>1837</v>
      </c>
      <c r="D604" s="1059" t="s">
        <v>1809</v>
      </c>
      <c r="E604" s="4" t="s">
        <v>1810</v>
      </c>
      <c r="F604" s="3" t="s">
        <v>1811</v>
      </c>
      <c r="G604" s="5" t="s">
        <v>1812</v>
      </c>
      <c r="H604" s="3" t="s">
        <v>1813</v>
      </c>
      <c r="I604" s="3" t="s">
        <v>1814</v>
      </c>
      <c r="J604" s="23" t="s">
        <v>1815</v>
      </c>
      <c r="K604" s="1747" t="s">
        <v>1807</v>
      </c>
      <c r="L604" s="1747" t="s">
        <v>1809</v>
      </c>
      <c r="M604" s="1747" t="s">
        <v>1816</v>
      </c>
      <c r="N604" s="1747" t="s">
        <v>1811</v>
      </c>
      <c r="O604" s="2" t="s">
        <v>1817</v>
      </c>
    </row>
    <row r="605" spans="1:15">
      <c r="A605" s="2977" t="s">
        <v>2234</v>
      </c>
      <c r="B605" s="432">
        <v>11361</v>
      </c>
      <c r="C605" s="302">
        <v>0.1</v>
      </c>
      <c r="D605" s="573" t="s">
        <v>2447</v>
      </c>
      <c r="E605" s="511">
        <v>850000</v>
      </c>
      <c r="F605" s="302">
        <v>0.1</v>
      </c>
      <c r="G605" s="588">
        <f>E605*F605</f>
        <v>85000</v>
      </c>
      <c r="H605" s="433" t="s">
        <v>2241</v>
      </c>
      <c r="I605" s="433" t="s">
        <v>2225</v>
      </c>
      <c r="J605" s="1679"/>
      <c r="K605" s="433">
        <v>11484</v>
      </c>
      <c r="L605" s="573" t="s">
        <v>2448</v>
      </c>
      <c r="M605" s="1748">
        <v>1100000</v>
      </c>
      <c r="N605" s="368">
        <v>0.05</v>
      </c>
      <c r="O605" s="286">
        <f>M605*N605</f>
        <v>55000</v>
      </c>
    </row>
    <row r="606" spans="1:15">
      <c r="A606" s="2977"/>
      <c r="B606" s="432">
        <v>11410</v>
      </c>
      <c r="C606" s="302">
        <v>0.1</v>
      </c>
      <c r="D606" s="573" t="s">
        <v>2449</v>
      </c>
      <c r="E606" s="511">
        <v>1200000</v>
      </c>
      <c r="F606" s="302">
        <v>0.05</v>
      </c>
      <c r="G606" s="588">
        <f t="shared" ref="G606:G609" si="25">E606*F606</f>
        <v>60000</v>
      </c>
      <c r="H606" s="433" t="s">
        <v>582</v>
      </c>
      <c r="I606" s="433" t="s">
        <v>2417</v>
      </c>
      <c r="J606" s="1679"/>
      <c r="K606" s="433">
        <v>11407</v>
      </c>
      <c r="L606" s="573" t="s">
        <v>2442</v>
      </c>
      <c r="M606" s="1748">
        <v>1000000</v>
      </c>
      <c r="N606" s="368">
        <v>0.05</v>
      </c>
      <c r="O606" s="286">
        <f t="shared" ref="O606:O609" si="26">M606*N606</f>
        <v>50000</v>
      </c>
    </row>
    <row r="607" spans="1:15">
      <c r="A607" s="2977"/>
      <c r="B607" s="432">
        <v>11430</v>
      </c>
      <c r="C607" s="302">
        <v>0.1</v>
      </c>
      <c r="D607" s="573" t="s">
        <v>2450</v>
      </c>
      <c r="E607" s="511">
        <v>1550000</v>
      </c>
      <c r="F607" s="302">
        <v>0.05</v>
      </c>
      <c r="G607" s="588">
        <f t="shared" si="25"/>
        <v>77500</v>
      </c>
      <c r="H607" s="433" t="s">
        <v>582</v>
      </c>
      <c r="I607" s="433" t="s">
        <v>2363</v>
      </c>
      <c r="J607" s="1679"/>
      <c r="K607" s="1748"/>
      <c r="L607" s="943" t="s">
        <v>2451</v>
      </c>
      <c r="M607" s="1748">
        <v>1150000</v>
      </c>
      <c r="N607" s="368">
        <v>0.05</v>
      </c>
      <c r="O607" s="286">
        <f t="shared" si="26"/>
        <v>57500</v>
      </c>
    </row>
    <row r="608" spans="1:15">
      <c r="A608" s="2977"/>
      <c r="B608" s="432">
        <v>11456</v>
      </c>
      <c r="C608" s="302">
        <v>0.1</v>
      </c>
      <c r="D608" s="573" t="s">
        <v>2452</v>
      </c>
      <c r="E608" s="511">
        <v>1200000</v>
      </c>
      <c r="F608" s="302">
        <v>0.1</v>
      </c>
      <c r="G608" s="588">
        <f t="shared" si="25"/>
        <v>120000</v>
      </c>
      <c r="H608" s="433" t="s">
        <v>510</v>
      </c>
      <c r="I608" s="433" t="s">
        <v>2417</v>
      </c>
      <c r="J608" s="1679"/>
      <c r="K608" s="433">
        <v>11494</v>
      </c>
      <c r="L608" s="573" t="s">
        <v>2453</v>
      </c>
      <c r="M608" s="1748">
        <v>1100000</v>
      </c>
      <c r="N608" s="368">
        <v>0.05</v>
      </c>
      <c r="O608" s="286">
        <f t="shared" si="26"/>
        <v>55000</v>
      </c>
    </row>
    <row r="609" spans="1:15">
      <c r="A609" s="2977"/>
      <c r="B609" s="590">
        <v>11443</v>
      </c>
      <c r="C609" s="302">
        <v>0.1</v>
      </c>
      <c r="D609" s="573" t="s">
        <v>2454</v>
      </c>
      <c r="E609" s="511">
        <v>1250000</v>
      </c>
      <c r="F609" s="302">
        <v>0.05</v>
      </c>
      <c r="G609" s="588">
        <f t="shared" si="25"/>
        <v>62500</v>
      </c>
      <c r="H609" s="433" t="s">
        <v>582</v>
      </c>
      <c r="I609" s="433" t="s">
        <v>2417</v>
      </c>
      <c r="J609" s="1679"/>
      <c r="K609" s="1748"/>
      <c r="L609" s="943" t="s">
        <v>2455</v>
      </c>
      <c r="M609" s="1748">
        <v>1000000</v>
      </c>
      <c r="N609" s="368">
        <v>0.05</v>
      </c>
      <c r="O609" s="286">
        <f t="shared" si="26"/>
        <v>50000</v>
      </c>
    </row>
    <row r="610" spans="1:15">
      <c r="A610" s="2977"/>
      <c r="B610" s="300"/>
      <c r="C610" s="1748"/>
      <c r="D610" s="943"/>
      <c r="E610" s="719"/>
      <c r="F610" s="1748"/>
      <c r="G610" s="940"/>
      <c r="H610" s="1748"/>
      <c r="I610" s="1748"/>
      <c r="J610" s="1679"/>
      <c r="K610" s="1748"/>
      <c r="L610" s="1748"/>
      <c r="M610" s="1748"/>
      <c r="N610" s="1748"/>
      <c r="O610" s="286"/>
    </row>
    <row r="611" spans="1:15" ht="15" customHeight="1">
      <c r="A611" s="2977"/>
      <c r="B611" s="300"/>
      <c r="C611" s="1748"/>
      <c r="D611" s="1161"/>
      <c r="E611" s="719"/>
      <c r="F611" s="1748"/>
      <c r="G611" s="940"/>
      <c r="H611" s="1748"/>
      <c r="I611" s="1748"/>
      <c r="J611" s="1679"/>
      <c r="K611" s="1748"/>
      <c r="L611" s="1748"/>
      <c r="M611" s="1748"/>
      <c r="N611" s="368"/>
      <c r="O611" s="821">
        <f>SUM(O605:O609)</f>
        <v>267500</v>
      </c>
    </row>
    <row r="612" spans="1:15" ht="15" customHeight="1">
      <c r="A612" s="2220"/>
      <c r="B612" s="300"/>
      <c r="C612" s="1748"/>
      <c r="D612" s="1161"/>
      <c r="E612" s="719"/>
      <c r="F612" s="1748"/>
      <c r="G612" s="940"/>
      <c r="H612" s="1748"/>
      <c r="I612" s="1748"/>
      <c r="J612" s="1679"/>
      <c r="K612" s="1748"/>
      <c r="L612" s="1748"/>
      <c r="M612" s="1748"/>
      <c r="N612" s="1748"/>
      <c r="O612" s="286"/>
    </row>
    <row r="613" spans="1:15" ht="15" customHeight="1">
      <c r="A613" s="2220"/>
      <c r="B613" s="363"/>
      <c r="C613" s="312"/>
      <c r="D613" s="1161"/>
      <c r="E613" s="945"/>
      <c r="F613" s="312"/>
      <c r="G613" s="290"/>
      <c r="H613" s="299"/>
      <c r="I613" s="299"/>
      <c r="J613" s="1679"/>
      <c r="K613" s="1748"/>
      <c r="L613" s="1748"/>
      <c r="M613" s="1748"/>
      <c r="N613" s="1748"/>
      <c r="O613" s="286"/>
    </row>
    <row r="614" spans="1:15" ht="15" customHeight="1">
      <c r="A614" s="2220"/>
      <c r="B614" s="891"/>
      <c r="C614" s="506"/>
      <c r="D614" s="1089" t="s">
        <v>1833</v>
      </c>
      <c r="E614" s="475">
        <f>SUM(E605:E612)</f>
        <v>6050000</v>
      </c>
      <c r="F614" s="506"/>
      <c r="G614" s="475">
        <f>SUM(G605:G609)</f>
        <v>405000</v>
      </c>
      <c r="H614" s="506"/>
      <c r="I614" s="506"/>
      <c r="J614" s="829"/>
      <c r="K614" s="279"/>
      <c r="L614" s="2849" t="s">
        <v>1859</v>
      </c>
      <c r="M614" s="2849"/>
      <c r="N614" s="2849"/>
      <c r="O614" s="981">
        <v>672500</v>
      </c>
    </row>
    <row r="615" spans="1:15" ht="15.75" customHeight="1">
      <c r="A615" s="2221"/>
      <c r="B615" s="892"/>
      <c r="C615" s="813"/>
      <c r="D615" s="1155" t="s">
        <v>1835</v>
      </c>
      <c r="E615" s="926">
        <f>G614+O611</f>
        <v>672500</v>
      </c>
      <c r="F615" s="813"/>
      <c r="G615" s="815"/>
      <c r="H615" s="813"/>
      <c r="I615" s="813"/>
      <c r="J615" s="830"/>
      <c r="K615" s="279"/>
      <c r="L615" s="941"/>
      <c r="M615" s="941"/>
      <c r="N615" s="941"/>
      <c r="O615" s="286"/>
    </row>
    <row r="616" spans="1:15">
      <c r="A616" s="2172"/>
      <c r="B616" s="17"/>
      <c r="C616" s="17"/>
      <c r="D616" s="1058"/>
      <c r="E616" s="19"/>
      <c r="F616" s="17"/>
      <c r="G616" s="20"/>
      <c r="H616" s="17"/>
      <c r="I616" s="17"/>
      <c r="J616" s="18"/>
      <c r="O616" s="1"/>
    </row>
    <row r="617" spans="1:15">
      <c r="A617" s="2987" t="s">
        <v>2456</v>
      </c>
      <c r="B617" s="2987"/>
      <c r="C617" s="2987"/>
      <c r="D617" s="2987"/>
      <c r="E617" s="2987"/>
      <c r="F617" s="2987"/>
      <c r="G617" s="2987"/>
      <c r="H617" s="2987"/>
      <c r="I617" s="17"/>
      <c r="J617" s="18"/>
      <c r="O617" s="1"/>
    </row>
    <row r="618" spans="1:15">
      <c r="A618" s="2987"/>
      <c r="B618" s="2987"/>
      <c r="C618" s="2987"/>
      <c r="D618" s="2987"/>
      <c r="E618" s="2987"/>
      <c r="F618" s="2987"/>
      <c r="G618" s="2987"/>
      <c r="H618" s="2987"/>
    </row>
    <row r="619" spans="1:15" ht="20.45">
      <c r="A619" s="263" t="s">
        <v>2011</v>
      </c>
      <c r="B619" s="396" t="s">
        <v>1808</v>
      </c>
      <c r="C619" s="176" t="s">
        <v>2012</v>
      </c>
      <c r="D619" s="1100" t="s">
        <v>2123</v>
      </c>
      <c r="E619" s="397" t="s">
        <v>2013</v>
      </c>
      <c r="F619" s="398" t="s">
        <v>1811</v>
      </c>
      <c r="G619" s="399" t="s">
        <v>1817</v>
      </c>
      <c r="H619" s="683" t="s">
        <v>2125</v>
      </c>
      <c r="I619" s="2"/>
    </row>
    <row r="620" spans="1:15" s="503" customFormat="1">
      <c r="A620" s="2222">
        <v>11361</v>
      </c>
      <c r="B620" s="873">
        <v>0.1</v>
      </c>
      <c r="C620" s="874" t="s">
        <v>2457</v>
      </c>
      <c r="D620" s="1162" t="s">
        <v>2111</v>
      </c>
      <c r="E620" s="875">
        <v>850000</v>
      </c>
      <c r="F620" s="876"/>
      <c r="G620" s="877"/>
      <c r="H620" s="712" t="s">
        <v>2241</v>
      </c>
      <c r="I620" s="1045" t="s">
        <v>2124</v>
      </c>
    </row>
    <row r="621" spans="1:15" s="503" customFormat="1" ht="15" customHeight="1">
      <c r="A621" s="2223"/>
      <c r="B621" s="743"/>
      <c r="C621" s="832"/>
      <c r="D621" s="1150"/>
      <c r="E621" s="566"/>
      <c r="F621" s="831"/>
      <c r="G621" s="406"/>
      <c r="H621" s="501"/>
      <c r="I621" s="1046"/>
    </row>
    <row r="622" spans="1:15">
      <c r="A622" s="269"/>
      <c r="B622" s="743"/>
      <c r="C622" s="407"/>
      <c r="D622" s="1150" t="s">
        <v>1833</v>
      </c>
      <c r="E622" s="566">
        <f>E620</f>
        <v>850000</v>
      </c>
      <c r="F622" s="567"/>
      <c r="G622" s="406"/>
      <c r="H622" s="501"/>
      <c r="I622" s="1007"/>
    </row>
    <row r="623" spans="1:15" ht="15.6">
      <c r="A623" s="269"/>
      <c r="B623" s="270"/>
      <c r="C623" s="270"/>
      <c r="D623" s="1110" t="s">
        <v>2154</v>
      </c>
      <c r="E623" s="487">
        <v>0</v>
      </c>
      <c r="F623" s="270"/>
      <c r="G623" s="766"/>
      <c r="H623" s="1021"/>
      <c r="I623" s="1007"/>
    </row>
    <row r="624" spans="1:15" ht="15.6">
      <c r="A624" s="261"/>
      <c r="B624" s="796"/>
      <c r="C624" s="796"/>
      <c r="D624" s="1151"/>
      <c r="E624" s="797"/>
      <c r="F624" s="796"/>
      <c r="G624" s="798"/>
      <c r="H624" s="1022"/>
      <c r="I624" s="1043"/>
    </row>
    <row r="625" spans="1:9">
      <c r="A625" s="90"/>
      <c r="E625" s="91"/>
      <c r="G625" s="92"/>
      <c r="H625" s="1001"/>
    </row>
    <row r="626" spans="1:9">
      <c r="A626" s="2988" t="s">
        <v>2458</v>
      </c>
      <c r="B626" s="2988"/>
      <c r="C626" s="2988"/>
      <c r="D626" s="2988"/>
      <c r="E626" s="2988"/>
      <c r="F626" s="2988"/>
      <c r="G626" s="2988"/>
      <c r="H626" s="2988"/>
    </row>
    <row r="627" spans="1:9">
      <c r="A627" s="2988"/>
      <c r="B627" s="2988"/>
      <c r="C627" s="2988"/>
      <c r="D627" s="2988"/>
      <c r="E627" s="2988"/>
      <c r="F627" s="2988"/>
      <c r="G627" s="2988"/>
      <c r="H627" s="2988"/>
    </row>
    <row r="628" spans="1:9" ht="20.45">
      <c r="A628" s="263" t="s">
        <v>2011</v>
      </c>
      <c r="B628" s="833" t="s">
        <v>1808</v>
      </c>
      <c r="C628" s="863" t="s">
        <v>2012</v>
      </c>
      <c r="D628" s="1100" t="s">
        <v>2123</v>
      </c>
      <c r="E628" s="835" t="s">
        <v>2013</v>
      </c>
      <c r="F628" s="398" t="s">
        <v>1811</v>
      </c>
      <c r="G628" s="399" t="s">
        <v>1817</v>
      </c>
      <c r="H628" s="400"/>
    </row>
    <row r="629" spans="1:9" ht="20.45">
      <c r="A629" s="865"/>
      <c r="B629" s="887"/>
      <c r="C629" s="888" t="s">
        <v>2459</v>
      </c>
      <c r="D629" s="864" t="s">
        <v>2460</v>
      </c>
      <c r="E629" s="866"/>
      <c r="F629" s="754"/>
      <c r="G629" s="867"/>
      <c r="H629" s="870"/>
      <c r="I629" s="1047"/>
    </row>
    <row r="630" spans="1:9">
      <c r="A630" s="553">
        <v>11353</v>
      </c>
      <c r="B630" s="421">
        <v>0.1</v>
      </c>
      <c r="C630" s="885" t="s">
        <v>2461</v>
      </c>
      <c r="D630" s="1163" t="s">
        <v>2111</v>
      </c>
      <c r="E630" s="268">
        <v>1150000</v>
      </c>
      <c r="F630" s="302">
        <v>0.02</v>
      </c>
      <c r="G630" s="511">
        <f t="shared" ref="G630:G637" si="27">E630*F630</f>
        <v>23000</v>
      </c>
      <c r="H630" s="298" t="s">
        <v>523</v>
      </c>
      <c r="I630" s="298" t="s">
        <v>2124</v>
      </c>
    </row>
    <row r="631" spans="1:9">
      <c r="A631" s="639">
        <v>11352</v>
      </c>
      <c r="B631" s="314">
        <v>0.1</v>
      </c>
      <c r="C631" s="276" t="s">
        <v>2462</v>
      </c>
      <c r="D631" s="576" t="s">
        <v>2111</v>
      </c>
      <c r="E631" s="268">
        <v>1100000</v>
      </c>
      <c r="F631" s="302">
        <v>0.02</v>
      </c>
      <c r="G631" s="511">
        <f t="shared" si="27"/>
        <v>22000</v>
      </c>
      <c r="H631" s="298" t="s">
        <v>523</v>
      </c>
      <c r="I631" s="298" t="s">
        <v>2124</v>
      </c>
    </row>
    <row r="632" spans="1:9">
      <c r="A632" s="982">
        <v>11407</v>
      </c>
      <c r="B632" s="314">
        <v>0.1</v>
      </c>
      <c r="C632" s="602" t="s">
        <v>2463</v>
      </c>
      <c r="D632" s="1132" t="s">
        <v>2111</v>
      </c>
      <c r="E632" s="673">
        <v>1000000</v>
      </c>
      <c r="F632" s="302">
        <v>0.02</v>
      </c>
      <c r="G632" s="511">
        <f t="shared" si="27"/>
        <v>20000</v>
      </c>
      <c r="H632" s="306" t="s">
        <v>527</v>
      </c>
      <c r="I632" s="306" t="s">
        <v>2124</v>
      </c>
    </row>
    <row r="633" spans="1:9">
      <c r="A633" s="554">
        <v>11411</v>
      </c>
      <c r="B633" s="750">
        <v>0.1</v>
      </c>
      <c r="C633" s="518" t="s">
        <v>2464</v>
      </c>
      <c r="D633" s="1029" t="s">
        <v>2111</v>
      </c>
      <c r="E633" s="673">
        <v>1000000</v>
      </c>
      <c r="F633" s="578">
        <v>0.02</v>
      </c>
      <c r="G633" s="889">
        <f t="shared" si="27"/>
        <v>20000</v>
      </c>
      <c r="H633" s="306" t="s">
        <v>523</v>
      </c>
      <c r="I633" s="306" t="s">
        <v>2124</v>
      </c>
    </row>
    <row r="634" spans="1:9">
      <c r="A634" s="639">
        <v>11419</v>
      </c>
      <c r="B634" s="415">
        <v>0.1</v>
      </c>
      <c r="C634" s="275" t="s">
        <v>2465</v>
      </c>
      <c r="D634" s="576" t="s">
        <v>2111</v>
      </c>
      <c r="E634" s="268">
        <v>1150000</v>
      </c>
      <c r="F634" s="302">
        <v>0.02</v>
      </c>
      <c r="G634" s="511">
        <f t="shared" ref="G634" si="28">E634*F634</f>
        <v>23000</v>
      </c>
      <c r="H634" s="298" t="s">
        <v>527</v>
      </c>
      <c r="I634" s="298" t="s">
        <v>2124</v>
      </c>
    </row>
    <row r="635" spans="1:9">
      <c r="A635" s="639">
        <v>11431</v>
      </c>
      <c r="B635" s="273">
        <v>0.1</v>
      </c>
      <c r="C635" s="275" t="s">
        <v>2466</v>
      </c>
      <c r="D635" s="1029" t="s">
        <v>2111</v>
      </c>
      <c r="E635" s="673">
        <v>1300000</v>
      </c>
      <c r="F635" s="302">
        <v>0.02</v>
      </c>
      <c r="G635" s="511">
        <f t="shared" si="27"/>
        <v>26000</v>
      </c>
      <c r="H635" s="306" t="s">
        <v>582</v>
      </c>
      <c r="I635" s="306" t="s">
        <v>2124</v>
      </c>
    </row>
    <row r="636" spans="1:9">
      <c r="A636" s="639">
        <v>11432</v>
      </c>
      <c r="B636" s="273">
        <v>0.1</v>
      </c>
      <c r="C636" s="518" t="s">
        <v>2467</v>
      </c>
      <c r="D636" s="1029" t="s">
        <v>2111</v>
      </c>
      <c r="E636" s="673">
        <v>1200000</v>
      </c>
      <c r="F636" s="302">
        <v>0.02</v>
      </c>
      <c r="G636" s="511">
        <f t="shared" si="27"/>
        <v>24000</v>
      </c>
      <c r="H636" s="306" t="s">
        <v>523</v>
      </c>
      <c r="I636" s="306" t="s">
        <v>2124</v>
      </c>
    </row>
    <row r="637" spans="1:9">
      <c r="A637" s="639">
        <v>11430</v>
      </c>
      <c r="B637" s="415">
        <v>0.1</v>
      </c>
      <c r="C637" s="431" t="s">
        <v>2468</v>
      </c>
      <c r="D637" s="1029" t="s">
        <v>2111</v>
      </c>
      <c r="E637" s="673">
        <v>1550000</v>
      </c>
      <c r="F637" s="578">
        <v>0.02</v>
      </c>
      <c r="G637" s="889">
        <f t="shared" si="27"/>
        <v>31000</v>
      </c>
      <c r="H637" s="306" t="s">
        <v>510</v>
      </c>
      <c r="I637" s="306" t="s">
        <v>2124</v>
      </c>
    </row>
    <row r="638" spans="1:9">
      <c r="A638" s="2224"/>
      <c r="B638" s="834"/>
      <c r="C638" s="868"/>
      <c r="D638" s="1164"/>
      <c r="E638" s="890"/>
      <c r="F638" s="900"/>
      <c r="G638" s="901"/>
      <c r="H638" s="989"/>
      <c r="I638" s="989"/>
    </row>
    <row r="639" spans="1:9">
      <c r="A639" s="2182"/>
      <c r="B639" s="834"/>
      <c r="C639" s="279"/>
      <c r="D639" s="1165"/>
      <c r="E639" s="485"/>
      <c r="F639" s="438"/>
      <c r="G639" s="486"/>
      <c r="H639" s="307"/>
      <c r="I639" s="339"/>
    </row>
    <row r="640" spans="1:9">
      <c r="A640" s="2182"/>
      <c r="B640" s="834"/>
      <c r="C640" s="279"/>
      <c r="D640" s="1165" t="s">
        <v>2469</v>
      </c>
      <c r="E640" s="485">
        <f>SUM(E630:E637)</f>
        <v>9450000</v>
      </c>
      <c r="F640" s="438"/>
      <c r="G640" s="486">
        <f>SUM(G630:G637)</f>
        <v>189000</v>
      </c>
      <c r="H640" s="307"/>
      <c r="I640" s="339"/>
    </row>
    <row r="641" spans="1:9" ht="15.6">
      <c r="A641" s="46"/>
      <c r="B641" s="11"/>
      <c r="C641" s="171"/>
      <c r="D641" s="1110" t="s">
        <v>2154</v>
      </c>
      <c r="E641" s="487">
        <f>G640</f>
        <v>189000</v>
      </c>
      <c r="F641" s="11"/>
      <c r="G641" s="93"/>
      <c r="H641" s="50"/>
      <c r="I641" s="2"/>
    </row>
    <row r="642" spans="1:9">
      <c r="E642" s="589"/>
    </row>
    <row r="645" spans="1:9">
      <c r="A645" s="2988" t="s">
        <v>2470</v>
      </c>
      <c r="B645" s="2988"/>
      <c r="C645" s="2988"/>
      <c r="D645" s="2988"/>
      <c r="E645" s="2988"/>
      <c r="F645" s="2988"/>
      <c r="G645" s="2988"/>
      <c r="H645" s="2988"/>
    </row>
    <row r="646" spans="1:9" s="503" customFormat="1">
      <c r="A646" s="2988"/>
      <c r="B646" s="2988"/>
      <c r="C646" s="2988"/>
      <c r="D646" s="2988"/>
      <c r="E646" s="2988"/>
      <c r="F646" s="2988"/>
      <c r="G646" s="2988"/>
      <c r="H646" s="2988"/>
      <c r="I646" s="1"/>
    </row>
    <row r="647" spans="1:9" s="503" customFormat="1" ht="20.45">
      <c r="A647" s="263" t="s">
        <v>2011</v>
      </c>
      <c r="B647" s="833" t="s">
        <v>1808</v>
      </c>
      <c r="C647" s="863" t="s">
        <v>2012</v>
      </c>
      <c r="D647" s="1100" t="s">
        <v>2123</v>
      </c>
      <c r="E647" s="835" t="s">
        <v>2013</v>
      </c>
      <c r="F647" s="398" t="s">
        <v>1811</v>
      </c>
      <c r="G647" s="399" t="s">
        <v>1817</v>
      </c>
      <c r="H647" s="400" t="s">
        <v>2125</v>
      </c>
      <c r="I647" s="1"/>
    </row>
    <row r="648" spans="1:9" s="503" customFormat="1">
      <c r="A648" s="127"/>
      <c r="B648" s="869"/>
      <c r="C648" s="896" t="s">
        <v>2459</v>
      </c>
      <c r="D648" s="946" t="s">
        <v>2471</v>
      </c>
      <c r="E648" s="893"/>
      <c r="F648" s="947"/>
      <c r="G648" s="912"/>
      <c r="H648" s="948" t="s">
        <v>582</v>
      </c>
      <c r="I648" s="1048"/>
    </row>
    <row r="649" spans="1:9" s="503" customFormat="1">
      <c r="A649" s="353"/>
      <c r="B649" s="401"/>
      <c r="C649" s="896" t="s">
        <v>2472</v>
      </c>
      <c r="D649" s="894" t="s">
        <v>2473</v>
      </c>
      <c r="E649" s="379"/>
      <c r="F649" s="336"/>
      <c r="G649" s="404"/>
      <c r="H649" s="691" t="s">
        <v>523</v>
      </c>
      <c r="I649" s="592"/>
    </row>
    <row r="650" spans="1:9" s="503" customFormat="1">
      <c r="A650" s="353"/>
      <c r="B650" s="401"/>
      <c r="C650" s="350" t="s">
        <v>2474</v>
      </c>
      <c r="D650" s="1166" t="s">
        <v>2475</v>
      </c>
      <c r="E650" s="706"/>
      <c r="F650" s="705"/>
      <c r="G650" s="897"/>
      <c r="H650" s="592" t="s">
        <v>527</v>
      </c>
      <c r="I650" s="592"/>
    </row>
    <row r="651" spans="1:9" s="503" customFormat="1">
      <c r="A651" s="2225"/>
      <c r="B651" s="752"/>
      <c r="C651" s="262" t="s">
        <v>2476</v>
      </c>
      <c r="D651" s="1167" t="s">
        <v>2127</v>
      </c>
      <c r="E651" s="911"/>
      <c r="F651" s="705"/>
      <c r="G651" s="897"/>
      <c r="H651" s="592" t="s">
        <v>527</v>
      </c>
      <c r="I651" s="677"/>
    </row>
    <row r="652" spans="1:9" s="503" customFormat="1">
      <c r="A652" s="554">
        <v>11349</v>
      </c>
      <c r="B652" s="775">
        <v>0.1</v>
      </c>
      <c r="C652" s="903" t="s">
        <v>2477</v>
      </c>
      <c r="D652" s="942" t="s">
        <v>2111</v>
      </c>
      <c r="E652" s="904">
        <v>900000</v>
      </c>
      <c r="F652" s="664">
        <v>0.06</v>
      </c>
      <c r="G652" s="902">
        <f>E652*F652</f>
        <v>54000</v>
      </c>
      <c r="H652" s="298"/>
      <c r="I652" s="605"/>
    </row>
    <row r="653" spans="1:9" s="503" customFormat="1">
      <c r="A653" s="554">
        <v>11354</v>
      </c>
      <c r="B653" s="775">
        <v>0.1</v>
      </c>
      <c r="C653" s="903" t="s">
        <v>2478</v>
      </c>
      <c r="D653" s="942" t="s">
        <v>2111</v>
      </c>
      <c r="E653" s="904">
        <v>870000</v>
      </c>
      <c r="F653" s="664">
        <v>0.06</v>
      </c>
      <c r="G653" s="902">
        <f t="shared" ref="G653:G669" si="29">E653*F653</f>
        <v>52200</v>
      </c>
      <c r="H653" s="298"/>
      <c r="I653" s="298"/>
    </row>
    <row r="654" spans="1:9" s="503" customFormat="1">
      <c r="A654" s="554">
        <v>11408</v>
      </c>
      <c r="B654" s="775">
        <v>0.1</v>
      </c>
      <c r="C654" s="903" t="s">
        <v>2479</v>
      </c>
      <c r="D654" s="942" t="s">
        <v>2111</v>
      </c>
      <c r="E654" s="904">
        <v>900000</v>
      </c>
      <c r="F654" s="664">
        <v>0.06</v>
      </c>
      <c r="G654" s="902">
        <f t="shared" si="29"/>
        <v>54000</v>
      </c>
      <c r="H654" s="298"/>
      <c r="I654" s="298"/>
    </row>
    <row r="655" spans="1:9" s="503" customFormat="1">
      <c r="A655" s="554">
        <v>11370</v>
      </c>
      <c r="B655" s="775">
        <v>0.1</v>
      </c>
      <c r="C655" s="903" t="s">
        <v>2480</v>
      </c>
      <c r="D655" s="942" t="s">
        <v>2111</v>
      </c>
      <c r="E655" s="913">
        <v>1100000</v>
      </c>
      <c r="F655" s="664">
        <v>0.06</v>
      </c>
      <c r="G655" s="902">
        <f t="shared" si="29"/>
        <v>66000</v>
      </c>
      <c r="H655" s="949"/>
      <c r="I655" s="1049"/>
    </row>
    <row r="656" spans="1:9" s="503" customFormat="1">
      <c r="A656" s="554">
        <v>11410</v>
      </c>
      <c r="B656" s="305">
        <v>0.1</v>
      </c>
      <c r="C656" s="518" t="s">
        <v>2481</v>
      </c>
      <c r="D656" s="1132" t="s">
        <v>2111</v>
      </c>
      <c r="E656" s="304">
        <v>1200000</v>
      </c>
      <c r="F656" s="664">
        <v>0.06</v>
      </c>
      <c r="G656" s="902">
        <f t="shared" si="29"/>
        <v>72000</v>
      </c>
      <c r="H656" s="579" t="s">
        <v>510</v>
      </c>
      <c r="I656" s="579" t="s">
        <v>2124</v>
      </c>
    </row>
    <row r="657" spans="1:9" s="503" customFormat="1">
      <c r="A657" s="554">
        <v>11443</v>
      </c>
      <c r="B657" s="416">
        <v>0.1</v>
      </c>
      <c r="C657" s="275" t="s">
        <v>2482</v>
      </c>
      <c r="D657" s="1029" t="s">
        <v>2483</v>
      </c>
      <c r="E657" s="673">
        <v>1250000</v>
      </c>
      <c r="F657" s="664">
        <v>0.06</v>
      </c>
      <c r="G657" s="902">
        <f t="shared" si="29"/>
        <v>75000</v>
      </c>
      <c r="H657" s="306" t="s">
        <v>510</v>
      </c>
      <c r="I657" s="306" t="s">
        <v>2124</v>
      </c>
    </row>
    <row r="658" spans="1:9" s="503" customFormat="1">
      <c r="A658" s="554">
        <v>11450</v>
      </c>
      <c r="B658" s="273">
        <v>0.1</v>
      </c>
      <c r="C658" s="910" t="s">
        <v>2484</v>
      </c>
      <c r="D658" s="1027" t="s">
        <v>2111</v>
      </c>
      <c r="E658" s="297">
        <v>1050000</v>
      </c>
      <c r="F658" s="664">
        <v>0.06</v>
      </c>
      <c r="G658" s="902">
        <f t="shared" si="29"/>
        <v>63000</v>
      </c>
      <c r="H658" s="433" t="s">
        <v>582</v>
      </c>
      <c r="I658" s="433" t="s">
        <v>2124</v>
      </c>
    </row>
    <row r="659" spans="1:9" s="503" customFormat="1">
      <c r="A659" s="2226" t="s">
        <v>2485</v>
      </c>
      <c r="B659" s="681">
        <v>0.1</v>
      </c>
      <c r="C659" s="751" t="s">
        <v>2486</v>
      </c>
      <c r="D659" s="1029" t="s">
        <v>2111</v>
      </c>
      <c r="E659" s="673">
        <v>1150000</v>
      </c>
      <c r="F659" s="664">
        <v>0.06</v>
      </c>
      <c r="G659" s="902">
        <f t="shared" si="29"/>
        <v>69000</v>
      </c>
      <c r="H659" s="306" t="s">
        <v>582</v>
      </c>
      <c r="I659" s="306" t="s">
        <v>2124</v>
      </c>
    </row>
    <row r="660" spans="1:9" s="503" customFormat="1">
      <c r="A660" s="2227" t="s">
        <v>2418</v>
      </c>
      <c r="B660" s="413">
        <v>0.1</v>
      </c>
      <c r="C660" s="431" t="s">
        <v>2487</v>
      </c>
      <c r="D660" s="576" t="s">
        <v>2111</v>
      </c>
      <c r="E660" s="268">
        <v>1200000</v>
      </c>
      <c r="F660" s="664">
        <v>0.06</v>
      </c>
      <c r="G660" s="902">
        <f t="shared" si="29"/>
        <v>72000</v>
      </c>
      <c r="H660" s="298" t="s">
        <v>1138</v>
      </c>
      <c r="I660" s="298" t="s">
        <v>2124</v>
      </c>
    </row>
    <row r="661" spans="1:9" s="503" customFormat="1">
      <c r="A661" s="2201">
        <v>11484</v>
      </c>
      <c r="B661" s="954">
        <v>0.1</v>
      </c>
      <c r="C661" s="278" t="s">
        <v>2488</v>
      </c>
      <c r="D661" s="1029" t="s">
        <v>2111</v>
      </c>
      <c r="E661" s="673">
        <v>1100000</v>
      </c>
      <c r="F661" s="664">
        <v>0.06</v>
      </c>
      <c r="G661" s="902">
        <f t="shared" si="29"/>
        <v>66000</v>
      </c>
      <c r="H661" s="306" t="s">
        <v>523</v>
      </c>
      <c r="I661" s="306" t="s">
        <v>2124</v>
      </c>
    </row>
    <row r="662" spans="1:9" s="503" customFormat="1">
      <c r="A662" s="2226">
        <v>11456</v>
      </c>
      <c r="B662" s="314">
        <v>0.1</v>
      </c>
      <c r="C662" s="431" t="s">
        <v>2489</v>
      </c>
      <c r="D662" s="576" t="s">
        <v>2111</v>
      </c>
      <c r="E662" s="268">
        <v>1200000</v>
      </c>
      <c r="F662" s="664">
        <v>0.06</v>
      </c>
      <c r="G662" s="902">
        <f t="shared" si="29"/>
        <v>72000</v>
      </c>
      <c r="H662" s="298" t="s">
        <v>510</v>
      </c>
      <c r="I662" s="298" t="s">
        <v>2124</v>
      </c>
    </row>
    <row r="663" spans="1:9" s="503" customFormat="1">
      <c r="A663" s="553">
        <v>11476</v>
      </c>
      <c r="B663" s="273">
        <v>0.1</v>
      </c>
      <c r="C663" s="275" t="s">
        <v>2490</v>
      </c>
      <c r="D663" s="576" t="s">
        <v>2491</v>
      </c>
      <c r="E663" s="268">
        <v>950000</v>
      </c>
      <c r="F663" s="664">
        <v>0.06</v>
      </c>
      <c r="G663" s="902">
        <f t="shared" si="29"/>
        <v>57000</v>
      </c>
      <c r="H663" s="299" t="s">
        <v>582</v>
      </c>
      <c r="I663" s="299"/>
    </row>
    <row r="664" spans="1:9" s="503" customFormat="1">
      <c r="A664" s="2228">
        <v>11494</v>
      </c>
      <c r="B664" s="273">
        <v>0.1</v>
      </c>
      <c r="C664" s="275" t="s">
        <v>2492</v>
      </c>
      <c r="D664" s="576" t="s">
        <v>2491</v>
      </c>
      <c r="E664" s="268">
        <v>1100000</v>
      </c>
      <c r="F664" s="664">
        <v>0.06</v>
      </c>
      <c r="G664" s="902">
        <f t="shared" si="29"/>
        <v>66000</v>
      </c>
      <c r="H664" s="298" t="s">
        <v>527</v>
      </c>
      <c r="I664" s="298" t="s">
        <v>2124</v>
      </c>
    </row>
    <row r="665" spans="1:9" s="503" customFormat="1">
      <c r="A665" s="639">
        <v>11496</v>
      </c>
      <c r="B665" s="273">
        <v>0.1</v>
      </c>
      <c r="C665" s="275" t="s">
        <v>2493</v>
      </c>
      <c r="D665" s="576" t="s">
        <v>2491</v>
      </c>
      <c r="E665" s="268">
        <v>1500000</v>
      </c>
      <c r="F665" s="664">
        <v>0.06</v>
      </c>
      <c r="G665" s="902">
        <f t="shared" si="29"/>
        <v>90000</v>
      </c>
      <c r="H665" s="298" t="s">
        <v>582</v>
      </c>
      <c r="I665" s="298" t="s">
        <v>2124</v>
      </c>
    </row>
    <row r="666" spans="1:9">
      <c r="A666" s="553">
        <v>11500</v>
      </c>
      <c r="B666" s="305">
        <v>0.1</v>
      </c>
      <c r="C666" s="275" t="s">
        <v>2494</v>
      </c>
      <c r="D666" s="576" t="s">
        <v>2495</v>
      </c>
      <c r="E666" s="268">
        <v>1200000</v>
      </c>
      <c r="F666" s="664">
        <v>0.06</v>
      </c>
      <c r="G666" s="902">
        <f t="shared" si="29"/>
        <v>72000</v>
      </c>
      <c r="H666" s="298" t="s">
        <v>582</v>
      </c>
      <c r="I666" s="298" t="s">
        <v>2124</v>
      </c>
    </row>
    <row r="667" spans="1:9">
      <c r="A667" s="2229">
        <v>11524</v>
      </c>
      <c r="B667" s="273">
        <v>0.1</v>
      </c>
      <c r="C667" s="751" t="s">
        <v>2496</v>
      </c>
      <c r="D667" s="1029" t="s">
        <v>2495</v>
      </c>
      <c r="E667" s="673">
        <v>1150000</v>
      </c>
      <c r="F667" s="664">
        <v>0.06</v>
      </c>
      <c r="G667" s="902">
        <f t="shared" si="29"/>
        <v>69000</v>
      </c>
      <c r="H667" s="307" t="s">
        <v>527</v>
      </c>
      <c r="I667" s="339"/>
    </row>
    <row r="668" spans="1:9">
      <c r="A668" s="2229">
        <v>11525</v>
      </c>
      <c r="B668" s="635">
        <v>0.09</v>
      </c>
      <c r="C668" s="751" t="s">
        <v>2497</v>
      </c>
      <c r="D668" s="1029" t="s">
        <v>2495</v>
      </c>
      <c r="E668" s="673">
        <v>960000</v>
      </c>
      <c r="F668" s="977">
        <v>0.05</v>
      </c>
      <c r="G668" s="902">
        <f t="shared" si="29"/>
        <v>48000</v>
      </c>
      <c r="H668" s="307" t="s">
        <v>523</v>
      </c>
      <c r="I668" s="339"/>
    </row>
    <row r="669" spans="1:9">
      <c r="A669" s="2229">
        <v>11526</v>
      </c>
      <c r="B669" s="273">
        <v>0.1</v>
      </c>
      <c r="C669" s="751" t="s">
        <v>2498</v>
      </c>
      <c r="D669" s="1029" t="s">
        <v>2491</v>
      </c>
      <c r="E669" s="673">
        <v>1000000</v>
      </c>
      <c r="F669" s="305">
        <v>0.06</v>
      </c>
      <c r="G669" s="902">
        <f t="shared" si="29"/>
        <v>60000</v>
      </c>
      <c r="H669" s="307" t="s">
        <v>1138</v>
      </c>
      <c r="I669" s="339"/>
    </row>
    <row r="670" spans="1:9">
      <c r="A670" s="2230"/>
      <c r="B670" s="886"/>
      <c r="C670" s="956"/>
      <c r="D670" s="1165"/>
      <c r="E670" s="485"/>
      <c r="F670" s="453"/>
      <c r="G670" s="486"/>
      <c r="H670" s="307"/>
      <c r="I670" s="339"/>
    </row>
    <row r="671" spans="1:9" s="503" customFormat="1">
      <c r="A671" s="269"/>
      <c r="B671" s="965"/>
      <c r="C671" s="868"/>
      <c r="D671" s="1168" t="s">
        <v>2499</v>
      </c>
      <c r="E671" s="271">
        <f>SUM(E652:E669)</f>
        <v>19780000</v>
      </c>
      <c r="F671" s="915"/>
      <c r="G671" s="406">
        <f>SUM(G652:G669)</f>
        <v>1177200</v>
      </c>
      <c r="H671" s="299"/>
      <c r="I671" s="286"/>
    </row>
    <row r="672" spans="1:9">
      <c r="A672" s="46"/>
      <c r="B672" s="950"/>
      <c r="C672" s="950"/>
      <c r="D672" s="390" t="s">
        <v>2154</v>
      </c>
      <c r="E672" s="951"/>
      <c r="F672" s="952"/>
      <c r="G672" s="953"/>
      <c r="H672" s="1023"/>
      <c r="I672" s="1050"/>
    </row>
    <row r="673" spans="1:9">
      <c r="E673" s="589"/>
    </row>
    <row r="677" spans="1:9">
      <c r="A677" s="2989" t="s">
        <v>2500</v>
      </c>
      <c r="B677" s="2989"/>
      <c r="C677" s="2989"/>
      <c r="D677" s="2989"/>
      <c r="E677" s="2989"/>
      <c r="F677" s="2989"/>
      <c r="G677" s="2989"/>
      <c r="H677" s="2989"/>
      <c r="I677" s="2"/>
    </row>
    <row r="678" spans="1:9">
      <c r="A678" s="2989"/>
      <c r="B678" s="2989"/>
      <c r="C678" s="2989"/>
      <c r="D678" s="2989"/>
      <c r="E678" s="2989"/>
      <c r="F678" s="2989"/>
      <c r="G678" s="2989"/>
      <c r="H678" s="2989"/>
      <c r="I678" s="2"/>
    </row>
    <row r="679" spans="1:9" ht="20.45">
      <c r="A679" s="257" t="s">
        <v>2011</v>
      </c>
      <c r="B679" s="33" t="s">
        <v>1808</v>
      </c>
      <c r="C679" s="33" t="s">
        <v>2012</v>
      </c>
      <c r="D679" s="1066" t="s">
        <v>2123</v>
      </c>
      <c r="E679" s="63" t="s">
        <v>2013</v>
      </c>
      <c r="F679" s="118" t="s">
        <v>1811</v>
      </c>
      <c r="G679" s="88" t="s">
        <v>1817</v>
      </c>
      <c r="H679" s="258" t="s">
        <v>2213</v>
      </c>
      <c r="I679" s="2"/>
    </row>
    <row r="680" spans="1:9">
      <c r="A680" s="982">
        <v>11352</v>
      </c>
      <c r="B680" s="314">
        <v>0.1</v>
      </c>
      <c r="C680" s="275" t="s">
        <v>2501</v>
      </c>
      <c r="D680" s="576" t="s">
        <v>2111</v>
      </c>
      <c r="E680" s="380">
        <v>1100000</v>
      </c>
      <c r="F680" s="415">
        <v>0.03</v>
      </c>
      <c r="G680" s="492">
        <f>E680*F680</f>
        <v>33000</v>
      </c>
      <c r="H680" s="1012" t="s">
        <v>523</v>
      </c>
      <c r="I680" s="605" t="s">
        <v>2124</v>
      </c>
    </row>
    <row r="681" spans="1:9">
      <c r="A681" s="558">
        <v>11353</v>
      </c>
      <c r="B681" s="578">
        <v>0.1</v>
      </c>
      <c r="C681" s="278" t="s">
        <v>2502</v>
      </c>
      <c r="D681" s="1132" t="s">
        <v>2111</v>
      </c>
      <c r="E681" s="673">
        <v>1150000</v>
      </c>
      <c r="F681" s="415">
        <v>0.03</v>
      </c>
      <c r="G681" s="492">
        <f t="shared" ref="G681:G702" si="30">E681*F681</f>
        <v>34500</v>
      </c>
      <c r="H681" s="1011" t="s">
        <v>523</v>
      </c>
      <c r="I681" s="298" t="s">
        <v>2124</v>
      </c>
    </row>
    <row r="682" spans="1:9">
      <c r="A682" s="983">
        <v>11361</v>
      </c>
      <c r="B682" s="302">
        <v>0.1</v>
      </c>
      <c r="C682" s="679" t="s">
        <v>2503</v>
      </c>
      <c r="D682" s="576" t="s">
        <v>2111</v>
      </c>
      <c r="E682" s="380">
        <v>850000</v>
      </c>
      <c r="F682" s="415">
        <v>0.03</v>
      </c>
      <c r="G682" s="492">
        <f t="shared" si="30"/>
        <v>25500</v>
      </c>
      <c r="H682" s="712" t="s">
        <v>2225</v>
      </c>
      <c r="I682" s="851" t="s">
        <v>2124</v>
      </c>
    </row>
    <row r="683" spans="1:9">
      <c r="A683" s="984">
        <v>11407</v>
      </c>
      <c r="B683" s="884">
        <v>0.1</v>
      </c>
      <c r="C683" s="885" t="s">
        <v>2463</v>
      </c>
      <c r="D683" s="1169" t="s">
        <v>2111</v>
      </c>
      <c r="E683" s="86">
        <v>1000000</v>
      </c>
      <c r="F683" s="415">
        <v>0.03</v>
      </c>
      <c r="G683" s="492">
        <f t="shared" si="30"/>
        <v>30000</v>
      </c>
      <c r="H683" s="678" t="s">
        <v>2363</v>
      </c>
      <c r="I683" s="851" t="s">
        <v>2124</v>
      </c>
    </row>
    <row r="684" spans="1:9">
      <c r="A684" s="985">
        <v>11410</v>
      </c>
      <c r="B684" s="123">
        <v>0.1</v>
      </c>
      <c r="C684" s="516" t="s">
        <v>2504</v>
      </c>
      <c r="D684" s="1107" t="s">
        <v>2111</v>
      </c>
      <c r="E684" s="210">
        <v>1200000</v>
      </c>
      <c r="F684" s="415">
        <v>0.03</v>
      </c>
      <c r="G684" s="492">
        <f t="shared" si="30"/>
        <v>36000</v>
      </c>
      <c r="H684" s="678" t="s">
        <v>2417</v>
      </c>
      <c r="I684" s="851" t="s">
        <v>2124</v>
      </c>
    </row>
    <row r="685" spans="1:9">
      <c r="A685" s="985">
        <v>11411</v>
      </c>
      <c r="B685" s="194">
        <v>0.1</v>
      </c>
      <c r="C685" s="431" t="s">
        <v>2464</v>
      </c>
      <c r="D685" s="1071" t="s">
        <v>2111</v>
      </c>
      <c r="E685" s="210">
        <v>1000000</v>
      </c>
      <c r="F685" s="415">
        <v>0.03</v>
      </c>
      <c r="G685" s="492">
        <f t="shared" si="30"/>
        <v>30000</v>
      </c>
      <c r="H685" s="678" t="s">
        <v>2363</v>
      </c>
      <c r="I685" s="851" t="s">
        <v>2124</v>
      </c>
    </row>
    <row r="686" spans="1:9">
      <c r="A686" s="986">
        <v>11419</v>
      </c>
      <c r="B686" s="517">
        <v>0.1</v>
      </c>
      <c r="C686" s="516" t="s">
        <v>2465</v>
      </c>
      <c r="D686" s="1169" t="s">
        <v>2111</v>
      </c>
      <c r="E686" s="210">
        <v>1150000</v>
      </c>
      <c r="F686" s="415">
        <v>0.03</v>
      </c>
      <c r="G686" s="492">
        <f t="shared" si="30"/>
        <v>34500</v>
      </c>
      <c r="H686" s="678" t="s">
        <v>2363</v>
      </c>
      <c r="I686" s="851" t="s">
        <v>2124</v>
      </c>
    </row>
    <row r="687" spans="1:9">
      <c r="A687" s="987">
        <v>11430</v>
      </c>
      <c r="B687" s="123">
        <v>0.1</v>
      </c>
      <c r="C687" s="431" t="s">
        <v>2468</v>
      </c>
      <c r="D687" s="1107" t="s">
        <v>2111</v>
      </c>
      <c r="E687" s="210">
        <v>1550000</v>
      </c>
      <c r="F687" s="415">
        <v>0.03</v>
      </c>
      <c r="G687" s="492">
        <f t="shared" si="30"/>
        <v>46500</v>
      </c>
      <c r="H687" s="678" t="s">
        <v>2363</v>
      </c>
      <c r="I687" s="851" t="s">
        <v>2124</v>
      </c>
    </row>
    <row r="688" spans="1:9">
      <c r="A688" s="982" t="s">
        <v>2505</v>
      </c>
      <c r="B688" s="123">
        <v>0.1</v>
      </c>
      <c r="C688" s="679" t="s">
        <v>2506</v>
      </c>
      <c r="D688" s="1107" t="s">
        <v>2111</v>
      </c>
      <c r="E688" s="210">
        <v>1300000</v>
      </c>
      <c r="F688" s="415">
        <v>0.03</v>
      </c>
      <c r="G688" s="492">
        <f t="shared" si="30"/>
        <v>39000</v>
      </c>
      <c r="H688" s="678" t="s">
        <v>2363</v>
      </c>
      <c r="I688" s="851" t="s">
        <v>2124</v>
      </c>
    </row>
    <row r="689" spans="1:9">
      <c r="A689" s="196">
        <v>11432</v>
      </c>
      <c r="B689" s="123">
        <v>0.1</v>
      </c>
      <c r="C689" s="431" t="s">
        <v>2507</v>
      </c>
      <c r="D689" s="1107" t="s">
        <v>2111</v>
      </c>
      <c r="E689" s="210">
        <v>1200000</v>
      </c>
      <c r="F689" s="415">
        <v>0.03</v>
      </c>
      <c r="G689" s="492">
        <f t="shared" si="30"/>
        <v>36000</v>
      </c>
      <c r="H689" s="678" t="s">
        <v>2508</v>
      </c>
      <c r="I689" s="851" t="s">
        <v>2124</v>
      </c>
    </row>
    <row r="690" spans="1:9">
      <c r="A690" s="982">
        <v>11443</v>
      </c>
      <c r="B690" s="199">
        <v>0.1</v>
      </c>
      <c r="C690" s="679" t="s">
        <v>2482</v>
      </c>
      <c r="D690" s="1107" t="s">
        <v>2028</v>
      </c>
      <c r="E690" s="210">
        <v>1250000</v>
      </c>
      <c r="F690" s="415">
        <v>0.03</v>
      </c>
      <c r="G690" s="492">
        <f t="shared" si="30"/>
        <v>37500</v>
      </c>
      <c r="H690" s="678" t="s">
        <v>2417</v>
      </c>
      <c r="I690" s="851" t="s">
        <v>2124</v>
      </c>
    </row>
    <row r="691" spans="1:9">
      <c r="A691" s="121">
        <v>11450</v>
      </c>
      <c r="B691" s="909">
        <v>0.1</v>
      </c>
      <c r="C691" s="516" t="s">
        <v>2484</v>
      </c>
      <c r="D691" s="1107" t="s">
        <v>2111</v>
      </c>
      <c r="E691" s="210">
        <v>1050000</v>
      </c>
      <c r="F691" s="415">
        <v>0.03</v>
      </c>
      <c r="G691" s="492">
        <f t="shared" si="30"/>
        <v>31500</v>
      </c>
      <c r="H691" s="678" t="s">
        <v>582</v>
      </c>
      <c r="I691" s="851" t="s">
        <v>2124</v>
      </c>
    </row>
    <row r="692" spans="1:9">
      <c r="A692" s="988" t="s">
        <v>2485</v>
      </c>
      <c r="B692" s="273">
        <v>0.1</v>
      </c>
      <c r="C692" s="751" t="s">
        <v>2486</v>
      </c>
      <c r="D692" s="1029" t="s">
        <v>2111</v>
      </c>
      <c r="E692" s="673">
        <v>1150000</v>
      </c>
      <c r="F692" s="415">
        <v>0.03</v>
      </c>
      <c r="G692" s="492">
        <f t="shared" si="30"/>
        <v>34500</v>
      </c>
      <c r="H692" s="306" t="s">
        <v>582</v>
      </c>
      <c r="I692" s="306" t="s">
        <v>2124</v>
      </c>
    </row>
    <row r="693" spans="1:9">
      <c r="A693" s="985">
        <v>11456</v>
      </c>
      <c r="B693" s="123">
        <v>0.1</v>
      </c>
      <c r="C693" s="679" t="s">
        <v>2489</v>
      </c>
      <c r="D693" s="1107" t="s">
        <v>2111</v>
      </c>
      <c r="E693" s="210">
        <v>1200000</v>
      </c>
      <c r="F693" s="415">
        <v>0.03</v>
      </c>
      <c r="G693" s="492">
        <f t="shared" si="30"/>
        <v>36000</v>
      </c>
      <c r="H693" s="678" t="s">
        <v>2241</v>
      </c>
      <c r="I693" s="851" t="s">
        <v>2124</v>
      </c>
    </row>
    <row r="694" spans="1:9">
      <c r="A694" s="985">
        <v>11476</v>
      </c>
      <c r="B694" s="123">
        <v>0.1</v>
      </c>
      <c r="C694" s="679" t="s">
        <v>2490</v>
      </c>
      <c r="D694" s="1107" t="s">
        <v>2495</v>
      </c>
      <c r="E694" s="210">
        <v>950000</v>
      </c>
      <c r="F694" s="415">
        <v>0.03</v>
      </c>
      <c r="G694" s="492">
        <f t="shared" si="30"/>
        <v>28500</v>
      </c>
      <c r="H694" s="678" t="s">
        <v>582</v>
      </c>
      <c r="I694" s="851"/>
    </row>
    <row r="695" spans="1:9">
      <c r="A695" s="985">
        <v>11479</v>
      </c>
      <c r="B695" s="123">
        <v>0.1</v>
      </c>
      <c r="C695" s="518" t="s">
        <v>2509</v>
      </c>
      <c r="D695" s="1107" t="s">
        <v>2111</v>
      </c>
      <c r="E695" s="210">
        <v>1200000</v>
      </c>
      <c r="F695" s="415">
        <v>0.03</v>
      </c>
      <c r="G695" s="492">
        <f t="shared" si="30"/>
        <v>36000</v>
      </c>
      <c r="H695" s="678" t="s">
        <v>1138</v>
      </c>
      <c r="I695" s="851" t="s">
        <v>2124</v>
      </c>
    </row>
    <row r="696" spans="1:9">
      <c r="A696" s="986">
        <v>11484</v>
      </c>
      <c r="B696" s="515">
        <v>0.1</v>
      </c>
      <c r="C696" s="518" t="s">
        <v>2488</v>
      </c>
      <c r="D696" s="1107" t="s">
        <v>2111</v>
      </c>
      <c r="E696" s="917">
        <v>1100000</v>
      </c>
      <c r="F696" s="415">
        <v>0.03</v>
      </c>
      <c r="G696" s="492">
        <f t="shared" si="30"/>
        <v>33000</v>
      </c>
      <c r="H696" s="700" t="s">
        <v>523</v>
      </c>
      <c r="I696" s="1051" t="s">
        <v>2124</v>
      </c>
    </row>
    <row r="697" spans="1:9">
      <c r="A697" s="986">
        <v>11496</v>
      </c>
      <c r="B697" s="123">
        <v>0.1</v>
      </c>
      <c r="C697" s="431" t="s">
        <v>2493</v>
      </c>
      <c r="D697" s="1071" t="s">
        <v>2495</v>
      </c>
      <c r="E697" s="917">
        <v>1500000</v>
      </c>
      <c r="F697" s="415">
        <v>0.03</v>
      </c>
      <c r="G697" s="492">
        <f t="shared" si="30"/>
        <v>45000</v>
      </c>
      <c r="H697" s="700" t="s">
        <v>582</v>
      </c>
      <c r="I697" s="1051" t="s">
        <v>2124</v>
      </c>
    </row>
    <row r="698" spans="1:9">
      <c r="A698" s="986">
        <v>11494</v>
      </c>
      <c r="B698" s="123">
        <v>0.1</v>
      </c>
      <c r="C698" s="431" t="s">
        <v>77</v>
      </c>
      <c r="D698" s="1108" t="s">
        <v>2491</v>
      </c>
      <c r="E698" s="917">
        <v>1100000</v>
      </c>
      <c r="F698" s="415">
        <v>0.03</v>
      </c>
      <c r="G698" s="492">
        <f t="shared" si="30"/>
        <v>33000</v>
      </c>
      <c r="H698" s="700" t="s">
        <v>527</v>
      </c>
      <c r="I698" s="1051" t="s">
        <v>2124</v>
      </c>
    </row>
    <row r="699" spans="1:9">
      <c r="A699" s="986">
        <v>11500</v>
      </c>
      <c r="B699" s="123">
        <v>0.1</v>
      </c>
      <c r="C699" s="971" t="s">
        <v>2494</v>
      </c>
      <c r="D699" s="1071" t="s">
        <v>2491</v>
      </c>
      <c r="E699" s="67">
        <v>1200000</v>
      </c>
      <c r="F699" s="415">
        <v>0.03</v>
      </c>
      <c r="G699" s="492">
        <f t="shared" si="30"/>
        <v>36000</v>
      </c>
      <c r="H699" s="851" t="s">
        <v>582</v>
      </c>
      <c r="I699" s="851" t="s">
        <v>2124</v>
      </c>
    </row>
    <row r="700" spans="1:9">
      <c r="A700" s="986">
        <v>11524</v>
      </c>
      <c r="B700" s="273">
        <v>0.1</v>
      </c>
      <c r="C700" s="676" t="s">
        <v>2496</v>
      </c>
      <c r="D700" s="576" t="s">
        <v>2194</v>
      </c>
      <c r="E700" s="268">
        <v>1150000</v>
      </c>
      <c r="F700" s="415">
        <v>0.03</v>
      </c>
      <c r="G700" s="492">
        <f t="shared" si="30"/>
        <v>34500</v>
      </c>
      <c r="H700" s="298" t="s">
        <v>527</v>
      </c>
      <c r="I700" s="298" t="s">
        <v>2124</v>
      </c>
    </row>
    <row r="701" spans="1:9">
      <c r="A701" s="986">
        <v>11525</v>
      </c>
      <c r="B701" s="635">
        <v>0.09</v>
      </c>
      <c r="C701" s="676" t="s">
        <v>2497</v>
      </c>
      <c r="D701" s="576" t="s">
        <v>2194</v>
      </c>
      <c r="E701" s="268">
        <v>960000</v>
      </c>
      <c r="F701" s="415">
        <v>0.02</v>
      </c>
      <c r="G701" s="492">
        <f t="shared" si="30"/>
        <v>19200</v>
      </c>
      <c r="H701" s="298" t="s">
        <v>523</v>
      </c>
      <c r="I701" s="298" t="s">
        <v>2124</v>
      </c>
    </row>
    <row r="702" spans="1:9">
      <c r="A702" s="121">
        <v>11526</v>
      </c>
      <c r="B702" s="273">
        <v>0.1</v>
      </c>
      <c r="C702" s="676" t="s">
        <v>2498</v>
      </c>
      <c r="D702" s="576" t="s">
        <v>2194</v>
      </c>
      <c r="E702" s="268">
        <v>1000000</v>
      </c>
      <c r="F702" s="415">
        <v>0.03</v>
      </c>
      <c r="G702" s="492">
        <f t="shared" si="30"/>
        <v>30000</v>
      </c>
      <c r="H702" s="298" t="s">
        <v>1138</v>
      </c>
      <c r="I702" s="298" t="s">
        <v>2124</v>
      </c>
    </row>
    <row r="703" spans="1:9">
      <c r="A703" s="2231"/>
      <c r="B703" s="666"/>
      <c r="C703" s="961"/>
      <c r="D703" s="1073"/>
      <c r="E703" s="34"/>
      <c r="F703" s="34"/>
      <c r="G703" s="34"/>
      <c r="H703" s="51"/>
      <c r="I703" s="51"/>
    </row>
    <row r="704" spans="1:9">
      <c r="A704" s="2232"/>
      <c r="B704" s="171"/>
      <c r="C704" s="171"/>
      <c r="D704" s="1109" t="s">
        <v>2271</v>
      </c>
      <c r="E704" s="966">
        <f>SUM(E680:E702)</f>
        <v>26310000</v>
      </c>
      <c r="F704" s="916"/>
      <c r="G704" s="967">
        <f>SUM(G680:G702)</f>
        <v>779700</v>
      </c>
      <c r="H704" s="1024"/>
      <c r="I704" s="1052"/>
    </row>
    <row r="705" spans="1:9" ht="15.6">
      <c r="A705" s="257"/>
      <c r="B705" s="171"/>
      <c r="C705" s="171"/>
      <c r="D705" s="1110" t="s">
        <v>2154</v>
      </c>
      <c r="E705" s="494"/>
      <c r="F705" s="11"/>
      <c r="G705" s="11"/>
      <c r="H705" s="2"/>
      <c r="I705" s="2"/>
    </row>
    <row r="708" spans="1:9" ht="18">
      <c r="A708" s="2966" t="s">
        <v>2510</v>
      </c>
      <c r="B708" s="2966"/>
      <c r="C708" s="2966"/>
      <c r="D708" s="2966"/>
      <c r="E708" s="2966"/>
      <c r="F708" s="11"/>
    </row>
    <row r="709" spans="1:9" ht="18">
      <c r="A709" s="871" t="s">
        <v>2511</v>
      </c>
      <c r="B709" s="871" t="s">
        <v>2013</v>
      </c>
      <c r="C709" s="871" t="s">
        <v>2512</v>
      </c>
      <c r="D709" s="1170" t="s">
        <v>2513</v>
      </c>
      <c r="E709" s="878" t="s">
        <v>2125</v>
      </c>
      <c r="F709" s="11"/>
    </row>
    <row r="710" spans="1:9" ht="18">
      <c r="A710" s="871">
        <v>7168542</v>
      </c>
      <c r="B710" s="872">
        <v>850000</v>
      </c>
      <c r="C710" s="872" t="s">
        <v>2514</v>
      </c>
      <c r="D710" s="1171" t="s">
        <v>2515</v>
      </c>
      <c r="E710" s="879" t="s">
        <v>32</v>
      </c>
      <c r="F710" s="11"/>
    </row>
    <row r="711" spans="1:9" ht="18">
      <c r="A711" s="2233">
        <v>7167568</v>
      </c>
      <c r="B711" s="881">
        <v>1150000</v>
      </c>
      <c r="C711" s="881" t="s">
        <v>2516</v>
      </c>
      <c r="D711" s="1172" t="s">
        <v>2517</v>
      </c>
      <c r="E711" s="882" t="s">
        <v>2417</v>
      </c>
      <c r="F711" s="883" t="s">
        <v>2127</v>
      </c>
    </row>
    <row r="712" spans="1:9" ht="18">
      <c r="A712" s="871">
        <v>7175709</v>
      </c>
      <c r="B712" s="871">
        <v>1250000</v>
      </c>
      <c r="C712" s="871" t="s">
        <v>2518</v>
      </c>
      <c r="D712" s="1170" t="s">
        <v>2519</v>
      </c>
      <c r="E712" s="880" t="s">
        <v>2417</v>
      </c>
      <c r="F712" s="11"/>
    </row>
    <row r="713" spans="1:9" ht="18">
      <c r="A713" s="871"/>
      <c r="B713" s="871"/>
      <c r="C713" s="871"/>
      <c r="D713" s="1170"/>
      <c r="E713" s="10"/>
      <c r="F713" s="11"/>
    </row>
    <row r="714" spans="1:9">
      <c r="A714" s="257"/>
      <c r="B714" s="11"/>
      <c r="C714" s="11"/>
      <c r="D714" s="1173"/>
      <c r="E714" s="10"/>
      <c r="F714" s="11"/>
    </row>
    <row r="716" spans="1:9">
      <c r="A716" s="2922" t="s">
        <v>1898</v>
      </c>
      <c r="B716" s="2922"/>
      <c r="C716" s="79"/>
      <c r="D716" s="1074">
        <f>E704</f>
        <v>26310000</v>
      </c>
    </row>
    <row r="717" spans="1:9">
      <c r="A717" s="2923" t="s">
        <v>1899</v>
      </c>
      <c r="B717" s="2923"/>
      <c r="C717" s="41"/>
      <c r="D717" s="1075"/>
    </row>
    <row r="718" spans="1:9">
      <c r="A718" s="2924" t="s">
        <v>1900</v>
      </c>
      <c r="B718" s="2924"/>
      <c r="C718" s="45"/>
      <c r="D718" s="1076"/>
    </row>
    <row r="719" spans="1:9">
      <c r="A719" s="2807" t="s">
        <v>1901</v>
      </c>
      <c r="B719" s="2807"/>
      <c r="C719" s="637"/>
      <c r="D719" s="1129">
        <v>1000000</v>
      </c>
    </row>
    <row r="720" spans="1:9">
      <c r="A720" s="2913" t="s">
        <v>1902</v>
      </c>
      <c r="B720" s="2913"/>
      <c r="C720" s="45"/>
      <c r="D720" s="1112">
        <v>6950000</v>
      </c>
    </row>
    <row r="721" spans="1:15">
      <c r="A721" s="2176"/>
      <c r="B721" s="43" t="s">
        <v>1904</v>
      </c>
      <c r="C721" s="43"/>
      <c r="D721" s="1130" t="s">
        <v>1968</v>
      </c>
    </row>
    <row r="723" spans="1:15">
      <c r="A723" s="50"/>
      <c r="B723" s="33"/>
      <c r="C723" s="33"/>
      <c r="D723" s="1066"/>
      <c r="E723" s="63"/>
      <c r="F723" s="1747"/>
      <c r="G723" s="643"/>
    </row>
    <row r="724" spans="1:15">
      <c r="A724" s="2223"/>
      <c r="B724" s="368"/>
      <c r="C724" s="701"/>
      <c r="D724" s="1031"/>
      <c r="E724" s="313"/>
      <c r="F724" s="368"/>
      <c r="G724" s="719"/>
    </row>
    <row r="725" spans="1:15">
      <c r="A725" s="2223"/>
      <c r="B725" s="368"/>
      <c r="C725" s="290"/>
      <c r="D725" s="1031"/>
      <c r="E725" s="313"/>
      <c r="F725" s="368"/>
      <c r="G725" s="719"/>
    </row>
    <row r="727" spans="1:15" ht="46.15">
      <c r="A727" s="2839" t="s">
        <v>2520</v>
      </c>
      <c r="B727" s="2839"/>
      <c r="C727" s="2839"/>
      <c r="D727" s="2839"/>
      <c r="E727" s="2839"/>
      <c r="F727" s="2839"/>
      <c r="G727" s="2839"/>
      <c r="H727" s="2839"/>
      <c r="I727" s="2839"/>
      <c r="J727" s="2839"/>
      <c r="O727" s="1"/>
    </row>
    <row r="728" spans="1:15">
      <c r="O728" s="1"/>
    </row>
    <row r="729" spans="1:15" ht="21">
      <c r="A729" s="2817" t="s">
        <v>1804</v>
      </c>
      <c r="B729" s="2817"/>
      <c r="C729" s="2817"/>
      <c r="D729" s="2817"/>
      <c r="E729" s="2817"/>
      <c r="F729" s="2817"/>
      <c r="G729" s="2817"/>
      <c r="H729" s="2817"/>
      <c r="I729" s="2817"/>
      <c r="J729" s="2817"/>
      <c r="K729" s="2819" t="s">
        <v>1805</v>
      </c>
      <c r="L729" s="2819"/>
      <c r="M729" s="2819"/>
      <c r="N729" s="2819"/>
      <c r="O729" s="2"/>
    </row>
    <row r="730" spans="1:15">
      <c r="A730" s="2171" t="s">
        <v>1806</v>
      </c>
      <c r="B730" s="1634" t="s">
        <v>1807</v>
      </c>
      <c r="C730" s="783" t="s">
        <v>1837</v>
      </c>
      <c r="D730" s="1059" t="s">
        <v>1809</v>
      </c>
      <c r="E730" s="24" t="s">
        <v>1810</v>
      </c>
      <c r="F730" s="3" t="s">
        <v>1811</v>
      </c>
      <c r="G730" s="5" t="s">
        <v>1812</v>
      </c>
      <c r="H730" s="3" t="s">
        <v>1813</v>
      </c>
      <c r="I730" s="3" t="s">
        <v>1814</v>
      </c>
      <c r="J730" s="1634" t="s">
        <v>1815</v>
      </c>
      <c r="K730" s="26" t="s">
        <v>1807</v>
      </c>
      <c r="L730" s="26" t="s">
        <v>1809</v>
      </c>
      <c r="M730" s="26" t="s">
        <v>1816</v>
      </c>
      <c r="N730" s="259" t="s">
        <v>1811</v>
      </c>
      <c r="O730" s="260" t="s">
        <v>1817</v>
      </c>
    </row>
    <row r="731" spans="1:15">
      <c r="A731" s="2177"/>
      <c r="B731" s="1197"/>
      <c r="C731" s="1198">
        <v>0.1</v>
      </c>
      <c r="D731" s="1199" t="s">
        <v>2521</v>
      </c>
      <c r="E731" s="294"/>
      <c r="F731" s="336"/>
      <c r="G731" s="379"/>
      <c r="H731" s="1200"/>
      <c r="I731" s="677" t="s">
        <v>2363</v>
      </c>
      <c r="J731" s="1273"/>
      <c r="K731" s="1747"/>
      <c r="L731" s="1280"/>
      <c r="M731" s="1747"/>
      <c r="N731" s="1189"/>
      <c r="O731" s="1286"/>
    </row>
    <row r="732" spans="1:15">
      <c r="A732" s="2982" t="s">
        <v>2522</v>
      </c>
      <c r="B732" s="1197"/>
      <c r="C732" s="1198">
        <v>0.1</v>
      </c>
      <c r="D732" s="1219" t="s">
        <v>2523</v>
      </c>
      <c r="E732" s="1220"/>
      <c r="F732" s="689"/>
      <c r="G732" s="1221"/>
      <c r="H732" s="592"/>
      <c r="I732" s="1200" t="s">
        <v>2417</v>
      </c>
      <c r="J732" s="1273"/>
      <c r="K732" s="1747"/>
      <c r="L732" s="1747"/>
      <c r="M732" s="1747"/>
      <c r="N732" s="1747"/>
      <c r="O732" s="1286"/>
    </row>
    <row r="733" spans="1:15">
      <c r="A733" s="2982"/>
      <c r="B733" s="1197"/>
      <c r="C733" s="1198">
        <v>0.1</v>
      </c>
      <c r="D733" s="1264" t="s">
        <v>2524</v>
      </c>
      <c r="E733" s="1220"/>
      <c r="F733" s="689"/>
      <c r="G733" s="1265"/>
      <c r="H733" s="1200"/>
      <c r="I733" s="677" t="s">
        <v>2417</v>
      </c>
      <c r="J733" s="1273"/>
      <c r="K733" s="1747"/>
      <c r="L733" s="1747"/>
      <c r="M733" s="1747"/>
      <c r="N733" s="1747"/>
      <c r="O733" s="1286"/>
    </row>
    <row r="734" spans="1:15" ht="15" customHeight="1">
      <c r="A734" s="2982"/>
      <c r="B734" s="712">
        <v>11536</v>
      </c>
      <c r="C734" s="362">
        <v>0.1</v>
      </c>
      <c r="D734" s="1143" t="s">
        <v>2525</v>
      </c>
      <c r="E734" s="297">
        <v>1700000</v>
      </c>
      <c r="F734" s="681">
        <v>0.06</v>
      </c>
      <c r="G734" s="673">
        <f>E734*F734</f>
        <v>102000</v>
      </c>
      <c r="H734" s="306" t="s">
        <v>732</v>
      </c>
      <c r="I734" s="712" t="s">
        <v>2417</v>
      </c>
      <c r="J734" s="1679"/>
      <c r="K734" s="1748"/>
      <c r="L734" s="368"/>
      <c r="M734" s="1285"/>
      <c r="N734" s="368"/>
      <c r="O734" s="300"/>
    </row>
    <row r="735" spans="1:15" ht="15" customHeight="1">
      <c r="A735" s="2982"/>
      <c r="B735" s="298">
        <v>11528</v>
      </c>
      <c r="C735" s="680">
        <v>0.1</v>
      </c>
      <c r="D735" s="1132" t="s">
        <v>2526</v>
      </c>
      <c r="E735" s="304">
        <v>900000</v>
      </c>
      <c r="F735" s="305">
        <v>0.06</v>
      </c>
      <c r="G735" s="673">
        <f t="shared" ref="G735:G741" si="31">E735*F735</f>
        <v>54000</v>
      </c>
      <c r="H735" s="306" t="s">
        <v>732</v>
      </c>
      <c r="I735" s="306" t="s">
        <v>2417</v>
      </c>
      <c r="J735" s="959"/>
      <c r="K735" s="1287"/>
      <c r="L735" s="989"/>
      <c r="M735" s="1288"/>
      <c r="N735" s="1289"/>
      <c r="O735" s="1748"/>
    </row>
    <row r="736" spans="1:15" ht="15" customHeight="1">
      <c r="A736" s="2982"/>
      <c r="B736" s="298">
        <v>11562</v>
      </c>
      <c r="C736" s="775">
        <v>0.1</v>
      </c>
      <c r="D736" s="576" t="s">
        <v>2527</v>
      </c>
      <c r="E736" s="304">
        <v>1400000</v>
      </c>
      <c r="F736" s="305">
        <v>0.1</v>
      </c>
      <c r="G736" s="673">
        <f t="shared" si="31"/>
        <v>140000</v>
      </c>
      <c r="H736" s="306" t="s">
        <v>1485</v>
      </c>
      <c r="I736" s="298" t="s">
        <v>2417</v>
      </c>
      <c r="J736" s="1748"/>
      <c r="K736" s="1748"/>
      <c r="L736" s="1748"/>
      <c r="M736" s="922"/>
      <c r="N736" s="958"/>
      <c r="O736" s="1748"/>
    </row>
    <row r="737" spans="1:19" ht="15" customHeight="1">
      <c r="A737" s="2982"/>
      <c r="B737" s="298">
        <v>11580</v>
      </c>
      <c r="C737" s="662">
        <v>0.1</v>
      </c>
      <c r="D737" s="1193" t="s">
        <v>2528</v>
      </c>
      <c r="E737" s="297">
        <v>1200000</v>
      </c>
      <c r="F737" s="273">
        <v>0.05</v>
      </c>
      <c r="G737" s="673">
        <f t="shared" si="31"/>
        <v>60000</v>
      </c>
      <c r="H737" s="298" t="s">
        <v>523</v>
      </c>
      <c r="I737" s="479" t="s">
        <v>2417</v>
      </c>
      <c r="J737" s="1748"/>
      <c r="K737" s="1748"/>
      <c r="L737" s="1748"/>
      <c r="M737" s="922"/>
      <c r="N737" s="958"/>
      <c r="O737" s="1748"/>
    </row>
    <row r="738" spans="1:19" ht="15" customHeight="1">
      <c r="A738" s="2982"/>
      <c r="B738" s="298">
        <v>11617</v>
      </c>
      <c r="C738" s="662">
        <v>0.1</v>
      </c>
      <c r="D738" s="1193" t="s">
        <v>2529</v>
      </c>
      <c r="E738" s="297">
        <v>950000</v>
      </c>
      <c r="F738" s="273">
        <v>0.1</v>
      </c>
      <c r="G738" s="673">
        <f t="shared" si="31"/>
        <v>95000</v>
      </c>
      <c r="H738" s="298" t="s">
        <v>582</v>
      </c>
      <c r="I738" s="479" t="s">
        <v>2417</v>
      </c>
      <c r="J738" s="1748"/>
      <c r="K738" s="1748"/>
      <c r="L738" s="1748"/>
      <c r="M738" s="922"/>
      <c r="N738" s="958"/>
      <c r="O738" s="1748"/>
    </row>
    <row r="739" spans="1:19" ht="15" customHeight="1">
      <c r="A739" s="2982"/>
      <c r="B739" s="298">
        <v>11653</v>
      </c>
      <c r="C739" s="662">
        <v>0.1</v>
      </c>
      <c r="D739" s="576" t="s">
        <v>2530</v>
      </c>
      <c r="E739" s="297">
        <v>1200000</v>
      </c>
      <c r="F739" s="415">
        <v>0.1</v>
      </c>
      <c r="G739" s="673">
        <f t="shared" si="31"/>
        <v>120000</v>
      </c>
      <c r="H739" s="499" t="s">
        <v>2218</v>
      </c>
      <c r="I739" s="298" t="s">
        <v>2417</v>
      </c>
      <c r="J739" s="1748"/>
      <c r="K739" s="1748"/>
      <c r="L739" s="1748"/>
      <c r="M739" s="922"/>
      <c r="N739" s="958"/>
      <c r="O739" s="1748"/>
    </row>
    <row r="740" spans="1:19" ht="15" customHeight="1">
      <c r="A740" s="2982"/>
      <c r="B740" s="298">
        <v>11658</v>
      </c>
      <c r="C740" s="496">
        <v>0.1</v>
      </c>
      <c r="D740" s="1230" t="s">
        <v>2531</v>
      </c>
      <c r="E740" s="304">
        <v>1150000</v>
      </c>
      <c r="F740" s="305">
        <v>0.1</v>
      </c>
      <c r="G740" s="673">
        <f t="shared" si="31"/>
        <v>115000</v>
      </c>
      <c r="H740" s="306" t="s">
        <v>582</v>
      </c>
      <c r="I740" s="1028" t="s">
        <v>2363</v>
      </c>
      <c r="J740" s="1748"/>
      <c r="K740" s="1748"/>
      <c r="L740" s="1748"/>
      <c r="M740" s="922"/>
      <c r="N740" s="958"/>
      <c r="O740" s="1748"/>
    </row>
    <row r="741" spans="1:19" ht="15" customHeight="1">
      <c r="A741" s="2982"/>
      <c r="B741" s="925">
        <v>11710</v>
      </c>
      <c r="C741" s="496">
        <v>0.1</v>
      </c>
      <c r="D741" s="968" t="s">
        <v>2532</v>
      </c>
      <c r="E741" s="297">
        <v>1000000</v>
      </c>
      <c r="F741" s="415">
        <v>0.05</v>
      </c>
      <c r="G741" s="268">
        <f t="shared" si="31"/>
        <v>50000</v>
      </c>
      <c r="H741" s="499" t="s">
        <v>748</v>
      </c>
      <c r="I741" s="499" t="s">
        <v>2417</v>
      </c>
      <c r="J741" s="1748"/>
      <c r="K741" s="1748"/>
      <c r="L741" s="1748"/>
      <c r="M741" s="1748"/>
      <c r="N741" s="300"/>
      <c r="O741" s="299"/>
    </row>
    <row r="742" spans="1:19" ht="15" customHeight="1">
      <c r="A742" s="2982"/>
      <c r="B742" s="299"/>
      <c r="C742" s="1182"/>
      <c r="D742" s="1187"/>
      <c r="E742" s="1231"/>
      <c r="F742" s="597"/>
      <c r="G742" s="313"/>
      <c r="H742" s="1291"/>
      <c r="I742" s="307"/>
      <c r="J742" s="1748"/>
      <c r="K742" s="300"/>
      <c r="L742" s="1748"/>
      <c r="M742" s="1748"/>
      <c r="N742" s="1748"/>
      <c r="O742" s="299"/>
    </row>
    <row r="743" spans="1:19" ht="15" customHeight="1">
      <c r="A743" s="2982"/>
      <c r="B743" s="299"/>
      <c r="C743" s="1182"/>
      <c r="D743" s="1187"/>
      <c r="E743" s="311"/>
      <c r="F743" s="312"/>
      <c r="G743" s="1292"/>
      <c r="H743" s="648"/>
      <c r="I743" s="307"/>
      <c r="J743" s="772"/>
      <c r="K743" s="299"/>
      <c r="L743" s="290"/>
      <c r="M743" s="504"/>
      <c r="N743" s="312"/>
      <c r="O743" s="289"/>
    </row>
    <row r="744" spans="1:19" ht="15" customHeight="1">
      <c r="A744" s="2982"/>
      <c r="B744" s="624"/>
      <c r="C744" s="624"/>
      <c r="D744" s="1168"/>
      <c r="E744" s="928">
        <f>SUM(E734:E742)</f>
        <v>9500000</v>
      </c>
      <c r="F744" s="929"/>
      <c r="G744" s="1180">
        <f>SUM(G734:G742)</f>
        <v>736000</v>
      </c>
      <c r="H744" s="1181"/>
      <c r="I744" s="444"/>
      <c r="J744" s="773"/>
      <c r="K744" s="308"/>
      <c r="L744" s="2834" t="s">
        <v>1834</v>
      </c>
      <c r="M744" s="2834"/>
      <c r="N744" s="2834"/>
      <c r="O744" s="289">
        <f>SUM(O734:O736)</f>
        <v>0</v>
      </c>
    </row>
    <row r="745" spans="1:19" ht="15" customHeight="1">
      <c r="A745" s="2982"/>
      <c r="B745" s="1183"/>
      <c r="C745" s="1183"/>
      <c r="D745" s="1184" t="s">
        <v>1835</v>
      </c>
      <c r="E745" s="1185">
        <f>G744+O744</f>
        <v>736000</v>
      </c>
      <c r="F745" s="1183"/>
      <c r="G745" s="1186"/>
      <c r="H745" s="813"/>
      <c r="I745" s="813"/>
      <c r="J745" s="816"/>
      <c r="K745" s="868"/>
      <c r="L745" s="868"/>
      <c r="M745" s="868"/>
      <c r="N745" s="868"/>
      <c r="O745" s="422"/>
    </row>
    <row r="746" spans="1:19">
      <c r="A746" s="2172"/>
      <c r="B746" s="17"/>
      <c r="C746" s="17"/>
      <c r="D746" s="1058"/>
      <c r="E746" s="19"/>
      <c r="F746" s="17"/>
      <c r="G746" s="20"/>
      <c r="H746" s="17"/>
      <c r="I746" s="17"/>
      <c r="J746" s="18"/>
      <c r="O746" s="1"/>
    </row>
    <row r="747" spans="1:19">
      <c r="A747" s="2172"/>
      <c r="B747" s="17"/>
      <c r="C747" s="17"/>
      <c r="D747" s="1058"/>
      <c r="E747" s="19"/>
      <c r="F747" s="17"/>
      <c r="G747" s="20"/>
      <c r="H747" s="17"/>
      <c r="I747" s="17"/>
      <c r="J747" s="18"/>
      <c r="O747" s="1"/>
    </row>
    <row r="748" spans="1:19" ht="21">
      <c r="A748" s="2980" t="s">
        <v>1836</v>
      </c>
      <c r="B748" s="2980"/>
      <c r="C748" s="2980"/>
      <c r="D748" s="2980"/>
      <c r="E748" s="2980"/>
      <c r="F748" s="2980"/>
      <c r="G748" s="2980"/>
      <c r="H748" s="2980"/>
      <c r="I748" s="2980"/>
      <c r="J748" s="2980"/>
      <c r="K748" s="2819" t="s">
        <v>1805</v>
      </c>
      <c r="L748" s="2819"/>
      <c r="M748" s="2819"/>
      <c r="N748" s="2819"/>
      <c r="O748" s="2"/>
    </row>
    <row r="749" spans="1:19">
      <c r="A749" s="2208" t="s">
        <v>1806</v>
      </c>
      <c r="B749" s="783" t="s">
        <v>1807</v>
      </c>
      <c r="C749" s="1634" t="s">
        <v>1837</v>
      </c>
      <c r="D749" s="1056" t="s">
        <v>1809</v>
      </c>
      <c r="E749" s="779" t="s">
        <v>1810</v>
      </c>
      <c r="F749" s="1634" t="s">
        <v>1811</v>
      </c>
      <c r="G749" s="25" t="s">
        <v>1812</v>
      </c>
      <c r="H749" s="26" t="s">
        <v>1813</v>
      </c>
      <c r="I749" s="1634" t="s">
        <v>1814</v>
      </c>
      <c r="J749" s="26" t="s">
        <v>1815</v>
      </c>
      <c r="K749" s="26" t="s">
        <v>1807</v>
      </c>
      <c r="L749" s="26" t="s">
        <v>1809</v>
      </c>
      <c r="M749" s="26" t="s">
        <v>1816</v>
      </c>
      <c r="N749" s="259" t="s">
        <v>1811</v>
      </c>
      <c r="O749" s="260" t="s">
        <v>1817</v>
      </c>
    </row>
    <row r="750" spans="1:19">
      <c r="A750" s="2208"/>
      <c r="B750" s="1197"/>
      <c r="C750" s="1282"/>
      <c r="D750" s="409" t="s">
        <v>2533</v>
      </c>
      <c r="E750" s="1283"/>
      <c r="F750" s="336"/>
      <c r="G750" s="350"/>
      <c r="H750" s="592"/>
      <c r="I750" s="669" t="s">
        <v>2363</v>
      </c>
      <c r="J750" s="26"/>
      <c r="K750" s="26"/>
      <c r="L750" s="259"/>
      <c r="M750" s="26"/>
      <c r="N750" s="259"/>
      <c r="O750" s="260"/>
    </row>
    <row r="751" spans="1:19">
      <c r="A751" s="2983" t="s">
        <v>1838</v>
      </c>
      <c r="B751" s="780"/>
      <c r="C751" s="401"/>
      <c r="D751" s="899" t="s">
        <v>2534</v>
      </c>
      <c r="E751" s="586"/>
      <c r="F751" s="401"/>
      <c r="G751" s="378"/>
      <c r="H751" s="347"/>
      <c r="I751" s="347" t="s">
        <v>2417</v>
      </c>
      <c r="J751" s="1626"/>
      <c r="K751" s="649">
        <v>11544</v>
      </c>
      <c r="L751" s="1248" t="s">
        <v>2535</v>
      </c>
      <c r="M751" s="1245">
        <v>900000</v>
      </c>
      <c r="N751" s="750">
        <v>0.05</v>
      </c>
      <c r="O751" s="433">
        <f>M751*N751</f>
        <v>45000</v>
      </c>
      <c r="P751" s="1237"/>
      <c r="Q751" s="934" t="s">
        <v>1968</v>
      </c>
      <c r="R751" s="934"/>
      <c r="S751" s="503"/>
    </row>
    <row r="752" spans="1:19">
      <c r="A752" s="2983"/>
      <c r="B752" s="753"/>
      <c r="C752" s="689"/>
      <c r="D752" s="1201" t="s">
        <v>2536</v>
      </c>
      <c r="E752" s="1202"/>
      <c r="F752" s="689"/>
      <c r="G752" s="350"/>
      <c r="H752" s="592"/>
      <c r="I752" s="1015" t="s">
        <v>2417</v>
      </c>
      <c r="J752" s="1747"/>
      <c r="K752" s="298">
        <v>11580</v>
      </c>
      <c r="L752" s="1284" t="s">
        <v>2537</v>
      </c>
      <c r="M752" s="1143">
        <v>1200000</v>
      </c>
      <c r="N752" s="750">
        <v>0.05</v>
      </c>
      <c r="O752" s="433">
        <f>M752*N752</f>
        <v>60000</v>
      </c>
    </row>
    <row r="753" spans="1:19" ht="15.75" customHeight="1">
      <c r="A753" s="2983"/>
      <c r="B753" s="1213">
        <v>11642</v>
      </c>
      <c r="C753" s="302">
        <v>0.1</v>
      </c>
      <c r="D753" s="573" t="s">
        <v>2538</v>
      </c>
      <c r="E753" s="1293">
        <v>1100000</v>
      </c>
      <c r="F753" s="302">
        <v>0.1</v>
      </c>
      <c r="G753" s="1297">
        <f>E753*F753</f>
        <v>110000</v>
      </c>
      <c r="H753" s="718" t="s">
        <v>523</v>
      </c>
      <c r="I753" s="1243" t="s">
        <v>2417</v>
      </c>
      <c r="J753" s="1748"/>
      <c r="K753" s="1748"/>
      <c r="L753" s="1748"/>
      <c r="M753" s="1748"/>
      <c r="N753" s="1679"/>
      <c r="O753" s="339"/>
    </row>
    <row r="754" spans="1:19" ht="25.5" customHeight="1">
      <c r="A754" s="2983"/>
      <c r="B754" s="685">
        <v>11557</v>
      </c>
      <c r="C754" s="302">
        <v>0.1</v>
      </c>
      <c r="D754" s="1143" t="s">
        <v>2539</v>
      </c>
      <c r="E754" s="1247">
        <v>850000</v>
      </c>
      <c r="F754" s="302">
        <v>0.1</v>
      </c>
      <c r="G754" s="1297">
        <f t="shared" ref="G754:G758" si="32">E754*F754</f>
        <v>85000</v>
      </c>
      <c r="H754" s="433" t="s">
        <v>523</v>
      </c>
      <c r="I754" s="1244" t="s">
        <v>2417</v>
      </c>
      <c r="J754" s="1748"/>
      <c r="K754" s="1748"/>
      <c r="L754" s="1748"/>
      <c r="M754" s="1748"/>
      <c r="N754" s="1679"/>
      <c r="O754" s="339"/>
    </row>
    <row r="755" spans="1:19" ht="15" customHeight="1">
      <c r="A755" s="2983"/>
      <c r="B755" s="579">
        <v>11624</v>
      </c>
      <c r="C755" s="302">
        <v>0.1</v>
      </c>
      <c r="D755" s="968" t="s">
        <v>2540</v>
      </c>
      <c r="E755" s="1294">
        <v>950000</v>
      </c>
      <c r="F755" s="302">
        <v>0.1</v>
      </c>
      <c r="G755" s="1297">
        <f t="shared" si="32"/>
        <v>95000</v>
      </c>
      <c r="H755" s="718" t="s">
        <v>2541</v>
      </c>
      <c r="I755" s="433" t="s">
        <v>2417</v>
      </c>
      <c r="J755" s="844"/>
      <c r="K755" s="844"/>
      <c r="L755" s="1246"/>
      <c r="M755" s="844"/>
      <c r="N755" s="844"/>
      <c r="O755" s="455"/>
    </row>
    <row r="756" spans="1:19" ht="15" customHeight="1">
      <c r="A756" s="2983"/>
      <c r="B756" s="433">
        <v>11666</v>
      </c>
      <c r="C756" s="708">
        <v>0.1</v>
      </c>
      <c r="D756" s="1087" t="s">
        <v>2542</v>
      </c>
      <c r="E756" s="1295">
        <v>1050000</v>
      </c>
      <c r="F756" s="302">
        <v>0.1</v>
      </c>
      <c r="G756" s="1297">
        <f t="shared" si="32"/>
        <v>105000</v>
      </c>
      <c r="H756" s="298" t="s">
        <v>523</v>
      </c>
      <c r="I756" s="330" t="s">
        <v>2417</v>
      </c>
      <c r="J756" s="1748"/>
      <c r="K756" s="1748"/>
      <c r="L756" s="1679"/>
      <c r="M756" s="1748"/>
      <c r="N756" s="1748"/>
      <c r="O756" s="455"/>
    </row>
    <row r="757" spans="1:19" ht="15" customHeight="1">
      <c r="A757" s="2983"/>
      <c r="B757" s="1281">
        <v>11674</v>
      </c>
      <c r="C757" s="680">
        <v>0.1</v>
      </c>
      <c r="D757" s="431" t="s">
        <v>2543</v>
      </c>
      <c r="E757" s="1296">
        <v>900000</v>
      </c>
      <c r="F757" s="302">
        <v>0.1</v>
      </c>
      <c r="G757" s="1297">
        <f t="shared" si="32"/>
        <v>90000</v>
      </c>
      <c r="H757" s="853" t="s">
        <v>523</v>
      </c>
      <c r="I757" s="298" t="s">
        <v>2363</v>
      </c>
      <c r="J757" s="1748"/>
      <c r="K757" s="1748"/>
      <c r="L757" s="1679"/>
      <c r="M757" s="1748"/>
      <c r="N757" s="1748"/>
      <c r="O757" s="455"/>
    </row>
    <row r="758" spans="1:19" ht="15" customHeight="1">
      <c r="A758" s="2983"/>
      <c r="B758" s="604">
        <v>11732</v>
      </c>
      <c r="C758" s="680">
        <v>0.1</v>
      </c>
      <c r="D758" s="576" t="s">
        <v>2544</v>
      </c>
      <c r="E758" s="1295">
        <v>1200000</v>
      </c>
      <c r="F758" s="273">
        <v>0.1</v>
      </c>
      <c r="G758" s="1297">
        <f t="shared" si="32"/>
        <v>120000</v>
      </c>
      <c r="H758" s="298" t="s">
        <v>523</v>
      </c>
      <c r="I758" s="330" t="s">
        <v>2417</v>
      </c>
      <c r="J758" s="327"/>
      <c r="K758" s="290"/>
      <c r="L758" s="290"/>
      <c r="M758" s="476"/>
      <c r="N758" s="500"/>
      <c r="O758" s="307"/>
    </row>
    <row r="759" spans="1:19" ht="15" customHeight="1">
      <c r="A759" s="2983"/>
      <c r="B759" s="299"/>
      <c r="C759" s="794"/>
      <c r="D759" s="1156"/>
      <c r="E759" s="319"/>
      <c r="F759" s="747"/>
      <c r="G759" s="748"/>
      <c r="H759" s="696"/>
      <c r="I759" s="524"/>
      <c r="J759" s="749"/>
      <c r="K759" s="370"/>
      <c r="L759" s="622"/>
      <c r="M759" s="500"/>
      <c r="N759" s="500"/>
      <c r="O759" s="307"/>
    </row>
    <row r="760" spans="1:19" ht="15" customHeight="1">
      <c r="A760" s="2983"/>
      <c r="B760" s="506"/>
      <c r="C760" s="675"/>
      <c r="D760" s="1144" t="s">
        <v>1833</v>
      </c>
      <c r="E760" s="475">
        <f>SUM(E753:E758)</f>
        <v>6050000</v>
      </c>
      <c r="F760" s="506"/>
      <c r="G760" s="475">
        <f>SUM(G753:G758)</f>
        <v>605000</v>
      </c>
      <c r="H760" s="891"/>
      <c r="I760" s="506"/>
      <c r="J760" s="334"/>
      <c r="K760" s="477"/>
      <c r="L760" s="2981" t="s">
        <v>1859</v>
      </c>
      <c r="M760" s="2981"/>
      <c r="N760" s="2981"/>
      <c r="O760" s="439">
        <f>SUM(O751:O752)</f>
        <v>105000</v>
      </c>
    </row>
    <row r="761" spans="1:19" ht="15" customHeight="1">
      <c r="A761" s="2983"/>
      <c r="B761" s="813"/>
      <c r="C761" s="789"/>
      <c r="D761" s="1157" t="s">
        <v>1835</v>
      </c>
      <c r="E761" s="510">
        <f>G760+O760</f>
        <v>710000</v>
      </c>
      <c r="F761" s="450"/>
      <c r="G761" s="481"/>
      <c r="H761" s="450"/>
      <c r="I761" s="450"/>
      <c r="J761" s="482"/>
      <c r="K761" s="453"/>
      <c r="L761" s="938"/>
      <c r="M761" s="938"/>
      <c r="N761" s="938"/>
      <c r="O761" s="455"/>
    </row>
    <row r="762" spans="1:19" ht="15.6">
      <c r="A762" s="2209"/>
      <c r="B762" s="799"/>
      <c r="C762" s="456"/>
      <c r="D762" s="1091"/>
      <c r="E762" s="458"/>
      <c r="F762" s="456"/>
      <c r="G762" s="459"/>
      <c r="H762" s="456"/>
      <c r="I762" s="456"/>
      <c r="J762" s="457"/>
      <c r="K762" s="460"/>
      <c r="L762" s="461"/>
      <c r="M762" s="461"/>
      <c r="N762" s="461"/>
      <c r="O762" s="455"/>
    </row>
    <row r="763" spans="1:19" ht="15.6">
      <c r="A763" s="2209"/>
      <c r="B763" s="799"/>
      <c r="C763" s="799"/>
      <c r="D763" s="1145"/>
      <c r="E763" s="801"/>
      <c r="F763" s="799"/>
      <c r="G763" s="802"/>
      <c r="H763" s="799"/>
      <c r="I763" s="799"/>
      <c r="J763" s="800"/>
      <c r="K763" s="803"/>
      <c r="L763" s="804"/>
      <c r="M763" s="804"/>
      <c r="N763" s="804"/>
      <c r="O763" s="805"/>
    </row>
    <row r="764" spans="1:19" ht="21">
      <c r="A764" s="2817" t="s">
        <v>1860</v>
      </c>
      <c r="B764" s="2817"/>
      <c r="C764" s="2817"/>
      <c r="D764" s="2817"/>
      <c r="E764" s="2817"/>
      <c r="F764" s="2817"/>
      <c r="G764" s="2817"/>
      <c r="H764" s="2817"/>
      <c r="I764" s="2817"/>
      <c r="J764" s="2817"/>
      <c r="K764" s="2811" t="s">
        <v>1805</v>
      </c>
      <c r="L764" s="2811"/>
      <c r="M764" s="2811"/>
      <c r="N764" s="2811"/>
      <c r="O764" s="2"/>
    </row>
    <row r="765" spans="1:19">
      <c r="A765" s="2218" t="s">
        <v>1806</v>
      </c>
      <c r="B765" s="1634" t="s">
        <v>1807</v>
      </c>
      <c r="C765" s="1634" t="s">
        <v>1837</v>
      </c>
      <c r="D765" s="1056" t="s">
        <v>1809</v>
      </c>
      <c r="E765" s="32" t="s">
        <v>1810</v>
      </c>
      <c r="F765" s="1634" t="s">
        <v>1811</v>
      </c>
      <c r="G765" s="167" t="s">
        <v>1812</v>
      </c>
      <c r="H765" s="1634" t="s">
        <v>1813</v>
      </c>
      <c r="I765" s="1634" t="s">
        <v>1814</v>
      </c>
      <c r="J765" s="1634" t="s">
        <v>1815</v>
      </c>
      <c r="K765" s="1626" t="s">
        <v>1807</v>
      </c>
      <c r="L765" s="1626" t="s">
        <v>1809</v>
      </c>
      <c r="M765" s="1626" t="s">
        <v>1816</v>
      </c>
      <c r="N765" s="1626" t="s">
        <v>1811</v>
      </c>
      <c r="O765" s="260" t="s">
        <v>1817</v>
      </c>
    </row>
    <row r="766" spans="1:19">
      <c r="A766" s="2978" t="s">
        <v>1838</v>
      </c>
      <c r="B766" s="753"/>
      <c r="C766" s="1232"/>
      <c r="D766" s="1201" t="s">
        <v>2545</v>
      </c>
      <c r="E766" s="1233"/>
      <c r="F766" s="780"/>
      <c r="G766" s="782"/>
      <c r="H766" s="780"/>
      <c r="I766" s="780" t="s">
        <v>2417</v>
      </c>
      <c r="J766" s="1747"/>
      <c r="K766" s="432">
        <v>11576</v>
      </c>
      <c r="L766" s="969" t="s">
        <v>2546</v>
      </c>
      <c r="M766" s="968">
        <v>1000000</v>
      </c>
      <c r="N766" s="302">
        <v>0.05</v>
      </c>
      <c r="O766" s="433">
        <f>M766*N766</f>
        <v>50000</v>
      </c>
      <c r="P766" s="940"/>
      <c r="Q766" s="1748"/>
      <c r="R766" s="1748"/>
      <c r="S766" s="503"/>
    </row>
    <row r="767" spans="1:19">
      <c r="A767" s="2978"/>
      <c r="B767" s="753"/>
      <c r="C767" s="1232"/>
      <c r="D767" s="1142" t="s">
        <v>2547</v>
      </c>
      <c r="E767" s="1233"/>
      <c r="F767" s="780"/>
      <c r="G767" s="782"/>
      <c r="H767" s="780"/>
      <c r="I767" s="780" t="s">
        <v>2363</v>
      </c>
      <c r="J767" s="1747"/>
      <c r="K767" s="432">
        <v>11660</v>
      </c>
      <c r="L767" s="969" t="s">
        <v>2548</v>
      </c>
      <c r="M767" s="573">
        <v>1100000</v>
      </c>
      <c r="N767" s="302">
        <v>0.05</v>
      </c>
      <c r="O767" s="433">
        <f t="shared" ref="O767:O768" si="33">M767*N767</f>
        <v>55000</v>
      </c>
      <c r="P767" s="1237"/>
      <c r="Q767" s="934"/>
      <c r="R767" s="934"/>
    </row>
    <row r="768" spans="1:19">
      <c r="A768" s="2978"/>
      <c r="B768" s="865"/>
      <c r="C768" s="1217"/>
      <c r="D768" s="98" t="s">
        <v>2549</v>
      </c>
      <c r="E768" s="1060"/>
      <c r="F768" s="1218"/>
      <c r="G768" s="98"/>
      <c r="H768" s="98"/>
      <c r="I768" s="999" t="s">
        <v>2417</v>
      </c>
      <c r="J768" s="299"/>
      <c r="K768" s="840">
        <v>11710</v>
      </c>
      <c r="L768" s="968" t="s">
        <v>2550</v>
      </c>
      <c r="M768" s="1226">
        <v>1000000</v>
      </c>
      <c r="N768" s="302">
        <v>0.05</v>
      </c>
      <c r="O768" s="433">
        <f t="shared" si="33"/>
        <v>50000</v>
      </c>
      <c r="P768" s="363"/>
    </row>
    <row r="769" spans="1:16">
      <c r="A769" s="2978"/>
      <c r="B769" s="1271"/>
      <c r="C769" s="715"/>
      <c r="D769" s="714" t="s">
        <v>2551</v>
      </c>
      <c r="E769" s="1060"/>
      <c r="F769" s="1218"/>
      <c r="G769" s="98"/>
      <c r="H769" s="98"/>
      <c r="I769" s="999"/>
      <c r="J769" s="299"/>
      <c r="K769" s="1626"/>
      <c r="L769" s="1161"/>
      <c r="M769" s="311"/>
      <c r="N769" s="312"/>
      <c r="O769" s="313"/>
      <c r="P769" s="371"/>
    </row>
    <row r="770" spans="1:16" ht="15" customHeight="1">
      <c r="A770" s="2978"/>
      <c r="B770" s="660">
        <v>11545</v>
      </c>
      <c r="C770" s="837">
        <v>0.1</v>
      </c>
      <c r="D770" s="1143" t="s">
        <v>2552</v>
      </c>
      <c r="E770" s="1190">
        <v>1000000</v>
      </c>
      <c r="F770" s="837">
        <v>0.1</v>
      </c>
      <c r="G770" s="839">
        <f>E770*F770</f>
        <v>100000</v>
      </c>
      <c r="H770" s="836" t="s">
        <v>1138</v>
      </c>
      <c r="I770" s="836" t="s">
        <v>2417</v>
      </c>
      <c r="J770" s="1747"/>
      <c r="K770" s="1747"/>
      <c r="L770" s="1747"/>
      <c r="M770" s="1747"/>
      <c r="N770" s="1747"/>
      <c r="O770" s="2"/>
    </row>
    <row r="771" spans="1:16" ht="15" customHeight="1">
      <c r="A771" s="2978"/>
      <c r="B771" s="836">
        <v>11582</v>
      </c>
      <c r="C771" s="837">
        <v>0.1</v>
      </c>
      <c r="D771" s="1143" t="s">
        <v>2553</v>
      </c>
      <c r="E771" s="1190">
        <v>1200000</v>
      </c>
      <c r="F771" s="837">
        <v>0.05</v>
      </c>
      <c r="G771" s="839">
        <f t="shared" ref="G771:G773" si="34">E771*F771</f>
        <v>60000</v>
      </c>
      <c r="H771" s="836" t="s">
        <v>2241</v>
      </c>
      <c r="I771" s="836" t="s">
        <v>2417</v>
      </c>
      <c r="J771" s="1747"/>
      <c r="K771" s="1747"/>
      <c r="L771" s="1747"/>
      <c r="M771" s="1747"/>
      <c r="N771" s="1747"/>
      <c r="O771" s="2"/>
    </row>
    <row r="772" spans="1:16" ht="15" customHeight="1">
      <c r="A772" s="2978"/>
      <c r="B772" s="836">
        <v>11644</v>
      </c>
      <c r="C772" s="837">
        <v>0.1</v>
      </c>
      <c r="D772" s="1143" t="s">
        <v>2554</v>
      </c>
      <c r="E772" s="1190">
        <v>1100000</v>
      </c>
      <c r="F772" s="837">
        <v>0.1</v>
      </c>
      <c r="G772" s="839">
        <f t="shared" si="34"/>
        <v>110000</v>
      </c>
      <c r="H772" s="836" t="s">
        <v>748</v>
      </c>
      <c r="I772" s="836" t="s">
        <v>2417</v>
      </c>
      <c r="J772" s="1747"/>
      <c r="K772" s="1747"/>
      <c r="L772" s="1747"/>
      <c r="M772" s="1747"/>
      <c r="N772" s="1747"/>
      <c r="O772" s="2"/>
    </row>
    <row r="773" spans="1:16" ht="15" customHeight="1">
      <c r="A773" s="2978"/>
      <c r="B773" s="836">
        <v>11693</v>
      </c>
      <c r="C773" s="416">
        <v>0.1</v>
      </c>
      <c r="D773" s="431" t="s">
        <v>2555</v>
      </c>
      <c r="E773" s="1227">
        <v>900000</v>
      </c>
      <c r="F773" s="302">
        <v>0.05</v>
      </c>
      <c r="G773" s="839">
        <f t="shared" si="34"/>
        <v>45000</v>
      </c>
      <c r="H773" s="511" t="s">
        <v>510</v>
      </c>
      <c r="I773" s="433" t="s">
        <v>2417</v>
      </c>
      <c r="J773" s="1747"/>
      <c r="K773" s="1747"/>
      <c r="L773" s="1747"/>
      <c r="M773" s="1747"/>
      <c r="N773" s="1747"/>
      <c r="O773" s="2"/>
    </row>
    <row r="774" spans="1:16" ht="15" customHeight="1">
      <c r="A774" s="2978"/>
      <c r="B774" s="1747"/>
      <c r="C774" s="1189"/>
      <c r="D774" s="1146"/>
      <c r="E774" s="1191"/>
      <c r="F774" s="1747"/>
      <c r="G774" s="807"/>
      <c r="H774" s="1747"/>
      <c r="I774" s="1747"/>
      <c r="J774" s="1747"/>
      <c r="K774" s="1747"/>
      <c r="L774" s="1747"/>
      <c r="M774" s="1747"/>
      <c r="N774" s="1747"/>
      <c r="O774" s="2"/>
    </row>
    <row r="775" spans="1:16" ht="15" customHeight="1">
      <c r="A775" s="2978"/>
      <c r="B775" s="1747"/>
      <c r="C775" s="1747"/>
      <c r="D775" s="1146"/>
      <c r="E775" s="806"/>
      <c r="F775" s="1747"/>
      <c r="G775" s="807"/>
      <c r="H775" s="1747"/>
      <c r="I775" s="1747"/>
      <c r="J775" s="1747"/>
      <c r="K775" s="1747"/>
      <c r="L775" s="1747"/>
      <c r="M775" s="1747"/>
      <c r="N775" s="1747"/>
      <c r="O775" s="2"/>
    </row>
    <row r="776" spans="1:16" ht="15" customHeight="1">
      <c r="A776" s="2978"/>
      <c r="B776" s="506"/>
      <c r="C776" s="506"/>
      <c r="D776" s="1089" t="s">
        <v>1833</v>
      </c>
      <c r="E776" s="475">
        <f>SUM(E770:E775)</f>
        <v>4200000</v>
      </c>
      <c r="F776" s="506"/>
      <c r="G776" s="475">
        <f>SUM(G770:G773)</f>
        <v>315000</v>
      </c>
      <c r="H776" s="506"/>
      <c r="I776" s="506"/>
      <c r="J776" s="334"/>
      <c r="K776" s="279"/>
      <c r="L776" s="2916" t="s">
        <v>1859</v>
      </c>
      <c r="M776" s="2916"/>
      <c r="N776" s="2916"/>
      <c r="O776" s="821">
        <f>SUM(O766:O768)</f>
        <v>155000</v>
      </c>
    </row>
    <row r="777" spans="1:16" ht="15.75" customHeight="1">
      <c r="A777" s="2978"/>
      <c r="B777" s="813"/>
      <c r="C777" s="813"/>
      <c r="D777" s="483" t="s">
        <v>1835</v>
      </c>
      <c r="E777" s="814">
        <f>G776+O776</f>
        <v>470000</v>
      </c>
      <c r="F777" s="813"/>
      <c r="G777" s="815"/>
      <c r="H777" s="813"/>
      <c r="I777" s="813"/>
      <c r="J777" s="816"/>
      <c r="K777" s="279"/>
      <c r="L777" s="817"/>
      <c r="M777" s="817"/>
      <c r="N777" s="817"/>
      <c r="O777" s="286"/>
    </row>
    <row r="778" spans="1:16" ht="15.6">
      <c r="A778" s="2209"/>
      <c r="B778" s="456"/>
      <c r="C778" s="456"/>
      <c r="D778" s="1091"/>
      <c r="E778" s="458"/>
      <c r="F778" s="456"/>
      <c r="G778" s="459"/>
      <c r="H778" s="456"/>
      <c r="I778" s="456"/>
      <c r="J778" s="457"/>
      <c r="K778" s="460"/>
      <c r="L778" s="461"/>
      <c r="M778" s="461"/>
      <c r="N778" s="461"/>
      <c r="O778" s="455"/>
    </row>
    <row r="779" spans="1:16" ht="15.6">
      <c r="A779" s="2209"/>
      <c r="B779" s="799"/>
      <c r="C779" s="799"/>
      <c r="D779" s="1145"/>
      <c r="E779" s="801"/>
      <c r="F779" s="799"/>
      <c r="G779" s="802"/>
      <c r="H779" s="799"/>
      <c r="I779" s="799"/>
      <c r="J779" s="800"/>
      <c r="K779" s="803"/>
      <c r="L779" s="804"/>
      <c r="M779" s="804"/>
      <c r="N779" s="804"/>
      <c r="O779" s="805"/>
    </row>
    <row r="780" spans="1:16" ht="21">
      <c r="A780" s="2827" t="s">
        <v>1875</v>
      </c>
      <c r="B780" s="2827"/>
      <c r="C780" s="2827"/>
      <c r="D780" s="2827"/>
      <c r="E780" s="2827"/>
      <c r="F780" s="2827"/>
      <c r="G780" s="2827"/>
      <c r="H780" s="2827"/>
      <c r="I780" s="2827"/>
      <c r="J780" s="2827"/>
      <c r="K780" s="279"/>
      <c r="L780" s="818"/>
      <c r="M780" s="818"/>
      <c r="N780" s="818"/>
      <c r="O780" s="286"/>
    </row>
    <row r="781" spans="1:16">
      <c r="A781" s="2218" t="s">
        <v>1806</v>
      </c>
      <c r="B781" s="3" t="s">
        <v>1807</v>
      </c>
      <c r="C781" s="3" t="s">
        <v>1837</v>
      </c>
      <c r="D781" s="1059" t="s">
        <v>1809</v>
      </c>
      <c r="E781" s="4" t="s">
        <v>1810</v>
      </c>
      <c r="F781" s="3" t="s">
        <v>1811</v>
      </c>
      <c r="G781" s="5" t="s">
        <v>1812</v>
      </c>
      <c r="H781" s="3" t="s">
        <v>1813</v>
      </c>
      <c r="I781" s="3" t="s">
        <v>1814</v>
      </c>
      <c r="J781" s="23" t="s">
        <v>1815</v>
      </c>
      <c r="K781" s="1747" t="s">
        <v>1807</v>
      </c>
      <c r="L781" s="1747" t="s">
        <v>1809</v>
      </c>
      <c r="M781" s="1747" t="s">
        <v>1816</v>
      </c>
      <c r="N781" s="1747" t="s">
        <v>1811</v>
      </c>
      <c r="O781" s="2" t="s">
        <v>1817</v>
      </c>
    </row>
    <row r="782" spans="1:16">
      <c r="A782" s="2218"/>
      <c r="B782" s="784"/>
      <c r="C782" s="401"/>
      <c r="D782" s="1166" t="s">
        <v>2556</v>
      </c>
      <c r="E782" s="586"/>
      <c r="F782" s="347"/>
      <c r="G782" s="378"/>
      <c r="H782" s="377"/>
      <c r="I782" s="377" t="s">
        <v>2417</v>
      </c>
      <c r="J782" s="23"/>
      <c r="K782" s="1747"/>
      <c r="L782" s="1747"/>
      <c r="M782" s="1747"/>
      <c r="N782" s="1747"/>
      <c r="O782" s="2"/>
    </row>
    <row r="783" spans="1:16">
      <c r="A783" s="2979" t="s">
        <v>2557</v>
      </c>
      <c r="B783" s="784"/>
      <c r="C783" s="780"/>
      <c r="D783" s="755" t="s">
        <v>2558</v>
      </c>
      <c r="E783" s="586"/>
      <c r="F783" s="347"/>
      <c r="G783" s="378"/>
      <c r="H783" s="377"/>
      <c r="I783" s="377" t="s">
        <v>2417</v>
      </c>
      <c r="J783" s="1679"/>
      <c r="K783" s="1747"/>
      <c r="L783" s="1747"/>
      <c r="M783" s="1747"/>
      <c r="N783" s="1747"/>
      <c r="O783" s="2"/>
    </row>
    <row r="784" spans="1:16">
      <c r="A784" s="2979"/>
      <c r="B784" s="784"/>
      <c r="C784" s="1207"/>
      <c r="D784" s="899" t="s">
        <v>2559</v>
      </c>
      <c r="E784" s="1208"/>
      <c r="F784" s="347"/>
      <c r="G784" s="378"/>
      <c r="H784" s="377"/>
      <c r="I784" s="377" t="s">
        <v>2417</v>
      </c>
      <c r="J784" s="1679"/>
      <c r="K784" s="1747"/>
      <c r="L784" s="1747"/>
      <c r="M784" s="1747"/>
      <c r="N784" s="1747"/>
      <c r="O784" s="2"/>
    </row>
    <row r="785" spans="1:15">
      <c r="A785" s="2979"/>
      <c r="B785" s="784"/>
      <c r="C785" s="1204"/>
      <c r="D785" s="409" t="s">
        <v>2560</v>
      </c>
      <c r="E785" s="1208"/>
      <c r="F785" s="347"/>
      <c r="G785" s="378"/>
      <c r="H785" s="377"/>
      <c r="I785" s="377" t="s">
        <v>2363</v>
      </c>
      <c r="J785" s="1679"/>
      <c r="K785" s="1747"/>
      <c r="L785" s="1747"/>
      <c r="M785" s="1747"/>
      <c r="N785" s="1747"/>
      <c r="O785" s="2"/>
    </row>
    <row r="786" spans="1:15" ht="15" customHeight="1">
      <c r="A786" s="2979"/>
      <c r="B786" s="432">
        <v>11595</v>
      </c>
      <c r="C786" s="302">
        <v>0.1</v>
      </c>
      <c r="D786" s="1209" t="s">
        <v>2561</v>
      </c>
      <c r="E786" s="511">
        <v>2300000</v>
      </c>
      <c r="F786" s="302">
        <v>0.05</v>
      </c>
      <c r="G786" s="588">
        <f>E786*F786</f>
        <v>115000</v>
      </c>
      <c r="H786" s="573" t="s">
        <v>442</v>
      </c>
      <c r="I786" s="573" t="s">
        <v>2417</v>
      </c>
      <c r="J786" s="1679"/>
      <c r="K786" s="1748"/>
      <c r="L786" s="1748"/>
      <c r="M786" s="1748"/>
      <c r="N786" s="1748"/>
      <c r="O786" s="286"/>
    </row>
    <row r="787" spans="1:15" ht="15" customHeight="1">
      <c r="A787" s="2979"/>
      <c r="B787" s="432">
        <v>11576</v>
      </c>
      <c r="C787" s="302">
        <v>0.1</v>
      </c>
      <c r="D787" s="968" t="s">
        <v>2562</v>
      </c>
      <c r="E787" s="511">
        <v>1000000</v>
      </c>
      <c r="F787" s="302">
        <v>0.05</v>
      </c>
      <c r="G787" s="588">
        <f t="shared" ref="G787:G795" si="35">E787*F787</f>
        <v>50000</v>
      </c>
      <c r="H787" s="573" t="s">
        <v>1138</v>
      </c>
      <c r="I787" s="573" t="s">
        <v>2417</v>
      </c>
      <c r="J787" s="1679"/>
      <c r="K787" s="1748"/>
      <c r="L787" s="1748"/>
      <c r="M787" s="1748"/>
      <c r="N787" s="1748"/>
      <c r="O787" s="286"/>
    </row>
    <row r="788" spans="1:15" s="503" customFormat="1" ht="15.75" customHeight="1">
      <c r="A788" s="2979"/>
      <c r="B788" s="1030">
        <v>11585</v>
      </c>
      <c r="C788" s="302">
        <v>0.1</v>
      </c>
      <c r="D788" s="1158" t="s">
        <v>2563</v>
      </c>
      <c r="E788" s="511">
        <v>1000000</v>
      </c>
      <c r="F788" s="302">
        <v>0.1</v>
      </c>
      <c r="G788" s="588">
        <f t="shared" si="35"/>
        <v>100000</v>
      </c>
      <c r="H788" s="573" t="s">
        <v>527</v>
      </c>
      <c r="I788" s="573" t="s">
        <v>2417</v>
      </c>
      <c r="J788" s="1679"/>
      <c r="K788" s="1748"/>
      <c r="L788" s="1748"/>
      <c r="M788" s="1748"/>
      <c r="N788" s="1748"/>
      <c r="O788" s="299"/>
    </row>
    <row r="789" spans="1:15" ht="15" customHeight="1">
      <c r="A789" s="2979"/>
      <c r="B789" s="432">
        <v>11609</v>
      </c>
      <c r="C789" s="302">
        <v>0.1</v>
      </c>
      <c r="D789" s="968" t="s">
        <v>2564</v>
      </c>
      <c r="E789" s="1053">
        <v>850000</v>
      </c>
      <c r="F789" s="302">
        <v>0.1</v>
      </c>
      <c r="G789" s="588">
        <f t="shared" si="35"/>
        <v>85000</v>
      </c>
      <c r="H789" s="573" t="s">
        <v>527</v>
      </c>
      <c r="I789" s="573" t="s">
        <v>2417</v>
      </c>
      <c r="J789" s="1679"/>
      <c r="K789" s="1748"/>
      <c r="L789" s="1748"/>
      <c r="M789" s="1748"/>
      <c r="N789" s="1748"/>
      <c r="O789" s="286"/>
    </row>
    <row r="790" spans="1:15" ht="15" customHeight="1">
      <c r="A790" s="2979"/>
      <c r="B790" s="432">
        <v>11604</v>
      </c>
      <c r="C790" s="302">
        <v>0.1</v>
      </c>
      <c r="D790" s="573" t="s">
        <v>2565</v>
      </c>
      <c r="E790" s="511">
        <v>960000</v>
      </c>
      <c r="F790" s="302">
        <v>0.1</v>
      </c>
      <c r="G790" s="588">
        <f t="shared" si="35"/>
        <v>96000</v>
      </c>
      <c r="H790" s="573" t="s">
        <v>527</v>
      </c>
      <c r="I790" s="573" t="s">
        <v>2417</v>
      </c>
      <c r="J790" s="1679"/>
      <c r="K790" s="1748"/>
      <c r="L790" s="1748"/>
      <c r="M790" s="1748"/>
      <c r="N790" s="1748"/>
      <c r="O790" s="286"/>
    </row>
    <row r="791" spans="1:15" ht="15" customHeight="1">
      <c r="A791" s="2979"/>
      <c r="B791" s="432">
        <v>11645</v>
      </c>
      <c r="C791" s="302">
        <v>0.1</v>
      </c>
      <c r="D791" s="968" t="s">
        <v>2566</v>
      </c>
      <c r="E791" s="1053">
        <v>900000</v>
      </c>
      <c r="F791" s="302">
        <v>0.05</v>
      </c>
      <c r="G791" s="588">
        <f t="shared" si="35"/>
        <v>45000</v>
      </c>
      <c r="H791" s="573" t="s">
        <v>2241</v>
      </c>
      <c r="I791" s="573" t="s">
        <v>2417</v>
      </c>
      <c r="J791" s="1679"/>
      <c r="K791" s="1748"/>
      <c r="L791" s="1748"/>
      <c r="M791" s="1748"/>
      <c r="N791" s="1748"/>
      <c r="O791" s="286"/>
    </row>
    <row r="792" spans="1:15" ht="15" customHeight="1">
      <c r="A792" s="2979"/>
      <c r="B792" s="432">
        <v>11660</v>
      </c>
      <c r="C792" s="302">
        <v>0.1</v>
      </c>
      <c r="D792" s="573" t="s">
        <v>2548</v>
      </c>
      <c r="E792" s="511">
        <v>1100000</v>
      </c>
      <c r="F792" s="302">
        <v>0.05</v>
      </c>
      <c r="G792" s="588">
        <f t="shared" si="35"/>
        <v>55000</v>
      </c>
      <c r="H792" s="573" t="s">
        <v>1138</v>
      </c>
      <c r="I792" s="573" t="s">
        <v>2417</v>
      </c>
      <c r="J792" s="1679"/>
      <c r="K792" s="1748"/>
      <c r="L792" s="1748"/>
      <c r="M792" s="1748"/>
      <c r="N792" s="1748"/>
      <c r="O792" s="286"/>
    </row>
    <row r="793" spans="1:15" ht="15" customHeight="1">
      <c r="A793" s="2979"/>
      <c r="B793" s="432">
        <v>11684</v>
      </c>
      <c r="C793" s="302">
        <v>0.1</v>
      </c>
      <c r="D793" s="1087" t="s">
        <v>2567</v>
      </c>
      <c r="E793" s="511">
        <v>1500000</v>
      </c>
      <c r="F793" s="302">
        <v>0.05</v>
      </c>
      <c r="G793" s="588">
        <f t="shared" si="35"/>
        <v>75000</v>
      </c>
      <c r="H793" s="573" t="s">
        <v>2241</v>
      </c>
      <c r="I793" s="573" t="s">
        <v>2417</v>
      </c>
      <c r="J793" s="1679"/>
      <c r="K793" s="1748"/>
      <c r="L793" s="1748"/>
      <c r="M793" s="1748"/>
      <c r="N793" s="1748"/>
      <c r="O793" s="286"/>
    </row>
    <row r="794" spans="1:15" ht="15.75" customHeight="1">
      <c r="A794" s="2979"/>
      <c r="B794" s="1030">
        <v>11687</v>
      </c>
      <c r="C794" s="302">
        <v>0.1</v>
      </c>
      <c r="D794" s="1087" t="s">
        <v>2568</v>
      </c>
      <c r="E794" s="511">
        <v>700000</v>
      </c>
      <c r="F794" s="302">
        <v>0.1</v>
      </c>
      <c r="G794" s="588">
        <f t="shared" si="35"/>
        <v>70000</v>
      </c>
      <c r="H794" s="573" t="s">
        <v>527</v>
      </c>
      <c r="I794" s="573" t="s">
        <v>2363</v>
      </c>
      <c r="J794" s="1679"/>
      <c r="K794" s="1748"/>
      <c r="L794" s="1748"/>
      <c r="M794" s="1748"/>
      <c r="N794" s="1748"/>
      <c r="O794" s="286"/>
    </row>
    <row r="795" spans="1:15" ht="15" customHeight="1">
      <c r="A795" s="2979"/>
      <c r="B795" s="432">
        <v>11713</v>
      </c>
      <c r="C795" s="302">
        <v>0.1</v>
      </c>
      <c r="D795" s="1158" t="s">
        <v>2569</v>
      </c>
      <c r="E795" s="1053">
        <v>1250000</v>
      </c>
      <c r="F795" s="302">
        <v>0.05</v>
      </c>
      <c r="G795" s="588">
        <f t="shared" si="35"/>
        <v>62500</v>
      </c>
      <c r="H795" s="573" t="s">
        <v>2241</v>
      </c>
      <c r="I795" s="573" t="s">
        <v>2363</v>
      </c>
      <c r="J795" s="1679"/>
      <c r="K795" s="1748"/>
      <c r="L795" s="1748"/>
      <c r="M795" s="1748"/>
      <c r="N795" s="368"/>
      <c r="O795" s="286"/>
    </row>
    <row r="796" spans="1:15" ht="15" customHeight="1">
      <c r="A796" s="2979"/>
      <c r="B796" s="300"/>
      <c r="C796" s="955"/>
      <c r="D796" s="862"/>
      <c r="E796" s="1178"/>
      <c r="F796" s="991"/>
      <c r="G796" s="914"/>
      <c r="H796" s="1177"/>
      <c r="I796" s="943"/>
      <c r="J796" s="1679"/>
      <c r="K796" s="1748"/>
      <c r="L796" s="1748"/>
      <c r="M796" s="1748"/>
      <c r="N796" s="368"/>
      <c r="O796" s="286"/>
    </row>
    <row r="797" spans="1:15" ht="15" customHeight="1">
      <c r="A797" s="2979"/>
      <c r="B797" s="300"/>
      <c r="C797" s="955"/>
      <c r="D797" s="862"/>
      <c r="E797" s="1178"/>
      <c r="F797" s="991"/>
      <c r="G797" s="914"/>
      <c r="H797" s="1177"/>
      <c r="I797" s="943"/>
      <c r="J797" s="1679"/>
      <c r="K797" s="1748"/>
      <c r="L797" s="1748"/>
      <c r="M797" s="1748"/>
      <c r="N797" s="1748"/>
      <c r="O797" s="286"/>
    </row>
    <row r="798" spans="1:15" ht="15" customHeight="1">
      <c r="A798" s="2979"/>
      <c r="B798" s="891"/>
      <c r="C798" s="506"/>
      <c r="D798" s="1089" t="s">
        <v>1833</v>
      </c>
      <c r="E798" s="475">
        <f>SUM(E786:E795)</f>
        <v>11560000</v>
      </c>
      <c r="F798" s="506"/>
      <c r="G798" s="475">
        <f>SUM(G786:G795)</f>
        <v>753500</v>
      </c>
      <c r="H798" s="506"/>
      <c r="I798" s="506"/>
      <c r="J798" s="829"/>
      <c r="K798" s="279"/>
      <c r="L798" s="2849" t="s">
        <v>1859</v>
      </c>
      <c r="M798" s="2849"/>
      <c r="N798" s="2849"/>
      <c r="O798" s="821"/>
    </row>
    <row r="799" spans="1:15" ht="15" customHeight="1">
      <c r="A799" s="2979"/>
      <c r="B799" s="892"/>
      <c r="C799" s="813"/>
      <c r="D799" s="1155" t="s">
        <v>1835</v>
      </c>
      <c r="E799" s="814">
        <f>G798</f>
        <v>753500</v>
      </c>
      <c r="F799" s="813"/>
      <c r="G799" s="815"/>
      <c r="H799" s="813"/>
      <c r="I799" s="813"/>
      <c r="J799" s="830"/>
      <c r="K799" s="279"/>
      <c r="L799" s="941"/>
      <c r="M799" s="941"/>
      <c r="N799" s="941"/>
      <c r="O799" s="286"/>
    </row>
    <row r="800" spans="1:15" ht="15.6">
      <c r="A800" s="2209"/>
      <c r="B800" s="456"/>
      <c r="C800" s="456"/>
      <c r="D800" s="1091"/>
      <c r="E800" s="458"/>
      <c r="F800" s="456"/>
      <c r="G800" s="459"/>
      <c r="H800" s="456"/>
      <c r="I800" s="456"/>
      <c r="J800" s="457"/>
      <c r="K800" s="460"/>
      <c r="L800" s="461"/>
      <c r="M800" s="461"/>
      <c r="N800" s="461"/>
      <c r="O800" s="455"/>
    </row>
    <row r="801" spans="1:19" ht="15.6">
      <c r="A801" s="2209"/>
      <c r="B801" s="799"/>
      <c r="C801" s="799"/>
      <c r="D801" s="1145"/>
      <c r="E801" s="801"/>
      <c r="F801" s="799"/>
      <c r="G801" s="802"/>
      <c r="H801" s="799"/>
      <c r="I801" s="799"/>
      <c r="J801" s="800"/>
      <c r="K801" s="803"/>
      <c r="L801" s="804"/>
      <c r="M801" s="804"/>
      <c r="N801" s="804"/>
      <c r="O801" s="805"/>
    </row>
    <row r="802" spans="1:19" ht="21">
      <c r="A802" s="2827" t="s">
        <v>2446</v>
      </c>
      <c r="B802" s="2827"/>
      <c r="C802" s="2827"/>
      <c r="D802" s="2827"/>
      <c r="E802" s="2827"/>
      <c r="F802" s="2827"/>
      <c r="G802" s="2827"/>
      <c r="H802" s="2827"/>
      <c r="I802" s="2827"/>
      <c r="J802" s="2827"/>
      <c r="K802" s="279"/>
      <c r="L802" s="818"/>
      <c r="M802" s="818"/>
      <c r="N802" s="818"/>
      <c r="O802" s="1235"/>
      <c r="P802" s="916"/>
    </row>
    <row r="803" spans="1:19">
      <c r="A803" s="2218" t="s">
        <v>1806</v>
      </c>
      <c r="B803" s="3" t="s">
        <v>1807</v>
      </c>
      <c r="C803" s="3" t="s">
        <v>1837</v>
      </c>
      <c r="D803" s="1059" t="s">
        <v>1809</v>
      </c>
      <c r="E803" s="4" t="s">
        <v>1810</v>
      </c>
      <c r="F803" s="3" t="s">
        <v>1811</v>
      </c>
      <c r="G803" s="5" t="s">
        <v>1812</v>
      </c>
      <c r="H803" s="3" t="s">
        <v>1813</v>
      </c>
      <c r="I803" s="3" t="s">
        <v>1814</v>
      </c>
      <c r="J803" s="23" t="s">
        <v>1815</v>
      </c>
      <c r="K803" s="1747" t="s">
        <v>1807</v>
      </c>
      <c r="L803" s="1747" t="s">
        <v>1809</v>
      </c>
      <c r="M803" s="1747" t="s">
        <v>1816</v>
      </c>
      <c r="N803" s="1747" t="s">
        <v>1811</v>
      </c>
      <c r="O803" s="826" t="s">
        <v>1817</v>
      </c>
      <c r="P803" s="916"/>
    </row>
    <row r="804" spans="1:19">
      <c r="A804" s="2218"/>
      <c r="B804" s="784"/>
      <c r="C804" s="1217">
        <v>0.1</v>
      </c>
      <c r="D804" s="98" t="s">
        <v>2570</v>
      </c>
      <c r="E804" s="781"/>
      <c r="F804" s="780"/>
      <c r="G804" s="782"/>
      <c r="H804" s="780"/>
      <c r="I804" s="1307" t="s">
        <v>2363</v>
      </c>
      <c r="J804" s="23"/>
      <c r="K804" s="1747"/>
      <c r="L804" s="1747"/>
      <c r="M804" s="64"/>
      <c r="N804" s="1747"/>
      <c r="O804" s="826"/>
      <c r="P804" s="916"/>
    </row>
    <row r="805" spans="1:19">
      <c r="A805" s="2977" t="s">
        <v>2571</v>
      </c>
      <c r="B805" s="432">
        <v>11544</v>
      </c>
      <c r="C805" s="302">
        <v>0.1</v>
      </c>
      <c r="D805" s="1127" t="s">
        <v>2535</v>
      </c>
      <c r="E805" s="511">
        <v>900000</v>
      </c>
      <c r="F805" s="302">
        <v>0.04</v>
      </c>
      <c r="G805" s="588">
        <f>E805*F805</f>
        <v>36000</v>
      </c>
      <c r="H805" s="573" t="s">
        <v>523</v>
      </c>
      <c r="I805" s="573" t="s">
        <v>2417</v>
      </c>
      <c r="J805" s="1679"/>
      <c r="K805" s="433">
        <v>11645</v>
      </c>
      <c r="L805" s="274" t="s">
        <v>2566</v>
      </c>
      <c r="M805" s="1053">
        <v>900000</v>
      </c>
      <c r="N805" s="302">
        <v>0.04</v>
      </c>
      <c r="O805" s="1234">
        <f>M805*N805</f>
        <v>36000</v>
      </c>
      <c r="P805" s="1236"/>
    </row>
    <row r="806" spans="1:19">
      <c r="A806" s="2977"/>
      <c r="B806" s="432">
        <v>11628</v>
      </c>
      <c r="C806" s="302">
        <v>0.1</v>
      </c>
      <c r="D806" s="1188" t="s">
        <v>2572</v>
      </c>
      <c r="E806" s="511">
        <v>1300000</v>
      </c>
      <c r="F806" s="302">
        <v>0.04</v>
      </c>
      <c r="G806" s="588">
        <f t="shared" ref="G806:G808" si="36">E806*F806</f>
        <v>52000</v>
      </c>
      <c r="H806" s="573" t="s">
        <v>1907</v>
      </c>
      <c r="I806" s="573" t="s">
        <v>2363</v>
      </c>
      <c r="J806" s="1679"/>
      <c r="K806" s="1302">
        <v>11713</v>
      </c>
      <c r="L806" s="1299" t="s">
        <v>2573</v>
      </c>
      <c r="M806" s="1053">
        <v>1250000</v>
      </c>
      <c r="N806" s="302">
        <v>0.04</v>
      </c>
      <c r="O806" s="1234">
        <f t="shared" ref="O806:O809" si="37">M806*N806</f>
        <v>50000</v>
      </c>
      <c r="P806" s="1236"/>
    </row>
    <row r="807" spans="1:19">
      <c r="A807" s="2977"/>
      <c r="B807" s="432">
        <v>11651</v>
      </c>
      <c r="C807" s="302">
        <v>0.1</v>
      </c>
      <c r="D807" s="573" t="s">
        <v>2574</v>
      </c>
      <c r="E807" s="511">
        <v>900000</v>
      </c>
      <c r="F807" s="302">
        <v>0.04</v>
      </c>
      <c r="G807" s="588">
        <f t="shared" si="36"/>
        <v>36000</v>
      </c>
      <c r="H807" s="573" t="s">
        <v>2575</v>
      </c>
      <c r="I807" s="573" t="s">
        <v>2363</v>
      </c>
      <c r="J807" s="1679"/>
      <c r="K807" s="433">
        <v>11684</v>
      </c>
      <c r="L807" s="276" t="s">
        <v>2567</v>
      </c>
      <c r="M807" s="1053">
        <v>1500000</v>
      </c>
      <c r="N807" s="302">
        <v>0.04</v>
      </c>
      <c r="O807" s="1234">
        <f t="shared" si="37"/>
        <v>60000</v>
      </c>
      <c r="P807" s="1236"/>
    </row>
    <row r="808" spans="1:19">
      <c r="A808" s="2977"/>
      <c r="B808" s="851">
        <v>11735</v>
      </c>
      <c r="C808" s="123">
        <v>0.1</v>
      </c>
      <c r="D808" s="67" t="s">
        <v>2576</v>
      </c>
      <c r="E808" s="1303">
        <v>1150000</v>
      </c>
      <c r="F808" s="302">
        <v>0.08</v>
      </c>
      <c r="G808" s="588">
        <f t="shared" si="36"/>
        <v>92000</v>
      </c>
      <c r="H808" s="573" t="s">
        <v>510</v>
      </c>
      <c r="I808" s="573" t="s">
        <v>2363</v>
      </c>
      <c r="J808" s="1679"/>
      <c r="K808" s="836">
        <v>11582</v>
      </c>
      <c r="L808" s="1251" t="s">
        <v>2577</v>
      </c>
      <c r="M808" s="1053">
        <v>1200000</v>
      </c>
      <c r="N808" s="1298">
        <v>0.04</v>
      </c>
      <c r="O808" s="1234">
        <f t="shared" si="37"/>
        <v>48000</v>
      </c>
      <c r="P808" s="1238"/>
      <c r="Q808" s="1239"/>
      <c r="R808" s="1239"/>
    </row>
    <row r="809" spans="1:19">
      <c r="A809" s="2977"/>
      <c r="B809" s="960"/>
      <c r="C809" s="666"/>
      <c r="D809" s="34"/>
      <c r="E809" s="201"/>
      <c r="F809" s="1748"/>
      <c r="G809" s="940"/>
      <c r="H809" s="943"/>
      <c r="I809" s="943"/>
      <c r="J809" s="1679"/>
      <c r="K809" s="836">
        <v>11693</v>
      </c>
      <c r="L809" s="1300" t="s">
        <v>2555</v>
      </c>
      <c r="M809" s="1053">
        <v>900000</v>
      </c>
      <c r="N809" s="1301">
        <v>0.04</v>
      </c>
      <c r="O809" s="1234">
        <f t="shared" si="37"/>
        <v>36000</v>
      </c>
      <c r="P809" s="767"/>
      <c r="Q809" s="1240" t="s">
        <v>1968</v>
      </c>
      <c r="R809" s="934"/>
    </row>
    <row r="810" spans="1:19">
      <c r="A810" s="2977"/>
      <c r="B810" s="300"/>
      <c r="C810" s="1748"/>
      <c r="D810" s="943"/>
      <c r="E810" s="719"/>
      <c r="F810" s="1748"/>
      <c r="G810" s="940"/>
      <c r="H810" s="943"/>
      <c r="I810" s="943"/>
      <c r="J810" s="1679"/>
      <c r="K810" s="1747"/>
      <c r="L810" s="1189"/>
      <c r="M810" s="944"/>
      <c r="N810" s="1242"/>
      <c r="O810" s="1747"/>
      <c r="P810" s="1238"/>
      <c r="Q810" s="1239"/>
      <c r="R810" s="1239"/>
      <c r="S810" s="503"/>
    </row>
    <row r="811" spans="1:19">
      <c r="A811" s="2977"/>
      <c r="B811" s="300"/>
      <c r="C811" s="1748"/>
      <c r="D811" s="1161"/>
      <c r="E811" s="719"/>
      <c r="F811" s="1748"/>
      <c r="G811" s="940"/>
      <c r="H811" s="943"/>
      <c r="I811" s="943"/>
      <c r="J811" s="1679"/>
      <c r="K811" s="1748"/>
      <c r="L811" s="1748"/>
      <c r="M811" s="1748"/>
      <c r="N811" s="914"/>
      <c r="O811" s="286"/>
      <c r="P811" s="503"/>
      <c r="Q811" s="503"/>
      <c r="R811" s="503"/>
    </row>
    <row r="812" spans="1:19" ht="14.25" customHeight="1">
      <c r="A812" s="2220"/>
      <c r="B812" s="891"/>
      <c r="C812" s="506"/>
      <c r="D812" s="1089" t="s">
        <v>1833</v>
      </c>
      <c r="E812" s="475">
        <f>SUM(E805:E811)</f>
        <v>4250000</v>
      </c>
      <c r="F812" s="506"/>
      <c r="G812" s="475">
        <f>SUM(G805:G808)</f>
        <v>216000</v>
      </c>
      <c r="H812" s="1252"/>
      <c r="I812" s="1252"/>
      <c r="J812" s="829"/>
      <c r="K812" s="279"/>
      <c r="L812" s="2849" t="s">
        <v>2578</v>
      </c>
      <c r="M812" s="2849"/>
      <c r="N812" s="2849"/>
      <c r="O812" s="1241">
        <f>SUM(O805:O809)</f>
        <v>230000</v>
      </c>
    </row>
    <row r="813" spans="1:19" ht="15" customHeight="1">
      <c r="A813" s="2221"/>
      <c r="B813" s="892"/>
      <c r="C813" s="813"/>
      <c r="D813" s="1155" t="s">
        <v>1835</v>
      </c>
      <c r="E813" s="814">
        <f>G812+O812</f>
        <v>446000</v>
      </c>
      <c r="F813" s="813"/>
      <c r="G813" s="815"/>
      <c r="H813" s="813"/>
      <c r="I813" s="813"/>
      <c r="J813" s="830"/>
      <c r="K813" s="279"/>
      <c r="L813" s="941"/>
      <c r="M813" s="941"/>
      <c r="N813" s="941"/>
      <c r="O813" s="286"/>
    </row>
    <row r="814" spans="1:19">
      <c r="A814" s="2172"/>
      <c r="B814" s="17"/>
      <c r="C814" s="17"/>
      <c r="D814" s="1058"/>
      <c r="E814" s="19"/>
      <c r="F814" s="17"/>
      <c r="G814" s="20"/>
      <c r="H814" s="17"/>
      <c r="I814" s="17"/>
      <c r="J814" s="18"/>
      <c r="O814" s="1"/>
    </row>
    <row r="815" spans="1:19">
      <c r="A815" s="90"/>
      <c r="E815" s="91"/>
      <c r="G815" s="92"/>
      <c r="H815" s="1001"/>
    </row>
    <row r="816" spans="1:19">
      <c r="A816" s="2897" t="s">
        <v>2579</v>
      </c>
      <c r="B816" s="2897"/>
      <c r="C816" s="2897"/>
      <c r="D816" s="2897"/>
      <c r="E816" s="2897"/>
      <c r="F816" s="2897"/>
      <c r="G816" s="2897"/>
      <c r="H816" s="2897"/>
    </row>
    <row r="817" spans="1:38">
      <c r="A817" s="2897"/>
      <c r="B817" s="2897"/>
      <c r="C817" s="2897"/>
      <c r="D817" s="2897"/>
      <c r="E817" s="2897"/>
      <c r="F817" s="2897"/>
      <c r="G817" s="2897"/>
      <c r="H817" s="2897"/>
      <c r="J817" s="503"/>
      <c r="K817" s="503"/>
      <c r="L817" s="503"/>
      <c r="M817" s="503"/>
      <c r="N817" s="503"/>
      <c r="O817" s="503"/>
      <c r="P817" s="503"/>
      <c r="Q817" s="503"/>
      <c r="R817" s="503"/>
      <c r="S817" s="503"/>
      <c r="T817" s="503"/>
      <c r="U817" s="503"/>
      <c r="V817" s="503"/>
      <c r="W817" s="503"/>
      <c r="X817" s="503"/>
      <c r="Y817" s="503"/>
      <c r="Z817" s="503"/>
      <c r="AA817" s="503"/>
      <c r="AB817" s="503"/>
      <c r="AC817" s="503"/>
      <c r="AD817" s="503"/>
      <c r="AE817" s="503"/>
      <c r="AF817" s="503"/>
      <c r="AG817" s="503"/>
      <c r="AH817" s="503"/>
      <c r="AI817" s="503"/>
      <c r="AJ817" s="503"/>
      <c r="AK817" s="503"/>
      <c r="AL817" s="503"/>
    </row>
    <row r="818" spans="1:38" ht="20.45">
      <c r="A818" s="263" t="s">
        <v>2011</v>
      </c>
      <c r="B818" s="833" t="s">
        <v>1808</v>
      </c>
      <c r="C818" s="863" t="s">
        <v>2012</v>
      </c>
      <c r="D818" s="1100" t="s">
        <v>2580</v>
      </c>
      <c r="E818" s="835" t="s">
        <v>2013</v>
      </c>
      <c r="F818" s="398" t="s">
        <v>1811</v>
      </c>
      <c r="G818" s="399" t="s">
        <v>1817</v>
      </c>
      <c r="H818" s="683" t="s">
        <v>2125</v>
      </c>
      <c r="I818" s="2"/>
      <c r="J818" s="503"/>
      <c r="K818" s="503"/>
      <c r="L818" s="503"/>
      <c r="M818" s="503"/>
      <c r="N818" s="503"/>
      <c r="O818" s="503"/>
      <c r="P818" s="503"/>
      <c r="Q818" s="503"/>
      <c r="R818" s="503"/>
      <c r="S818" s="503"/>
      <c r="T818" s="503"/>
      <c r="U818" s="503"/>
      <c r="V818" s="503"/>
      <c r="W818" s="503"/>
      <c r="X818" s="503"/>
      <c r="Y818" s="503"/>
      <c r="Z818" s="503"/>
      <c r="AA818" s="503"/>
      <c r="AB818" s="503"/>
      <c r="AC818" s="503"/>
      <c r="AD818" s="503"/>
      <c r="AE818" s="503"/>
      <c r="AF818" s="503"/>
      <c r="AG818" s="503"/>
      <c r="AH818" s="503"/>
      <c r="AI818" s="503"/>
      <c r="AJ818" s="503"/>
      <c r="AK818" s="503"/>
      <c r="AL818" s="503"/>
    </row>
    <row r="819" spans="1:38">
      <c r="A819" s="865"/>
      <c r="B819" s="336"/>
      <c r="C819" s="714" t="s">
        <v>2581</v>
      </c>
      <c r="D819" s="1176" t="s">
        <v>2582</v>
      </c>
      <c r="E819" s="1269"/>
      <c r="F819" s="1204"/>
      <c r="G819" s="586"/>
      <c r="H819" s="377" t="s">
        <v>527</v>
      </c>
      <c r="I819" s="377"/>
      <c r="J819" s="503"/>
      <c r="K819" s="503"/>
      <c r="L819" s="503"/>
      <c r="M819" s="503"/>
      <c r="N819" s="503"/>
      <c r="O819" s="503"/>
      <c r="P819" s="503"/>
      <c r="Q819" s="503"/>
      <c r="R819" s="503"/>
      <c r="S819" s="503"/>
      <c r="T819" s="503"/>
      <c r="U819" s="503"/>
      <c r="V819" s="503"/>
      <c r="W819" s="503"/>
      <c r="X819" s="503"/>
      <c r="Y819" s="503"/>
      <c r="Z819" s="503"/>
      <c r="AA819" s="503"/>
      <c r="AB819" s="503"/>
      <c r="AC819" s="503"/>
      <c r="AD819" s="503"/>
      <c r="AE819" s="503"/>
      <c r="AF819" s="503"/>
      <c r="AG819" s="503"/>
      <c r="AH819" s="503"/>
      <c r="AI819" s="503"/>
      <c r="AJ819" s="503"/>
      <c r="AK819" s="503"/>
      <c r="AL819" s="503"/>
    </row>
    <row r="820" spans="1:38" s="1266" customFormat="1">
      <c r="A820" s="865"/>
      <c r="B820" s="689"/>
      <c r="C820" s="1267" t="s">
        <v>2583</v>
      </c>
      <c r="D820" s="1139" t="s">
        <v>2582</v>
      </c>
      <c r="E820" s="1268"/>
      <c r="F820" s="1204"/>
      <c r="G820" s="586"/>
      <c r="H820" s="377" t="s">
        <v>1138</v>
      </c>
      <c r="I820" s="377"/>
      <c r="J820" s="503"/>
      <c r="K820" s="503"/>
      <c r="L820" s="503"/>
      <c r="M820" s="503"/>
      <c r="N820" s="503"/>
      <c r="O820" s="503"/>
      <c r="P820" s="503"/>
      <c r="Q820" s="503"/>
      <c r="R820" s="503"/>
      <c r="S820" s="503"/>
      <c r="T820" s="503"/>
      <c r="U820" s="503"/>
      <c r="V820" s="503"/>
      <c r="W820" s="503"/>
      <c r="X820" s="503"/>
      <c r="Y820" s="503"/>
      <c r="Z820" s="503"/>
      <c r="AA820" s="503"/>
      <c r="AB820" s="503"/>
      <c r="AC820" s="503"/>
      <c r="AD820" s="503"/>
      <c r="AE820" s="503"/>
      <c r="AF820" s="503"/>
      <c r="AG820" s="503"/>
      <c r="AH820" s="503"/>
      <c r="AI820" s="503"/>
      <c r="AJ820" s="503"/>
      <c r="AK820" s="503"/>
      <c r="AL820" s="503"/>
    </row>
    <row r="821" spans="1:38">
      <c r="A821" s="865"/>
      <c r="B821" s="336"/>
      <c r="C821" s="714" t="s">
        <v>2584</v>
      </c>
      <c r="D821" s="1176" t="s">
        <v>2585</v>
      </c>
      <c r="E821" s="1203"/>
      <c r="F821" s="1204"/>
      <c r="G821" s="586"/>
      <c r="H821" s="377" t="s">
        <v>2586</v>
      </c>
      <c r="I821" s="1060"/>
      <c r="J821" s="503"/>
      <c r="K821" s="503"/>
      <c r="L821" s="503"/>
      <c r="M821" s="503"/>
      <c r="N821" s="503"/>
      <c r="O821" s="503"/>
    </row>
    <row r="822" spans="1:38">
      <c r="A822" s="865"/>
      <c r="B822" s="972"/>
      <c r="C822" s="973" t="s">
        <v>2587</v>
      </c>
      <c r="D822" s="1175" t="s">
        <v>2588</v>
      </c>
      <c r="E822" s="974"/>
      <c r="F822" s="754"/>
      <c r="G822" s="867"/>
      <c r="H822" s="1253" t="s">
        <v>527</v>
      </c>
      <c r="I822" s="1060"/>
      <c r="J822" s="503"/>
      <c r="K822" s="503"/>
      <c r="L822" s="503"/>
      <c r="M822" s="503"/>
      <c r="N822" s="503"/>
      <c r="O822" s="503"/>
    </row>
    <row r="823" spans="1:38">
      <c r="A823" s="865"/>
      <c r="B823" s="972"/>
      <c r="C823" s="377" t="s">
        <v>2589</v>
      </c>
      <c r="D823" s="1176" t="s">
        <v>2590</v>
      </c>
      <c r="E823" s="992"/>
      <c r="F823" s="810"/>
      <c r="G823" s="993"/>
      <c r="H823" s="409" t="s">
        <v>527</v>
      </c>
      <c r="I823" s="1060"/>
      <c r="J823" s="503"/>
      <c r="K823" s="503"/>
      <c r="L823" s="503"/>
      <c r="M823" s="503"/>
      <c r="N823" s="503"/>
      <c r="O823" s="503"/>
    </row>
    <row r="824" spans="1:38">
      <c r="A824" s="353"/>
      <c r="B824" s="336"/>
      <c r="C824" s="714" t="s">
        <v>2591</v>
      </c>
      <c r="D824" s="1176" t="s">
        <v>2592</v>
      </c>
      <c r="E824" s="1203"/>
      <c r="F824" s="1204"/>
      <c r="G824" s="586"/>
      <c r="H824" s="377" t="s">
        <v>2218</v>
      </c>
      <c r="I824" s="377"/>
      <c r="J824" s="503"/>
      <c r="K824" s="503"/>
      <c r="L824" s="503"/>
      <c r="M824" s="503"/>
      <c r="N824" s="503"/>
      <c r="O824" s="503"/>
    </row>
    <row r="825" spans="1:38">
      <c r="A825" s="2225"/>
      <c r="B825" s="715"/>
      <c r="C825" s="714" t="s">
        <v>2593</v>
      </c>
      <c r="D825" s="1228" t="s">
        <v>2594</v>
      </c>
      <c r="E825" s="1203"/>
      <c r="F825" s="1204"/>
      <c r="G825" s="586"/>
      <c r="H825" s="1254" t="s">
        <v>523</v>
      </c>
      <c r="I825" s="377"/>
      <c r="J825" s="503"/>
      <c r="K825" s="503"/>
      <c r="L825" s="503"/>
      <c r="M825" s="503"/>
      <c r="N825" s="503"/>
      <c r="O825" s="503"/>
    </row>
    <row r="826" spans="1:38">
      <c r="A826" s="2225"/>
      <c r="B826" s="689"/>
      <c r="C826" s="1262" t="s">
        <v>2595</v>
      </c>
      <c r="D826" s="409" t="s">
        <v>2596</v>
      </c>
      <c r="E826" s="1203"/>
      <c r="F826" s="1263"/>
      <c r="G826" s="586"/>
      <c r="H826" s="377" t="s">
        <v>2218</v>
      </c>
      <c r="I826" s="377"/>
      <c r="J826" s="503"/>
      <c r="K826" s="503"/>
      <c r="L826" s="503"/>
      <c r="M826" s="503"/>
      <c r="N826" s="503"/>
      <c r="O826" s="503"/>
    </row>
    <row r="827" spans="1:38">
      <c r="A827" s="554">
        <v>11536</v>
      </c>
      <c r="B827" s="416">
        <v>0.1</v>
      </c>
      <c r="C827" s="431" t="s">
        <v>2597</v>
      </c>
      <c r="D827" s="1025" t="s">
        <v>2598</v>
      </c>
      <c r="E827" s="1313">
        <v>1700000</v>
      </c>
      <c r="F827" s="273">
        <v>0.02</v>
      </c>
      <c r="G827" s="1290">
        <f>E827*F827</f>
        <v>34000</v>
      </c>
      <c r="H827" s="1136" t="s">
        <v>2218</v>
      </c>
      <c r="I827" s="573" t="s">
        <v>2124</v>
      </c>
      <c r="J827" s="503"/>
      <c r="K827" s="503"/>
      <c r="L827" s="503"/>
      <c r="M827" s="503"/>
      <c r="N827" s="503"/>
      <c r="O827" s="503"/>
    </row>
    <row r="828" spans="1:38">
      <c r="A828" s="2234">
        <v>11528</v>
      </c>
      <c r="B828" s="305">
        <v>0.1</v>
      </c>
      <c r="C828" s="495" t="s">
        <v>486</v>
      </c>
      <c r="D828" s="1025" t="s">
        <v>2111</v>
      </c>
      <c r="E828" s="1313">
        <v>900000</v>
      </c>
      <c r="F828" s="273">
        <v>0.06</v>
      </c>
      <c r="G828" s="1290">
        <f>E828*F828</f>
        <v>54000</v>
      </c>
      <c r="H828" s="1027" t="s">
        <v>2218</v>
      </c>
      <c r="I828" s="573" t="s">
        <v>2124</v>
      </c>
      <c r="J828" s="503"/>
      <c r="K828" s="503"/>
      <c r="L828" s="503"/>
      <c r="M828" s="503"/>
      <c r="N828" s="503"/>
      <c r="O828" s="503"/>
    </row>
    <row r="829" spans="1:38">
      <c r="A829" s="2234">
        <v>11544</v>
      </c>
      <c r="B829" s="273">
        <v>0.1</v>
      </c>
      <c r="C829" s="995" t="s">
        <v>659</v>
      </c>
      <c r="D829" s="1026" t="s">
        <v>2130</v>
      </c>
      <c r="E829" s="1313">
        <v>900000</v>
      </c>
      <c r="F829" s="273">
        <v>0.06</v>
      </c>
      <c r="G829" s="1290">
        <f t="shared" ref="G829:G851" si="38">E829*F829</f>
        <v>54000</v>
      </c>
      <c r="H829" s="1255" t="s">
        <v>2241</v>
      </c>
      <c r="I829" s="573" t="s">
        <v>2124</v>
      </c>
      <c r="J829" s="503"/>
      <c r="K829" s="503"/>
      <c r="L829" s="503"/>
      <c r="M829" s="503"/>
      <c r="N829" s="503"/>
      <c r="O829" s="503"/>
    </row>
    <row r="830" spans="1:38">
      <c r="A830" s="2234">
        <v>11545</v>
      </c>
      <c r="B830" s="302">
        <v>0.1</v>
      </c>
      <c r="C830" s="910" t="s">
        <v>2599</v>
      </c>
      <c r="D830" s="1027" t="s">
        <v>2130</v>
      </c>
      <c r="E830" s="1313">
        <v>1000000</v>
      </c>
      <c r="F830" s="273">
        <v>0.06</v>
      </c>
      <c r="G830" s="1290">
        <f t="shared" si="38"/>
        <v>60000</v>
      </c>
      <c r="H830" s="576" t="s">
        <v>1138</v>
      </c>
      <c r="I830" s="576" t="s">
        <v>2124</v>
      </c>
      <c r="J830" s="503"/>
      <c r="K830" s="503"/>
      <c r="L830" s="503"/>
      <c r="M830" s="503"/>
      <c r="N830" s="503"/>
      <c r="O830" s="503"/>
    </row>
    <row r="831" spans="1:38">
      <c r="A831" s="2235">
        <v>11562</v>
      </c>
      <c r="B831" s="302">
        <v>0.1</v>
      </c>
      <c r="C831" s="995" t="s">
        <v>2600</v>
      </c>
      <c r="D831" s="1029" t="s">
        <v>2601</v>
      </c>
      <c r="E831" s="1314">
        <v>1400000</v>
      </c>
      <c r="F831" s="273">
        <v>0.06</v>
      </c>
      <c r="G831" s="1290">
        <f t="shared" si="38"/>
        <v>84000</v>
      </c>
      <c r="H831" s="1088" t="s">
        <v>2218</v>
      </c>
      <c r="I831" s="576" t="s">
        <v>2124</v>
      </c>
      <c r="J831" s="503"/>
      <c r="K831" s="503"/>
      <c r="L831" s="503"/>
      <c r="M831" s="503"/>
      <c r="N831" s="503"/>
      <c r="O831" s="503"/>
    </row>
    <row r="832" spans="1:38">
      <c r="A832" s="2234">
        <v>11557</v>
      </c>
      <c r="B832" s="273">
        <v>0.1</v>
      </c>
      <c r="C832" s="910" t="s">
        <v>2602</v>
      </c>
      <c r="D832" s="576" t="s">
        <v>2130</v>
      </c>
      <c r="E832" s="1310">
        <v>850000</v>
      </c>
      <c r="F832" s="273">
        <v>0.06</v>
      </c>
      <c r="G832" s="1290">
        <f t="shared" si="38"/>
        <v>51000</v>
      </c>
      <c r="H832" s="573" t="s">
        <v>2603</v>
      </c>
      <c r="I832" s="1104" t="s">
        <v>2124</v>
      </c>
    </row>
    <row r="833" spans="1:15">
      <c r="A833" s="2236">
        <v>11576</v>
      </c>
      <c r="B833" s="664">
        <v>0.1</v>
      </c>
      <c r="C833" s="431" t="s">
        <v>2604</v>
      </c>
      <c r="D833" s="576" t="s">
        <v>2111</v>
      </c>
      <c r="E833" s="1313">
        <v>1000000</v>
      </c>
      <c r="F833" s="273">
        <v>0.06</v>
      </c>
      <c r="G833" s="1290">
        <f t="shared" si="38"/>
        <v>60000</v>
      </c>
      <c r="H833" s="576" t="s">
        <v>527</v>
      </c>
      <c r="I833" s="1027" t="s">
        <v>2124</v>
      </c>
      <c r="J833" s="503"/>
      <c r="K833" s="503"/>
      <c r="L833" s="503"/>
      <c r="M833" s="503"/>
      <c r="N833" s="503"/>
      <c r="O833" s="503"/>
    </row>
    <row r="834" spans="1:15">
      <c r="A834" s="2236">
        <v>11582</v>
      </c>
      <c r="B834" s="273">
        <v>0.1</v>
      </c>
      <c r="C834" s="431" t="s">
        <v>2605</v>
      </c>
      <c r="D834" s="576" t="s">
        <v>2130</v>
      </c>
      <c r="E834" s="1313">
        <v>1200000</v>
      </c>
      <c r="F834" s="273">
        <v>0.06</v>
      </c>
      <c r="G834" s="1290">
        <f t="shared" si="38"/>
        <v>72000</v>
      </c>
      <c r="H834" s="576" t="s">
        <v>1138</v>
      </c>
      <c r="I834" s="1027" t="s">
        <v>2124</v>
      </c>
      <c r="J834" s="503"/>
      <c r="K834" s="503"/>
      <c r="L834" s="503"/>
      <c r="M834" s="503"/>
      <c r="N834" s="503"/>
      <c r="O834" s="503"/>
    </row>
    <row r="835" spans="1:15">
      <c r="A835" s="639">
        <v>11585</v>
      </c>
      <c r="B835" s="273">
        <v>0.1</v>
      </c>
      <c r="C835" s="431" t="s">
        <v>2606</v>
      </c>
      <c r="D835" s="576" t="s">
        <v>2130</v>
      </c>
      <c r="E835" s="1310">
        <v>1000000</v>
      </c>
      <c r="F835" s="273">
        <v>0.06</v>
      </c>
      <c r="G835" s="1290">
        <f t="shared" si="38"/>
        <v>60000</v>
      </c>
      <c r="H835" s="573" t="s">
        <v>527</v>
      </c>
      <c r="I835" s="1104" t="s">
        <v>2124</v>
      </c>
    </row>
    <row r="836" spans="1:15">
      <c r="A836" s="639">
        <v>11580</v>
      </c>
      <c r="B836" s="273">
        <v>0.1</v>
      </c>
      <c r="C836" s="431" t="s">
        <v>2607</v>
      </c>
      <c r="D836" s="576" t="s">
        <v>2130</v>
      </c>
      <c r="E836" s="1313">
        <v>1200000</v>
      </c>
      <c r="F836" s="273">
        <v>0.06</v>
      </c>
      <c r="G836" s="1290">
        <f t="shared" si="38"/>
        <v>72000</v>
      </c>
      <c r="H836" s="576" t="s">
        <v>2218</v>
      </c>
      <c r="I836" s="1104" t="s">
        <v>2124</v>
      </c>
    </row>
    <row r="837" spans="1:15">
      <c r="A837" s="639">
        <v>11595</v>
      </c>
      <c r="B837" s="273">
        <v>0.1</v>
      </c>
      <c r="C837" s="342" t="s">
        <v>2608</v>
      </c>
      <c r="D837" s="576" t="s">
        <v>2130</v>
      </c>
      <c r="E837" s="1313">
        <v>2300000</v>
      </c>
      <c r="F837" s="273">
        <v>0.06</v>
      </c>
      <c r="G837" s="1290">
        <f t="shared" si="38"/>
        <v>138000</v>
      </c>
      <c r="H837" s="576" t="s">
        <v>527</v>
      </c>
      <c r="I837" s="1104" t="s">
        <v>2124</v>
      </c>
    </row>
    <row r="838" spans="1:15">
      <c r="A838" s="639">
        <v>11609</v>
      </c>
      <c r="B838" s="273">
        <v>0.1</v>
      </c>
      <c r="C838" s="431" t="s">
        <v>2609</v>
      </c>
      <c r="D838" s="576" t="s">
        <v>2601</v>
      </c>
      <c r="E838" s="1310">
        <v>850000</v>
      </c>
      <c r="F838" s="273">
        <v>0.06</v>
      </c>
      <c r="G838" s="1290">
        <f t="shared" si="38"/>
        <v>51000</v>
      </c>
      <c r="H838" s="573" t="s">
        <v>527</v>
      </c>
      <c r="I838" s="1104" t="s">
        <v>2124</v>
      </c>
    </row>
    <row r="839" spans="1:15">
      <c r="A839" s="639">
        <v>11604</v>
      </c>
      <c r="B839" s="273">
        <v>0.1</v>
      </c>
      <c r="C839" s="342" t="s">
        <v>2610</v>
      </c>
      <c r="D839" s="576" t="s">
        <v>2111</v>
      </c>
      <c r="E839" s="1313">
        <v>960000</v>
      </c>
      <c r="F839" s="273">
        <v>0.06</v>
      </c>
      <c r="G839" s="1290">
        <f t="shared" si="38"/>
        <v>57600</v>
      </c>
      <c r="H839" s="576" t="s">
        <v>527</v>
      </c>
      <c r="I839" s="1029" t="s">
        <v>2124</v>
      </c>
    </row>
    <row r="840" spans="1:15">
      <c r="A840" s="639">
        <v>11617</v>
      </c>
      <c r="B840" s="273">
        <v>0.1</v>
      </c>
      <c r="C840" s="275" t="s">
        <v>2611</v>
      </c>
      <c r="D840" s="576" t="s">
        <v>2111</v>
      </c>
      <c r="E840" s="1313">
        <v>950000</v>
      </c>
      <c r="F840" s="273">
        <v>0.06</v>
      </c>
      <c r="G840" s="1290">
        <f t="shared" si="38"/>
        <v>57000</v>
      </c>
      <c r="H840" s="576" t="s">
        <v>2218</v>
      </c>
      <c r="I840" s="1029" t="s">
        <v>2124</v>
      </c>
    </row>
    <row r="841" spans="1:15">
      <c r="A841" s="639">
        <v>11624</v>
      </c>
      <c r="B841" s="273">
        <v>0.1</v>
      </c>
      <c r="C841" s="431" t="s">
        <v>895</v>
      </c>
      <c r="D841" s="1027" t="s">
        <v>2111</v>
      </c>
      <c r="E841" s="1310">
        <v>950000</v>
      </c>
      <c r="F841" s="273">
        <v>0.06</v>
      </c>
      <c r="G841" s="1290">
        <f t="shared" si="38"/>
        <v>57000</v>
      </c>
      <c r="H841" s="573" t="s">
        <v>2430</v>
      </c>
      <c r="I841" s="573" t="s">
        <v>2124</v>
      </c>
    </row>
    <row r="842" spans="1:15">
      <c r="A842" s="639">
        <v>11642</v>
      </c>
      <c r="B842" s="273">
        <v>0.1</v>
      </c>
      <c r="C842" s="573" t="s">
        <v>2612</v>
      </c>
      <c r="D842" s="1143" t="s">
        <v>2130</v>
      </c>
      <c r="E842" s="1310">
        <v>1100000</v>
      </c>
      <c r="F842" s="273">
        <v>0.06</v>
      </c>
      <c r="G842" s="1290">
        <f t="shared" si="38"/>
        <v>66000</v>
      </c>
      <c r="H842" s="573" t="s">
        <v>2430</v>
      </c>
      <c r="I842" s="1104" t="s">
        <v>2124</v>
      </c>
    </row>
    <row r="843" spans="1:15">
      <c r="A843" s="639">
        <v>11644</v>
      </c>
      <c r="B843" s="273">
        <v>0.1</v>
      </c>
      <c r="C843" s="431" t="s">
        <v>2613</v>
      </c>
      <c r="D843" s="1027" t="s">
        <v>2130</v>
      </c>
      <c r="E843" s="1310">
        <v>1100000</v>
      </c>
      <c r="F843" s="273">
        <v>0.06</v>
      </c>
      <c r="G843" s="1290">
        <f t="shared" si="38"/>
        <v>66000</v>
      </c>
      <c r="H843" s="573" t="s">
        <v>1138</v>
      </c>
      <c r="I843" s="573" t="s">
        <v>2124</v>
      </c>
    </row>
    <row r="844" spans="1:15">
      <c r="A844" s="639">
        <v>11645</v>
      </c>
      <c r="B844" s="273">
        <v>0.1</v>
      </c>
      <c r="C844" s="431" t="s">
        <v>943</v>
      </c>
      <c r="D844" s="576" t="s">
        <v>2130</v>
      </c>
      <c r="E844" s="1310">
        <v>900000</v>
      </c>
      <c r="F844" s="273">
        <v>0.06</v>
      </c>
      <c r="G844" s="1290">
        <f t="shared" si="38"/>
        <v>54000</v>
      </c>
      <c r="H844" s="573" t="s">
        <v>527</v>
      </c>
      <c r="I844" s="1104" t="s">
        <v>2124</v>
      </c>
    </row>
    <row r="845" spans="1:15">
      <c r="A845" s="639">
        <v>11653</v>
      </c>
      <c r="B845" s="273">
        <v>0.1</v>
      </c>
      <c r="C845" s="431" t="s">
        <v>2614</v>
      </c>
      <c r="D845" s="576" t="s">
        <v>2111</v>
      </c>
      <c r="E845" s="1313">
        <v>1200000</v>
      </c>
      <c r="F845" s="273">
        <v>0.06</v>
      </c>
      <c r="G845" s="1290">
        <f t="shared" si="38"/>
        <v>72000</v>
      </c>
      <c r="H845" s="576" t="s">
        <v>2218</v>
      </c>
      <c r="I845" s="1029" t="s">
        <v>2124</v>
      </c>
    </row>
    <row r="846" spans="1:15">
      <c r="A846" s="639">
        <v>11660</v>
      </c>
      <c r="B846" s="273">
        <v>0.1</v>
      </c>
      <c r="C846" s="885" t="s">
        <v>2615</v>
      </c>
      <c r="D846" s="1163" t="s">
        <v>2601</v>
      </c>
      <c r="E846" s="1315">
        <v>1100000</v>
      </c>
      <c r="F846" s="273">
        <v>0.06</v>
      </c>
      <c r="G846" s="1290">
        <f t="shared" si="38"/>
        <v>66000</v>
      </c>
      <c r="H846" s="970" t="s">
        <v>527</v>
      </c>
      <c r="I846" s="1104" t="s">
        <v>2124</v>
      </c>
    </row>
    <row r="847" spans="1:15">
      <c r="A847" s="2234">
        <v>11666</v>
      </c>
      <c r="B847" s="273">
        <v>0.1</v>
      </c>
      <c r="C847" s="1229" t="s">
        <v>2616</v>
      </c>
      <c r="D847" s="576" t="s">
        <v>2111</v>
      </c>
      <c r="E847" s="1310">
        <v>1050000</v>
      </c>
      <c r="F847" s="273">
        <v>0.06</v>
      </c>
      <c r="G847" s="1290">
        <f t="shared" si="38"/>
        <v>63000</v>
      </c>
      <c r="H847" s="573" t="s">
        <v>2430</v>
      </c>
      <c r="I847" s="573" t="s">
        <v>2124</v>
      </c>
    </row>
    <row r="848" spans="1:15">
      <c r="A848" s="639">
        <v>11684</v>
      </c>
      <c r="B848" s="273">
        <v>0.1</v>
      </c>
      <c r="C848" s="431" t="s">
        <v>2617</v>
      </c>
      <c r="D848" s="1027" t="s">
        <v>2111</v>
      </c>
      <c r="E848" s="1310">
        <v>1500000</v>
      </c>
      <c r="F848" s="273">
        <v>0.06</v>
      </c>
      <c r="G848" s="1290">
        <f t="shared" si="38"/>
        <v>90000</v>
      </c>
      <c r="H848" s="573" t="s">
        <v>527</v>
      </c>
      <c r="I848" s="573" t="s">
        <v>2124</v>
      </c>
    </row>
    <row r="849" spans="1:15">
      <c r="A849" s="639">
        <v>11693</v>
      </c>
      <c r="B849" s="416">
        <v>0.1</v>
      </c>
      <c r="C849" s="431" t="s">
        <v>708</v>
      </c>
      <c r="D849" s="1027" t="s">
        <v>2111</v>
      </c>
      <c r="E849" s="1310">
        <v>900000</v>
      </c>
      <c r="F849" s="273">
        <v>0.06</v>
      </c>
      <c r="G849" s="1290">
        <f t="shared" si="38"/>
        <v>54000</v>
      </c>
      <c r="H849" s="573" t="s">
        <v>1138</v>
      </c>
      <c r="I849" s="573" t="s">
        <v>2124</v>
      </c>
    </row>
    <row r="850" spans="1:15">
      <c r="A850" s="639">
        <v>11710</v>
      </c>
      <c r="B850" s="273">
        <v>0.1</v>
      </c>
      <c r="C850" s="275" t="s">
        <v>2618</v>
      </c>
      <c r="D850" s="576" t="s">
        <v>2130</v>
      </c>
      <c r="E850" s="1313">
        <v>1000000</v>
      </c>
      <c r="F850" s="273">
        <v>0.06</v>
      </c>
      <c r="G850" s="1290">
        <f t="shared" si="38"/>
        <v>60000</v>
      </c>
      <c r="H850" s="576" t="s">
        <v>2218</v>
      </c>
      <c r="I850" s="1104" t="s">
        <v>2124</v>
      </c>
    </row>
    <row r="851" spans="1:15">
      <c r="A851" s="639">
        <v>11732</v>
      </c>
      <c r="B851" s="416">
        <v>0.1</v>
      </c>
      <c r="C851" s="431" t="s">
        <v>2619</v>
      </c>
      <c r="D851" s="576" t="s">
        <v>2130</v>
      </c>
      <c r="E851" s="1320">
        <v>1200000</v>
      </c>
      <c r="F851" s="273">
        <v>0.06</v>
      </c>
      <c r="G851" s="1290">
        <f t="shared" si="38"/>
        <v>72000</v>
      </c>
      <c r="H851" s="573" t="s">
        <v>523</v>
      </c>
      <c r="I851" s="1104" t="s">
        <v>2124</v>
      </c>
    </row>
    <row r="852" spans="1:15">
      <c r="A852" s="2223"/>
      <c r="B852" s="488"/>
      <c r="C852" s="701"/>
      <c r="D852" s="1178"/>
      <c r="E852" s="991"/>
      <c r="F852" s="914"/>
      <c r="G852" s="719"/>
      <c r="H852" s="943"/>
      <c r="I852" s="943"/>
    </row>
    <row r="853" spans="1:15">
      <c r="A853" s="2237"/>
      <c r="B853" s="834"/>
      <c r="C853" s="701"/>
      <c r="D853" s="1178"/>
      <c r="E853" s="991"/>
      <c r="F853" s="914"/>
      <c r="G853" s="719"/>
      <c r="H853" s="943"/>
      <c r="I853" s="943"/>
    </row>
    <row r="854" spans="1:15">
      <c r="A854" s="269"/>
      <c r="B854" s="955"/>
      <c r="C854" s="279"/>
      <c r="D854" s="1178" t="s">
        <v>2499</v>
      </c>
      <c r="E854" s="990">
        <f>SUM(E827:E852)</f>
        <v>28210000</v>
      </c>
      <c r="F854" s="915"/>
      <c r="G854" s="406">
        <f>SUM(G827:G851)</f>
        <v>1624600</v>
      </c>
      <c r="H854" s="1031"/>
      <c r="I854" s="1168"/>
      <c r="J854" s="503"/>
      <c r="K854" s="503"/>
      <c r="L854" s="503"/>
      <c r="M854" s="503"/>
      <c r="N854" s="503"/>
      <c r="O854" s="503"/>
    </row>
    <row r="855" spans="1:15" ht="15.6">
      <c r="A855" s="46"/>
      <c r="B855" s="950"/>
      <c r="C855" s="994"/>
      <c r="D855" s="390" t="s">
        <v>2154</v>
      </c>
      <c r="E855" s="487">
        <f>G854</f>
        <v>1624600</v>
      </c>
      <c r="F855" s="952"/>
      <c r="G855" s="953"/>
      <c r="H855" s="1023"/>
      <c r="I855" s="1050"/>
    </row>
    <row r="856" spans="1:15">
      <c r="E856" s="589"/>
    </row>
    <row r="857" spans="1:15">
      <c r="E857" s="589"/>
    </row>
    <row r="858" spans="1:15">
      <c r="A858" s="2897" t="s">
        <v>2620</v>
      </c>
      <c r="B858" s="2897"/>
      <c r="C858" s="2897"/>
      <c r="D858" s="2897"/>
      <c r="E858" s="2897"/>
      <c r="F858" s="2897"/>
      <c r="G858" s="2897"/>
      <c r="H858" s="2897"/>
    </row>
    <row r="859" spans="1:15">
      <c r="A859" s="2897"/>
      <c r="B859" s="2897"/>
      <c r="C859" s="2897"/>
      <c r="D859" s="2897"/>
      <c r="E859" s="2897"/>
      <c r="F859" s="2897"/>
      <c r="G859" s="2897"/>
      <c r="H859" s="2897"/>
    </row>
    <row r="860" spans="1:15" ht="20.45">
      <c r="A860" s="263" t="s">
        <v>2011</v>
      </c>
      <c r="B860" s="833" t="s">
        <v>1808</v>
      </c>
      <c r="C860" s="863" t="s">
        <v>2012</v>
      </c>
      <c r="D860" s="1100" t="s">
        <v>2580</v>
      </c>
      <c r="E860" s="835" t="s">
        <v>2013</v>
      </c>
      <c r="F860" s="398" t="s">
        <v>1811</v>
      </c>
      <c r="G860" s="399" t="s">
        <v>1817</v>
      </c>
      <c r="H860" s="683" t="s">
        <v>2125</v>
      </c>
      <c r="I860" s="260"/>
    </row>
    <row r="861" spans="1:15">
      <c r="A861" s="865"/>
      <c r="B861" s="784"/>
      <c r="C861" s="98" t="s">
        <v>2570</v>
      </c>
      <c r="D861" s="98" t="s">
        <v>2621</v>
      </c>
      <c r="E861" s="866"/>
      <c r="F861" s="754"/>
      <c r="G861" s="867"/>
      <c r="H861" s="1253" t="s">
        <v>510</v>
      </c>
      <c r="I861" s="1308"/>
    </row>
    <row r="862" spans="1:15">
      <c r="A862" s="865"/>
      <c r="B862" s="1217"/>
      <c r="C862" s="98" t="s">
        <v>2622</v>
      </c>
      <c r="D862" s="1060" t="s">
        <v>2127</v>
      </c>
      <c r="E862" s="1270"/>
      <c r="F862" s="98"/>
      <c r="G862" s="98"/>
      <c r="H862" s="1060" t="s">
        <v>523</v>
      </c>
      <c r="I862" s="1060"/>
    </row>
    <row r="863" spans="1:15">
      <c r="A863" s="865"/>
      <c r="B863" s="1210"/>
      <c r="C863" s="714" t="s">
        <v>2623</v>
      </c>
      <c r="D863" s="409" t="s">
        <v>2624</v>
      </c>
      <c r="E863" s="1211"/>
      <c r="F863" s="350"/>
      <c r="G863" s="404"/>
      <c r="H863" s="409" t="s">
        <v>527</v>
      </c>
      <c r="I863" s="409"/>
    </row>
    <row r="864" spans="1:15">
      <c r="A864" s="865"/>
      <c r="B864" s="1210"/>
      <c r="C864" s="714" t="s">
        <v>2625</v>
      </c>
      <c r="D864" s="409" t="s">
        <v>2626</v>
      </c>
      <c r="E864" s="1211"/>
      <c r="F864" s="350"/>
      <c r="G864" s="404"/>
      <c r="H864" s="409" t="s">
        <v>2218</v>
      </c>
      <c r="I864" s="409"/>
    </row>
    <row r="865" spans="1:9">
      <c r="A865" s="865"/>
      <c r="B865" s="1217"/>
      <c r="C865" s="98" t="s">
        <v>2627</v>
      </c>
      <c r="D865" s="1060" t="s">
        <v>2628</v>
      </c>
      <c r="E865" s="1218"/>
      <c r="F865" s="98"/>
      <c r="G865" s="98"/>
      <c r="H865" s="1060" t="s">
        <v>1138</v>
      </c>
      <c r="I865" s="409"/>
    </row>
    <row r="866" spans="1:9">
      <c r="A866" s="865"/>
      <c r="B866" s="1210"/>
      <c r="C866" s="377" t="s">
        <v>2629</v>
      </c>
      <c r="D866" s="409" t="s">
        <v>2630</v>
      </c>
      <c r="E866" s="1261"/>
      <c r="F866" s="350"/>
      <c r="G866" s="404"/>
      <c r="H866" s="409" t="s">
        <v>1138</v>
      </c>
      <c r="I866" s="409"/>
    </row>
    <row r="867" spans="1:9">
      <c r="A867" s="865"/>
      <c r="B867" s="1210"/>
      <c r="C867" s="98" t="s">
        <v>2631</v>
      </c>
      <c r="D867" s="1060" t="s">
        <v>2632</v>
      </c>
      <c r="E867" s="1270"/>
      <c r="F867" s="98"/>
      <c r="G867" s="98"/>
      <c r="H867" s="1060" t="s">
        <v>748</v>
      </c>
      <c r="I867" s="409"/>
    </row>
    <row r="868" spans="1:9" s="34" customFormat="1">
      <c r="A868" s="75">
        <v>11628</v>
      </c>
      <c r="B868" s="1205">
        <v>0.1</v>
      </c>
      <c r="C868" s="1188" t="s">
        <v>2633</v>
      </c>
      <c r="D868" s="1206" t="s">
        <v>2634</v>
      </c>
      <c r="E868" s="1309">
        <v>1300000</v>
      </c>
      <c r="F868" s="837">
        <v>0.02</v>
      </c>
      <c r="G868" s="1304">
        <f>E868*F868</f>
        <v>26000</v>
      </c>
      <c r="H868" s="1214" t="s">
        <v>510</v>
      </c>
      <c r="I868" s="1061" t="s">
        <v>2124</v>
      </c>
    </row>
    <row r="869" spans="1:9" s="34" customFormat="1">
      <c r="A869" s="75">
        <v>11651</v>
      </c>
      <c r="B869" s="1205">
        <v>0.1</v>
      </c>
      <c r="C869" s="431" t="s">
        <v>2635</v>
      </c>
      <c r="D869" s="576" t="s">
        <v>2111</v>
      </c>
      <c r="E869" s="1309">
        <v>900000</v>
      </c>
      <c r="F869" s="837">
        <v>0.02</v>
      </c>
      <c r="G869" s="1304">
        <f t="shared" ref="G869:G874" si="39">E869*F869</f>
        <v>18000</v>
      </c>
      <c r="H869" s="1214" t="s">
        <v>510</v>
      </c>
      <c r="I869" s="1061" t="s">
        <v>2124</v>
      </c>
    </row>
    <row r="870" spans="1:9" s="34" customFormat="1">
      <c r="A870" s="75">
        <v>11658</v>
      </c>
      <c r="B870" s="1205">
        <v>0.1</v>
      </c>
      <c r="C870" s="275" t="s">
        <v>2636</v>
      </c>
      <c r="D870" s="1226" t="s">
        <v>2111</v>
      </c>
      <c r="E870" s="1309">
        <v>1150000</v>
      </c>
      <c r="F870" s="837">
        <v>0.02</v>
      </c>
      <c r="G870" s="1304">
        <f t="shared" si="39"/>
        <v>23000</v>
      </c>
      <c r="H870" s="1214" t="s">
        <v>2218</v>
      </c>
      <c r="I870" s="1061" t="s">
        <v>2124</v>
      </c>
    </row>
    <row r="871" spans="1:9" s="34" customFormat="1">
      <c r="A871" s="75">
        <v>11674</v>
      </c>
      <c r="B871" s="1205">
        <v>0.1</v>
      </c>
      <c r="C871" s="431" t="s">
        <v>2637</v>
      </c>
      <c r="D871" s="576" t="s">
        <v>2638</v>
      </c>
      <c r="E871" s="1309">
        <v>900000</v>
      </c>
      <c r="F871" s="837">
        <v>0.02</v>
      </c>
      <c r="G871" s="1304">
        <f t="shared" si="39"/>
        <v>18000</v>
      </c>
      <c r="H871" s="1214" t="s">
        <v>523</v>
      </c>
      <c r="I871" s="1061" t="s">
        <v>2124</v>
      </c>
    </row>
    <row r="872" spans="1:9" s="34" customFormat="1">
      <c r="A872" s="75">
        <v>11687</v>
      </c>
      <c r="B872" s="273">
        <v>0.1</v>
      </c>
      <c r="C872" s="573" t="s">
        <v>2639</v>
      </c>
      <c r="D872" s="1143" t="s">
        <v>2111</v>
      </c>
      <c r="E872" s="1310">
        <v>700000</v>
      </c>
      <c r="F872" s="837">
        <v>0.02</v>
      </c>
      <c r="G872" s="1304">
        <f t="shared" si="39"/>
        <v>14000</v>
      </c>
      <c r="H872" s="573" t="s">
        <v>2640</v>
      </c>
      <c r="I872" s="1061" t="s">
        <v>2124</v>
      </c>
    </row>
    <row r="873" spans="1:9" s="34" customFormat="1">
      <c r="A873" s="75">
        <v>11735</v>
      </c>
      <c r="B873" s="123">
        <v>0.1</v>
      </c>
      <c r="C873" s="67" t="s">
        <v>2641</v>
      </c>
      <c r="D873" s="1061" t="s">
        <v>2495</v>
      </c>
      <c r="E873" s="1344">
        <v>1150000</v>
      </c>
      <c r="F873" s="837">
        <v>0.02</v>
      </c>
      <c r="G873" s="1304">
        <f t="shared" si="39"/>
        <v>23000</v>
      </c>
      <c r="H873" s="1061" t="s">
        <v>510</v>
      </c>
      <c r="I873" s="1061"/>
    </row>
    <row r="874" spans="1:9" s="34" customFormat="1">
      <c r="A874" s="75">
        <v>11713</v>
      </c>
      <c r="B874" s="1205">
        <v>0.1</v>
      </c>
      <c r="C874" s="431" t="s">
        <v>2642</v>
      </c>
      <c r="D874" s="576" t="s">
        <v>2111</v>
      </c>
      <c r="E874" s="1309">
        <v>1250000</v>
      </c>
      <c r="F874" s="837">
        <v>0.02</v>
      </c>
      <c r="G874" s="1304">
        <f t="shared" si="39"/>
        <v>25000</v>
      </c>
      <c r="H874" s="1214" t="s">
        <v>527</v>
      </c>
      <c r="I874" s="1061" t="s">
        <v>2124</v>
      </c>
    </row>
    <row r="875" spans="1:9" s="34" customFormat="1">
      <c r="A875" s="2231"/>
      <c r="D875" s="201"/>
      <c r="E875" s="1249"/>
      <c r="G875" s="1305"/>
      <c r="H875" s="201"/>
      <c r="I875" s="201"/>
    </row>
    <row r="876" spans="1:9" s="34" customFormat="1">
      <c r="A876" s="2231"/>
      <c r="D876" s="201"/>
      <c r="E876" s="1249"/>
      <c r="G876" s="1305"/>
      <c r="H876" s="201"/>
      <c r="I876" s="201"/>
    </row>
    <row r="877" spans="1:9" s="34" customFormat="1">
      <c r="A877" s="2231"/>
      <c r="D877" s="1178" t="s">
        <v>2499</v>
      </c>
      <c r="E877" s="1249">
        <f>SUM(E868:E874)</f>
        <v>7350000</v>
      </c>
      <c r="G877" s="1305">
        <f>SUM(G868:G874)</f>
        <v>147000</v>
      </c>
      <c r="H877" s="51"/>
      <c r="I877" s="51"/>
    </row>
    <row r="878" spans="1:9" s="34" customFormat="1" ht="15.6">
      <c r="A878" s="2231"/>
      <c r="D878" s="390" t="s">
        <v>2154</v>
      </c>
      <c r="E878" s="1306">
        <f>G877</f>
        <v>147000</v>
      </c>
      <c r="H878" s="51"/>
      <c r="I878" s="51"/>
    </row>
    <row r="881" spans="1:9">
      <c r="A881" s="2906" t="s">
        <v>2643</v>
      </c>
      <c r="B881" s="2906"/>
      <c r="C881" s="2906"/>
      <c r="D881" s="2906"/>
      <c r="E881" s="2906"/>
      <c r="F881" s="2906"/>
      <c r="G881" s="2906"/>
      <c r="H881" s="2906"/>
      <c r="I881" s="2"/>
    </row>
    <row r="882" spans="1:9">
      <c r="A882" s="2906"/>
      <c r="B882" s="2906"/>
      <c r="C882" s="2906"/>
      <c r="D882" s="2906"/>
      <c r="E882" s="2906"/>
      <c r="F882" s="2906"/>
      <c r="G882" s="2906"/>
      <c r="H882" s="2906"/>
      <c r="I882" s="2"/>
    </row>
    <row r="883" spans="1:9" ht="20.45">
      <c r="A883" s="257" t="s">
        <v>2011</v>
      </c>
      <c r="B883" s="33" t="s">
        <v>1808</v>
      </c>
      <c r="C883" s="33" t="s">
        <v>2012</v>
      </c>
      <c r="D883" s="1066" t="s">
        <v>2123</v>
      </c>
      <c r="E883" s="63" t="s">
        <v>2013</v>
      </c>
      <c r="F883" s="118" t="s">
        <v>1811</v>
      </c>
      <c r="G883" s="88" t="s">
        <v>1817</v>
      </c>
      <c r="H883" s="258" t="s">
        <v>2213</v>
      </c>
      <c r="I883" s="2"/>
    </row>
    <row r="884" spans="1:9">
      <c r="A884" s="554">
        <v>11536</v>
      </c>
      <c r="B884" s="416">
        <v>0.1</v>
      </c>
      <c r="C884" s="431" t="s">
        <v>2644</v>
      </c>
      <c r="D884" s="1179" t="s">
        <v>2645</v>
      </c>
      <c r="E884" s="1316">
        <v>1700000</v>
      </c>
      <c r="F884" s="305">
        <v>0.03</v>
      </c>
      <c r="G884" s="1327">
        <f>E884*F884</f>
        <v>51000</v>
      </c>
      <c r="H884" s="1256" t="s">
        <v>2218</v>
      </c>
      <c r="I884" s="276" t="s">
        <v>2124</v>
      </c>
    </row>
    <row r="885" spans="1:9">
      <c r="A885" s="639">
        <v>11528</v>
      </c>
      <c r="B885" s="954">
        <v>0.1</v>
      </c>
      <c r="C885" s="275" t="s">
        <v>2646</v>
      </c>
      <c r="D885" s="1179" t="s">
        <v>2111</v>
      </c>
      <c r="E885" s="1317">
        <v>900000</v>
      </c>
      <c r="F885" s="305">
        <v>0.03</v>
      </c>
      <c r="G885" s="1327">
        <f t="shared" ref="G885:G915" si="40">E885*F885</f>
        <v>27000</v>
      </c>
      <c r="H885" s="275" t="s">
        <v>2218</v>
      </c>
      <c r="I885" s="275" t="s">
        <v>2124</v>
      </c>
    </row>
    <row r="886" spans="1:9">
      <c r="A886" s="983">
        <v>11544</v>
      </c>
      <c r="B886" s="578">
        <v>0.1</v>
      </c>
      <c r="C886" s="717" t="s">
        <v>2647</v>
      </c>
      <c r="D886" s="1132" t="s">
        <v>2111</v>
      </c>
      <c r="E886" s="1318">
        <v>900000</v>
      </c>
      <c r="F886" s="305">
        <v>0.03</v>
      </c>
      <c r="G886" s="1327">
        <f t="shared" si="40"/>
        <v>27000</v>
      </c>
      <c r="H886" s="1256" t="s">
        <v>2241</v>
      </c>
      <c r="I886" s="67" t="s">
        <v>2124</v>
      </c>
    </row>
    <row r="887" spans="1:9">
      <c r="A887" s="2238">
        <v>11545</v>
      </c>
      <c r="B887" s="578">
        <v>0.1</v>
      </c>
      <c r="C887" s="518" t="s">
        <v>2648</v>
      </c>
      <c r="D887" s="1132" t="s">
        <v>2111</v>
      </c>
      <c r="E887" s="1319">
        <v>1000000</v>
      </c>
      <c r="F887" s="305">
        <v>0.03</v>
      </c>
      <c r="G887" s="1327">
        <f t="shared" si="40"/>
        <v>30000</v>
      </c>
      <c r="H887" s="751" t="s">
        <v>1138</v>
      </c>
      <c r="I887" s="1257" t="s">
        <v>2124</v>
      </c>
    </row>
    <row r="888" spans="1:9">
      <c r="A888" s="639">
        <v>11557</v>
      </c>
      <c r="B888" s="273">
        <v>0.1</v>
      </c>
      <c r="C888" s="431" t="s">
        <v>2649</v>
      </c>
      <c r="D888" s="576" t="s">
        <v>2111</v>
      </c>
      <c r="E888" s="1320">
        <v>850000</v>
      </c>
      <c r="F888" s="305">
        <v>0.03</v>
      </c>
      <c r="G888" s="1327">
        <f t="shared" si="40"/>
        <v>25500</v>
      </c>
      <c r="H888" s="342" t="s">
        <v>2603</v>
      </c>
      <c r="I888" s="342" t="s">
        <v>2124</v>
      </c>
    </row>
    <row r="889" spans="1:9">
      <c r="A889" s="554">
        <v>11562</v>
      </c>
      <c r="B889" s="302">
        <v>0.1</v>
      </c>
      <c r="C889" s="431" t="s">
        <v>2650</v>
      </c>
      <c r="D889" s="576" t="s">
        <v>2111</v>
      </c>
      <c r="E889" s="1317">
        <v>1400000</v>
      </c>
      <c r="F889" s="305">
        <v>0.03</v>
      </c>
      <c r="G889" s="1327">
        <f t="shared" si="40"/>
        <v>42000</v>
      </c>
      <c r="H889" s="275" t="s">
        <v>2218</v>
      </c>
      <c r="I889" s="275" t="s">
        <v>2124</v>
      </c>
    </row>
    <row r="890" spans="1:9">
      <c r="A890" s="2236">
        <v>11576</v>
      </c>
      <c r="B890" s="413">
        <v>0.1</v>
      </c>
      <c r="C890" s="431" t="s">
        <v>2651</v>
      </c>
      <c r="D890" s="576" t="s">
        <v>2130</v>
      </c>
      <c r="E890" s="1317">
        <v>1000000</v>
      </c>
      <c r="F890" s="305">
        <v>0.03</v>
      </c>
      <c r="G890" s="1327">
        <f t="shared" si="40"/>
        <v>30000</v>
      </c>
      <c r="H890" s="275" t="s">
        <v>527</v>
      </c>
      <c r="I890" s="275" t="s">
        <v>2124</v>
      </c>
    </row>
    <row r="891" spans="1:9">
      <c r="A891" s="1536">
        <v>11585</v>
      </c>
      <c r="B891" s="199">
        <v>0.1</v>
      </c>
      <c r="C891" s="431" t="s">
        <v>2652</v>
      </c>
      <c r="D891" s="576" t="s">
        <v>2111</v>
      </c>
      <c r="E891" s="1320">
        <v>1000000</v>
      </c>
      <c r="F891" s="305">
        <v>0.03</v>
      </c>
      <c r="G891" s="1327">
        <f t="shared" si="40"/>
        <v>30000</v>
      </c>
      <c r="H891" s="342" t="s">
        <v>527</v>
      </c>
      <c r="I891" s="1258" t="s">
        <v>2124</v>
      </c>
    </row>
    <row r="892" spans="1:9">
      <c r="A892" s="982">
        <v>11580</v>
      </c>
      <c r="B892" s="82">
        <v>0.1</v>
      </c>
      <c r="C892" s="431" t="s">
        <v>2653</v>
      </c>
      <c r="D892" s="576" t="s">
        <v>2601</v>
      </c>
      <c r="E892" s="1317">
        <v>1200000</v>
      </c>
      <c r="F892" s="305">
        <v>0.03</v>
      </c>
      <c r="G892" s="1327">
        <f t="shared" si="40"/>
        <v>36000</v>
      </c>
      <c r="H892" s="275" t="s">
        <v>2218</v>
      </c>
      <c r="I892" s="751" t="s">
        <v>2124</v>
      </c>
    </row>
    <row r="893" spans="1:9">
      <c r="A893" s="2239">
        <v>11582</v>
      </c>
      <c r="B893" s="199">
        <v>0.1</v>
      </c>
      <c r="C893" s="431" t="s">
        <v>2654</v>
      </c>
      <c r="D893" s="576" t="s">
        <v>2111</v>
      </c>
      <c r="E893" s="1320">
        <v>1200000</v>
      </c>
      <c r="F893" s="305">
        <v>0.03</v>
      </c>
      <c r="G893" s="1327">
        <f t="shared" si="40"/>
        <v>36000</v>
      </c>
      <c r="H893" s="342" t="s">
        <v>2655</v>
      </c>
      <c r="I893" s="1258" t="s">
        <v>2124</v>
      </c>
    </row>
    <row r="894" spans="1:9">
      <c r="A894" s="982">
        <v>11595</v>
      </c>
      <c r="B894" s="199">
        <v>0.1</v>
      </c>
      <c r="C894" s="679" t="s">
        <v>2656</v>
      </c>
      <c r="D894" s="1107" t="s">
        <v>2111</v>
      </c>
      <c r="E894" s="1321">
        <v>2300000</v>
      </c>
      <c r="F894" s="305">
        <v>0.03</v>
      </c>
      <c r="G894" s="1327">
        <f t="shared" si="40"/>
        <v>69000</v>
      </c>
      <c r="H894" s="120" t="s">
        <v>527</v>
      </c>
      <c r="I894" s="67" t="s">
        <v>2124</v>
      </c>
    </row>
    <row r="895" spans="1:9">
      <c r="A895" s="2240">
        <v>11617</v>
      </c>
      <c r="B895" s="273">
        <v>0.1</v>
      </c>
      <c r="C895" s="1054" t="s">
        <v>2657</v>
      </c>
      <c r="D895" s="1029" t="s">
        <v>2111</v>
      </c>
      <c r="E895" s="1319">
        <v>950000</v>
      </c>
      <c r="F895" s="305">
        <v>0.03</v>
      </c>
      <c r="G895" s="1327">
        <f t="shared" si="40"/>
        <v>28500</v>
      </c>
      <c r="H895" s="278" t="s">
        <v>2218</v>
      </c>
      <c r="I895" s="278" t="s">
        <v>2124</v>
      </c>
    </row>
    <row r="896" spans="1:9">
      <c r="A896" s="639">
        <v>11609</v>
      </c>
      <c r="B896" s="273">
        <v>0.1</v>
      </c>
      <c r="C896" s="431" t="s">
        <v>2658</v>
      </c>
      <c r="D896" s="576" t="s">
        <v>2601</v>
      </c>
      <c r="E896" s="1320">
        <v>850000</v>
      </c>
      <c r="F896" s="305">
        <v>0.03</v>
      </c>
      <c r="G896" s="1327">
        <f t="shared" si="40"/>
        <v>25500</v>
      </c>
      <c r="H896" s="342" t="s">
        <v>527</v>
      </c>
      <c r="I896" s="1258" t="s">
        <v>2124</v>
      </c>
    </row>
    <row r="897" spans="1:9">
      <c r="A897" s="639">
        <v>11624</v>
      </c>
      <c r="B897" s="273">
        <v>0.1</v>
      </c>
      <c r="C897" s="431" t="s">
        <v>2659</v>
      </c>
      <c r="D897" s="1027" t="s">
        <v>2111</v>
      </c>
      <c r="E897" s="1320">
        <v>950000</v>
      </c>
      <c r="F897" s="305">
        <v>0.03</v>
      </c>
      <c r="G897" s="1327">
        <f t="shared" si="40"/>
        <v>28500</v>
      </c>
      <c r="H897" s="342" t="s">
        <v>2430</v>
      </c>
      <c r="I897" s="342" t="s">
        <v>2124</v>
      </c>
    </row>
    <row r="898" spans="1:9">
      <c r="A898" s="65">
        <v>11604</v>
      </c>
      <c r="B898" s="909">
        <v>0.1</v>
      </c>
      <c r="C898" s="342" t="s">
        <v>2660</v>
      </c>
      <c r="D898" s="576" t="s">
        <v>2130</v>
      </c>
      <c r="E898" s="1317">
        <v>960000</v>
      </c>
      <c r="F898" s="305">
        <v>0.03</v>
      </c>
      <c r="G898" s="1327">
        <f t="shared" si="40"/>
        <v>28800</v>
      </c>
      <c r="H898" s="275" t="s">
        <v>527</v>
      </c>
      <c r="I898" s="67" t="s">
        <v>2124</v>
      </c>
    </row>
    <row r="899" spans="1:9">
      <c r="A899" s="985">
        <v>11642</v>
      </c>
      <c r="B899" s="273">
        <v>0.1</v>
      </c>
      <c r="C899" s="573" t="s">
        <v>2661</v>
      </c>
      <c r="D899" s="1143" t="s">
        <v>2111</v>
      </c>
      <c r="E899" s="1320">
        <v>1100000</v>
      </c>
      <c r="F899" s="305">
        <v>0.03</v>
      </c>
      <c r="G899" s="1327">
        <f t="shared" si="40"/>
        <v>33000</v>
      </c>
      <c r="H899" s="342" t="s">
        <v>2430</v>
      </c>
      <c r="I899" s="1258" t="s">
        <v>2124</v>
      </c>
    </row>
    <row r="900" spans="1:9">
      <c r="A900" s="986">
        <v>11628</v>
      </c>
      <c r="B900" s="1205">
        <v>0.1</v>
      </c>
      <c r="C900" s="1188" t="s">
        <v>2633</v>
      </c>
      <c r="D900" s="1206" t="s">
        <v>2111</v>
      </c>
      <c r="E900" s="1322">
        <v>1300000</v>
      </c>
      <c r="F900" s="305">
        <v>0.03</v>
      </c>
      <c r="G900" s="1327">
        <f t="shared" si="40"/>
        <v>39000</v>
      </c>
      <c r="H900" s="1259" t="s">
        <v>510</v>
      </c>
      <c r="I900" s="1257" t="s">
        <v>2124</v>
      </c>
    </row>
    <row r="901" spans="1:9">
      <c r="A901" s="986">
        <v>11645</v>
      </c>
      <c r="B901" s="273">
        <v>0.1</v>
      </c>
      <c r="C901" s="431" t="s">
        <v>2662</v>
      </c>
      <c r="D901" s="576" t="s">
        <v>2111</v>
      </c>
      <c r="E901" s="1320">
        <v>900000</v>
      </c>
      <c r="F901" s="305">
        <v>0.03</v>
      </c>
      <c r="G901" s="1327">
        <f t="shared" si="40"/>
        <v>27000</v>
      </c>
      <c r="H901" s="342" t="s">
        <v>527</v>
      </c>
      <c r="I901" s="1258" t="s">
        <v>2124</v>
      </c>
    </row>
    <row r="902" spans="1:9">
      <c r="A902" s="986">
        <v>11644</v>
      </c>
      <c r="B902" s="273">
        <v>0.1</v>
      </c>
      <c r="C902" s="431" t="s">
        <v>2663</v>
      </c>
      <c r="D902" s="1027" t="s">
        <v>2601</v>
      </c>
      <c r="E902" s="1320">
        <v>1100000</v>
      </c>
      <c r="F902" s="305">
        <v>0.03</v>
      </c>
      <c r="G902" s="1327">
        <f t="shared" si="40"/>
        <v>33000</v>
      </c>
      <c r="H902" s="342" t="s">
        <v>1138</v>
      </c>
      <c r="I902" s="342" t="s">
        <v>2124</v>
      </c>
    </row>
    <row r="903" spans="1:9">
      <c r="A903" s="986">
        <v>11651</v>
      </c>
      <c r="B903" s="1215">
        <v>0.1</v>
      </c>
      <c r="C903" s="1216" t="s">
        <v>2635</v>
      </c>
      <c r="D903" s="1169" t="s">
        <v>2664</v>
      </c>
      <c r="E903" s="1323">
        <v>900000</v>
      </c>
      <c r="F903" s="305">
        <v>0.03</v>
      </c>
      <c r="G903" s="1327">
        <f t="shared" si="40"/>
        <v>27000</v>
      </c>
      <c r="H903" s="1260" t="s">
        <v>510</v>
      </c>
      <c r="I903" s="1257" t="s">
        <v>2124</v>
      </c>
    </row>
    <row r="904" spans="1:9">
      <c r="A904" s="985">
        <v>11653</v>
      </c>
      <c r="B904" s="273">
        <v>0.1</v>
      </c>
      <c r="C904" s="431" t="s">
        <v>2665</v>
      </c>
      <c r="D904" s="576" t="s">
        <v>2111</v>
      </c>
      <c r="E904" s="1317">
        <v>1200000</v>
      </c>
      <c r="F904" s="305">
        <v>0.03</v>
      </c>
      <c r="G904" s="1327">
        <f t="shared" si="40"/>
        <v>36000</v>
      </c>
      <c r="H904" s="275" t="s">
        <v>2218</v>
      </c>
      <c r="I904" s="1257" t="s">
        <v>2124</v>
      </c>
    </row>
    <row r="905" spans="1:9" ht="15.6">
      <c r="A905" s="2241">
        <v>11658</v>
      </c>
      <c r="B905" s="1205">
        <v>0.1</v>
      </c>
      <c r="C905" s="275" t="s">
        <v>2636</v>
      </c>
      <c r="D905" s="1226" t="s">
        <v>2111</v>
      </c>
      <c r="E905" s="1322">
        <v>1150000</v>
      </c>
      <c r="F905" s="305">
        <v>0.03</v>
      </c>
      <c r="G905" s="1327">
        <f t="shared" si="40"/>
        <v>34500</v>
      </c>
      <c r="H905" s="1259" t="s">
        <v>2218</v>
      </c>
      <c r="I905" s="67" t="s">
        <v>2124</v>
      </c>
    </row>
    <row r="906" spans="1:9">
      <c r="A906" s="639">
        <v>11660</v>
      </c>
      <c r="B906" s="273">
        <v>0.1</v>
      </c>
      <c r="C906" s="885" t="s">
        <v>2666</v>
      </c>
      <c r="D906" s="1163" t="s">
        <v>2111</v>
      </c>
      <c r="E906" s="1324">
        <v>1100000</v>
      </c>
      <c r="F906" s="305">
        <v>0.03</v>
      </c>
      <c r="G906" s="1327">
        <f t="shared" si="40"/>
        <v>33000</v>
      </c>
      <c r="H906" s="341" t="s">
        <v>527</v>
      </c>
      <c r="I906" s="1258" t="s">
        <v>2124</v>
      </c>
    </row>
    <row r="907" spans="1:9">
      <c r="A907" s="985">
        <v>11666</v>
      </c>
      <c r="B907" s="273">
        <v>0.1</v>
      </c>
      <c r="C907" s="1229" t="s">
        <v>2667</v>
      </c>
      <c r="D907" s="576" t="s">
        <v>2111</v>
      </c>
      <c r="E907" s="1320">
        <v>1050000</v>
      </c>
      <c r="F907" s="305">
        <v>0.03</v>
      </c>
      <c r="G907" s="1327">
        <f t="shared" si="40"/>
        <v>31500</v>
      </c>
      <c r="H907" s="342" t="s">
        <v>2430</v>
      </c>
      <c r="I907" s="342" t="s">
        <v>2124</v>
      </c>
    </row>
    <row r="908" spans="1:9">
      <c r="A908" s="75">
        <v>11674</v>
      </c>
      <c r="B908" s="1205">
        <v>0.1</v>
      </c>
      <c r="C908" s="431" t="s">
        <v>2637</v>
      </c>
      <c r="D908" s="576" t="s">
        <v>2664</v>
      </c>
      <c r="E908" s="1322">
        <v>900000</v>
      </c>
      <c r="F908" s="305">
        <v>0.03</v>
      </c>
      <c r="G908" s="1327">
        <f t="shared" si="40"/>
        <v>27000</v>
      </c>
      <c r="H908" s="1259" t="s">
        <v>523</v>
      </c>
      <c r="I908" s="67" t="s">
        <v>2124</v>
      </c>
    </row>
    <row r="909" spans="1:9">
      <c r="A909" s="985">
        <v>11684</v>
      </c>
      <c r="B909" s="273">
        <v>0.1</v>
      </c>
      <c r="C909" s="431" t="s">
        <v>2668</v>
      </c>
      <c r="D909" s="1027" t="s">
        <v>2111</v>
      </c>
      <c r="E909" s="1310">
        <v>1500000</v>
      </c>
      <c r="F909" s="305">
        <v>0.03</v>
      </c>
      <c r="G909" s="1327">
        <f t="shared" si="40"/>
        <v>45000</v>
      </c>
      <c r="H909" s="342" t="s">
        <v>527</v>
      </c>
      <c r="I909" s="342" t="s">
        <v>2124</v>
      </c>
    </row>
    <row r="910" spans="1:9" ht="15.75" customHeight="1">
      <c r="A910" s="2241">
        <v>11687</v>
      </c>
      <c r="B910" s="305">
        <v>0.1</v>
      </c>
      <c r="C910" s="573" t="s">
        <v>2639</v>
      </c>
      <c r="D910" s="1143" t="s">
        <v>2111</v>
      </c>
      <c r="E910" s="1310">
        <v>700000</v>
      </c>
      <c r="F910" s="305">
        <v>0.03</v>
      </c>
      <c r="G910" s="1327">
        <f t="shared" si="40"/>
        <v>21000</v>
      </c>
      <c r="H910" s="573" t="s">
        <v>2640</v>
      </c>
      <c r="I910" s="1061" t="s">
        <v>2124</v>
      </c>
    </row>
    <row r="911" spans="1:9">
      <c r="A911" s="121">
        <v>11693</v>
      </c>
      <c r="B911" s="273">
        <v>0.1</v>
      </c>
      <c r="C911" s="910" t="s">
        <v>2669</v>
      </c>
      <c r="D911" s="1027" t="s">
        <v>2130</v>
      </c>
      <c r="E911" s="1310">
        <v>900000</v>
      </c>
      <c r="F911" s="305">
        <v>0.03</v>
      </c>
      <c r="G911" s="1327">
        <f t="shared" si="40"/>
        <v>27000</v>
      </c>
      <c r="H911" s="1256" t="s">
        <v>748</v>
      </c>
      <c r="I911" s="1257" t="s">
        <v>2124</v>
      </c>
    </row>
    <row r="912" spans="1:9">
      <c r="A912" s="121">
        <v>11710</v>
      </c>
      <c r="B912" s="273">
        <v>0.1</v>
      </c>
      <c r="C912" s="275" t="s">
        <v>2618</v>
      </c>
      <c r="D912" s="576" t="s">
        <v>2670</v>
      </c>
      <c r="E912" s="1313">
        <v>1000000</v>
      </c>
      <c r="F912" s="305">
        <v>0.03</v>
      </c>
      <c r="G912" s="1327">
        <f t="shared" si="40"/>
        <v>30000</v>
      </c>
      <c r="H912" s="576" t="s">
        <v>2218</v>
      </c>
      <c r="I912" s="1104" t="s">
        <v>2124</v>
      </c>
    </row>
    <row r="913" spans="1:9">
      <c r="A913" s="65">
        <v>11713</v>
      </c>
      <c r="B913" s="1205">
        <v>0.1</v>
      </c>
      <c r="C913" s="431" t="s">
        <v>2642</v>
      </c>
      <c r="D913" s="576" t="s">
        <v>2111</v>
      </c>
      <c r="E913" s="1309">
        <v>1250000</v>
      </c>
      <c r="F913" s="305">
        <v>0.03</v>
      </c>
      <c r="G913" s="1327">
        <f t="shared" si="40"/>
        <v>37500</v>
      </c>
      <c r="H913" s="1214" t="s">
        <v>527</v>
      </c>
      <c r="I913" s="1061" t="s">
        <v>2124</v>
      </c>
    </row>
    <row r="914" spans="1:9">
      <c r="A914" s="65">
        <v>11735</v>
      </c>
      <c r="B914" s="123">
        <v>0.1</v>
      </c>
      <c r="C914" s="67" t="s">
        <v>2641</v>
      </c>
      <c r="D914" s="1061" t="s">
        <v>2601</v>
      </c>
      <c r="E914" s="1344">
        <v>1150000</v>
      </c>
      <c r="F914" s="305">
        <v>0.03</v>
      </c>
      <c r="G914" s="1327">
        <f t="shared" si="40"/>
        <v>34500</v>
      </c>
      <c r="H914" s="1061" t="s">
        <v>510</v>
      </c>
      <c r="I914" s="1061" t="s">
        <v>2124</v>
      </c>
    </row>
    <row r="915" spans="1:9">
      <c r="A915" s="121">
        <v>11732</v>
      </c>
      <c r="B915" s="416">
        <v>0.1</v>
      </c>
      <c r="C915" s="431" t="s">
        <v>2619</v>
      </c>
      <c r="D915" s="1027" t="s">
        <v>2130</v>
      </c>
      <c r="E915" s="1320">
        <v>1200000</v>
      </c>
      <c r="F915" s="305">
        <v>0.03</v>
      </c>
      <c r="G915" s="1327">
        <f t="shared" si="40"/>
        <v>36000</v>
      </c>
      <c r="H915" s="573" t="s">
        <v>523</v>
      </c>
      <c r="I915" s="573" t="s">
        <v>2124</v>
      </c>
    </row>
    <row r="916" spans="1:9">
      <c r="A916" s="2231"/>
      <c r="B916" s="666"/>
      <c r="C916" s="701"/>
      <c r="D916" s="1073"/>
      <c r="E916" s="1325"/>
      <c r="F916" s="491"/>
      <c r="G916" s="1328"/>
      <c r="H916" s="957"/>
      <c r="I916" s="1044"/>
    </row>
    <row r="917" spans="1:9">
      <c r="A917" s="2232"/>
      <c r="B917" s="171"/>
      <c r="C917" s="171"/>
      <c r="D917" s="1109" t="s">
        <v>2271</v>
      </c>
      <c r="E917" s="1326">
        <f>SUM(E884:E915)</f>
        <v>35560000</v>
      </c>
      <c r="F917" s="490"/>
      <c r="G917" s="1329">
        <f>SUM(G884:G915)</f>
        <v>1066800</v>
      </c>
      <c r="H917" s="957"/>
      <c r="I917" s="260"/>
    </row>
    <row r="918" spans="1:9" ht="15.6">
      <c r="A918" s="257"/>
      <c r="B918" s="171"/>
      <c r="C918" s="171"/>
      <c r="D918" s="1110" t="s">
        <v>2154</v>
      </c>
      <c r="E918" s="487">
        <f>G917</f>
        <v>1066800</v>
      </c>
      <c r="F918" s="11"/>
      <c r="G918" s="11"/>
      <c r="H918" s="2"/>
      <c r="I918" s="2"/>
    </row>
    <row r="921" spans="1:9" ht="18">
      <c r="A921" s="2966" t="s">
        <v>2510</v>
      </c>
      <c r="B921" s="2966"/>
      <c r="C921" s="2966"/>
      <c r="D921" s="2966"/>
      <c r="E921" s="2966"/>
      <c r="F921" s="11"/>
    </row>
    <row r="922" spans="1:9" ht="18">
      <c r="A922" s="871" t="s">
        <v>2511</v>
      </c>
      <c r="B922" s="871" t="s">
        <v>2013</v>
      </c>
      <c r="C922" s="871" t="s">
        <v>2512</v>
      </c>
      <c r="D922" s="1170" t="s">
        <v>2513</v>
      </c>
      <c r="E922" s="878" t="s">
        <v>2125</v>
      </c>
      <c r="F922" s="11"/>
    </row>
    <row r="923" spans="1:9">
      <c r="A923" s="2242">
        <v>7243007</v>
      </c>
      <c r="B923" s="1272">
        <v>650000</v>
      </c>
      <c r="C923" s="701" t="s">
        <v>2671</v>
      </c>
      <c r="D923" s="701" t="s">
        <v>2672</v>
      </c>
      <c r="E923" s="701" t="s">
        <v>2673</v>
      </c>
      <c r="F923" s="11"/>
    </row>
    <row r="924" spans="1:9">
      <c r="A924" s="2242">
        <v>7192851</v>
      </c>
      <c r="B924" s="1272" t="s">
        <v>2674</v>
      </c>
      <c r="C924" s="701" t="s">
        <v>2675</v>
      </c>
      <c r="D924" s="701" t="s">
        <v>2676</v>
      </c>
      <c r="E924" s="701" t="s">
        <v>2218</v>
      </c>
      <c r="F924" s="883"/>
    </row>
    <row r="925" spans="1:9" ht="18">
      <c r="A925" s="871"/>
      <c r="B925" s="871"/>
      <c r="C925" s="871"/>
      <c r="D925" s="1170"/>
      <c r="E925" s="880"/>
      <c r="F925" s="11"/>
    </row>
    <row r="926" spans="1:9" ht="18">
      <c r="A926" s="871"/>
      <c r="B926" s="871"/>
      <c r="C926" s="871"/>
      <c r="D926" s="1170"/>
      <c r="E926" s="10"/>
      <c r="F926" s="11"/>
    </row>
    <row r="928" spans="1:9" ht="15.6">
      <c r="A928" s="2922" t="s">
        <v>1898</v>
      </c>
      <c r="B928" s="2922"/>
      <c r="C928" s="79"/>
      <c r="D928" s="1312">
        <f>E917</f>
        <v>35560000</v>
      </c>
    </row>
    <row r="929" spans="1:15">
      <c r="A929" s="2923" t="s">
        <v>1899</v>
      </c>
      <c r="B929" s="2923"/>
      <c r="C929" s="41"/>
      <c r="D929" s="1223">
        <v>5800000</v>
      </c>
    </row>
    <row r="930" spans="1:15">
      <c r="A930" s="2924" t="s">
        <v>1900</v>
      </c>
      <c r="B930" s="2924"/>
      <c r="C930" s="45"/>
      <c r="D930" s="1224">
        <v>3550000</v>
      </c>
    </row>
    <row r="931" spans="1:15">
      <c r="A931" s="2807" t="s">
        <v>1901</v>
      </c>
      <c r="B931" s="2807"/>
      <c r="C931" s="637"/>
      <c r="D931" s="1225">
        <v>4900000</v>
      </c>
    </row>
    <row r="932" spans="1:15">
      <c r="A932" s="2913" t="s">
        <v>1902</v>
      </c>
      <c r="B932" s="2913"/>
      <c r="C932" s="45"/>
      <c r="D932" s="262">
        <v>15480000</v>
      </c>
    </row>
    <row r="933" spans="1:15">
      <c r="A933" s="2176"/>
      <c r="B933" s="43" t="s">
        <v>1904</v>
      </c>
      <c r="C933" s="43"/>
      <c r="D933" s="1130" t="s">
        <v>1968</v>
      </c>
    </row>
    <row r="939" spans="1:15" ht="46.15">
      <c r="A939" s="2974" t="s">
        <v>2677</v>
      </c>
      <c r="B939" s="2974"/>
      <c r="C939" s="2974"/>
      <c r="D939" s="2974"/>
      <c r="E939" s="2974"/>
      <c r="F939" s="2974"/>
      <c r="G939" s="2974"/>
      <c r="H939" s="2974"/>
      <c r="I939" s="2974"/>
      <c r="J939" s="2974"/>
      <c r="O939" s="1"/>
    </row>
    <row r="940" spans="1:15">
      <c r="O940" s="1"/>
    </row>
    <row r="941" spans="1:15" ht="21">
      <c r="A941" s="2975" t="s">
        <v>1804</v>
      </c>
      <c r="B941" s="2975"/>
      <c r="C941" s="2975"/>
      <c r="D941" s="2975"/>
      <c r="E941" s="2975"/>
      <c r="F941" s="2975"/>
      <c r="G941" s="2975"/>
      <c r="H941" s="2975"/>
      <c r="I941" s="2975"/>
      <c r="J941" s="2975"/>
      <c r="K941" s="2819" t="s">
        <v>1805</v>
      </c>
      <c r="L941" s="2819"/>
      <c r="M941" s="2819"/>
      <c r="N941" s="2819"/>
      <c r="O941" s="2"/>
    </row>
    <row r="942" spans="1:15">
      <c r="A942" s="2171" t="s">
        <v>1806</v>
      </c>
      <c r="B942" s="1634" t="s">
        <v>1807</v>
      </c>
      <c r="C942" s="783" t="s">
        <v>1837</v>
      </c>
      <c r="D942" s="1056" t="s">
        <v>1809</v>
      </c>
      <c r="E942" s="779" t="s">
        <v>1810</v>
      </c>
      <c r="F942" s="1634" t="s">
        <v>1811</v>
      </c>
      <c r="G942" s="167" t="s">
        <v>1812</v>
      </c>
      <c r="H942" s="1634" t="s">
        <v>1813</v>
      </c>
      <c r="I942" s="1634" t="s">
        <v>1814</v>
      </c>
      <c r="J942" s="1634" t="s">
        <v>1815</v>
      </c>
      <c r="K942" s="26" t="s">
        <v>1807</v>
      </c>
      <c r="L942" s="26" t="s">
        <v>1809</v>
      </c>
      <c r="M942" s="26" t="s">
        <v>1816</v>
      </c>
      <c r="N942" s="259" t="s">
        <v>1811</v>
      </c>
      <c r="O942" s="260" t="s">
        <v>1817</v>
      </c>
    </row>
    <row r="943" spans="1:15">
      <c r="A943" s="2953" t="s">
        <v>2274</v>
      </c>
      <c r="B943" s="753"/>
      <c r="C943" s="1198"/>
      <c r="D943" s="1267" t="s">
        <v>2678</v>
      </c>
      <c r="E943" s="1220"/>
      <c r="F943" s="689"/>
      <c r="G943" s="1265"/>
      <c r="H943" s="1200"/>
      <c r="I943" s="677" t="s">
        <v>2363</v>
      </c>
      <c r="J943" s="772"/>
      <c r="K943" s="840">
        <v>11795</v>
      </c>
      <c r="L943" s="1436" t="s">
        <v>2679</v>
      </c>
      <c r="M943" s="1434">
        <v>1150000</v>
      </c>
      <c r="N943" s="837">
        <v>0.05</v>
      </c>
      <c r="O943" s="1465">
        <f>M943*N943</f>
        <v>57500</v>
      </c>
    </row>
    <row r="944" spans="1:15" ht="15.6">
      <c r="A944" s="2953"/>
      <c r="B944" s="1213">
        <v>11786</v>
      </c>
      <c r="C944" s="775">
        <v>0.1</v>
      </c>
      <c r="D944" s="431" t="s">
        <v>2680</v>
      </c>
      <c r="E944" s="1469">
        <v>800000</v>
      </c>
      <c r="F944" s="305">
        <v>0.1</v>
      </c>
      <c r="G944" s="1358">
        <f>E944*F944</f>
        <v>80000</v>
      </c>
      <c r="H944" s="1028" t="s">
        <v>582</v>
      </c>
      <c r="I944" s="306" t="s">
        <v>2417</v>
      </c>
      <c r="J944" s="772"/>
      <c r="K944" s="1432">
        <v>11811</v>
      </c>
      <c r="L944" s="1437" t="s">
        <v>2681</v>
      </c>
      <c r="M944" s="1435">
        <v>880000</v>
      </c>
      <c r="N944" s="837">
        <v>0.05</v>
      </c>
      <c r="O944" s="1465">
        <f t="shared" ref="O944:O945" si="41">M944*N944</f>
        <v>44000</v>
      </c>
    </row>
    <row r="945" spans="1:15">
      <c r="A945" s="2953"/>
      <c r="B945" s="605">
        <v>11770</v>
      </c>
      <c r="C945" s="496">
        <v>0.1</v>
      </c>
      <c r="D945" s="1359" t="s">
        <v>2682</v>
      </c>
      <c r="E945" s="1320">
        <v>1800000</v>
      </c>
      <c r="F945" s="273">
        <v>0.1</v>
      </c>
      <c r="G945" s="1358">
        <f t="shared" ref="G945:G946" si="42">E945*F945</f>
        <v>180000</v>
      </c>
      <c r="H945" s="1028" t="s">
        <v>582</v>
      </c>
      <c r="I945" s="306" t="s">
        <v>2417</v>
      </c>
      <c r="J945" s="772"/>
      <c r="K945" s="1432">
        <v>11766</v>
      </c>
      <c r="L945" s="1383" t="s">
        <v>2683</v>
      </c>
      <c r="M945" s="1435">
        <v>1250000</v>
      </c>
      <c r="N945" s="837">
        <v>0.05</v>
      </c>
      <c r="O945" s="1465">
        <f t="shared" si="41"/>
        <v>62500</v>
      </c>
    </row>
    <row r="946" spans="1:15">
      <c r="A946" s="2953"/>
      <c r="B946" s="836">
        <v>11822</v>
      </c>
      <c r="C946" s="362">
        <v>0.1</v>
      </c>
      <c r="D946" s="1383" t="s">
        <v>2684</v>
      </c>
      <c r="E946" s="1320">
        <v>1600000</v>
      </c>
      <c r="F946" s="415">
        <v>0.05</v>
      </c>
      <c r="G946" s="268">
        <f t="shared" si="42"/>
        <v>80000</v>
      </c>
      <c r="H946" s="499" t="s">
        <v>527</v>
      </c>
      <c r="I946" s="298" t="s">
        <v>2363</v>
      </c>
      <c r="J946" s="1679"/>
      <c r="K946" s="1747"/>
      <c r="L946" s="1280"/>
      <c r="M946" s="1747"/>
      <c r="N946" s="1433"/>
      <c r="O946" s="1286"/>
    </row>
    <row r="947" spans="1:15" ht="15" customHeight="1">
      <c r="A947" s="2953"/>
      <c r="B947" s="1633"/>
      <c r="C947" s="1377"/>
      <c r="D947" s="1378"/>
      <c r="E947" s="1379"/>
      <c r="F947" s="747"/>
      <c r="G947" s="1380"/>
      <c r="H947" s="525"/>
      <c r="I947" s="525"/>
      <c r="J947" s="1381"/>
      <c r="K947" s="1633"/>
      <c r="L947" s="1633"/>
      <c r="M947" s="1633"/>
      <c r="N947" s="1747"/>
      <c r="O947" s="1286"/>
    </row>
    <row r="948" spans="1:15" ht="15" customHeight="1">
      <c r="A948" s="2953"/>
      <c r="B948" s="299"/>
      <c r="C948" s="318"/>
      <c r="D948" s="1031"/>
      <c r="E948" s="311"/>
      <c r="F948" s="312"/>
      <c r="G948" s="313"/>
      <c r="H948" s="299"/>
      <c r="I948" s="299"/>
      <c r="J948" s="300"/>
      <c r="K948" s="1748"/>
      <c r="L948" s="1748"/>
      <c r="M948" s="922"/>
      <c r="N948" s="958"/>
      <c r="O948" s="1748"/>
    </row>
    <row r="949" spans="1:15" ht="15" customHeight="1">
      <c r="A949" s="2953"/>
      <c r="B949" s="624"/>
      <c r="C949" s="624"/>
      <c r="D949" s="1144" t="s">
        <v>1833</v>
      </c>
      <c r="E949" s="928">
        <f>SUM(E944:E948)</f>
        <v>4200000</v>
      </c>
      <c r="F949" s="929"/>
      <c r="G949" s="1180">
        <f>SUM(G944:G948)</f>
        <v>340000</v>
      </c>
      <c r="H949" s="1181"/>
      <c r="I949" s="444"/>
      <c r="J949" s="773"/>
      <c r="K949" s="308"/>
      <c r="O949" s="289">
        <f>SUM(O943:O948)</f>
        <v>164000</v>
      </c>
    </row>
    <row r="950" spans="1:15" ht="15" customHeight="1">
      <c r="A950" s="2953"/>
      <c r="B950" s="1183"/>
      <c r="C950" s="1183"/>
      <c r="D950" s="1184" t="s">
        <v>1835</v>
      </c>
      <c r="E950" s="1467">
        <f>G949+O949</f>
        <v>504000</v>
      </c>
      <c r="F950" s="1183"/>
      <c r="G950" s="1186"/>
      <c r="H950" s="813"/>
      <c r="I950" s="813"/>
      <c r="J950" s="816"/>
      <c r="K950" s="868"/>
      <c r="L950" s="2834" t="s">
        <v>1834</v>
      </c>
      <c r="M950" s="2834"/>
      <c r="N950" s="2834"/>
      <c r="O950" s="1504">
        <v>504000</v>
      </c>
    </row>
    <row r="951" spans="1:15">
      <c r="A951" s="2172"/>
      <c r="B951" s="17"/>
      <c r="C951" s="17"/>
      <c r="D951" s="1058"/>
      <c r="E951" s="19"/>
      <c r="F951" s="17"/>
      <c r="G951" s="20"/>
      <c r="H951" s="17"/>
      <c r="I951" s="17"/>
      <c r="J951" s="18"/>
      <c r="O951" s="1"/>
    </row>
    <row r="952" spans="1:15">
      <c r="A952" s="2172"/>
      <c r="B952" s="17"/>
      <c r="C952" s="17"/>
      <c r="D952" s="1058"/>
      <c r="E952" s="19"/>
      <c r="F952" s="17"/>
      <c r="G952" s="20"/>
      <c r="H952" s="17"/>
      <c r="I952" s="17"/>
      <c r="J952" s="18"/>
      <c r="O952" s="1"/>
    </row>
    <row r="953" spans="1:15" ht="21">
      <c r="A953" s="2976" t="s">
        <v>1836</v>
      </c>
      <c r="B953" s="2976"/>
      <c r="C953" s="2976"/>
      <c r="D953" s="2976"/>
      <c r="E953" s="2976"/>
      <c r="F953" s="2976"/>
      <c r="G953" s="2976"/>
      <c r="H953" s="2976"/>
      <c r="I953" s="2976"/>
      <c r="J953" s="2976"/>
      <c r="K953" s="2825" t="s">
        <v>1805</v>
      </c>
      <c r="L953" s="2825"/>
      <c r="M953" s="2825"/>
      <c r="N953" s="2825"/>
      <c r="O953" s="260"/>
    </row>
    <row r="954" spans="1:15">
      <c r="A954" s="2208" t="s">
        <v>1806</v>
      </c>
      <c r="B954" s="1747" t="s">
        <v>1807</v>
      </c>
      <c r="C954" s="1747" t="s">
        <v>1837</v>
      </c>
      <c r="D954" s="1280" t="s">
        <v>1809</v>
      </c>
      <c r="E954" s="806" t="s">
        <v>1810</v>
      </c>
      <c r="F954" s="1747" t="s">
        <v>1811</v>
      </c>
      <c r="G954" s="807" t="s">
        <v>1812</v>
      </c>
      <c r="H954" s="1747" t="s">
        <v>1813</v>
      </c>
      <c r="I954" s="1747" t="s">
        <v>1814</v>
      </c>
      <c r="J954" s="1747" t="s">
        <v>1815</v>
      </c>
      <c r="K954" s="1626" t="s">
        <v>1807</v>
      </c>
      <c r="L954" s="1747" t="s">
        <v>1809</v>
      </c>
      <c r="M954" s="1747" t="s">
        <v>1816</v>
      </c>
      <c r="N954" s="1747" t="s">
        <v>1811</v>
      </c>
      <c r="O954" s="51" t="s">
        <v>1817</v>
      </c>
    </row>
    <row r="955" spans="1:15" ht="25.5" customHeight="1">
      <c r="A955" s="2955" t="s">
        <v>1818</v>
      </c>
      <c r="B955" s="780"/>
      <c r="C955" s="1453"/>
      <c r="D955" s="1264" t="s">
        <v>2685</v>
      </c>
      <c r="E955" s="1454"/>
      <c r="F955" s="1455"/>
      <c r="G955" s="1456"/>
      <c r="H955" s="1457"/>
      <c r="I955" s="607" t="s">
        <v>2363</v>
      </c>
      <c r="J955" s="1458"/>
      <c r="K955" s="1626"/>
      <c r="L955" s="1452"/>
      <c r="M955" s="1747"/>
      <c r="N955" s="1747"/>
      <c r="O955" s="51"/>
    </row>
    <row r="956" spans="1:15" ht="15.75" customHeight="1">
      <c r="A956" s="2955"/>
      <c r="B956" s="780"/>
      <c r="C956" s="1340"/>
      <c r="D956" s="1142" t="s">
        <v>2686</v>
      </c>
      <c r="E956" s="1341"/>
      <c r="F956" s="335"/>
      <c r="G956" s="378"/>
      <c r="H956" s="347"/>
      <c r="I956" s="919" t="s">
        <v>2363</v>
      </c>
      <c r="J956" s="1438"/>
      <c r="K956" s="1213">
        <v>11843</v>
      </c>
      <c r="L956" s="1489" t="s">
        <v>2687</v>
      </c>
      <c r="M956" s="1229">
        <v>1050000</v>
      </c>
      <c r="N956" s="837">
        <v>0.05</v>
      </c>
      <c r="O956" s="1051">
        <f>M956*N956</f>
        <v>52500</v>
      </c>
    </row>
    <row r="957" spans="1:15" ht="15" customHeight="1">
      <c r="A957" s="2955"/>
      <c r="B957" s="1365"/>
      <c r="C957" s="1340"/>
      <c r="D957" s="409" t="s">
        <v>2688</v>
      </c>
      <c r="E957" s="1283"/>
      <c r="F957" s="336"/>
      <c r="G957" s="350"/>
      <c r="H957" s="592"/>
      <c r="I957" s="669" t="s">
        <v>2363</v>
      </c>
      <c r="J957" s="668"/>
      <c r="K957" s="1633"/>
      <c r="L957" s="1633"/>
      <c r="M957" s="1633"/>
      <c r="N957" s="1366"/>
      <c r="O957" s="51"/>
    </row>
    <row r="958" spans="1:15" ht="15" customHeight="1">
      <c r="A958" s="2955"/>
      <c r="B958" s="1365"/>
      <c r="C958" s="1340"/>
      <c r="D958" s="1166" t="s">
        <v>2689</v>
      </c>
      <c r="E958" s="1372"/>
      <c r="F958" s="705"/>
      <c r="G958" s="1373"/>
      <c r="H958" s="320"/>
      <c r="I958" s="1374" t="s">
        <v>2363</v>
      </c>
      <c r="J958" s="1375"/>
      <c r="K958" s="525"/>
      <c r="L958" s="1337"/>
      <c r="M958" s="1338"/>
      <c r="N958" s="1339"/>
      <c r="O958" s="51"/>
    </row>
    <row r="959" spans="1:15" ht="25.5" customHeight="1">
      <c r="A959" s="2955"/>
      <c r="B959" s="1422"/>
      <c r="C959" s="1423"/>
      <c r="D959" s="1267" t="s">
        <v>2690</v>
      </c>
      <c r="E959" s="1424"/>
      <c r="F959" s="1211"/>
      <c r="G959" s="350"/>
      <c r="H959" s="1006"/>
      <c r="I959" s="592" t="s">
        <v>2417</v>
      </c>
      <c r="J959" s="1375"/>
      <c r="K959" s="525"/>
      <c r="L959" s="1337"/>
      <c r="M959" s="1338"/>
      <c r="N959" s="1339"/>
      <c r="O959" s="51"/>
    </row>
    <row r="960" spans="1:15" ht="15.75" customHeight="1">
      <c r="A960" s="2955"/>
      <c r="B960" s="1213">
        <v>11782</v>
      </c>
      <c r="C960" s="362">
        <v>0.1</v>
      </c>
      <c r="D960" s="573" t="s">
        <v>2691</v>
      </c>
      <c r="E960" s="1310">
        <v>1200000</v>
      </c>
      <c r="F960" s="1466">
        <v>0.1</v>
      </c>
      <c r="G960" s="935">
        <f>E960*F960</f>
        <v>120000</v>
      </c>
      <c r="H960" s="718" t="s">
        <v>523</v>
      </c>
      <c r="I960" s="1243" t="s">
        <v>2363</v>
      </c>
      <c r="J960" s="433"/>
      <c r="K960" s="1748"/>
      <c r="L960" s="1748"/>
      <c r="M960" s="1748"/>
      <c r="N960" s="1679"/>
      <c r="O960" s="299"/>
    </row>
    <row r="961" spans="1:15" ht="15" customHeight="1">
      <c r="A961" s="2955"/>
      <c r="B961" s="433">
        <v>11795</v>
      </c>
      <c r="C961" s="362">
        <v>0.1</v>
      </c>
      <c r="D961" s="968" t="s">
        <v>2692</v>
      </c>
      <c r="E961" s="1310">
        <v>1150000</v>
      </c>
      <c r="F961" s="435">
        <v>0.05</v>
      </c>
      <c r="G961" s="935">
        <f t="shared" ref="G961:G964" si="43">E961*F961</f>
        <v>57500</v>
      </c>
      <c r="H961" s="713" t="s">
        <v>582</v>
      </c>
      <c r="I961" s="433" t="s">
        <v>2417</v>
      </c>
      <c r="J961" s="718"/>
      <c r="K961" s="844"/>
      <c r="L961" s="1246"/>
      <c r="M961" s="844"/>
      <c r="N961" s="844"/>
      <c r="O961" s="805"/>
    </row>
    <row r="962" spans="1:15" ht="15.75" customHeight="1">
      <c r="A962" s="2955"/>
      <c r="B962" s="1213">
        <v>11818</v>
      </c>
      <c r="C962" s="362">
        <v>0.1</v>
      </c>
      <c r="D962" s="1229" t="s">
        <v>2693</v>
      </c>
      <c r="E962" s="1470">
        <v>1100000</v>
      </c>
      <c r="F962" s="273">
        <v>0.1</v>
      </c>
      <c r="G962" s="935">
        <f t="shared" si="43"/>
        <v>110000</v>
      </c>
      <c r="H962" s="298" t="s">
        <v>523</v>
      </c>
      <c r="I962" s="1431" t="s">
        <v>2417</v>
      </c>
      <c r="J962" s="433"/>
      <c r="K962" s="959"/>
      <c r="L962" s="1352"/>
      <c r="M962" s="959"/>
      <c r="N962" s="959"/>
      <c r="O962" s="455"/>
    </row>
    <row r="963" spans="1:15" s="503" customFormat="1" ht="15.75" customHeight="1">
      <c r="A963" s="2955"/>
      <c r="B963" s="1213">
        <v>11910</v>
      </c>
      <c r="C963" s="362">
        <v>0.1</v>
      </c>
      <c r="D963" s="431" t="s">
        <v>2694</v>
      </c>
      <c r="E963" s="1471">
        <v>1050000</v>
      </c>
      <c r="F963" s="273">
        <v>0.1</v>
      </c>
      <c r="G963" s="935">
        <f t="shared" si="43"/>
        <v>105000</v>
      </c>
      <c r="H963" s="853" t="s">
        <v>523</v>
      </c>
      <c r="I963" s="322" t="s">
        <v>2417</v>
      </c>
      <c r="J963" s="1459"/>
      <c r="K963" s="1748"/>
      <c r="L963" s="1748"/>
      <c r="M963" s="1748"/>
      <c r="N963" s="1748"/>
      <c r="O963" s="299"/>
    </row>
    <row r="964" spans="1:15" ht="15" customHeight="1">
      <c r="A964" s="2955"/>
      <c r="B964" s="1281">
        <v>11945</v>
      </c>
      <c r="C964" s="362">
        <v>0.1</v>
      </c>
      <c r="D964" s="431" t="s">
        <v>2695</v>
      </c>
      <c r="E964" s="1502">
        <v>1300000</v>
      </c>
      <c r="F964" s="273">
        <v>0.1</v>
      </c>
      <c r="G964" s="935">
        <f t="shared" si="43"/>
        <v>130000</v>
      </c>
      <c r="H964" s="853" t="s">
        <v>523</v>
      </c>
      <c r="I964" s="322" t="s">
        <v>2417</v>
      </c>
      <c r="J964" s="1459"/>
      <c r="K964" s="1748"/>
      <c r="L964" s="1748"/>
      <c r="M964" s="1748"/>
      <c r="N964" s="1748"/>
      <c r="O964" s="286"/>
    </row>
    <row r="965" spans="1:15" ht="15" customHeight="1">
      <c r="A965" s="2955"/>
      <c r="B965" s="1275"/>
      <c r="C965" s="318"/>
      <c r="D965" s="701"/>
      <c r="E965" s="945"/>
      <c r="F965" s="1421"/>
      <c r="G965" s="523"/>
      <c r="H965" s="1376"/>
      <c r="I965" s="525"/>
      <c r="J965" s="1246"/>
      <c r="K965" s="1748"/>
      <c r="L965" s="1748"/>
      <c r="M965" s="1748"/>
      <c r="N965" s="1748"/>
      <c r="O965" s="286"/>
    </row>
    <row r="966" spans="1:15" ht="15" customHeight="1">
      <c r="A966" s="2955"/>
      <c r="B966" s="506"/>
      <c r="C966" s="675"/>
      <c r="D966" s="1144" t="s">
        <v>1833</v>
      </c>
      <c r="E966" s="475">
        <f>SUM(E960:E965)</f>
        <v>5800000</v>
      </c>
      <c r="F966" s="506"/>
      <c r="G966" s="475">
        <f>SUM(G960:G964)</f>
        <v>522500</v>
      </c>
      <c r="H966" s="891"/>
      <c r="I966" s="506"/>
      <c r="J966" s="334"/>
      <c r="K966" s="1439"/>
      <c r="O966" s="1440">
        <f>O956</f>
        <v>52500</v>
      </c>
    </row>
    <row r="967" spans="1:15" ht="15" customHeight="1">
      <c r="A967" s="2955"/>
      <c r="B967" s="813"/>
      <c r="C967" s="789"/>
      <c r="D967" s="1157" t="s">
        <v>1835</v>
      </c>
      <c r="E967" s="510">
        <f>SUM(G966+O966)</f>
        <v>575000</v>
      </c>
      <c r="F967" s="450"/>
      <c r="G967" s="481"/>
      <c r="H967" s="450"/>
      <c r="I967" s="450"/>
      <c r="J967" s="482"/>
      <c r="K967" s="453"/>
      <c r="L967" s="2794" t="s">
        <v>1859</v>
      </c>
      <c r="M967" s="2794"/>
      <c r="N967" s="2794"/>
      <c r="O967" s="1505">
        <v>575000</v>
      </c>
    </row>
    <row r="968" spans="1:15" ht="15.6">
      <c r="A968" s="2209"/>
      <c r="B968" s="799"/>
      <c r="C968" s="456"/>
      <c r="D968" s="1091"/>
      <c r="E968" s="458"/>
      <c r="F968" s="456"/>
      <c r="G968" s="459"/>
      <c r="H968" s="456"/>
      <c r="I968" s="456"/>
      <c r="J968" s="457"/>
      <c r="K968" s="460"/>
      <c r="L968" s="461"/>
      <c r="M968" s="461"/>
      <c r="N968" s="461"/>
      <c r="O968" s="455"/>
    </row>
    <row r="969" spans="1:15" ht="15.6">
      <c r="A969" s="2209"/>
      <c r="B969" s="799"/>
      <c r="C969" s="799"/>
      <c r="D969" s="1145"/>
      <c r="E969" s="801"/>
      <c r="F969" s="799"/>
      <c r="G969" s="802"/>
      <c r="H969" s="799"/>
      <c r="I969" s="799"/>
      <c r="J969" s="800"/>
      <c r="K969" s="803"/>
      <c r="L969" s="804"/>
      <c r="M969" s="804"/>
      <c r="N969" s="804"/>
      <c r="O969" s="805"/>
    </row>
    <row r="970" spans="1:15" ht="21">
      <c r="A970" s="2975" t="s">
        <v>1860</v>
      </c>
      <c r="B970" s="2975"/>
      <c r="C970" s="2975"/>
      <c r="D970" s="2975"/>
      <c r="E970" s="2975"/>
      <c r="F970" s="2975"/>
      <c r="G970" s="2975"/>
      <c r="H970" s="2975"/>
      <c r="I970" s="2975"/>
      <c r="J970" s="2975"/>
      <c r="K970" s="2811" t="s">
        <v>1805</v>
      </c>
      <c r="L970" s="2811"/>
      <c r="M970" s="2811"/>
      <c r="N970" s="2811"/>
      <c r="O970" s="2"/>
    </row>
    <row r="971" spans="1:15">
      <c r="A971" s="2218" t="s">
        <v>1806</v>
      </c>
      <c r="B971" s="1634" t="s">
        <v>1807</v>
      </c>
      <c r="C971" s="1634" t="s">
        <v>1837</v>
      </c>
      <c r="D971" s="1056" t="s">
        <v>1809</v>
      </c>
      <c r="E971" s="32" t="s">
        <v>1810</v>
      </c>
      <c r="F971" s="1634" t="s">
        <v>1811</v>
      </c>
      <c r="G971" s="167" t="s">
        <v>1812</v>
      </c>
      <c r="H971" s="1634" t="s">
        <v>1813</v>
      </c>
      <c r="I971" s="1634" t="s">
        <v>1814</v>
      </c>
      <c r="J971" s="1634" t="s">
        <v>1815</v>
      </c>
      <c r="K971" s="1626" t="s">
        <v>1807</v>
      </c>
      <c r="L971" s="1626" t="s">
        <v>1809</v>
      </c>
      <c r="M971" s="1626" t="s">
        <v>1816</v>
      </c>
      <c r="N971" s="1626" t="s">
        <v>1811</v>
      </c>
      <c r="O971" s="260" t="s">
        <v>1817</v>
      </c>
    </row>
    <row r="972" spans="1:15">
      <c r="A972" s="2954" t="s">
        <v>1818</v>
      </c>
      <c r="B972" s="754"/>
      <c r="C972" s="753"/>
      <c r="D972" s="1446" t="s">
        <v>2696</v>
      </c>
      <c r="E972" s="1449"/>
      <c r="F972" s="1203"/>
      <c r="G972" s="1204"/>
      <c r="H972" s="1343"/>
      <c r="I972" s="347" t="s">
        <v>2417</v>
      </c>
      <c r="J972" s="780"/>
      <c r="K972" s="398"/>
      <c r="L972" s="1626"/>
      <c r="M972" s="1626"/>
      <c r="N972" s="1626"/>
      <c r="O972" s="260"/>
    </row>
    <row r="973" spans="1:15" ht="27">
      <c r="A973" s="2954"/>
      <c r="B973" s="754"/>
      <c r="C973" s="1232">
        <v>0.1</v>
      </c>
      <c r="D973" s="1142" t="s">
        <v>2697</v>
      </c>
      <c r="E973" s="1233"/>
      <c r="F973" s="780"/>
      <c r="G973" s="782"/>
      <c r="H973" s="1371"/>
      <c r="I973" s="780" t="s">
        <v>2417</v>
      </c>
      <c r="J973" s="753"/>
      <c r="K973" s="398"/>
      <c r="L973" s="1626"/>
      <c r="M973" s="1626"/>
      <c r="N973" s="1626"/>
      <c r="O973" s="260"/>
    </row>
    <row r="974" spans="1:15">
      <c r="A974" s="2954"/>
      <c r="B974" s="754"/>
      <c r="C974" s="1232">
        <v>0.1</v>
      </c>
      <c r="D974" s="98" t="s">
        <v>2698</v>
      </c>
      <c r="E974" s="1060"/>
      <c r="F974" s="1218"/>
      <c r="G974" s="98"/>
      <c r="H974" s="98"/>
      <c r="I974" s="999" t="s">
        <v>2417</v>
      </c>
      <c r="J974" s="592"/>
      <c r="K974" s="398"/>
      <c r="L974" s="1626"/>
      <c r="M974" s="1626"/>
      <c r="N974" s="1626"/>
      <c r="O974" s="260"/>
    </row>
    <row r="975" spans="1:15">
      <c r="A975" s="2954"/>
      <c r="B975" s="754"/>
      <c r="C975" s="1232">
        <v>0.1</v>
      </c>
      <c r="D975" s="714" t="s">
        <v>2699</v>
      </c>
      <c r="E975" s="1389"/>
      <c r="F975" s="1218"/>
      <c r="G975" s="98"/>
      <c r="H975" s="98"/>
      <c r="I975" s="999" t="s">
        <v>2417</v>
      </c>
      <c r="J975" s="592"/>
      <c r="K975" s="398"/>
      <c r="L975" s="1626"/>
      <c r="M975" s="1626"/>
      <c r="N975" s="1626"/>
      <c r="O975" s="260"/>
    </row>
    <row r="976" spans="1:15">
      <c r="A976" s="2954"/>
      <c r="B976" s="1417">
        <v>11811</v>
      </c>
      <c r="C976" s="837">
        <v>0.1</v>
      </c>
      <c r="D976" s="1143" t="s">
        <v>2681</v>
      </c>
      <c r="E976" s="1472">
        <v>880000</v>
      </c>
      <c r="F976" s="837">
        <v>0.05</v>
      </c>
      <c r="G976" s="839">
        <f>E976*F976</f>
        <v>44000</v>
      </c>
      <c r="H976" s="1360" t="s">
        <v>582</v>
      </c>
      <c r="I976" s="836" t="s">
        <v>2363</v>
      </c>
      <c r="J976" s="836"/>
      <c r="K976" s="398"/>
      <c r="L976" s="1626"/>
      <c r="M976" s="1626"/>
      <c r="N976" s="1626"/>
      <c r="O976" s="260"/>
    </row>
    <row r="977" spans="1:15">
      <c r="A977" s="2954"/>
      <c r="B977" s="1345">
        <v>11812</v>
      </c>
      <c r="C977" s="1390">
        <v>0.1</v>
      </c>
      <c r="D977" s="1143" t="s">
        <v>2700</v>
      </c>
      <c r="E977" s="1472">
        <v>1200000</v>
      </c>
      <c r="F977" s="837">
        <v>0.06</v>
      </c>
      <c r="G977" s="839">
        <f t="shared" ref="G977:G983" si="44">E977*F977</f>
        <v>72000</v>
      </c>
      <c r="H977" s="1206" t="s">
        <v>118</v>
      </c>
      <c r="I977" s="836" t="s">
        <v>2363</v>
      </c>
      <c r="J977" s="836"/>
      <c r="K977" s="398"/>
      <c r="L977" s="1626"/>
      <c r="M977" s="1626"/>
      <c r="N977" s="1626"/>
      <c r="O977" s="260"/>
    </row>
    <row r="978" spans="1:15" ht="15.6">
      <c r="A978" s="2954"/>
      <c r="B978" s="1507">
        <v>11802</v>
      </c>
      <c r="C978" s="1508">
        <v>0.1</v>
      </c>
      <c r="D978" s="1245" t="s">
        <v>2701</v>
      </c>
      <c r="E978" s="1472">
        <v>850000</v>
      </c>
      <c r="F978" s="837">
        <v>0.1</v>
      </c>
      <c r="G978" s="839">
        <f t="shared" si="44"/>
        <v>85000</v>
      </c>
      <c r="H978" s="1360" t="s">
        <v>748</v>
      </c>
      <c r="I978" s="836" t="s">
        <v>2417</v>
      </c>
      <c r="J978" s="836"/>
      <c r="K978" s="398"/>
      <c r="L978" s="1626"/>
      <c r="M978" s="1626"/>
      <c r="N978" s="1626"/>
      <c r="O978" s="260"/>
    </row>
    <row r="979" spans="1:15" ht="15.6">
      <c r="A979" s="2954"/>
      <c r="B979" s="1213">
        <v>11843</v>
      </c>
      <c r="C979" s="837">
        <v>0.1</v>
      </c>
      <c r="D979" s="1415" t="s">
        <v>2702</v>
      </c>
      <c r="E979" s="1473">
        <v>1050000</v>
      </c>
      <c r="F979" s="302">
        <v>0.05</v>
      </c>
      <c r="G979" s="839">
        <f t="shared" si="44"/>
        <v>52500</v>
      </c>
      <c r="H979" s="1226" t="s">
        <v>523</v>
      </c>
      <c r="I979" s="433" t="s">
        <v>2363</v>
      </c>
      <c r="J979" s="836"/>
      <c r="K979" s="398"/>
      <c r="L979" s="1626"/>
      <c r="M979" s="1626"/>
      <c r="N979" s="1626"/>
      <c r="O979" s="260"/>
    </row>
    <row r="980" spans="1:15">
      <c r="A980" s="2954"/>
      <c r="B980" s="836">
        <v>11868</v>
      </c>
      <c r="C980" s="837">
        <v>0.1</v>
      </c>
      <c r="D980" s="1415" t="s">
        <v>2703</v>
      </c>
      <c r="E980" s="1473">
        <v>800000</v>
      </c>
      <c r="F980" s="302">
        <v>0.1</v>
      </c>
      <c r="G980" s="839">
        <f t="shared" si="44"/>
        <v>80000</v>
      </c>
      <c r="H980" s="1226" t="s">
        <v>748</v>
      </c>
      <c r="I980" s="433" t="s">
        <v>2704</v>
      </c>
      <c r="J980" s="836"/>
      <c r="K980" s="398"/>
      <c r="L980" s="1626"/>
      <c r="M980" s="1626"/>
      <c r="N980" s="1626"/>
      <c r="O980" s="260"/>
    </row>
    <row r="981" spans="1:15">
      <c r="A981" s="2954"/>
      <c r="B981" s="836">
        <v>11897</v>
      </c>
      <c r="C981" s="837">
        <v>0.1</v>
      </c>
      <c r="D981" s="1415" t="s">
        <v>2705</v>
      </c>
      <c r="E981" s="1473">
        <v>1000000</v>
      </c>
      <c r="F981" s="302">
        <v>0.1</v>
      </c>
      <c r="G981" s="839">
        <f t="shared" si="44"/>
        <v>100000</v>
      </c>
      <c r="H981" s="1226" t="s">
        <v>748</v>
      </c>
      <c r="I981" s="433" t="s">
        <v>2363</v>
      </c>
      <c r="J981" s="836"/>
      <c r="K981" s="1747"/>
      <c r="L981" s="1626"/>
      <c r="M981" s="1626"/>
      <c r="N981" s="1626"/>
      <c r="O981" s="260"/>
    </row>
    <row r="982" spans="1:15" s="503" customFormat="1">
      <c r="A982" s="2954"/>
      <c r="B982" s="836">
        <v>11930</v>
      </c>
      <c r="C982" s="837">
        <v>0.1</v>
      </c>
      <c r="D982" s="1506" t="s">
        <v>2706</v>
      </c>
      <c r="E982" s="1473">
        <v>1150000</v>
      </c>
      <c r="F982" s="302">
        <v>0.1</v>
      </c>
      <c r="G982" s="839">
        <f t="shared" si="44"/>
        <v>115000</v>
      </c>
      <c r="H982" s="1226" t="s">
        <v>748</v>
      </c>
      <c r="I982" s="433" t="s">
        <v>2417</v>
      </c>
      <c r="J982" s="836"/>
      <c r="K982" s="398"/>
      <c r="L982" s="1626"/>
      <c r="M982" s="1626"/>
      <c r="N982" s="1626"/>
      <c r="O982" s="1044"/>
    </row>
    <row r="983" spans="1:15" s="503" customFormat="1">
      <c r="A983" s="2954"/>
      <c r="B983" s="1033">
        <v>11932</v>
      </c>
      <c r="C983" s="837">
        <v>0.1</v>
      </c>
      <c r="D983" s="1506" t="s">
        <v>2707</v>
      </c>
      <c r="E983" s="1473">
        <v>1200000</v>
      </c>
      <c r="F983" s="302">
        <v>0.1</v>
      </c>
      <c r="G983" s="839">
        <f t="shared" si="44"/>
        <v>120000</v>
      </c>
      <c r="H983" s="1226" t="s">
        <v>748</v>
      </c>
      <c r="I983" s="433" t="s">
        <v>2363</v>
      </c>
      <c r="J983" s="836"/>
      <c r="K983" s="398"/>
      <c r="L983" s="1626"/>
      <c r="M983" s="1626"/>
      <c r="N983" s="1626"/>
      <c r="O983" s="1044"/>
    </row>
    <row r="984" spans="1:15" s="503" customFormat="1">
      <c r="A984" s="2954"/>
      <c r="B984" s="1509"/>
      <c r="C984" s="1510"/>
      <c r="D984" s="1404"/>
      <c r="E984" s="1274"/>
      <c r="F984" s="991"/>
      <c r="G984" s="914"/>
      <c r="H984" s="1177"/>
      <c r="I984" s="1748"/>
      <c r="J984" s="1747"/>
      <c r="K984" s="398"/>
      <c r="L984" s="1626"/>
      <c r="M984" s="1626"/>
      <c r="N984" s="1626"/>
      <c r="O984" s="1044"/>
    </row>
    <row r="985" spans="1:15" ht="15" customHeight="1">
      <c r="A985" s="2954"/>
      <c r="B985" s="64"/>
      <c r="C985" s="1425"/>
      <c r="D985" s="1146"/>
      <c r="E985" s="1400"/>
      <c r="F985" s="1747"/>
      <c r="G985" s="807"/>
      <c r="H985" s="1357"/>
      <c r="I985" s="1747"/>
      <c r="J985" s="1747"/>
      <c r="K985" s="300"/>
      <c r="L985" s="1276"/>
      <c r="M985" s="1161"/>
      <c r="N985" s="719"/>
      <c r="O985" s="1748"/>
    </row>
    <row r="986" spans="1:15" ht="15" customHeight="1">
      <c r="A986" s="2954"/>
      <c r="B986" s="891"/>
      <c r="C986" s="506"/>
      <c r="D986" s="1089" t="s">
        <v>1833</v>
      </c>
      <c r="E986" s="475">
        <f>SUM(E976:E985)</f>
        <v>8130000</v>
      </c>
      <c r="F986" s="506"/>
      <c r="G986" s="475">
        <f>SUM(G976:G984)</f>
        <v>668500</v>
      </c>
      <c r="H986" s="506"/>
      <c r="I986" s="506"/>
      <c r="J986" s="334"/>
      <c r="K986" s="279"/>
      <c r="L986" s="2916" t="s">
        <v>1859</v>
      </c>
      <c r="M986" s="2916"/>
      <c r="N986" s="2916"/>
      <c r="O986" s="1511">
        <v>668500</v>
      </c>
    </row>
    <row r="987" spans="1:15" ht="15.75" customHeight="1">
      <c r="A987" s="2954"/>
      <c r="B987" s="892"/>
      <c r="C987" s="813"/>
      <c r="D987" s="483" t="s">
        <v>1835</v>
      </c>
      <c r="E987" s="814">
        <f>G986</f>
        <v>668500</v>
      </c>
      <c r="F987" s="813"/>
      <c r="G987" s="815"/>
      <c r="H987" s="813"/>
      <c r="I987" s="813"/>
      <c r="J987" s="816"/>
      <c r="K987" s="279"/>
      <c r="L987" s="817"/>
      <c r="M987" s="817"/>
      <c r="N987" s="817"/>
      <c r="O987" s="286"/>
    </row>
    <row r="988" spans="1:15" ht="15.6">
      <c r="A988" s="2209"/>
      <c r="B988" s="456"/>
      <c r="C988" s="456"/>
      <c r="D988" s="1091"/>
      <c r="E988" s="458"/>
      <c r="F988" s="456"/>
      <c r="G988" s="459"/>
      <c r="H988" s="456"/>
      <c r="I988" s="456"/>
      <c r="J988" s="457"/>
      <c r="K988" s="460"/>
      <c r="L988" s="461"/>
      <c r="M988" s="461"/>
      <c r="N988" s="461"/>
      <c r="O988" s="455"/>
    </row>
    <row r="989" spans="1:15" ht="15.6">
      <c r="A989" s="2209"/>
      <c r="B989" s="799"/>
      <c r="C989" s="799"/>
      <c r="D989" s="1145"/>
      <c r="E989" s="801"/>
      <c r="F989" s="799"/>
      <c r="G989" s="802"/>
      <c r="H989" s="799"/>
      <c r="I989" s="799"/>
      <c r="J989" s="800"/>
      <c r="K989" s="803"/>
      <c r="L989" s="804"/>
      <c r="M989" s="804"/>
      <c r="N989" s="804"/>
      <c r="O989" s="805"/>
    </row>
    <row r="990" spans="1:15" ht="21">
      <c r="A990" s="2967" t="s">
        <v>1875</v>
      </c>
      <c r="B990" s="2967"/>
      <c r="C990" s="2967"/>
      <c r="D990" s="2967"/>
      <c r="E990" s="2967"/>
      <c r="F990" s="2967"/>
      <c r="G990" s="2967"/>
      <c r="H990" s="2967"/>
      <c r="I990" s="2967"/>
      <c r="J990" s="2967"/>
      <c r="K990" s="279"/>
      <c r="L990" s="818"/>
      <c r="M990" s="818"/>
      <c r="N990" s="818"/>
      <c r="O990" s="286"/>
    </row>
    <row r="991" spans="1:15">
      <c r="A991" s="2218" t="s">
        <v>1806</v>
      </c>
      <c r="B991" s="3" t="s">
        <v>1807</v>
      </c>
      <c r="C991" s="3" t="s">
        <v>1837</v>
      </c>
      <c r="D991" s="1059" t="s">
        <v>1809</v>
      </c>
      <c r="E991" s="4" t="s">
        <v>1810</v>
      </c>
      <c r="F991" s="3" t="s">
        <v>1811</v>
      </c>
      <c r="G991" s="5" t="s">
        <v>1812</v>
      </c>
      <c r="H991" s="3" t="s">
        <v>1813</v>
      </c>
      <c r="I991" s="3" t="s">
        <v>1814</v>
      </c>
      <c r="J991" s="23" t="s">
        <v>1815</v>
      </c>
      <c r="K991" s="1747" t="s">
        <v>1807</v>
      </c>
      <c r="L991" s="1747" t="s">
        <v>1809</v>
      </c>
      <c r="M991" s="1747" t="s">
        <v>1816</v>
      </c>
      <c r="N991" s="1747" t="s">
        <v>1811</v>
      </c>
      <c r="O991" s="2" t="s">
        <v>1817</v>
      </c>
    </row>
    <row r="992" spans="1:15">
      <c r="A992" s="2218"/>
      <c r="B992" s="784"/>
      <c r="C992" s="1207"/>
      <c r="D992" s="714" t="s">
        <v>2708</v>
      </c>
      <c r="E992" s="1176"/>
      <c r="F992" s="1203"/>
      <c r="G992" s="1204"/>
      <c r="H992" s="1343"/>
      <c r="I992" s="377" t="s">
        <v>2363</v>
      </c>
      <c r="J992" s="23"/>
      <c r="K992" s="1747"/>
      <c r="L992" s="1747"/>
      <c r="M992" s="1747"/>
      <c r="N992" s="1747"/>
      <c r="O992" s="2"/>
    </row>
    <row r="993" spans="1:15">
      <c r="A993" s="2956" t="s">
        <v>2709</v>
      </c>
      <c r="B993" s="784"/>
      <c r="C993" s="1207"/>
      <c r="D993" s="1307" t="s">
        <v>2710</v>
      </c>
      <c r="E993" s="1348"/>
      <c r="F993" s="780"/>
      <c r="G993" s="1349"/>
      <c r="H993" s="780"/>
      <c r="I993" s="1307" t="s">
        <v>2417</v>
      </c>
      <c r="J993" s="23"/>
      <c r="K993" s="1432">
        <v>11822</v>
      </c>
      <c r="L993" s="1284" t="s">
        <v>2684</v>
      </c>
      <c r="M993" s="1229">
        <v>1600000</v>
      </c>
      <c r="N993" s="837">
        <v>0.05</v>
      </c>
      <c r="O993" s="851">
        <f>M993*N993</f>
        <v>80000</v>
      </c>
    </row>
    <row r="994" spans="1:15">
      <c r="A994" s="2956"/>
      <c r="B994" s="784"/>
      <c r="C994" s="1342"/>
      <c r="D994" s="714" t="s">
        <v>2711</v>
      </c>
      <c r="E994" s="1176"/>
      <c r="F994" s="1203"/>
      <c r="G994" s="1204"/>
      <c r="H994" s="1343"/>
      <c r="I994" s="377" t="s">
        <v>2417</v>
      </c>
      <c r="J994" s="23"/>
      <c r="K994" s="1302">
        <v>11919</v>
      </c>
      <c r="L994" s="1206" t="s">
        <v>2712</v>
      </c>
      <c r="M994" s="1360">
        <v>1400000</v>
      </c>
      <c r="N994" s="837">
        <v>0.04</v>
      </c>
      <c r="O994" s="851">
        <f t="shared" ref="O994:O995" si="45">M994*N994</f>
        <v>56000</v>
      </c>
    </row>
    <row r="995" spans="1:15">
      <c r="A995" s="2956"/>
      <c r="B995" s="784"/>
      <c r="C995" s="1342"/>
      <c r="D995" s="714" t="s">
        <v>2713</v>
      </c>
      <c r="E995" s="1176"/>
      <c r="F995" s="1203"/>
      <c r="G995" s="1204"/>
      <c r="H995" s="1343"/>
      <c r="I995" s="377" t="s">
        <v>2417</v>
      </c>
      <c r="J995" s="23"/>
      <c r="K995" s="836">
        <v>11941</v>
      </c>
      <c r="L995" s="1206" t="s">
        <v>2714</v>
      </c>
      <c r="M995" s="1360">
        <v>1000000</v>
      </c>
      <c r="N995" s="837">
        <v>0.05</v>
      </c>
      <c r="O995" s="851">
        <f t="shared" si="45"/>
        <v>50000</v>
      </c>
    </row>
    <row r="996" spans="1:15">
      <c r="A996" s="2956"/>
      <c r="B996" s="784"/>
      <c r="C996" s="1342"/>
      <c r="D996" s="714" t="s">
        <v>2715</v>
      </c>
      <c r="E996" s="1176"/>
      <c r="F996" s="1203"/>
      <c r="G996" s="1204"/>
      <c r="H996" s="1343"/>
      <c r="I996" s="377" t="s">
        <v>2363</v>
      </c>
      <c r="J996" s="23"/>
      <c r="K996" s="1747"/>
      <c r="L996" s="1747"/>
      <c r="M996" s="1747"/>
      <c r="N996" s="1747"/>
      <c r="O996" s="2"/>
    </row>
    <row r="997" spans="1:15" ht="15.6">
      <c r="A997" s="2956"/>
      <c r="B997" s="1411"/>
      <c r="C997" s="1263"/>
      <c r="D997" s="1262" t="s">
        <v>2716</v>
      </c>
      <c r="E997" s="1208"/>
      <c r="F997" s="347"/>
      <c r="G997" s="378"/>
      <c r="H997" s="377"/>
      <c r="I997" s="377" t="s">
        <v>2363</v>
      </c>
      <c r="J997" s="23"/>
      <c r="K997" s="1747"/>
      <c r="L997" s="1747"/>
      <c r="M997" s="1747"/>
      <c r="N997" s="1747"/>
      <c r="O997" s="2"/>
    </row>
    <row r="998" spans="1:15" ht="27">
      <c r="A998" s="2956"/>
      <c r="B998" s="1411"/>
      <c r="C998" s="1263"/>
      <c r="D998" s="714" t="s">
        <v>2717</v>
      </c>
      <c r="E998" s="1208"/>
      <c r="F998" s="347"/>
      <c r="G998" s="378"/>
      <c r="H998" s="377"/>
      <c r="I998" s="377" t="s">
        <v>2417</v>
      </c>
      <c r="J998" s="1679"/>
      <c r="K998" s="1747"/>
      <c r="L998" s="1747"/>
      <c r="M998" s="1747"/>
      <c r="N998" s="1747"/>
      <c r="O998" s="2"/>
    </row>
    <row r="999" spans="1:15" s="503" customFormat="1">
      <c r="A999" s="2956"/>
      <c r="B999" s="1345">
        <v>11761</v>
      </c>
      <c r="C999" s="418">
        <v>0.1</v>
      </c>
      <c r="D999" s="576" t="s">
        <v>2718</v>
      </c>
      <c r="E999" s="1474">
        <v>1000000</v>
      </c>
      <c r="F999" s="302">
        <v>0.1</v>
      </c>
      <c r="G999" s="588">
        <f>E999*F999</f>
        <v>100000</v>
      </c>
      <c r="H999" s="573" t="s">
        <v>527</v>
      </c>
      <c r="I999" s="573" t="s">
        <v>2363</v>
      </c>
      <c r="J999" s="118"/>
      <c r="K999" s="1747"/>
      <c r="L999" s="1747"/>
      <c r="M999" s="1747"/>
      <c r="N999" s="1747"/>
      <c r="O999" s="51"/>
    </row>
    <row r="1000" spans="1:15" s="503" customFormat="1">
      <c r="A1000" s="2956"/>
      <c r="B1000" s="1417">
        <v>11766</v>
      </c>
      <c r="C1000" s="416">
        <v>0.1</v>
      </c>
      <c r="D1000" s="431" t="s">
        <v>2719</v>
      </c>
      <c r="E1000" s="1473">
        <v>1250000</v>
      </c>
      <c r="F1000" s="302">
        <v>0.05</v>
      </c>
      <c r="G1000" s="588">
        <f t="shared" ref="G1000:G1003" si="46">E1000*F1000</f>
        <v>62500</v>
      </c>
      <c r="H1000" s="1226" t="s">
        <v>2720</v>
      </c>
      <c r="I1000" s="573" t="s">
        <v>2363</v>
      </c>
      <c r="J1000" s="118"/>
      <c r="K1000" s="1747"/>
      <c r="L1000" s="1747"/>
      <c r="M1000" s="1747"/>
      <c r="N1000" s="1747"/>
      <c r="O1000" s="51"/>
    </row>
    <row r="1001" spans="1:15" s="503" customFormat="1" ht="15.6">
      <c r="A1001" s="2956"/>
      <c r="B1001" s="1462">
        <v>11783</v>
      </c>
      <c r="C1001" s="273">
        <v>0.1</v>
      </c>
      <c r="D1001" s="910" t="s">
        <v>2721</v>
      </c>
      <c r="E1001" s="1473">
        <v>650000</v>
      </c>
      <c r="F1001" s="302">
        <v>0.1</v>
      </c>
      <c r="G1001" s="588">
        <f t="shared" si="46"/>
        <v>65000</v>
      </c>
      <c r="H1001" s="1226" t="s">
        <v>2722</v>
      </c>
      <c r="I1001" s="573" t="s">
        <v>2363</v>
      </c>
      <c r="J1001" s="118"/>
      <c r="K1001" s="1747"/>
      <c r="L1001" s="1747"/>
      <c r="M1001" s="1747"/>
      <c r="N1001" s="1747"/>
      <c r="O1001" s="51"/>
    </row>
    <row r="1002" spans="1:15" ht="15.75" customHeight="1">
      <c r="A1002" s="2956"/>
      <c r="B1002" s="1463">
        <v>11846</v>
      </c>
      <c r="C1002" s="578">
        <v>0.1</v>
      </c>
      <c r="D1002" s="1426" t="s">
        <v>2723</v>
      </c>
      <c r="E1002" s="1310">
        <v>1500000</v>
      </c>
      <c r="F1002" s="302">
        <v>0.1</v>
      </c>
      <c r="G1002" s="588">
        <f t="shared" si="46"/>
        <v>150000</v>
      </c>
      <c r="H1002" s="573" t="s">
        <v>527</v>
      </c>
      <c r="I1002" s="573" t="s">
        <v>2417</v>
      </c>
      <c r="J1002" s="1679"/>
      <c r="K1002" s="1748"/>
      <c r="L1002" s="1748"/>
      <c r="M1002" s="1748"/>
      <c r="N1002" s="1748"/>
      <c r="O1002" s="299"/>
    </row>
    <row r="1003" spans="1:15" ht="15.75" customHeight="1">
      <c r="A1003" s="2956"/>
      <c r="B1003" s="1464">
        <v>11896</v>
      </c>
      <c r="C1003" s="302">
        <v>0.1</v>
      </c>
      <c r="D1003" s="1442" t="s">
        <v>2724</v>
      </c>
      <c r="E1003" s="1474">
        <v>1100000</v>
      </c>
      <c r="F1003" s="302">
        <v>0.06</v>
      </c>
      <c r="G1003" s="588">
        <f t="shared" si="46"/>
        <v>66000</v>
      </c>
      <c r="H1003" s="573" t="s">
        <v>118</v>
      </c>
      <c r="I1003" s="573" t="s">
        <v>2417</v>
      </c>
      <c r="J1003" s="1679"/>
      <c r="K1003" s="1748"/>
      <c r="L1003" s="1748"/>
      <c r="M1003" s="1748"/>
      <c r="N1003" s="1748"/>
      <c r="O1003" s="299"/>
    </row>
    <row r="1004" spans="1:15" ht="15.75" customHeight="1">
      <c r="A1004" s="2956"/>
      <c r="B1004" s="1410"/>
      <c r="C1004" s="1441"/>
      <c r="D1004" s="1161"/>
      <c r="E1004" s="944"/>
      <c r="F1004" s="1748"/>
      <c r="G1004" s="940"/>
      <c r="H1004" s="943"/>
      <c r="I1004" s="943"/>
      <c r="J1004" s="1679"/>
      <c r="K1004" s="1748"/>
      <c r="L1004" s="1748"/>
      <c r="M1004" s="1748"/>
      <c r="N1004" s="1748"/>
      <c r="O1004" s="299"/>
    </row>
    <row r="1005" spans="1:15" ht="15.75" customHeight="1">
      <c r="A1005" s="2956"/>
      <c r="B1005" s="1410"/>
      <c r="C1005" s="1441"/>
      <c r="D1005" s="1161"/>
      <c r="E1005" s="944"/>
      <c r="F1005" s="1748"/>
      <c r="G1005" s="940"/>
      <c r="H1005" s="943"/>
      <c r="I1005" s="943"/>
      <c r="J1005" s="1679"/>
      <c r="K1005" s="1748"/>
      <c r="L1005" s="1748"/>
      <c r="M1005" s="1748"/>
      <c r="N1005" s="1748"/>
      <c r="O1005" s="299"/>
    </row>
    <row r="1006" spans="1:15" ht="15" customHeight="1">
      <c r="A1006" s="2956"/>
      <c r="B1006" s="891"/>
      <c r="C1006" s="506"/>
      <c r="D1006" s="1144" t="s">
        <v>1833</v>
      </c>
      <c r="E1006" s="475">
        <f>SUM(E999:E1004)</f>
        <v>5500000</v>
      </c>
      <c r="F1006" s="506"/>
      <c r="G1006" s="475">
        <f>SUM(G999:G1003)</f>
        <v>443500</v>
      </c>
      <c r="H1006" s="506"/>
      <c r="I1006" s="506"/>
      <c r="J1006" s="829"/>
      <c r="K1006" s="279"/>
      <c r="O1006" s="821">
        <f>SUM(O993:O996)</f>
        <v>186000</v>
      </c>
    </row>
    <row r="1007" spans="1:15" ht="15" customHeight="1">
      <c r="A1007" s="2956"/>
      <c r="B1007" s="892"/>
      <c r="C1007" s="813"/>
      <c r="D1007" s="1155" t="s">
        <v>1835</v>
      </c>
      <c r="E1007" s="814">
        <f>G1006+O1006</f>
        <v>629500</v>
      </c>
      <c r="F1007" s="813"/>
      <c r="G1007" s="815"/>
      <c r="H1007" s="813"/>
      <c r="I1007" s="813"/>
      <c r="J1007" s="830"/>
      <c r="K1007" s="279"/>
      <c r="L1007" s="2849" t="s">
        <v>1859</v>
      </c>
      <c r="M1007" s="2849"/>
      <c r="N1007" s="2849"/>
      <c r="O1007" s="1512">
        <v>629500</v>
      </c>
    </row>
    <row r="1008" spans="1:15" ht="15.6">
      <c r="A1008" s="2209"/>
      <c r="B1008" s="456"/>
      <c r="C1008" s="456"/>
      <c r="D1008" s="1091"/>
      <c r="E1008" s="458"/>
      <c r="F1008" s="456"/>
      <c r="G1008" s="459"/>
      <c r="H1008" s="456"/>
      <c r="I1008" s="456"/>
      <c r="J1008" s="457"/>
      <c r="K1008" s="460"/>
      <c r="L1008" s="461"/>
      <c r="M1008" s="461"/>
      <c r="N1008" s="461"/>
      <c r="O1008" s="455"/>
    </row>
    <row r="1009" spans="1:15" ht="15.6">
      <c r="A1009" s="2209"/>
      <c r="B1009" s="799"/>
      <c r="C1009" s="799"/>
      <c r="D1009" s="1145"/>
      <c r="E1009" s="801"/>
      <c r="F1009" s="799"/>
      <c r="G1009" s="802"/>
      <c r="H1009" s="799"/>
      <c r="I1009" s="799"/>
      <c r="J1009" s="800"/>
      <c r="K1009" s="803"/>
      <c r="L1009" s="804"/>
      <c r="M1009" s="804"/>
      <c r="N1009" s="804"/>
      <c r="O1009" s="805"/>
    </row>
    <row r="1010" spans="1:15" ht="21">
      <c r="A1010" s="2967" t="s">
        <v>1887</v>
      </c>
      <c r="B1010" s="2967"/>
      <c r="C1010" s="2967"/>
      <c r="D1010" s="2967"/>
      <c r="E1010" s="2967"/>
      <c r="F1010" s="2967"/>
      <c r="G1010" s="2967"/>
      <c r="H1010" s="2967"/>
      <c r="I1010" s="2967"/>
      <c r="J1010" s="2967"/>
      <c r="K1010" s="279"/>
      <c r="L1010" s="818"/>
      <c r="M1010" s="818"/>
      <c r="N1010" s="818"/>
      <c r="O1010" s="286"/>
    </row>
    <row r="1011" spans="1:15">
      <c r="A1011" s="2218" t="s">
        <v>1806</v>
      </c>
      <c r="B1011" s="3" t="s">
        <v>1807</v>
      </c>
      <c r="C1011" s="3" t="s">
        <v>1837</v>
      </c>
      <c r="D1011" s="1059" t="s">
        <v>1809</v>
      </c>
      <c r="E1011" s="4" t="s">
        <v>1810</v>
      </c>
      <c r="F1011" s="3" t="s">
        <v>1811</v>
      </c>
      <c r="G1011" s="5" t="s">
        <v>1812</v>
      </c>
      <c r="H1011" s="3" t="s">
        <v>1813</v>
      </c>
      <c r="I1011" s="3" t="s">
        <v>1814</v>
      </c>
      <c r="J1011" s="23" t="s">
        <v>1815</v>
      </c>
      <c r="K1011" s="1747" t="s">
        <v>1807</v>
      </c>
      <c r="L1011" s="1747" t="s">
        <v>1809</v>
      </c>
      <c r="M1011" s="1747" t="s">
        <v>1816</v>
      </c>
      <c r="N1011" s="1747" t="s">
        <v>1811</v>
      </c>
      <c r="O1011" s="2" t="s">
        <v>1817</v>
      </c>
    </row>
    <row r="1012" spans="1:15">
      <c r="A1012" s="2956" t="s">
        <v>2725</v>
      </c>
      <c r="B1012" s="1417">
        <v>11876</v>
      </c>
      <c r="C1012" s="1298">
        <v>0.1</v>
      </c>
      <c r="D1012" s="1206" t="s">
        <v>2726</v>
      </c>
      <c r="E1012" s="1475">
        <v>850000</v>
      </c>
      <c r="F1012" s="837">
        <v>0.1</v>
      </c>
      <c r="G1012" s="1418">
        <f>E1012*F1012</f>
        <v>85000</v>
      </c>
      <c r="H1012" s="836" t="s">
        <v>2727</v>
      </c>
      <c r="I1012" s="1206" t="s">
        <v>2363</v>
      </c>
      <c r="J1012" s="118"/>
      <c r="K1012" s="1747"/>
      <c r="L1012" s="1747"/>
      <c r="M1012" s="1747"/>
      <c r="N1012" s="1747"/>
      <c r="O1012" s="2"/>
    </row>
    <row r="1013" spans="1:15">
      <c r="A1013" s="2956"/>
      <c r="B1013" s="1417">
        <v>11886</v>
      </c>
      <c r="C1013" s="1419">
        <v>0.1</v>
      </c>
      <c r="D1013" s="576" t="s">
        <v>2728</v>
      </c>
      <c r="E1013" s="1476">
        <v>1050000</v>
      </c>
      <c r="F1013" s="302">
        <v>0.1</v>
      </c>
      <c r="G1013" s="1418">
        <f t="shared" ref="G1013:G1018" si="47">E1013*F1013</f>
        <v>105000</v>
      </c>
      <c r="H1013" s="573" t="s">
        <v>2727</v>
      </c>
      <c r="I1013" s="573" t="s">
        <v>2417</v>
      </c>
      <c r="J1013" s="118"/>
      <c r="K1013" s="1747"/>
      <c r="L1013" s="1747"/>
      <c r="M1013" s="1747"/>
      <c r="N1013" s="1747"/>
      <c r="O1013" s="2"/>
    </row>
    <row r="1014" spans="1:15">
      <c r="A1014" s="2956"/>
      <c r="B1014" s="836">
        <v>11919</v>
      </c>
      <c r="C1014" s="1301">
        <v>0.09</v>
      </c>
      <c r="D1014" s="431" t="s">
        <v>2729</v>
      </c>
      <c r="E1014" s="1477">
        <v>1400000</v>
      </c>
      <c r="F1014" s="302">
        <v>0.04</v>
      </c>
      <c r="G1014" s="1418">
        <f t="shared" si="47"/>
        <v>56000</v>
      </c>
      <c r="H1014" s="1226" t="s">
        <v>527</v>
      </c>
      <c r="I1014" s="573" t="s">
        <v>2730</v>
      </c>
      <c r="J1014" s="23"/>
      <c r="K1014" s="1747"/>
      <c r="L1014" s="1747"/>
      <c r="M1014" s="1747"/>
      <c r="N1014" s="1747"/>
      <c r="O1014" s="2"/>
    </row>
    <row r="1015" spans="1:15">
      <c r="A1015" s="2956"/>
      <c r="B1015" s="836">
        <v>11926</v>
      </c>
      <c r="C1015" s="1301">
        <v>0.1</v>
      </c>
      <c r="D1015" s="431" t="s">
        <v>2731</v>
      </c>
      <c r="E1015" s="1477">
        <v>920000</v>
      </c>
      <c r="F1015" s="302">
        <v>0.1</v>
      </c>
      <c r="G1015" s="1418">
        <f t="shared" si="47"/>
        <v>92000</v>
      </c>
      <c r="H1015" s="1226" t="s">
        <v>2727</v>
      </c>
      <c r="I1015" s="573" t="s">
        <v>2417</v>
      </c>
      <c r="J1015" s="118"/>
      <c r="K1015" s="1747"/>
      <c r="L1015" s="1747"/>
      <c r="M1015" s="1747"/>
      <c r="N1015" s="1747"/>
      <c r="O1015" s="51"/>
    </row>
    <row r="1016" spans="1:15" s="503" customFormat="1">
      <c r="A1016" s="2956"/>
      <c r="B1016" s="836">
        <v>11944</v>
      </c>
      <c r="C1016" s="314">
        <v>0.1</v>
      </c>
      <c r="D1016" s="1158" t="s">
        <v>2732</v>
      </c>
      <c r="E1016" s="1320">
        <v>1050000</v>
      </c>
      <c r="F1016" s="302">
        <v>0.1</v>
      </c>
      <c r="G1016" s="1418">
        <f t="shared" ref="G1016" si="48">E1016*F1016</f>
        <v>105000</v>
      </c>
      <c r="H1016" s="573" t="s">
        <v>2727</v>
      </c>
      <c r="I1016" s="573" t="s">
        <v>2417</v>
      </c>
      <c r="J1016" s="118"/>
      <c r="K1016" s="1747"/>
      <c r="L1016" s="1747"/>
      <c r="M1016" s="1747"/>
      <c r="N1016" s="1747"/>
      <c r="O1016" s="51"/>
    </row>
    <row r="1017" spans="1:15">
      <c r="A1017" s="2956"/>
      <c r="B1017" s="836">
        <v>11941</v>
      </c>
      <c r="C1017" s="1301">
        <v>0.1</v>
      </c>
      <c r="D1017" s="431" t="s">
        <v>2733</v>
      </c>
      <c r="E1017" s="1477">
        <v>1000000</v>
      </c>
      <c r="F1017" s="302">
        <v>0.05</v>
      </c>
      <c r="G1017" s="1418">
        <f t="shared" si="47"/>
        <v>50000</v>
      </c>
      <c r="H1017" s="1226" t="s">
        <v>527</v>
      </c>
      <c r="I1017" s="573" t="s">
        <v>2417</v>
      </c>
      <c r="J1017" s="1679"/>
      <c r="K1017" s="1747"/>
      <c r="L1017" s="1747"/>
      <c r="M1017" s="1747"/>
      <c r="N1017" s="1747"/>
      <c r="O1017" s="51"/>
    </row>
    <row r="1018" spans="1:15" ht="15.6">
      <c r="A1018" s="2956"/>
      <c r="B1018" s="1213">
        <v>11949</v>
      </c>
      <c r="C1018" s="1301">
        <v>0.08</v>
      </c>
      <c r="D1018" s="431" t="s">
        <v>2734</v>
      </c>
      <c r="E1018" s="1477">
        <v>1050000</v>
      </c>
      <c r="F1018" s="302">
        <v>0.08</v>
      </c>
      <c r="G1018" s="1418">
        <f t="shared" si="47"/>
        <v>84000</v>
      </c>
      <c r="H1018" s="1226" t="s">
        <v>2727</v>
      </c>
      <c r="I1018" s="573" t="s">
        <v>2417</v>
      </c>
      <c r="J1018" s="118"/>
      <c r="K1018" s="1747"/>
      <c r="L1018" s="1747"/>
      <c r="M1018" s="1747"/>
      <c r="N1018" s="1747"/>
      <c r="O1018" s="51"/>
    </row>
    <row r="1019" spans="1:15" ht="15.75" customHeight="1">
      <c r="A1019" s="2956"/>
      <c r="B1019" s="1362"/>
      <c r="C1019" s="958"/>
      <c r="D1019" s="1174"/>
      <c r="E1019" s="311"/>
      <c r="F1019" s="1748"/>
      <c r="G1019" s="1443"/>
      <c r="H1019" s="943"/>
      <c r="I1019" s="943"/>
      <c r="J1019" s="1679"/>
      <c r="K1019" s="1748"/>
      <c r="L1019" s="1748"/>
      <c r="M1019" s="1748"/>
      <c r="N1019" s="1748"/>
      <c r="O1019" s="299"/>
    </row>
    <row r="1020" spans="1:15" ht="15" customHeight="1">
      <c r="A1020" s="2956"/>
      <c r="B1020" s="299"/>
      <c r="C1020" s="1363"/>
      <c r="D1020" s="1161"/>
      <c r="E1020" s="945"/>
      <c r="F1020" s="312"/>
      <c r="G1020" s="290"/>
      <c r="H1020" s="299"/>
      <c r="I1020" s="299"/>
      <c r="J1020" s="1679"/>
      <c r="K1020" s="1748"/>
      <c r="L1020" s="1748"/>
      <c r="M1020" s="1748"/>
      <c r="N1020" s="1748"/>
      <c r="O1020" s="286"/>
    </row>
    <row r="1021" spans="1:15" ht="15" customHeight="1">
      <c r="A1021" s="2956"/>
      <c r="B1021" s="506"/>
      <c r="C1021" s="891"/>
      <c r="D1021" s="1089" t="s">
        <v>1833</v>
      </c>
      <c r="E1021" s="475">
        <f>SUM(E1012:E1018)</f>
        <v>7320000</v>
      </c>
      <c r="F1021" s="506"/>
      <c r="G1021" s="475">
        <f>SUM(G1012:G1018)</f>
        <v>577000</v>
      </c>
      <c r="H1021" s="506"/>
      <c r="I1021" s="506"/>
      <c r="J1021" s="829"/>
      <c r="K1021" s="279"/>
      <c r="L1021" s="2849" t="s">
        <v>1859</v>
      </c>
      <c r="M1021" s="2849"/>
      <c r="N1021" s="2849"/>
      <c r="O1021" s="739">
        <v>577000</v>
      </c>
    </row>
    <row r="1022" spans="1:15" ht="15" customHeight="1">
      <c r="A1022" s="2956"/>
      <c r="B1022" s="1364"/>
      <c r="C1022" s="813"/>
      <c r="D1022" s="1155" t="s">
        <v>1835</v>
      </c>
      <c r="E1022" s="814">
        <f>G1021</f>
        <v>577000</v>
      </c>
      <c r="F1022" s="813"/>
      <c r="G1022" s="815"/>
      <c r="H1022" s="813"/>
      <c r="I1022" s="813"/>
      <c r="J1022" s="830"/>
      <c r="K1022" s="279"/>
      <c r="L1022" s="941"/>
      <c r="M1022" s="941"/>
      <c r="N1022" s="941"/>
      <c r="O1022" s="286"/>
    </row>
    <row r="1023" spans="1:15" ht="15.6">
      <c r="A1023" s="2209"/>
      <c r="B1023" s="799"/>
      <c r="C1023" s="799"/>
      <c r="D1023" s="1145"/>
      <c r="E1023" s="801"/>
      <c r="F1023" s="799"/>
      <c r="G1023" s="802"/>
      <c r="H1023" s="799"/>
      <c r="I1023" s="799"/>
      <c r="J1023" s="800"/>
      <c r="K1023" s="803"/>
      <c r="L1023" s="804"/>
      <c r="M1023" s="804"/>
      <c r="N1023" s="804"/>
      <c r="O1023" s="805"/>
    </row>
    <row r="1024" spans="1:15" ht="15.6">
      <c r="A1024" s="2209"/>
      <c r="B1024" s="799"/>
      <c r="C1024" s="799"/>
      <c r="D1024" s="1145"/>
      <c r="E1024" s="801"/>
      <c r="F1024" s="799"/>
      <c r="G1024" s="802"/>
      <c r="H1024" s="799"/>
      <c r="I1024" s="799"/>
      <c r="J1024" s="800"/>
      <c r="K1024" s="803"/>
      <c r="L1024" s="804"/>
      <c r="M1024" s="804"/>
      <c r="N1024" s="804"/>
      <c r="O1024" s="805"/>
    </row>
    <row r="1025" spans="1:15">
      <c r="A1025" s="90"/>
      <c r="E1025" s="91"/>
      <c r="G1025" s="92"/>
      <c r="H1025" s="1001"/>
    </row>
    <row r="1026" spans="1:15">
      <c r="A1026" s="2964" t="s">
        <v>2735</v>
      </c>
      <c r="B1026" s="2964"/>
      <c r="C1026" s="2964"/>
      <c r="D1026" s="2964"/>
      <c r="E1026" s="2964"/>
      <c r="F1026" s="2964"/>
      <c r="G1026" s="2964"/>
      <c r="H1026" s="2964"/>
    </row>
    <row r="1027" spans="1:15">
      <c r="A1027" s="2964"/>
      <c r="B1027" s="2964"/>
      <c r="C1027" s="2964"/>
      <c r="D1027" s="2964"/>
      <c r="E1027" s="2964"/>
      <c r="F1027" s="2964"/>
      <c r="G1027" s="2964"/>
      <c r="H1027" s="2964"/>
      <c r="J1027" s="503"/>
      <c r="K1027" s="503"/>
      <c r="L1027" s="503"/>
      <c r="M1027" s="503"/>
      <c r="N1027" s="503"/>
      <c r="O1027" s="503"/>
    </row>
    <row r="1028" spans="1:15" ht="20.45">
      <c r="A1028" s="263" t="s">
        <v>2011</v>
      </c>
      <c r="B1028" s="833" t="s">
        <v>1808</v>
      </c>
      <c r="C1028" s="176" t="s">
        <v>2012</v>
      </c>
      <c r="D1028" s="1100" t="s">
        <v>2580</v>
      </c>
      <c r="E1028" s="397" t="s">
        <v>2013</v>
      </c>
      <c r="F1028" s="1747" t="s">
        <v>1811</v>
      </c>
      <c r="G1028" s="643" t="s">
        <v>1817</v>
      </c>
      <c r="H1028" s="94" t="s">
        <v>2125</v>
      </c>
      <c r="I1028" s="2"/>
      <c r="J1028" s="503"/>
      <c r="K1028" s="503"/>
      <c r="L1028" s="503"/>
      <c r="M1028" s="503"/>
      <c r="N1028" s="503"/>
      <c r="O1028" s="503"/>
    </row>
    <row r="1029" spans="1:15">
      <c r="A1029" s="865"/>
      <c r="B1029" s="1450"/>
      <c r="C1029" s="714" t="s">
        <v>2736</v>
      </c>
      <c r="D1029" s="1176" t="s">
        <v>2737</v>
      </c>
      <c r="E1029" s="1203"/>
      <c r="F1029" s="1204"/>
      <c r="G1029" s="586"/>
      <c r="H1029" s="377" t="s">
        <v>748</v>
      </c>
      <c r="I1029" s="377"/>
      <c r="J1029" s="503"/>
      <c r="K1029" s="503"/>
      <c r="L1029" s="503"/>
      <c r="M1029" s="503"/>
      <c r="N1029" s="503"/>
      <c r="O1029" s="503"/>
    </row>
    <row r="1030" spans="1:15" ht="27">
      <c r="A1030" s="865"/>
      <c r="B1030" s="1445"/>
      <c r="C1030" s="1446" t="s">
        <v>2738</v>
      </c>
      <c r="D1030" s="1448" t="s">
        <v>2739</v>
      </c>
      <c r="E1030" s="1447"/>
      <c r="F1030" s="1385"/>
      <c r="G1030" s="404"/>
      <c r="H1030" s="409" t="s">
        <v>527</v>
      </c>
      <c r="I1030" s="999"/>
      <c r="J1030" s="503"/>
      <c r="K1030" s="503"/>
      <c r="L1030" s="503"/>
      <c r="M1030" s="503"/>
      <c r="N1030" s="503"/>
      <c r="O1030" s="503"/>
    </row>
    <row r="1031" spans="1:15">
      <c r="A1031" s="127"/>
      <c r="B1031" s="1342"/>
      <c r="C1031" s="714" t="s">
        <v>2740</v>
      </c>
      <c r="D1031" s="409" t="s">
        <v>2741</v>
      </c>
      <c r="E1031" s="1387"/>
      <c r="F1031" s="350"/>
      <c r="G1031" s="404"/>
      <c r="H1031" s="1388" t="s">
        <v>748</v>
      </c>
      <c r="I1031" s="377"/>
      <c r="J1031" s="503"/>
      <c r="K1031" s="503"/>
      <c r="L1031" s="503"/>
      <c r="M1031" s="503"/>
      <c r="N1031" s="503"/>
      <c r="O1031" s="503"/>
    </row>
    <row r="1032" spans="1:15">
      <c r="A1032" s="1386"/>
      <c r="B1032" s="705"/>
      <c r="C1032" s="1367" t="s">
        <v>2742</v>
      </c>
      <c r="D1032" s="1166" t="s">
        <v>2743</v>
      </c>
      <c r="E1032" s="1261"/>
      <c r="F1032" s="350"/>
      <c r="G1032" s="404"/>
      <c r="H1032" s="409" t="s">
        <v>748</v>
      </c>
      <c r="I1032" s="1139"/>
      <c r="J1032" s="503"/>
      <c r="K1032" s="503"/>
      <c r="L1032" s="503"/>
      <c r="M1032" s="503"/>
      <c r="N1032" s="503"/>
      <c r="O1032" s="503"/>
    </row>
    <row r="1033" spans="1:15">
      <c r="A1033" s="865"/>
      <c r="B1033" s="715"/>
      <c r="C1033" s="714" t="s">
        <v>2581</v>
      </c>
      <c r="D1033" s="1176" t="s">
        <v>2744</v>
      </c>
      <c r="E1033" s="1203"/>
      <c r="F1033" s="1204"/>
      <c r="G1033" s="586"/>
      <c r="H1033" s="377" t="s">
        <v>527</v>
      </c>
      <c r="I1033" s="377"/>
      <c r="J1033" s="503"/>
      <c r="K1033" s="503"/>
      <c r="L1033" s="503"/>
      <c r="M1033" s="503"/>
      <c r="N1033" s="503"/>
      <c r="O1033" s="503"/>
    </row>
    <row r="1034" spans="1:15">
      <c r="A1034" s="865"/>
      <c r="B1034" s="336"/>
      <c r="C1034" s="714" t="s">
        <v>2745</v>
      </c>
      <c r="D1034" s="1350" t="s">
        <v>2127</v>
      </c>
      <c r="E1034" s="1261"/>
      <c r="F1034" s="379"/>
      <c r="G1034" s="592"/>
      <c r="H1034" s="1351" t="s">
        <v>527</v>
      </c>
      <c r="I1034" s="377"/>
      <c r="J1034" s="503"/>
      <c r="K1034" s="503"/>
      <c r="L1034" s="503"/>
      <c r="M1034" s="503"/>
      <c r="N1034" s="503"/>
      <c r="O1034" s="503"/>
    </row>
    <row r="1035" spans="1:15">
      <c r="A1035" s="2243"/>
      <c r="B1035" s="689"/>
      <c r="C1035" s="1353" t="s">
        <v>2746</v>
      </c>
      <c r="D1035" s="1354" t="s">
        <v>2127</v>
      </c>
      <c r="E1035" s="1355"/>
      <c r="F1035" s="1356"/>
      <c r="G1035" s="677"/>
      <c r="H1035" s="1139" t="s">
        <v>748</v>
      </c>
      <c r="I1035" s="758"/>
      <c r="J1035" s="503"/>
      <c r="K1035" s="503"/>
      <c r="L1035" s="503"/>
      <c r="M1035" s="503"/>
      <c r="N1035" s="503"/>
      <c r="O1035" s="503"/>
    </row>
    <row r="1036" spans="1:15">
      <c r="A1036" s="2243"/>
      <c r="B1036" s="336"/>
      <c r="C1036" s="1384" t="s">
        <v>2747</v>
      </c>
      <c r="D1036" s="1176" t="s">
        <v>2748</v>
      </c>
      <c r="E1036" s="1261"/>
      <c r="F1036" s="1385"/>
      <c r="G1036" s="404"/>
      <c r="H1036" s="409" t="s">
        <v>523</v>
      </c>
      <c r="I1036" s="1139"/>
      <c r="J1036" s="503"/>
      <c r="K1036" s="503"/>
      <c r="L1036" s="503"/>
      <c r="M1036" s="503"/>
      <c r="N1036" s="503"/>
      <c r="O1036" s="503"/>
    </row>
    <row r="1037" spans="1:15" ht="27">
      <c r="A1037" s="2243"/>
      <c r="B1037" s="336"/>
      <c r="C1037" s="1401" t="s">
        <v>2749</v>
      </c>
      <c r="D1037" s="894" t="s">
        <v>2750</v>
      </c>
      <c r="E1037" s="1402"/>
      <c r="F1037" s="1204"/>
      <c r="G1037" s="586"/>
      <c r="H1037" s="377" t="s">
        <v>527</v>
      </c>
      <c r="I1037" s="377"/>
      <c r="J1037" s="503"/>
      <c r="K1037" s="503"/>
      <c r="L1037" s="503"/>
      <c r="M1037" s="503"/>
      <c r="N1037" s="503"/>
      <c r="O1037" s="503"/>
    </row>
    <row r="1038" spans="1:15" s="503" customFormat="1">
      <c r="A1038" s="639">
        <v>11770</v>
      </c>
      <c r="B1038" s="273">
        <v>0.1</v>
      </c>
      <c r="C1038" s="1229" t="s">
        <v>2751</v>
      </c>
      <c r="D1038" s="1229" t="s">
        <v>2111</v>
      </c>
      <c r="E1038" s="1320">
        <v>1800000</v>
      </c>
      <c r="F1038" s="302">
        <v>0.05</v>
      </c>
      <c r="G1038" s="511">
        <f>E1038*F1038</f>
        <v>90000</v>
      </c>
      <c r="H1038" s="573" t="s">
        <v>582</v>
      </c>
      <c r="I1038" s="573" t="s">
        <v>1971</v>
      </c>
    </row>
    <row r="1039" spans="1:15" s="503" customFormat="1">
      <c r="A1039" s="639">
        <v>11786</v>
      </c>
      <c r="B1039" s="273">
        <v>0.1</v>
      </c>
      <c r="C1039" s="1229" t="s">
        <v>2752</v>
      </c>
      <c r="D1039" s="576" t="s">
        <v>2111</v>
      </c>
      <c r="E1039" s="1320">
        <v>800000</v>
      </c>
      <c r="F1039" s="302">
        <v>0.05</v>
      </c>
      <c r="G1039" s="511">
        <f t="shared" ref="G1039:G1052" si="49">E1039*F1039</f>
        <v>40000</v>
      </c>
      <c r="H1039" s="573" t="s">
        <v>2218</v>
      </c>
      <c r="I1039" s="573" t="s">
        <v>2124</v>
      </c>
    </row>
    <row r="1040" spans="1:15" s="503" customFormat="1">
      <c r="A1040" s="639">
        <v>11795</v>
      </c>
      <c r="B1040" s="305">
        <v>0.1</v>
      </c>
      <c r="C1040" s="518" t="s">
        <v>2753</v>
      </c>
      <c r="D1040" s="1132" t="s">
        <v>2111</v>
      </c>
      <c r="E1040" s="1313">
        <v>1150000</v>
      </c>
      <c r="F1040" s="302">
        <v>0.05</v>
      </c>
      <c r="G1040" s="511">
        <f t="shared" si="49"/>
        <v>57500</v>
      </c>
      <c r="H1040" s="576" t="s">
        <v>2754</v>
      </c>
      <c r="I1040" s="573" t="s">
        <v>2124</v>
      </c>
    </row>
    <row r="1041" spans="1:15" s="503" customFormat="1">
      <c r="A1041" s="639">
        <v>11802</v>
      </c>
      <c r="B1041" s="273">
        <v>0.1</v>
      </c>
      <c r="C1041" s="1229" t="s">
        <v>2755</v>
      </c>
      <c r="D1041" s="576" t="s">
        <v>2111</v>
      </c>
      <c r="E1041" s="1478">
        <v>850000</v>
      </c>
      <c r="F1041" s="302">
        <v>0.05</v>
      </c>
      <c r="G1041" s="511">
        <f t="shared" si="49"/>
        <v>42500</v>
      </c>
      <c r="H1041" s="970" t="s">
        <v>748</v>
      </c>
      <c r="I1041" s="970" t="s">
        <v>2124</v>
      </c>
    </row>
    <row r="1042" spans="1:15" s="503" customFormat="1">
      <c r="A1042" s="639">
        <v>11818</v>
      </c>
      <c r="B1042" s="273">
        <v>0.1</v>
      </c>
      <c r="C1042" s="1229" t="s">
        <v>2756</v>
      </c>
      <c r="D1042" s="576" t="s">
        <v>2111</v>
      </c>
      <c r="E1042" s="1473">
        <v>1100000</v>
      </c>
      <c r="F1042" s="302">
        <v>0.05</v>
      </c>
      <c r="G1042" s="511">
        <f t="shared" si="49"/>
        <v>55000</v>
      </c>
      <c r="H1042" s="576" t="s">
        <v>523</v>
      </c>
      <c r="I1042" s="970" t="s">
        <v>2124</v>
      </c>
    </row>
    <row r="1043" spans="1:15" s="503" customFormat="1" ht="15.6">
      <c r="A1043" s="2244">
        <v>11846</v>
      </c>
      <c r="B1043" s="273">
        <v>0.1</v>
      </c>
      <c r="C1043" s="1416" t="s">
        <v>2757</v>
      </c>
      <c r="D1043" s="1029" t="s">
        <v>2111</v>
      </c>
      <c r="E1043" s="1479">
        <v>1500000</v>
      </c>
      <c r="F1043" s="302">
        <v>0.05</v>
      </c>
      <c r="G1043" s="511">
        <f t="shared" si="49"/>
        <v>75000</v>
      </c>
      <c r="H1043" s="576" t="s">
        <v>527</v>
      </c>
      <c r="I1043" s="1029" t="s">
        <v>2124</v>
      </c>
    </row>
    <row r="1044" spans="1:15" s="503" customFormat="1">
      <c r="A1044" s="639">
        <v>11910</v>
      </c>
      <c r="B1044" s="1301">
        <v>0.1</v>
      </c>
      <c r="C1044" s="1229" t="s">
        <v>2758</v>
      </c>
      <c r="D1044" s="1163" t="s">
        <v>2130</v>
      </c>
      <c r="E1044" s="1503">
        <v>1050000</v>
      </c>
      <c r="F1044" s="302">
        <v>0.05</v>
      </c>
      <c r="G1044" s="511">
        <f t="shared" ref="G1044" si="50">E1044*F1044</f>
        <v>52500</v>
      </c>
      <c r="H1044" s="576" t="s">
        <v>2759</v>
      </c>
      <c r="I1044" s="1029" t="s">
        <v>2124</v>
      </c>
    </row>
    <row r="1045" spans="1:15" s="503" customFormat="1">
      <c r="A1045" s="639">
        <v>11886</v>
      </c>
      <c r="B1045" s="1301">
        <v>0.1</v>
      </c>
      <c r="C1045" s="1229" t="s">
        <v>2760</v>
      </c>
      <c r="D1045" s="576" t="s">
        <v>2111</v>
      </c>
      <c r="E1045" s="1313">
        <v>1050000</v>
      </c>
      <c r="F1045" s="302">
        <v>0.05</v>
      </c>
      <c r="G1045" s="511">
        <f t="shared" si="49"/>
        <v>52500</v>
      </c>
      <c r="H1045" s="576" t="s">
        <v>2761</v>
      </c>
      <c r="I1045" s="1029" t="s">
        <v>2124</v>
      </c>
    </row>
    <row r="1046" spans="1:15" s="503" customFormat="1">
      <c r="A1046" s="639">
        <v>11896</v>
      </c>
      <c r="B1046" s="1301">
        <v>0.1</v>
      </c>
      <c r="C1046" s="1527" t="s">
        <v>2762</v>
      </c>
      <c r="D1046" s="1163" t="s">
        <v>2111</v>
      </c>
      <c r="E1046" s="1503">
        <v>1100000</v>
      </c>
      <c r="F1046" s="302">
        <v>0.05</v>
      </c>
      <c r="G1046" s="511">
        <f t="shared" si="49"/>
        <v>55000</v>
      </c>
      <c r="H1046" s="576" t="s">
        <v>527</v>
      </c>
      <c r="I1046" s="1029" t="s">
        <v>2124</v>
      </c>
    </row>
    <row r="1047" spans="1:15" s="503" customFormat="1">
      <c r="A1047" s="639">
        <v>11926</v>
      </c>
      <c r="B1047" s="1301">
        <v>0.1</v>
      </c>
      <c r="C1047" s="1229" t="s">
        <v>2763</v>
      </c>
      <c r="D1047" s="1163" t="s">
        <v>2764</v>
      </c>
      <c r="E1047" s="1503">
        <v>920000</v>
      </c>
      <c r="F1047" s="302">
        <v>0.05</v>
      </c>
      <c r="G1047" s="511">
        <f t="shared" si="49"/>
        <v>46000</v>
      </c>
      <c r="H1047" s="576" t="s">
        <v>2761</v>
      </c>
      <c r="I1047" s="1029" t="s">
        <v>2124</v>
      </c>
    </row>
    <row r="1048" spans="1:15" s="503" customFormat="1">
      <c r="A1048" s="639">
        <v>11930</v>
      </c>
      <c r="B1048" s="1301">
        <v>0.1</v>
      </c>
      <c r="C1048" s="1229" t="s">
        <v>2765</v>
      </c>
      <c r="D1048" s="1163" t="s">
        <v>2130</v>
      </c>
      <c r="E1048" s="1320">
        <v>1150000</v>
      </c>
      <c r="F1048" s="302">
        <v>0.05</v>
      </c>
      <c r="G1048" s="511">
        <f t="shared" si="49"/>
        <v>57500</v>
      </c>
      <c r="H1048" s="573" t="s">
        <v>748</v>
      </c>
      <c r="I1048" s="1106" t="s">
        <v>2124</v>
      </c>
    </row>
    <row r="1049" spans="1:15" s="503" customFormat="1">
      <c r="A1049" s="639">
        <v>11944</v>
      </c>
      <c r="B1049" s="1301">
        <v>0.1</v>
      </c>
      <c r="C1049" s="885" t="s">
        <v>2766</v>
      </c>
      <c r="D1049" s="1027" t="s">
        <v>2111</v>
      </c>
      <c r="E1049" s="1320">
        <v>1050000</v>
      </c>
      <c r="F1049" s="302">
        <v>0.05</v>
      </c>
      <c r="G1049" s="511">
        <f t="shared" ref="G1049" si="51">E1049*F1049</f>
        <v>52500</v>
      </c>
      <c r="H1049" s="573" t="s">
        <v>2761</v>
      </c>
      <c r="I1049" s="1106" t="s">
        <v>2124</v>
      </c>
    </row>
    <row r="1050" spans="1:15" s="503" customFormat="1">
      <c r="A1050" s="639">
        <v>11941</v>
      </c>
      <c r="B1050" s="1301">
        <v>0.1</v>
      </c>
      <c r="C1050" s="431" t="s">
        <v>2767</v>
      </c>
      <c r="D1050" s="1027" t="s">
        <v>2111</v>
      </c>
      <c r="E1050" s="1320">
        <v>1000000</v>
      </c>
      <c r="F1050" s="302">
        <v>0.05</v>
      </c>
      <c r="G1050" s="511">
        <f t="shared" si="49"/>
        <v>50000</v>
      </c>
      <c r="H1050" s="573" t="s">
        <v>2761</v>
      </c>
      <c r="I1050" s="942" t="s">
        <v>2124</v>
      </c>
    </row>
    <row r="1051" spans="1:15" s="503" customFormat="1">
      <c r="A1051" s="639">
        <v>11949</v>
      </c>
      <c r="B1051" s="1301">
        <v>0.08</v>
      </c>
      <c r="C1051" s="1525" t="s">
        <v>2768</v>
      </c>
      <c r="D1051" s="1027" t="s">
        <v>2111</v>
      </c>
      <c r="E1051" s="1320">
        <v>1050000</v>
      </c>
      <c r="F1051" s="302">
        <v>0.04</v>
      </c>
      <c r="G1051" s="511">
        <f t="shared" si="49"/>
        <v>42000</v>
      </c>
      <c r="H1051" s="1526" t="s">
        <v>2761</v>
      </c>
      <c r="I1051" s="573" t="s">
        <v>2124</v>
      </c>
    </row>
    <row r="1052" spans="1:15" s="503" customFormat="1">
      <c r="A1052" s="639">
        <v>11945</v>
      </c>
      <c r="B1052" s="1301">
        <v>0.1</v>
      </c>
      <c r="C1052" s="431" t="s">
        <v>2695</v>
      </c>
      <c r="D1052" s="1082" t="s">
        <v>2111</v>
      </c>
      <c r="E1052" s="1290">
        <v>1300000</v>
      </c>
      <c r="F1052" s="296">
        <v>0.05</v>
      </c>
      <c r="G1052" s="511">
        <f t="shared" si="49"/>
        <v>65000</v>
      </c>
      <c r="H1052" s="1083" t="s">
        <v>523</v>
      </c>
      <c r="I1052" s="433" t="s">
        <v>2124</v>
      </c>
    </row>
    <row r="1053" spans="1:15" s="503" customFormat="1">
      <c r="A1053" s="2215"/>
      <c r="B1053" s="1403"/>
      <c r="C1053" s="1212"/>
      <c r="D1053" s="1488"/>
      <c r="E1053" s="1487"/>
      <c r="F1053" s="1484"/>
      <c r="G1053" s="382"/>
      <c r="H1053" s="1084"/>
      <c r="I1053" s="1748"/>
    </row>
    <row r="1054" spans="1:15" s="503" customFormat="1">
      <c r="A1054" s="2215"/>
      <c r="B1054" s="1403"/>
      <c r="C1054" s="1212"/>
      <c r="D1054" s="1483"/>
      <c r="E1054" s="312"/>
      <c r="F1054" s="1484"/>
      <c r="G1054" s="382"/>
      <c r="H1054" s="1084"/>
      <c r="I1054" s="1748"/>
    </row>
    <row r="1055" spans="1:15">
      <c r="A1055" s="2213"/>
      <c r="B1055" s="1347"/>
      <c r="C1055" s="868"/>
      <c r="D1055" s="1178" t="s">
        <v>2499</v>
      </c>
      <c r="E1055" s="990">
        <f>SUM(E1038:E1052)</f>
        <v>16870000</v>
      </c>
      <c r="F1055" s="915"/>
      <c r="G1055" s="406">
        <f>SUM(G1038:G1052)</f>
        <v>833000</v>
      </c>
      <c r="H1055" s="1485"/>
      <c r="I1055" s="1168"/>
      <c r="J1055" s="503"/>
      <c r="K1055" s="503"/>
      <c r="L1055" s="503"/>
      <c r="M1055" s="503"/>
      <c r="N1055" s="503"/>
      <c r="O1055" s="503"/>
    </row>
    <row r="1056" spans="1:15" ht="15.6">
      <c r="A1056" s="46"/>
      <c r="B1056" s="950"/>
      <c r="C1056" s="994"/>
      <c r="D1056" s="390" t="s">
        <v>2154</v>
      </c>
      <c r="E1056" s="1514">
        <f>G1055</f>
        <v>833000</v>
      </c>
      <c r="F1056" s="952"/>
      <c r="G1056" s="953"/>
      <c r="H1056" s="1023"/>
      <c r="I1056" s="1486"/>
    </row>
    <row r="1057" spans="1:9">
      <c r="E1057" s="589"/>
    </row>
    <row r="1058" spans="1:9">
      <c r="E1058" s="589"/>
    </row>
    <row r="1059" spans="1:9">
      <c r="A1059" s="2964" t="s">
        <v>2769</v>
      </c>
      <c r="B1059" s="2964"/>
      <c r="C1059" s="2964"/>
      <c r="D1059" s="2964"/>
      <c r="E1059" s="2964"/>
      <c r="F1059" s="2964"/>
      <c r="G1059" s="2964"/>
      <c r="H1059" s="2964"/>
    </row>
    <row r="1060" spans="1:9">
      <c r="A1060" s="2964"/>
      <c r="B1060" s="2964"/>
      <c r="C1060" s="2964"/>
      <c r="D1060" s="2964"/>
      <c r="E1060" s="2964"/>
      <c r="F1060" s="2964"/>
      <c r="G1060" s="2964"/>
      <c r="H1060" s="2964"/>
    </row>
    <row r="1061" spans="1:9" ht="20.45">
      <c r="A1061" s="263" t="s">
        <v>2011</v>
      </c>
      <c r="B1061" s="833" t="s">
        <v>1808</v>
      </c>
      <c r="C1061" s="863" t="s">
        <v>2012</v>
      </c>
      <c r="D1061" s="1100" t="s">
        <v>2580</v>
      </c>
      <c r="E1061" s="835" t="s">
        <v>2013</v>
      </c>
      <c r="F1061" s="398" t="s">
        <v>1811</v>
      </c>
      <c r="G1061" s="399" t="s">
        <v>1817</v>
      </c>
      <c r="H1061" s="683" t="s">
        <v>2125</v>
      </c>
      <c r="I1061" s="260"/>
    </row>
    <row r="1062" spans="1:9" ht="20.45">
      <c r="A1062" s="865"/>
      <c r="B1062" s="1450"/>
      <c r="C1062" s="973" t="s">
        <v>2708</v>
      </c>
      <c r="D1062" s="864" t="s">
        <v>2770</v>
      </c>
      <c r="E1062" s="866"/>
      <c r="F1062" s="754"/>
      <c r="G1062" s="867"/>
      <c r="H1062" s="760"/>
      <c r="I1062" s="1308"/>
    </row>
    <row r="1063" spans="1:9">
      <c r="A1063" s="127"/>
      <c r="B1063" s="1210"/>
      <c r="C1063" s="377" t="s">
        <v>2771</v>
      </c>
      <c r="D1063" s="1142" t="s">
        <v>2772</v>
      </c>
      <c r="E1063" s="1402"/>
      <c r="F1063" s="401"/>
      <c r="G1063" s="586"/>
      <c r="H1063" s="377" t="s">
        <v>523</v>
      </c>
      <c r="I1063" s="1060"/>
    </row>
    <row r="1064" spans="1:9">
      <c r="A1064" s="1386"/>
      <c r="B1064" s="1412"/>
      <c r="C1064" s="1367" t="s">
        <v>2773</v>
      </c>
      <c r="D1064" s="1413" t="s">
        <v>2770</v>
      </c>
      <c r="E1064" s="1414"/>
      <c r="F1064" s="401"/>
      <c r="G1064" s="586"/>
      <c r="H1064" s="377" t="s">
        <v>523</v>
      </c>
      <c r="I1064" s="1060"/>
    </row>
    <row r="1065" spans="1:9">
      <c r="A1065" s="1797"/>
      <c r="B1065" s="1210"/>
      <c r="C1065" s="714" t="s">
        <v>2774</v>
      </c>
      <c r="D1065" s="409" t="s">
        <v>2775</v>
      </c>
      <c r="E1065" s="1334"/>
      <c r="F1065" s="780"/>
      <c r="G1065" s="1335"/>
      <c r="H1065" s="1336" t="s">
        <v>523</v>
      </c>
      <c r="I1065" s="1060"/>
    </row>
    <row r="1066" spans="1:9">
      <c r="A1066" s="2245"/>
      <c r="B1066" s="1210"/>
      <c r="C1066" s="714" t="s">
        <v>2623</v>
      </c>
      <c r="D1066" s="1343" t="s">
        <v>2776</v>
      </c>
      <c r="E1066" s="1261"/>
      <c r="F1066" s="379"/>
      <c r="G1066" s="592"/>
      <c r="H1066" s="409" t="s">
        <v>2218</v>
      </c>
      <c r="I1066" s="1060"/>
    </row>
    <row r="1067" spans="1:9">
      <c r="A1067" s="2245"/>
      <c r="B1067" s="1210"/>
      <c r="C1067" s="98" t="s">
        <v>2777</v>
      </c>
      <c r="D1067" s="1060" t="s">
        <v>2778</v>
      </c>
      <c r="E1067" s="1270"/>
      <c r="F1067" s="98"/>
      <c r="G1067" s="98"/>
      <c r="H1067" s="1060" t="s">
        <v>523</v>
      </c>
      <c r="I1067" s="1060"/>
    </row>
    <row r="1068" spans="1:9">
      <c r="A1068" s="2245"/>
      <c r="B1068" s="1210"/>
      <c r="C1068" s="377" t="s">
        <v>2779</v>
      </c>
      <c r="D1068" s="1368" t="s">
        <v>2780</v>
      </c>
      <c r="E1068" s="1269"/>
      <c r="F1068" s="401"/>
      <c r="G1068" s="586"/>
      <c r="H1068" s="377" t="s">
        <v>527</v>
      </c>
      <c r="I1068" s="1060"/>
    </row>
    <row r="1069" spans="1:9">
      <c r="A1069" s="1797"/>
      <c r="B1069" s="1210"/>
      <c r="C1069" s="377" t="s">
        <v>2781</v>
      </c>
      <c r="D1069" s="1368" t="s">
        <v>2770</v>
      </c>
      <c r="E1069" s="1269"/>
      <c r="F1069" s="401"/>
      <c r="G1069" s="586"/>
      <c r="H1069" s="377" t="s">
        <v>527</v>
      </c>
      <c r="I1069" s="1060"/>
    </row>
    <row r="1070" spans="1:9" s="503" customFormat="1">
      <c r="A1070" s="170">
        <v>11761</v>
      </c>
      <c r="B1070" s="123">
        <v>0.1</v>
      </c>
      <c r="C1070" s="67" t="s">
        <v>2782</v>
      </c>
      <c r="D1070" s="1061" t="s">
        <v>2111</v>
      </c>
      <c r="E1070" s="1344">
        <v>1000000</v>
      </c>
      <c r="F1070" s="123">
        <v>0.04</v>
      </c>
      <c r="G1070" s="1468">
        <f>E1070*F1070</f>
        <v>40000</v>
      </c>
      <c r="H1070" s="1061" t="s">
        <v>527</v>
      </c>
      <c r="I1070" s="1061" t="s">
        <v>2124</v>
      </c>
    </row>
    <row r="1071" spans="1:9" s="503" customFormat="1">
      <c r="A1071" s="170">
        <v>11766</v>
      </c>
      <c r="B1071" s="123">
        <v>0.1</v>
      </c>
      <c r="C1071" s="431" t="s">
        <v>2783</v>
      </c>
      <c r="D1071" s="1061" t="s">
        <v>2111</v>
      </c>
      <c r="E1071" s="1344">
        <v>1250000</v>
      </c>
      <c r="F1071" s="123">
        <v>0.04</v>
      </c>
      <c r="G1071" s="1468">
        <f t="shared" ref="G1071:G1082" si="52">E1071*F1071</f>
        <v>50000</v>
      </c>
      <c r="H1071" s="1061" t="s">
        <v>527</v>
      </c>
      <c r="I1071" s="1061" t="s">
        <v>2784</v>
      </c>
    </row>
    <row r="1072" spans="1:9" s="503" customFormat="1">
      <c r="A1072" s="170">
        <v>11783</v>
      </c>
      <c r="B1072" s="1369">
        <v>0.1</v>
      </c>
      <c r="C1072" s="67" t="s">
        <v>2785</v>
      </c>
      <c r="D1072" s="1061" t="s">
        <v>2111</v>
      </c>
      <c r="E1072" s="1344">
        <v>650000</v>
      </c>
      <c r="F1072" s="123">
        <v>0.04</v>
      </c>
      <c r="G1072" s="1468">
        <f t="shared" si="52"/>
        <v>26000</v>
      </c>
      <c r="H1072" s="1061" t="s">
        <v>527</v>
      </c>
      <c r="I1072" s="1061" t="s">
        <v>2124</v>
      </c>
    </row>
    <row r="1073" spans="1:15" s="503" customFormat="1">
      <c r="A1073" s="170">
        <v>11782</v>
      </c>
      <c r="B1073" s="1205">
        <v>0.1</v>
      </c>
      <c r="C1073" s="1054" t="s">
        <v>2622</v>
      </c>
      <c r="D1073" s="1226" t="s">
        <v>2111</v>
      </c>
      <c r="E1073" s="1309">
        <v>1200000</v>
      </c>
      <c r="F1073" s="123">
        <v>0.04</v>
      </c>
      <c r="G1073" s="1468">
        <f t="shared" si="52"/>
        <v>48000</v>
      </c>
      <c r="H1073" s="1214" t="s">
        <v>523</v>
      </c>
      <c r="I1073" s="1061" t="s">
        <v>2124</v>
      </c>
    </row>
    <row r="1074" spans="1:15" s="503" customFormat="1">
      <c r="A1074" s="75">
        <v>11811</v>
      </c>
      <c r="B1074" s="1205">
        <v>0.1</v>
      </c>
      <c r="C1074" s="573" t="s">
        <v>2786</v>
      </c>
      <c r="D1074" s="1143" t="s">
        <v>2111</v>
      </c>
      <c r="E1074" s="1310">
        <v>880000</v>
      </c>
      <c r="F1074" s="123">
        <v>0.04</v>
      </c>
      <c r="G1074" s="1468">
        <f t="shared" si="52"/>
        <v>35200</v>
      </c>
      <c r="H1074" s="573" t="s">
        <v>748</v>
      </c>
      <c r="I1074" s="1061" t="s">
        <v>2787</v>
      </c>
      <c r="J1074" s="34"/>
      <c r="K1074" s="34"/>
      <c r="L1074" s="34"/>
      <c r="M1074" s="34"/>
      <c r="N1074" s="34"/>
      <c r="O1074" s="34"/>
    </row>
    <row r="1075" spans="1:15" s="503" customFormat="1">
      <c r="A1075" s="75">
        <v>11812</v>
      </c>
      <c r="B1075" s="1205">
        <v>0.1</v>
      </c>
      <c r="C1075" s="573" t="s">
        <v>2788</v>
      </c>
      <c r="D1075" s="1382" t="s">
        <v>2111</v>
      </c>
      <c r="E1075" s="1310">
        <v>1200000</v>
      </c>
      <c r="F1075" s="123">
        <v>0.04</v>
      </c>
      <c r="G1075" s="1468">
        <f t="shared" si="52"/>
        <v>48000</v>
      </c>
      <c r="H1075" s="573" t="s">
        <v>748</v>
      </c>
      <c r="I1075" s="1061" t="s">
        <v>2124</v>
      </c>
      <c r="J1075" s="34"/>
      <c r="K1075" s="34"/>
      <c r="L1075" s="34"/>
      <c r="M1075" s="34"/>
      <c r="N1075" s="34"/>
      <c r="O1075" s="34"/>
    </row>
    <row r="1076" spans="1:15" s="503" customFormat="1" ht="15.6">
      <c r="A1076" s="2241" t="s">
        <v>2789</v>
      </c>
      <c r="B1076" s="273">
        <v>0.1</v>
      </c>
      <c r="C1076" s="431" t="s">
        <v>2790</v>
      </c>
      <c r="D1076" s="576" t="s">
        <v>2111</v>
      </c>
      <c r="E1076" s="1309">
        <v>1600000</v>
      </c>
      <c r="F1076" s="123">
        <v>0.04</v>
      </c>
      <c r="G1076" s="1468">
        <f t="shared" si="52"/>
        <v>64000</v>
      </c>
      <c r="H1076" s="1214" t="s">
        <v>2218</v>
      </c>
      <c r="I1076" s="1061" t="s">
        <v>2124</v>
      </c>
      <c r="J1076" s="34"/>
      <c r="K1076" s="34"/>
      <c r="L1076" s="34"/>
      <c r="M1076" s="34"/>
      <c r="N1076" s="34"/>
      <c r="O1076" s="34"/>
    </row>
    <row r="1077" spans="1:15" s="503" customFormat="1">
      <c r="A1077" s="75">
        <v>11843</v>
      </c>
      <c r="B1077" s="1205">
        <v>0.1</v>
      </c>
      <c r="C1077" s="573" t="s">
        <v>2791</v>
      </c>
      <c r="D1077" s="1382" t="s">
        <v>2111</v>
      </c>
      <c r="E1077" s="1310">
        <v>1050000</v>
      </c>
      <c r="F1077" s="123">
        <v>0.04</v>
      </c>
      <c r="G1077" s="1468">
        <f t="shared" si="52"/>
        <v>42000</v>
      </c>
      <c r="H1077" s="573" t="s">
        <v>1138</v>
      </c>
      <c r="I1077" s="1061" t="s">
        <v>2124</v>
      </c>
      <c r="J1077" s="34"/>
      <c r="K1077" s="34"/>
      <c r="L1077" s="34"/>
      <c r="M1077" s="34"/>
      <c r="N1077" s="34"/>
      <c r="O1077" s="34"/>
    </row>
    <row r="1078" spans="1:15" s="503" customFormat="1">
      <c r="A1078" s="170">
        <v>11868</v>
      </c>
      <c r="B1078" s="1420">
        <v>0.1</v>
      </c>
      <c r="C1078" s="942" t="s">
        <v>2792</v>
      </c>
      <c r="D1078" s="1382" t="s">
        <v>2111</v>
      </c>
      <c r="E1078" s="1310">
        <v>800000</v>
      </c>
      <c r="F1078" s="123">
        <v>0.04</v>
      </c>
      <c r="G1078" s="1468">
        <f t="shared" si="52"/>
        <v>32000</v>
      </c>
      <c r="H1078" s="573" t="s">
        <v>748</v>
      </c>
      <c r="I1078" s="1061" t="s">
        <v>2124</v>
      </c>
      <c r="J1078" s="34"/>
      <c r="K1078" s="34"/>
      <c r="L1078" s="34"/>
      <c r="M1078" s="34"/>
      <c r="N1078" s="34"/>
      <c r="O1078" s="34"/>
    </row>
    <row r="1079" spans="1:15" s="503" customFormat="1">
      <c r="A1079" s="2246">
        <v>11876</v>
      </c>
      <c r="B1079" s="1205">
        <v>0.1</v>
      </c>
      <c r="C1079" s="573" t="s">
        <v>2793</v>
      </c>
      <c r="D1079" s="1430" t="s">
        <v>2111</v>
      </c>
      <c r="E1079" s="1310">
        <v>850000</v>
      </c>
      <c r="F1079" s="123">
        <v>0.04</v>
      </c>
      <c r="G1079" s="1468">
        <f t="shared" si="52"/>
        <v>34000</v>
      </c>
      <c r="H1079" s="573" t="s">
        <v>2761</v>
      </c>
      <c r="I1079" s="1061" t="s">
        <v>2124</v>
      </c>
      <c r="J1079" s="34"/>
      <c r="K1079" s="34"/>
      <c r="L1079" s="34"/>
      <c r="M1079" s="34"/>
      <c r="N1079" s="34"/>
      <c r="O1079" s="34"/>
    </row>
    <row r="1080" spans="1:15" s="503" customFormat="1">
      <c r="A1080" s="2246">
        <v>11897</v>
      </c>
      <c r="B1080" s="1205">
        <v>0.1</v>
      </c>
      <c r="C1080" s="573" t="s">
        <v>2794</v>
      </c>
      <c r="D1080" s="1143" t="s">
        <v>2111</v>
      </c>
      <c r="E1080" s="1474">
        <v>1000000</v>
      </c>
      <c r="F1080" s="123">
        <v>0.04</v>
      </c>
      <c r="G1080" s="1468">
        <f t="shared" si="52"/>
        <v>40000</v>
      </c>
      <c r="H1080" s="573" t="s">
        <v>748</v>
      </c>
      <c r="I1080" s="1061" t="s">
        <v>2124</v>
      </c>
      <c r="J1080" s="34"/>
      <c r="K1080" s="34"/>
      <c r="L1080" s="34"/>
      <c r="M1080" s="34"/>
      <c r="N1080" s="34"/>
      <c r="O1080" s="34"/>
    </row>
    <row r="1081" spans="1:15" s="503" customFormat="1">
      <c r="A1081" s="83">
        <v>11919</v>
      </c>
      <c r="B1081" s="1494">
        <v>0.09</v>
      </c>
      <c r="C1081" s="1482" t="s">
        <v>2795</v>
      </c>
      <c r="D1081" s="1143" t="s">
        <v>2111</v>
      </c>
      <c r="E1081" s="1474">
        <v>1400000</v>
      </c>
      <c r="F1081" s="123">
        <v>0.03</v>
      </c>
      <c r="G1081" s="1468">
        <f t="shared" si="52"/>
        <v>42000</v>
      </c>
      <c r="H1081" s="573" t="s">
        <v>2796</v>
      </c>
      <c r="I1081" s="1061" t="s">
        <v>2124</v>
      </c>
      <c r="J1081" s="34"/>
      <c r="K1081" s="34"/>
      <c r="L1081" s="34"/>
      <c r="M1081" s="34"/>
      <c r="N1081" s="34"/>
      <c r="O1081" s="34"/>
    </row>
    <row r="1082" spans="1:15" s="503" customFormat="1">
      <c r="A1082" s="75">
        <v>11932</v>
      </c>
      <c r="B1082" s="1205">
        <v>0.1</v>
      </c>
      <c r="C1082" s="573" t="s">
        <v>2797</v>
      </c>
      <c r="D1082" s="1143" t="s">
        <v>2111</v>
      </c>
      <c r="E1082" s="1474">
        <v>1200000</v>
      </c>
      <c r="F1082" s="123">
        <v>0.04</v>
      </c>
      <c r="G1082" s="1468">
        <f t="shared" si="52"/>
        <v>48000</v>
      </c>
      <c r="H1082" s="573" t="s">
        <v>748</v>
      </c>
      <c r="I1082" s="1061" t="s">
        <v>2124</v>
      </c>
      <c r="J1082" s="34"/>
      <c r="K1082" s="34"/>
      <c r="L1082" s="34"/>
      <c r="M1082" s="34"/>
      <c r="N1082" s="34"/>
      <c r="O1082" s="34"/>
    </row>
    <row r="1083" spans="1:15" s="503" customFormat="1">
      <c r="A1083" s="1585"/>
      <c r="B1083" s="1192"/>
      <c r="C1083" s="943"/>
      <c r="D1083" s="1146"/>
      <c r="E1083" s="1480"/>
      <c r="F1083" s="368"/>
      <c r="G1083" s="719"/>
      <c r="H1083" s="943"/>
      <c r="I1083" s="201"/>
      <c r="J1083" s="34"/>
      <c r="K1083" s="34"/>
      <c r="L1083" s="34"/>
      <c r="M1083" s="34"/>
      <c r="N1083" s="34"/>
      <c r="O1083" s="34"/>
    </row>
    <row r="1084" spans="1:15" s="503" customFormat="1">
      <c r="A1084" s="39"/>
      <c r="B1084" s="1428"/>
      <c r="C1084" s="1279"/>
      <c r="D1084" s="1429"/>
      <c r="E1084" s="1427"/>
      <c r="F1084" s="368"/>
      <c r="G1084" s="719"/>
      <c r="H1084" s="943"/>
      <c r="I1084" s="201"/>
      <c r="J1084" s="34"/>
      <c r="K1084" s="34"/>
      <c r="L1084" s="34"/>
      <c r="M1084" s="34"/>
      <c r="N1084" s="34"/>
      <c r="O1084" s="34"/>
    </row>
    <row r="1085" spans="1:15">
      <c r="A1085" s="2231"/>
      <c r="B1085" s="34"/>
      <c r="C1085" s="34"/>
      <c r="D1085" s="1178" t="s">
        <v>2499</v>
      </c>
      <c r="E1085" s="1249">
        <f>SUM(E1070:E1083)</f>
        <v>14080000</v>
      </c>
      <c r="F1085" s="34"/>
      <c r="G1085" s="1451">
        <f>SUM(G1070:G1083)</f>
        <v>549200</v>
      </c>
      <c r="H1085" s="51"/>
      <c r="I1085" s="51"/>
      <c r="J1085" s="34"/>
      <c r="K1085" s="34"/>
      <c r="L1085" s="34"/>
      <c r="M1085" s="34"/>
      <c r="N1085" s="34"/>
      <c r="O1085" s="34"/>
    </row>
    <row r="1086" spans="1:15" ht="15.6">
      <c r="A1086" s="2231"/>
      <c r="B1086" s="34"/>
      <c r="C1086" s="1451"/>
      <c r="D1086" s="390" t="s">
        <v>2154</v>
      </c>
      <c r="E1086" s="1513">
        <f>G1085</f>
        <v>549200</v>
      </c>
      <c r="F1086" s="34"/>
      <c r="G1086" s="34"/>
      <c r="H1086" s="51"/>
      <c r="I1086" s="51"/>
      <c r="J1086" s="34"/>
      <c r="K1086" s="34"/>
      <c r="L1086" s="34"/>
      <c r="M1086" s="34"/>
      <c r="N1086" s="34"/>
      <c r="O1086" s="34"/>
    </row>
    <row r="1089" spans="1:9">
      <c r="A1089" s="2965" t="s">
        <v>2798</v>
      </c>
      <c r="B1089" s="2965"/>
      <c r="C1089" s="2965"/>
      <c r="D1089" s="2965"/>
      <c r="E1089" s="2965"/>
      <c r="F1089" s="2965"/>
      <c r="G1089" s="2965"/>
      <c r="H1089" s="2965"/>
      <c r="I1089" s="2"/>
    </row>
    <row r="1090" spans="1:9">
      <c r="A1090" s="2965"/>
      <c r="B1090" s="2965"/>
      <c r="C1090" s="2965"/>
      <c r="D1090" s="2965"/>
      <c r="E1090" s="2965"/>
      <c r="F1090" s="2965"/>
      <c r="G1090" s="2965"/>
      <c r="H1090" s="2965"/>
      <c r="I1090" s="2"/>
    </row>
    <row r="1091" spans="1:9" ht="20.45">
      <c r="A1091" s="257" t="s">
        <v>2011</v>
      </c>
      <c r="B1091" s="33" t="s">
        <v>1808</v>
      </c>
      <c r="C1091" s="33" t="s">
        <v>2012</v>
      </c>
      <c r="D1091" s="1066" t="s">
        <v>2123</v>
      </c>
      <c r="E1091" s="63" t="s">
        <v>2013</v>
      </c>
      <c r="F1091" s="118" t="s">
        <v>1811</v>
      </c>
      <c r="G1091" s="88" t="s">
        <v>1817</v>
      </c>
      <c r="H1091" s="258" t="s">
        <v>2213</v>
      </c>
      <c r="I1091" s="2"/>
    </row>
    <row r="1092" spans="1:9" s="503" customFormat="1" ht="15.6">
      <c r="A1092" s="2241">
        <v>11766</v>
      </c>
      <c r="B1092" s="123">
        <v>0.1</v>
      </c>
      <c r="C1092" s="431" t="s">
        <v>2783</v>
      </c>
      <c r="D1092" s="1061" t="s">
        <v>2111</v>
      </c>
      <c r="E1092" s="1344">
        <v>1250000</v>
      </c>
      <c r="F1092" s="837">
        <v>0.03</v>
      </c>
      <c r="G1092" s="1304">
        <f>E1092*F1092</f>
        <v>37500</v>
      </c>
      <c r="H1092" s="1061" t="s">
        <v>527</v>
      </c>
      <c r="I1092" s="1061" t="s">
        <v>2124</v>
      </c>
    </row>
    <row r="1093" spans="1:9" s="503" customFormat="1">
      <c r="A1093" s="639">
        <v>11761</v>
      </c>
      <c r="B1093" s="123">
        <v>0.1</v>
      </c>
      <c r="C1093" s="67" t="s">
        <v>2782</v>
      </c>
      <c r="D1093" s="1061" t="s">
        <v>2111</v>
      </c>
      <c r="E1093" s="1344">
        <v>1000000</v>
      </c>
      <c r="F1093" s="837">
        <v>0.03</v>
      </c>
      <c r="G1093" s="1304">
        <f t="shared" ref="G1093:G1119" si="53">E1093*F1093</f>
        <v>30000</v>
      </c>
      <c r="H1093" s="1061" t="s">
        <v>527</v>
      </c>
      <c r="I1093" s="275" t="s">
        <v>2124</v>
      </c>
    </row>
    <row r="1094" spans="1:9" s="503" customFormat="1">
      <c r="A1094" s="983">
        <v>11786</v>
      </c>
      <c r="B1094" s="123">
        <v>0.1</v>
      </c>
      <c r="C1094" s="1054" t="s">
        <v>2799</v>
      </c>
      <c r="D1094" s="1132" t="s">
        <v>2111</v>
      </c>
      <c r="E1094" s="1318">
        <v>800000</v>
      </c>
      <c r="F1094" s="837">
        <v>0.03</v>
      </c>
      <c r="G1094" s="1304">
        <f t="shared" si="53"/>
        <v>24000</v>
      </c>
      <c r="H1094" s="1256" t="s">
        <v>582</v>
      </c>
      <c r="I1094" s="67" t="s">
        <v>2124</v>
      </c>
    </row>
    <row r="1095" spans="1:9" s="503" customFormat="1">
      <c r="A1095" s="2238">
        <v>11770</v>
      </c>
      <c r="B1095" s="194">
        <v>0.1</v>
      </c>
      <c r="C1095" s="431" t="s">
        <v>2751</v>
      </c>
      <c r="D1095" s="576" t="s">
        <v>2111</v>
      </c>
      <c r="E1095" s="1317">
        <v>1800000</v>
      </c>
      <c r="F1095" s="837">
        <v>0.03</v>
      </c>
      <c r="G1095" s="1304">
        <f t="shared" si="53"/>
        <v>54000</v>
      </c>
      <c r="H1095" s="751" t="s">
        <v>582</v>
      </c>
      <c r="I1095" s="1257" t="s">
        <v>2124</v>
      </c>
    </row>
    <row r="1096" spans="1:9" s="503" customFormat="1">
      <c r="A1096" s="639">
        <v>11795</v>
      </c>
      <c r="B1096" s="415">
        <v>0.1</v>
      </c>
      <c r="C1096" s="431" t="s">
        <v>2800</v>
      </c>
      <c r="D1096" s="576" t="s">
        <v>2111</v>
      </c>
      <c r="E1096" s="1313">
        <v>1150000</v>
      </c>
      <c r="F1096" s="837">
        <v>0.03</v>
      </c>
      <c r="G1096" s="1304">
        <f t="shared" si="53"/>
        <v>34500</v>
      </c>
      <c r="H1096" s="576" t="s">
        <v>2754</v>
      </c>
      <c r="I1096" s="1105" t="s">
        <v>2124</v>
      </c>
    </row>
    <row r="1097" spans="1:9" s="503" customFormat="1" ht="15.6">
      <c r="A1097" s="2241">
        <v>11783</v>
      </c>
      <c r="B1097" s="1370">
        <v>0.1</v>
      </c>
      <c r="C1097" s="67" t="s">
        <v>2785</v>
      </c>
      <c r="D1097" s="1061" t="s">
        <v>2111</v>
      </c>
      <c r="E1097" s="1344">
        <v>650000</v>
      </c>
      <c r="F1097" s="837">
        <v>0.03</v>
      </c>
      <c r="G1097" s="1304">
        <f t="shared" si="53"/>
        <v>19500</v>
      </c>
      <c r="H1097" s="1061" t="s">
        <v>527</v>
      </c>
      <c r="I1097" s="275" t="s">
        <v>2124</v>
      </c>
    </row>
    <row r="1098" spans="1:9" s="503" customFormat="1">
      <c r="A1098" s="2236">
        <v>11782</v>
      </c>
      <c r="B1098" s="1205">
        <v>0.1</v>
      </c>
      <c r="C1098" s="1054" t="s">
        <v>2622</v>
      </c>
      <c r="D1098" s="1361" t="s">
        <v>2111</v>
      </c>
      <c r="E1098" s="1515">
        <v>1200000</v>
      </c>
      <c r="F1098" s="837">
        <v>0.03</v>
      </c>
      <c r="G1098" s="1304">
        <f t="shared" si="53"/>
        <v>36000</v>
      </c>
      <c r="H1098" s="1214" t="s">
        <v>523</v>
      </c>
      <c r="I1098" s="275" t="s">
        <v>2124</v>
      </c>
    </row>
    <row r="1099" spans="1:9" s="503" customFormat="1">
      <c r="A1099" s="1536">
        <v>11802</v>
      </c>
      <c r="B1099" s="1205">
        <v>0.1</v>
      </c>
      <c r="C1099" s="431" t="s">
        <v>2801</v>
      </c>
      <c r="D1099" s="576" t="s">
        <v>2111</v>
      </c>
      <c r="E1099" s="1320">
        <v>850000</v>
      </c>
      <c r="F1099" s="837">
        <v>0.03</v>
      </c>
      <c r="G1099" s="1304">
        <f t="shared" si="53"/>
        <v>25500</v>
      </c>
      <c r="H1099" s="342" t="s">
        <v>748</v>
      </c>
      <c r="I1099" s="1258" t="s">
        <v>2124</v>
      </c>
    </row>
    <row r="1100" spans="1:9" s="503" customFormat="1">
      <c r="A1100" s="982">
        <v>11811</v>
      </c>
      <c r="B1100" s="1205">
        <v>0.1</v>
      </c>
      <c r="C1100" s="573" t="s">
        <v>2786</v>
      </c>
      <c r="D1100" s="576" t="s">
        <v>2111</v>
      </c>
      <c r="E1100" s="1317">
        <v>880000</v>
      </c>
      <c r="F1100" s="837">
        <v>0.03</v>
      </c>
      <c r="G1100" s="1304">
        <f t="shared" si="53"/>
        <v>26400</v>
      </c>
      <c r="H1100" s="275" t="s">
        <v>748</v>
      </c>
      <c r="I1100" s="751" t="s">
        <v>2124</v>
      </c>
    </row>
    <row r="1101" spans="1:9" s="503" customFormat="1">
      <c r="A1101" s="2239">
        <v>11812</v>
      </c>
      <c r="B1101" s="1205">
        <v>0.1</v>
      </c>
      <c r="C1101" s="573" t="s">
        <v>2788</v>
      </c>
      <c r="D1101" s="576" t="s">
        <v>2111</v>
      </c>
      <c r="E1101" s="1320">
        <v>1200000</v>
      </c>
      <c r="F1101" s="837">
        <v>0.03</v>
      </c>
      <c r="G1101" s="1304">
        <f t="shared" si="53"/>
        <v>36000</v>
      </c>
      <c r="H1101" s="342" t="s">
        <v>748</v>
      </c>
      <c r="I1101" s="1258" t="s">
        <v>2124</v>
      </c>
    </row>
    <row r="1102" spans="1:9" s="503" customFormat="1" ht="15.6">
      <c r="A1102" s="1941" t="s">
        <v>2789</v>
      </c>
      <c r="B1102" s="413">
        <v>0.1</v>
      </c>
      <c r="C1102" s="431" t="s">
        <v>2790</v>
      </c>
      <c r="D1102" s="576" t="s">
        <v>2111</v>
      </c>
      <c r="E1102" s="1309">
        <v>1600000</v>
      </c>
      <c r="F1102" s="837">
        <v>0.03</v>
      </c>
      <c r="G1102" s="1304">
        <f t="shared" si="53"/>
        <v>48000</v>
      </c>
      <c r="H1102" s="1214" t="s">
        <v>2218</v>
      </c>
      <c r="I1102" s="1061" t="s">
        <v>2124</v>
      </c>
    </row>
    <row r="1103" spans="1:9" s="503" customFormat="1">
      <c r="A1103" s="2247">
        <v>11818</v>
      </c>
      <c r="B1103" s="413">
        <v>0.1</v>
      </c>
      <c r="C1103" s="1229" t="s">
        <v>2802</v>
      </c>
      <c r="D1103" s="576" t="s">
        <v>2111</v>
      </c>
      <c r="E1103" s="1473">
        <v>1100000</v>
      </c>
      <c r="F1103" s="837">
        <v>0.03</v>
      </c>
      <c r="G1103" s="1304">
        <f t="shared" si="53"/>
        <v>33000</v>
      </c>
      <c r="H1103" s="576" t="s">
        <v>523</v>
      </c>
      <c r="I1103" s="1029" t="s">
        <v>2124</v>
      </c>
    </row>
    <row r="1104" spans="1:9" s="503" customFormat="1">
      <c r="A1104" s="639">
        <v>11846</v>
      </c>
      <c r="B1104" s="273">
        <v>0.1</v>
      </c>
      <c r="C1104" s="1415" t="s">
        <v>2757</v>
      </c>
      <c r="D1104" s="1027" t="s">
        <v>2111</v>
      </c>
      <c r="E1104" s="1313">
        <v>1500000</v>
      </c>
      <c r="F1104" s="837">
        <v>0.03</v>
      </c>
      <c r="G1104" s="1304">
        <f t="shared" si="53"/>
        <v>45000</v>
      </c>
      <c r="H1104" s="576" t="s">
        <v>527</v>
      </c>
      <c r="I1104" s="1029" t="s">
        <v>2124</v>
      </c>
    </row>
    <row r="1105" spans="1:9" s="503" customFormat="1">
      <c r="A1105" s="553">
        <v>11843</v>
      </c>
      <c r="B1105" s="1205">
        <v>0.1</v>
      </c>
      <c r="C1105" s="573" t="s">
        <v>2791</v>
      </c>
      <c r="D1105" s="1382" t="s">
        <v>2111</v>
      </c>
      <c r="E1105" s="1310">
        <v>1050000</v>
      </c>
      <c r="F1105" s="837">
        <v>0.03</v>
      </c>
      <c r="G1105" s="1304">
        <f t="shared" si="53"/>
        <v>31500</v>
      </c>
      <c r="H1105" s="573" t="s">
        <v>1138</v>
      </c>
      <c r="I1105" s="1061" t="s">
        <v>2124</v>
      </c>
    </row>
    <row r="1106" spans="1:9" s="503" customFormat="1">
      <c r="A1106" s="65">
        <v>11868</v>
      </c>
      <c r="B1106" s="909">
        <v>0.1</v>
      </c>
      <c r="C1106" s="342" t="s">
        <v>2803</v>
      </c>
      <c r="D1106" s="576" t="s">
        <v>2111</v>
      </c>
      <c r="E1106" s="1317">
        <v>800000</v>
      </c>
      <c r="F1106" s="837">
        <v>0.03</v>
      </c>
      <c r="G1106" s="1304">
        <f t="shared" si="53"/>
        <v>24000</v>
      </c>
      <c r="H1106" s="275" t="s">
        <v>748</v>
      </c>
      <c r="I1106" s="67" t="s">
        <v>2124</v>
      </c>
    </row>
    <row r="1107" spans="1:9" s="503" customFormat="1">
      <c r="A1107" s="986">
        <v>11876</v>
      </c>
      <c r="B1107" s="1420">
        <v>0.1</v>
      </c>
      <c r="C1107" s="942" t="s">
        <v>2793</v>
      </c>
      <c r="D1107" s="1382" t="s">
        <v>2111</v>
      </c>
      <c r="E1107" s="1310">
        <v>850000</v>
      </c>
      <c r="F1107" s="837">
        <v>0.03</v>
      </c>
      <c r="G1107" s="1304">
        <f t="shared" si="53"/>
        <v>25500</v>
      </c>
      <c r="H1107" s="573" t="s">
        <v>2761</v>
      </c>
      <c r="I1107" s="1061" t="s">
        <v>2124</v>
      </c>
    </row>
    <row r="1108" spans="1:9" s="503" customFormat="1">
      <c r="A1108" s="196">
        <v>11897</v>
      </c>
      <c r="B1108" s="1205">
        <v>0.1</v>
      </c>
      <c r="C1108" s="573" t="s">
        <v>2794</v>
      </c>
      <c r="D1108" s="1382" t="s">
        <v>2111</v>
      </c>
      <c r="E1108" s="1474">
        <v>1000000</v>
      </c>
      <c r="F1108" s="837">
        <v>0.03</v>
      </c>
      <c r="G1108" s="1304">
        <f t="shared" ref="G1108:G1109" si="54">E1108*F1108</f>
        <v>30000</v>
      </c>
      <c r="H1108" s="573" t="s">
        <v>748</v>
      </c>
      <c r="I1108" s="1061" t="s">
        <v>2124</v>
      </c>
    </row>
    <row r="1109" spans="1:9" s="503" customFormat="1">
      <c r="A1109" s="121">
        <v>11910</v>
      </c>
      <c r="B1109" s="1301">
        <v>0.1</v>
      </c>
      <c r="C1109" s="1229" t="s">
        <v>2758</v>
      </c>
      <c r="D1109" s="1163" t="s">
        <v>2111</v>
      </c>
      <c r="E1109" s="1503">
        <v>1050000</v>
      </c>
      <c r="F1109" s="837">
        <v>0.03</v>
      </c>
      <c r="G1109" s="1304">
        <f t="shared" si="54"/>
        <v>31500</v>
      </c>
      <c r="H1109" s="576" t="s">
        <v>2759</v>
      </c>
      <c r="I1109" s="1029" t="s">
        <v>2124</v>
      </c>
    </row>
    <row r="1110" spans="1:9" s="503" customFormat="1">
      <c r="A1110" s="121">
        <v>11886</v>
      </c>
      <c r="B1110" s="273">
        <v>0.1</v>
      </c>
      <c r="C1110" s="1229" t="s">
        <v>2760</v>
      </c>
      <c r="D1110" s="1027" t="s">
        <v>2111</v>
      </c>
      <c r="E1110" s="1313">
        <v>1050000</v>
      </c>
      <c r="F1110" s="837">
        <v>0.03</v>
      </c>
      <c r="G1110" s="1304">
        <f t="shared" si="53"/>
        <v>31500</v>
      </c>
      <c r="H1110" s="576" t="s">
        <v>2761</v>
      </c>
      <c r="I1110" s="1029" t="s">
        <v>2124</v>
      </c>
    </row>
    <row r="1111" spans="1:9" s="503" customFormat="1">
      <c r="A1111" s="121">
        <v>11896</v>
      </c>
      <c r="B1111" s="273">
        <v>0.1</v>
      </c>
      <c r="C1111" s="1229" t="s">
        <v>2762</v>
      </c>
      <c r="D1111" s="1163" t="s">
        <v>2111</v>
      </c>
      <c r="E1111" s="1503">
        <v>1100000</v>
      </c>
      <c r="F1111" s="837">
        <v>0.03</v>
      </c>
      <c r="G1111" s="1304">
        <f t="shared" si="53"/>
        <v>33000</v>
      </c>
      <c r="H1111" s="576" t="s">
        <v>527</v>
      </c>
      <c r="I1111" s="1258" t="s">
        <v>2124</v>
      </c>
    </row>
    <row r="1112" spans="1:9" s="503" customFormat="1">
      <c r="A1112" s="2248">
        <v>11919</v>
      </c>
      <c r="B1112" s="1494">
        <v>0.09</v>
      </c>
      <c r="C1112" s="1482" t="s">
        <v>2795</v>
      </c>
      <c r="D1112" s="1143" t="s">
        <v>2111</v>
      </c>
      <c r="E1112" s="1474">
        <v>1400000</v>
      </c>
      <c r="F1112" s="837">
        <v>0.03</v>
      </c>
      <c r="G1112" s="1304">
        <f t="shared" si="53"/>
        <v>42000</v>
      </c>
      <c r="H1112" s="573" t="s">
        <v>2796</v>
      </c>
      <c r="I1112" s="1061" t="s">
        <v>2124</v>
      </c>
    </row>
    <row r="1113" spans="1:9" s="503" customFormat="1" ht="15.6">
      <c r="A1113" s="1941">
        <v>11926</v>
      </c>
      <c r="B1113" s="1301">
        <v>0.1</v>
      </c>
      <c r="C1113" s="1229" t="s">
        <v>2804</v>
      </c>
      <c r="D1113" s="1163" t="s">
        <v>2111</v>
      </c>
      <c r="E1113" s="1503">
        <v>920000</v>
      </c>
      <c r="F1113" s="837">
        <v>0.03</v>
      </c>
      <c r="G1113" s="1304">
        <f t="shared" si="53"/>
        <v>27600</v>
      </c>
      <c r="H1113" s="576" t="s">
        <v>2761</v>
      </c>
      <c r="I1113" s="1029" t="s">
        <v>2124</v>
      </c>
    </row>
    <row r="1114" spans="1:9" s="503" customFormat="1">
      <c r="A1114" s="553">
        <v>11944</v>
      </c>
      <c r="B1114" s="1301">
        <v>0.1</v>
      </c>
      <c r="C1114" s="885" t="s">
        <v>2766</v>
      </c>
      <c r="D1114" s="1027" t="s">
        <v>2111</v>
      </c>
      <c r="E1114" s="1320">
        <v>1050000</v>
      </c>
      <c r="F1114" s="837">
        <v>0.03</v>
      </c>
      <c r="G1114" s="1304">
        <f t="shared" si="53"/>
        <v>31500</v>
      </c>
      <c r="H1114" s="573" t="s">
        <v>2761</v>
      </c>
      <c r="I1114" s="1106" t="s">
        <v>2124</v>
      </c>
    </row>
    <row r="1115" spans="1:9" s="503" customFormat="1">
      <c r="A1115" s="985">
        <v>11932</v>
      </c>
      <c r="B1115" s="1205">
        <v>0.1</v>
      </c>
      <c r="C1115" s="573" t="s">
        <v>2805</v>
      </c>
      <c r="D1115" s="1143" t="s">
        <v>2111</v>
      </c>
      <c r="E1115" s="1524">
        <v>1200000</v>
      </c>
      <c r="F1115" s="837">
        <v>0.03</v>
      </c>
      <c r="G1115" s="1304">
        <f t="shared" si="53"/>
        <v>36000</v>
      </c>
      <c r="H1115" s="942" t="s">
        <v>748</v>
      </c>
      <c r="I1115" s="414" t="s">
        <v>2124</v>
      </c>
    </row>
    <row r="1116" spans="1:9" s="503" customFormat="1">
      <c r="A1116" s="170">
        <v>11930</v>
      </c>
      <c r="B1116" s="954">
        <v>0.1</v>
      </c>
      <c r="C1116" s="1442" t="s">
        <v>2765</v>
      </c>
      <c r="D1116" s="1136" t="s">
        <v>2111</v>
      </c>
      <c r="E1116" s="1320">
        <v>1150000</v>
      </c>
      <c r="F1116" s="837">
        <v>0.03</v>
      </c>
      <c r="G1116" s="1304">
        <f t="shared" si="53"/>
        <v>34500</v>
      </c>
      <c r="H1116" s="573" t="s">
        <v>748</v>
      </c>
      <c r="I1116" s="573" t="s">
        <v>1971</v>
      </c>
    </row>
    <row r="1117" spans="1:9" s="503" customFormat="1">
      <c r="A1117" s="75">
        <v>11941</v>
      </c>
      <c r="B1117" s="273">
        <v>0.1</v>
      </c>
      <c r="C1117" s="431" t="s">
        <v>2767</v>
      </c>
      <c r="D1117" s="1082" t="s">
        <v>2111</v>
      </c>
      <c r="E1117" s="1320">
        <v>1000000</v>
      </c>
      <c r="F1117" s="837">
        <v>0.03</v>
      </c>
      <c r="G1117" s="1304">
        <f t="shared" si="53"/>
        <v>30000</v>
      </c>
      <c r="H1117" s="573" t="s">
        <v>2761</v>
      </c>
      <c r="I1117" s="573" t="s">
        <v>2124</v>
      </c>
    </row>
    <row r="1118" spans="1:9" s="503" customFormat="1">
      <c r="A1118" s="75">
        <v>11949</v>
      </c>
      <c r="B1118" s="273">
        <v>0.08</v>
      </c>
      <c r="C1118" s="431" t="s">
        <v>2768</v>
      </c>
      <c r="D1118" s="1082" t="s">
        <v>2111</v>
      </c>
      <c r="E1118" s="1320">
        <v>1050000</v>
      </c>
      <c r="F1118" s="837">
        <v>0.03</v>
      </c>
      <c r="G1118" s="1304">
        <f t="shared" si="53"/>
        <v>31500</v>
      </c>
      <c r="H1118" s="573" t="s">
        <v>2761</v>
      </c>
      <c r="I1118" s="573" t="s">
        <v>2124</v>
      </c>
    </row>
    <row r="1119" spans="1:9">
      <c r="A1119" s="121">
        <v>11945</v>
      </c>
      <c r="B1119" s="273">
        <v>0.1</v>
      </c>
      <c r="C1119" s="431" t="s">
        <v>2695</v>
      </c>
      <c r="D1119" s="1082" t="s">
        <v>2111</v>
      </c>
      <c r="E1119" s="654">
        <v>1300000</v>
      </c>
      <c r="F1119" s="837">
        <v>0.03</v>
      </c>
      <c r="G1119" s="1304">
        <f t="shared" si="53"/>
        <v>39000</v>
      </c>
      <c r="H1119" s="576" t="s">
        <v>523</v>
      </c>
      <c r="I1119" s="433"/>
    </row>
    <row r="1120" spans="1:9">
      <c r="A1120" s="2231"/>
      <c r="B1120" s="886"/>
      <c r="C1120" s="701"/>
      <c r="D1120" s="1485"/>
      <c r="E1120" s="1516"/>
      <c r="F1120" s="368"/>
      <c r="G1120" s="719"/>
      <c r="H1120" s="1031"/>
      <c r="I1120" s="1748"/>
    </row>
    <row r="1121" spans="1:9">
      <c r="A1121" s="2231"/>
      <c r="B1121" s="886"/>
      <c r="C1121" s="701"/>
      <c r="D1121" s="1485"/>
      <c r="E1121" s="1516"/>
      <c r="F1121" s="368"/>
      <c r="G1121" s="719"/>
      <c r="H1121" s="1031"/>
      <c r="I1121" s="1748"/>
    </row>
    <row r="1122" spans="1:9">
      <c r="A1122" s="2232"/>
      <c r="B1122" s="171"/>
      <c r="C1122" s="173"/>
      <c r="D1122" s="1492" t="s">
        <v>2271</v>
      </c>
      <c r="E1122" s="1517">
        <f>SUM(E1092:E1120)</f>
        <v>30950000</v>
      </c>
      <c r="F1122" s="11"/>
      <c r="G1122" s="1491">
        <f>SUM(G1092:G1119)</f>
        <v>928500</v>
      </c>
      <c r="H1122" s="51"/>
      <c r="I1122" s="2"/>
    </row>
    <row r="1123" spans="1:9" ht="17.45">
      <c r="A1123" s="257"/>
      <c r="B1123" s="171"/>
      <c r="C1123" s="171"/>
      <c r="D1123" s="1490" t="s">
        <v>2154</v>
      </c>
      <c r="E1123" s="1493">
        <f>G1122</f>
        <v>928500</v>
      </c>
      <c r="F1123" s="171"/>
      <c r="G1123" s="171"/>
      <c r="H1123" s="774"/>
      <c r="I1123" s="774"/>
    </row>
    <row r="1126" spans="1:9" ht="18">
      <c r="A1126" s="2966" t="s">
        <v>2510</v>
      </c>
      <c r="B1126" s="2966"/>
      <c r="C1126" s="2966"/>
      <c r="D1126" s="2966"/>
      <c r="E1126" s="2966"/>
      <c r="F1126" s="11"/>
    </row>
    <row r="1127" spans="1:9" ht="18">
      <c r="A1127" s="1396" t="s">
        <v>2511</v>
      </c>
      <c r="B1127" s="1396" t="s">
        <v>2013</v>
      </c>
      <c r="C1127" t="s">
        <v>2512</v>
      </c>
      <c r="D1127" s="1397" t="s">
        <v>2513</v>
      </c>
      <c r="E1127" s="1398" t="s">
        <v>2125</v>
      </c>
      <c r="F1127" s="11"/>
    </row>
    <row r="1128" spans="1:9" ht="15.6">
      <c r="A1128" s="2249">
        <v>11761</v>
      </c>
      <c r="B1128" s="1496">
        <v>1000000</v>
      </c>
      <c r="C1128" s="11" t="s">
        <v>2806</v>
      </c>
      <c r="D1128" s="1394" t="s">
        <v>2807</v>
      </c>
      <c r="E1128" s="1394" t="s">
        <v>2673</v>
      </c>
      <c r="F1128" s="117"/>
    </row>
    <row r="1129" spans="1:9" ht="15.6">
      <c r="A1129" s="2249"/>
      <c r="B1129" s="1496">
        <v>650000</v>
      </c>
      <c r="C1129" s="11" t="s">
        <v>2808</v>
      </c>
      <c r="D1129" s="1394" t="s">
        <v>2809</v>
      </c>
      <c r="E1129" s="1394" t="s">
        <v>2673</v>
      </c>
      <c r="F1129" s="117"/>
    </row>
    <row r="1130" spans="1:9" ht="27" customHeight="1">
      <c r="A1130" s="2249"/>
      <c r="B1130" s="1496">
        <v>1200000</v>
      </c>
      <c r="C1130" s="11" t="s">
        <v>2810</v>
      </c>
      <c r="D1130" s="1394" t="s">
        <v>2811</v>
      </c>
      <c r="E1130" s="1394" t="s">
        <v>2430</v>
      </c>
      <c r="F1130" s="117"/>
    </row>
    <row r="1131" spans="1:9" ht="15.6">
      <c r="A1131" s="2249">
        <v>7251112</v>
      </c>
      <c r="B1131" s="1272" t="s">
        <v>2812</v>
      </c>
      <c r="C1131" s="11" t="s">
        <v>2813</v>
      </c>
      <c r="D1131" s="1394" t="s">
        <v>2814</v>
      </c>
      <c r="E1131" s="1394" t="s">
        <v>2430</v>
      </c>
      <c r="F1131" s="117"/>
    </row>
    <row r="1132" spans="1:9" ht="15.6">
      <c r="A1132" s="2249">
        <v>7259782</v>
      </c>
      <c r="B1132" s="1272">
        <v>1500000</v>
      </c>
      <c r="C1132" s="11" t="s">
        <v>2815</v>
      </c>
      <c r="D1132" s="1394" t="s">
        <v>2816</v>
      </c>
      <c r="E1132" s="1394" t="s">
        <v>2673</v>
      </c>
      <c r="F1132" s="117"/>
    </row>
    <row r="1133" spans="1:9" ht="15.6">
      <c r="A1133" s="2249">
        <v>7247532</v>
      </c>
      <c r="B1133" s="1272" t="s">
        <v>2817</v>
      </c>
      <c r="C1133" s="11" t="s">
        <v>2818</v>
      </c>
      <c r="D1133" s="1394" t="s">
        <v>2819</v>
      </c>
      <c r="E1133" s="1394" t="s">
        <v>2430</v>
      </c>
      <c r="F1133" s="117"/>
    </row>
    <row r="1134" spans="1:9" ht="15.6">
      <c r="A1134" s="2249"/>
      <c r="B1134" s="1272" t="s">
        <v>2812</v>
      </c>
      <c r="C1134" s="11" t="s">
        <v>2820</v>
      </c>
      <c r="D1134" s="701" t="s">
        <v>2821</v>
      </c>
      <c r="E1134" s="701" t="s">
        <v>2822</v>
      </c>
      <c r="F1134" s="1499"/>
    </row>
    <row r="1135" spans="1:9" ht="18">
      <c r="A1135" s="2249">
        <v>7267637</v>
      </c>
      <c r="B1135" s="1272" t="s">
        <v>2823</v>
      </c>
      <c r="C1135" s="11" t="s">
        <v>2824</v>
      </c>
      <c r="D1135" s="11" t="s">
        <v>2825</v>
      </c>
      <c r="E1135" s="1497" t="s">
        <v>2430</v>
      </c>
      <c r="F1135" s="117"/>
    </row>
    <row r="1136" spans="1:9" ht="15.6">
      <c r="A1136" s="2249">
        <v>7269261</v>
      </c>
      <c r="B1136" s="1498">
        <v>920000</v>
      </c>
      <c r="C1136" s="11" t="s">
        <v>2826</v>
      </c>
      <c r="D1136" s="11" t="s">
        <v>2827</v>
      </c>
      <c r="E1136" s="11" t="s">
        <v>2822</v>
      </c>
      <c r="F1136" s="117"/>
    </row>
    <row r="1137" spans="1:15" ht="18">
      <c r="B1137" s="1495"/>
      <c r="D1137"/>
    </row>
    <row r="1139" spans="1:15">
      <c r="A1139" s="2922" t="s">
        <v>1898</v>
      </c>
      <c r="B1139" s="2922"/>
      <c r="C1139" s="79"/>
      <c r="D1139" s="1222">
        <f>E1122</f>
        <v>30950000</v>
      </c>
    </row>
    <row r="1140" spans="1:15">
      <c r="A1140" s="2923" t="s">
        <v>1899</v>
      </c>
      <c r="B1140" s="2923"/>
      <c r="C1140" s="41"/>
      <c r="D1140" s="1405">
        <v>3500000</v>
      </c>
    </row>
    <row r="1141" spans="1:15">
      <c r="A1141" s="2924" t="s">
        <v>1900</v>
      </c>
      <c r="B1141" s="2924"/>
      <c r="C1141" s="45"/>
      <c r="D1141" s="1406">
        <v>4100000</v>
      </c>
    </row>
    <row r="1142" spans="1:15">
      <c r="A1142" s="2807" t="s">
        <v>1901</v>
      </c>
      <c r="B1142" s="2807"/>
      <c r="C1142" s="637"/>
      <c r="D1142" s="1225">
        <v>4550000</v>
      </c>
    </row>
    <row r="1143" spans="1:15">
      <c r="A1143" s="2913" t="s">
        <v>1902</v>
      </c>
      <c r="B1143" s="2913"/>
      <c r="C1143" s="45"/>
      <c r="D1143" s="262">
        <v>15300000</v>
      </c>
    </row>
    <row r="1144" spans="1:15">
      <c r="A1144" s="2968" t="s">
        <v>1933</v>
      </c>
      <c r="B1144" s="2968"/>
      <c r="C1144" s="1481"/>
      <c r="D1144" s="714">
        <v>5150000</v>
      </c>
    </row>
    <row r="1145" spans="1:15">
      <c r="A1145" s="2176"/>
      <c r="B1145" s="43" t="s">
        <v>1904</v>
      </c>
      <c r="C1145" s="43"/>
      <c r="D1145" s="1130"/>
    </row>
    <row r="1151" spans="1:15" ht="46.15">
      <c r="A1151" s="2962" t="s">
        <v>2828</v>
      </c>
      <c r="B1151" s="2962"/>
      <c r="C1151" s="2962"/>
      <c r="D1151" s="2962"/>
      <c r="E1151" s="2962"/>
      <c r="F1151" s="2962"/>
      <c r="G1151" s="2962"/>
      <c r="H1151" s="2962"/>
      <c r="I1151" s="2962"/>
      <c r="J1151" s="2962"/>
      <c r="O1151" s="1"/>
    </row>
    <row r="1152" spans="1:15">
      <c r="O1152" s="1"/>
    </row>
    <row r="1153" spans="1:29" ht="21">
      <c r="A1153" s="2963" t="s">
        <v>1804</v>
      </c>
      <c r="B1153" s="2963"/>
      <c r="C1153" s="2963"/>
      <c r="D1153" s="2963"/>
      <c r="E1153" s="2963"/>
      <c r="F1153" s="2963"/>
      <c r="G1153" s="2963"/>
      <c r="H1153" s="2963"/>
      <c r="I1153" s="2963"/>
      <c r="J1153" s="2963"/>
      <c r="K1153" s="2819" t="s">
        <v>1805</v>
      </c>
      <c r="L1153" s="2819"/>
      <c r="M1153" s="2819"/>
      <c r="N1153" s="2819"/>
      <c r="O1153" s="2"/>
    </row>
    <row r="1154" spans="1:29">
      <c r="A1154" s="2171" t="s">
        <v>1806</v>
      </c>
      <c r="B1154" s="1634" t="s">
        <v>1807</v>
      </c>
      <c r="C1154" s="783" t="s">
        <v>1837</v>
      </c>
      <c r="D1154" s="1056" t="s">
        <v>1809</v>
      </c>
      <c r="E1154" s="779" t="s">
        <v>1810</v>
      </c>
      <c r="F1154" s="1634" t="s">
        <v>1811</v>
      </c>
      <c r="G1154" s="167" t="s">
        <v>1812</v>
      </c>
      <c r="H1154" s="1634" t="s">
        <v>1813</v>
      </c>
      <c r="I1154" s="1634" t="s">
        <v>1814</v>
      </c>
      <c r="J1154" s="1634" t="s">
        <v>1815</v>
      </c>
      <c r="K1154" s="26" t="s">
        <v>1807</v>
      </c>
      <c r="L1154" s="26" t="s">
        <v>1809</v>
      </c>
      <c r="M1154" s="26" t="s">
        <v>1816</v>
      </c>
      <c r="N1154" s="259" t="s">
        <v>1811</v>
      </c>
      <c r="O1154" s="260" t="s">
        <v>1817</v>
      </c>
    </row>
    <row r="1155" spans="1:29" ht="27">
      <c r="A1155" s="2969" t="s">
        <v>2829</v>
      </c>
      <c r="B1155" s="1197"/>
      <c r="C1155" s="687"/>
      <c r="D1155" s="1142" t="s">
        <v>2830</v>
      </c>
      <c r="E1155" s="1616"/>
      <c r="F1155" s="705"/>
      <c r="G1155" s="706"/>
      <c r="H1155" s="607"/>
      <c r="I1155" s="607" t="s">
        <v>2417</v>
      </c>
      <c r="J1155" s="1273"/>
      <c r="K1155" s="836">
        <v>12139</v>
      </c>
      <c r="L1155" s="968" t="s">
        <v>2831</v>
      </c>
      <c r="M1155" s="1652">
        <v>1100000</v>
      </c>
      <c r="N1155" s="837">
        <v>0.05</v>
      </c>
      <c r="O1155" s="1663">
        <f>M1155*N1155</f>
        <v>55000</v>
      </c>
    </row>
    <row r="1156" spans="1:29" ht="27">
      <c r="A1156" s="2969"/>
      <c r="B1156" s="1197"/>
      <c r="C1156" s="687"/>
      <c r="D1156" s="1142" t="s">
        <v>2832</v>
      </c>
      <c r="E1156" s="1616"/>
      <c r="F1156" s="705"/>
      <c r="G1156" s="706"/>
      <c r="H1156" s="607"/>
      <c r="I1156" s="607" t="s">
        <v>2417</v>
      </c>
      <c r="J1156" s="1273"/>
      <c r="K1156" s="836">
        <v>11981</v>
      </c>
      <c r="L1156" s="1143" t="s">
        <v>2833</v>
      </c>
      <c r="M1156" s="1653">
        <v>1100000</v>
      </c>
      <c r="N1156" s="1664">
        <v>0.05</v>
      </c>
      <c r="O1156" s="1663">
        <f t="shared" ref="O1156:O1159" si="55">M1156*N1156</f>
        <v>55000</v>
      </c>
    </row>
    <row r="1157" spans="1:29" s="1266" customFormat="1" ht="27">
      <c r="A1157" s="2969"/>
      <c r="B1157" s="1197"/>
      <c r="C1157" s="780"/>
      <c r="D1157" s="1569" t="s">
        <v>2834</v>
      </c>
      <c r="E1157" s="294"/>
      <c r="F1157" s="336"/>
      <c r="G1157" s="379"/>
      <c r="H1157" s="592"/>
      <c r="I1157" s="592" t="s">
        <v>2363</v>
      </c>
      <c r="J1157" s="1273"/>
      <c r="K1157" s="1444">
        <v>12057</v>
      </c>
      <c r="L1157" s="1229" t="s">
        <v>2835</v>
      </c>
      <c r="M1157" s="1590">
        <v>1400000</v>
      </c>
      <c r="N1157" s="302">
        <v>0.04</v>
      </c>
      <c r="O1157" s="1663">
        <f t="shared" si="55"/>
        <v>56000</v>
      </c>
      <c r="P1157" s="503"/>
      <c r="Q1157" s="503"/>
      <c r="R1157" s="503"/>
      <c r="S1157" s="503"/>
      <c r="T1157" s="503"/>
      <c r="U1157" s="503"/>
      <c r="V1157" s="503"/>
      <c r="W1157" s="503"/>
      <c r="X1157" s="503"/>
      <c r="Y1157" s="503"/>
      <c r="Z1157" s="503"/>
      <c r="AA1157" s="503"/>
      <c r="AB1157" s="503"/>
      <c r="AC1157" s="503"/>
    </row>
    <row r="1158" spans="1:29">
      <c r="A1158" s="2969"/>
      <c r="B1158" s="1197"/>
      <c r="C1158" s="780"/>
      <c r="D1158" s="714" t="s">
        <v>2836</v>
      </c>
      <c r="E1158" s="1560"/>
      <c r="F1158" s="336"/>
      <c r="G1158" s="379"/>
      <c r="H1158" s="592"/>
      <c r="I1158" s="592" t="s">
        <v>2417</v>
      </c>
      <c r="J1158" s="327"/>
      <c r="K1158" s="1654">
        <v>12007</v>
      </c>
      <c r="L1158" s="1589" t="s">
        <v>2837</v>
      </c>
      <c r="M1158" s="1591">
        <v>1350000</v>
      </c>
      <c r="N1158" s="435">
        <v>0.04</v>
      </c>
      <c r="O1158" s="1663">
        <f t="shared" si="55"/>
        <v>54000</v>
      </c>
    </row>
    <row r="1159" spans="1:29" ht="15.6">
      <c r="A1159" s="2969"/>
      <c r="B1159" s="1197"/>
      <c r="C1159" s="687"/>
      <c r="D1159" s="1142" t="s">
        <v>2838</v>
      </c>
      <c r="E1159" s="1567"/>
      <c r="F1159" s="336"/>
      <c r="G1159" s="379"/>
      <c r="H1159" s="592"/>
      <c r="I1159" s="592" t="s">
        <v>2417</v>
      </c>
      <c r="J1159" s="327"/>
      <c r="K1159" s="1213">
        <v>12113</v>
      </c>
      <c r="L1159" s="435" t="s">
        <v>2839</v>
      </c>
      <c r="M1159" s="1592">
        <v>1730000</v>
      </c>
      <c r="N1159" s="314">
        <v>0.05</v>
      </c>
      <c r="O1159" s="1663">
        <f t="shared" si="55"/>
        <v>86500</v>
      </c>
    </row>
    <row r="1160" spans="1:29">
      <c r="A1160" s="2969"/>
      <c r="B1160" s="841">
        <v>12036</v>
      </c>
      <c r="C1160" s="362">
        <v>0.1</v>
      </c>
      <c r="D1160" s="1383" t="s">
        <v>2840</v>
      </c>
      <c r="E1160" s="1476">
        <v>1150000</v>
      </c>
      <c r="F1160" s="273">
        <v>0.05</v>
      </c>
      <c r="G1160" s="268">
        <f>E1160*F1160</f>
        <v>57500</v>
      </c>
      <c r="H1160" s="298" t="s">
        <v>748</v>
      </c>
      <c r="I1160" s="298" t="s">
        <v>2417</v>
      </c>
      <c r="J1160" s="327"/>
      <c r="K1160" s="1649"/>
      <c r="L1160" s="1648"/>
      <c r="M1160" s="1650"/>
      <c r="N1160" s="368"/>
      <c r="O1160" s="914"/>
      <c r="P1160" s="1177"/>
    </row>
    <row r="1161" spans="1:29">
      <c r="A1161" s="2969"/>
      <c r="B1161" s="836">
        <v>12037</v>
      </c>
      <c r="C1161" s="792">
        <v>0.1</v>
      </c>
      <c r="D1161" s="1568" t="s">
        <v>2841</v>
      </c>
      <c r="E1161" s="1320">
        <v>1100000</v>
      </c>
      <c r="F1161" s="273">
        <v>0.1</v>
      </c>
      <c r="G1161" s="268">
        <f t="shared" ref="G1161:G1163" si="56">E1161*F1161</f>
        <v>110000</v>
      </c>
      <c r="H1161" s="298" t="s">
        <v>582</v>
      </c>
      <c r="I1161" s="298" t="s">
        <v>2417</v>
      </c>
      <c r="J1161" s="327"/>
      <c r="K1161" s="398"/>
      <c r="L1161" s="1627"/>
      <c r="M1161" s="1628"/>
      <c r="N1161" s="1611"/>
      <c r="O1161" s="1588"/>
    </row>
    <row r="1162" spans="1:29" s="503" customFormat="1" ht="15.6">
      <c r="A1162" s="2969"/>
      <c r="B1162" s="836">
        <v>12140</v>
      </c>
      <c r="C1162" s="792">
        <v>0.1</v>
      </c>
      <c r="D1162" s="1143" t="s">
        <v>2842</v>
      </c>
      <c r="E1162" s="1324">
        <v>1000000</v>
      </c>
      <c r="F1162" s="273">
        <v>0.1</v>
      </c>
      <c r="G1162" s="268">
        <f t="shared" si="56"/>
        <v>100000</v>
      </c>
      <c r="H1162" s="605" t="s">
        <v>582</v>
      </c>
      <c r="I1162" s="605" t="s">
        <v>2363</v>
      </c>
      <c r="J1162" s="327"/>
      <c r="K1162" s="1362"/>
      <c r="L1162" s="1611"/>
      <c r="M1162" s="1647"/>
      <c r="N1162" s="958"/>
      <c r="O1162" s="1588"/>
    </row>
    <row r="1163" spans="1:29" ht="15.6">
      <c r="A1163" s="2969"/>
      <c r="B1163" s="298">
        <v>12146</v>
      </c>
      <c r="C1163" s="362">
        <v>0.1</v>
      </c>
      <c r="D1163" s="1630" t="s">
        <v>2843</v>
      </c>
      <c r="E1163" s="1320">
        <v>1300000</v>
      </c>
      <c r="F1163" s="273">
        <v>0.1</v>
      </c>
      <c r="G1163" s="268">
        <f t="shared" si="56"/>
        <v>130000</v>
      </c>
      <c r="H1163" s="298" t="s">
        <v>582</v>
      </c>
      <c r="I1163" s="298" t="s">
        <v>2363</v>
      </c>
      <c r="J1163" s="1748"/>
      <c r="K1163" s="1362"/>
      <c r="L1163" s="1611"/>
      <c r="M1163" s="1647"/>
      <c r="N1163" s="958"/>
      <c r="O1163" s="1748"/>
    </row>
    <row r="1164" spans="1:29">
      <c r="A1164" s="2969"/>
      <c r="B1164" s="299"/>
      <c r="C1164" s="318"/>
      <c r="D1164" s="1146"/>
      <c r="E1164" s="1601"/>
      <c r="F1164" s="747"/>
      <c r="G1164" s="1292"/>
      <c r="H1164" s="525"/>
      <c r="I1164" s="525"/>
      <c r="J1164" s="632"/>
      <c r="K1164" s="1748"/>
      <c r="L1164" s="1748"/>
      <c r="M1164" s="922"/>
      <c r="N1164" s="958"/>
      <c r="O1164" s="1748"/>
    </row>
    <row r="1165" spans="1:29">
      <c r="A1165" s="2969"/>
      <c r="B1165" s="299"/>
      <c r="C1165" s="318"/>
      <c r="D1165" s="1619"/>
      <c r="E1165" s="1600"/>
      <c r="F1165" s="312"/>
      <c r="G1165" s="313"/>
      <c r="H1165" s="648"/>
      <c r="I1165" s="307"/>
      <c r="J1165" s="924"/>
      <c r="K1165" s="1748"/>
      <c r="L1165" s="1748"/>
      <c r="M1165" s="922"/>
      <c r="N1165" s="958"/>
      <c r="O1165" s="1748"/>
    </row>
    <row r="1166" spans="1:29">
      <c r="A1166" s="2969"/>
      <c r="B1166" s="624"/>
      <c r="C1166" s="624"/>
      <c r="D1166" s="1144" t="s">
        <v>1833</v>
      </c>
      <c r="E1166" s="1602">
        <f>SUM(E1160:E1164)</f>
        <v>4550000</v>
      </c>
      <c r="F1166" s="929"/>
      <c r="G1166" s="1180">
        <f>SUM(G1160:G1164)</f>
        <v>397500</v>
      </c>
      <c r="H1166" s="1181"/>
      <c r="I1166" s="444"/>
      <c r="J1166" s="773"/>
      <c r="K1166" s="308"/>
      <c r="L1166" s="2834" t="s">
        <v>1834</v>
      </c>
      <c r="M1166" s="2834"/>
      <c r="N1166" s="2834"/>
      <c r="O1166" s="1694">
        <f>SUM(O1155:O1159)</f>
        <v>306500</v>
      </c>
    </row>
    <row r="1167" spans="1:29" ht="15.6">
      <c r="A1167" s="2969"/>
      <c r="B1167" s="1183"/>
      <c r="C1167" s="1183"/>
      <c r="D1167" s="1184" t="s">
        <v>1835</v>
      </c>
      <c r="E1167" s="1467">
        <f>G1166+O1166</f>
        <v>704000</v>
      </c>
      <c r="F1167" s="1183"/>
      <c r="G1167" s="1186"/>
      <c r="H1167" s="813"/>
      <c r="I1167" s="813"/>
      <c r="J1167" s="816"/>
      <c r="K1167" s="868"/>
      <c r="L1167" s="868"/>
      <c r="M1167" s="868"/>
      <c r="N1167" s="868"/>
      <c r="O1167" s="422"/>
    </row>
    <row r="1168" spans="1:29">
      <c r="A1168" s="2172"/>
      <c r="B1168" s="17"/>
      <c r="C1168" s="17"/>
      <c r="D1168" s="1058"/>
      <c r="E1168" s="19"/>
      <c r="F1168" s="17"/>
      <c r="G1168" s="20"/>
      <c r="H1168" s="17"/>
      <c r="I1168" s="17"/>
      <c r="J1168" s="18"/>
      <c r="O1168" s="1"/>
    </row>
    <row r="1169" spans="1:15">
      <c r="A1169" s="2172"/>
      <c r="B1169" s="17"/>
      <c r="C1169" s="17"/>
      <c r="D1169" s="1058"/>
      <c r="E1169" s="19"/>
      <c r="F1169" s="17"/>
      <c r="G1169" s="20"/>
      <c r="H1169" s="17"/>
      <c r="I1169" s="17"/>
      <c r="J1169" s="18"/>
      <c r="O1169" s="1"/>
    </row>
    <row r="1170" spans="1:15" ht="21">
      <c r="A1170" s="2973" t="s">
        <v>1836</v>
      </c>
      <c r="B1170" s="2973"/>
      <c r="C1170" s="2973"/>
      <c r="D1170" s="2973"/>
      <c r="E1170" s="2973"/>
      <c r="F1170" s="2973"/>
      <c r="G1170" s="2973"/>
      <c r="H1170" s="2973"/>
      <c r="I1170" s="2973"/>
      <c r="J1170" s="2973"/>
      <c r="K1170" s="2825" t="s">
        <v>1805</v>
      </c>
      <c r="L1170" s="2825"/>
      <c r="M1170" s="2825"/>
      <c r="N1170" s="2825"/>
      <c r="O1170" s="260"/>
    </row>
    <row r="1171" spans="1:15">
      <c r="A1171" s="2250" t="s">
        <v>1806</v>
      </c>
      <c r="B1171" s="64" t="s">
        <v>1807</v>
      </c>
      <c r="C1171" s="1626" t="s">
        <v>1837</v>
      </c>
      <c r="D1171" s="1460" t="s">
        <v>1809</v>
      </c>
      <c r="E1171" s="1581" t="s">
        <v>1810</v>
      </c>
      <c r="F1171" s="1626" t="s">
        <v>1811</v>
      </c>
      <c r="G1171" s="1582" t="s">
        <v>1812</v>
      </c>
      <c r="H1171" s="1626" t="s">
        <v>1813</v>
      </c>
      <c r="I1171" s="1626" t="s">
        <v>1814</v>
      </c>
      <c r="J1171" s="1747" t="s">
        <v>1815</v>
      </c>
      <c r="K1171" s="1626" t="s">
        <v>1807</v>
      </c>
      <c r="L1171" s="1747" t="s">
        <v>1809</v>
      </c>
      <c r="M1171" s="1747" t="s">
        <v>1816</v>
      </c>
      <c r="N1171" s="1747" t="s">
        <v>1811</v>
      </c>
      <c r="O1171" s="51" t="s">
        <v>1817</v>
      </c>
    </row>
    <row r="1172" spans="1:15" ht="27">
      <c r="A1172" s="2798" t="s">
        <v>2557</v>
      </c>
      <c r="B1172" s="1207"/>
      <c r="C1172" s="687"/>
      <c r="D1172" s="714" t="s">
        <v>2844</v>
      </c>
      <c r="E1172" s="1283"/>
      <c r="F1172" s="336"/>
      <c r="G1172" s="350"/>
      <c r="H1172" s="592"/>
      <c r="I1172" s="669" t="s">
        <v>2417</v>
      </c>
      <c r="J1172" s="1509"/>
      <c r="K1172" s="1626"/>
      <c r="L1172" s="1452"/>
      <c r="M1172" s="1747"/>
      <c r="N1172" s="1747"/>
      <c r="O1172" s="51"/>
    </row>
    <row r="1173" spans="1:15">
      <c r="A1173" s="2798"/>
      <c r="B1173" s="1207"/>
      <c r="C1173" s="780"/>
      <c r="D1173" s="409" t="s">
        <v>2845</v>
      </c>
      <c r="E1173" s="1283"/>
      <c r="F1173" s="336"/>
      <c r="G1173" s="1577"/>
      <c r="H1173" s="592"/>
      <c r="I1173" s="669" t="s">
        <v>2417</v>
      </c>
      <c r="J1173" s="1580"/>
      <c r="K1173" s="1626"/>
      <c r="L1173" s="1452"/>
      <c r="M1173" s="1747"/>
      <c r="N1173" s="1747"/>
      <c r="O1173" s="51"/>
    </row>
    <row r="1174" spans="1:15">
      <c r="A1174" s="2798"/>
      <c r="B1174" s="1579"/>
      <c r="C1174" s="780"/>
      <c r="D1174" s="899" t="s">
        <v>2846</v>
      </c>
      <c r="E1174" s="586"/>
      <c r="F1174" s="347"/>
      <c r="G1174" s="378"/>
      <c r="H1174" s="347"/>
      <c r="I1174" s="347" t="s">
        <v>2363</v>
      </c>
      <c r="J1174" s="300"/>
      <c r="K1174" s="1626"/>
      <c r="L1174" s="1452"/>
      <c r="M1174" s="1747"/>
      <c r="N1174" s="1747"/>
      <c r="O1174" s="51"/>
    </row>
    <row r="1175" spans="1:15">
      <c r="A1175" s="2798"/>
      <c r="B1175" s="1579"/>
      <c r="C1175" s="780"/>
      <c r="D1175" s="714" t="s">
        <v>2847</v>
      </c>
      <c r="E1175" s="1578"/>
      <c r="F1175" s="1211"/>
      <c r="G1175" s="350"/>
      <c r="H1175" s="1006"/>
      <c r="I1175" s="592" t="s">
        <v>2363</v>
      </c>
      <c r="J1175" s="522"/>
      <c r="K1175" s="1626"/>
      <c r="L1175" s="1452"/>
      <c r="M1175" s="1747"/>
      <c r="N1175" s="1747"/>
      <c r="O1175" s="51"/>
    </row>
    <row r="1176" spans="1:15">
      <c r="A1176" s="2798"/>
      <c r="B1176" s="1365"/>
      <c r="C1176" s="1453"/>
      <c r="D1176" s="1446" t="s">
        <v>2848</v>
      </c>
      <c r="E1176" s="1552"/>
      <c r="F1176" s="705"/>
      <c r="G1176" s="1456"/>
      <c r="H1176" s="320"/>
      <c r="I1176" s="321" t="s">
        <v>2363</v>
      </c>
      <c r="J1176" s="1246"/>
      <c r="K1176" s="1626"/>
      <c r="L1176" s="1452"/>
      <c r="M1176" s="1747"/>
      <c r="N1176" s="1747"/>
      <c r="O1176" s="51"/>
    </row>
    <row r="1177" spans="1:15">
      <c r="A1177" s="2798"/>
      <c r="B1177" s="1571">
        <v>11995</v>
      </c>
      <c r="C1177" s="1572">
        <v>0.1</v>
      </c>
      <c r="D1177" s="1132" t="s">
        <v>2849</v>
      </c>
      <c r="E1177" s="1594">
        <v>1500000</v>
      </c>
      <c r="F1177" s="273">
        <v>0.05</v>
      </c>
      <c r="G1177" s="1317">
        <f>E1177*F1177</f>
        <v>75000</v>
      </c>
      <c r="H1177" s="298" t="s">
        <v>748</v>
      </c>
      <c r="I1177" s="330" t="s">
        <v>2417</v>
      </c>
      <c r="J1177" s="1381"/>
      <c r="K1177" s="1626"/>
      <c r="L1177" s="1452"/>
      <c r="M1177" s="1747"/>
      <c r="N1177" s="1747"/>
      <c r="O1177" s="51"/>
    </row>
    <row r="1178" spans="1:15" s="503" customFormat="1">
      <c r="A1178" s="2798"/>
      <c r="B1178" s="836">
        <v>12102</v>
      </c>
      <c r="C1178" s="362">
        <v>0.1</v>
      </c>
      <c r="D1178" s="431" t="s">
        <v>2850</v>
      </c>
      <c r="E1178" s="1313">
        <v>1600000</v>
      </c>
      <c r="F1178" s="273">
        <v>0.1</v>
      </c>
      <c r="G1178" s="1317">
        <f t="shared" ref="G1178:G1183" si="57">E1178*F1178</f>
        <v>160000</v>
      </c>
      <c r="H1178" s="853" t="s">
        <v>2430</v>
      </c>
      <c r="I1178" s="298" t="s">
        <v>2363</v>
      </c>
      <c r="J1178" s="1381"/>
      <c r="K1178" s="1626"/>
      <c r="L1178" s="1452"/>
      <c r="M1178" s="1747"/>
      <c r="N1178" s="1747"/>
      <c r="O1178" s="51"/>
    </row>
    <row r="1179" spans="1:15" s="503" customFormat="1">
      <c r="A1179" s="2798"/>
      <c r="B1179" s="836">
        <v>12123</v>
      </c>
      <c r="C1179" s="362">
        <v>0.1</v>
      </c>
      <c r="D1179" s="1229" t="s">
        <v>2851</v>
      </c>
      <c r="E1179" s="1310">
        <v>1400000</v>
      </c>
      <c r="F1179" s="273">
        <v>0.05</v>
      </c>
      <c r="G1179" s="1317">
        <f t="shared" si="57"/>
        <v>70000</v>
      </c>
      <c r="H1179" s="298" t="s">
        <v>748</v>
      </c>
      <c r="I1179" s="1431" t="s">
        <v>2417</v>
      </c>
      <c r="J1179" s="1381"/>
      <c r="K1179" s="1626"/>
      <c r="L1179" s="1452"/>
      <c r="M1179" s="1747"/>
      <c r="N1179" s="1747"/>
      <c r="O1179" s="51"/>
    </row>
    <row r="1180" spans="1:15" s="503" customFormat="1">
      <c r="A1180" s="2798"/>
      <c r="B1180" s="836">
        <v>12139</v>
      </c>
      <c r="C1180" s="362">
        <v>0.1</v>
      </c>
      <c r="D1180" s="968" t="s">
        <v>2831</v>
      </c>
      <c r="E1180" s="1310">
        <v>1100000</v>
      </c>
      <c r="F1180" s="273">
        <v>0.05</v>
      </c>
      <c r="G1180" s="1317">
        <f t="shared" si="57"/>
        <v>55000</v>
      </c>
      <c r="H1180" s="433" t="s">
        <v>582</v>
      </c>
      <c r="I1180" s="433" t="s">
        <v>2363</v>
      </c>
      <c r="J1180" s="1381"/>
      <c r="K1180" s="1626"/>
      <c r="L1180" s="1452"/>
      <c r="M1180" s="1747"/>
      <c r="N1180" s="1747"/>
      <c r="O1180" s="51"/>
    </row>
    <row r="1181" spans="1:15" s="503" customFormat="1" ht="16.899999999999999">
      <c r="A1181" s="2798"/>
      <c r="B1181" s="1658">
        <v>12151</v>
      </c>
      <c r="C1181" s="362">
        <v>0.1</v>
      </c>
      <c r="D1181" s="431" t="s">
        <v>2852</v>
      </c>
      <c r="E1181" s="1313">
        <v>1400000</v>
      </c>
      <c r="F1181" s="273">
        <v>0.1</v>
      </c>
      <c r="G1181" s="1317">
        <f t="shared" si="57"/>
        <v>140000</v>
      </c>
      <c r="H1181" s="1631" t="s">
        <v>2430</v>
      </c>
      <c r="I1181" s="605" t="s">
        <v>2417</v>
      </c>
      <c r="J1181" s="1381"/>
      <c r="K1181" s="1626"/>
      <c r="L1181" s="1452"/>
      <c r="M1181" s="1747"/>
      <c r="N1181" s="1747"/>
      <c r="O1181" s="51"/>
    </row>
    <row r="1182" spans="1:15" s="503" customFormat="1">
      <c r="A1182" s="2798"/>
      <c r="B1182" s="836">
        <v>12155</v>
      </c>
      <c r="C1182" s="362">
        <v>0.1</v>
      </c>
      <c r="D1182" s="431" t="s">
        <v>2853</v>
      </c>
      <c r="E1182" s="1310">
        <v>1250000</v>
      </c>
      <c r="F1182" s="273">
        <v>0.1</v>
      </c>
      <c r="G1182" s="1317">
        <f t="shared" si="57"/>
        <v>125000</v>
      </c>
      <c r="H1182" s="322" t="s">
        <v>2430</v>
      </c>
      <c r="I1182" s="323" t="s">
        <v>2417</v>
      </c>
      <c r="J1182" s="1381"/>
      <c r="K1182" s="1626"/>
      <c r="L1182" s="1452"/>
      <c r="M1182" s="1747"/>
      <c r="N1182" s="1747"/>
      <c r="O1182" s="51"/>
    </row>
    <row r="1183" spans="1:15" ht="25.5" customHeight="1">
      <c r="A1183" s="2798"/>
      <c r="B1183" s="1213">
        <v>12164</v>
      </c>
      <c r="C1183" s="1659">
        <v>0.1</v>
      </c>
      <c r="D1183" s="431" t="s">
        <v>2854</v>
      </c>
      <c r="E1183" s="1310">
        <v>1200000</v>
      </c>
      <c r="F1183" s="273">
        <v>0.1</v>
      </c>
      <c r="G1183" s="1317">
        <f t="shared" si="57"/>
        <v>120000</v>
      </c>
      <c r="H1183" s="298" t="s">
        <v>523</v>
      </c>
      <c r="I1183" s="330" t="s">
        <v>2363</v>
      </c>
      <c r="J1183" s="1748"/>
      <c r="K1183" s="1748"/>
      <c r="L1183" s="1748"/>
      <c r="M1183" s="1557"/>
      <c r="N1183" s="959"/>
      <c r="O1183" s="455"/>
    </row>
    <row r="1184" spans="1:15" ht="15" customHeight="1">
      <c r="A1184" s="2798"/>
      <c r="B1184" s="1362"/>
      <c r="C1184" s="794"/>
      <c r="D1184" s="1212"/>
      <c r="E1184" s="1597"/>
      <c r="F1184" s="747"/>
      <c r="G1184" s="523"/>
      <c r="H1184" s="696"/>
      <c r="I1184" s="521"/>
      <c r="J1184" s="1246"/>
      <c r="K1184" s="989"/>
      <c r="L1184" s="1236"/>
      <c r="M1184" s="959"/>
      <c r="N1184" s="959"/>
      <c r="O1184" s="455"/>
    </row>
    <row r="1185" spans="1:17" ht="15" customHeight="1">
      <c r="A1185" s="2798"/>
      <c r="B1185" s="1362"/>
      <c r="C1185" s="794"/>
      <c r="D1185" s="1212"/>
      <c r="E1185" s="1597"/>
      <c r="F1185" s="747"/>
      <c r="G1185" s="523"/>
      <c r="H1185" s="696"/>
      <c r="I1185" s="521"/>
      <c r="J1185" s="1246"/>
      <c r="K1185" s="989"/>
      <c r="L1185" s="1236"/>
      <c r="M1185" s="959"/>
      <c r="N1185" s="959"/>
      <c r="O1185" s="455"/>
    </row>
    <row r="1186" spans="1:17" ht="15" customHeight="1">
      <c r="A1186" s="2798"/>
      <c r="B1186" s="506"/>
      <c r="C1186" s="675"/>
      <c r="D1186" s="1144" t="s">
        <v>1833</v>
      </c>
      <c r="E1186" s="1599">
        <f>SUM(E1177:E1185)</f>
        <v>9450000</v>
      </c>
      <c r="F1186" s="506"/>
      <c r="G1186" s="475">
        <f>SUM(G1177:G1183)</f>
        <v>745000</v>
      </c>
      <c r="H1186" s="891"/>
      <c r="I1186" s="506"/>
      <c r="J1186" s="334"/>
      <c r="K1186" s="1439"/>
      <c r="L1186" s="2794" t="s">
        <v>1859</v>
      </c>
      <c r="M1186" s="2794"/>
      <c r="N1186" s="2794"/>
      <c r="O1186" s="1440"/>
    </row>
    <row r="1187" spans="1:17" ht="15" customHeight="1">
      <c r="A1187" s="2798"/>
      <c r="B1187" s="813"/>
      <c r="C1187" s="789"/>
      <c r="D1187" s="1157" t="s">
        <v>1835</v>
      </c>
      <c r="E1187" s="510">
        <f>G1186</f>
        <v>745000</v>
      </c>
      <c r="F1187" s="450"/>
      <c r="G1187" s="481"/>
      <c r="H1187" s="450"/>
      <c r="I1187" s="450"/>
      <c r="J1187" s="482"/>
      <c r="K1187" s="453"/>
      <c r="L1187" s="938"/>
      <c r="M1187" s="938"/>
      <c r="N1187" s="938"/>
      <c r="O1187" s="455"/>
    </row>
    <row r="1188" spans="1:17" ht="15.6">
      <c r="A1188" s="2209"/>
      <c r="B1188" s="799"/>
      <c r="C1188" s="456"/>
      <c r="D1188" s="1091"/>
      <c r="E1188" s="458"/>
      <c r="F1188" s="456"/>
      <c r="G1188" s="459"/>
      <c r="H1188" s="456"/>
      <c r="I1188" s="456"/>
      <c r="J1188" s="457"/>
      <c r="K1188" s="460"/>
      <c r="L1188" s="461"/>
      <c r="M1188" s="461"/>
      <c r="N1188" s="461"/>
      <c r="O1188" s="455"/>
    </row>
    <row r="1189" spans="1:17" ht="15.6">
      <c r="A1189" s="2209"/>
      <c r="B1189" s="799"/>
      <c r="C1189" s="799"/>
      <c r="D1189" s="1145"/>
      <c r="E1189" s="801"/>
      <c r="F1189" s="799"/>
      <c r="G1189" s="802"/>
      <c r="H1189" s="799"/>
      <c r="I1189" s="799"/>
      <c r="J1189" s="800"/>
      <c r="K1189" s="803"/>
      <c r="L1189" s="804"/>
      <c r="M1189" s="804"/>
      <c r="N1189" s="804"/>
      <c r="O1189" s="805"/>
    </row>
    <row r="1190" spans="1:17" ht="21">
      <c r="A1190" s="2963" t="s">
        <v>1860</v>
      </c>
      <c r="B1190" s="2963"/>
      <c r="C1190" s="2963"/>
      <c r="D1190" s="2963"/>
      <c r="E1190" s="2963"/>
      <c r="F1190" s="2963"/>
      <c r="G1190" s="2963"/>
      <c r="H1190" s="2963"/>
      <c r="I1190" s="2963"/>
      <c r="J1190" s="2963"/>
      <c r="K1190" s="2811" t="s">
        <v>1805</v>
      </c>
      <c r="L1190" s="2811"/>
      <c r="M1190" s="2811"/>
      <c r="N1190" s="2811"/>
      <c r="O1190" s="2"/>
    </row>
    <row r="1191" spans="1:17">
      <c r="A1191" s="2218" t="s">
        <v>1806</v>
      </c>
      <c r="B1191" s="1634" t="s">
        <v>1807</v>
      </c>
      <c r="C1191" s="1634" t="s">
        <v>1837</v>
      </c>
      <c r="D1191" s="1056" t="s">
        <v>1809</v>
      </c>
      <c r="E1191" s="32" t="s">
        <v>1810</v>
      </c>
      <c r="F1191" s="1634" t="s">
        <v>1811</v>
      </c>
      <c r="G1191" s="167" t="s">
        <v>1812</v>
      </c>
      <c r="H1191" s="1634" t="s">
        <v>1813</v>
      </c>
      <c r="I1191" s="1634" t="s">
        <v>1814</v>
      </c>
      <c r="J1191" s="1634" t="s">
        <v>1815</v>
      </c>
      <c r="K1191" s="1626" t="s">
        <v>1807</v>
      </c>
      <c r="L1191" s="1626" t="s">
        <v>1809</v>
      </c>
      <c r="M1191" s="1626" t="s">
        <v>1816</v>
      </c>
      <c r="N1191" s="1626" t="s">
        <v>1811</v>
      </c>
      <c r="O1191" s="260" t="s">
        <v>1817</v>
      </c>
    </row>
    <row r="1192" spans="1:17" ht="27">
      <c r="A1192" s="2970" t="s">
        <v>2274</v>
      </c>
      <c r="B1192" s="753"/>
      <c r="C1192" s="1197"/>
      <c r="D1192" s="1264" t="s">
        <v>2855</v>
      </c>
      <c r="E1192" s="1636"/>
      <c r="F1192" s="1637"/>
      <c r="G1192" s="1638"/>
      <c r="H1192" s="1343"/>
      <c r="I1192" s="473" t="s">
        <v>2417</v>
      </c>
      <c r="J1192" s="783"/>
      <c r="K1192" s="1626"/>
      <c r="L1192" s="398"/>
      <c r="M1192" s="398"/>
      <c r="N1192" s="1626"/>
      <c r="O1192" s="260"/>
    </row>
    <row r="1193" spans="1:17">
      <c r="A1193" s="2970"/>
      <c r="B1193" s="753"/>
      <c r="C1193" s="1197"/>
      <c r="D1193" s="1262" t="s">
        <v>2856</v>
      </c>
      <c r="E1193" s="1449"/>
      <c r="F1193" s="1203"/>
      <c r="G1193" s="1204"/>
      <c r="H1193" s="1343"/>
      <c r="I1193" s="347" t="s">
        <v>2417</v>
      </c>
      <c r="J1193" s="783"/>
      <c r="K1193" s="836">
        <v>12036</v>
      </c>
      <c r="L1193" s="1593" t="s">
        <v>2840</v>
      </c>
      <c r="M1193" s="594">
        <v>1150000</v>
      </c>
      <c r="N1193" s="1661">
        <v>0.05</v>
      </c>
      <c r="O1193" s="1662">
        <f>M1193*N1193</f>
        <v>57500</v>
      </c>
      <c r="P1193" s="503"/>
      <c r="Q1193" s="503"/>
    </row>
    <row r="1194" spans="1:17">
      <c r="A1194" s="2970"/>
      <c r="B1194" s="753"/>
      <c r="C1194" s="1529"/>
      <c r="D1194" s="1142" t="s">
        <v>2857</v>
      </c>
      <c r="E1194" s="1530"/>
      <c r="F1194" s="780"/>
      <c r="G1194" s="782"/>
      <c r="H1194" s="1371"/>
      <c r="I1194" s="780" t="s">
        <v>2858</v>
      </c>
      <c r="J1194" s="783"/>
      <c r="K1194" s="836">
        <v>11995</v>
      </c>
      <c r="L1194" s="1029" t="s">
        <v>2849</v>
      </c>
      <c r="M1194" s="1573">
        <v>1500000</v>
      </c>
      <c r="N1194" s="1661">
        <v>0.05</v>
      </c>
      <c r="O1194" s="1662">
        <f t="shared" ref="O1194:O1196" si="58">M1194*N1194</f>
        <v>75000</v>
      </c>
      <c r="P1194" s="299"/>
      <c r="Q1194" s="503"/>
    </row>
    <row r="1195" spans="1:17">
      <c r="A1195" s="2970"/>
      <c r="B1195" s="840">
        <v>11969</v>
      </c>
      <c r="C1195" s="1298">
        <v>0.1</v>
      </c>
      <c r="D1195" s="1442" t="s">
        <v>2859</v>
      </c>
      <c r="E1195" s="1603">
        <v>900000</v>
      </c>
      <c r="F1195" s="302">
        <v>0.05</v>
      </c>
      <c r="G1195" s="1660">
        <f>E1195*F1195</f>
        <v>45000</v>
      </c>
      <c r="H1195" s="1226" t="s">
        <v>527</v>
      </c>
      <c r="I1195" s="433" t="s">
        <v>2363</v>
      </c>
      <c r="J1195" s="118"/>
      <c r="K1195" s="836">
        <v>12123</v>
      </c>
      <c r="L1195" s="1415" t="s">
        <v>2851</v>
      </c>
      <c r="M1195" s="606">
        <v>1400000</v>
      </c>
      <c r="N1195" s="1661">
        <v>0.05</v>
      </c>
      <c r="O1195" s="1662">
        <f t="shared" si="58"/>
        <v>70000</v>
      </c>
      <c r="P1195" s="299"/>
      <c r="Q1195" s="503"/>
    </row>
    <row r="1196" spans="1:17">
      <c r="A1196" s="2970"/>
      <c r="B1196" s="836">
        <v>11981</v>
      </c>
      <c r="C1196" s="1419">
        <v>0.1</v>
      </c>
      <c r="D1196" s="1143" t="s">
        <v>2833</v>
      </c>
      <c r="E1196" s="1472">
        <v>1100000</v>
      </c>
      <c r="F1196" s="302">
        <v>0.05</v>
      </c>
      <c r="G1196" s="1660">
        <f t="shared" ref="G1196:G1202" si="59">E1196*F1196</f>
        <v>55000</v>
      </c>
      <c r="H1196" s="1360" t="s">
        <v>582</v>
      </c>
      <c r="I1196" s="836" t="s">
        <v>2363</v>
      </c>
      <c r="J1196" s="1747"/>
      <c r="K1196" s="1654">
        <v>12074</v>
      </c>
      <c r="L1196" s="1054" t="s">
        <v>2860</v>
      </c>
      <c r="M1196" s="1655">
        <v>1100000</v>
      </c>
      <c r="N1196" s="1661">
        <v>0.05</v>
      </c>
      <c r="O1196" s="1662">
        <f t="shared" si="58"/>
        <v>55000</v>
      </c>
      <c r="P1196" s="503"/>
      <c r="Q1196" s="503"/>
    </row>
    <row r="1197" spans="1:17" ht="15.6">
      <c r="A1197" s="2970"/>
      <c r="B1197" s="1213">
        <v>12060</v>
      </c>
      <c r="C1197" s="1390">
        <v>0.1</v>
      </c>
      <c r="D1197" s="1534" t="s">
        <v>2861</v>
      </c>
      <c r="E1197" s="1604">
        <v>700000</v>
      </c>
      <c r="F1197" s="302">
        <v>0.06</v>
      </c>
      <c r="G1197" s="1660">
        <f t="shared" si="59"/>
        <v>42000</v>
      </c>
      <c r="H1197" s="1206" t="s">
        <v>118</v>
      </c>
      <c r="I1197" s="836" t="s">
        <v>2363</v>
      </c>
      <c r="J1197" s="1747"/>
      <c r="K1197" s="1417">
        <v>12126</v>
      </c>
      <c r="L1197" s="1436" t="s">
        <v>2862</v>
      </c>
      <c r="M1197" s="1655">
        <v>700000</v>
      </c>
      <c r="N1197" s="1661">
        <v>0.05</v>
      </c>
      <c r="O1197" s="1662">
        <f>M1197*N1197</f>
        <v>35000</v>
      </c>
    </row>
    <row r="1198" spans="1:17">
      <c r="A1198" s="2970"/>
      <c r="B1198" s="836">
        <v>12057</v>
      </c>
      <c r="C1198" s="1665">
        <v>0.08</v>
      </c>
      <c r="D1198" s="1229" t="s">
        <v>2863</v>
      </c>
      <c r="E1198" s="1473">
        <v>1400000</v>
      </c>
      <c r="F1198" s="302">
        <v>0.04</v>
      </c>
      <c r="G1198" s="1660">
        <f t="shared" si="59"/>
        <v>56000</v>
      </c>
      <c r="H1198" s="1226" t="s">
        <v>582</v>
      </c>
      <c r="I1198" s="433" t="s">
        <v>2363</v>
      </c>
      <c r="J1198" s="1747"/>
      <c r="K1198" s="398"/>
      <c r="L1198" s="1626"/>
      <c r="M1198" s="1626"/>
      <c r="N1198" s="1626"/>
      <c r="O1198" s="260"/>
    </row>
    <row r="1199" spans="1:17" s="503" customFormat="1">
      <c r="A1199" s="2970"/>
      <c r="B1199" s="1575">
        <v>12112</v>
      </c>
      <c r="C1199" s="1419">
        <v>0.1</v>
      </c>
      <c r="D1199" s="885" t="s">
        <v>2864</v>
      </c>
      <c r="E1199" s="1473">
        <v>730000</v>
      </c>
      <c r="F1199" s="302">
        <v>0.1</v>
      </c>
      <c r="G1199" s="1660">
        <f t="shared" si="59"/>
        <v>73000</v>
      </c>
      <c r="H1199" s="1226" t="s">
        <v>748</v>
      </c>
      <c r="I1199" s="433" t="s">
        <v>2417</v>
      </c>
      <c r="J1199" s="1747"/>
      <c r="K1199" s="398"/>
      <c r="L1199" s="1626"/>
      <c r="M1199" s="1626"/>
      <c r="N1199" s="1626"/>
      <c r="O1199" s="1044"/>
    </row>
    <row r="1200" spans="1:17">
      <c r="A1200" s="2970"/>
      <c r="B1200" s="1571">
        <v>12127</v>
      </c>
      <c r="C1200" s="1635">
        <v>0.1</v>
      </c>
      <c r="D1200" s="1527" t="s">
        <v>2865</v>
      </c>
      <c r="E1200" s="1603">
        <v>1200000</v>
      </c>
      <c r="F1200" s="578">
        <v>0.1</v>
      </c>
      <c r="G1200" s="1660">
        <f t="shared" si="59"/>
        <v>120000</v>
      </c>
      <c r="H1200" s="1226" t="s">
        <v>748</v>
      </c>
      <c r="I1200" s="433" t="s">
        <v>2417</v>
      </c>
      <c r="J1200" s="1747"/>
      <c r="K1200" s="398"/>
      <c r="L1200" s="1626"/>
      <c r="M1200" s="1626"/>
      <c r="N1200" s="1626"/>
      <c r="O1200" s="821">
        <f>SUM(O1193:O1197)</f>
        <v>292500</v>
      </c>
    </row>
    <row r="1201" spans="1:15">
      <c r="A1201" s="2970"/>
      <c r="B1201" s="836">
        <v>12154</v>
      </c>
      <c r="C1201" s="837">
        <v>0.1</v>
      </c>
      <c r="D1201" s="431" t="s">
        <v>2866</v>
      </c>
      <c r="E1201" s="1313">
        <v>1250000</v>
      </c>
      <c r="F1201" s="302">
        <v>0.1</v>
      </c>
      <c r="G1201" s="1675">
        <f t="shared" si="59"/>
        <v>125000</v>
      </c>
      <c r="H1201" s="1621" t="s">
        <v>748</v>
      </c>
      <c r="I1201" s="433" t="s">
        <v>2417</v>
      </c>
      <c r="J1201" s="1747"/>
      <c r="K1201" s="398"/>
      <c r="L1201" s="1626"/>
      <c r="M1201" s="1626"/>
      <c r="N1201" s="1626"/>
      <c r="O1201" s="260"/>
    </row>
    <row r="1202" spans="1:15">
      <c r="A1202" s="2970"/>
      <c r="B1202" s="1575">
        <v>12195</v>
      </c>
      <c r="C1202" s="837">
        <v>0.1</v>
      </c>
      <c r="D1202" s="431" t="s">
        <v>2867</v>
      </c>
      <c r="E1202" s="1313">
        <v>1200000</v>
      </c>
      <c r="F1202" s="302">
        <v>0.1</v>
      </c>
      <c r="G1202" s="1675">
        <f t="shared" si="59"/>
        <v>120000</v>
      </c>
      <c r="H1202" s="1226" t="s">
        <v>748</v>
      </c>
      <c r="I1202" s="432" t="s">
        <v>2417</v>
      </c>
      <c r="J1202" s="1747"/>
      <c r="K1202" s="1747"/>
      <c r="L1202" s="1747"/>
      <c r="M1202" s="1747"/>
      <c r="N1202" s="1747"/>
      <c r="O1202" s="2"/>
    </row>
    <row r="1203" spans="1:15">
      <c r="A1203" s="2970"/>
      <c r="B1203" s="1633"/>
      <c r="C1203" s="1189"/>
      <c r="D1203" s="701"/>
      <c r="E1203" s="1596"/>
      <c r="F1203" s="368"/>
      <c r="G1203" s="1678"/>
      <c r="H1203" s="1177"/>
      <c r="I1203" s="300"/>
      <c r="J1203" s="1747"/>
      <c r="K1203" s="1747"/>
      <c r="L1203" s="1747"/>
      <c r="M1203" s="1747"/>
      <c r="N1203" s="1747"/>
      <c r="O1203" s="2"/>
    </row>
    <row r="1204" spans="1:15">
      <c r="A1204" s="2970"/>
      <c r="B1204" s="506"/>
      <c r="C1204" s="506"/>
      <c r="D1204" s="1089" t="s">
        <v>1833</v>
      </c>
      <c r="E1204" s="1599">
        <f>SUM(E1195:E1202)</f>
        <v>8480000</v>
      </c>
      <c r="F1204" s="506"/>
      <c r="G1204" s="475">
        <f>SUM(G1195:G1202)</f>
        <v>636000</v>
      </c>
      <c r="H1204" s="506"/>
      <c r="I1204" s="506"/>
      <c r="J1204" s="334"/>
      <c r="K1204" s="279"/>
      <c r="L1204" s="2916" t="s">
        <v>1859</v>
      </c>
      <c r="M1204" s="2916"/>
      <c r="N1204" s="2916"/>
      <c r="O1204" s="1695">
        <v>928500</v>
      </c>
    </row>
    <row r="1205" spans="1:15" ht="15.6">
      <c r="A1205" s="2970"/>
      <c r="B1205" s="813"/>
      <c r="C1205" s="813"/>
      <c r="D1205" s="483" t="s">
        <v>1835</v>
      </c>
      <c r="E1205" s="814">
        <f>SUM(G1204+O1200)</f>
        <v>928500</v>
      </c>
      <c r="F1205" s="813"/>
      <c r="G1205" s="815"/>
      <c r="H1205" s="813"/>
      <c r="I1205" s="813"/>
      <c r="J1205" s="816"/>
      <c r="K1205" s="279"/>
      <c r="L1205" s="817"/>
      <c r="M1205" s="817"/>
      <c r="N1205" s="817"/>
      <c r="O1205" s="286"/>
    </row>
    <row r="1206" spans="1:15" ht="15.6">
      <c r="A1206" s="2209"/>
      <c r="B1206" s="456"/>
      <c r="C1206" s="456"/>
      <c r="D1206" s="1091"/>
      <c r="E1206" s="458"/>
      <c r="F1206" s="456"/>
      <c r="G1206" s="459"/>
      <c r="H1206" s="456"/>
      <c r="I1206" s="456"/>
      <c r="J1206" s="457"/>
      <c r="K1206" s="460"/>
      <c r="L1206" s="461"/>
      <c r="M1206" s="461"/>
      <c r="N1206" s="461"/>
      <c r="O1206" s="455"/>
    </row>
    <row r="1207" spans="1:15" ht="15.6">
      <c r="A1207" s="2209"/>
      <c r="B1207" s="799"/>
      <c r="C1207" s="799"/>
      <c r="D1207" s="1145"/>
      <c r="E1207" s="801"/>
      <c r="F1207" s="799"/>
      <c r="G1207" s="802"/>
      <c r="H1207" s="799"/>
      <c r="I1207" s="799"/>
      <c r="J1207" s="800"/>
      <c r="K1207" s="803"/>
      <c r="L1207" s="804"/>
      <c r="M1207" s="804"/>
      <c r="N1207" s="804"/>
      <c r="O1207" s="805"/>
    </row>
    <row r="1208" spans="1:15" ht="21">
      <c r="A1208" s="2971" t="s">
        <v>1875</v>
      </c>
      <c r="B1208" s="2971"/>
      <c r="C1208" s="2971"/>
      <c r="D1208" s="2971"/>
      <c r="E1208" s="2971"/>
      <c r="F1208" s="2971"/>
      <c r="G1208" s="2971"/>
      <c r="H1208" s="2971"/>
      <c r="I1208" s="2971"/>
      <c r="J1208" s="2971"/>
      <c r="K1208" s="279"/>
      <c r="L1208" s="818"/>
      <c r="M1208" s="818"/>
      <c r="N1208" s="818"/>
      <c r="O1208" s="286"/>
    </row>
    <row r="1209" spans="1:15">
      <c r="A1209" s="2218" t="s">
        <v>1806</v>
      </c>
      <c r="B1209" s="3" t="s">
        <v>1807</v>
      </c>
      <c r="C1209" s="3" t="s">
        <v>1837</v>
      </c>
      <c r="D1209" s="1059" t="s">
        <v>1809</v>
      </c>
      <c r="E1209" s="4" t="s">
        <v>1810</v>
      </c>
      <c r="F1209" s="3" t="s">
        <v>1811</v>
      </c>
      <c r="G1209" s="5" t="s">
        <v>1812</v>
      </c>
      <c r="H1209" s="3" t="s">
        <v>1813</v>
      </c>
      <c r="I1209" s="3" t="s">
        <v>1814</v>
      </c>
      <c r="J1209" s="23" t="s">
        <v>1815</v>
      </c>
      <c r="K1209" s="1747" t="s">
        <v>1807</v>
      </c>
      <c r="L1209" s="1747" t="s">
        <v>1809</v>
      </c>
      <c r="M1209" s="1747" t="s">
        <v>1816</v>
      </c>
      <c r="N1209" s="1747" t="s">
        <v>1811</v>
      </c>
      <c r="O1209" s="2" t="s">
        <v>1817</v>
      </c>
    </row>
    <row r="1210" spans="1:15">
      <c r="A1210" s="2798" t="s">
        <v>2274</v>
      </c>
      <c r="B1210" s="784"/>
      <c r="C1210" s="1574"/>
      <c r="D1210" s="1307" t="s">
        <v>2868</v>
      </c>
      <c r="E1210" s="1643"/>
      <c r="F1210" s="780"/>
      <c r="G1210" s="782"/>
      <c r="H1210" s="780"/>
      <c r="I1210" s="1307" t="s">
        <v>2363</v>
      </c>
      <c r="J1210" s="118"/>
      <c r="K1210" s="836">
        <v>11969</v>
      </c>
      <c r="L1210" s="1054" t="s">
        <v>2869</v>
      </c>
      <c r="M1210" s="836">
        <v>900000</v>
      </c>
      <c r="N1210" s="837">
        <v>0.05</v>
      </c>
      <c r="O1210" s="851">
        <f>M1210*N1210</f>
        <v>45000</v>
      </c>
    </row>
    <row r="1211" spans="1:15">
      <c r="A1211" s="2798"/>
      <c r="B1211" s="784"/>
      <c r="C1211" s="1574"/>
      <c r="D1211" s="899" t="s">
        <v>2870</v>
      </c>
      <c r="E1211" s="1565"/>
      <c r="F1211" s="347"/>
      <c r="G1211" s="378"/>
      <c r="H1211" s="377"/>
      <c r="I1211" s="377" t="s">
        <v>2508</v>
      </c>
      <c r="J1211" s="118"/>
      <c r="K1211" s="1747"/>
      <c r="L1211" s="1747"/>
      <c r="M1211" s="1747"/>
      <c r="N1211" s="1747"/>
      <c r="O1211" s="2"/>
    </row>
    <row r="1212" spans="1:15">
      <c r="A1212" s="2798"/>
      <c r="B1212" s="784"/>
      <c r="C1212" s="1574"/>
      <c r="D1212" s="899" t="s">
        <v>2871</v>
      </c>
      <c r="E1212" s="586"/>
      <c r="F1212" s="473"/>
      <c r="G1212" s="378"/>
      <c r="H1212" s="377"/>
      <c r="I1212" s="377" t="s">
        <v>2417</v>
      </c>
      <c r="J1212" s="118"/>
      <c r="K1212" s="1747"/>
      <c r="L1212" s="1747"/>
      <c r="M1212" s="1747"/>
      <c r="N1212" s="1747"/>
      <c r="O1212" s="2"/>
    </row>
    <row r="1213" spans="1:15">
      <c r="A1213" s="2798"/>
      <c r="B1213" s="784"/>
      <c r="C1213" s="1539"/>
      <c r="D1213" s="899" t="s">
        <v>2872</v>
      </c>
      <c r="E1213" s="1208"/>
      <c r="F1213" s="347"/>
      <c r="G1213" s="378"/>
      <c r="H1213" s="377"/>
      <c r="I1213" s="377" t="s">
        <v>2363</v>
      </c>
      <c r="J1213" s="1679"/>
      <c r="K1213" s="1748"/>
      <c r="L1213" s="1747"/>
      <c r="M1213" s="1747"/>
      <c r="N1213" s="1747"/>
      <c r="O1213" s="2"/>
    </row>
    <row r="1214" spans="1:15">
      <c r="A1214" s="2798"/>
      <c r="B1214" s="784"/>
      <c r="C1214" s="1640"/>
      <c r="D1214" s="1267" t="s">
        <v>2873</v>
      </c>
      <c r="E1214" s="1424"/>
      <c r="F1214" s="1203"/>
      <c r="G1214" s="378"/>
      <c r="H1214" s="1343"/>
      <c r="I1214" s="377" t="s">
        <v>2417</v>
      </c>
      <c r="J1214" s="1679"/>
      <c r="K1214" s="1748"/>
      <c r="L1214" s="1747"/>
      <c r="M1214" s="1747"/>
      <c r="N1214" s="1747"/>
      <c r="O1214" s="2"/>
    </row>
    <row r="1215" spans="1:15" ht="27">
      <c r="A1215" s="2798"/>
      <c r="B1215" s="1639"/>
      <c r="C1215" s="401"/>
      <c r="D1215" s="894" t="s">
        <v>2874</v>
      </c>
      <c r="E1215" s="586"/>
      <c r="F1215" s="473"/>
      <c r="G1215" s="378"/>
      <c r="H1215" s="377"/>
      <c r="I1215" s="377" t="s">
        <v>2363</v>
      </c>
      <c r="J1215" s="1679"/>
      <c r="K1215" s="1748"/>
      <c r="L1215" s="1747"/>
      <c r="M1215" s="1747"/>
      <c r="N1215" s="1747"/>
      <c r="O1215" s="2"/>
    </row>
    <row r="1216" spans="1:15">
      <c r="A1216" s="2798"/>
      <c r="B1216" s="1417">
        <v>12007</v>
      </c>
      <c r="C1216" s="1666">
        <v>0.08</v>
      </c>
      <c r="D1216" s="1641" t="s">
        <v>2875</v>
      </c>
      <c r="E1216" s="1642">
        <v>1350000</v>
      </c>
      <c r="F1216" s="1686">
        <v>0.04</v>
      </c>
      <c r="G1216" s="1667">
        <f>E1216*F1216</f>
        <v>54000</v>
      </c>
      <c r="H1216" s="942" t="s">
        <v>2876</v>
      </c>
      <c r="I1216" s="942" t="s">
        <v>2363</v>
      </c>
      <c r="J1216" s="1679"/>
      <c r="K1216" s="1748"/>
      <c r="L1216" s="318"/>
      <c r="M1216" s="1461"/>
      <c r="N1216" s="1747"/>
      <c r="O1216" s="2"/>
    </row>
    <row r="1217" spans="1:15">
      <c r="A1217" s="2798"/>
      <c r="B1217" s="840">
        <v>12074</v>
      </c>
      <c r="C1217" s="578">
        <v>0.1</v>
      </c>
      <c r="D1217" s="995" t="s">
        <v>2860</v>
      </c>
      <c r="E1217" s="1316">
        <v>1100000</v>
      </c>
      <c r="F1217" s="578">
        <v>0.05</v>
      </c>
      <c r="G1217" s="1667">
        <f t="shared" ref="G1217:G1221" si="60">E1217*F1217</f>
        <v>55000</v>
      </c>
      <c r="H1217" s="1226" t="s">
        <v>1138</v>
      </c>
      <c r="I1217" s="573" t="s">
        <v>2417</v>
      </c>
      <c r="J1217" s="1562"/>
      <c r="K1217" s="1748"/>
      <c r="L1217" s="318"/>
      <c r="M1217" s="1461"/>
      <c r="N1217" s="1747"/>
      <c r="O1217" s="2"/>
    </row>
    <row r="1218" spans="1:15">
      <c r="A1218" s="2798"/>
      <c r="B1218" s="840">
        <v>12089</v>
      </c>
      <c r="C1218" s="578">
        <v>0.1</v>
      </c>
      <c r="D1218" s="431" t="s">
        <v>2877</v>
      </c>
      <c r="E1218" s="1317">
        <v>900000</v>
      </c>
      <c r="F1218" s="578">
        <v>0.1</v>
      </c>
      <c r="G1218" s="1667">
        <f t="shared" si="60"/>
        <v>90000</v>
      </c>
      <c r="H1218" s="1361" t="s">
        <v>527</v>
      </c>
      <c r="I1218" s="970" t="s">
        <v>2417</v>
      </c>
      <c r="J1218" s="1562"/>
      <c r="K1218" s="1748"/>
      <c r="L1218" s="318"/>
      <c r="M1218" s="1461"/>
      <c r="N1218" s="1747"/>
      <c r="O1218" s="2"/>
    </row>
    <row r="1219" spans="1:15">
      <c r="A1219" s="2798"/>
      <c r="B1219" s="836">
        <v>12108</v>
      </c>
      <c r="C1219" s="435">
        <v>0.1</v>
      </c>
      <c r="D1219" s="995" t="s">
        <v>2878</v>
      </c>
      <c r="E1219" s="1524">
        <v>1000000</v>
      </c>
      <c r="F1219" s="578">
        <v>0.06</v>
      </c>
      <c r="G1219" s="1667">
        <f t="shared" si="60"/>
        <v>60000</v>
      </c>
      <c r="H1219" s="573" t="s">
        <v>732</v>
      </c>
      <c r="I1219" s="573" t="s">
        <v>2363</v>
      </c>
      <c r="J1219" s="1562"/>
      <c r="K1219" s="1748"/>
      <c r="L1219" s="318"/>
      <c r="M1219" s="1461"/>
      <c r="N1219" s="1747"/>
      <c r="O1219" s="2"/>
    </row>
    <row r="1220" spans="1:15" ht="15.6">
      <c r="A1220" s="2798"/>
      <c r="B1220" s="1586">
        <v>12113</v>
      </c>
      <c r="C1220" s="435">
        <v>0.1</v>
      </c>
      <c r="D1220" s="1442" t="s">
        <v>2879</v>
      </c>
      <c r="E1220" s="1474">
        <v>1730000</v>
      </c>
      <c r="F1220" s="578">
        <v>0.05</v>
      </c>
      <c r="G1220" s="1667">
        <f t="shared" si="60"/>
        <v>86500</v>
      </c>
      <c r="H1220" s="573" t="s">
        <v>582</v>
      </c>
      <c r="I1220" s="573" t="s">
        <v>2417</v>
      </c>
      <c r="J1220" s="1562"/>
      <c r="K1220" s="1748"/>
      <c r="L1220" s="318"/>
      <c r="M1220" s="1461"/>
      <c r="N1220" s="1747"/>
      <c r="O1220" s="2"/>
    </row>
    <row r="1221" spans="1:15">
      <c r="A1221" s="2798"/>
      <c r="B1221" s="840">
        <v>12114</v>
      </c>
      <c r="C1221" s="578">
        <v>0.1</v>
      </c>
      <c r="D1221" s="1152" t="s">
        <v>2880</v>
      </c>
      <c r="E1221" s="1474">
        <v>900000</v>
      </c>
      <c r="F1221" s="578">
        <v>0.1</v>
      </c>
      <c r="G1221" s="1667">
        <f t="shared" si="60"/>
        <v>90000</v>
      </c>
      <c r="H1221" s="573" t="s">
        <v>527</v>
      </c>
      <c r="I1221" s="573" t="s">
        <v>2363</v>
      </c>
      <c r="J1221" s="1562"/>
      <c r="K1221" s="1748"/>
      <c r="L1221" s="318"/>
      <c r="M1221" s="1461"/>
      <c r="N1221" s="1747"/>
      <c r="O1221" s="2"/>
    </row>
    <row r="1222" spans="1:15">
      <c r="A1222" s="2972"/>
      <c r="B1222" s="836">
        <v>12181</v>
      </c>
      <c r="C1222" s="302">
        <v>0.1</v>
      </c>
      <c r="D1222" s="968" t="s">
        <v>2881</v>
      </c>
      <c r="E1222" s="1609">
        <v>1250000</v>
      </c>
      <c r="F1222" s="302">
        <v>0.1</v>
      </c>
      <c r="G1222" s="1667">
        <f>E1222*F1222</f>
        <v>125000</v>
      </c>
      <c r="H1222" s="573" t="s">
        <v>527</v>
      </c>
      <c r="I1222" s="573" t="s">
        <v>2417</v>
      </c>
      <c r="J1222" s="1562"/>
      <c r="K1222" s="1748"/>
      <c r="L1222" s="318"/>
      <c r="M1222" s="1461"/>
      <c r="N1222" s="1747"/>
      <c r="O1222" s="2"/>
    </row>
    <row r="1223" spans="1:15" s="503" customFormat="1">
      <c r="A1223" s="2972"/>
      <c r="B1223" s="840">
        <v>12176</v>
      </c>
      <c r="C1223" s="302">
        <v>0.1</v>
      </c>
      <c r="D1223" s="1229" t="s">
        <v>2882</v>
      </c>
      <c r="E1223" s="1474">
        <v>1000000</v>
      </c>
      <c r="F1223" s="302">
        <v>0.05</v>
      </c>
      <c r="G1223" s="1667">
        <f>E1223*F1223</f>
        <v>50000</v>
      </c>
      <c r="H1223" s="573" t="s">
        <v>2241</v>
      </c>
      <c r="I1223" s="573" t="s">
        <v>2417</v>
      </c>
      <c r="J1223" s="1562"/>
      <c r="K1223" s="1748"/>
      <c r="L1223" s="318"/>
      <c r="M1223" s="1461"/>
      <c r="N1223" s="1747"/>
      <c r="O1223" s="51"/>
    </row>
    <row r="1224" spans="1:15" ht="15.75" customHeight="1">
      <c r="A1224" s="2972"/>
      <c r="B1224" s="1213">
        <v>12194</v>
      </c>
      <c r="C1224" s="314">
        <v>0.1</v>
      </c>
      <c r="D1224" s="573" t="s">
        <v>2883</v>
      </c>
      <c r="E1224" s="1609">
        <v>950000</v>
      </c>
      <c r="F1224" s="302">
        <v>0.05</v>
      </c>
      <c r="G1224" s="1667">
        <f>E1224*F1224</f>
        <v>47500</v>
      </c>
      <c r="H1224" s="573" t="s">
        <v>2761</v>
      </c>
      <c r="I1224" s="573" t="s">
        <v>2363</v>
      </c>
      <c r="J1224" s="1679"/>
      <c r="K1224" s="1748"/>
      <c r="L1224" s="1748"/>
      <c r="M1224" s="1748"/>
      <c r="N1224" s="1748"/>
      <c r="O1224" s="1696">
        <v>45000</v>
      </c>
    </row>
    <row r="1225" spans="1:15" ht="15" customHeight="1">
      <c r="A1225" s="2798"/>
      <c r="B1225" s="525"/>
      <c r="C1225" s="629"/>
      <c r="D1225" s="1174"/>
      <c r="E1225" s="1605"/>
      <c r="F1225" s="312"/>
      <c r="G1225" s="290"/>
      <c r="H1225" s="299"/>
      <c r="I1225" s="299"/>
      <c r="J1225" s="1679"/>
      <c r="K1225" s="1748"/>
      <c r="L1225" s="1748"/>
      <c r="M1225" s="1748"/>
      <c r="N1225" s="1748"/>
      <c r="O1225" s="286"/>
    </row>
    <row r="1226" spans="1:15" ht="15" customHeight="1">
      <c r="A1226" s="2798"/>
      <c r="B1226" s="1549"/>
      <c r="C1226" s="1547"/>
      <c r="D1226" s="1144" t="s">
        <v>1833</v>
      </c>
      <c r="E1226" s="1599">
        <f>SUM(E1216:E1224)</f>
        <v>10180000</v>
      </c>
      <c r="F1226" s="506"/>
      <c r="G1226" s="475">
        <f>SUM(G1216:G1224)</f>
        <v>658000</v>
      </c>
      <c r="H1226" s="506"/>
      <c r="I1226" s="506"/>
      <c r="J1226" s="829"/>
      <c r="K1226" s="279"/>
      <c r="L1226" s="2849" t="s">
        <v>1859</v>
      </c>
      <c r="M1226" s="2849"/>
      <c r="N1226" s="2849"/>
      <c r="O1226" s="814">
        <v>703000</v>
      </c>
    </row>
    <row r="1227" spans="1:15" ht="15" customHeight="1">
      <c r="A1227" s="2798"/>
      <c r="B1227" s="892"/>
      <c r="C1227" s="813"/>
      <c r="D1227" s="1155" t="s">
        <v>1835</v>
      </c>
      <c r="E1227" s="814">
        <f>SUM(G1226+O1226)</f>
        <v>1361000</v>
      </c>
      <c r="F1227" s="813"/>
      <c r="G1227" s="815"/>
      <c r="H1227" s="813"/>
      <c r="I1227" s="813"/>
      <c r="J1227" s="830"/>
      <c r="K1227" s="279"/>
      <c r="L1227" s="941"/>
      <c r="M1227" s="941"/>
      <c r="N1227" s="941"/>
      <c r="O1227" s="286"/>
    </row>
    <row r="1228" spans="1:15" ht="15.6">
      <c r="A1228" s="2209"/>
      <c r="B1228" s="456"/>
      <c r="C1228" s="456"/>
      <c r="D1228" s="1091"/>
      <c r="E1228" s="458"/>
      <c r="F1228" s="456"/>
      <c r="G1228" s="459"/>
      <c r="H1228" s="456"/>
      <c r="I1228" s="456"/>
      <c r="J1228" s="457"/>
      <c r="K1228" s="460"/>
      <c r="L1228" s="461"/>
      <c r="M1228" s="461"/>
      <c r="N1228" s="461"/>
      <c r="O1228" s="455"/>
    </row>
    <row r="1229" spans="1:15" ht="15.6">
      <c r="A1229" s="2209"/>
      <c r="B1229" s="799"/>
      <c r="C1229" s="799"/>
      <c r="D1229" s="1145"/>
      <c r="E1229" s="801"/>
      <c r="F1229" s="799"/>
      <c r="G1229" s="802"/>
      <c r="H1229" s="799"/>
      <c r="I1229" s="799"/>
      <c r="J1229" s="800"/>
      <c r="K1229" s="803"/>
      <c r="L1229" s="804"/>
      <c r="M1229" s="804"/>
      <c r="N1229" s="804"/>
      <c r="O1229" s="805"/>
    </row>
    <row r="1230" spans="1:15" ht="21">
      <c r="A1230" s="2971" t="s">
        <v>1887</v>
      </c>
      <c r="B1230" s="2971"/>
      <c r="C1230" s="2971"/>
      <c r="D1230" s="2971"/>
      <c r="E1230" s="2971"/>
      <c r="F1230" s="2971"/>
      <c r="G1230" s="2971"/>
      <c r="H1230" s="2971"/>
      <c r="I1230" s="2971"/>
      <c r="J1230" s="2971"/>
      <c r="K1230" s="279"/>
      <c r="L1230" s="818"/>
      <c r="M1230" s="818"/>
      <c r="N1230" s="818"/>
      <c r="O1230" s="286"/>
    </row>
    <row r="1231" spans="1:15">
      <c r="A1231" s="2218" t="s">
        <v>1806</v>
      </c>
      <c r="B1231" s="3" t="s">
        <v>1807</v>
      </c>
      <c r="C1231" s="3" t="s">
        <v>1837</v>
      </c>
      <c r="D1231" s="1059" t="s">
        <v>1809</v>
      </c>
      <c r="E1231" s="4" t="s">
        <v>1810</v>
      </c>
      <c r="F1231" s="3" t="s">
        <v>1811</v>
      </c>
      <c r="G1231" s="5" t="s">
        <v>1812</v>
      </c>
      <c r="H1231" s="3" t="s">
        <v>1813</v>
      </c>
      <c r="I1231" s="3" t="s">
        <v>1814</v>
      </c>
      <c r="J1231" s="23" t="s">
        <v>1815</v>
      </c>
      <c r="K1231" s="1747" t="s">
        <v>1807</v>
      </c>
      <c r="L1231" s="1747" t="s">
        <v>1809</v>
      </c>
      <c r="M1231" s="1747" t="s">
        <v>1816</v>
      </c>
      <c r="N1231" s="1747" t="s">
        <v>1811</v>
      </c>
      <c r="O1231" s="2" t="s">
        <v>1817</v>
      </c>
    </row>
    <row r="1232" spans="1:15">
      <c r="A1232" s="2218"/>
      <c r="B1232" s="780"/>
      <c r="C1232" s="1639"/>
      <c r="D1232" s="1446" t="s">
        <v>2884</v>
      </c>
      <c r="E1232" s="1618"/>
      <c r="F1232" s="401"/>
      <c r="G1232" s="1519"/>
      <c r="H1232" s="377"/>
      <c r="I1232" s="1677" t="s">
        <v>2363</v>
      </c>
      <c r="J1232" s="23"/>
      <c r="K1232" s="1747"/>
      <c r="L1232" s="1054" t="s">
        <v>2885</v>
      </c>
      <c r="M1232" s="836">
        <v>950000</v>
      </c>
      <c r="N1232" s="837">
        <v>0.05</v>
      </c>
      <c r="O1232" s="851">
        <f>M1232*N1232</f>
        <v>47500</v>
      </c>
    </row>
    <row r="1233" spans="1:15" ht="27">
      <c r="A1233" s="2798" t="s">
        <v>1818</v>
      </c>
      <c r="B1233" s="1559"/>
      <c r="C1233" s="1263"/>
      <c r="D1233" s="1264" t="s">
        <v>2886</v>
      </c>
      <c r="E1233" s="1560"/>
      <c r="F1233" s="401"/>
      <c r="G1233" s="1349"/>
      <c r="H1233" s="377"/>
      <c r="I1233" s="377" t="s">
        <v>2417</v>
      </c>
      <c r="J1233" s="1679"/>
      <c r="K1233" s="1747"/>
      <c r="L1233" s="1747"/>
      <c r="M1233" s="1747"/>
      <c r="N1233" s="1747"/>
      <c r="O1233" s="2"/>
    </row>
    <row r="1234" spans="1:15">
      <c r="A1234" s="2798"/>
      <c r="B1234" s="754"/>
      <c r="C1234" s="784"/>
      <c r="D1234" s="714" t="s">
        <v>2887</v>
      </c>
      <c r="E1234" s="1518"/>
      <c r="F1234" s="401"/>
      <c r="G1234" s="1519"/>
      <c r="H1234" s="1343"/>
      <c r="I1234" s="377" t="s">
        <v>2363</v>
      </c>
      <c r="J1234" s="23"/>
      <c r="K1234" s="1747"/>
      <c r="L1234" s="1747"/>
      <c r="M1234" s="1747"/>
      <c r="N1234" s="1747"/>
      <c r="O1234" s="2"/>
    </row>
    <row r="1235" spans="1:15">
      <c r="A1235" s="2798"/>
      <c r="B1235" s="1417">
        <v>11965</v>
      </c>
      <c r="C1235" s="314">
        <v>0.1</v>
      </c>
      <c r="D1235" s="1158" t="s">
        <v>2888</v>
      </c>
      <c r="E1235" s="1320">
        <v>1200000</v>
      </c>
      <c r="F1235" s="302">
        <v>0.05</v>
      </c>
      <c r="G1235" s="1418">
        <f>E1235*F1235</f>
        <v>60000</v>
      </c>
      <c r="H1235" s="573" t="s">
        <v>2889</v>
      </c>
      <c r="I1235" s="573" t="s">
        <v>2363</v>
      </c>
      <c r="J1235" s="118"/>
      <c r="K1235" s="1747"/>
      <c r="L1235" s="1747"/>
      <c r="M1235" s="1747"/>
      <c r="N1235" s="1747"/>
      <c r="O1235" s="2"/>
    </row>
    <row r="1236" spans="1:15">
      <c r="A1236" s="2798"/>
      <c r="B1236" s="836">
        <v>11978</v>
      </c>
      <c r="C1236" s="1419">
        <v>0.1</v>
      </c>
      <c r="D1236" s="576" t="s">
        <v>2890</v>
      </c>
      <c r="E1236" s="1476">
        <v>1150000</v>
      </c>
      <c r="F1236" s="302">
        <v>0.1</v>
      </c>
      <c r="G1236" s="1418">
        <f t="shared" ref="G1236:G1239" si="61">E1236*F1236</f>
        <v>115000</v>
      </c>
      <c r="H1236" s="573" t="s">
        <v>2761</v>
      </c>
      <c r="I1236" s="573" t="s">
        <v>2363</v>
      </c>
      <c r="J1236" s="118"/>
      <c r="K1236" s="1747"/>
      <c r="L1236" s="1747"/>
      <c r="M1236" s="1747"/>
      <c r="N1236" s="1747"/>
      <c r="O1236" s="2"/>
    </row>
    <row r="1237" spans="1:15">
      <c r="A1237" s="2798"/>
      <c r="B1237" s="1536">
        <v>11985</v>
      </c>
      <c r="C1237" s="1301">
        <v>0.1</v>
      </c>
      <c r="D1237" s="431" t="s">
        <v>2891</v>
      </c>
      <c r="E1237" s="1477">
        <v>870000</v>
      </c>
      <c r="F1237" s="302">
        <v>0.06</v>
      </c>
      <c r="G1237" s="1418">
        <f t="shared" si="61"/>
        <v>52200</v>
      </c>
      <c r="H1237" s="1226" t="s">
        <v>732</v>
      </c>
      <c r="I1237" s="573" t="s">
        <v>2417</v>
      </c>
      <c r="J1237" s="118"/>
      <c r="K1237" s="1747"/>
      <c r="L1237" s="1747"/>
      <c r="M1237" s="1747"/>
      <c r="N1237" s="1747"/>
      <c r="O1237" s="2"/>
    </row>
    <row r="1238" spans="1:15">
      <c r="A1238" s="2798"/>
      <c r="B1238" s="836">
        <v>11997</v>
      </c>
      <c r="C1238" s="1301">
        <v>0.1</v>
      </c>
      <c r="D1238" s="518" t="s">
        <v>2892</v>
      </c>
      <c r="E1238" s="1477">
        <v>1000000</v>
      </c>
      <c r="F1238" s="302">
        <v>0.1</v>
      </c>
      <c r="G1238" s="1418">
        <f t="shared" si="61"/>
        <v>100000</v>
      </c>
      <c r="H1238" s="1226" t="s">
        <v>2761</v>
      </c>
      <c r="I1238" s="573" t="s">
        <v>2417</v>
      </c>
      <c r="J1238" s="1679"/>
      <c r="K1238" s="1747"/>
      <c r="L1238" s="1747"/>
      <c r="M1238" s="1747"/>
      <c r="N1238" s="1747"/>
      <c r="O1238" s="51"/>
    </row>
    <row r="1239" spans="1:15" s="503" customFormat="1">
      <c r="A1239" s="2798"/>
      <c r="B1239" s="1575">
        <v>12156</v>
      </c>
      <c r="C1239" s="1301">
        <v>0.1</v>
      </c>
      <c r="D1239" s="1229" t="s">
        <v>2893</v>
      </c>
      <c r="E1239" s="1476">
        <v>1050000</v>
      </c>
      <c r="F1239" s="302">
        <v>0.1</v>
      </c>
      <c r="G1239" s="1418">
        <f t="shared" si="61"/>
        <v>105000</v>
      </c>
      <c r="H1239" s="573" t="s">
        <v>2761</v>
      </c>
      <c r="I1239" s="573" t="s">
        <v>2417</v>
      </c>
      <c r="J1239" s="1679"/>
      <c r="K1239" s="1747"/>
      <c r="L1239" s="1747"/>
      <c r="M1239" s="1747"/>
      <c r="N1239" s="1747"/>
      <c r="O1239" s="51"/>
    </row>
    <row r="1240" spans="1:15" ht="15" customHeight="1">
      <c r="A1240" s="2798"/>
      <c r="B1240" s="299"/>
      <c r="C1240" s="1363"/>
      <c r="D1240" s="1174"/>
      <c r="E1240" s="1596"/>
      <c r="F1240" s="312"/>
      <c r="G1240" s="290"/>
      <c r="H1240" s="299"/>
      <c r="I1240" s="299"/>
      <c r="J1240" s="1679"/>
      <c r="K1240" s="1748"/>
      <c r="L1240" s="1748"/>
      <c r="M1240" s="1748"/>
      <c r="N1240" s="1748"/>
      <c r="O1240" s="286"/>
    </row>
    <row r="1241" spans="1:15" ht="15" customHeight="1">
      <c r="A1241" s="2798"/>
      <c r="B1241" s="506"/>
      <c r="C1241" s="891"/>
      <c r="D1241" s="1089" t="s">
        <v>1833</v>
      </c>
      <c r="E1241" s="1599">
        <f>SUM(E1235:E1239)</f>
        <v>5270000</v>
      </c>
      <c r="F1241" s="506"/>
      <c r="G1241" s="475">
        <f>SUM(G1235:G1239)</f>
        <v>432200</v>
      </c>
      <c r="H1241" s="506"/>
      <c r="I1241" s="506"/>
      <c r="J1241" s="829"/>
      <c r="K1241" s="279"/>
      <c r="L1241" s="2849" t="s">
        <v>1859</v>
      </c>
      <c r="M1241" s="2849"/>
      <c r="N1241" s="2849"/>
      <c r="O1241" s="821">
        <f>O1232</f>
        <v>47500</v>
      </c>
    </row>
    <row r="1242" spans="1:15" ht="15" customHeight="1">
      <c r="A1242" s="2798"/>
      <c r="B1242" s="1364"/>
      <c r="C1242" s="813"/>
      <c r="D1242" s="1155" t="s">
        <v>1835</v>
      </c>
      <c r="E1242" s="814">
        <f>G1241+O1241</f>
        <v>479700</v>
      </c>
      <c r="F1242" s="813"/>
      <c r="G1242" s="815"/>
      <c r="H1242" s="813"/>
      <c r="I1242" s="813"/>
      <c r="J1242" s="830"/>
      <c r="K1242" s="279"/>
      <c r="L1242" s="941"/>
      <c r="M1242" s="941"/>
      <c r="N1242" s="941"/>
      <c r="O1242" s="286"/>
    </row>
    <row r="1243" spans="1:15" ht="15.6">
      <c r="A1243" s="2209"/>
      <c r="B1243" s="799"/>
      <c r="C1243" s="799"/>
      <c r="D1243" s="1145"/>
      <c r="E1243" s="801"/>
      <c r="F1243" s="799"/>
      <c r="G1243" s="802"/>
      <c r="H1243" s="799"/>
      <c r="I1243" s="799"/>
      <c r="J1243" s="800"/>
      <c r="K1243" s="803"/>
      <c r="L1243" s="804"/>
      <c r="M1243" s="804"/>
      <c r="N1243" s="804"/>
      <c r="O1243" s="805"/>
    </row>
    <row r="1244" spans="1:15" ht="15.6">
      <c r="A1244" s="2209"/>
      <c r="B1244" s="799"/>
      <c r="C1244" s="799"/>
      <c r="D1244" s="1145"/>
      <c r="E1244" s="801"/>
      <c r="F1244" s="799"/>
      <c r="G1244" s="802"/>
      <c r="H1244" s="799"/>
      <c r="I1244" s="799"/>
      <c r="J1244" s="800"/>
      <c r="K1244" s="803"/>
      <c r="L1244" s="804"/>
      <c r="M1244" s="804"/>
      <c r="N1244" s="804"/>
      <c r="O1244" s="805"/>
    </row>
    <row r="1245" spans="1:15">
      <c r="A1245" s="90"/>
      <c r="E1245" s="91"/>
      <c r="G1245" s="92"/>
      <c r="H1245" s="1001"/>
    </row>
    <row r="1246" spans="1:15">
      <c r="A1246" s="2957" t="s">
        <v>2894</v>
      </c>
      <c r="B1246" s="2957"/>
      <c r="C1246" s="2957"/>
      <c r="D1246" s="2957"/>
      <c r="E1246" s="2957"/>
      <c r="F1246" s="2957"/>
      <c r="G1246" s="2957"/>
      <c r="H1246" s="2957"/>
    </row>
    <row r="1247" spans="1:15">
      <c r="A1247" s="2957"/>
      <c r="B1247" s="2957"/>
      <c r="C1247" s="2957"/>
      <c r="D1247" s="2957"/>
      <c r="E1247" s="2957"/>
      <c r="F1247" s="2957"/>
      <c r="G1247" s="2957"/>
      <c r="H1247" s="2957"/>
      <c r="J1247" s="503"/>
      <c r="K1247" s="503"/>
      <c r="L1247" s="503"/>
      <c r="M1247" s="503"/>
      <c r="N1247" s="503"/>
      <c r="O1247" s="503"/>
    </row>
    <row r="1248" spans="1:15" ht="20.45">
      <c r="A1248" s="263" t="s">
        <v>2011</v>
      </c>
      <c r="B1248" s="833" t="s">
        <v>1808</v>
      </c>
      <c r="C1248" s="176" t="s">
        <v>2012</v>
      </c>
      <c r="D1248" s="1100" t="s">
        <v>2580</v>
      </c>
      <c r="E1248" s="397" t="s">
        <v>2013</v>
      </c>
      <c r="F1248" s="1626" t="s">
        <v>1811</v>
      </c>
      <c r="G1248" s="643" t="s">
        <v>1817</v>
      </c>
      <c r="H1248" s="94" t="s">
        <v>2125</v>
      </c>
      <c r="I1248" s="2"/>
      <c r="J1248" s="503"/>
      <c r="K1248" s="503"/>
      <c r="L1248" s="503"/>
      <c r="M1248" s="503"/>
      <c r="N1248" s="503"/>
      <c r="O1248" s="503"/>
    </row>
    <row r="1249" spans="1:15" ht="27">
      <c r="A1249" s="865"/>
      <c r="B1249" s="336"/>
      <c r="C1249" s="714" t="s">
        <v>2895</v>
      </c>
      <c r="D1249" s="1651" t="s">
        <v>2896</v>
      </c>
      <c r="E1249" s="1618"/>
      <c r="F1249" s="1204"/>
      <c r="G1249" s="586"/>
      <c r="H1249" s="377" t="s">
        <v>582</v>
      </c>
      <c r="I1249" s="1613"/>
      <c r="J1249" s="503"/>
      <c r="K1249" s="503"/>
      <c r="L1249" s="503"/>
      <c r="M1249" s="503"/>
      <c r="N1249" s="503"/>
      <c r="O1249" s="503"/>
    </row>
    <row r="1250" spans="1:15" ht="27">
      <c r="A1250" s="865"/>
      <c r="B1250" s="1450"/>
      <c r="C1250" s="714" t="s">
        <v>2897</v>
      </c>
      <c r="D1250" s="1176" t="s">
        <v>2898</v>
      </c>
      <c r="E1250" s="1644"/>
      <c r="F1250" s="1204"/>
      <c r="G1250" s="586"/>
      <c r="H1250" s="377" t="s">
        <v>748</v>
      </c>
      <c r="I1250" s="1613"/>
      <c r="J1250" s="503"/>
      <c r="K1250" s="503"/>
      <c r="L1250" s="503"/>
      <c r="M1250" s="503"/>
      <c r="N1250" s="503"/>
      <c r="O1250" s="503"/>
    </row>
    <row r="1251" spans="1:15" ht="27">
      <c r="A1251" s="353"/>
      <c r="B1251" s="336"/>
      <c r="C1251" s="714" t="s">
        <v>2899</v>
      </c>
      <c r="D1251" s="1448" t="s">
        <v>2900</v>
      </c>
      <c r="E1251" s="1618"/>
      <c r="F1251" s="1204"/>
      <c r="G1251" s="586"/>
      <c r="H1251" s="377" t="s">
        <v>582</v>
      </c>
      <c r="I1251" s="1613"/>
      <c r="J1251" s="503"/>
      <c r="K1251" s="503"/>
      <c r="L1251" s="503"/>
      <c r="M1251" s="503"/>
      <c r="N1251" s="503"/>
      <c r="O1251" s="503"/>
    </row>
    <row r="1252" spans="1:15">
      <c r="A1252" s="865"/>
      <c r="B1252" s="705"/>
      <c r="C1252" s="1264" t="s">
        <v>2901</v>
      </c>
      <c r="D1252" s="1176" t="s">
        <v>2190</v>
      </c>
      <c r="E1252" s="1203"/>
      <c r="F1252" s="1204"/>
      <c r="G1252" s="586"/>
      <c r="H1252" s="377" t="s">
        <v>527</v>
      </c>
      <c r="I1252" s="1546"/>
      <c r="J1252" s="503"/>
      <c r="K1252" s="503"/>
      <c r="L1252" s="503"/>
      <c r="M1252" s="503"/>
      <c r="N1252" s="503"/>
      <c r="O1252" s="503"/>
    </row>
    <row r="1253" spans="1:15">
      <c r="A1253" s="865"/>
      <c r="B1253" s="1450"/>
      <c r="C1253" s="714" t="s">
        <v>2902</v>
      </c>
      <c r="D1253" s="1176" t="s">
        <v>2903</v>
      </c>
      <c r="E1253" s="1203"/>
      <c r="F1253" s="1204"/>
      <c r="G1253" s="586"/>
      <c r="H1253" s="377" t="s">
        <v>523</v>
      </c>
      <c r="I1253" s="2"/>
      <c r="J1253" s="503"/>
      <c r="K1253" s="503"/>
      <c r="L1253" s="503"/>
      <c r="M1253" s="503"/>
      <c r="N1253" s="503"/>
      <c r="O1253" s="503"/>
    </row>
    <row r="1254" spans="1:15">
      <c r="A1254" s="865"/>
      <c r="B1254" s="336"/>
      <c r="C1254" s="1262" t="s">
        <v>2904</v>
      </c>
      <c r="D1254" s="1262" t="s">
        <v>2905</v>
      </c>
      <c r="E1254" s="1564"/>
      <c r="F1254" s="401"/>
      <c r="G1254" s="1565"/>
      <c r="H1254" s="1124" t="s">
        <v>582</v>
      </c>
      <c r="I1254" s="2"/>
      <c r="J1254" s="503"/>
      <c r="K1254" s="503"/>
      <c r="L1254" s="503"/>
      <c r="M1254" s="503"/>
      <c r="N1254" s="503"/>
      <c r="O1254" s="503"/>
    </row>
    <row r="1255" spans="1:15" ht="27">
      <c r="A1255" s="865"/>
      <c r="B1255" s="1450"/>
      <c r="C1255" s="714" t="s">
        <v>2906</v>
      </c>
      <c r="D1255" s="1558" t="s">
        <v>2907</v>
      </c>
      <c r="E1255" s="1203"/>
      <c r="F1255" s="1204"/>
      <c r="G1255" s="586"/>
      <c r="H1255" s="377" t="s">
        <v>2761</v>
      </c>
      <c r="I1255" s="2"/>
      <c r="J1255" s="503"/>
      <c r="K1255" s="503"/>
      <c r="L1255" s="503"/>
      <c r="M1255" s="503"/>
      <c r="N1255" s="503"/>
      <c r="O1255" s="503"/>
    </row>
    <row r="1256" spans="1:15">
      <c r="A1256" s="865"/>
      <c r="B1256" s="336"/>
      <c r="C1256" s="714" t="s">
        <v>2908</v>
      </c>
      <c r="D1256" s="1528" t="s">
        <v>2909</v>
      </c>
      <c r="E1256" s="1269"/>
      <c r="F1256" s="378"/>
      <c r="G1256" s="347"/>
      <c r="H1256" s="377" t="s">
        <v>2218</v>
      </c>
      <c r="I1256" s="1520"/>
      <c r="J1256" s="503"/>
      <c r="K1256" s="503"/>
      <c r="L1256" s="503"/>
      <c r="M1256" s="503"/>
      <c r="N1256" s="503"/>
      <c r="O1256" s="503"/>
    </row>
    <row r="1257" spans="1:15">
      <c r="A1257" s="865"/>
      <c r="B1257" s="336"/>
      <c r="C1257" s="714" t="s">
        <v>2801</v>
      </c>
      <c r="D1257" s="1176" t="s">
        <v>2910</v>
      </c>
      <c r="E1257" s="1203"/>
      <c r="F1257" s="401"/>
      <c r="G1257" s="586"/>
      <c r="H1257" s="377" t="s">
        <v>1138</v>
      </c>
      <c r="I1257" s="943"/>
      <c r="J1257" s="503"/>
      <c r="K1257" s="503"/>
      <c r="L1257" s="503"/>
      <c r="M1257" s="503"/>
      <c r="N1257" s="503"/>
      <c r="O1257" s="503"/>
    </row>
    <row r="1258" spans="1:15">
      <c r="A1258" s="865"/>
      <c r="B1258" s="1531"/>
      <c r="C1258" s="1532" t="s">
        <v>2911</v>
      </c>
      <c r="D1258" s="1343" t="s">
        <v>2905</v>
      </c>
      <c r="E1258" s="1261"/>
      <c r="F1258" s="379"/>
      <c r="G1258" s="592"/>
      <c r="H1258" s="409" t="s">
        <v>523</v>
      </c>
      <c r="I1258" s="943"/>
      <c r="J1258" s="503"/>
      <c r="K1258" s="503"/>
      <c r="L1258" s="503"/>
      <c r="M1258" s="503"/>
      <c r="N1258" s="503"/>
      <c r="O1258" s="503"/>
    </row>
    <row r="1259" spans="1:15">
      <c r="A1259" s="865"/>
      <c r="B1259" s="336"/>
      <c r="C1259" s="1262" t="s">
        <v>2912</v>
      </c>
      <c r="D1259" s="1176" t="s">
        <v>2913</v>
      </c>
      <c r="E1259" s="1261"/>
      <c r="F1259" s="350"/>
      <c r="G1259" s="404"/>
      <c r="H1259" s="409" t="s">
        <v>748</v>
      </c>
      <c r="I1259" s="1031"/>
      <c r="J1259" s="503"/>
      <c r="K1259" s="503"/>
      <c r="L1259" s="503"/>
      <c r="M1259" s="503"/>
      <c r="N1259" s="503"/>
      <c r="O1259" s="503"/>
    </row>
    <row r="1260" spans="1:15">
      <c r="A1260" s="865"/>
      <c r="B1260" s="1445"/>
      <c r="C1260" s="1262" t="s">
        <v>2914</v>
      </c>
      <c r="D1260" s="409" t="s">
        <v>2915</v>
      </c>
      <c r="E1260" s="1261"/>
      <c r="F1260" s="350"/>
      <c r="G1260" s="1542"/>
      <c r="H1260" s="409" t="s">
        <v>527</v>
      </c>
      <c r="I1260" s="1149"/>
      <c r="J1260" s="503"/>
      <c r="K1260" s="503"/>
      <c r="L1260" s="503"/>
      <c r="M1260" s="503"/>
      <c r="N1260" s="503"/>
      <c r="O1260" s="503"/>
    </row>
    <row r="1261" spans="1:15">
      <c r="A1261" s="865"/>
      <c r="B1261" s="336"/>
      <c r="C1261" s="1262" t="s">
        <v>2916</v>
      </c>
      <c r="D1261" s="409" t="s">
        <v>2917</v>
      </c>
      <c r="E1261" s="1551"/>
      <c r="F1261" s="1385"/>
      <c r="G1261" s="404"/>
      <c r="H1261" s="409" t="s">
        <v>527</v>
      </c>
      <c r="I1261" s="1149"/>
      <c r="J1261" s="503"/>
      <c r="K1261" s="503"/>
      <c r="L1261" s="503"/>
      <c r="M1261" s="503"/>
      <c r="N1261" s="503"/>
      <c r="O1261" s="503"/>
    </row>
    <row r="1262" spans="1:15">
      <c r="A1262" s="170">
        <v>11985</v>
      </c>
      <c r="B1262" s="273">
        <v>0.1</v>
      </c>
      <c r="C1262" s="1442" t="s">
        <v>2918</v>
      </c>
      <c r="D1262" s="1029" t="s">
        <v>2919</v>
      </c>
      <c r="E1262" s="1479">
        <v>870000</v>
      </c>
      <c r="F1262" s="1686">
        <v>0.02</v>
      </c>
      <c r="G1262" s="1672">
        <f>E1262*F1262</f>
        <v>17400</v>
      </c>
      <c r="H1262" s="576" t="s">
        <v>2761</v>
      </c>
      <c r="I1262" s="1105" t="s">
        <v>2124</v>
      </c>
      <c r="J1262" s="503"/>
      <c r="K1262" s="503"/>
      <c r="L1262" s="503"/>
      <c r="M1262" s="503"/>
      <c r="N1262" s="503"/>
      <c r="O1262" s="503"/>
    </row>
    <row r="1263" spans="1:15">
      <c r="A1263" s="170">
        <v>11995</v>
      </c>
      <c r="B1263" s="728">
        <v>0.1</v>
      </c>
      <c r="C1263" s="1082" t="s">
        <v>2920</v>
      </c>
      <c r="D1263" s="1226" t="s">
        <v>2111</v>
      </c>
      <c r="E1263" s="1313">
        <v>1500000</v>
      </c>
      <c r="F1263" s="273">
        <v>0.06</v>
      </c>
      <c r="G1263" s="1672">
        <f t="shared" ref="G1263:G1276" si="62">E1263*F1263</f>
        <v>90000</v>
      </c>
      <c r="H1263" s="1027" t="s">
        <v>523</v>
      </c>
      <c r="I1263" s="1105" t="s">
        <v>2124</v>
      </c>
      <c r="J1263" s="503"/>
      <c r="K1263" s="503"/>
      <c r="L1263" s="503"/>
      <c r="M1263" s="503"/>
      <c r="N1263" s="503"/>
      <c r="O1263" s="503"/>
    </row>
    <row r="1264" spans="1:15">
      <c r="A1264" s="554">
        <v>11997</v>
      </c>
      <c r="B1264" s="273">
        <v>0.1</v>
      </c>
      <c r="C1264" s="1669" t="s">
        <v>2921</v>
      </c>
      <c r="D1264" s="1668" t="s">
        <v>2130</v>
      </c>
      <c r="E1264" s="1310">
        <v>1000000</v>
      </c>
      <c r="F1264" s="273">
        <v>0.06</v>
      </c>
      <c r="G1264" s="1672">
        <f t="shared" si="62"/>
        <v>60000</v>
      </c>
      <c r="H1264" s="777" t="s">
        <v>2761</v>
      </c>
      <c r="I1264" s="942" t="s">
        <v>1971</v>
      </c>
      <c r="J1264" s="503"/>
      <c r="K1264" s="503"/>
      <c r="L1264" s="503"/>
      <c r="M1264" s="503"/>
      <c r="N1264" s="503"/>
      <c r="O1264" s="503"/>
    </row>
    <row r="1265" spans="1:15">
      <c r="A1265" s="554">
        <v>12036</v>
      </c>
      <c r="B1265" s="413">
        <v>0.1</v>
      </c>
      <c r="C1265" s="1670" t="s">
        <v>2922</v>
      </c>
      <c r="D1265" s="576" t="s">
        <v>2111</v>
      </c>
      <c r="E1265" s="1320">
        <v>1150000</v>
      </c>
      <c r="F1265" s="273">
        <v>0.06</v>
      </c>
      <c r="G1265" s="1672">
        <f t="shared" si="62"/>
        <v>69000</v>
      </c>
      <c r="H1265" s="1106" t="s">
        <v>2218</v>
      </c>
      <c r="I1265" s="970" t="s">
        <v>2124</v>
      </c>
      <c r="J1265" s="503"/>
      <c r="K1265" s="503"/>
      <c r="L1265" s="503"/>
      <c r="M1265" s="503"/>
      <c r="N1265" s="503"/>
      <c r="O1265" s="503"/>
    </row>
    <row r="1266" spans="1:15">
      <c r="A1266" s="554">
        <v>12037</v>
      </c>
      <c r="B1266" s="413">
        <v>0.1</v>
      </c>
      <c r="C1266" s="1526" t="s">
        <v>2923</v>
      </c>
      <c r="D1266" s="576" t="s">
        <v>2111</v>
      </c>
      <c r="E1266" s="1320">
        <v>1100000</v>
      </c>
      <c r="F1266" s="273">
        <v>0.06</v>
      </c>
      <c r="G1266" s="1672">
        <f t="shared" si="62"/>
        <v>66000</v>
      </c>
      <c r="H1266" s="1258" t="s">
        <v>582</v>
      </c>
      <c r="I1266" s="1258" t="s">
        <v>2124</v>
      </c>
      <c r="J1266" s="503"/>
      <c r="K1266" s="503"/>
      <c r="L1266" s="503"/>
      <c r="M1266" s="503"/>
      <c r="N1266" s="503"/>
      <c r="O1266" s="503"/>
    </row>
    <row r="1267" spans="1:15">
      <c r="A1267" s="554">
        <v>12074</v>
      </c>
      <c r="B1267" s="273">
        <v>0.1</v>
      </c>
      <c r="C1267" s="971" t="s">
        <v>2924</v>
      </c>
      <c r="D1267" s="576" t="s">
        <v>2111</v>
      </c>
      <c r="E1267" s="1313">
        <v>1100000</v>
      </c>
      <c r="F1267" s="273">
        <v>0.06</v>
      </c>
      <c r="G1267" s="1672">
        <f t="shared" si="62"/>
        <v>66000</v>
      </c>
      <c r="H1267" s="1027" t="s">
        <v>527</v>
      </c>
      <c r="I1267" s="1258" t="s">
        <v>2124</v>
      </c>
      <c r="J1267" s="503"/>
      <c r="K1267" s="503"/>
      <c r="L1267" s="503"/>
      <c r="M1267" s="503"/>
      <c r="N1267" s="503"/>
      <c r="O1267" s="503"/>
    </row>
    <row r="1268" spans="1:15">
      <c r="A1268" s="554">
        <v>12089</v>
      </c>
      <c r="B1268" s="273">
        <v>0.1</v>
      </c>
      <c r="C1268" s="971" t="s">
        <v>2925</v>
      </c>
      <c r="D1268" s="576" t="s">
        <v>2111</v>
      </c>
      <c r="E1268" s="1320">
        <v>900000</v>
      </c>
      <c r="F1268" s="273">
        <v>0.06</v>
      </c>
      <c r="G1268" s="1672">
        <f t="shared" si="62"/>
        <v>54000</v>
      </c>
      <c r="H1268" s="1104" t="s">
        <v>527</v>
      </c>
      <c r="I1268" s="1583" t="s">
        <v>2124</v>
      </c>
      <c r="J1268" s="503"/>
      <c r="K1268" s="503"/>
      <c r="L1268" s="503"/>
      <c r="M1268" s="503"/>
      <c r="N1268" s="503"/>
      <c r="O1268" s="503"/>
    </row>
    <row r="1269" spans="1:15">
      <c r="A1269" s="554">
        <v>12123</v>
      </c>
      <c r="B1269" s="273">
        <v>0.1</v>
      </c>
      <c r="C1269" s="1670" t="s">
        <v>2926</v>
      </c>
      <c r="D1269" s="576" t="s">
        <v>2111</v>
      </c>
      <c r="E1269" s="1313">
        <v>1400000</v>
      </c>
      <c r="F1269" s="273">
        <v>0.06</v>
      </c>
      <c r="G1269" s="1672">
        <f t="shared" si="62"/>
        <v>84000</v>
      </c>
      <c r="H1269" s="1027" t="s">
        <v>523</v>
      </c>
      <c r="I1269" s="1583" t="s">
        <v>2124</v>
      </c>
      <c r="J1269" s="503"/>
      <c r="K1269" s="503"/>
      <c r="L1269" s="503"/>
      <c r="M1269" s="503"/>
      <c r="N1269" s="503"/>
      <c r="O1269" s="503"/>
    </row>
    <row r="1270" spans="1:15">
      <c r="A1270" s="554">
        <v>12113</v>
      </c>
      <c r="B1270" s="273">
        <v>0.1</v>
      </c>
      <c r="C1270" s="1630" t="s">
        <v>2927</v>
      </c>
      <c r="D1270" s="576" t="s">
        <v>2111</v>
      </c>
      <c r="E1270" s="1681">
        <v>1730000</v>
      </c>
      <c r="F1270" s="305">
        <v>0.06</v>
      </c>
      <c r="G1270" s="1672">
        <f t="shared" si="62"/>
        <v>103800</v>
      </c>
      <c r="H1270" s="777" t="s">
        <v>527</v>
      </c>
      <c r="I1270" s="777" t="s">
        <v>2124</v>
      </c>
      <c r="J1270" s="503"/>
      <c r="K1270" s="503"/>
      <c r="L1270" s="503"/>
      <c r="M1270" s="503"/>
      <c r="N1270" s="503"/>
      <c r="O1270" s="503"/>
    </row>
    <row r="1271" spans="1:15">
      <c r="A1271" s="554">
        <v>12112</v>
      </c>
      <c r="B1271" s="1584">
        <v>0.1</v>
      </c>
      <c r="C1271" s="1671" t="s">
        <v>2928</v>
      </c>
      <c r="D1271" s="1082" t="s">
        <v>2111</v>
      </c>
      <c r="E1271" s="1320">
        <v>730000</v>
      </c>
      <c r="F1271" s="273">
        <v>0.06</v>
      </c>
      <c r="G1271" s="405">
        <f t="shared" si="62"/>
        <v>43800</v>
      </c>
      <c r="H1271" s="573" t="s">
        <v>748</v>
      </c>
      <c r="I1271" s="1583" t="s">
        <v>2124</v>
      </c>
      <c r="J1271" s="503"/>
      <c r="K1271" s="503"/>
      <c r="L1271" s="503"/>
      <c r="M1271" s="503"/>
      <c r="N1271" s="503"/>
      <c r="O1271" s="503"/>
    </row>
    <row r="1272" spans="1:15">
      <c r="A1272" s="554">
        <v>12127</v>
      </c>
      <c r="B1272" s="273">
        <v>0.1</v>
      </c>
      <c r="C1272" s="431" t="s">
        <v>2929</v>
      </c>
      <c r="D1272" s="1083" t="s">
        <v>2111</v>
      </c>
      <c r="E1272" s="1320">
        <v>1200000</v>
      </c>
      <c r="F1272" s="273">
        <v>0.06</v>
      </c>
      <c r="G1272" s="405">
        <f t="shared" si="62"/>
        <v>72000</v>
      </c>
      <c r="H1272" s="573" t="s">
        <v>748</v>
      </c>
      <c r="I1272" s="777" t="s">
        <v>2124</v>
      </c>
      <c r="J1272" s="503"/>
      <c r="K1272" s="503"/>
      <c r="L1272" s="503"/>
      <c r="M1272" s="503"/>
      <c r="N1272" s="503"/>
      <c r="O1272" s="503"/>
    </row>
    <row r="1273" spans="1:15">
      <c r="A1273" s="554">
        <v>12151</v>
      </c>
      <c r="B1273" s="954">
        <v>0.1</v>
      </c>
      <c r="C1273" s="1442" t="s">
        <v>2930</v>
      </c>
      <c r="D1273" s="1088" t="s">
        <v>2130</v>
      </c>
      <c r="E1273" s="1313">
        <v>1400000</v>
      </c>
      <c r="F1273" s="273">
        <v>0.06</v>
      </c>
      <c r="G1273" s="405">
        <f t="shared" si="62"/>
        <v>84000</v>
      </c>
      <c r="H1273" s="576" t="s">
        <v>2759</v>
      </c>
      <c r="I1273" s="1104" t="s">
        <v>2124</v>
      </c>
      <c r="J1273" s="503"/>
      <c r="K1273" s="503"/>
      <c r="L1273" s="503"/>
      <c r="M1273" s="503"/>
      <c r="N1273" s="503"/>
      <c r="O1273" s="503"/>
    </row>
    <row r="1274" spans="1:15">
      <c r="A1274" s="554">
        <v>12155</v>
      </c>
      <c r="B1274" s="954">
        <v>0.1</v>
      </c>
      <c r="C1274" s="431" t="s">
        <v>2931</v>
      </c>
      <c r="D1274" s="1082" t="s">
        <v>2130</v>
      </c>
      <c r="E1274" s="1320">
        <v>1250000</v>
      </c>
      <c r="F1274" s="273">
        <v>0.06</v>
      </c>
      <c r="G1274" s="405">
        <f t="shared" si="62"/>
        <v>75000</v>
      </c>
      <c r="H1274" s="573" t="s">
        <v>523</v>
      </c>
      <c r="I1274" s="777" t="s">
        <v>2124</v>
      </c>
      <c r="J1274" s="503"/>
      <c r="K1274" s="503"/>
      <c r="L1274" s="503"/>
      <c r="M1274" s="503"/>
      <c r="N1274" s="503"/>
      <c r="O1274" s="503"/>
    </row>
    <row r="1275" spans="1:15">
      <c r="A1275" s="554">
        <v>12154</v>
      </c>
      <c r="B1275" s="954">
        <v>0.1</v>
      </c>
      <c r="C1275" s="885" t="s">
        <v>2932</v>
      </c>
      <c r="D1275" s="1082" t="s">
        <v>2130</v>
      </c>
      <c r="E1275" s="1320">
        <v>1250000</v>
      </c>
      <c r="F1275" s="273">
        <v>0.06</v>
      </c>
      <c r="G1275" s="405">
        <f t="shared" si="62"/>
        <v>75000</v>
      </c>
      <c r="H1275" s="573" t="s">
        <v>748</v>
      </c>
      <c r="I1275" s="777" t="s">
        <v>2124</v>
      </c>
      <c r="J1275" s="503"/>
      <c r="K1275" s="503"/>
      <c r="L1275" s="503"/>
      <c r="M1275" s="503"/>
      <c r="N1275" s="503"/>
      <c r="O1275" s="503"/>
    </row>
    <row r="1276" spans="1:15">
      <c r="A1276" s="554">
        <v>12156</v>
      </c>
      <c r="B1276" s="954">
        <v>0.1</v>
      </c>
      <c r="C1276" s="431" t="s">
        <v>2933</v>
      </c>
      <c r="D1276" s="1135" t="s">
        <v>2111</v>
      </c>
      <c r="E1276" s="1320">
        <v>1050000</v>
      </c>
      <c r="F1276" s="273">
        <v>0.06</v>
      </c>
      <c r="G1276" s="405">
        <f t="shared" si="62"/>
        <v>63000</v>
      </c>
      <c r="H1276" s="573" t="s">
        <v>2761</v>
      </c>
      <c r="I1276" s="1104" t="s">
        <v>2124</v>
      </c>
      <c r="J1276" s="503"/>
      <c r="K1276" s="503"/>
      <c r="L1276" s="503"/>
      <c r="M1276" s="503"/>
      <c r="N1276" s="503"/>
      <c r="O1276" s="503"/>
    </row>
    <row r="1277" spans="1:15">
      <c r="A1277" s="1563">
        <v>12181</v>
      </c>
      <c r="B1277" s="1545">
        <v>0.1</v>
      </c>
      <c r="C1277" s="1212" t="s">
        <v>2934</v>
      </c>
      <c r="D1277" s="1550" t="s">
        <v>2935</v>
      </c>
      <c r="E1277" s="1598">
        <v>1250000</v>
      </c>
      <c r="F1277" s="1278">
        <v>0.06</v>
      </c>
      <c r="G1277" s="1682">
        <f>E1277*F1277</f>
        <v>75000</v>
      </c>
      <c r="H1277" s="1279" t="s">
        <v>527</v>
      </c>
      <c r="I1277" s="1566"/>
      <c r="J1277" s="503"/>
      <c r="K1277" s="503"/>
      <c r="L1277" s="503"/>
      <c r="M1277" s="503"/>
      <c r="N1277" s="503"/>
      <c r="O1277" s="503"/>
    </row>
    <row r="1278" spans="1:15">
      <c r="A1278" s="554">
        <v>12176</v>
      </c>
      <c r="B1278" s="273">
        <v>0.1</v>
      </c>
      <c r="C1278" s="431" t="s">
        <v>2936</v>
      </c>
      <c r="D1278" s="1027" t="s">
        <v>2111</v>
      </c>
      <c r="E1278" s="1320">
        <v>1000000</v>
      </c>
      <c r="F1278" s="418">
        <v>0.06</v>
      </c>
      <c r="G1278" s="1672">
        <f>E1278*F1278</f>
        <v>60000</v>
      </c>
      <c r="H1278" s="573" t="s">
        <v>527</v>
      </c>
      <c r="I1278" s="1583" t="s">
        <v>2124</v>
      </c>
      <c r="J1278" s="503"/>
      <c r="K1278" s="503"/>
      <c r="L1278" s="503"/>
      <c r="M1278" s="503"/>
      <c r="N1278" s="503"/>
      <c r="O1278" s="503"/>
    </row>
    <row r="1279" spans="1:15">
      <c r="A1279" s="1563">
        <v>12195</v>
      </c>
      <c r="B1279" s="1680">
        <v>0.1</v>
      </c>
      <c r="C1279" s="701" t="s">
        <v>2937</v>
      </c>
      <c r="D1279" s="1137" t="s">
        <v>2935</v>
      </c>
      <c r="E1279" s="1607">
        <v>1200000</v>
      </c>
      <c r="F1279" s="1688">
        <v>0.06</v>
      </c>
      <c r="G1279" s="486">
        <f>E1279*F1279</f>
        <v>72000</v>
      </c>
      <c r="H1279" s="943" t="s">
        <v>748</v>
      </c>
      <c r="I1279" s="943"/>
    </row>
    <row r="1280" spans="1:15">
      <c r="A1280" s="2237"/>
      <c r="B1280" s="1403"/>
      <c r="C1280" s="1212"/>
      <c r="D1280" s="1550"/>
      <c r="E1280" s="1607"/>
      <c r="F1280" s="914"/>
      <c r="G1280" s="486"/>
      <c r="H1280" s="943"/>
      <c r="I1280" s="943"/>
    </row>
    <row r="1281" spans="1:15">
      <c r="A1281" s="2213"/>
      <c r="B1281" s="1347"/>
      <c r="C1281" s="868"/>
      <c r="D1281" s="1550" t="s">
        <v>2499</v>
      </c>
      <c r="E1281" s="1608">
        <f>SUM(E1262:E1279)</f>
        <v>21080000</v>
      </c>
      <c r="F1281" s="915"/>
      <c r="G1281" s="406">
        <f>SUM(G1262:G1279)</f>
        <v>1230000</v>
      </c>
      <c r="H1281" s="1031"/>
      <c r="I1281" s="1168"/>
      <c r="J1281" s="503"/>
      <c r="K1281" s="503"/>
      <c r="L1281" s="503"/>
      <c r="M1281" s="503"/>
      <c r="N1281" s="503"/>
      <c r="O1281" s="503"/>
    </row>
    <row r="1282" spans="1:15" ht="18">
      <c r="A1282" s="46"/>
      <c r="B1282" s="950"/>
      <c r="C1282" s="994"/>
      <c r="D1282" s="390" t="s">
        <v>2154</v>
      </c>
      <c r="E1282" s="1685">
        <f>G1281</f>
        <v>1230000</v>
      </c>
      <c r="F1282" s="952"/>
      <c r="G1282" s="953"/>
      <c r="H1282" s="1023"/>
      <c r="I1282" s="1050"/>
    </row>
    <row r="1283" spans="1:15">
      <c r="E1283" s="589"/>
    </row>
    <row r="1284" spans="1:15">
      <c r="E1284" s="589"/>
    </row>
    <row r="1285" spans="1:15">
      <c r="A1285" s="2957" t="s">
        <v>2938</v>
      </c>
      <c r="B1285" s="2957"/>
      <c r="C1285" s="2957"/>
      <c r="D1285" s="2957"/>
      <c r="E1285" s="2957"/>
      <c r="F1285" s="2957"/>
      <c r="G1285" s="2957"/>
      <c r="H1285" s="2957"/>
    </row>
    <row r="1286" spans="1:15">
      <c r="A1286" s="2957"/>
      <c r="B1286" s="2957"/>
      <c r="C1286" s="2957"/>
      <c r="D1286" s="2957"/>
      <c r="E1286" s="2957"/>
      <c r="F1286" s="2957"/>
      <c r="G1286" s="2957"/>
      <c r="H1286" s="2957"/>
    </row>
    <row r="1287" spans="1:15" ht="20.45">
      <c r="A1287" s="263" t="s">
        <v>2011</v>
      </c>
      <c r="B1287" s="833" t="s">
        <v>1808</v>
      </c>
      <c r="C1287" s="863" t="s">
        <v>2012</v>
      </c>
      <c r="D1287" s="1100" t="s">
        <v>2580</v>
      </c>
      <c r="E1287" s="835" t="s">
        <v>2013</v>
      </c>
      <c r="F1287" s="398" t="s">
        <v>1811</v>
      </c>
      <c r="G1287" s="399" t="s">
        <v>1817</v>
      </c>
      <c r="H1287" s="683" t="s">
        <v>2125</v>
      </c>
      <c r="I1287" s="260"/>
    </row>
    <row r="1288" spans="1:15">
      <c r="A1288" s="865"/>
      <c r="B1288" s="1450"/>
      <c r="C1288" s="1676" t="s">
        <v>2939</v>
      </c>
      <c r="D1288" s="1413" t="s">
        <v>2940</v>
      </c>
      <c r="E1288" s="1645"/>
      <c r="F1288" s="401"/>
      <c r="G1288" s="586"/>
      <c r="H1288" s="377" t="s">
        <v>2761</v>
      </c>
      <c r="I1288" s="1308"/>
    </row>
    <row r="1289" spans="1:15">
      <c r="A1289" s="865"/>
      <c r="B1289" s="1450"/>
      <c r="C1289" s="377" t="s">
        <v>2941</v>
      </c>
      <c r="D1289" s="1142" t="s">
        <v>2770</v>
      </c>
      <c r="E1289" s="1645"/>
      <c r="F1289" s="1638"/>
      <c r="G1289" s="586"/>
      <c r="H1289" s="377" t="s">
        <v>527</v>
      </c>
      <c r="I1289" s="1060"/>
    </row>
    <row r="1290" spans="1:15">
      <c r="A1290" s="865"/>
      <c r="B1290" s="1450"/>
      <c r="C1290" s="1124" t="s">
        <v>2942</v>
      </c>
      <c r="D1290" s="1413" t="s">
        <v>2943</v>
      </c>
      <c r="E1290" s="1402"/>
      <c r="F1290" s="401"/>
      <c r="G1290" s="586"/>
      <c r="H1290" s="377" t="s">
        <v>527</v>
      </c>
      <c r="I1290" s="1308"/>
    </row>
    <row r="1291" spans="1:15">
      <c r="A1291" s="865"/>
      <c r="B1291" s="1450"/>
      <c r="C1291" s="377" t="s">
        <v>2944</v>
      </c>
      <c r="D1291" s="1368" t="s">
        <v>2945</v>
      </c>
      <c r="E1291" s="1269"/>
      <c r="F1291" s="401"/>
      <c r="G1291" s="586"/>
      <c r="H1291" s="377" t="s">
        <v>582</v>
      </c>
      <c r="I1291" s="1060"/>
    </row>
    <row r="1292" spans="1:15">
      <c r="A1292" s="865"/>
      <c r="B1292" s="1450"/>
      <c r="C1292" s="110" t="s">
        <v>2946</v>
      </c>
      <c r="D1292" s="1072" t="s">
        <v>2770</v>
      </c>
      <c r="E1292" s="1533"/>
      <c r="F1292" s="98"/>
      <c r="G1292" s="98"/>
      <c r="H1292" s="1060" t="s">
        <v>2761</v>
      </c>
      <c r="I1292" s="1308"/>
    </row>
    <row r="1293" spans="1:15">
      <c r="A1293" s="865"/>
      <c r="B1293" s="1210"/>
      <c r="C1293" s="377" t="s">
        <v>2947</v>
      </c>
      <c r="D1293" s="1142" t="s">
        <v>2948</v>
      </c>
      <c r="E1293" s="1269"/>
      <c r="F1293" s="401"/>
      <c r="G1293" s="586"/>
      <c r="H1293" s="377" t="s">
        <v>523</v>
      </c>
      <c r="I1293" s="1060"/>
    </row>
    <row r="1294" spans="1:15">
      <c r="A1294" s="865"/>
      <c r="B1294" s="1210"/>
      <c r="C1294" s="1262" t="s">
        <v>2949</v>
      </c>
      <c r="D1294" s="1538" t="s">
        <v>2950</v>
      </c>
      <c r="E1294" s="1270"/>
      <c r="F1294" s="98"/>
      <c r="G1294" s="98"/>
      <c r="H1294" s="1060" t="s">
        <v>527</v>
      </c>
      <c r="I1294" s="1060"/>
    </row>
    <row r="1295" spans="1:15">
      <c r="A1295" s="865"/>
      <c r="B1295" s="1210"/>
      <c r="C1295" s="1262" t="s">
        <v>2951</v>
      </c>
      <c r="D1295" s="1368" t="s">
        <v>2251</v>
      </c>
      <c r="E1295" s="1402"/>
      <c r="F1295" s="401"/>
      <c r="G1295" s="586"/>
      <c r="H1295" s="377" t="s">
        <v>523</v>
      </c>
      <c r="I1295" s="1060"/>
    </row>
    <row r="1296" spans="1:15">
      <c r="A1296" s="865"/>
      <c r="B1296" s="1210"/>
      <c r="C1296" s="1267" t="s">
        <v>2952</v>
      </c>
      <c r="D1296" s="1553" t="s">
        <v>2915</v>
      </c>
      <c r="E1296" s="1402"/>
      <c r="F1296" s="401"/>
      <c r="G1296" s="586"/>
      <c r="H1296" s="377" t="s">
        <v>523</v>
      </c>
      <c r="I1296" s="1060"/>
    </row>
    <row r="1297" spans="1:16">
      <c r="A1297" s="865"/>
      <c r="B1297" s="1210"/>
      <c r="C1297" s="1555" t="s">
        <v>2953</v>
      </c>
      <c r="D1297" s="1142" t="s">
        <v>2954</v>
      </c>
      <c r="E1297" s="1402"/>
      <c r="F1297" s="401"/>
      <c r="G1297" s="586"/>
      <c r="H1297" s="377" t="s">
        <v>527</v>
      </c>
      <c r="I1297" s="1072"/>
    </row>
    <row r="1298" spans="1:16" ht="15.6">
      <c r="A1298" s="1941">
        <v>11965</v>
      </c>
      <c r="B1298" s="122">
        <v>0.1</v>
      </c>
      <c r="C1298" s="573" t="s">
        <v>2955</v>
      </c>
      <c r="D1298" s="1143" t="s">
        <v>2111</v>
      </c>
      <c r="E1298" s="1310">
        <v>1200000</v>
      </c>
      <c r="F1298" s="314">
        <v>0.05</v>
      </c>
      <c r="G1298" s="511">
        <f t="shared" ref="G1298:G1312" si="63">E1298*F1298</f>
        <v>60000</v>
      </c>
      <c r="H1298" s="573" t="s">
        <v>2761</v>
      </c>
      <c r="I1298" s="1062" t="s">
        <v>2124</v>
      </c>
    </row>
    <row r="1299" spans="1:16" ht="15.6">
      <c r="A1299" s="1941">
        <v>11981</v>
      </c>
      <c r="B1299" s="1205">
        <v>0.1</v>
      </c>
      <c r="C1299" s="431" t="s">
        <v>2956</v>
      </c>
      <c r="D1299" s="1061" t="s">
        <v>2111</v>
      </c>
      <c r="E1299" s="1344">
        <v>1100000</v>
      </c>
      <c r="F1299" s="314">
        <v>0.05</v>
      </c>
      <c r="G1299" s="511">
        <f t="shared" si="63"/>
        <v>55000</v>
      </c>
      <c r="H1299" s="1061" t="s">
        <v>748</v>
      </c>
      <c r="I1299" s="1061" t="s">
        <v>2124</v>
      </c>
    </row>
    <row r="1300" spans="1:16">
      <c r="A1300" s="83">
        <v>11969</v>
      </c>
      <c r="B1300" s="1494">
        <v>0.1</v>
      </c>
      <c r="C1300" s="970" t="s">
        <v>2738</v>
      </c>
      <c r="D1300" s="1534" t="s">
        <v>2111</v>
      </c>
      <c r="E1300" s="1609">
        <v>900000</v>
      </c>
      <c r="F1300" s="314">
        <v>0.05</v>
      </c>
      <c r="G1300" s="511">
        <f t="shared" si="63"/>
        <v>45000</v>
      </c>
      <c r="H1300" s="573" t="s">
        <v>748</v>
      </c>
      <c r="I1300" s="1061" t="s">
        <v>2124</v>
      </c>
      <c r="J1300" s="34"/>
    </row>
    <row r="1301" spans="1:16">
      <c r="A1301" s="75">
        <v>11978</v>
      </c>
      <c r="B1301" s="1205">
        <v>0.1</v>
      </c>
      <c r="C1301" s="573" t="s">
        <v>2957</v>
      </c>
      <c r="D1301" s="1143" t="s">
        <v>2111</v>
      </c>
      <c r="E1301" s="1474">
        <v>1150000</v>
      </c>
      <c r="F1301" s="314">
        <v>0.05</v>
      </c>
      <c r="G1301" s="511">
        <f t="shared" si="63"/>
        <v>57500</v>
      </c>
      <c r="H1301" s="573" t="s">
        <v>2761</v>
      </c>
      <c r="I1301" s="1061" t="s">
        <v>2124</v>
      </c>
      <c r="J1301" s="34"/>
    </row>
    <row r="1302" spans="1:16">
      <c r="A1302" s="75">
        <v>12007</v>
      </c>
      <c r="B1302" s="1623">
        <v>0.08</v>
      </c>
      <c r="C1302" s="942" t="s">
        <v>2958</v>
      </c>
      <c r="D1302" s="1143" t="s">
        <v>2111</v>
      </c>
      <c r="E1302" s="1474">
        <v>1350000</v>
      </c>
      <c r="F1302" s="1683">
        <v>0.04</v>
      </c>
      <c r="G1302" s="511">
        <f t="shared" si="63"/>
        <v>54000</v>
      </c>
      <c r="H1302" s="573" t="s">
        <v>527</v>
      </c>
      <c r="I1302" s="1061" t="s">
        <v>2124</v>
      </c>
      <c r="J1302" s="34"/>
    </row>
    <row r="1303" spans="1:16">
      <c r="A1303" s="170">
        <v>12060</v>
      </c>
      <c r="B1303" s="1561">
        <v>0.1</v>
      </c>
      <c r="C1303" s="573" t="s">
        <v>2959</v>
      </c>
      <c r="D1303" s="1382" t="s">
        <v>2111</v>
      </c>
      <c r="E1303" s="1474">
        <v>700000</v>
      </c>
      <c r="F1303" s="314">
        <v>0.05</v>
      </c>
      <c r="G1303" s="511">
        <f t="shared" si="63"/>
        <v>35000</v>
      </c>
      <c r="H1303" s="573" t="s">
        <v>748</v>
      </c>
      <c r="I1303" s="1061" t="s">
        <v>2124</v>
      </c>
      <c r="J1303" s="34"/>
    </row>
    <row r="1304" spans="1:16">
      <c r="A1304" s="75">
        <v>12057</v>
      </c>
      <c r="B1304" s="1656">
        <v>0.08</v>
      </c>
      <c r="C1304" s="1442" t="s">
        <v>2960</v>
      </c>
      <c r="D1304" s="1430" t="s">
        <v>2111</v>
      </c>
      <c r="E1304" s="1474">
        <v>1400000</v>
      </c>
      <c r="F1304" s="1683">
        <v>0.04</v>
      </c>
      <c r="G1304" s="511">
        <f t="shared" si="63"/>
        <v>56000</v>
      </c>
      <c r="H1304" s="573" t="s">
        <v>2961</v>
      </c>
      <c r="I1304" s="1061" t="s">
        <v>2124</v>
      </c>
      <c r="J1304" s="503"/>
    </row>
    <row r="1305" spans="1:16" ht="15.6">
      <c r="A1305" s="1942">
        <v>12108</v>
      </c>
      <c r="B1305" s="1576">
        <v>0.1</v>
      </c>
      <c r="C1305" s="968" t="s">
        <v>2962</v>
      </c>
      <c r="D1305" s="1143" t="s">
        <v>2111</v>
      </c>
      <c r="E1305" s="1474">
        <v>1000000</v>
      </c>
      <c r="F1305" s="314">
        <v>0.05</v>
      </c>
      <c r="G1305" s="511">
        <f t="shared" si="63"/>
        <v>50000</v>
      </c>
      <c r="H1305" s="573" t="s">
        <v>527</v>
      </c>
      <c r="I1305" s="1061" t="s">
        <v>2124</v>
      </c>
      <c r="J1305" s="503"/>
    </row>
    <row r="1306" spans="1:16" ht="15.6">
      <c r="A1306" s="1942">
        <v>12114</v>
      </c>
      <c r="B1306" s="1576">
        <v>0.1</v>
      </c>
      <c r="C1306" s="431" t="s">
        <v>2963</v>
      </c>
      <c r="D1306" s="1143" t="s">
        <v>2111</v>
      </c>
      <c r="E1306" s="1474">
        <v>900000</v>
      </c>
      <c r="F1306" s="314">
        <v>0.05</v>
      </c>
      <c r="G1306" s="511">
        <f t="shared" si="63"/>
        <v>45000</v>
      </c>
      <c r="H1306" s="573" t="s">
        <v>527</v>
      </c>
      <c r="I1306" s="1061" t="s">
        <v>2124</v>
      </c>
      <c r="J1306" s="503"/>
    </row>
    <row r="1307" spans="1:16" ht="16.899999999999999">
      <c r="A1307" s="2251">
        <v>12102</v>
      </c>
      <c r="B1307" s="1620">
        <v>0.1</v>
      </c>
      <c r="C1307" s="1442" t="s">
        <v>2964</v>
      </c>
      <c r="D1307" s="1621" t="s">
        <v>2111</v>
      </c>
      <c r="E1307" s="1646">
        <v>1600000</v>
      </c>
      <c r="F1307" s="314">
        <v>0.05</v>
      </c>
      <c r="G1307" s="511">
        <f t="shared" si="63"/>
        <v>80000</v>
      </c>
      <c r="H1307" s="1214" t="s">
        <v>523</v>
      </c>
      <c r="I1307" s="1061" t="s">
        <v>2124</v>
      </c>
      <c r="J1307" s="503"/>
    </row>
    <row r="1308" spans="1:16" s="503" customFormat="1" ht="27">
      <c r="A1308" s="1941">
        <v>12140</v>
      </c>
      <c r="B1308" s="1205">
        <v>0.1</v>
      </c>
      <c r="C1308" s="968" t="s">
        <v>2965</v>
      </c>
      <c r="D1308" s="1143" t="s">
        <v>2111</v>
      </c>
      <c r="E1308" s="1310">
        <v>1000000</v>
      </c>
      <c r="F1308" s="314">
        <v>0.05</v>
      </c>
      <c r="G1308" s="511">
        <f t="shared" si="63"/>
        <v>50000</v>
      </c>
      <c r="H1308" s="573" t="s">
        <v>582</v>
      </c>
      <c r="I1308" s="1061" t="s">
        <v>2124</v>
      </c>
    </row>
    <row r="1309" spans="1:16" s="503" customFormat="1" ht="16.899999999999999">
      <c r="A1309" s="2252">
        <v>12139</v>
      </c>
      <c r="B1309" s="1205">
        <v>0.1</v>
      </c>
      <c r="C1309" s="431" t="s">
        <v>2966</v>
      </c>
      <c r="D1309" s="576" t="s">
        <v>2111</v>
      </c>
      <c r="E1309" s="1309">
        <v>1100000</v>
      </c>
      <c r="F1309" s="314">
        <v>0.05</v>
      </c>
      <c r="G1309" s="511">
        <f t="shared" si="63"/>
        <v>55000</v>
      </c>
      <c r="H1309" s="1214" t="s">
        <v>523</v>
      </c>
      <c r="I1309" s="1061" t="s">
        <v>2124</v>
      </c>
    </row>
    <row r="1310" spans="1:16">
      <c r="A1310" s="75">
        <v>12146</v>
      </c>
      <c r="B1310" s="1205">
        <v>0.1</v>
      </c>
      <c r="C1310" s="968" t="s">
        <v>2967</v>
      </c>
      <c r="D1310" s="1143" t="s">
        <v>2111</v>
      </c>
      <c r="E1310" s="1310">
        <v>1300000</v>
      </c>
      <c r="F1310" s="314">
        <v>0.05</v>
      </c>
      <c r="G1310" s="511">
        <f t="shared" si="63"/>
        <v>65000</v>
      </c>
      <c r="H1310" s="573" t="s">
        <v>582</v>
      </c>
      <c r="I1310" s="1061" t="s">
        <v>2124</v>
      </c>
      <c r="J1310" s="503"/>
    </row>
    <row r="1311" spans="1:16">
      <c r="A1311" s="1585">
        <v>12164</v>
      </c>
      <c r="B1311" s="1192">
        <v>0.1</v>
      </c>
      <c r="C1311" s="1622" t="s">
        <v>2968</v>
      </c>
      <c r="D1311" s="1338" t="s">
        <v>2969</v>
      </c>
      <c r="E1311" s="1610">
        <v>1200000</v>
      </c>
      <c r="F1311" s="958">
        <v>0.05</v>
      </c>
      <c r="G1311" s="719">
        <f t="shared" si="63"/>
        <v>60000</v>
      </c>
      <c r="H1311" s="943" t="s">
        <v>523</v>
      </c>
      <c r="I1311" s="201"/>
      <c r="J1311" s="503"/>
    </row>
    <row r="1312" spans="1:16">
      <c r="A1312" s="39">
        <v>12194</v>
      </c>
      <c r="B1312" s="1629">
        <v>0.1</v>
      </c>
      <c r="C1312" s="1174" t="s">
        <v>2970</v>
      </c>
      <c r="D1312" s="1429" t="s">
        <v>2194</v>
      </c>
      <c r="E1312" s="1595">
        <v>950000</v>
      </c>
      <c r="F1312" s="958">
        <v>0.05</v>
      </c>
      <c r="G1312" s="719">
        <f t="shared" si="63"/>
        <v>47500</v>
      </c>
      <c r="H1312" s="943" t="s">
        <v>527</v>
      </c>
      <c r="I1312" s="201"/>
      <c r="J1312" s="34"/>
      <c r="K1312" s="34"/>
      <c r="L1312" s="34"/>
      <c r="M1312" s="34"/>
      <c r="N1312" s="34"/>
      <c r="O1312" s="34"/>
      <c r="P1312" s="503"/>
    </row>
    <row r="1313" spans="1:16">
      <c r="A1313" s="39"/>
      <c r="B1313" s="1629"/>
      <c r="C1313" s="1174"/>
      <c r="D1313" s="1429"/>
      <c r="E1313" s="1595"/>
      <c r="F1313" s="958"/>
      <c r="G1313" s="719"/>
      <c r="H1313" s="943"/>
      <c r="I1313" s="201"/>
      <c r="J1313" s="34"/>
      <c r="K1313" s="34"/>
      <c r="L1313" s="34"/>
      <c r="M1313" s="34"/>
      <c r="N1313" s="34"/>
      <c r="O1313" s="34"/>
      <c r="P1313" s="503"/>
    </row>
    <row r="1314" spans="1:16">
      <c r="A1314" s="2231"/>
      <c r="B1314" s="1544"/>
      <c r="C1314" s="1544"/>
      <c r="D1314" s="1550" t="s">
        <v>2499</v>
      </c>
      <c r="E1314" s="1311">
        <f>SUM(E1298:E1312)</f>
        <v>16850000</v>
      </c>
      <c r="F1314" s="34"/>
      <c r="G1314" s="1451">
        <f>SUM(G1298:G1312)</f>
        <v>815000</v>
      </c>
      <c r="H1314" s="51"/>
      <c r="I1314" s="51"/>
      <c r="J1314" s="34"/>
      <c r="K1314" s="34"/>
      <c r="L1314" s="34"/>
      <c r="M1314" s="34"/>
      <c r="N1314" s="34"/>
      <c r="O1314" s="34"/>
    </row>
    <row r="1315" spans="1:16" ht="18">
      <c r="A1315" s="2231"/>
      <c r="B1315" s="34"/>
      <c r="C1315" s="1451"/>
      <c r="D1315" s="390" t="s">
        <v>2154</v>
      </c>
      <c r="E1315" s="1684">
        <f>G1314</f>
        <v>815000</v>
      </c>
      <c r="F1315" s="34"/>
      <c r="G1315" s="34"/>
      <c r="H1315" s="51"/>
      <c r="I1315" s="51"/>
      <c r="J1315" s="34"/>
      <c r="K1315" s="34"/>
      <c r="L1315" s="34"/>
      <c r="M1315" s="34"/>
      <c r="N1315" s="34"/>
      <c r="O1315" s="34"/>
    </row>
    <row r="1318" spans="1:16">
      <c r="A1318" s="2958" t="s">
        <v>2971</v>
      </c>
      <c r="B1318" s="2958"/>
      <c r="C1318" s="2958"/>
      <c r="D1318" s="2958"/>
      <c r="E1318" s="2958"/>
      <c r="F1318" s="2958"/>
      <c r="G1318" s="2958"/>
      <c r="H1318" s="2959"/>
      <c r="I1318" s="2"/>
    </row>
    <row r="1319" spans="1:16">
      <c r="A1319" s="2958"/>
      <c r="B1319" s="2958"/>
      <c r="C1319" s="2958"/>
      <c r="D1319" s="2958"/>
      <c r="E1319" s="2958"/>
      <c r="F1319" s="2958"/>
      <c r="G1319" s="2960"/>
      <c r="H1319" s="2961"/>
      <c r="I1319" s="2"/>
    </row>
    <row r="1320" spans="1:16" ht="20.45">
      <c r="A1320" s="257" t="s">
        <v>2011</v>
      </c>
      <c r="B1320" s="33" t="s">
        <v>1808</v>
      </c>
      <c r="C1320" s="33" t="s">
        <v>2012</v>
      </c>
      <c r="D1320" s="1066" t="s">
        <v>2123</v>
      </c>
      <c r="E1320" s="63" t="s">
        <v>2013</v>
      </c>
      <c r="F1320" s="118" t="s">
        <v>1811</v>
      </c>
      <c r="G1320" s="88" t="s">
        <v>1817</v>
      </c>
      <c r="H1320" s="258" t="s">
        <v>2213</v>
      </c>
      <c r="I1320" s="2"/>
    </row>
    <row r="1321" spans="1:16" ht="15.6">
      <c r="A1321" s="2241">
        <v>11965</v>
      </c>
      <c r="B1321" s="123">
        <v>0.1</v>
      </c>
      <c r="C1321" s="431" t="s">
        <v>2955</v>
      </c>
      <c r="D1321" s="1061" t="s">
        <v>2130</v>
      </c>
      <c r="E1321" s="1344">
        <v>1200000</v>
      </c>
      <c r="F1321" s="837">
        <v>0.03</v>
      </c>
      <c r="G1321" s="1304">
        <f t="shared" ref="G1321:G1353" si="64">E1321*F1321</f>
        <v>36000</v>
      </c>
      <c r="H1321" s="1061" t="s">
        <v>2761</v>
      </c>
      <c r="I1321" s="1061" t="s">
        <v>1971</v>
      </c>
      <c r="J1321" s="503"/>
      <c r="K1321" s="503"/>
      <c r="L1321" s="503"/>
      <c r="M1321" s="503"/>
      <c r="N1321" s="503"/>
      <c r="O1321" s="503"/>
      <c r="P1321" s="503"/>
    </row>
    <row r="1322" spans="1:16">
      <c r="A1322" s="639">
        <v>11969</v>
      </c>
      <c r="B1322" s="1205">
        <v>0.1</v>
      </c>
      <c r="C1322" s="573" t="s">
        <v>2738</v>
      </c>
      <c r="D1322" s="1143" t="s">
        <v>2130</v>
      </c>
      <c r="E1322" s="1474">
        <v>900000</v>
      </c>
      <c r="F1322" s="1687">
        <v>0.03</v>
      </c>
      <c r="G1322" s="1690">
        <f t="shared" si="64"/>
        <v>27000</v>
      </c>
      <c r="H1322" s="573" t="s">
        <v>748</v>
      </c>
      <c r="I1322" s="275" t="s">
        <v>1971</v>
      </c>
      <c r="J1322" s="503"/>
      <c r="K1322" s="503"/>
      <c r="L1322" s="503"/>
      <c r="M1322" s="503"/>
      <c r="N1322" s="503"/>
      <c r="O1322" s="503"/>
      <c r="P1322" s="503"/>
    </row>
    <row r="1323" spans="1:16">
      <c r="A1323" s="2253">
        <v>11985</v>
      </c>
      <c r="B1323" s="305">
        <v>0.1</v>
      </c>
      <c r="C1323" s="1442" t="s">
        <v>2918</v>
      </c>
      <c r="D1323" s="1027" t="s">
        <v>2111</v>
      </c>
      <c r="E1323" s="1313">
        <v>870000</v>
      </c>
      <c r="F1323" s="1687">
        <v>0.03</v>
      </c>
      <c r="G1323" s="1690">
        <f t="shared" si="64"/>
        <v>26100</v>
      </c>
      <c r="H1323" s="576" t="s">
        <v>2761</v>
      </c>
      <c r="I1323" s="67" t="s">
        <v>2124</v>
      </c>
      <c r="J1323" s="503"/>
      <c r="K1323" s="503"/>
      <c r="L1323" s="503"/>
      <c r="M1323" s="503"/>
      <c r="N1323" s="503"/>
      <c r="O1323" s="503"/>
      <c r="P1323" s="503"/>
    </row>
    <row r="1324" spans="1:16">
      <c r="A1324" s="2226">
        <v>11978</v>
      </c>
      <c r="B1324" s="1205">
        <v>0.1</v>
      </c>
      <c r="C1324" s="573" t="s">
        <v>2957</v>
      </c>
      <c r="D1324" s="1382" t="s">
        <v>2111</v>
      </c>
      <c r="E1324" s="1474">
        <v>1150000</v>
      </c>
      <c r="F1324" s="1687">
        <v>0.03</v>
      </c>
      <c r="G1324" s="1690">
        <f t="shared" si="64"/>
        <v>34500</v>
      </c>
      <c r="H1324" s="573" t="s">
        <v>2761</v>
      </c>
      <c r="I1324" s="1257" t="s">
        <v>2124</v>
      </c>
      <c r="J1324" s="503"/>
      <c r="K1324" s="503"/>
      <c r="L1324" s="503"/>
      <c r="M1324" s="503"/>
      <c r="N1324" s="503"/>
      <c r="O1324" s="503"/>
      <c r="P1324" s="503"/>
    </row>
    <row r="1325" spans="1:16">
      <c r="A1325" s="639">
        <v>11981</v>
      </c>
      <c r="B1325" s="1205">
        <v>0.1</v>
      </c>
      <c r="C1325" s="431" t="s">
        <v>2972</v>
      </c>
      <c r="D1325" s="1535" t="s">
        <v>2111</v>
      </c>
      <c r="E1325" s="1344">
        <v>1100000</v>
      </c>
      <c r="F1325" s="1687">
        <v>0.03</v>
      </c>
      <c r="G1325" s="1690">
        <f t="shared" si="64"/>
        <v>33000</v>
      </c>
      <c r="H1325" s="1061" t="s">
        <v>748</v>
      </c>
      <c r="I1325" s="1105" t="s">
        <v>2124</v>
      </c>
      <c r="J1325" s="503"/>
      <c r="K1325" s="503"/>
      <c r="L1325" s="503"/>
      <c r="M1325" s="503"/>
      <c r="N1325" s="503"/>
      <c r="O1325" s="503"/>
      <c r="P1325" s="503"/>
    </row>
    <row r="1326" spans="1:16" ht="15.6">
      <c r="A1326" s="2254">
        <v>11995</v>
      </c>
      <c r="B1326" s="273">
        <v>0.1</v>
      </c>
      <c r="C1326" s="576" t="s">
        <v>2920</v>
      </c>
      <c r="D1326" s="1179" t="s">
        <v>2130</v>
      </c>
      <c r="E1326" s="1313">
        <v>1500000</v>
      </c>
      <c r="F1326" s="1687">
        <v>0.03</v>
      </c>
      <c r="G1326" s="1690">
        <f t="shared" si="64"/>
        <v>45000</v>
      </c>
      <c r="H1326" s="576" t="s">
        <v>523</v>
      </c>
      <c r="I1326" s="275" t="s">
        <v>2124</v>
      </c>
      <c r="J1326" s="503"/>
      <c r="K1326" s="503"/>
      <c r="L1326" s="503"/>
      <c r="M1326" s="503"/>
      <c r="N1326" s="503"/>
      <c r="O1326" s="503"/>
      <c r="P1326" s="503"/>
    </row>
    <row r="1327" spans="1:16">
      <c r="A1327" s="554">
        <v>11997</v>
      </c>
      <c r="B1327" s="273">
        <v>0.1</v>
      </c>
      <c r="C1327" s="1229" t="s">
        <v>2973</v>
      </c>
      <c r="D1327" s="1540" t="s">
        <v>2130</v>
      </c>
      <c r="E1327" s="1310">
        <v>1000000</v>
      </c>
      <c r="F1327" s="1687">
        <v>0.03</v>
      </c>
      <c r="G1327" s="1690">
        <f t="shared" si="64"/>
        <v>30000</v>
      </c>
      <c r="H1327" s="573" t="s">
        <v>2761</v>
      </c>
      <c r="I1327" s="275" t="s">
        <v>2124</v>
      </c>
      <c r="J1327" s="503"/>
      <c r="K1327" s="503"/>
      <c r="L1327" s="503"/>
      <c r="M1327" s="503"/>
      <c r="N1327" s="503"/>
      <c r="O1327" s="503"/>
      <c r="P1327" s="503"/>
    </row>
    <row r="1328" spans="1:16">
      <c r="A1328" s="1536">
        <v>12007</v>
      </c>
      <c r="B1328" s="1624">
        <v>0.08</v>
      </c>
      <c r="C1328" s="942" t="s">
        <v>2958</v>
      </c>
      <c r="D1328" s="1143" t="s">
        <v>2111</v>
      </c>
      <c r="E1328" s="1474">
        <v>1350000</v>
      </c>
      <c r="F1328" s="1689">
        <v>0.02</v>
      </c>
      <c r="G1328" s="1690">
        <f t="shared" si="64"/>
        <v>27000</v>
      </c>
      <c r="H1328" s="573" t="s">
        <v>527</v>
      </c>
      <c r="I1328" s="751" t="s">
        <v>2124</v>
      </c>
      <c r="J1328" s="503"/>
      <c r="K1328" s="503"/>
      <c r="L1328" s="503"/>
      <c r="M1328" s="503"/>
      <c r="N1328" s="503"/>
      <c r="O1328" s="503"/>
      <c r="P1328" s="503"/>
    </row>
    <row r="1329" spans="1:16" ht="15.6">
      <c r="A1329" s="2255">
        <v>12036</v>
      </c>
      <c r="B1329" s="1205">
        <v>0.1</v>
      </c>
      <c r="C1329" s="1554" t="s">
        <v>2974</v>
      </c>
      <c r="D1329" s="1027" t="s">
        <v>2111</v>
      </c>
      <c r="E1329" s="1309">
        <v>1150000</v>
      </c>
      <c r="F1329" s="1687">
        <v>0.03</v>
      </c>
      <c r="G1329" s="1690">
        <f t="shared" si="64"/>
        <v>34500</v>
      </c>
      <c r="H1329" s="1214" t="s">
        <v>1485</v>
      </c>
      <c r="I1329" s="1061" t="s">
        <v>2124</v>
      </c>
      <c r="J1329" s="503"/>
      <c r="K1329" s="503"/>
      <c r="L1329" s="503"/>
      <c r="M1329" s="503"/>
      <c r="N1329" s="503"/>
      <c r="O1329" s="503"/>
      <c r="P1329" s="503"/>
    </row>
    <row r="1330" spans="1:16">
      <c r="A1330" s="2256">
        <v>12037</v>
      </c>
      <c r="B1330" s="305">
        <v>0.1</v>
      </c>
      <c r="C1330" s="942" t="s">
        <v>2923</v>
      </c>
      <c r="D1330" s="1135" t="s">
        <v>2111</v>
      </c>
      <c r="E1330" s="1320">
        <v>1100000</v>
      </c>
      <c r="F1330" s="1687">
        <v>0.03</v>
      </c>
      <c r="G1330" s="1690">
        <f t="shared" si="64"/>
        <v>33000</v>
      </c>
      <c r="H1330" s="342" t="s">
        <v>582</v>
      </c>
      <c r="I1330" s="1029" t="s">
        <v>2124</v>
      </c>
      <c r="J1330" s="503"/>
      <c r="K1330" s="503"/>
      <c r="L1330" s="503"/>
      <c r="M1330" s="503"/>
      <c r="N1330" s="503"/>
      <c r="O1330" s="503"/>
      <c r="P1330" s="503"/>
    </row>
    <row r="1331" spans="1:16" ht="15.6">
      <c r="A1331" s="1941">
        <v>12060</v>
      </c>
      <c r="B1331" s="1205">
        <v>0.1</v>
      </c>
      <c r="C1331" s="573" t="s">
        <v>2959</v>
      </c>
      <c r="D1331" s="1382" t="s">
        <v>2111</v>
      </c>
      <c r="E1331" s="1474">
        <v>700000</v>
      </c>
      <c r="F1331" s="1687">
        <v>0.03</v>
      </c>
      <c r="G1331" s="1690">
        <f t="shared" si="64"/>
        <v>21000</v>
      </c>
      <c r="H1331" s="573" t="s">
        <v>748</v>
      </c>
      <c r="I1331" s="1061" t="s">
        <v>2124</v>
      </c>
      <c r="J1331" s="503"/>
      <c r="K1331" s="503"/>
      <c r="L1331" s="503"/>
      <c r="M1331" s="503"/>
      <c r="N1331" s="503"/>
      <c r="O1331" s="503"/>
      <c r="P1331" s="503"/>
    </row>
    <row r="1332" spans="1:16">
      <c r="A1332" s="639">
        <v>12057</v>
      </c>
      <c r="B1332" s="1623">
        <v>0.08</v>
      </c>
      <c r="C1332" s="1229" t="s">
        <v>2960</v>
      </c>
      <c r="D1332" s="1382" t="s">
        <v>2111</v>
      </c>
      <c r="E1332" s="1474">
        <v>1400000</v>
      </c>
      <c r="F1332" s="1689">
        <v>0.02</v>
      </c>
      <c r="G1332" s="1690">
        <f t="shared" si="64"/>
        <v>28000</v>
      </c>
      <c r="H1332" s="573" t="s">
        <v>2961</v>
      </c>
      <c r="I1332" s="1061" t="s">
        <v>2124</v>
      </c>
      <c r="J1332" s="503"/>
      <c r="K1332" s="503"/>
      <c r="L1332" s="503"/>
      <c r="M1332" s="503"/>
      <c r="N1332" s="503"/>
      <c r="O1332" s="503"/>
      <c r="P1332" s="503"/>
    </row>
    <row r="1333" spans="1:16">
      <c r="A1333" s="553">
        <v>12074</v>
      </c>
      <c r="B1333" s="273">
        <v>0.1</v>
      </c>
      <c r="C1333" s="431" t="s">
        <v>2975</v>
      </c>
      <c r="D1333" s="576" t="s">
        <v>2111</v>
      </c>
      <c r="E1333" s="1314">
        <v>1100000</v>
      </c>
      <c r="F1333" s="1687">
        <v>0.03</v>
      </c>
      <c r="G1333" s="1690">
        <f t="shared" si="64"/>
        <v>33000</v>
      </c>
      <c r="H1333" s="576" t="s">
        <v>527</v>
      </c>
      <c r="I1333" s="1061" t="s">
        <v>2124</v>
      </c>
      <c r="J1333" s="503"/>
      <c r="K1333" s="503"/>
      <c r="L1333" s="503"/>
      <c r="M1333" s="503"/>
      <c r="N1333" s="503"/>
      <c r="O1333" s="503"/>
      <c r="P1333" s="503"/>
    </row>
    <row r="1334" spans="1:16">
      <c r="A1334" s="2257">
        <v>12089</v>
      </c>
      <c r="B1334" s="273">
        <v>0.1</v>
      </c>
      <c r="C1334" s="431" t="s">
        <v>2925</v>
      </c>
      <c r="D1334" s="576" t="s">
        <v>2111</v>
      </c>
      <c r="E1334" s="1476">
        <v>900000</v>
      </c>
      <c r="F1334" s="1687">
        <v>0.03</v>
      </c>
      <c r="G1334" s="1690">
        <f t="shared" si="64"/>
        <v>27000</v>
      </c>
      <c r="H1334" s="573" t="s">
        <v>527</v>
      </c>
      <c r="I1334" s="67" t="s">
        <v>2124</v>
      </c>
      <c r="J1334" s="503"/>
      <c r="K1334" s="503"/>
      <c r="L1334" s="503"/>
      <c r="M1334" s="503"/>
      <c r="N1334" s="503"/>
      <c r="O1334" s="503"/>
      <c r="P1334" s="503"/>
    </row>
    <row r="1335" spans="1:16">
      <c r="A1335" s="121">
        <v>12102</v>
      </c>
      <c r="B1335" s="1548">
        <v>0.1</v>
      </c>
      <c r="C1335" s="1442" t="s">
        <v>2964</v>
      </c>
      <c r="D1335" s="1179" t="s">
        <v>2111</v>
      </c>
      <c r="E1335" s="1309">
        <v>1600000</v>
      </c>
      <c r="F1335" s="1687">
        <v>0.03</v>
      </c>
      <c r="G1335" s="1690">
        <f t="shared" si="64"/>
        <v>48000</v>
      </c>
      <c r="H1335" s="1214" t="s">
        <v>523</v>
      </c>
      <c r="I1335" s="1061" t="s">
        <v>2124</v>
      </c>
      <c r="J1335" s="503"/>
      <c r="K1335" s="503"/>
      <c r="L1335" s="503"/>
      <c r="M1335" s="503"/>
      <c r="N1335" s="503"/>
      <c r="O1335" s="503"/>
      <c r="P1335" s="503"/>
    </row>
    <row r="1336" spans="1:16" ht="15.6">
      <c r="A1336" s="1941">
        <v>12108</v>
      </c>
      <c r="B1336" s="413">
        <v>0.1</v>
      </c>
      <c r="C1336" s="968" t="s">
        <v>2962</v>
      </c>
      <c r="D1336" s="1143" t="s">
        <v>2111</v>
      </c>
      <c r="E1336" s="1474">
        <v>1000000</v>
      </c>
      <c r="F1336" s="1687">
        <v>0.03</v>
      </c>
      <c r="G1336" s="1690">
        <f t="shared" si="64"/>
        <v>30000</v>
      </c>
      <c r="H1336" s="573" t="s">
        <v>527</v>
      </c>
      <c r="I1336" s="1029" t="s">
        <v>2124</v>
      </c>
      <c r="J1336" s="503"/>
      <c r="K1336" s="503"/>
      <c r="L1336" s="503"/>
      <c r="M1336" s="503"/>
      <c r="N1336" s="503"/>
      <c r="O1336" s="503"/>
      <c r="P1336" s="503"/>
    </row>
    <row r="1337" spans="1:16">
      <c r="A1337" s="121">
        <v>12113</v>
      </c>
      <c r="B1337" s="413">
        <v>0.1</v>
      </c>
      <c r="C1337" s="1143" t="s">
        <v>2927</v>
      </c>
      <c r="D1337" s="1027" t="s">
        <v>2111</v>
      </c>
      <c r="E1337" s="1320">
        <v>1730000</v>
      </c>
      <c r="F1337" s="1687">
        <v>0.03</v>
      </c>
      <c r="G1337" s="1690">
        <f t="shared" si="64"/>
        <v>51900</v>
      </c>
      <c r="H1337" s="573" t="s">
        <v>527</v>
      </c>
      <c r="I1337" s="777" t="s">
        <v>2124</v>
      </c>
      <c r="J1337" s="503"/>
      <c r="K1337" s="503"/>
      <c r="L1337" s="503"/>
      <c r="M1337" s="503"/>
      <c r="N1337" s="503"/>
      <c r="O1337" s="503"/>
      <c r="P1337" s="503"/>
    </row>
    <row r="1338" spans="1:16">
      <c r="A1338" s="121">
        <v>12112</v>
      </c>
      <c r="B1338" s="728">
        <v>0.1</v>
      </c>
      <c r="C1338" s="885" t="s">
        <v>2928</v>
      </c>
      <c r="D1338" s="1163" t="s">
        <v>2111</v>
      </c>
      <c r="E1338" s="1476">
        <v>730000</v>
      </c>
      <c r="F1338" s="1687">
        <v>0.03</v>
      </c>
      <c r="G1338" s="1690">
        <f t="shared" si="64"/>
        <v>21900</v>
      </c>
      <c r="H1338" s="573" t="s">
        <v>748</v>
      </c>
      <c r="I1338" s="1061" t="s">
        <v>2124</v>
      </c>
      <c r="J1338" s="503"/>
      <c r="K1338" s="503"/>
      <c r="L1338" s="503"/>
      <c r="M1338" s="503"/>
      <c r="N1338" s="503"/>
      <c r="O1338" s="503"/>
      <c r="P1338" s="503"/>
    </row>
    <row r="1339" spans="1:16">
      <c r="A1339" s="2257">
        <v>12114</v>
      </c>
      <c r="B1339" s="1561">
        <v>0.1</v>
      </c>
      <c r="C1339" s="431" t="s">
        <v>2963</v>
      </c>
      <c r="D1339" s="1143" t="s">
        <v>2111</v>
      </c>
      <c r="E1339" s="1474">
        <v>900000</v>
      </c>
      <c r="F1339" s="1687">
        <v>0.03</v>
      </c>
      <c r="G1339" s="1690">
        <f t="shared" si="64"/>
        <v>27000</v>
      </c>
      <c r="H1339" s="573" t="s">
        <v>527</v>
      </c>
      <c r="I1339" s="1061" t="s">
        <v>2124</v>
      </c>
      <c r="J1339" s="503"/>
      <c r="K1339" s="503"/>
      <c r="L1339" s="503"/>
      <c r="M1339" s="503"/>
      <c r="N1339" s="503"/>
      <c r="O1339" s="503"/>
      <c r="P1339" s="503"/>
    </row>
    <row r="1340" spans="1:16">
      <c r="A1340" s="639">
        <v>12123</v>
      </c>
      <c r="B1340" s="413">
        <v>0.1</v>
      </c>
      <c r="C1340" s="1229" t="s">
        <v>2926</v>
      </c>
      <c r="D1340" s="1027" t="s">
        <v>2111</v>
      </c>
      <c r="E1340" s="1617">
        <v>1400000</v>
      </c>
      <c r="F1340" s="1687">
        <v>0.03</v>
      </c>
      <c r="G1340" s="1690">
        <f t="shared" si="64"/>
        <v>42000</v>
      </c>
      <c r="H1340" s="576" t="s">
        <v>523</v>
      </c>
      <c r="I1340" s="1583" t="s">
        <v>2124</v>
      </c>
      <c r="J1340" s="503"/>
      <c r="K1340" s="503"/>
      <c r="L1340" s="503"/>
      <c r="M1340" s="503"/>
      <c r="N1340" s="503"/>
      <c r="O1340" s="503"/>
      <c r="P1340" s="503"/>
    </row>
    <row r="1341" spans="1:16" ht="15.6">
      <c r="A1341" s="1942">
        <v>12127</v>
      </c>
      <c r="B1341" s="305">
        <v>0.1</v>
      </c>
      <c r="C1341" s="518" t="s">
        <v>2929</v>
      </c>
      <c r="D1341" s="1027" t="s">
        <v>2111</v>
      </c>
      <c r="E1341" s="1320">
        <v>1200000</v>
      </c>
      <c r="F1341" s="1687">
        <v>0.03</v>
      </c>
      <c r="G1341" s="1690">
        <f t="shared" si="64"/>
        <v>36000</v>
      </c>
      <c r="H1341" s="573" t="s">
        <v>748</v>
      </c>
      <c r="I1341" s="777" t="s">
        <v>2124</v>
      </c>
      <c r="J1341" s="503"/>
      <c r="K1341" s="503"/>
      <c r="L1341" s="503"/>
      <c r="M1341" s="503"/>
      <c r="N1341" s="503"/>
      <c r="O1341" s="503"/>
      <c r="P1341" s="503"/>
    </row>
    <row r="1342" spans="1:16">
      <c r="A1342" s="639">
        <v>12139</v>
      </c>
      <c r="B1342" s="273">
        <v>0.1</v>
      </c>
      <c r="C1342" s="431" t="s">
        <v>2966</v>
      </c>
      <c r="D1342" s="576" t="s">
        <v>2111</v>
      </c>
      <c r="E1342" s="1673">
        <v>1100000</v>
      </c>
      <c r="F1342" s="1687">
        <v>0.03</v>
      </c>
      <c r="G1342" s="1690">
        <f t="shared" si="64"/>
        <v>33000</v>
      </c>
      <c r="H1342" s="1214" t="s">
        <v>523</v>
      </c>
      <c r="I1342" s="1061" t="s">
        <v>1971</v>
      </c>
      <c r="J1342" s="503"/>
      <c r="K1342" s="503"/>
      <c r="L1342" s="503"/>
      <c r="M1342" s="503"/>
      <c r="N1342" s="503"/>
      <c r="O1342" s="503"/>
      <c r="P1342" s="503"/>
    </row>
    <row r="1343" spans="1:16" ht="15.6">
      <c r="A1343" s="2241">
        <v>12140</v>
      </c>
      <c r="B1343" s="305">
        <v>0.1</v>
      </c>
      <c r="C1343" s="518" t="s">
        <v>2976</v>
      </c>
      <c r="D1343" s="1255" t="s">
        <v>2111</v>
      </c>
      <c r="E1343" s="1674">
        <v>1000000</v>
      </c>
      <c r="F1343" s="1687">
        <v>0.03</v>
      </c>
      <c r="G1343" s="1690">
        <f t="shared" si="64"/>
        <v>30000</v>
      </c>
      <c r="H1343" s="341" t="s">
        <v>582</v>
      </c>
      <c r="I1343" s="1258" t="s">
        <v>2124</v>
      </c>
      <c r="J1343" s="503"/>
      <c r="K1343" s="503"/>
      <c r="L1343" s="503"/>
      <c r="M1343" s="503"/>
      <c r="N1343" s="503"/>
      <c r="O1343" s="503"/>
      <c r="P1343" s="503"/>
    </row>
    <row r="1344" spans="1:16">
      <c r="A1344" s="639">
        <v>12146</v>
      </c>
      <c r="B1344" s="1205">
        <v>0.1</v>
      </c>
      <c r="C1344" s="968" t="s">
        <v>2967</v>
      </c>
      <c r="D1344" s="1143" t="s">
        <v>2111</v>
      </c>
      <c r="E1344" s="1310">
        <v>1300000</v>
      </c>
      <c r="F1344" s="1687">
        <v>0.03</v>
      </c>
      <c r="G1344" s="1690">
        <f t="shared" si="64"/>
        <v>39000</v>
      </c>
      <c r="H1344" s="573" t="s">
        <v>582</v>
      </c>
      <c r="I1344" s="1258" t="s">
        <v>2124</v>
      </c>
      <c r="J1344" s="503"/>
      <c r="K1344" s="503"/>
      <c r="L1344" s="503"/>
      <c r="M1344" s="503"/>
      <c r="N1344" s="503"/>
      <c r="O1344" s="503"/>
      <c r="P1344" s="503"/>
    </row>
    <row r="1345" spans="1:16">
      <c r="A1345" s="639">
        <v>12151</v>
      </c>
      <c r="B1345" s="273">
        <v>0.1</v>
      </c>
      <c r="C1345" s="1229" t="s">
        <v>2930</v>
      </c>
      <c r="D1345" s="576" t="s">
        <v>2111</v>
      </c>
      <c r="E1345" s="1313">
        <v>1400000</v>
      </c>
      <c r="F1345" s="1687">
        <v>0.03</v>
      </c>
      <c r="G1345" s="1690">
        <f t="shared" si="64"/>
        <v>42000</v>
      </c>
      <c r="H1345" s="576" t="s">
        <v>2759</v>
      </c>
      <c r="I1345" s="1258" t="s">
        <v>2124</v>
      </c>
      <c r="J1345" s="503"/>
      <c r="K1345" s="503"/>
      <c r="L1345" s="503"/>
      <c r="M1345" s="503"/>
      <c r="N1345" s="503"/>
      <c r="O1345" s="503"/>
      <c r="P1345" s="503"/>
    </row>
    <row r="1346" spans="1:16">
      <c r="A1346" s="639">
        <v>12155</v>
      </c>
      <c r="B1346" s="954">
        <v>0.1</v>
      </c>
      <c r="C1346" s="431" t="s">
        <v>2977</v>
      </c>
      <c r="D1346" s="576" t="s">
        <v>2111</v>
      </c>
      <c r="E1346" s="1476">
        <v>1250000</v>
      </c>
      <c r="F1346" s="1687">
        <v>0.03</v>
      </c>
      <c r="G1346" s="1690">
        <f t="shared" si="64"/>
        <v>37500</v>
      </c>
      <c r="H1346" s="573" t="s">
        <v>523</v>
      </c>
      <c r="I1346" s="777" t="s">
        <v>2124</v>
      </c>
      <c r="J1346" s="503"/>
      <c r="K1346" s="503"/>
      <c r="L1346" s="503"/>
      <c r="M1346" s="503"/>
      <c r="N1346" s="503"/>
      <c r="O1346" s="503"/>
      <c r="P1346" s="503"/>
    </row>
    <row r="1347" spans="1:16">
      <c r="A1347" s="65">
        <v>12154</v>
      </c>
      <c r="B1347" s="954">
        <v>0.1</v>
      </c>
      <c r="C1347" s="885" t="s">
        <v>2978</v>
      </c>
      <c r="D1347" s="1163" t="s">
        <v>2111</v>
      </c>
      <c r="E1347" s="1476">
        <v>1250000</v>
      </c>
      <c r="F1347" s="1687">
        <v>0.03</v>
      </c>
      <c r="G1347" s="1690">
        <f t="shared" si="64"/>
        <v>37500</v>
      </c>
      <c r="H1347" s="573" t="s">
        <v>748</v>
      </c>
      <c r="I1347" s="777" t="s">
        <v>2124</v>
      </c>
      <c r="J1347" s="503"/>
      <c r="K1347" s="503"/>
      <c r="L1347" s="503"/>
      <c r="M1347" s="503"/>
      <c r="N1347" s="503"/>
      <c r="O1347" s="503"/>
      <c r="P1347" s="503"/>
    </row>
    <row r="1348" spans="1:16">
      <c r="A1348" s="65">
        <v>12176</v>
      </c>
      <c r="B1348" s="273">
        <v>0.1</v>
      </c>
      <c r="C1348" s="431" t="s">
        <v>2936</v>
      </c>
      <c r="D1348" s="1027" t="s">
        <v>2111</v>
      </c>
      <c r="E1348" s="1320">
        <v>1000000</v>
      </c>
      <c r="F1348" s="1687">
        <v>0.03</v>
      </c>
      <c r="G1348" s="1690">
        <f t="shared" si="64"/>
        <v>30000</v>
      </c>
      <c r="H1348" s="573" t="s">
        <v>527</v>
      </c>
      <c r="I1348" s="1583" t="s">
        <v>2124</v>
      </c>
      <c r="J1348" s="503"/>
      <c r="K1348" s="503"/>
      <c r="L1348" s="503"/>
      <c r="M1348" s="503"/>
      <c r="N1348" s="503"/>
      <c r="O1348" s="503"/>
      <c r="P1348" s="503"/>
    </row>
    <row r="1349" spans="1:16">
      <c r="A1349" s="2257">
        <v>12156</v>
      </c>
      <c r="B1349" s="954">
        <v>0.1</v>
      </c>
      <c r="C1349" s="431" t="s">
        <v>2979</v>
      </c>
      <c r="D1349" s="1027" t="s">
        <v>2111</v>
      </c>
      <c r="E1349" s="1476">
        <v>1050000</v>
      </c>
      <c r="F1349" s="1687">
        <v>0.03</v>
      </c>
      <c r="G1349" s="1690">
        <f t="shared" si="64"/>
        <v>31500</v>
      </c>
      <c r="H1349" s="573" t="s">
        <v>2761</v>
      </c>
      <c r="I1349" s="777" t="s">
        <v>2124</v>
      </c>
      <c r="J1349" s="503"/>
      <c r="K1349" s="503"/>
      <c r="L1349" s="503"/>
      <c r="M1349" s="503"/>
      <c r="N1349" s="503"/>
      <c r="O1349" s="503"/>
      <c r="P1349" s="503"/>
    </row>
    <row r="1350" spans="1:16">
      <c r="A1350" s="170">
        <v>12164</v>
      </c>
      <c r="B1350" s="1548">
        <v>0.1</v>
      </c>
      <c r="C1350" s="1525" t="s">
        <v>2968</v>
      </c>
      <c r="D1350" s="1534" t="s">
        <v>2111</v>
      </c>
      <c r="E1350" s="1315">
        <v>1200000</v>
      </c>
      <c r="F1350" s="1687">
        <v>0.03</v>
      </c>
      <c r="G1350" s="1690">
        <f t="shared" si="64"/>
        <v>36000</v>
      </c>
      <c r="H1350" s="573" t="s">
        <v>523</v>
      </c>
      <c r="I1350" s="777" t="s">
        <v>2124</v>
      </c>
      <c r="J1350" s="503"/>
      <c r="K1350" s="503"/>
      <c r="L1350" s="503"/>
      <c r="M1350" s="503"/>
      <c r="N1350" s="503"/>
      <c r="O1350" s="503"/>
      <c r="P1350" s="503"/>
    </row>
    <row r="1351" spans="1:16" ht="27">
      <c r="A1351" s="121">
        <v>12181</v>
      </c>
      <c r="B1351" s="273">
        <v>0.1</v>
      </c>
      <c r="C1351" s="431" t="s">
        <v>2980</v>
      </c>
      <c r="D1351" s="1163" t="s">
        <v>2111</v>
      </c>
      <c r="E1351" s="1476">
        <v>1250000</v>
      </c>
      <c r="F1351" s="1687">
        <v>0.03</v>
      </c>
      <c r="G1351" s="1690">
        <f t="shared" si="64"/>
        <v>37500</v>
      </c>
      <c r="H1351" s="573" t="s">
        <v>527</v>
      </c>
      <c r="I1351" s="777" t="s">
        <v>2124</v>
      </c>
      <c r="J1351" s="503"/>
      <c r="K1351" s="503"/>
      <c r="L1351" s="503"/>
      <c r="M1351" s="503"/>
      <c r="N1351" s="503"/>
      <c r="O1351" s="503"/>
      <c r="P1351" s="503"/>
    </row>
    <row r="1352" spans="1:16" ht="15.6">
      <c r="A1352" s="1941">
        <v>12195</v>
      </c>
      <c r="B1352" s="273">
        <v>0.1</v>
      </c>
      <c r="C1352" s="431" t="s">
        <v>2937</v>
      </c>
      <c r="D1352" s="1163" t="s">
        <v>2111</v>
      </c>
      <c r="E1352" s="1476">
        <v>1200000</v>
      </c>
      <c r="F1352" s="1687">
        <v>0.03</v>
      </c>
      <c r="G1352" s="1672">
        <f t="shared" si="64"/>
        <v>36000</v>
      </c>
      <c r="H1352" s="573" t="s">
        <v>748</v>
      </c>
      <c r="I1352" s="1583" t="s">
        <v>2124</v>
      </c>
      <c r="J1352" s="503"/>
      <c r="K1352" s="503"/>
      <c r="L1352" s="503"/>
      <c r="M1352" s="503"/>
      <c r="N1352" s="503"/>
      <c r="O1352" s="503"/>
      <c r="P1352" s="503"/>
    </row>
    <row r="1353" spans="1:16">
      <c r="A1353" s="75">
        <v>12194</v>
      </c>
      <c r="B1353" s="1205">
        <v>0.1</v>
      </c>
      <c r="C1353" s="968" t="s">
        <v>2970</v>
      </c>
      <c r="D1353" s="1700" t="s">
        <v>2111</v>
      </c>
      <c r="E1353" s="1310">
        <v>950000</v>
      </c>
      <c r="F1353" s="314">
        <v>0.03</v>
      </c>
      <c r="G1353" s="511">
        <f t="shared" si="64"/>
        <v>28500</v>
      </c>
      <c r="H1353" s="573" t="s">
        <v>527</v>
      </c>
      <c r="I1353" s="67" t="s">
        <v>2124</v>
      </c>
      <c r="J1353" s="503"/>
      <c r="K1353" s="503"/>
      <c r="L1353" s="503"/>
      <c r="M1353" s="503"/>
      <c r="N1353" s="503"/>
      <c r="O1353" s="503"/>
      <c r="P1353" s="503"/>
    </row>
    <row r="1354" spans="1:16">
      <c r="A1354" s="2258"/>
      <c r="B1354" s="721"/>
      <c r="C1354" s="1212"/>
      <c r="D1354" s="1073"/>
      <c r="E1354" s="1325"/>
      <c r="F1354" s="491"/>
      <c r="G1354" s="491"/>
      <c r="H1354" s="957"/>
      <c r="I1354" s="1044"/>
    </row>
    <row r="1355" spans="1:16">
      <c r="A1355" s="2232"/>
      <c r="B1355" s="171"/>
      <c r="C1355" s="171"/>
      <c r="D1355" s="1109" t="s">
        <v>2271</v>
      </c>
      <c r="E1355" s="1326">
        <f>SUM(E1321:E1353)</f>
        <v>37930000</v>
      </c>
      <c r="F1355" s="490"/>
      <c r="G1355" s="493">
        <f>SUM(G1321:G1353)</f>
        <v>1110400</v>
      </c>
      <c r="H1355" s="957"/>
      <c r="I1355" s="260"/>
    </row>
    <row r="1356" spans="1:16" ht="15.6">
      <c r="A1356" s="257"/>
      <c r="B1356" s="171"/>
      <c r="C1356" s="171"/>
      <c r="D1356" s="1110" t="s">
        <v>2154</v>
      </c>
      <c r="E1356" s="487">
        <f>G1355</f>
        <v>1110400</v>
      </c>
      <c r="F1356" s="11"/>
      <c r="G1356" s="11"/>
      <c r="H1356" s="2"/>
      <c r="I1356" s="2"/>
    </row>
    <row r="1359" spans="1:16" ht="18">
      <c r="A1359" s="2910" t="s">
        <v>2510</v>
      </c>
      <c r="B1359" s="2911"/>
      <c r="C1359" s="2911"/>
      <c r="D1359" s="2911"/>
      <c r="E1359" s="2911"/>
      <c r="F1359" s="11"/>
    </row>
    <row r="1360" spans="1:16" ht="18">
      <c r="A1360" s="1396" t="s">
        <v>2511</v>
      </c>
      <c r="B1360" s="1396" t="s">
        <v>2013</v>
      </c>
      <c r="C1360" s="1396" t="s">
        <v>2512</v>
      </c>
      <c r="D1360" s="1397" t="s">
        <v>2513</v>
      </c>
      <c r="E1360" s="1398" t="s">
        <v>2125</v>
      </c>
      <c r="F1360" s="11"/>
    </row>
    <row r="1361" spans="1:6" ht="15.6">
      <c r="A1361" s="2259">
        <v>7281229</v>
      </c>
      <c r="B1361" s="1522" t="s">
        <v>2981</v>
      </c>
      <c r="C1361" s="1521" t="s">
        <v>2982</v>
      </c>
      <c r="D1361" s="1521" t="s">
        <v>2983</v>
      </c>
      <c r="E1361" s="1523" t="s">
        <v>2430</v>
      </c>
      <c r="F1361" s="117"/>
    </row>
    <row r="1362" spans="1:6" ht="15.6">
      <c r="A1362" s="257">
        <v>7281269</v>
      </c>
      <c r="B1362" s="1496">
        <v>870000</v>
      </c>
      <c r="C1362" s="11" t="s">
        <v>2984</v>
      </c>
      <c r="D1362" s="11" t="s">
        <v>2985</v>
      </c>
      <c r="E1362" s="1394" t="s">
        <v>2822</v>
      </c>
      <c r="F1362" s="117"/>
    </row>
    <row r="1363" spans="1:6" ht="15.6">
      <c r="A1363" s="2260">
        <v>7299738</v>
      </c>
      <c r="B1363" s="1500">
        <v>900000</v>
      </c>
      <c r="C1363" s="1212" t="s">
        <v>2986</v>
      </c>
      <c r="D1363" s="1501" t="s">
        <v>2987</v>
      </c>
      <c r="E1363" s="1501" t="s">
        <v>2673</v>
      </c>
      <c r="F1363" s="117"/>
    </row>
    <row r="1364" spans="1:6" ht="15.6">
      <c r="A1364" s="2261">
        <v>7243214</v>
      </c>
      <c r="B1364" s="1587">
        <v>1600000</v>
      </c>
      <c r="C1364" s="1394" t="s">
        <v>2988</v>
      </c>
      <c r="D1364" s="1394" t="s">
        <v>2989</v>
      </c>
      <c r="E1364" s="1394" t="s">
        <v>2430</v>
      </c>
      <c r="F1364" s="117"/>
    </row>
    <row r="1365" spans="1:6" ht="15.6">
      <c r="A1365" s="2249"/>
      <c r="B1365" s="1395"/>
      <c r="C1365" s="701"/>
      <c r="D1365" s="1394"/>
      <c r="E1365" s="1394"/>
      <c r="F1365" s="117"/>
    </row>
    <row r="1366" spans="1:6" ht="15.6">
      <c r="A1366" s="2249"/>
      <c r="B1366" s="1395"/>
      <c r="C1366" s="701"/>
      <c r="D1366" s="1394"/>
      <c r="E1366" s="1394"/>
      <c r="F1366" s="117"/>
    </row>
    <row r="1367" spans="1:6">
      <c r="A1367" s="2242"/>
      <c r="B1367" s="1392"/>
      <c r="C1367" s="1212"/>
      <c r="D1367" s="1212"/>
      <c r="E1367" s="1212"/>
      <c r="F1367" s="883"/>
    </row>
    <row r="1368" spans="1:6" ht="18">
      <c r="A1368" s="1393"/>
      <c r="B1368" s="871"/>
      <c r="C1368" s="871"/>
      <c r="D1368" s="1170"/>
      <c r="E1368" s="880"/>
      <c r="F1368" s="11"/>
    </row>
    <row r="1369" spans="1:6" ht="18">
      <c r="A1369" s="871"/>
      <c r="B1369" s="871"/>
      <c r="C1369" s="871"/>
      <c r="D1369" s="1170"/>
      <c r="E1369" s="10"/>
      <c r="F1369" s="11"/>
    </row>
    <row r="1371" spans="1:6">
      <c r="A1371" s="2922" t="s">
        <v>1898</v>
      </c>
      <c r="B1371" s="3112"/>
      <c r="C1371" s="79"/>
      <c r="D1371" s="1222">
        <f>E1355</f>
        <v>37930000</v>
      </c>
    </row>
    <row r="1372" spans="1:6">
      <c r="A1372" s="2923" t="s">
        <v>1899</v>
      </c>
      <c r="B1372" s="3113"/>
      <c r="C1372" s="41"/>
      <c r="D1372" s="1405"/>
    </row>
    <row r="1373" spans="1:6">
      <c r="A1373" s="2924" t="s">
        <v>1900</v>
      </c>
      <c r="B1373" s="3114"/>
      <c r="C1373" s="45"/>
      <c r="D1373" s="1406"/>
    </row>
    <row r="1374" spans="1:6">
      <c r="A1374" s="2807" t="s">
        <v>1901</v>
      </c>
      <c r="B1374" s="2912"/>
      <c r="C1374" s="637"/>
      <c r="D1374" s="1541"/>
    </row>
    <row r="1375" spans="1:6">
      <c r="A1375" s="2913" t="s">
        <v>1902</v>
      </c>
      <c r="B1375" s="3115"/>
      <c r="C1375" s="1481"/>
      <c r="D1375" s="714"/>
    </row>
    <row r="1376" spans="1:6">
      <c r="A1376" s="2262" t="s">
        <v>1903</v>
      </c>
      <c r="B1376" s="1746"/>
      <c r="C1376" s="1481"/>
      <c r="D1376" s="714"/>
    </row>
    <row r="1377" spans="1:17">
      <c r="A1377" s="2176"/>
      <c r="B1377" s="43" t="s">
        <v>1904</v>
      </c>
      <c r="C1377" s="43"/>
      <c r="D1377" s="1130" t="s">
        <v>1968</v>
      </c>
    </row>
    <row r="1384" spans="1:17" ht="46.15">
      <c r="A1384" s="2950" t="s">
        <v>2990</v>
      </c>
      <c r="B1384" s="2950"/>
      <c r="C1384" s="2950"/>
      <c r="D1384" s="2950"/>
      <c r="E1384" s="2950"/>
      <c r="F1384" s="2950"/>
      <c r="G1384" s="2950"/>
      <c r="H1384" s="2950"/>
      <c r="I1384" s="2950"/>
      <c r="J1384" s="2950"/>
      <c r="O1384" s="1"/>
    </row>
    <row r="1385" spans="1:17">
      <c r="O1385" s="1"/>
    </row>
    <row r="1386" spans="1:17" ht="21">
      <c r="A1386" s="2943" t="s">
        <v>1804</v>
      </c>
      <c r="B1386" s="2943"/>
      <c r="C1386" s="2943"/>
      <c r="D1386" s="2951"/>
      <c r="E1386" s="2943"/>
      <c r="F1386" s="2943"/>
      <c r="G1386" s="2943"/>
      <c r="H1386" s="2943"/>
      <c r="I1386" s="2943"/>
      <c r="J1386" s="2943"/>
      <c r="K1386" s="2819" t="s">
        <v>1805</v>
      </c>
      <c r="L1386" s="2819"/>
      <c r="M1386" s="2819"/>
      <c r="N1386" s="2819"/>
      <c r="O1386" s="2"/>
    </row>
    <row r="1387" spans="1:17">
      <c r="A1387" s="2218" t="s">
        <v>1806</v>
      </c>
      <c r="B1387" s="1634" t="s">
        <v>1807</v>
      </c>
      <c r="C1387" s="783" t="s">
        <v>1837</v>
      </c>
      <c r="D1387" s="1056" t="s">
        <v>1809</v>
      </c>
      <c r="E1387" s="779" t="s">
        <v>1810</v>
      </c>
      <c r="F1387" s="1634" t="s">
        <v>1811</v>
      </c>
      <c r="G1387" s="167" t="s">
        <v>1812</v>
      </c>
      <c r="H1387" s="1634" t="s">
        <v>1813</v>
      </c>
      <c r="I1387" s="1634" t="s">
        <v>1814</v>
      </c>
      <c r="J1387" s="1634" t="s">
        <v>1815</v>
      </c>
      <c r="K1387" s="26" t="s">
        <v>1807</v>
      </c>
      <c r="L1387" s="26" t="s">
        <v>1809</v>
      </c>
      <c r="M1387" s="26" t="s">
        <v>1816</v>
      </c>
      <c r="N1387" s="259" t="s">
        <v>1811</v>
      </c>
      <c r="O1387" s="260" t="s">
        <v>1817</v>
      </c>
    </row>
    <row r="1388" spans="1:17" ht="27">
      <c r="A1388" s="2263"/>
      <c r="B1388" s="770"/>
      <c r="C1388" s="1197"/>
      <c r="D1388" s="1219" t="s">
        <v>2991</v>
      </c>
      <c r="E1388" s="1616"/>
      <c r="F1388" s="705"/>
      <c r="G1388" s="706"/>
      <c r="H1388" s="1456"/>
      <c r="I1388" s="1805" t="s">
        <v>2363</v>
      </c>
      <c r="J1388" s="1747"/>
      <c r="K1388" s="1997">
        <v>12292</v>
      </c>
      <c r="L1388" s="910" t="s">
        <v>2992</v>
      </c>
      <c r="M1388" s="1310">
        <v>1000000</v>
      </c>
      <c r="N1388" s="302">
        <v>0.05</v>
      </c>
      <c r="O1388" s="655">
        <f>M1388*N1388</f>
        <v>50000</v>
      </c>
      <c r="P1388" s="1177"/>
      <c r="Q1388" s="503"/>
    </row>
    <row r="1389" spans="1:17" ht="27">
      <c r="A1389" s="2263"/>
      <c r="B1389" s="770"/>
      <c r="C1389" s="1197"/>
      <c r="D1389" s="1778" t="s">
        <v>2993</v>
      </c>
      <c r="E1389" s="1616"/>
      <c r="F1389" s="705"/>
      <c r="G1389" s="706"/>
      <c r="H1389" s="1456"/>
      <c r="I1389" s="1805" t="s">
        <v>2363</v>
      </c>
      <c r="J1389" s="1747"/>
      <c r="K1389" s="1997">
        <v>12331</v>
      </c>
      <c r="L1389" s="910" t="s">
        <v>2994</v>
      </c>
      <c r="M1389" s="1317">
        <v>1100000</v>
      </c>
      <c r="N1389" s="302">
        <v>0.05</v>
      </c>
      <c r="O1389" s="655">
        <f t="shared" ref="O1389:O1391" si="65">M1389*N1389</f>
        <v>55000</v>
      </c>
      <c r="P1389" s="1177"/>
      <c r="Q1389" s="503"/>
    </row>
    <row r="1390" spans="1:17" ht="27">
      <c r="A1390" s="2263"/>
      <c r="B1390" s="770"/>
      <c r="C1390" s="1197"/>
      <c r="D1390" s="1773" t="s">
        <v>2995</v>
      </c>
      <c r="E1390" s="1644"/>
      <c r="F1390" s="336"/>
      <c r="G1390" s="379"/>
      <c r="H1390" s="1353"/>
      <c r="I1390" s="1806" t="s">
        <v>2363</v>
      </c>
      <c r="J1390" s="1747"/>
      <c r="K1390" s="1997">
        <v>12367</v>
      </c>
      <c r="L1390" s="995" t="s">
        <v>2996</v>
      </c>
      <c r="M1390" s="1603">
        <v>1300000</v>
      </c>
      <c r="N1390" s="302">
        <v>0.05</v>
      </c>
      <c r="O1390" s="655">
        <f t="shared" si="65"/>
        <v>65000</v>
      </c>
      <c r="P1390" s="299"/>
      <c r="Q1390" s="503"/>
    </row>
    <row r="1391" spans="1:17" ht="27">
      <c r="A1391" s="2263"/>
      <c r="B1391" s="770"/>
      <c r="C1391" s="1197"/>
      <c r="D1391" s="714" t="s">
        <v>2997</v>
      </c>
      <c r="E1391" s="1717"/>
      <c r="F1391" s="336"/>
      <c r="G1391" s="379"/>
      <c r="H1391" s="350"/>
      <c r="I1391" s="1807" t="s">
        <v>2363</v>
      </c>
      <c r="J1391" s="1747"/>
      <c r="K1391" s="1998">
        <v>12376</v>
      </c>
      <c r="L1391" s="1206" t="s">
        <v>2998</v>
      </c>
      <c r="M1391" s="1900">
        <v>1100000</v>
      </c>
      <c r="N1391" s="302">
        <v>0.05</v>
      </c>
      <c r="O1391" s="655">
        <f t="shared" si="65"/>
        <v>55000</v>
      </c>
      <c r="P1391" s="503"/>
      <c r="Q1391" s="503"/>
    </row>
    <row r="1392" spans="1:17" ht="27">
      <c r="A1392" s="2263"/>
      <c r="B1392" s="770"/>
      <c r="C1392" s="1197"/>
      <c r="D1392" s="1142" t="s">
        <v>2999</v>
      </c>
      <c r="E1392" s="1644"/>
      <c r="F1392" s="1698"/>
      <c r="G1392" s="706"/>
      <c r="H1392" s="607"/>
      <c r="I1392" s="1808" t="s">
        <v>2363</v>
      </c>
      <c r="J1392" s="1747"/>
      <c r="K1392" s="118"/>
      <c r="L1392" s="1747"/>
      <c r="M1392" s="1747"/>
      <c r="N1392" s="1747"/>
      <c r="O1392" s="2"/>
    </row>
    <row r="1393" spans="1:17" ht="27">
      <c r="A1393" s="2263"/>
      <c r="B1393" s="770"/>
      <c r="C1393" s="1197"/>
      <c r="D1393" s="894" t="s">
        <v>3000</v>
      </c>
      <c r="E1393" s="1644"/>
      <c r="F1393" s="1697"/>
      <c r="G1393" s="379"/>
      <c r="H1393" s="592"/>
      <c r="I1393" s="1807" t="s">
        <v>2363</v>
      </c>
      <c r="J1393" s="1747"/>
      <c r="K1393" s="118"/>
      <c r="L1393" s="1747"/>
      <c r="M1393" s="1747"/>
      <c r="N1393" s="1747"/>
      <c r="O1393" s="2"/>
    </row>
    <row r="1394" spans="1:17" ht="25.5" customHeight="1">
      <c r="A1394" s="2264" t="s">
        <v>2274</v>
      </c>
      <c r="B1394" s="1197"/>
      <c r="C1394" s="354"/>
      <c r="D1394" s="1142" t="s">
        <v>3001</v>
      </c>
      <c r="E1394" s="1644"/>
      <c r="F1394" s="1698"/>
      <c r="G1394" s="706"/>
      <c r="H1394" s="607"/>
      <c r="I1394" s="1166" t="s">
        <v>2417</v>
      </c>
      <c r="J1394" s="1703"/>
      <c r="K1394" s="1633"/>
      <c r="L1394" s="1174"/>
      <c r="M1394" s="1716"/>
      <c r="N1394" s="1612"/>
      <c r="O1394" s="1613"/>
    </row>
    <row r="1395" spans="1:17" s="503" customFormat="1" ht="15" customHeight="1">
      <c r="A1395" s="2265"/>
      <c r="B1395" s="1972">
        <v>12290</v>
      </c>
      <c r="C1395" s="1973">
        <v>0.1</v>
      </c>
      <c r="D1395" s="1525" t="s">
        <v>3002</v>
      </c>
      <c r="E1395" s="1733">
        <v>1150000</v>
      </c>
      <c r="F1395" s="578">
        <v>0.1</v>
      </c>
      <c r="G1395" s="1734">
        <f>E1395*F1395</f>
        <v>115000</v>
      </c>
      <c r="H1395" s="304" t="s">
        <v>582</v>
      </c>
      <c r="I1395" s="942" t="s">
        <v>2363</v>
      </c>
      <c r="J1395" s="1273"/>
      <c r="K1395" s="1747"/>
      <c r="L1395" s="1161"/>
      <c r="M1395" s="1716"/>
      <c r="N1395" s="1612"/>
      <c r="O1395" s="1588"/>
    </row>
    <row r="1396" spans="1:17" ht="15" customHeight="1">
      <c r="A1396" s="2265"/>
      <c r="B1396" s="1972">
        <v>12277</v>
      </c>
      <c r="C1396" s="1974">
        <v>0.1</v>
      </c>
      <c r="D1396" s="1143" t="s">
        <v>3003</v>
      </c>
      <c r="E1396" s="1320">
        <v>1200000</v>
      </c>
      <c r="F1396" s="578">
        <v>0.1</v>
      </c>
      <c r="G1396" s="1734">
        <f t="shared" ref="G1396:G1399" si="66">E1396*F1396</f>
        <v>120000</v>
      </c>
      <c r="H1396" s="275" t="s">
        <v>582</v>
      </c>
      <c r="I1396" s="495" t="s">
        <v>2363</v>
      </c>
      <c r="J1396" s="1747"/>
      <c r="K1396" s="64"/>
      <c r="L1396" s="1161"/>
      <c r="M1396" s="1716"/>
      <c r="N1396" s="1612"/>
      <c r="O1396" s="1286"/>
    </row>
    <row r="1397" spans="1:17" ht="15" customHeight="1">
      <c r="A1397" s="2265"/>
      <c r="B1397" s="1972">
        <v>12337</v>
      </c>
      <c r="C1397" s="1974">
        <v>0.1</v>
      </c>
      <c r="D1397" s="1668" t="s">
        <v>3004</v>
      </c>
      <c r="E1397" s="1320">
        <v>1200000</v>
      </c>
      <c r="F1397" s="578">
        <v>0.1</v>
      </c>
      <c r="G1397" s="1734">
        <f t="shared" si="66"/>
        <v>120000</v>
      </c>
      <c r="H1397" s="275" t="s">
        <v>582</v>
      </c>
      <c r="I1397" s="495" t="s">
        <v>2363</v>
      </c>
      <c r="J1397" s="1747"/>
      <c r="K1397" s="64"/>
      <c r="L1397" s="1731"/>
      <c r="M1397" s="1732"/>
      <c r="N1397" s="1433"/>
      <c r="O1397" s="1613"/>
    </row>
    <row r="1398" spans="1:17" ht="15" customHeight="1">
      <c r="A1398" s="2265"/>
      <c r="B1398" s="1975">
        <v>12380</v>
      </c>
      <c r="C1398" s="1976">
        <v>0.1</v>
      </c>
      <c r="D1398" s="1534" t="s">
        <v>3005</v>
      </c>
      <c r="E1398" s="1324">
        <v>1150000</v>
      </c>
      <c r="F1398" s="578">
        <v>0.1</v>
      </c>
      <c r="G1398" s="1734">
        <f t="shared" si="66"/>
        <v>115000</v>
      </c>
      <c r="H1398" s="275" t="s">
        <v>582</v>
      </c>
      <c r="I1398" s="1790" t="s">
        <v>2417</v>
      </c>
      <c r="J1398" s="1747"/>
      <c r="K1398" s="64"/>
      <c r="L1398" s="1731"/>
      <c r="M1398" s="1732"/>
      <c r="N1398" s="1433"/>
      <c r="O1398" s="1613"/>
    </row>
    <row r="1399" spans="1:17" ht="15" customHeight="1">
      <c r="A1399" s="2265"/>
      <c r="B1399" s="1977">
        <v>12389</v>
      </c>
      <c r="C1399" s="1976">
        <v>0.1</v>
      </c>
      <c r="D1399" s="1143" t="s">
        <v>3006</v>
      </c>
      <c r="E1399" s="1324">
        <v>1400000</v>
      </c>
      <c r="F1399" s="578">
        <v>0.1</v>
      </c>
      <c r="G1399" s="1734">
        <f t="shared" si="66"/>
        <v>140000</v>
      </c>
      <c r="H1399" s="275" t="s">
        <v>582</v>
      </c>
      <c r="I1399" s="858" t="s">
        <v>2417</v>
      </c>
      <c r="J1399" s="1747"/>
      <c r="K1399" s="64"/>
      <c r="L1399" s="1731"/>
      <c r="M1399" s="1732"/>
      <c r="N1399" s="1433"/>
      <c r="O1399" s="1613"/>
    </row>
    <row r="1400" spans="1:17" ht="15" customHeight="1">
      <c r="A1400" s="2265"/>
      <c r="B1400" s="299"/>
      <c r="C1400" s="318"/>
      <c r="D1400" s="1619"/>
      <c r="E1400" s="1600"/>
      <c r="F1400" s="312"/>
      <c r="G1400" s="313"/>
      <c r="H1400" s="648"/>
      <c r="I1400" s="344"/>
      <c r="J1400" s="924"/>
      <c r="K1400" s="1748"/>
      <c r="L1400" s="1748"/>
      <c r="M1400" s="922"/>
      <c r="N1400" s="958"/>
      <c r="O1400" s="1748"/>
    </row>
    <row r="1401" spans="1:17" ht="15" customHeight="1">
      <c r="A1401" s="2265"/>
      <c r="B1401" s="624"/>
      <c r="C1401" s="624"/>
      <c r="D1401" s="1144" t="s">
        <v>1833</v>
      </c>
      <c r="E1401" s="1602">
        <f>SUM(E1395:E1399)</f>
        <v>6100000</v>
      </c>
      <c r="F1401" s="929"/>
      <c r="G1401" s="1180">
        <f>SUM(G1395:G1399)</f>
        <v>610000</v>
      </c>
      <c r="H1401" s="1181"/>
      <c r="I1401" s="444"/>
      <c r="J1401" s="773"/>
      <c r="K1401" s="308"/>
      <c r="L1401" s="2834" t="s">
        <v>1834</v>
      </c>
      <c r="M1401" s="2834"/>
      <c r="N1401" s="2834"/>
      <c r="O1401" s="289">
        <f>SUM(O1388:O1391)</f>
        <v>225000</v>
      </c>
    </row>
    <row r="1402" spans="1:17" ht="15" customHeight="1">
      <c r="A1402" s="2266"/>
      <c r="B1402" s="1183"/>
      <c r="C1402" s="1183"/>
      <c r="D1402" s="1184" t="s">
        <v>1835</v>
      </c>
      <c r="E1402" s="1185">
        <f>G1401+O1401</f>
        <v>835000</v>
      </c>
      <c r="F1402" s="1183"/>
      <c r="G1402" s="1186"/>
      <c r="H1402" s="813"/>
      <c r="I1402" s="813"/>
      <c r="J1402" s="816"/>
      <c r="K1402" s="868"/>
      <c r="L1402" s="868"/>
      <c r="M1402" s="868"/>
      <c r="N1402" s="868"/>
      <c r="O1402" s="422"/>
    </row>
    <row r="1403" spans="1:17">
      <c r="A1403" s="2172"/>
      <c r="B1403" s="17"/>
      <c r="C1403" s="17"/>
      <c r="D1403" s="1058"/>
      <c r="E1403" s="19"/>
      <c r="F1403" s="17"/>
      <c r="G1403" s="20"/>
      <c r="H1403" s="17"/>
      <c r="I1403" s="17"/>
      <c r="J1403" s="18"/>
      <c r="O1403" s="1"/>
    </row>
    <row r="1404" spans="1:17">
      <c r="A1404" s="2172"/>
      <c r="B1404" s="17"/>
      <c r="C1404" s="17"/>
      <c r="D1404" s="1058"/>
      <c r="E1404" s="19"/>
      <c r="F1404" s="17"/>
      <c r="G1404" s="20"/>
      <c r="H1404" s="17"/>
      <c r="I1404" s="17"/>
      <c r="J1404" s="18"/>
      <c r="O1404" s="1"/>
    </row>
    <row r="1405" spans="1:17" ht="21">
      <c r="A1405" s="2952" t="s">
        <v>1836</v>
      </c>
      <c r="B1405" s="2952"/>
      <c r="C1405" s="2952"/>
      <c r="D1405" s="2952"/>
      <c r="E1405" s="2952"/>
      <c r="F1405" s="2952"/>
      <c r="G1405" s="2952"/>
      <c r="H1405" s="2952"/>
      <c r="I1405" s="2952"/>
      <c r="J1405" s="2952"/>
      <c r="K1405" s="2825" t="s">
        <v>1805</v>
      </c>
      <c r="L1405" s="2825"/>
      <c r="M1405" s="2825"/>
      <c r="N1405" s="2825"/>
      <c r="O1405" s="260"/>
    </row>
    <row r="1406" spans="1:17">
      <c r="A1406" s="2250" t="s">
        <v>1806</v>
      </c>
      <c r="B1406" s="64" t="s">
        <v>1807</v>
      </c>
      <c r="C1406" s="1273" t="s">
        <v>1837</v>
      </c>
      <c r="D1406" s="1280" t="s">
        <v>1809</v>
      </c>
      <c r="E1406" s="806" t="s">
        <v>1810</v>
      </c>
      <c r="F1406" s="1747" t="s">
        <v>1811</v>
      </c>
      <c r="G1406" s="807" t="s">
        <v>1812</v>
      </c>
      <c r="H1406" s="1747" t="s">
        <v>1813</v>
      </c>
      <c r="I1406" s="1747" t="s">
        <v>1814</v>
      </c>
      <c r="J1406" s="1747" t="s">
        <v>1815</v>
      </c>
      <c r="K1406" s="1747" t="s">
        <v>1807</v>
      </c>
      <c r="L1406" s="1747" t="s">
        <v>1809</v>
      </c>
      <c r="M1406" s="1747" t="s">
        <v>1816</v>
      </c>
      <c r="N1406" s="1747" t="s">
        <v>1811</v>
      </c>
      <c r="O1406" s="51" t="s">
        <v>1817</v>
      </c>
    </row>
    <row r="1407" spans="1:17" ht="27">
      <c r="A1407" s="2799" t="s">
        <v>3007</v>
      </c>
      <c r="B1407" s="1207"/>
      <c r="C1407" s="1207"/>
      <c r="D1407" s="714" t="s">
        <v>3008</v>
      </c>
      <c r="E1407" s="1645"/>
      <c r="F1407" s="336"/>
      <c r="G1407" s="350"/>
      <c r="H1407" s="409"/>
      <c r="I1407" s="408" t="s">
        <v>2417</v>
      </c>
      <c r="J1407" s="327"/>
      <c r="K1407" s="836">
        <v>12351</v>
      </c>
      <c r="L1407" s="431" t="s">
        <v>3009</v>
      </c>
      <c r="M1407" s="1313">
        <v>1100000</v>
      </c>
      <c r="N1407" s="302">
        <v>0.04</v>
      </c>
      <c r="O1407" s="655">
        <f>M1407*N1407</f>
        <v>44000</v>
      </c>
      <c r="P1407" s="311"/>
      <c r="Q1407" s="1748"/>
    </row>
    <row r="1408" spans="1:17" ht="27">
      <c r="A1408" s="2799"/>
      <c r="B1408" s="1579"/>
      <c r="C1408" s="1207"/>
      <c r="D1408" s="714" t="s">
        <v>3010</v>
      </c>
      <c r="E1408" s="1645"/>
      <c r="F1408" s="336"/>
      <c r="G1408" s="350"/>
      <c r="H1408" s="409"/>
      <c r="I1408" s="408" t="s">
        <v>2363</v>
      </c>
      <c r="J1408" s="1748"/>
      <c r="K1408" s="836">
        <v>12301</v>
      </c>
      <c r="L1408" s="885" t="s">
        <v>3011</v>
      </c>
      <c r="M1408" s="1720">
        <v>1200000</v>
      </c>
      <c r="N1408" s="302">
        <v>0.04</v>
      </c>
      <c r="O1408" s="655">
        <f>M1408*N1408</f>
        <v>48000</v>
      </c>
      <c r="P1408" s="943"/>
      <c r="Q1408" s="943"/>
    </row>
    <row r="1409" spans="1:18" ht="27">
      <c r="A1409" s="2799"/>
      <c r="B1409" s="1579"/>
      <c r="C1409" s="1207"/>
      <c r="D1409" s="714" t="s">
        <v>3012</v>
      </c>
      <c r="E1409" s="1578"/>
      <c r="F1409" s="1211"/>
      <c r="G1409" s="350"/>
      <c r="H1409" s="1924"/>
      <c r="I1409" s="409" t="s">
        <v>2417</v>
      </c>
      <c r="J1409" s="1748"/>
      <c r="K1409" s="1747"/>
      <c r="L1409" s="1338"/>
      <c r="M1409" s="1606"/>
      <c r="N1409" s="1747"/>
      <c r="O1409" s="807"/>
      <c r="P1409" s="1357"/>
      <c r="Q1409" s="1747"/>
    </row>
    <row r="1410" spans="1:18" ht="15.6">
      <c r="A1410" s="2799"/>
      <c r="B1410" s="1970">
        <v>12355</v>
      </c>
      <c r="C1410" s="1971">
        <v>0.1</v>
      </c>
      <c r="D1410" s="431" t="s">
        <v>3013</v>
      </c>
      <c r="E1410" s="576">
        <v>1200000</v>
      </c>
      <c r="F1410" s="302">
        <v>0.08</v>
      </c>
      <c r="G1410" s="655">
        <f>E1410*F1410</f>
        <v>96000</v>
      </c>
      <c r="H1410" s="1226" t="s">
        <v>523</v>
      </c>
      <c r="I1410" s="573" t="s">
        <v>2363</v>
      </c>
      <c r="J1410" s="1246"/>
      <c r="K1410" s="1632"/>
      <c r="L1410" s="1212"/>
      <c r="M1410" s="1901"/>
      <c r="N1410" s="368"/>
      <c r="O1410" s="1443"/>
      <c r="P1410" s="943"/>
      <c r="Q1410" s="943"/>
      <c r="R1410" s="503"/>
    </row>
    <row r="1411" spans="1:18">
      <c r="A1411" s="2799"/>
      <c r="B1411" s="299"/>
      <c r="C1411" s="794"/>
      <c r="D1411" s="1156"/>
      <c r="E1411" s="1598"/>
      <c r="F1411" s="747"/>
      <c r="G1411" s="748"/>
      <c r="H1411" s="696"/>
      <c r="I1411" s="524"/>
      <c r="J1411" s="1381"/>
      <c r="K1411" s="290"/>
      <c r="L1411" s="290"/>
      <c r="M1411" s="290"/>
      <c r="N1411" s="290"/>
      <c r="O1411" s="299"/>
    </row>
    <row r="1412" spans="1:18">
      <c r="A1412" s="2799"/>
      <c r="B1412" s="506"/>
      <c r="C1412" s="675"/>
      <c r="D1412" s="1144" t="s">
        <v>1833</v>
      </c>
      <c r="E1412" s="1599">
        <f>SUM(E1410:E1410)</f>
        <v>1200000</v>
      </c>
      <c r="F1412" s="506"/>
      <c r="G1412" s="475">
        <f>G1410</f>
        <v>96000</v>
      </c>
      <c r="H1412" s="891"/>
      <c r="I1412" s="506"/>
      <c r="J1412" s="334"/>
      <c r="K1412" s="1439"/>
      <c r="L1412" s="2794" t="s">
        <v>1859</v>
      </c>
      <c r="M1412" s="2794"/>
      <c r="N1412" s="2794"/>
      <c r="O1412" s="1440">
        <f>SUM(O1407:O1408)</f>
        <v>92000</v>
      </c>
    </row>
    <row r="1413" spans="1:18">
      <c r="A1413" s="2800"/>
      <c r="B1413" s="813"/>
      <c r="C1413" s="789"/>
      <c r="D1413" s="1157" t="s">
        <v>1835</v>
      </c>
      <c r="E1413" s="937">
        <f>G1412+O1412</f>
        <v>188000</v>
      </c>
      <c r="F1413" s="450"/>
      <c r="G1413" s="481"/>
      <c r="H1413" s="450"/>
      <c r="I1413" s="450"/>
      <c r="J1413" s="482"/>
      <c r="K1413" s="453"/>
      <c r="L1413" s="938"/>
      <c r="M1413" s="938"/>
      <c r="N1413" s="938"/>
      <c r="O1413" s="455"/>
    </row>
    <row r="1414" spans="1:18" ht="15.6">
      <c r="A1414" s="2209"/>
      <c r="B1414" s="799"/>
      <c r="C1414" s="456"/>
      <c r="D1414" s="1091"/>
      <c r="E1414" s="458"/>
      <c r="F1414" s="456"/>
      <c r="G1414" s="459"/>
      <c r="H1414" s="456"/>
      <c r="I1414" s="456"/>
      <c r="J1414" s="457"/>
      <c r="K1414" s="460"/>
      <c r="L1414" s="461"/>
      <c r="M1414" s="461"/>
      <c r="N1414" s="461"/>
      <c r="O1414" s="455"/>
    </row>
    <row r="1415" spans="1:18" ht="15.6">
      <c r="A1415" s="2209"/>
      <c r="B1415" s="799"/>
      <c r="C1415" s="799"/>
      <c r="D1415" s="1145"/>
      <c r="E1415" s="801"/>
      <c r="F1415" s="799"/>
      <c r="G1415" s="802"/>
      <c r="H1415" s="799"/>
      <c r="I1415" s="799"/>
      <c r="J1415" s="800"/>
      <c r="K1415" s="803"/>
      <c r="L1415" s="804"/>
      <c r="M1415" s="804"/>
      <c r="N1415" s="804"/>
      <c r="O1415" s="805"/>
    </row>
    <row r="1416" spans="1:18" ht="21">
      <c r="A1416" s="2943" t="s">
        <v>1860</v>
      </c>
      <c r="B1416" s="2943"/>
      <c r="C1416" s="2943"/>
      <c r="D1416" s="2943"/>
      <c r="E1416" s="2943"/>
      <c r="F1416" s="2943"/>
      <c r="G1416" s="2943"/>
      <c r="H1416" s="2943"/>
      <c r="I1416" s="2943"/>
      <c r="J1416" s="2943"/>
      <c r="K1416" s="2811" t="s">
        <v>1805</v>
      </c>
      <c r="L1416" s="2811"/>
      <c r="M1416" s="2811"/>
      <c r="N1416" s="2811"/>
      <c r="O1416" s="2"/>
    </row>
    <row r="1417" spans="1:18">
      <c r="A1417" s="2218" t="s">
        <v>1806</v>
      </c>
      <c r="B1417" s="1634" t="s">
        <v>1807</v>
      </c>
      <c r="C1417" s="1634" t="s">
        <v>1837</v>
      </c>
      <c r="D1417" s="1056" t="s">
        <v>1809</v>
      </c>
      <c r="E1417" s="32" t="s">
        <v>1810</v>
      </c>
      <c r="F1417" s="1634" t="s">
        <v>1811</v>
      </c>
      <c r="G1417" s="167" t="s">
        <v>1812</v>
      </c>
      <c r="H1417" s="1634" t="s">
        <v>1813</v>
      </c>
      <c r="I1417" s="1634" t="s">
        <v>1814</v>
      </c>
      <c r="J1417" s="1634" t="s">
        <v>1815</v>
      </c>
      <c r="K1417" s="1626" t="s">
        <v>1807</v>
      </c>
      <c r="L1417" s="1626" t="s">
        <v>1809</v>
      </c>
      <c r="M1417" s="1626" t="s">
        <v>1816</v>
      </c>
      <c r="N1417" s="1626" t="s">
        <v>1811</v>
      </c>
      <c r="O1417" s="260" t="s">
        <v>1817</v>
      </c>
      <c r="P1417" s="503"/>
      <c r="Q1417" s="503"/>
    </row>
    <row r="1418" spans="1:18" ht="27">
      <c r="A1418" s="1812"/>
      <c r="B1418" s="753"/>
      <c r="C1418" s="1232"/>
      <c r="D1418" s="1710" t="s">
        <v>3014</v>
      </c>
      <c r="E1418" s="1767"/>
      <c r="F1418" s="780"/>
      <c r="G1418" s="782"/>
      <c r="H1418" s="1307"/>
      <c r="I1418" s="1307" t="s">
        <v>2417</v>
      </c>
      <c r="J1418" s="1634"/>
      <c r="K1418" s="840">
        <v>12286</v>
      </c>
      <c r="L1418" s="968" t="s">
        <v>3015</v>
      </c>
      <c r="M1418" s="1310">
        <v>1050000</v>
      </c>
      <c r="N1418" s="314">
        <v>0.05</v>
      </c>
      <c r="O1418" s="588">
        <f>M1418*N1418</f>
        <v>52500</v>
      </c>
      <c r="P1418" s="943"/>
      <c r="Q1418" s="943"/>
    </row>
    <row r="1419" spans="1:18">
      <c r="A1419" s="2914" t="s">
        <v>1818</v>
      </c>
      <c r="B1419" s="753"/>
      <c r="C1419" s="753"/>
      <c r="D1419" s="1446" t="s">
        <v>3016</v>
      </c>
      <c r="E1419" s="1708"/>
      <c r="F1419" s="1203"/>
      <c r="G1419" s="401"/>
      <c r="H1419" s="1343"/>
      <c r="I1419" s="377" t="s">
        <v>2417</v>
      </c>
      <c r="J1419" s="1634"/>
      <c r="K1419" s="840">
        <v>12425</v>
      </c>
      <c r="L1419" s="1506" t="s">
        <v>3017</v>
      </c>
      <c r="M1419" s="1473">
        <v>1100000</v>
      </c>
      <c r="N1419" s="314">
        <v>0.05</v>
      </c>
      <c r="O1419" s="588">
        <f>M1419*N1419</f>
        <v>55000</v>
      </c>
      <c r="P1419" s="299"/>
      <c r="Q1419" s="1031"/>
    </row>
    <row r="1420" spans="1:18">
      <c r="A1420" s="2914"/>
      <c r="B1420" s="753"/>
      <c r="C1420" s="780"/>
      <c r="D1420" s="1710" t="s">
        <v>3018</v>
      </c>
      <c r="E1420" s="1767"/>
      <c r="F1420" s="780"/>
      <c r="G1420" s="782"/>
      <c r="H1420" s="1307"/>
      <c r="I1420" s="1307" t="s">
        <v>3019</v>
      </c>
      <c r="J1420" s="1634"/>
      <c r="K1420" s="1626"/>
      <c r="L1420" s="1161"/>
      <c r="M1420" s="1595"/>
      <c r="N1420" s="300"/>
      <c r="O1420" s="940"/>
      <c r="P1420" s="943"/>
      <c r="Q1420" s="943"/>
    </row>
    <row r="1421" spans="1:18">
      <c r="A1421" s="2914"/>
      <c r="B1421" s="753"/>
      <c r="C1421" s="753"/>
      <c r="D1421" s="1262" t="s">
        <v>3020</v>
      </c>
      <c r="E1421" s="1708"/>
      <c r="F1421" s="1203"/>
      <c r="G1421" s="401"/>
      <c r="H1421" s="1343"/>
      <c r="I1421" s="377" t="s">
        <v>2363</v>
      </c>
      <c r="J1421" s="1634"/>
      <c r="K1421" s="1626"/>
      <c r="L1421" s="1740"/>
      <c r="M1421" s="1605"/>
      <c r="N1421" s="312"/>
      <c r="O1421" s="290"/>
      <c r="P1421" s="299"/>
      <c r="Q1421" s="1031"/>
    </row>
    <row r="1422" spans="1:18" ht="27">
      <c r="A1422" s="2914"/>
      <c r="B1422" s="753"/>
      <c r="C1422" s="753"/>
      <c r="D1422" s="714" t="s">
        <v>3021</v>
      </c>
      <c r="E1422" s="1708"/>
      <c r="F1422" s="1564"/>
      <c r="G1422" s="1638"/>
      <c r="H1422" s="1343"/>
      <c r="I1422" s="1923" t="s">
        <v>2363</v>
      </c>
      <c r="J1422" s="1634"/>
      <c r="K1422" s="1626"/>
      <c r="L1422" s="1740"/>
      <c r="M1422" s="1605"/>
      <c r="N1422" s="312"/>
      <c r="O1422" s="290"/>
      <c r="P1422" s="299"/>
      <c r="Q1422" s="1031"/>
    </row>
    <row r="1423" spans="1:18" ht="27">
      <c r="A1423" s="2914"/>
      <c r="B1423" s="753"/>
      <c r="C1423" s="753"/>
      <c r="D1423" s="714" t="s">
        <v>3022</v>
      </c>
      <c r="E1423" s="1704"/>
      <c r="F1423" s="2005"/>
      <c r="G1423" s="1702"/>
      <c r="H1423" s="1343"/>
      <c r="I1423" s="1923" t="s">
        <v>2363</v>
      </c>
      <c r="J1423" s="1634"/>
      <c r="K1423" s="1626"/>
      <c r="L1423" s="398"/>
      <c r="M1423" s="398"/>
      <c r="N1423" s="1626"/>
      <c r="O1423" s="260"/>
      <c r="P1423" s="503"/>
      <c r="Q1423" s="503"/>
    </row>
    <row r="1424" spans="1:18" ht="15.6">
      <c r="A1424" s="2914"/>
      <c r="B1424" s="1967">
        <v>12226</v>
      </c>
      <c r="C1424" s="1968">
        <v>0.1</v>
      </c>
      <c r="D1424" s="518" t="s">
        <v>3023</v>
      </c>
      <c r="E1424" s="2001">
        <v>1300000</v>
      </c>
      <c r="F1424" s="418">
        <v>0.1</v>
      </c>
      <c r="G1424" s="655">
        <f>E1424*F1424</f>
        <v>130000</v>
      </c>
      <c r="H1424" s="2006" t="s">
        <v>748</v>
      </c>
      <c r="I1424" s="942" t="s">
        <v>2417</v>
      </c>
      <c r="J1424" s="1634"/>
      <c r="K1424" s="1626"/>
      <c r="L1424" s="398"/>
      <c r="M1424" s="398"/>
      <c r="N1424" s="1626"/>
      <c r="O1424" s="260"/>
    </row>
    <row r="1425" spans="1:18" ht="15.6">
      <c r="A1425" s="2914"/>
      <c r="B1425" s="1941">
        <v>12240</v>
      </c>
      <c r="C1425" s="1969">
        <v>0.1</v>
      </c>
      <c r="D1425" s="1229" t="s">
        <v>3024</v>
      </c>
      <c r="E1425" s="1471">
        <v>1000000</v>
      </c>
      <c r="F1425" s="418">
        <v>0.1</v>
      </c>
      <c r="G1425" s="655">
        <f t="shared" ref="G1425:G1432" si="67">E1425*F1425</f>
        <v>100000</v>
      </c>
      <c r="H1425" s="1179" t="s">
        <v>748</v>
      </c>
      <c r="I1425" s="573" t="s">
        <v>2363</v>
      </c>
      <c r="J1425" s="1715"/>
      <c r="K1425" s="1626"/>
      <c r="L1425" s="398"/>
      <c r="M1425" s="398"/>
      <c r="N1425" s="1626"/>
      <c r="O1425" s="260"/>
    </row>
    <row r="1426" spans="1:18" ht="15.6">
      <c r="A1426" s="2914"/>
      <c r="B1426" s="1941">
        <v>12292</v>
      </c>
      <c r="C1426" s="1969">
        <v>0.1</v>
      </c>
      <c r="D1426" s="431" t="s">
        <v>2992</v>
      </c>
      <c r="E1426" s="1470">
        <v>1000000</v>
      </c>
      <c r="F1426" s="418">
        <v>0.05</v>
      </c>
      <c r="G1426" s="655">
        <f t="shared" si="67"/>
        <v>50000</v>
      </c>
      <c r="H1426" s="1179" t="s">
        <v>582</v>
      </c>
      <c r="I1426" s="573" t="s">
        <v>2363</v>
      </c>
      <c r="J1426" s="1715"/>
      <c r="K1426" s="1626"/>
      <c r="L1426" s="398"/>
      <c r="M1426" s="398"/>
      <c r="N1426" s="1626"/>
      <c r="O1426" s="260"/>
    </row>
    <row r="1427" spans="1:18" ht="25.5" customHeight="1">
      <c r="A1427" s="2914"/>
      <c r="B1427" s="1941">
        <v>12282</v>
      </c>
      <c r="C1427" s="1969">
        <v>0.1</v>
      </c>
      <c r="D1427" s="431" t="s">
        <v>3025</v>
      </c>
      <c r="E1427" s="2002">
        <v>1000000</v>
      </c>
      <c r="F1427" s="418">
        <v>0.1</v>
      </c>
      <c r="G1427" s="655">
        <f t="shared" si="67"/>
        <v>100000</v>
      </c>
      <c r="H1427" s="1179" t="s">
        <v>748</v>
      </c>
      <c r="I1427" s="573" t="s">
        <v>2363</v>
      </c>
      <c r="J1427" s="1715"/>
      <c r="K1427" s="1626"/>
      <c r="L1427" s="398"/>
      <c r="M1427" s="398"/>
      <c r="N1427" s="1626"/>
      <c r="O1427" s="260"/>
    </row>
    <row r="1428" spans="1:18" ht="15.6">
      <c r="A1428" s="2914"/>
      <c r="B1428" s="1941">
        <v>12331</v>
      </c>
      <c r="C1428" s="1969">
        <v>0.1</v>
      </c>
      <c r="D1428" s="431" t="s">
        <v>2994</v>
      </c>
      <c r="E1428" s="2002">
        <v>1100000</v>
      </c>
      <c r="F1428" s="418">
        <v>0.05</v>
      </c>
      <c r="G1428" s="655">
        <f t="shared" si="67"/>
        <v>55000</v>
      </c>
      <c r="H1428" s="1179" t="s">
        <v>3026</v>
      </c>
      <c r="I1428" s="573" t="s">
        <v>3019</v>
      </c>
      <c r="J1428" s="1715"/>
      <c r="K1428" s="1626"/>
      <c r="L1428" s="398"/>
      <c r="M1428" s="398"/>
      <c r="N1428" s="1626"/>
      <c r="O1428" s="260"/>
    </row>
    <row r="1429" spans="1:18" ht="27">
      <c r="A1429" s="2914"/>
      <c r="B1429" s="1942">
        <v>12342</v>
      </c>
      <c r="C1429" s="1969">
        <v>0.1</v>
      </c>
      <c r="D1429" s="885" t="s">
        <v>3027</v>
      </c>
      <c r="E1429" s="2003">
        <v>900000</v>
      </c>
      <c r="F1429" s="418">
        <v>0.06</v>
      </c>
      <c r="G1429" s="655">
        <f t="shared" si="67"/>
        <v>54000</v>
      </c>
      <c r="H1429" s="2007" t="s">
        <v>732</v>
      </c>
      <c r="I1429" s="970" t="s">
        <v>2363</v>
      </c>
      <c r="J1429" s="1715"/>
      <c r="K1429" s="1626"/>
      <c r="L1429" s="398"/>
      <c r="M1429" s="398"/>
      <c r="N1429" s="1626"/>
      <c r="O1429" s="260"/>
    </row>
    <row r="1430" spans="1:18" s="503" customFormat="1" ht="19.149999999999999">
      <c r="A1430" s="2914"/>
      <c r="B1430" s="1980" t="s">
        <v>3028</v>
      </c>
      <c r="C1430" s="1981">
        <v>0.1</v>
      </c>
      <c r="D1430" s="431" t="s">
        <v>3009</v>
      </c>
      <c r="E1430" s="1471">
        <v>1100000</v>
      </c>
      <c r="F1430" s="418">
        <v>0.05</v>
      </c>
      <c r="G1430" s="655">
        <f t="shared" si="67"/>
        <v>55000</v>
      </c>
      <c r="H1430" s="1179" t="s">
        <v>523</v>
      </c>
      <c r="I1430" s="573" t="s">
        <v>2363</v>
      </c>
      <c r="J1430" s="398"/>
      <c r="K1430" s="1626"/>
      <c r="L1430" s="398"/>
      <c r="M1430" s="398"/>
      <c r="N1430" s="1626"/>
      <c r="O1430" s="1044"/>
    </row>
    <row r="1431" spans="1:18" s="503" customFormat="1" ht="19.149999999999999">
      <c r="A1431" s="2914"/>
      <c r="B1431" s="1980">
        <v>12413</v>
      </c>
      <c r="C1431" s="1981">
        <v>0.1</v>
      </c>
      <c r="D1431" s="1482" t="s">
        <v>3029</v>
      </c>
      <c r="E1431" s="1471">
        <v>1200000</v>
      </c>
      <c r="F1431" s="418">
        <v>0.05</v>
      </c>
      <c r="G1431" s="655">
        <f t="shared" si="67"/>
        <v>60000</v>
      </c>
      <c r="H1431" s="1179" t="s">
        <v>527</v>
      </c>
      <c r="I1431" s="573" t="s">
        <v>3019</v>
      </c>
      <c r="J1431" s="398"/>
      <c r="K1431" s="1626"/>
      <c r="L1431" s="398"/>
      <c r="M1431" s="398"/>
      <c r="N1431" s="1626"/>
      <c r="O1431" s="1044"/>
    </row>
    <row r="1432" spans="1:18" s="503" customFormat="1" ht="19.149999999999999">
      <c r="A1432" s="2914"/>
      <c r="B1432" s="2056">
        <v>12427</v>
      </c>
      <c r="C1432" s="1981">
        <v>0.1</v>
      </c>
      <c r="D1432" s="1534" t="s">
        <v>3030</v>
      </c>
      <c r="E1432" s="2004">
        <v>970000</v>
      </c>
      <c r="F1432" s="418">
        <v>0.06</v>
      </c>
      <c r="G1432" s="655">
        <f t="shared" si="67"/>
        <v>58200</v>
      </c>
      <c r="H1432" s="2008" t="s">
        <v>732</v>
      </c>
      <c r="I1432" s="1206" t="s">
        <v>2417</v>
      </c>
      <c r="J1432" s="398"/>
      <c r="K1432" s="1626"/>
      <c r="L1432" s="398"/>
      <c r="M1432" s="398"/>
      <c r="N1432" s="1626"/>
      <c r="O1432" s="1044"/>
    </row>
    <row r="1433" spans="1:18" s="503" customFormat="1" ht="15.6">
      <c r="A1433" s="2914"/>
      <c r="B1433" s="1362"/>
      <c r="C1433" s="1189"/>
      <c r="D1433" s="1338"/>
      <c r="E1433" s="1606"/>
      <c r="F1433" s="1633"/>
      <c r="G1433" s="2009"/>
      <c r="H1433" s="1747"/>
      <c r="I1433" s="1747"/>
      <c r="J1433" s="398"/>
      <c r="K1433" s="1626"/>
      <c r="L1433" s="398"/>
      <c r="M1433" s="398"/>
      <c r="N1433" s="1626"/>
      <c r="O1433" s="1044"/>
    </row>
    <row r="1434" spans="1:18" ht="15" customHeight="1">
      <c r="A1434" s="2914"/>
      <c r="B1434" s="506"/>
      <c r="C1434" s="506"/>
      <c r="D1434" s="1089" t="s">
        <v>1833</v>
      </c>
      <c r="E1434" s="1599">
        <f>SUM(E1424:E1432)</f>
        <v>9570000</v>
      </c>
      <c r="F1434" s="506"/>
      <c r="G1434" s="475">
        <f>SUM(G1424:G1432)</f>
        <v>662200</v>
      </c>
      <c r="H1434" s="506"/>
      <c r="I1434" s="506"/>
      <c r="J1434" s="334"/>
      <c r="K1434" s="279"/>
      <c r="L1434" s="2916" t="s">
        <v>1859</v>
      </c>
      <c r="M1434" s="2916"/>
      <c r="N1434" s="2916"/>
      <c r="O1434" s="821">
        <f>SUM(O1418:O1419)</f>
        <v>107500</v>
      </c>
    </row>
    <row r="1435" spans="1:18" ht="15.75" customHeight="1">
      <c r="A1435" s="2915"/>
      <c r="B1435" s="813"/>
      <c r="C1435" s="813"/>
      <c r="D1435" s="483" t="s">
        <v>1835</v>
      </c>
      <c r="E1435" s="814">
        <f>SUM(G1434+O1434)</f>
        <v>769700</v>
      </c>
      <c r="F1435" s="813"/>
      <c r="G1435" s="815"/>
      <c r="H1435" s="813"/>
      <c r="I1435" s="813"/>
      <c r="J1435" s="816"/>
      <c r="K1435" s="279"/>
      <c r="L1435" s="817"/>
      <c r="M1435" s="817"/>
      <c r="N1435" s="817"/>
      <c r="O1435" s="286"/>
    </row>
    <row r="1436" spans="1:18" ht="15.6">
      <c r="A1436" s="2209"/>
      <c r="B1436" s="456"/>
      <c r="C1436" s="456"/>
      <c r="D1436" s="1091"/>
      <c r="E1436" s="458"/>
      <c r="F1436" s="456"/>
      <c r="G1436" s="459"/>
      <c r="H1436" s="456"/>
      <c r="I1436" s="456"/>
      <c r="J1436" s="457"/>
      <c r="K1436" s="460"/>
      <c r="L1436" s="461"/>
      <c r="M1436" s="461"/>
      <c r="N1436" s="461"/>
      <c r="O1436" s="455"/>
    </row>
    <row r="1437" spans="1:18" ht="15.6">
      <c r="A1437" s="2209"/>
      <c r="B1437" s="799"/>
      <c r="C1437" s="799"/>
      <c r="D1437" s="1145"/>
      <c r="E1437" s="801"/>
      <c r="F1437" s="799"/>
      <c r="G1437" s="802"/>
      <c r="H1437" s="799"/>
      <c r="I1437" s="799"/>
      <c r="J1437" s="800"/>
      <c r="K1437" s="803"/>
      <c r="L1437" s="804"/>
      <c r="M1437" s="804"/>
      <c r="N1437" s="804"/>
      <c r="O1437" s="805"/>
    </row>
    <row r="1438" spans="1:18" ht="21">
      <c r="A1438" s="2944" t="s">
        <v>1875</v>
      </c>
      <c r="B1438" s="2945"/>
      <c r="C1438" s="2945"/>
      <c r="D1438" s="2945"/>
      <c r="E1438" s="2945"/>
      <c r="F1438" s="2945"/>
      <c r="G1438" s="2945"/>
      <c r="H1438" s="2945"/>
      <c r="I1438" s="2945"/>
      <c r="J1438" s="2946"/>
      <c r="K1438" s="279"/>
      <c r="L1438" s="818"/>
      <c r="M1438" s="818"/>
      <c r="N1438" s="818"/>
      <c r="O1438" s="286"/>
    </row>
    <row r="1439" spans="1:18">
      <c r="A1439" s="2218" t="s">
        <v>1806</v>
      </c>
      <c r="B1439" s="3" t="s">
        <v>1807</v>
      </c>
      <c r="C1439" s="3" t="s">
        <v>1837</v>
      </c>
      <c r="D1439" s="1059" t="s">
        <v>1809</v>
      </c>
      <c r="E1439" s="4" t="s">
        <v>1810</v>
      </c>
      <c r="F1439" s="3" t="s">
        <v>1811</v>
      </c>
      <c r="G1439" s="5" t="s">
        <v>1812</v>
      </c>
      <c r="H1439" s="3" t="s">
        <v>1813</v>
      </c>
      <c r="I1439" s="3" t="s">
        <v>1814</v>
      </c>
      <c r="J1439" s="23" t="s">
        <v>1815</v>
      </c>
      <c r="K1439" s="1747" t="s">
        <v>1807</v>
      </c>
      <c r="L1439" s="1747" t="s">
        <v>1809</v>
      </c>
      <c r="M1439" s="1747" t="s">
        <v>1816</v>
      </c>
      <c r="N1439" s="1747" t="s">
        <v>1811</v>
      </c>
      <c r="O1439" s="2" t="s">
        <v>1817</v>
      </c>
    </row>
    <row r="1440" spans="1:18" ht="15" customHeight="1">
      <c r="A1440" s="2799" t="s">
        <v>2234</v>
      </c>
      <c r="B1440" s="1813"/>
      <c r="C1440" s="1814"/>
      <c r="D1440" s="1902" t="s">
        <v>3031</v>
      </c>
      <c r="E1440" s="1815"/>
      <c r="F1440" s="1816"/>
      <c r="G1440" s="1010"/>
      <c r="H1440" s="1010"/>
      <c r="I1440" s="1336" t="s">
        <v>2417</v>
      </c>
      <c r="J1440" s="1817"/>
      <c r="K1440" s="836">
        <v>12413</v>
      </c>
      <c r="L1440" s="1482" t="s">
        <v>3029</v>
      </c>
      <c r="M1440" s="1313">
        <v>1200000</v>
      </c>
      <c r="N1440" s="302">
        <v>0.05</v>
      </c>
      <c r="O1440" s="655">
        <f>M1440*N1440</f>
        <v>60000</v>
      </c>
      <c r="P1440" s="311"/>
      <c r="Q1440" s="1748"/>
      <c r="R1440" s="503"/>
    </row>
    <row r="1441" spans="1:18" ht="15" customHeight="1">
      <c r="A1441" s="2799"/>
      <c r="B1441" s="1813"/>
      <c r="C1441" s="1818"/>
      <c r="D1441" s="1903" t="s">
        <v>3032</v>
      </c>
      <c r="E1441" s="1815"/>
      <c r="F1441" s="1816"/>
      <c r="G1441" s="1010"/>
      <c r="H1441" s="1010"/>
      <c r="I1441" s="1336" t="s">
        <v>2417</v>
      </c>
      <c r="J1441" s="1817"/>
      <c r="K1441" s="836">
        <v>12321</v>
      </c>
      <c r="L1441" s="1229" t="s">
        <v>3033</v>
      </c>
      <c r="M1441" s="1320">
        <v>950000</v>
      </c>
      <c r="N1441" s="302">
        <v>0.05</v>
      </c>
      <c r="O1441" s="655">
        <f t="shared" ref="O1441:O1442" si="68">M1441*N1441</f>
        <v>47500</v>
      </c>
      <c r="P1441" s="943"/>
      <c r="Q1441" s="2010"/>
      <c r="R1441" s="503"/>
    </row>
    <row r="1442" spans="1:18" ht="15" customHeight="1">
      <c r="A1442" s="2799"/>
      <c r="B1442" s="1813"/>
      <c r="C1442" s="1814"/>
      <c r="D1442" s="1903" t="s">
        <v>3034</v>
      </c>
      <c r="E1442" s="1815"/>
      <c r="F1442" s="1816"/>
      <c r="G1442" s="1010"/>
      <c r="H1442" s="1010"/>
      <c r="I1442" s="1336" t="s">
        <v>2417</v>
      </c>
      <c r="J1442" s="1817"/>
      <c r="K1442" s="836">
        <v>12432</v>
      </c>
      <c r="L1442" s="2015" t="s">
        <v>3035</v>
      </c>
      <c r="M1442" s="2071">
        <v>1350000</v>
      </c>
      <c r="N1442" s="2072">
        <v>0.05</v>
      </c>
      <c r="O1442" s="655">
        <f t="shared" si="68"/>
        <v>67500</v>
      </c>
      <c r="P1442" s="1938"/>
      <c r="Q1442" s="503"/>
      <c r="R1442" s="503"/>
    </row>
    <row r="1443" spans="1:18" ht="25.5" customHeight="1">
      <c r="A1443" s="2799"/>
      <c r="B1443" s="1813"/>
      <c r="C1443" s="1818"/>
      <c r="D1443" s="1904" t="s">
        <v>3036</v>
      </c>
      <c r="E1443" s="1815"/>
      <c r="F1443" s="1816"/>
      <c r="G1443" s="1010"/>
      <c r="H1443" s="1010"/>
      <c r="I1443" s="1336" t="s">
        <v>2417</v>
      </c>
      <c r="J1443" s="1817"/>
      <c r="K1443" s="1747"/>
      <c r="L1443" s="1747"/>
      <c r="M1443" s="1747"/>
      <c r="N1443" s="1747"/>
      <c r="O1443" s="2"/>
    </row>
    <row r="1444" spans="1:18" ht="25.5" customHeight="1">
      <c r="A1444" s="2799"/>
      <c r="B1444" s="1813"/>
      <c r="C1444" s="1819"/>
      <c r="D1444" s="1905" t="s">
        <v>3037</v>
      </c>
      <c r="E1444" s="1815"/>
      <c r="F1444" s="1820"/>
      <c r="G1444" s="1010"/>
      <c r="H1444" s="1010"/>
      <c r="I1444" s="1336" t="s">
        <v>2363</v>
      </c>
      <c r="J1444" s="1817"/>
      <c r="K1444" s="1747"/>
      <c r="L1444" s="1747"/>
      <c r="M1444" s="1747"/>
      <c r="N1444" s="1747"/>
      <c r="O1444" s="2"/>
    </row>
    <row r="1445" spans="1:18" ht="15" customHeight="1">
      <c r="A1445" s="2799"/>
      <c r="B1445" s="1813"/>
      <c r="C1445" s="1819"/>
      <c r="D1445" s="1906" t="s">
        <v>3038</v>
      </c>
      <c r="E1445" s="1821"/>
      <c r="F1445" s="1816"/>
      <c r="G1445" s="1010"/>
      <c r="H1445" s="1010"/>
      <c r="I1445" s="1336" t="s">
        <v>2363</v>
      </c>
      <c r="J1445" s="1817"/>
      <c r="K1445" s="1747"/>
      <c r="L1445" s="1747"/>
      <c r="M1445" s="1747"/>
      <c r="N1445" s="1747"/>
      <c r="O1445" s="2"/>
    </row>
    <row r="1446" spans="1:18" ht="15" customHeight="1">
      <c r="A1446" s="2799"/>
      <c r="B1446" s="1813"/>
      <c r="C1446" s="1819"/>
      <c r="D1446" s="1907" t="s">
        <v>3039</v>
      </c>
      <c r="E1446" s="1815"/>
      <c r="F1446" s="1816"/>
      <c r="G1446" s="1010"/>
      <c r="H1446" s="1010"/>
      <c r="I1446" s="1336" t="s">
        <v>2363</v>
      </c>
      <c r="J1446" s="1817"/>
      <c r="K1446" s="1747"/>
      <c r="L1446" s="1747"/>
      <c r="M1446" s="1747"/>
      <c r="N1446" s="1747"/>
      <c r="O1446" s="2"/>
    </row>
    <row r="1447" spans="1:18" ht="25.5" customHeight="1">
      <c r="A1447" s="2799"/>
      <c r="B1447" s="1813"/>
      <c r="C1447" s="1819"/>
      <c r="D1447" s="1908" t="s">
        <v>3040</v>
      </c>
      <c r="E1447" s="1822"/>
      <c r="F1447" s="1823"/>
      <c r="G1447" s="1824"/>
      <c r="H1447" s="1825"/>
      <c r="I1447" s="1922" t="s">
        <v>3019</v>
      </c>
      <c r="J1447" s="1817"/>
      <c r="K1447" s="1747"/>
      <c r="L1447" s="1747"/>
      <c r="M1447" s="1747"/>
      <c r="N1447" s="1747"/>
      <c r="O1447" s="2"/>
    </row>
    <row r="1448" spans="1:18" ht="15" customHeight="1">
      <c r="A1448" s="2799"/>
      <c r="B1448" s="1813"/>
      <c r="C1448" s="1819"/>
      <c r="D1448" s="1907" t="s">
        <v>3041</v>
      </c>
      <c r="E1448" s="1815"/>
      <c r="F1448" s="1816"/>
      <c r="G1448" s="1010"/>
      <c r="H1448" s="1010"/>
      <c r="I1448" s="1336" t="s">
        <v>2704</v>
      </c>
      <c r="J1448" s="1817"/>
      <c r="K1448" s="1747"/>
      <c r="L1448" s="1747"/>
      <c r="M1448" s="1747"/>
      <c r="N1448" s="1747"/>
      <c r="O1448" s="2"/>
    </row>
    <row r="1449" spans="1:18" ht="15" customHeight="1">
      <c r="A1449" s="2799"/>
      <c r="B1449" s="1813"/>
      <c r="C1449" s="1819"/>
      <c r="D1449" s="1909" t="s">
        <v>3042</v>
      </c>
      <c r="E1449" s="1815"/>
      <c r="F1449" s="1816"/>
      <c r="G1449" s="1010"/>
      <c r="H1449" s="1010"/>
      <c r="I1449" s="1336" t="s">
        <v>2363</v>
      </c>
      <c r="J1449" s="1817"/>
      <c r="K1449" s="1747"/>
      <c r="L1449" s="1747"/>
      <c r="M1449" s="1747"/>
      <c r="N1449" s="1747"/>
      <c r="O1449" s="2"/>
    </row>
    <row r="1450" spans="1:18" ht="15" customHeight="1">
      <c r="A1450" s="2799"/>
      <c r="B1450" s="1813"/>
      <c r="C1450" s="1819"/>
      <c r="D1450" s="1910" t="s">
        <v>3043</v>
      </c>
      <c r="E1450" s="1827"/>
      <c r="F1450" s="1828"/>
      <c r="G1450" s="1829"/>
      <c r="H1450" s="1826"/>
      <c r="I1450" s="1922" t="s">
        <v>2363</v>
      </c>
      <c r="J1450" s="1817"/>
      <c r="K1450" s="1747"/>
      <c r="L1450" s="1747"/>
      <c r="M1450" s="1747"/>
      <c r="N1450" s="1747"/>
      <c r="O1450" s="2"/>
    </row>
    <row r="1451" spans="1:18" ht="25.5" customHeight="1">
      <c r="A1451" s="2799"/>
      <c r="B1451" s="1813"/>
      <c r="C1451" s="1819"/>
      <c r="D1451" s="1908" t="s">
        <v>3044</v>
      </c>
      <c r="E1451" s="1822"/>
      <c r="F1451" s="1830"/>
      <c r="G1451" s="1831"/>
      <c r="H1451" s="1825"/>
      <c r="I1451" s="1922" t="s">
        <v>2363</v>
      </c>
      <c r="J1451" s="1832"/>
      <c r="K1451" s="1747"/>
      <c r="L1451" s="1747"/>
      <c r="M1451" s="1747"/>
      <c r="N1451" s="1747"/>
      <c r="O1451" s="2"/>
    </row>
    <row r="1452" spans="1:18" ht="25.5" customHeight="1">
      <c r="A1452" s="2799"/>
      <c r="B1452" s="1813"/>
      <c r="C1452" s="1833"/>
      <c r="D1452" s="1911" t="s">
        <v>3045</v>
      </c>
      <c r="E1452" s="1834"/>
      <c r="F1452" s="1826"/>
      <c r="G1452" s="1829"/>
      <c r="H1452" s="1826"/>
      <c r="I1452" s="1922" t="s">
        <v>2363</v>
      </c>
      <c r="J1452" s="1835"/>
      <c r="K1452" s="1747"/>
      <c r="L1452" s="1747"/>
      <c r="M1452" s="1747"/>
      <c r="N1452" s="1747"/>
      <c r="O1452" s="2"/>
    </row>
    <row r="1453" spans="1:18" ht="25.5" customHeight="1">
      <c r="A1453" s="2799"/>
      <c r="B1453" s="1813"/>
      <c r="C1453" s="1836"/>
      <c r="D1453" s="1908" t="s">
        <v>3046</v>
      </c>
      <c r="E1453" s="1837"/>
      <c r="F1453" s="1826"/>
      <c r="G1453" s="1829"/>
      <c r="H1453" s="1826"/>
      <c r="I1453" s="1922" t="s">
        <v>2417</v>
      </c>
      <c r="J1453" s="1835"/>
      <c r="K1453" s="1747"/>
      <c r="L1453" s="1747"/>
      <c r="M1453" s="1747"/>
      <c r="N1453" s="1747"/>
      <c r="O1453" s="2"/>
    </row>
    <row r="1454" spans="1:18" ht="25.5" customHeight="1">
      <c r="A1454" s="2799"/>
      <c r="B1454" s="1813"/>
      <c r="C1454" s="1823"/>
      <c r="D1454" s="1905" t="s">
        <v>3047</v>
      </c>
      <c r="E1454" s="1838"/>
      <c r="F1454" s="1826"/>
      <c r="G1454" s="1829"/>
      <c r="H1454" s="1826"/>
      <c r="I1454" s="1922" t="s">
        <v>2417</v>
      </c>
      <c r="J1454" s="1835"/>
      <c r="K1454" s="1747"/>
      <c r="L1454" s="1747"/>
      <c r="M1454" s="1747"/>
      <c r="N1454" s="1747"/>
      <c r="O1454" s="2"/>
    </row>
    <row r="1455" spans="1:18" ht="25.5" customHeight="1">
      <c r="A1455" s="2799"/>
      <c r="B1455" s="1813"/>
      <c r="C1455" s="1823"/>
      <c r="D1455" s="1908" t="s">
        <v>3048</v>
      </c>
      <c r="E1455" s="1837"/>
      <c r="F1455" s="1826"/>
      <c r="G1455" s="1829"/>
      <c r="H1455" s="1826"/>
      <c r="I1455" s="1922" t="s">
        <v>2417</v>
      </c>
      <c r="J1455" s="1835"/>
      <c r="K1455" s="1747"/>
      <c r="L1455" s="1747"/>
      <c r="M1455" s="1747"/>
      <c r="N1455" s="1747"/>
      <c r="O1455" s="2"/>
    </row>
    <row r="1456" spans="1:18" ht="25.5" customHeight="1">
      <c r="A1456" s="2799"/>
      <c r="B1456" s="1813"/>
      <c r="C1456" s="1823"/>
      <c r="D1456" s="1905" t="s">
        <v>3049</v>
      </c>
      <c r="E1456" s="1838"/>
      <c r="F1456" s="1826"/>
      <c r="G1456" s="1829"/>
      <c r="H1456" s="1826"/>
      <c r="I1456" s="1922" t="s">
        <v>2363</v>
      </c>
      <c r="J1456" s="1835"/>
      <c r="K1456" s="1747"/>
      <c r="L1456" s="1747"/>
      <c r="M1456" s="1747"/>
      <c r="N1456" s="1747"/>
      <c r="O1456" s="2"/>
    </row>
    <row r="1457" spans="1:15" ht="25.5" customHeight="1">
      <c r="A1457" s="2799"/>
      <c r="B1457" s="1813"/>
      <c r="C1457" s="1823"/>
      <c r="D1457" s="1905" t="s">
        <v>3050</v>
      </c>
      <c r="E1457" s="1822"/>
      <c r="F1457" s="1820"/>
      <c r="G1457" s="1010"/>
      <c r="H1457" s="1010"/>
      <c r="I1457" s="1336" t="s">
        <v>2363</v>
      </c>
      <c r="J1457" s="1835"/>
      <c r="K1457" s="1747"/>
      <c r="L1457" s="1747"/>
      <c r="M1457" s="1747"/>
      <c r="N1457" s="1747"/>
      <c r="O1457" s="2"/>
    </row>
    <row r="1458" spans="1:15" ht="15" customHeight="1">
      <c r="A1458" s="2799"/>
      <c r="B1458" s="1961">
        <v>12196</v>
      </c>
      <c r="C1458" s="1962">
        <v>0.1</v>
      </c>
      <c r="D1458" s="1912" t="s">
        <v>3051</v>
      </c>
      <c r="E1458" s="1840">
        <v>1000000</v>
      </c>
      <c r="F1458" s="1839">
        <v>0.1</v>
      </c>
      <c r="G1458" s="1841">
        <f>E1458*F1458</f>
        <v>100000</v>
      </c>
      <c r="H1458" s="1912" t="s">
        <v>527</v>
      </c>
      <c r="I1458" s="1912" t="s">
        <v>2417</v>
      </c>
      <c r="J1458" s="1835"/>
      <c r="K1458" s="1747"/>
      <c r="L1458" s="1747"/>
      <c r="M1458" s="1747"/>
      <c r="N1458" s="1747"/>
      <c r="O1458" s="2"/>
    </row>
    <row r="1459" spans="1:15" ht="25.5" customHeight="1">
      <c r="A1459" s="2799"/>
      <c r="B1459" s="1961">
        <v>12234</v>
      </c>
      <c r="C1459" s="1963">
        <v>0.1</v>
      </c>
      <c r="D1459" s="1913" t="s">
        <v>3052</v>
      </c>
      <c r="E1459" s="1842">
        <v>930000</v>
      </c>
      <c r="F1459" s="1839">
        <v>0.1</v>
      </c>
      <c r="G1459" s="1841">
        <f t="shared" ref="G1459:G1465" si="69">E1459*F1459</f>
        <v>93000</v>
      </c>
      <c r="H1459" s="1912" t="s">
        <v>527</v>
      </c>
      <c r="I1459" s="1912" t="s">
        <v>133</v>
      </c>
      <c r="J1459" s="1835"/>
      <c r="K1459" s="1747"/>
      <c r="L1459" s="1747"/>
      <c r="M1459" s="1747"/>
      <c r="N1459" s="1747"/>
      <c r="O1459" s="2"/>
    </row>
    <row r="1460" spans="1:15" ht="15" customHeight="1">
      <c r="A1460" s="2799"/>
      <c r="B1460" s="1964">
        <v>12253</v>
      </c>
      <c r="C1460" s="1962">
        <v>0.1</v>
      </c>
      <c r="D1460" s="1914" t="s">
        <v>3053</v>
      </c>
      <c r="E1460" s="1843">
        <v>900000</v>
      </c>
      <c r="F1460" s="1839">
        <v>0.1</v>
      </c>
      <c r="G1460" s="1841">
        <f t="shared" si="69"/>
        <v>90000</v>
      </c>
      <c r="H1460" s="1912" t="s">
        <v>527</v>
      </c>
      <c r="I1460" s="1912" t="s">
        <v>2363</v>
      </c>
      <c r="J1460" s="1835"/>
      <c r="K1460" s="1747"/>
      <c r="L1460" s="1747"/>
      <c r="M1460" s="1747"/>
      <c r="N1460" s="1747"/>
      <c r="O1460" s="2"/>
    </row>
    <row r="1461" spans="1:15" ht="15" customHeight="1">
      <c r="A1461" s="2799"/>
      <c r="B1461" s="1964">
        <v>12286</v>
      </c>
      <c r="C1461" s="1962">
        <v>0.1</v>
      </c>
      <c r="D1461" s="1915" t="s">
        <v>3015</v>
      </c>
      <c r="E1461" s="1843">
        <v>1050000</v>
      </c>
      <c r="F1461" s="1839">
        <v>0.05</v>
      </c>
      <c r="G1461" s="1841">
        <f t="shared" si="69"/>
        <v>52500</v>
      </c>
      <c r="H1461" s="1912" t="s">
        <v>748</v>
      </c>
      <c r="I1461" s="1912" t="s">
        <v>2363</v>
      </c>
      <c r="J1461" s="1835"/>
      <c r="K1461" s="1747"/>
      <c r="L1461" s="1747"/>
      <c r="M1461" s="1747"/>
      <c r="N1461" s="1747"/>
      <c r="O1461" s="2"/>
    </row>
    <row r="1462" spans="1:15" ht="15" customHeight="1">
      <c r="A1462" s="2799"/>
      <c r="B1462" s="1965">
        <v>12364</v>
      </c>
      <c r="C1462" s="1966">
        <v>0.1</v>
      </c>
      <c r="D1462" s="1916" t="s">
        <v>3054</v>
      </c>
      <c r="E1462" s="1844">
        <v>980000</v>
      </c>
      <c r="F1462" s="1839">
        <v>0.1</v>
      </c>
      <c r="G1462" s="1841">
        <f t="shared" si="69"/>
        <v>98000</v>
      </c>
      <c r="H1462" s="1214" t="s">
        <v>527</v>
      </c>
      <c r="I1462" s="1214" t="s">
        <v>2363</v>
      </c>
      <c r="J1462" s="1845"/>
      <c r="K1462" s="1748"/>
      <c r="L1462" s="1679"/>
      <c r="M1462" s="1562"/>
      <c r="N1462" s="300"/>
      <c r="O1462" s="286"/>
    </row>
    <row r="1463" spans="1:15" ht="15" customHeight="1">
      <c r="A1463" s="2799"/>
      <c r="B1463" s="1965">
        <v>12367</v>
      </c>
      <c r="C1463" s="1966">
        <v>0.1</v>
      </c>
      <c r="D1463" s="1917" t="s">
        <v>2996</v>
      </c>
      <c r="E1463" s="1844">
        <v>1300000</v>
      </c>
      <c r="F1463" s="1839">
        <v>0.05</v>
      </c>
      <c r="G1463" s="1841">
        <f t="shared" si="69"/>
        <v>65000</v>
      </c>
      <c r="H1463" s="1214" t="s">
        <v>582</v>
      </c>
      <c r="I1463" s="1214" t="s">
        <v>2417</v>
      </c>
      <c r="J1463" s="1845"/>
      <c r="K1463" s="1748"/>
      <c r="L1463" s="1679"/>
      <c r="M1463" s="1562"/>
      <c r="N1463" s="300"/>
      <c r="O1463" s="286"/>
    </row>
    <row r="1464" spans="1:15" ht="15" customHeight="1">
      <c r="A1464" s="2799"/>
      <c r="B1464" s="1965">
        <v>12398</v>
      </c>
      <c r="C1464" s="1966">
        <v>0.1</v>
      </c>
      <c r="D1464" s="1918" t="s">
        <v>3055</v>
      </c>
      <c r="E1464" s="1844">
        <v>950000</v>
      </c>
      <c r="F1464" s="1839">
        <v>0.05</v>
      </c>
      <c r="G1464" s="1841">
        <f t="shared" si="69"/>
        <v>47500</v>
      </c>
      <c r="H1464" s="1214" t="s">
        <v>2761</v>
      </c>
      <c r="I1464" s="1214" t="s">
        <v>3019</v>
      </c>
      <c r="J1464" s="1845"/>
      <c r="K1464" s="1748"/>
      <c r="L1464" s="1679"/>
      <c r="M1464" s="1562"/>
      <c r="N1464" s="300"/>
      <c r="O1464" s="286"/>
    </row>
    <row r="1465" spans="1:15" ht="15" customHeight="1">
      <c r="A1465" s="2799"/>
      <c r="B1465" s="1965">
        <v>12425</v>
      </c>
      <c r="C1465" s="1966">
        <v>0.1</v>
      </c>
      <c r="D1465" s="1918" t="s">
        <v>3056</v>
      </c>
      <c r="E1465" s="1844">
        <v>1100000</v>
      </c>
      <c r="F1465" s="1839">
        <v>0.05</v>
      </c>
      <c r="G1465" s="1841">
        <f t="shared" si="69"/>
        <v>55000</v>
      </c>
      <c r="H1465" s="1214" t="s">
        <v>748</v>
      </c>
      <c r="I1465" s="1214" t="s">
        <v>2417</v>
      </c>
      <c r="J1465" s="1845"/>
      <c r="K1465" s="1748"/>
      <c r="L1465" s="1679"/>
      <c r="M1465" s="1562"/>
      <c r="N1465" s="300"/>
      <c r="O1465" s="286"/>
    </row>
    <row r="1466" spans="1:15" ht="15" customHeight="1">
      <c r="A1466" s="2799"/>
      <c r="B1466" s="1846"/>
      <c r="C1466" s="1847"/>
      <c r="D1466" s="1856"/>
      <c r="E1466" s="1851"/>
      <c r="F1466" s="1852"/>
      <c r="G1466" s="1853"/>
      <c r="H1466" s="1854"/>
      <c r="I1466" s="1855"/>
      <c r="J1466" s="1845"/>
      <c r="K1466" s="1748"/>
      <c r="L1466" s="1679"/>
      <c r="M1466" s="1562"/>
      <c r="N1466" s="300"/>
      <c r="O1466" s="286"/>
    </row>
    <row r="1467" spans="1:15" ht="15" customHeight="1">
      <c r="A1467" s="2799"/>
      <c r="B1467" s="1846"/>
      <c r="C1467" s="1847"/>
      <c r="D1467" s="1856"/>
      <c r="E1467" s="1851"/>
      <c r="F1467" s="1852"/>
      <c r="G1467" s="1853"/>
      <c r="H1467" s="1854"/>
      <c r="I1467" s="1855"/>
      <c r="J1467" s="1845"/>
      <c r="K1467" s="1748"/>
      <c r="L1467" s="1679"/>
      <c r="M1467" s="1562"/>
      <c r="N1467" s="300"/>
      <c r="O1467" s="286"/>
    </row>
    <row r="1468" spans="1:15" ht="15" customHeight="1">
      <c r="A1468" s="2799"/>
      <c r="B1468" s="1857"/>
      <c r="C1468" s="1858"/>
      <c r="D1468" s="1859" t="s">
        <v>1833</v>
      </c>
      <c r="E1468" s="1860">
        <f>SUM(E1458:E1465)</f>
        <v>8210000</v>
      </c>
      <c r="F1468" s="1861"/>
      <c r="G1468" s="1862">
        <f>SUM(G1458:G1465)</f>
        <v>601000</v>
      </c>
      <c r="H1468" s="1861"/>
      <c r="I1468" s="1861"/>
      <c r="J1468" s="1863"/>
      <c r="K1468" s="279"/>
      <c r="L1468" s="2849" t="s">
        <v>1859</v>
      </c>
      <c r="M1468" s="2845"/>
      <c r="N1468" s="2820"/>
      <c r="O1468" s="821">
        <f>SUM(O1440:O1442)</f>
        <v>175000</v>
      </c>
    </row>
    <row r="1469" spans="1:15" ht="15" customHeight="1">
      <c r="A1469" s="2800"/>
      <c r="B1469" s="1864"/>
      <c r="C1469" s="1865"/>
      <c r="D1469" s="1866" t="s">
        <v>1835</v>
      </c>
      <c r="E1469" s="1867">
        <f>SUM(G1468+O1468)</f>
        <v>776000</v>
      </c>
      <c r="F1469" s="1868"/>
      <c r="G1469" s="1869"/>
      <c r="H1469" s="1868"/>
      <c r="I1469" s="1868"/>
      <c r="J1469" s="1870"/>
      <c r="K1469" s="279"/>
      <c r="L1469" s="941"/>
      <c r="M1469" s="941"/>
      <c r="N1469" s="941"/>
      <c r="O1469" s="286"/>
    </row>
    <row r="1470" spans="1:15" ht="15.6">
      <c r="A1470" s="2267"/>
      <c r="B1470" s="1872"/>
      <c r="C1470" s="1872"/>
      <c r="D1470" s="1872"/>
      <c r="E1470" s="1873"/>
      <c r="F1470" s="1872"/>
      <c r="G1470" s="1874"/>
      <c r="H1470" s="1872"/>
      <c r="I1470" s="1872"/>
      <c r="J1470" s="1872"/>
      <c r="K1470" s="460"/>
      <c r="L1470" s="461"/>
      <c r="M1470" s="461"/>
      <c r="N1470" s="461"/>
      <c r="O1470" s="455"/>
    </row>
    <row r="1471" spans="1:15" ht="15.6">
      <c r="A1471" s="2267"/>
      <c r="B1471" s="1875"/>
      <c r="C1471" s="1875"/>
      <c r="D1471" s="1875"/>
      <c r="E1471" s="1876"/>
      <c r="F1471" s="1875"/>
      <c r="G1471" s="1877"/>
      <c r="H1471" s="1875"/>
      <c r="I1471" s="1875"/>
      <c r="J1471" s="1875"/>
      <c r="K1471" s="803"/>
      <c r="L1471" s="804"/>
      <c r="M1471" s="804"/>
      <c r="N1471" s="804"/>
      <c r="O1471" s="805"/>
    </row>
    <row r="1472" spans="1:15" ht="21">
      <c r="A1472" s="2947" t="s">
        <v>1887</v>
      </c>
      <c r="B1472" s="2948"/>
      <c r="C1472" s="2948"/>
      <c r="D1472" s="2948"/>
      <c r="E1472" s="2948"/>
      <c r="F1472" s="2948"/>
      <c r="G1472" s="2948"/>
      <c r="H1472" s="2948"/>
      <c r="I1472" s="2948"/>
      <c r="J1472" s="2949"/>
      <c r="K1472" s="279"/>
      <c r="L1472" s="818"/>
      <c r="M1472" s="818"/>
      <c r="N1472" s="818"/>
      <c r="O1472" s="286"/>
    </row>
    <row r="1473" spans="1:17">
      <c r="A1473" s="2268" t="s">
        <v>1806</v>
      </c>
      <c r="B1473" s="1879" t="s">
        <v>1807</v>
      </c>
      <c r="C1473" s="1879" t="s">
        <v>1837</v>
      </c>
      <c r="D1473" s="1879" t="s">
        <v>1809</v>
      </c>
      <c r="E1473" s="1880" t="s">
        <v>1810</v>
      </c>
      <c r="F1473" s="1879" t="s">
        <v>1811</v>
      </c>
      <c r="G1473" s="1881" t="s">
        <v>1812</v>
      </c>
      <c r="H1473" s="1879" t="s">
        <v>1813</v>
      </c>
      <c r="I1473" s="1879" t="s">
        <v>1814</v>
      </c>
      <c r="J1473" s="1835" t="s">
        <v>1815</v>
      </c>
      <c r="K1473" s="1747" t="s">
        <v>1807</v>
      </c>
      <c r="L1473" s="1747" t="s">
        <v>1809</v>
      </c>
      <c r="M1473" s="1747" t="s">
        <v>1816</v>
      </c>
      <c r="N1473" s="1747" t="s">
        <v>1811</v>
      </c>
      <c r="O1473" s="2" t="s">
        <v>1817</v>
      </c>
    </row>
    <row r="1474" spans="1:17">
      <c r="A1474" s="2799" t="s">
        <v>1818</v>
      </c>
      <c r="B1474" s="1819"/>
      <c r="C1474" s="1882"/>
      <c r="D1474" s="1927" t="s">
        <v>3057</v>
      </c>
      <c r="E1474" s="1837"/>
      <c r="F1474" s="1823"/>
      <c r="G1474" s="1831"/>
      <c r="H1474" s="1922"/>
      <c r="I1474" s="1922" t="s">
        <v>2363</v>
      </c>
      <c r="J1474" s="1835"/>
      <c r="K1474" s="836">
        <v>12398</v>
      </c>
      <c r="L1474" s="1506" t="s">
        <v>3055</v>
      </c>
      <c r="M1474" s="1473">
        <v>950000</v>
      </c>
      <c r="N1474" s="273">
        <v>0.05</v>
      </c>
      <c r="O1474" s="1317">
        <f>M1474*N1474</f>
        <v>47500</v>
      </c>
      <c r="P1474" s="299"/>
      <c r="Q1474" s="1031"/>
    </row>
    <row r="1475" spans="1:17" ht="26.45">
      <c r="A1475" s="2799"/>
      <c r="B1475" s="1819"/>
      <c r="C1475" s="1882"/>
      <c r="D1475" s="1928" t="s">
        <v>3058</v>
      </c>
      <c r="E1475" s="1837"/>
      <c r="F1475" s="1823"/>
      <c r="G1475" s="1831"/>
      <c r="H1475" s="1922"/>
      <c r="I1475" s="1922" t="s">
        <v>2363</v>
      </c>
      <c r="J1475" s="1835"/>
      <c r="K1475" s="1747"/>
      <c r="L1475" s="1738"/>
      <c r="M1475" s="1739"/>
      <c r="N1475" s="520"/>
      <c r="O1475" s="344"/>
      <c r="P1475" s="344"/>
      <c r="Q1475" s="290"/>
    </row>
    <row r="1476" spans="1:17" ht="26.45">
      <c r="A1476" s="2799"/>
      <c r="B1476" s="1819"/>
      <c r="C1476" s="1882"/>
      <c r="D1476" s="1908" t="s">
        <v>3059</v>
      </c>
      <c r="E1476" s="1837"/>
      <c r="F1476" s="1823"/>
      <c r="G1476" s="1831"/>
      <c r="H1476" s="1922"/>
      <c r="I1476" s="1922" t="s">
        <v>2363</v>
      </c>
      <c r="J1476" s="1835"/>
      <c r="K1476" s="1747"/>
      <c r="L1476" s="1747"/>
      <c r="M1476" s="1747"/>
      <c r="N1476" s="1747"/>
      <c r="O1476" s="2"/>
    </row>
    <row r="1477" spans="1:17">
      <c r="A1477" s="2799"/>
      <c r="B1477" s="1819"/>
      <c r="C1477" s="1883"/>
      <c r="D1477" s="1908" t="s">
        <v>3060</v>
      </c>
      <c r="E1477" s="1815"/>
      <c r="F1477" s="1823"/>
      <c r="G1477" s="1831"/>
      <c r="H1477" s="1934"/>
      <c r="I1477" s="1922" t="s">
        <v>2363</v>
      </c>
      <c r="J1477" s="1884"/>
      <c r="K1477" s="1747"/>
      <c r="L1477" s="1747"/>
      <c r="M1477" s="1747"/>
      <c r="N1477" s="1747"/>
      <c r="O1477" s="2"/>
    </row>
    <row r="1478" spans="1:17">
      <c r="A1478" s="2799"/>
      <c r="B1478" s="1819"/>
      <c r="C1478" s="1813"/>
      <c r="D1478" s="1905" t="s">
        <v>3061</v>
      </c>
      <c r="E1478" s="1837"/>
      <c r="F1478" s="1826"/>
      <c r="G1478" s="1829"/>
      <c r="H1478" s="1922"/>
      <c r="I1478" s="1922" t="s">
        <v>2363</v>
      </c>
      <c r="J1478" s="1835"/>
      <c r="K1478" s="1747"/>
      <c r="L1478" s="1747"/>
      <c r="M1478" s="1747"/>
      <c r="N1478" s="1747"/>
      <c r="O1478" s="2"/>
    </row>
    <row r="1479" spans="1:17" ht="15.6">
      <c r="A1479" s="2799"/>
      <c r="B1479" s="1958">
        <v>12215</v>
      </c>
      <c r="C1479" s="1959">
        <v>0.1</v>
      </c>
      <c r="D1479" s="1914" t="s">
        <v>3062</v>
      </c>
      <c r="E1479" s="1844">
        <v>950000</v>
      </c>
      <c r="F1479" s="1839">
        <v>0.1</v>
      </c>
      <c r="G1479" s="1885">
        <f>E1479*F1479</f>
        <v>95000</v>
      </c>
      <c r="H1479" s="1935" t="s">
        <v>2761</v>
      </c>
      <c r="I1479" s="1912" t="s">
        <v>2363</v>
      </c>
      <c r="J1479" s="1884"/>
      <c r="K1479" s="1747"/>
      <c r="L1479" s="1747"/>
      <c r="M1479" s="1747"/>
      <c r="N1479" s="1747"/>
      <c r="O1479" s="2"/>
    </row>
    <row r="1480" spans="1:17" ht="15.6">
      <c r="A1480" s="2799"/>
      <c r="B1480" s="1958">
        <v>12252</v>
      </c>
      <c r="C1480" s="1959">
        <v>0.1</v>
      </c>
      <c r="D1480" s="1914">
        <v>8</v>
      </c>
      <c r="E1480" s="1844">
        <v>1000000</v>
      </c>
      <c r="F1480" s="1839">
        <v>0.1</v>
      </c>
      <c r="G1480" s="1885">
        <f t="shared" ref="G1480:G1488" si="70">E1480*F1480</f>
        <v>100000</v>
      </c>
      <c r="H1480" s="1935" t="s">
        <v>2761</v>
      </c>
      <c r="I1480" s="1912" t="s">
        <v>2363</v>
      </c>
      <c r="J1480" s="1835"/>
      <c r="K1480" s="1747"/>
      <c r="L1480" s="1747"/>
      <c r="M1480" s="1747"/>
      <c r="N1480" s="1747"/>
      <c r="O1480" s="2"/>
    </row>
    <row r="1481" spans="1:17" ht="15.6">
      <c r="A1481" s="2799"/>
      <c r="B1481" s="1958">
        <v>12287</v>
      </c>
      <c r="C1481" s="1959">
        <v>0.1</v>
      </c>
      <c r="D1481" s="1915" t="s">
        <v>3063</v>
      </c>
      <c r="E1481" s="1886">
        <v>900000</v>
      </c>
      <c r="F1481" s="1839">
        <v>0.1</v>
      </c>
      <c r="G1481" s="1885">
        <f t="shared" si="70"/>
        <v>90000</v>
      </c>
      <c r="H1481" s="1912" t="s">
        <v>2761</v>
      </c>
      <c r="I1481" s="1912" t="s">
        <v>2417</v>
      </c>
      <c r="J1481" s="1835"/>
      <c r="K1481" s="1747"/>
      <c r="L1481" s="1747"/>
      <c r="M1481" s="1747"/>
      <c r="N1481" s="1747"/>
      <c r="O1481" s="2"/>
    </row>
    <row r="1482" spans="1:17" ht="15.6">
      <c r="A1482" s="2799"/>
      <c r="B1482" s="1958">
        <v>12301</v>
      </c>
      <c r="C1482" s="1959">
        <v>0.1</v>
      </c>
      <c r="D1482" s="1929" t="s">
        <v>3011</v>
      </c>
      <c r="E1482" s="1887">
        <v>1200000</v>
      </c>
      <c r="F1482" s="1839">
        <v>0.05</v>
      </c>
      <c r="G1482" s="1885">
        <f t="shared" si="70"/>
        <v>60000</v>
      </c>
      <c r="H1482" s="1912" t="s">
        <v>523</v>
      </c>
      <c r="I1482" s="1912" t="s">
        <v>2363</v>
      </c>
      <c r="J1482" s="1835"/>
      <c r="K1482" s="1747"/>
      <c r="L1482" s="1747"/>
      <c r="M1482" s="1747"/>
      <c r="N1482" s="1747"/>
      <c r="O1482" s="2"/>
    </row>
    <row r="1483" spans="1:17" ht="15.6">
      <c r="A1483" s="2799"/>
      <c r="B1483" s="1958">
        <v>12321</v>
      </c>
      <c r="C1483" s="1960">
        <v>0.1</v>
      </c>
      <c r="D1483" s="1930" t="s">
        <v>3033</v>
      </c>
      <c r="E1483" s="1843">
        <v>950000</v>
      </c>
      <c r="F1483" s="1839">
        <v>0.05</v>
      </c>
      <c r="G1483" s="1885">
        <f t="shared" si="70"/>
        <v>47500</v>
      </c>
      <c r="H1483" s="1912" t="s">
        <v>527</v>
      </c>
      <c r="I1483" s="1936" t="s">
        <v>3019</v>
      </c>
      <c r="J1483" s="1835"/>
      <c r="K1483" s="1747"/>
      <c r="L1483" s="1747"/>
      <c r="M1483" s="1747"/>
      <c r="N1483" s="1747"/>
      <c r="O1483" s="2"/>
    </row>
    <row r="1484" spans="1:17" ht="15.6">
      <c r="A1484" s="2799"/>
      <c r="B1484" s="1958">
        <v>12327</v>
      </c>
      <c r="C1484" s="1960">
        <v>0.1</v>
      </c>
      <c r="D1484" s="1929" t="s">
        <v>3064</v>
      </c>
      <c r="E1484" s="1886">
        <v>1050000</v>
      </c>
      <c r="F1484" s="1839">
        <v>0.1</v>
      </c>
      <c r="G1484" s="1885">
        <f t="shared" si="70"/>
        <v>105000</v>
      </c>
      <c r="H1484" s="1912" t="s">
        <v>2761</v>
      </c>
      <c r="I1484" s="1937" t="s">
        <v>2363</v>
      </c>
      <c r="J1484" s="1835"/>
      <c r="K1484" s="1747"/>
      <c r="L1484" s="1747"/>
      <c r="M1484" s="1747"/>
      <c r="N1484" s="1747"/>
      <c r="O1484" s="2"/>
    </row>
    <row r="1485" spans="1:17" ht="15.6">
      <c r="A1485" s="2799"/>
      <c r="B1485" s="1958">
        <v>12336</v>
      </c>
      <c r="C1485" s="1960">
        <v>0.1</v>
      </c>
      <c r="D1485" s="1931" t="s">
        <v>3065</v>
      </c>
      <c r="E1485" s="1888">
        <v>900000</v>
      </c>
      <c r="F1485" s="1839">
        <v>0.06</v>
      </c>
      <c r="G1485" s="1885">
        <f t="shared" si="70"/>
        <v>54000</v>
      </c>
      <c r="H1485" s="1214" t="s">
        <v>118</v>
      </c>
      <c r="I1485" s="1214" t="s">
        <v>3066</v>
      </c>
      <c r="J1485" s="1835"/>
      <c r="K1485" s="1747"/>
      <c r="L1485" s="1747"/>
      <c r="M1485" s="1747"/>
      <c r="N1485" s="1747"/>
      <c r="O1485" s="2"/>
    </row>
    <row r="1486" spans="1:17" s="503" customFormat="1" ht="15.6">
      <c r="A1486" s="2799"/>
      <c r="B1486" s="1958">
        <v>12377</v>
      </c>
      <c r="C1486" s="2014">
        <v>0.1</v>
      </c>
      <c r="D1486" s="2015" t="s">
        <v>3067</v>
      </c>
      <c r="E1486" s="1886">
        <v>850000</v>
      </c>
      <c r="F1486" s="1839">
        <v>0.1</v>
      </c>
      <c r="G1486" s="1885">
        <f t="shared" si="70"/>
        <v>85000</v>
      </c>
      <c r="H1486" s="1912" t="s">
        <v>2761</v>
      </c>
      <c r="I1486" s="1912" t="s">
        <v>2363</v>
      </c>
      <c r="J1486" s="1884"/>
      <c r="K1486" s="1747"/>
      <c r="L1486" s="1747"/>
      <c r="M1486" s="1747"/>
      <c r="N1486" s="1747"/>
      <c r="O1486" s="51"/>
    </row>
    <row r="1487" spans="1:17" s="503" customFormat="1" ht="15.6">
      <c r="A1487" s="2799"/>
      <c r="B1487" s="2057">
        <v>12430</v>
      </c>
      <c r="C1487" s="2011">
        <v>0.1</v>
      </c>
      <c r="D1487" s="1915" t="s">
        <v>3068</v>
      </c>
      <c r="E1487" s="1844">
        <v>1300000</v>
      </c>
      <c r="F1487" s="1839">
        <v>0.1</v>
      </c>
      <c r="G1487" s="1885">
        <f t="shared" si="70"/>
        <v>130000</v>
      </c>
      <c r="H1487" s="1214" t="s">
        <v>2761</v>
      </c>
      <c r="I1487" s="1214" t="s">
        <v>2363</v>
      </c>
      <c r="J1487" s="1845"/>
      <c r="K1487" s="1747"/>
      <c r="L1487" s="1747"/>
      <c r="M1487" s="1747"/>
      <c r="N1487" s="1747"/>
      <c r="O1487" s="51"/>
    </row>
    <row r="1488" spans="1:17" ht="15" customHeight="1">
      <c r="A1488" s="2799"/>
      <c r="B1488" s="2057">
        <v>12432</v>
      </c>
      <c r="C1488" s="2011">
        <v>0.1</v>
      </c>
      <c r="D1488" s="1930" t="s">
        <v>3035</v>
      </c>
      <c r="E1488" s="2054">
        <v>1350000</v>
      </c>
      <c r="F1488" s="1839">
        <v>0.05</v>
      </c>
      <c r="G1488" s="1885">
        <f t="shared" si="70"/>
        <v>67500</v>
      </c>
      <c r="H1488" s="2055" t="s">
        <v>527</v>
      </c>
      <c r="I1488" s="1214" t="s">
        <v>2363</v>
      </c>
      <c r="J1488" s="1845"/>
      <c r="K1488" s="1747"/>
      <c r="L1488" s="1747"/>
      <c r="M1488" s="1747"/>
      <c r="N1488" s="1747"/>
      <c r="O1488" s="2"/>
    </row>
    <row r="1489" spans="1:15" ht="15" customHeight="1">
      <c r="A1489" s="2799"/>
      <c r="B1489" s="2013"/>
      <c r="C1489" s="1849"/>
      <c r="D1489" s="2012"/>
      <c r="E1489" s="1895"/>
      <c r="F1489" s="1893"/>
      <c r="G1489" s="1896"/>
      <c r="H1489" s="1921"/>
      <c r="I1489" s="1940"/>
      <c r="J1489" s="1845"/>
      <c r="K1489" s="1748"/>
      <c r="L1489" s="1679"/>
      <c r="M1489" s="1562"/>
      <c r="N1489" s="300"/>
      <c r="O1489" s="286"/>
    </row>
    <row r="1490" spans="1:15" ht="15" customHeight="1">
      <c r="A1490" s="2799"/>
      <c r="B1490" s="1861"/>
      <c r="C1490" s="2016"/>
      <c r="D1490" s="2017" t="s">
        <v>1833</v>
      </c>
      <c r="E1490" s="1860">
        <f>SUM(E1479:E1488)</f>
        <v>10450000</v>
      </c>
      <c r="F1490" s="1861"/>
      <c r="G1490" s="1862">
        <f>SUM(G1479:G1488)</f>
        <v>834000</v>
      </c>
      <c r="H1490" s="1861"/>
      <c r="I1490" s="1861"/>
      <c r="J1490" s="1863"/>
      <c r="K1490" s="279"/>
      <c r="L1490" s="2849" t="s">
        <v>1859</v>
      </c>
      <c r="M1490" s="2845"/>
      <c r="N1490" s="2820"/>
      <c r="O1490" s="821">
        <f>O1474</f>
        <v>47500</v>
      </c>
    </row>
    <row r="1491" spans="1:15" ht="15" customHeight="1">
      <c r="A1491" s="2800"/>
      <c r="B1491" s="1899"/>
      <c r="C1491" s="1868"/>
      <c r="D1491" s="1866" t="s">
        <v>1835</v>
      </c>
      <c r="E1491" s="1867">
        <f>G1490+O1490</f>
        <v>881500</v>
      </c>
      <c r="F1491" s="1868"/>
      <c r="G1491" s="1869"/>
      <c r="H1491" s="1868"/>
      <c r="I1491" s="1868"/>
      <c r="J1491" s="1870"/>
      <c r="K1491" s="279"/>
      <c r="L1491" s="941"/>
      <c r="M1491" s="941"/>
      <c r="N1491" s="941"/>
      <c r="O1491" s="286"/>
    </row>
    <row r="1492" spans="1:15" ht="15.6">
      <c r="A1492" s="2209"/>
      <c r="B1492" s="799"/>
      <c r="C1492" s="799"/>
      <c r="D1492" s="1145"/>
      <c r="E1492" s="801"/>
      <c r="F1492" s="799"/>
      <c r="G1492" s="802"/>
      <c r="H1492" s="799"/>
      <c r="I1492" s="799"/>
      <c r="J1492" s="800"/>
      <c r="K1492" s="803"/>
      <c r="L1492" s="804"/>
      <c r="M1492" s="804"/>
      <c r="N1492" s="804"/>
      <c r="O1492" s="805"/>
    </row>
    <row r="1493" spans="1:15" ht="15.6">
      <c r="A1493" s="2209"/>
      <c r="B1493" s="799"/>
      <c r="C1493" s="799"/>
      <c r="D1493" s="1145"/>
      <c r="E1493" s="801"/>
      <c r="F1493" s="799"/>
      <c r="G1493" s="802"/>
      <c r="H1493" s="799"/>
      <c r="I1493" s="799"/>
      <c r="J1493" s="800"/>
      <c r="K1493" s="803"/>
      <c r="L1493" s="804"/>
      <c r="M1493" s="804"/>
      <c r="N1493" s="804"/>
      <c r="O1493" s="805"/>
    </row>
    <row r="1494" spans="1:15">
      <c r="A1494" s="90"/>
      <c r="E1494" s="91"/>
      <c r="G1494" s="92"/>
      <c r="H1494" s="1001"/>
    </row>
    <row r="1495" spans="1:15">
      <c r="A1495" s="2925" t="s">
        <v>3069</v>
      </c>
      <c r="B1495" s="2926"/>
      <c r="C1495" s="2926"/>
      <c r="D1495" s="2926"/>
      <c r="E1495" s="2926"/>
      <c r="F1495" s="2926"/>
      <c r="G1495" s="2926"/>
      <c r="H1495" s="2927"/>
    </row>
    <row r="1496" spans="1:15">
      <c r="A1496" s="2928"/>
      <c r="B1496" s="2929"/>
      <c r="C1496" s="2929"/>
      <c r="D1496" s="2929"/>
      <c r="E1496" s="2929"/>
      <c r="F1496" s="2929"/>
      <c r="G1496" s="2929"/>
      <c r="H1496" s="2930"/>
      <c r="J1496" s="503"/>
      <c r="K1496" s="503"/>
      <c r="L1496" s="503"/>
      <c r="M1496" s="503"/>
      <c r="N1496" s="503"/>
      <c r="O1496" s="503"/>
    </row>
    <row r="1497" spans="1:15" ht="20.45">
      <c r="A1497" s="46" t="s">
        <v>2011</v>
      </c>
      <c r="B1497" s="33" t="s">
        <v>1808</v>
      </c>
      <c r="C1497" s="176" t="s">
        <v>2012</v>
      </c>
      <c r="D1497" s="1066" t="s">
        <v>2580</v>
      </c>
      <c r="E1497" s="63" t="s">
        <v>2013</v>
      </c>
      <c r="F1497" s="398" t="s">
        <v>1811</v>
      </c>
      <c r="G1497" s="643" t="s">
        <v>1817</v>
      </c>
      <c r="H1497" s="94" t="s">
        <v>2125</v>
      </c>
      <c r="I1497" s="2"/>
      <c r="J1497" s="503"/>
      <c r="K1497" s="503"/>
      <c r="L1497" s="503"/>
      <c r="M1497" s="503"/>
      <c r="N1497" s="503"/>
      <c r="O1497" s="503"/>
    </row>
    <row r="1498" spans="1:15">
      <c r="A1498" s="1809"/>
      <c r="B1498" s="336"/>
      <c r="C1498" s="1219" t="s">
        <v>3070</v>
      </c>
      <c r="D1498" s="1761" t="s">
        <v>3071</v>
      </c>
      <c r="E1498" s="1743"/>
      <c r="F1498" s="1349"/>
      <c r="G1498" s="1343"/>
      <c r="H1498" s="377" t="s">
        <v>748</v>
      </c>
      <c r="I1498" s="2"/>
      <c r="J1498" s="503"/>
      <c r="K1498" s="503"/>
      <c r="L1498" s="503"/>
      <c r="M1498" s="503"/>
      <c r="N1498" s="503"/>
      <c r="O1498" s="503"/>
    </row>
    <row r="1499" spans="1:15">
      <c r="A1499" s="127"/>
      <c r="B1499" s="869"/>
      <c r="C1499" s="714" t="s">
        <v>3072</v>
      </c>
      <c r="D1499" s="409" t="s">
        <v>2127</v>
      </c>
      <c r="E1499" s="1618"/>
      <c r="F1499" s="1204"/>
      <c r="G1499" s="586"/>
      <c r="H1499" s="377" t="s">
        <v>527</v>
      </c>
      <c r="I1499" s="943"/>
      <c r="J1499" s="503"/>
      <c r="K1499" s="503"/>
      <c r="L1499" s="503"/>
      <c r="M1499" s="503"/>
      <c r="N1499" s="503"/>
      <c r="O1499" s="503"/>
    </row>
    <row r="1500" spans="1:15">
      <c r="A1500" s="127"/>
      <c r="B1500" s="1797"/>
      <c r="C1500" s="1262" t="s">
        <v>3073</v>
      </c>
      <c r="D1500" s="1798" t="s">
        <v>2251</v>
      </c>
      <c r="E1500" s="1618"/>
      <c r="F1500" s="1204"/>
      <c r="G1500" s="586"/>
      <c r="H1500" s="377" t="s">
        <v>527</v>
      </c>
      <c r="I1500" s="2"/>
      <c r="J1500" s="503"/>
      <c r="K1500" s="503"/>
      <c r="L1500" s="503"/>
      <c r="M1500" s="503"/>
      <c r="N1500" s="503"/>
      <c r="O1500" s="503"/>
    </row>
    <row r="1501" spans="1:15">
      <c r="A1501" s="127"/>
      <c r="B1501" s="869"/>
      <c r="C1501" s="714" t="s">
        <v>3074</v>
      </c>
      <c r="D1501" s="1799" t="s">
        <v>2251</v>
      </c>
      <c r="E1501" s="1618"/>
      <c r="F1501" s="1204"/>
      <c r="G1501" s="586"/>
      <c r="H1501" s="377" t="s">
        <v>748</v>
      </c>
      <c r="I1501" s="2"/>
      <c r="J1501" s="503"/>
      <c r="K1501" s="503"/>
      <c r="L1501" s="503"/>
      <c r="M1501" s="503"/>
      <c r="N1501" s="503"/>
      <c r="O1501" s="503"/>
    </row>
    <row r="1502" spans="1:15">
      <c r="A1502" s="127"/>
      <c r="B1502" s="336"/>
      <c r="C1502" s="1262" t="s">
        <v>3075</v>
      </c>
      <c r="D1502" s="1799" t="s">
        <v>2251</v>
      </c>
      <c r="E1502" s="1618"/>
      <c r="F1502" s="1204"/>
      <c r="G1502" s="586"/>
      <c r="H1502" s="377" t="s">
        <v>527</v>
      </c>
      <c r="I1502" s="2"/>
      <c r="J1502" s="503"/>
      <c r="K1502" s="503"/>
      <c r="L1502" s="503"/>
      <c r="M1502" s="503"/>
      <c r="N1502" s="503"/>
      <c r="O1502" s="503"/>
    </row>
    <row r="1503" spans="1:15" ht="27">
      <c r="A1503" s="127"/>
      <c r="B1503" s="336"/>
      <c r="C1503" s="1413" t="s">
        <v>3036</v>
      </c>
      <c r="D1503" s="1764" t="s">
        <v>3076</v>
      </c>
      <c r="E1503" s="336"/>
      <c r="F1503" s="350"/>
      <c r="G1503" s="592"/>
      <c r="H1503" s="409" t="s">
        <v>2417</v>
      </c>
      <c r="I1503" s="2"/>
      <c r="J1503" s="503"/>
      <c r="K1503" s="503"/>
      <c r="L1503" s="503"/>
      <c r="M1503" s="503"/>
      <c r="N1503" s="503"/>
      <c r="O1503" s="503"/>
    </row>
    <row r="1504" spans="1:15">
      <c r="A1504" s="127"/>
      <c r="B1504" s="1693"/>
      <c r="C1504" s="714" t="s">
        <v>3077</v>
      </c>
      <c r="D1504" s="409" t="s">
        <v>3078</v>
      </c>
      <c r="E1504" s="1618"/>
      <c r="F1504" s="1204"/>
      <c r="G1504" s="586"/>
      <c r="H1504" s="377" t="s">
        <v>523</v>
      </c>
      <c r="I1504" s="2"/>
      <c r="J1504" s="503"/>
      <c r="K1504" s="503"/>
      <c r="L1504" s="503"/>
      <c r="M1504" s="503"/>
      <c r="N1504" s="503"/>
      <c r="O1504" s="503"/>
    </row>
    <row r="1505" spans="1:15">
      <c r="A1505" s="127"/>
      <c r="B1505" s="1693"/>
      <c r="C1505" s="1267" t="s">
        <v>3079</v>
      </c>
      <c r="D1505" s="1139" t="s">
        <v>3080</v>
      </c>
      <c r="E1505" s="1644"/>
      <c r="F1505" s="1204"/>
      <c r="G1505" s="586"/>
      <c r="H1505" s="377" t="s">
        <v>527</v>
      </c>
      <c r="I1505" s="2"/>
      <c r="J1505" s="503"/>
      <c r="K1505" s="503"/>
      <c r="L1505" s="503"/>
      <c r="M1505" s="503"/>
      <c r="N1505" s="503"/>
      <c r="O1505" s="503"/>
    </row>
    <row r="1506" spans="1:15" ht="27">
      <c r="A1506" s="127"/>
      <c r="B1506" s="1693"/>
      <c r="C1506" s="714" t="s">
        <v>3081</v>
      </c>
      <c r="D1506" s="894" t="s">
        <v>3082</v>
      </c>
      <c r="E1506" s="1618"/>
      <c r="F1506" s="1204"/>
      <c r="G1506" s="586"/>
      <c r="H1506" s="377" t="s">
        <v>582</v>
      </c>
      <c r="I1506" s="943"/>
      <c r="J1506" s="503"/>
      <c r="K1506" s="503"/>
      <c r="L1506" s="503"/>
      <c r="M1506" s="503"/>
      <c r="N1506" s="503"/>
      <c r="O1506" s="503"/>
    </row>
    <row r="1507" spans="1:15">
      <c r="A1507" s="127"/>
      <c r="B1507" s="1693"/>
      <c r="C1507" s="1262" t="s">
        <v>3083</v>
      </c>
      <c r="D1507" s="409" t="s">
        <v>3078</v>
      </c>
      <c r="E1507" s="1618"/>
      <c r="F1507" s="1204"/>
      <c r="G1507" s="586"/>
      <c r="H1507" s="377" t="s">
        <v>527</v>
      </c>
      <c r="I1507" s="2"/>
      <c r="J1507" s="503"/>
      <c r="K1507" s="503"/>
      <c r="L1507" s="503"/>
      <c r="M1507" s="503"/>
      <c r="N1507" s="503"/>
      <c r="O1507" s="503"/>
    </row>
    <row r="1508" spans="1:15" ht="27">
      <c r="A1508" s="127"/>
      <c r="B1508" s="1693"/>
      <c r="C1508" s="714" t="s">
        <v>3084</v>
      </c>
      <c r="D1508" s="1651" t="s">
        <v>3085</v>
      </c>
      <c r="E1508" s="1618"/>
      <c r="F1508" s="1204"/>
      <c r="G1508" s="993"/>
      <c r="H1508" s="377" t="s">
        <v>3086</v>
      </c>
      <c r="I1508" s="2"/>
      <c r="J1508" s="503"/>
      <c r="K1508" s="503"/>
      <c r="L1508" s="503"/>
      <c r="M1508" s="503"/>
      <c r="N1508" s="503"/>
      <c r="O1508" s="503"/>
    </row>
    <row r="1509" spans="1:15" ht="15.6">
      <c r="A1509" s="1943">
        <v>12226</v>
      </c>
      <c r="B1509" s="1953">
        <v>0.1</v>
      </c>
      <c r="C1509" s="431" t="s">
        <v>3087</v>
      </c>
      <c r="D1509" s="1163" t="s">
        <v>2111</v>
      </c>
      <c r="E1509" s="1476">
        <v>1300000</v>
      </c>
      <c r="F1509" s="418">
        <v>0.02</v>
      </c>
      <c r="G1509" s="511">
        <f>E1509*F1509</f>
        <v>26000</v>
      </c>
      <c r="H1509" s="573" t="s">
        <v>748</v>
      </c>
      <c r="I1509" s="67" t="s">
        <v>2124</v>
      </c>
      <c r="J1509" s="503"/>
      <c r="K1509" s="503"/>
      <c r="L1509" s="503"/>
      <c r="M1509" s="503"/>
      <c r="N1509" s="503"/>
      <c r="O1509" s="503"/>
    </row>
    <row r="1510" spans="1:15" ht="15.6">
      <c r="A1510" s="1943">
        <v>12196</v>
      </c>
      <c r="B1510" s="1953">
        <v>0.1</v>
      </c>
      <c r="C1510" s="431" t="s">
        <v>3088</v>
      </c>
      <c r="D1510" s="1163" t="s">
        <v>2111</v>
      </c>
      <c r="E1510" s="1320">
        <v>1000000</v>
      </c>
      <c r="F1510" s="418">
        <v>0.02</v>
      </c>
      <c r="G1510" s="511">
        <f t="shared" ref="G1510:G1516" si="71">E1510*F1510</f>
        <v>20000</v>
      </c>
      <c r="H1510" s="573" t="s">
        <v>527</v>
      </c>
      <c r="I1510" s="67" t="s">
        <v>2124</v>
      </c>
      <c r="J1510" s="503"/>
      <c r="K1510" s="503"/>
      <c r="L1510" s="503"/>
      <c r="M1510" s="503"/>
      <c r="N1510" s="503"/>
      <c r="O1510" s="503"/>
    </row>
    <row r="1511" spans="1:15" ht="15.6">
      <c r="A1511" s="1943">
        <v>12287</v>
      </c>
      <c r="B1511" s="1954">
        <v>0.1</v>
      </c>
      <c r="C1511" s="518" t="s">
        <v>3089</v>
      </c>
      <c r="D1511" s="1029" t="s">
        <v>2111</v>
      </c>
      <c r="E1511" s="1320">
        <v>900000</v>
      </c>
      <c r="F1511" s="418">
        <v>0.02</v>
      </c>
      <c r="G1511" s="511">
        <f t="shared" si="71"/>
        <v>18000</v>
      </c>
      <c r="H1511" s="573" t="s">
        <v>2761</v>
      </c>
      <c r="I1511" s="342" t="s">
        <v>2124</v>
      </c>
      <c r="J1511" s="503"/>
      <c r="K1511" s="503"/>
      <c r="L1511" s="503"/>
      <c r="M1511" s="503"/>
      <c r="N1511" s="503"/>
      <c r="O1511" s="503"/>
    </row>
    <row r="1512" spans="1:15" ht="15.6">
      <c r="A1512" s="1955">
        <v>12367</v>
      </c>
      <c r="B1512" s="1956">
        <v>0.1</v>
      </c>
      <c r="C1512" s="1229" t="s">
        <v>3090</v>
      </c>
      <c r="D1512" s="576" t="s">
        <v>2111</v>
      </c>
      <c r="E1512" s="1478">
        <v>1300000</v>
      </c>
      <c r="F1512" s="418">
        <v>0.02</v>
      </c>
      <c r="G1512" s="511">
        <f t="shared" si="71"/>
        <v>26000</v>
      </c>
      <c r="H1512" s="573" t="s">
        <v>527</v>
      </c>
      <c r="I1512" s="1583" t="s">
        <v>2124</v>
      </c>
      <c r="J1512" s="503"/>
      <c r="K1512" s="503"/>
      <c r="L1512" s="503"/>
      <c r="M1512" s="503"/>
      <c r="N1512" s="503"/>
      <c r="O1512" s="503"/>
    </row>
    <row r="1513" spans="1:15" s="503" customFormat="1" ht="15.6">
      <c r="A1513" s="1955">
        <v>12380</v>
      </c>
      <c r="B1513" s="1956">
        <v>0.1</v>
      </c>
      <c r="C1513" s="1229" t="s">
        <v>3091</v>
      </c>
      <c r="D1513" s="576" t="s">
        <v>2111</v>
      </c>
      <c r="E1513" s="1478">
        <v>1150000</v>
      </c>
      <c r="F1513" s="418">
        <v>0.02</v>
      </c>
      <c r="G1513" s="511">
        <f t="shared" si="71"/>
        <v>23000</v>
      </c>
      <c r="H1513" s="573" t="s">
        <v>582</v>
      </c>
      <c r="I1513" s="1583" t="s">
        <v>2124</v>
      </c>
    </row>
    <row r="1514" spans="1:15" s="503" customFormat="1" ht="15.6">
      <c r="A1514" s="1957">
        <v>12389</v>
      </c>
      <c r="B1514" s="2020">
        <v>0.1</v>
      </c>
      <c r="C1514" s="518" t="s">
        <v>3092</v>
      </c>
      <c r="D1514" s="576" t="s">
        <v>2111</v>
      </c>
      <c r="E1514" s="1478">
        <v>1400000</v>
      </c>
      <c r="F1514" s="418">
        <v>0.02</v>
      </c>
      <c r="G1514" s="511">
        <f t="shared" si="71"/>
        <v>28000</v>
      </c>
      <c r="H1514" s="573" t="s">
        <v>582</v>
      </c>
      <c r="I1514" s="1583" t="s">
        <v>2124</v>
      </c>
    </row>
    <row r="1515" spans="1:15" ht="15.6">
      <c r="A1515" s="2083">
        <v>12425</v>
      </c>
      <c r="B1515" s="1956">
        <v>0.1</v>
      </c>
      <c r="C1515" s="1229" t="s">
        <v>3093</v>
      </c>
      <c r="D1515" s="1027" t="s">
        <v>2111</v>
      </c>
      <c r="E1515" s="1476">
        <v>1100000</v>
      </c>
      <c r="F1515" s="418">
        <v>0.02</v>
      </c>
      <c r="G1515" s="511">
        <f t="shared" si="71"/>
        <v>22000</v>
      </c>
      <c r="H1515" s="573" t="s">
        <v>527</v>
      </c>
      <c r="I1515" s="573" t="s">
        <v>2124</v>
      </c>
    </row>
    <row r="1516" spans="1:15" ht="15.6">
      <c r="A1516" s="2083">
        <v>12427</v>
      </c>
      <c r="B1516" s="1956">
        <v>0.1</v>
      </c>
      <c r="C1516" s="1229" t="s">
        <v>3094</v>
      </c>
      <c r="D1516" s="1027" t="s">
        <v>2111</v>
      </c>
      <c r="E1516" s="1476">
        <v>970000</v>
      </c>
      <c r="F1516" s="418">
        <v>0.02</v>
      </c>
      <c r="G1516" s="511">
        <f t="shared" si="71"/>
        <v>19400</v>
      </c>
      <c r="H1516" s="573" t="s">
        <v>748</v>
      </c>
      <c r="I1516" s="573" t="s">
        <v>2124</v>
      </c>
    </row>
    <row r="1517" spans="1:15">
      <c r="A1517" s="2237"/>
      <c r="B1517" s="886"/>
      <c r="C1517" s="1346"/>
      <c r="D1517" s="1550"/>
      <c r="E1517" s="1607"/>
      <c r="F1517" s="914"/>
      <c r="G1517" s="719"/>
      <c r="H1517" s="943"/>
      <c r="I1517" s="943"/>
    </row>
    <row r="1518" spans="1:15">
      <c r="A1518" s="269"/>
      <c r="B1518" s="886"/>
      <c r="C1518" s="1346"/>
      <c r="D1518" s="1550" t="s">
        <v>2499</v>
      </c>
      <c r="E1518" s="1770">
        <f>SUM(E1509:E1516)</f>
        <v>9120000</v>
      </c>
      <c r="F1518" s="915"/>
      <c r="G1518" s="406">
        <f>SUM(G1509:G1516)</f>
        <v>182400</v>
      </c>
      <c r="H1518" s="1031"/>
      <c r="I1518" s="1168"/>
      <c r="J1518" s="503"/>
      <c r="K1518" s="503"/>
      <c r="L1518" s="503"/>
      <c r="M1518" s="503"/>
      <c r="N1518" s="503"/>
      <c r="O1518" s="503"/>
    </row>
    <row r="1519" spans="1:15">
      <c r="A1519" s="46"/>
      <c r="B1519" s="950"/>
      <c r="C1519" s="950"/>
      <c r="D1519" s="2019" t="s">
        <v>2154</v>
      </c>
      <c r="E1519" s="951">
        <f>G1518</f>
        <v>182400</v>
      </c>
      <c r="F1519" s="952"/>
      <c r="G1519" s="953"/>
      <c r="H1519" s="1023"/>
      <c r="I1519" s="1050"/>
    </row>
    <row r="1520" spans="1:15">
      <c r="E1520" s="589"/>
    </row>
    <row r="1521" spans="1:9">
      <c r="E1521" s="589"/>
    </row>
    <row r="1522" spans="1:9">
      <c r="A1522" s="2925" t="s">
        <v>3095</v>
      </c>
      <c r="B1522" s="2926"/>
      <c r="C1522" s="2926"/>
      <c r="D1522" s="2926"/>
      <c r="E1522" s="2926"/>
      <c r="F1522" s="2926"/>
      <c r="G1522" s="2926"/>
      <c r="H1522" s="2927"/>
    </row>
    <row r="1523" spans="1:9">
      <c r="A1523" s="2931"/>
      <c r="B1523" s="2929"/>
      <c r="C1523" s="2929"/>
      <c r="D1523" s="2929"/>
      <c r="E1523" s="2929"/>
      <c r="F1523" s="2932"/>
      <c r="G1523" s="2932"/>
      <c r="H1523" s="2933"/>
    </row>
    <row r="1524" spans="1:9" ht="20.45">
      <c r="A1524" s="1692" t="s">
        <v>2011</v>
      </c>
      <c r="B1524" s="176" t="s">
        <v>1808</v>
      </c>
      <c r="C1524" s="176" t="s">
        <v>2012</v>
      </c>
      <c r="D1524" s="1100" t="s">
        <v>2580</v>
      </c>
      <c r="E1524" s="397" t="s">
        <v>2013</v>
      </c>
      <c r="F1524" s="398" t="s">
        <v>1811</v>
      </c>
      <c r="G1524" s="399" t="s">
        <v>1817</v>
      </c>
      <c r="H1524" s="683" t="s">
        <v>2125</v>
      </c>
      <c r="I1524" s="260"/>
    </row>
    <row r="1525" spans="1:9" ht="27">
      <c r="A1525" s="1781"/>
      <c r="B1525" s="1782"/>
      <c r="C1525" s="1142" t="s">
        <v>3096</v>
      </c>
      <c r="D1525" s="1800" t="s">
        <v>2109</v>
      </c>
      <c r="E1525" s="1801"/>
      <c r="F1525" s="1802"/>
      <c r="G1525" s="377"/>
      <c r="H1525" s="349" t="s">
        <v>2761</v>
      </c>
      <c r="I1525" s="260"/>
    </row>
    <row r="1526" spans="1:9">
      <c r="A1526" s="1781"/>
      <c r="B1526" s="1782"/>
      <c r="C1526" s="1142" t="s">
        <v>3097</v>
      </c>
      <c r="D1526" s="1761" t="s">
        <v>2190</v>
      </c>
      <c r="E1526" s="1743"/>
      <c r="F1526" s="1519"/>
      <c r="G1526" s="1343"/>
      <c r="H1526" s="349" t="s">
        <v>582</v>
      </c>
      <c r="I1526" s="201"/>
    </row>
    <row r="1527" spans="1:9">
      <c r="A1527" s="1774"/>
      <c r="B1527" s="106"/>
      <c r="C1527" s="1219" t="s">
        <v>3098</v>
      </c>
      <c r="D1527" s="1775" t="s">
        <v>3099</v>
      </c>
      <c r="E1527" s="1743"/>
      <c r="F1527" s="1349"/>
      <c r="G1527" s="1343"/>
      <c r="H1527" s="349" t="s">
        <v>582</v>
      </c>
      <c r="I1527" s="260"/>
    </row>
    <row r="1528" spans="1:9">
      <c r="A1528" s="1699"/>
      <c r="B1528" s="887"/>
      <c r="C1528" s="1142" t="s">
        <v>3100</v>
      </c>
      <c r="D1528" s="1142" t="s">
        <v>3101</v>
      </c>
      <c r="E1528" s="1402"/>
      <c r="F1528" s="1263"/>
      <c r="G1528" s="586"/>
      <c r="H1528" s="349" t="s">
        <v>3102</v>
      </c>
      <c r="I1528" s="260"/>
    </row>
    <row r="1529" spans="1:9">
      <c r="A1529" s="127"/>
      <c r="B1529" s="869"/>
      <c r="C1529" s="1142" t="s">
        <v>3103</v>
      </c>
      <c r="D1529" s="1717" t="s">
        <v>3104</v>
      </c>
      <c r="E1529" s="1743"/>
      <c r="F1529" s="1349"/>
      <c r="G1529" s="1343"/>
      <c r="H1529" s="349" t="s">
        <v>527</v>
      </c>
      <c r="I1529" s="260"/>
    </row>
    <row r="1530" spans="1:9">
      <c r="A1530" s="127"/>
      <c r="B1530" s="869"/>
      <c r="C1530" s="899" t="s">
        <v>3105</v>
      </c>
      <c r="D1530" s="1761" t="s">
        <v>2109</v>
      </c>
      <c r="E1530" s="1743"/>
      <c r="F1530" s="1349"/>
      <c r="G1530" s="1343"/>
      <c r="H1530" s="349" t="s">
        <v>527</v>
      </c>
      <c r="I1530" s="260"/>
    </row>
    <row r="1531" spans="1:9">
      <c r="A1531" s="127"/>
      <c r="B1531" s="869"/>
      <c r="C1531" s="1762" t="s">
        <v>3106</v>
      </c>
      <c r="D1531" s="1763" t="s">
        <v>2127</v>
      </c>
      <c r="E1531" s="1743"/>
      <c r="F1531" s="1349"/>
      <c r="G1531" s="1343"/>
      <c r="H1531" s="349" t="s">
        <v>527</v>
      </c>
      <c r="I1531" s="260"/>
    </row>
    <row r="1532" spans="1:9">
      <c r="A1532" s="2269"/>
      <c r="B1532" s="1758"/>
      <c r="C1532" s="1759" t="s">
        <v>3041</v>
      </c>
      <c r="D1532" s="1760"/>
      <c r="E1532" s="705"/>
      <c r="F1532" s="350"/>
      <c r="G1532" s="592"/>
      <c r="H1532" s="350" t="s">
        <v>2704</v>
      </c>
      <c r="I1532" s="260"/>
    </row>
    <row r="1533" spans="1:9">
      <c r="A1533" s="1699"/>
      <c r="B1533" s="887"/>
      <c r="C1533" s="1219" t="s">
        <v>3107</v>
      </c>
      <c r="D1533" s="1779" t="s">
        <v>3108</v>
      </c>
      <c r="E1533" s="1638"/>
      <c r="F1533" s="1349"/>
      <c r="G1533" s="1343"/>
      <c r="H1533" s="349" t="s">
        <v>527</v>
      </c>
      <c r="I1533" s="260"/>
    </row>
    <row r="1534" spans="1:9" ht="27">
      <c r="A1534" s="1699"/>
      <c r="B1534" s="887"/>
      <c r="C1534" s="1219" t="s">
        <v>3109</v>
      </c>
      <c r="D1534" s="1741" t="s">
        <v>3110</v>
      </c>
      <c r="E1534" s="1743"/>
      <c r="F1534" s="1349"/>
      <c r="G1534" s="1343"/>
      <c r="H1534" s="349" t="s">
        <v>582</v>
      </c>
      <c r="I1534" s="260"/>
    </row>
    <row r="1535" spans="1:9" ht="27">
      <c r="A1535" s="1699"/>
      <c r="B1535" s="887"/>
      <c r="C1535" s="714" t="s">
        <v>3111</v>
      </c>
      <c r="D1535" s="1717" t="s">
        <v>3112</v>
      </c>
      <c r="E1535" s="1638"/>
      <c r="F1535" s="1349"/>
      <c r="G1535" s="1343"/>
      <c r="H1535" s="349" t="s">
        <v>2761</v>
      </c>
      <c r="I1535" s="260"/>
    </row>
    <row r="1536" spans="1:9">
      <c r="A1536" s="1699"/>
      <c r="B1536" s="887"/>
      <c r="C1536" s="1262" t="s">
        <v>3113</v>
      </c>
      <c r="D1536" s="1717" t="s">
        <v>3114</v>
      </c>
      <c r="E1536" s="1638"/>
      <c r="F1536" s="1349"/>
      <c r="G1536" s="1343"/>
      <c r="H1536" s="349" t="s">
        <v>2761</v>
      </c>
      <c r="I1536" s="260"/>
    </row>
    <row r="1537" spans="1:9">
      <c r="A1537" s="1699"/>
      <c r="B1537" s="887"/>
      <c r="C1537" s="714" t="s">
        <v>3115</v>
      </c>
      <c r="D1537" s="1176" t="s">
        <v>2127</v>
      </c>
      <c r="E1537" s="1722"/>
      <c r="F1537" s="1204"/>
      <c r="G1537" s="586"/>
      <c r="H1537" s="349" t="s">
        <v>527</v>
      </c>
      <c r="I1537" s="260"/>
    </row>
    <row r="1538" spans="1:9" ht="27">
      <c r="A1538" s="1699"/>
      <c r="B1538" s="887"/>
      <c r="C1538" s="714" t="s">
        <v>3116</v>
      </c>
      <c r="D1538" s="1139" t="s">
        <v>3117</v>
      </c>
      <c r="E1538" s="1721"/>
      <c r="F1538" s="1263"/>
      <c r="G1538" s="586"/>
      <c r="H1538" s="349" t="s">
        <v>582</v>
      </c>
      <c r="I1538" s="260"/>
    </row>
    <row r="1539" spans="1:9">
      <c r="A1539" s="1699"/>
      <c r="B1539" s="887"/>
      <c r="C1539" s="1262" t="s">
        <v>3118</v>
      </c>
      <c r="D1539" s="1262" t="s">
        <v>3119</v>
      </c>
      <c r="E1539" s="1638"/>
      <c r="F1539" s="1349"/>
      <c r="G1539" s="1343"/>
      <c r="H1539" s="349" t="s">
        <v>527</v>
      </c>
      <c r="I1539" s="260"/>
    </row>
    <row r="1540" spans="1:9">
      <c r="A1540" s="1699"/>
      <c r="B1540" s="887"/>
      <c r="C1540" s="1262" t="s">
        <v>3120</v>
      </c>
      <c r="D1540" s="1717" t="s">
        <v>2910</v>
      </c>
      <c r="E1540" s="1702"/>
      <c r="F1540" s="1718"/>
      <c r="G1540" s="1343"/>
      <c r="H1540" s="349" t="s">
        <v>748</v>
      </c>
      <c r="I1540" s="260"/>
    </row>
    <row r="1541" spans="1:9">
      <c r="A1541" s="1699"/>
      <c r="B1541" s="887"/>
      <c r="C1541" s="1262" t="s">
        <v>3121</v>
      </c>
      <c r="D1541" s="1717" t="s">
        <v>3122</v>
      </c>
      <c r="E1541" s="1638"/>
      <c r="F1541" s="1718"/>
      <c r="G1541" s="1343"/>
      <c r="H1541" s="349" t="s">
        <v>527</v>
      </c>
      <c r="I1541" s="201"/>
    </row>
    <row r="1542" spans="1:9">
      <c r="A1542" s="1699"/>
      <c r="B1542" s="887"/>
      <c r="C1542" s="714" t="s">
        <v>3123</v>
      </c>
      <c r="D1542" s="1712" t="s">
        <v>3124</v>
      </c>
      <c r="E1542" s="401"/>
      <c r="F1542" s="1349"/>
      <c r="G1542" s="1343"/>
      <c r="H1542" s="349" t="s">
        <v>2761</v>
      </c>
      <c r="I1542" s="260"/>
    </row>
    <row r="1543" spans="1:9">
      <c r="A1543" s="1699"/>
      <c r="B1543" s="887"/>
      <c r="C1543" s="262" t="s">
        <v>3125</v>
      </c>
      <c r="D1543" s="1367" t="s">
        <v>3126</v>
      </c>
      <c r="E1543" s="1707"/>
      <c r="F1543" s="770"/>
      <c r="G1543" s="867"/>
      <c r="H1543" s="1978" t="s">
        <v>748</v>
      </c>
      <c r="I1543" s="260"/>
    </row>
    <row r="1544" spans="1:9">
      <c r="A1544" s="1699"/>
      <c r="B1544" s="1709"/>
      <c r="C1544" s="1711" t="s">
        <v>3061</v>
      </c>
      <c r="D1544" s="1780" t="s">
        <v>2251</v>
      </c>
      <c r="E1544" s="1707"/>
      <c r="F1544" s="770"/>
      <c r="G1544" s="867"/>
      <c r="H1544" s="1979" t="s">
        <v>2761</v>
      </c>
      <c r="I1544" s="260"/>
    </row>
    <row r="1545" spans="1:9" ht="27">
      <c r="A1545" s="1699"/>
      <c r="B1545" s="1709"/>
      <c r="C1545" s="714" t="s">
        <v>3022</v>
      </c>
      <c r="D1545" s="409" t="s">
        <v>3127</v>
      </c>
      <c r="E1545" s="1618"/>
      <c r="F1545" s="1204"/>
      <c r="G1545" s="586"/>
      <c r="H1545" s="349" t="s">
        <v>748</v>
      </c>
      <c r="I1545" s="260"/>
    </row>
    <row r="1546" spans="1:9">
      <c r="A1546" s="1699"/>
      <c r="B1546" s="1709"/>
      <c r="C1546" s="377" t="s">
        <v>3128</v>
      </c>
      <c r="D1546" s="1142" t="s">
        <v>3129</v>
      </c>
      <c r="E1546" s="1691"/>
      <c r="F1546" s="401"/>
      <c r="G1546" s="586"/>
      <c r="H1546" s="349" t="s">
        <v>527</v>
      </c>
      <c r="I1546" s="260"/>
    </row>
    <row r="1547" spans="1:9" ht="27">
      <c r="A1547" s="1699"/>
      <c r="B1547" s="887"/>
      <c r="C1547" s="1676" t="s">
        <v>3130</v>
      </c>
      <c r="D1547" s="1710" t="s">
        <v>3080</v>
      </c>
      <c r="E1547" s="1691"/>
      <c r="F1547" s="401"/>
      <c r="G1547" s="586"/>
      <c r="H1547" s="349" t="s">
        <v>523</v>
      </c>
      <c r="I1547" s="260"/>
    </row>
    <row r="1548" spans="1:9" ht="27">
      <c r="A1548" s="1699"/>
      <c r="B1548" s="887"/>
      <c r="C1548" s="899" t="s">
        <v>3131</v>
      </c>
      <c r="D1548" s="1142" t="s">
        <v>3049</v>
      </c>
      <c r="E1548" s="1691"/>
      <c r="F1548" s="401"/>
      <c r="G1548" s="586"/>
      <c r="H1548" s="349" t="s">
        <v>527</v>
      </c>
      <c r="I1548" s="260"/>
    </row>
    <row r="1549" spans="1:9" ht="27">
      <c r="A1549" s="1699"/>
      <c r="B1549" s="887"/>
      <c r="C1549" s="899" t="s">
        <v>3132</v>
      </c>
      <c r="D1549" s="1142" t="s">
        <v>3133</v>
      </c>
      <c r="E1549" s="1691"/>
      <c r="F1549" s="401"/>
      <c r="G1549" s="586"/>
      <c r="H1549" s="349" t="s">
        <v>582</v>
      </c>
      <c r="I1549" s="260"/>
    </row>
    <row r="1550" spans="1:9" ht="15.6">
      <c r="A1550" s="1943">
        <v>12215</v>
      </c>
      <c r="B1550" s="1944">
        <v>0.1</v>
      </c>
      <c r="C1550" s="573" t="s">
        <v>3134</v>
      </c>
      <c r="D1550" s="1229" t="s">
        <v>2111</v>
      </c>
      <c r="E1550" s="1474">
        <v>950000</v>
      </c>
      <c r="F1550" s="314">
        <v>0.06</v>
      </c>
      <c r="G1550" s="511">
        <f>E1550*F1550</f>
        <v>57000</v>
      </c>
      <c r="H1550" s="342" t="s">
        <v>2761</v>
      </c>
      <c r="I1550" s="1062" t="s">
        <v>2124</v>
      </c>
    </row>
    <row r="1551" spans="1:9" ht="15.6">
      <c r="A1551" s="1941">
        <v>12234</v>
      </c>
      <c r="B1551" s="1944">
        <v>0.1</v>
      </c>
      <c r="C1551" s="968" t="s">
        <v>3135</v>
      </c>
      <c r="D1551" s="1143" t="s">
        <v>2111</v>
      </c>
      <c r="E1551" s="1474">
        <v>930000</v>
      </c>
      <c r="F1551" s="314">
        <v>0.06</v>
      </c>
      <c r="G1551" s="511">
        <f t="shared" ref="G1551:G1570" si="72">E1551*F1551</f>
        <v>55800</v>
      </c>
      <c r="H1551" s="342" t="s">
        <v>527</v>
      </c>
      <c r="I1551" s="1062" t="s">
        <v>2124</v>
      </c>
    </row>
    <row r="1552" spans="1:9" ht="15.6">
      <c r="A1552" s="1941">
        <v>12240</v>
      </c>
      <c r="B1552" s="1945">
        <v>0.1</v>
      </c>
      <c r="C1552" s="1229" t="s">
        <v>3136</v>
      </c>
      <c r="D1552" s="1143" t="s">
        <v>2111</v>
      </c>
      <c r="E1552" s="1609">
        <v>1000000</v>
      </c>
      <c r="F1552" s="314">
        <v>0.06</v>
      </c>
      <c r="G1552" s="511">
        <f t="shared" si="72"/>
        <v>60000</v>
      </c>
      <c r="H1552" s="342" t="s">
        <v>748</v>
      </c>
      <c r="I1552" s="1062" t="s">
        <v>2124</v>
      </c>
    </row>
    <row r="1553" spans="1:9" ht="15.6">
      <c r="A1553" s="1941">
        <v>12252</v>
      </c>
      <c r="B1553" s="1944">
        <v>0.1</v>
      </c>
      <c r="C1553" s="431" t="s">
        <v>3137</v>
      </c>
      <c r="D1553" s="1700" t="s">
        <v>2111</v>
      </c>
      <c r="E1553" s="1474">
        <v>1000000</v>
      </c>
      <c r="F1553" s="314">
        <v>0.06</v>
      </c>
      <c r="G1553" s="511">
        <f t="shared" si="72"/>
        <v>60000</v>
      </c>
      <c r="H1553" s="573" t="s">
        <v>2761</v>
      </c>
      <c r="I1553" s="1062" t="s">
        <v>2124</v>
      </c>
    </row>
    <row r="1554" spans="1:9" ht="15.6">
      <c r="A1554" s="1941">
        <v>12253</v>
      </c>
      <c r="B1554" s="1944">
        <v>0.1</v>
      </c>
      <c r="C1554" s="431" t="s">
        <v>3138</v>
      </c>
      <c r="D1554" s="1163" t="s">
        <v>2111</v>
      </c>
      <c r="E1554" s="1476">
        <v>900000</v>
      </c>
      <c r="F1554" s="314">
        <v>0.06</v>
      </c>
      <c r="G1554" s="511">
        <f t="shared" si="72"/>
        <v>54000</v>
      </c>
      <c r="H1554" s="573" t="s">
        <v>527</v>
      </c>
      <c r="I1554" s="1061" t="s">
        <v>2124</v>
      </c>
    </row>
    <row r="1555" spans="1:9" ht="15.6">
      <c r="A1555" s="1941">
        <v>12277</v>
      </c>
      <c r="B1555" s="1946">
        <v>0.1</v>
      </c>
      <c r="C1555" s="431" t="s">
        <v>3139</v>
      </c>
      <c r="D1555" s="1726" t="s">
        <v>2111</v>
      </c>
      <c r="E1555" s="1724">
        <v>1200000</v>
      </c>
      <c r="F1555" s="314">
        <v>0.06</v>
      </c>
      <c r="G1555" s="511">
        <f t="shared" si="72"/>
        <v>72000</v>
      </c>
      <c r="H1555" s="573" t="s">
        <v>582</v>
      </c>
      <c r="I1555" s="1062" t="s">
        <v>2124</v>
      </c>
    </row>
    <row r="1556" spans="1:9" ht="15.6">
      <c r="A1556" s="1941">
        <v>12290</v>
      </c>
      <c r="B1556" s="1947">
        <v>0.1</v>
      </c>
      <c r="C1556" s="518" t="s">
        <v>3140</v>
      </c>
      <c r="D1556" s="1320" t="s">
        <v>2111</v>
      </c>
      <c r="E1556" s="1729">
        <v>1150000</v>
      </c>
      <c r="F1556" s="314">
        <v>0.06</v>
      </c>
      <c r="G1556" s="511">
        <f t="shared" si="72"/>
        <v>69000</v>
      </c>
      <c r="H1556" s="573" t="s">
        <v>582</v>
      </c>
      <c r="I1556" s="1108" t="s">
        <v>2124</v>
      </c>
    </row>
    <row r="1557" spans="1:9" ht="15.6">
      <c r="A1557" s="1941">
        <v>12286</v>
      </c>
      <c r="B1557" s="1946">
        <v>0.1</v>
      </c>
      <c r="C1557" s="431" t="s">
        <v>3141</v>
      </c>
      <c r="D1557" s="1720" t="s">
        <v>2111</v>
      </c>
      <c r="E1557" s="1727">
        <v>1050000</v>
      </c>
      <c r="F1557" s="314">
        <v>0.06</v>
      </c>
      <c r="G1557" s="511">
        <f t="shared" si="72"/>
        <v>63000</v>
      </c>
      <c r="H1557" s="573" t="s">
        <v>527</v>
      </c>
      <c r="I1557" s="1062" t="s">
        <v>2124</v>
      </c>
    </row>
    <row r="1558" spans="1:9" ht="15.6">
      <c r="A1558" s="1941">
        <v>12292</v>
      </c>
      <c r="B1558" s="1944">
        <v>0.1</v>
      </c>
      <c r="C1558" s="431" t="s">
        <v>3142</v>
      </c>
      <c r="D1558" s="1720" t="s">
        <v>2111</v>
      </c>
      <c r="E1558" s="1729">
        <v>1000000</v>
      </c>
      <c r="F1558" s="314">
        <v>0.06</v>
      </c>
      <c r="G1558" s="511">
        <f t="shared" si="72"/>
        <v>60000</v>
      </c>
      <c r="H1558" s="573" t="s">
        <v>748</v>
      </c>
      <c r="I1558" s="1061" t="s">
        <v>2124</v>
      </c>
    </row>
    <row r="1559" spans="1:9" ht="15.6">
      <c r="A1559" s="1941">
        <v>12282</v>
      </c>
      <c r="B1559" s="1946">
        <v>0.1</v>
      </c>
      <c r="C1559" s="431" t="s">
        <v>3143</v>
      </c>
      <c r="D1559" s="1477" t="s">
        <v>2111</v>
      </c>
      <c r="E1559" s="1724">
        <v>1000000</v>
      </c>
      <c r="F1559" s="314">
        <v>0.06</v>
      </c>
      <c r="G1559" s="511">
        <f t="shared" si="72"/>
        <v>60000</v>
      </c>
      <c r="H1559" s="573" t="s">
        <v>748</v>
      </c>
      <c r="I1559" s="1061" t="s">
        <v>2124</v>
      </c>
    </row>
    <row r="1560" spans="1:9" ht="15.6">
      <c r="A1560" s="1942">
        <v>12301</v>
      </c>
      <c r="B1560" s="1946">
        <v>0.1</v>
      </c>
      <c r="C1560" s="1772" t="s">
        <v>3144</v>
      </c>
      <c r="D1560" s="1736" t="s">
        <v>2111</v>
      </c>
      <c r="E1560" s="1729">
        <v>1200000</v>
      </c>
      <c r="F1560" s="314">
        <v>0.06</v>
      </c>
      <c r="G1560" s="511">
        <f t="shared" si="72"/>
        <v>72000</v>
      </c>
      <c r="H1560" s="573" t="s">
        <v>2761</v>
      </c>
      <c r="I1560" s="1062" t="s">
        <v>2124</v>
      </c>
    </row>
    <row r="1561" spans="1:9" ht="15.6">
      <c r="A1561" s="1941">
        <v>12327</v>
      </c>
      <c r="B1561" s="1948">
        <v>0.1</v>
      </c>
      <c r="C1561" s="431" t="s">
        <v>3145</v>
      </c>
      <c r="D1561" s="1642" t="s">
        <v>2111</v>
      </c>
      <c r="E1561" s="1729">
        <v>1050000</v>
      </c>
      <c r="F1561" s="314">
        <v>0.06</v>
      </c>
      <c r="G1561" s="511">
        <f t="shared" si="72"/>
        <v>63000</v>
      </c>
      <c r="H1561" s="573" t="s">
        <v>2761</v>
      </c>
      <c r="I1561" s="1062" t="s">
        <v>2124</v>
      </c>
    </row>
    <row r="1562" spans="1:9" ht="15.6">
      <c r="A1562" s="1941">
        <v>12336</v>
      </c>
      <c r="B1562" s="1948">
        <v>0.1</v>
      </c>
      <c r="C1562" s="1777" t="s">
        <v>3146</v>
      </c>
      <c r="D1562" s="1317" t="s">
        <v>2111</v>
      </c>
      <c r="E1562" s="1724">
        <v>900000</v>
      </c>
      <c r="F1562" s="314">
        <v>0.06</v>
      </c>
      <c r="G1562" s="511">
        <f t="shared" si="72"/>
        <v>54000</v>
      </c>
      <c r="H1562" s="573" t="s">
        <v>2761</v>
      </c>
      <c r="I1562" s="1062" t="s">
        <v>2124</v>
      </c>
    </row>
    <row r="1563" spans="1:9" ht="15.6">
      <c r="A1563" s="1941">
        <v>12337</v>
      </c>
      <c r="B1563" s="1948">
        <v>0.1</v>
      </c>
      <c r="C1563" s="1783" t="s">
        <v>3147</v>
      </c>
      <c r="D1563" s="1317" t="s">
        <v>2111</v>
      </c>
      <c r="E1563" s="1724">
        <v>1200000</v>
      </c>
      <c r="F1563" s="314">
        <v>0.06</v>
      </c>
      <c r="G1563" s="511">
        <f t="shared" si="72"/>
        <v>72000</v>
      </c>
      <c r="H1563" s="573" t="s">
        <v>582</v>
      </c>
      <c r="I1563" s="1061" t="s">
        <v>2124</v>
      </c>
    </row>
    <row r="1564" spans="1:9" ht="15.6">
      <c r="A1564" s="1943">
        <v>12342</v>
      </c>
      <c r="B1564" s="1949" t="s">
        <v>3148</v>
      </c>
      <c r="C1564" s="1630" t="s">
        <v>3149</v>
      </c>
      <c r="D1564" s="1317" t="s">
        <v>2111</v>
      </c>
      <c r="E1564" s="1724">
        <v>900000</v>
      </c>
      <c r="F1564" s="314">
        <v>0.06</v>
      </c>
      <c r="G1564" s="511">
        <f t="shared" si="72"/>
        <v>54000</v>
      </c>
      <c r="H1564" s="573" t="s">
        <v>748</v>
      </c>
      <c r="I1564" s="1061" t="s">
        <v>2124</v>
      </c>
    </row>
    <row r="1565" spans="1:9" ht="15.6">
      <c r="A1565" s="1950">
        <v>12351</v>
      </c>
      <c r="B1565" s="1951">
        <v>0.1</v>
      </c>
      <c r="C1565" s="1630" t="s">
        <v>3150</v>
      </c>
      <c r="D1565" s="1785" t="s">
        <v>2111</v>
      </c>
      <c r="E1565" s="1724">
        <v>1100000</v>
      </c>
      <c r="F1565" s="314">
        <v>0.06</v>
      </c>
      <c r="G1565" s="511">
        <f t="shared" si="72"/>
        <v>66000</v>
      </c>
      <c r="H1565" s="573" t="s">
        <v>748</v>
      </c>
      <c r="I1565" s="1061" t="s">
        <v>2124</v>
      </c>
    </row>
    <row r="1566" spans="1:9" ht="15.6">
      <c r="A1566" s="1942">
        <v>12355</v>
      </c>
      <c r="B1566" s="1952">
        <v>0.1</v>
      </c>
      <c r="C1566" s="1630" t="s">
        <v>3151</v>
      </c>
      <c r="D1566" s="576" t="s">
        <v>2111</v>
      </c>
      <c r="E1566" s="1786">
        <v>1200000</v>
      </c>
      <c r="F1566" s="314">
        <v>0.06</v>
      </c>
      <c r="G1566" s="511">
        <f t="shared" si="72"/>
        <v>72000</v>
      </c>
      <c r="H1566" s="576" t="s">
        <v>523</v>
      </c>
      <c r="I1566" s="1061" t="s">
        <v>2124</v>
      </c>
    </row>
    <row r="1567" spans="1:9" ht="15.6">
      <c r="A1567" s="1941">
        <v>12364</v>
      </c>
      <c r="B1567" s="1993">
        <v>0.1</v>
      </c>
      <c r="C1567" s="1383" t="s">
        <v>3152</v>
      </c>
      <c r="D1567" s="1736" t="s">
        <v>2111</v>
      </c>
      <c r="E1567" s="1724">
        <v>980000</v>
      </c>
      <c r="F1567" s="314">
        <v>0.06</v>
      </c>
      <c r="G1567" s="511">
        <f t="shared" si="72"/>
        <v>58800</v>
      </c>
      <c r="H1567" s="573" t="s">
        <v>527</v>
      </c>
      <c r="I1567" s="1061" t="s">
        <v>2124</v>
      </c>
    </row>
    <row r="1568" spans="1:9" ht="15.6">
      <c r="A1568" s="1992">
        <v>12377</v>
      </c>
      <c r="B1568" s="1948">
        <v>0.1</v>
      </c>
      <c r="C1568" s="1700" t="s">
        <v>3153</v>
      </c>
      <c r="D1568" s="1736" t="s">
        <v>2111</v>
      </c>
      <c r="E1568" s="1729">
        <v>850000</v>
      </c>
      <c r="F1568" s="314">
        <v>0.06</v>
      </c>
      <c r="G1568" s="511">
        <f t="shared" si="72"/>
        <v>51000</v>
      </c>
      <c r="H1568" s="573" t="s">
        <v>2761</v>
      </c>
      <c r="I1568" s="1061" t="s">
        <v>2124</v>
      </c>
    </row>
    <row r="1569" spans="1:24" ht="15.6">
      <c r="A1569" s="1992">
        <v>12432</v>
      </c>
      <c r="B1569" s="1948">
        <v>0.1</v>
      </c>
      <c r="C1569" s="1054" t="s">
        <v>3154</v>
      </c>
      <c r="D1569" s="1143" t="s">
        <v>3155</v>
      </c>
      <c r="E1569" s="2074">
        <v>1350000</v>
      </c>
      <c r="F1569" s="314">
        <v>0.06</v>
      </c>
      <c r="G1569" s="511">
        <f t="shared" si="72"/>
        <v>81000</v>
      </c>
      <c r="H1569" s="573" t="s">
        <v>2761</v>
      </c>
      <c r="I1569" s="1061" t="s">
        <v>2124</v>
      </c>
    </row>
    <row r="1570" spans="1:24" ht="15.6">
      <c r="A1570" s="1992">
        <v>12430</v>
      </c>
      <c r="B1570" s="1948">
        <v>0.1</v>
      </c>
      <c r="C1570" s="1593" t="s">
        <v>3156</v>
      </c>
      <c r="D1570" s="1785" t="s">
        <v>3157</v>
      </c>
      <c r="E1570" s="1724">
        <v>1300000</v>
      </c>
      <c r="F1570" s="314">
        <v>0.06</v>
      </c>
      <c r="G1570" s="511">
        <f t="shared" si="72"/>
        <v>78000</v>
      </c>
      <c r="H1570" s="573" t="s">
        <v>2761</v>
      </c>
      <c r="I1570" s="1061" t="s">
        <v>2124</v>
      </c>
    </row>
    <row r="1571" spans="1:24">
      <c r="A1571" s="164"/>
      <c r="B1571" s="1745"/>
      <c r="C1571" s="1187"/>
      <c r="D1571" s="1810"/>
      <c r="E1571" s="958"/>
      <c r="F1571" s="1443"/>
      <c r="G1571" s="1177"/>
      <c r="H1571" s="943"/>
      <c r="I1571" s="201"/>
      <c r="J1571" s="503"/>
    </row>
    <row r="1572" spans="1:24">
      <c r="A1572" s="2258"/>
      <c r="B1572" s="1544"/>
      <c r="C1572" s="1404"/>
      <c r="D1572" s="1550" t="s">
        <v>2499</v>
      </c>
      <c r="E1572" s="1311">
        <f>SUM(E1549:E1570)</f>
        <v>22210000</v>
      </c>
      <c r="F1572" s="34"/>
      <c r="G1572" s="1451">
        <f>SUM(G1550:G1570)</f>
        <v>1332600</v>
      </c>
      <c r="H1572" s="51"/>
      <c r="I1572" s="51"/>
      <c r="J1572" s="34"/>
      <c r="K1572" s="34"/>
      <c r="L1572" s="34"/>
      <c r="M1572" s="34"/>
      <c r="N1572" s="34"/>
      <c r="O1572" s="34"/>
    </row>
    <row r="1573" spans="1:24" ht="15.6">
      <c r="A1573" s="2231"/>
      <c r="B1573" s="34"/>
      <c r="C1573" s="1451"/>
      <c r="D1573" s="390" t="s">
        <v>2154</v>
      </c>
      <c r="E1573" s="2045">
        <f>G1572</f>
        <v>1332600</v>
      </c>
      <c r="F1573" s="34"/>
      <c r="G1573" s="34"/>
      <c r="H1573" s="51"/>
      <c r="I1573" s="51"/>
      <c r="J1573" s="34"/>
      <c r="K1573" s="34"/>
      <c r="L1573" s="34"/>
      <c r="M1573" s="34"/>
      <c r="N1573" s="34"/>
      <c r="O1573" s="34"/>
    </row>
    <row r="1576" spans="1:24">
      <c r="A1576" s="2925" t="s">
        <v>3158</v>
      </c>
      <c r="B1576" s="2926"/>
      <c r="C1576" s="2926"/>
      <c r="D1576" s="2926"/>
      <c r="E1576" s="2926"/>
      <c r="F1576" s="2926"/>
      <c r="G1576" s="2926"/>
      <c r="H1576" s="2927"/>
    </row>
    <row r="1577" spans="1:24">
      <c r="A1577" s="2931"/>
      <c r="B1577" s="2929"/>
      <c r="C1577" s="2929"/>
      <c r="D1577" s="2929"/>
      <c r="E1577" s="2929"/>
      <c r="F1577" s="2932"/>
      <c r="G1577" s="2932"/>
      <c r="H1577" s="2933"/>
    </row>
    <row r="1578" spans="1:24" ht="20.45">
      <c r="A1578" s="1692" t="s">
        <v>2011</v>
      </c>
      <c r="B1578" s="176" t="s">
        <v>1808</v>
      </c>
      <c r="C1578" s="176" t="s">
        <v>2012</v>
      </c>
      <c r="D1578" s="1100" t="s">
        <v>2580</v>
      </c>
      <c r="E1578" s="63" t="s">
        <v>2013</v>
      </c>
      <c r="F1578" s="398" t="s">
        <v>1811</v>
      </c>
      <c r="G1578" s="399" t="s">
        <v>1817</v>
      </c>
      <c r="H1578" s="683" t="s">
        <v>2125</v>
      </c>
    </row>
    <row r="1579" spans="1:24">
      <c r="A1579" s="1699"/>
      <c r="B1579" s="887"/>
      <c r="C1579" s="714" t="s">
        <v>3159</v>
      </c>
      <c r="D1579" s="1717" t="s">
        <v>2127</v>
      </c>
      <c r="E1579" s="401"/>
      <c r="F1579" s="782"/>
      <c r="G1579" s="1343"/>
      <c r="H1579" s="349" t="s">
        <v>527</v>
      </c>
    </row>
    <row r="1580" spans="1:24">
      <c r="A1580" s="1699"/>
      <c r="B1580" s="869"/>
      <c r="C1580" s="1262" t="s">
        <v>3160</v>
      </c>
      <c r="D1580" s="1262" t="s">
        <v>2251</v>
      </c>
      <c r="E1580" s="401"/>
      <c r="F1580" s="782"/>
      <c r="G1580" s="1343"/>
      <c r="H1580" s="349" t="s">
        <v>748</v>
      </c>
      <c r="I1580" s="2"/>
    </row>
    <row r="1581" spans="1:24" s="587" customFormat="1">
      <c r="A1581" s="131">
        <v>12321</v>
      </c>
      <c r="B1581" s="1766">
        <v>0.1</v>
      </c>
      <c r="C1581" s="518" t="s">
        <v>3161</v>
      </c>
      <c r="D1581" s="1642" t="s">
        <v>2111</v>
      </c>
      <c r="E1581" s="1667">
        <v>950000</v>
      </c>
      <c r="F1581" s="2046">
        <v>0.02</v>
      </c>
      <c r="G1581" s="1621">
        <f>E1581*F1581</f>
        <v>19000</v>
      </c>
      <c r="H1581" s="414" t="s">
        <v>2761</v>
      </c>
      <c r="I1581" s="1036" t="s">
        <v>2124</v>
      </c>
      <c r="J1581" s="503"/>
      <c r="K1581" s="503"/>
      <c r="L1581" s="503"/>
      <c r="M1581" s="503"/>
      <c r="N1581" s="503"/>
      <c r="O1581" s="503"/>
      <c r="P1581" s="503"/>
      <c r="Q1581" s="503"/>
      <c r="R1581" s="503"/>
      <c r="S1581" s="503"/>
      <c r="T1581" s="503"/>
      <c r="U1581" s="503"/>
      <c r="V1581" s="503"/>
      <c r="W1581" s="503"/>
      <c r="X1581" s="503"/>
    </row>
    <row r="1582" spans="1:24">
      <c r="A1582" s="131">
        <v>12331</v>
      </c>
      <c r="B1582" s="1705">
        <v>0.1</v>
      </c>
      <c r="C1582" s="431" t="s">
        <v>3162</v>
      </c>
      <c r="D1582" s="1317" t="s">
        <v>2111</v>
      </c>
      <c r="E1582" s="1724">
        <v>1100000</v>
      </c>
      <c r="F1582" s="2046">
        <v>0.02</v>
      </c>
      <c r="G1582" s="1621">
        <f t="shared" ref="G1582:G1584" si="73">E1582*F1582</f>
        <v>22000</v>
      </c>
      <c r="H1582" s="342" t="s">
        <v>748</v>
      </c>
      <c r="I1582" s="1036" t="s">
        <v>2124</v>
      </c>
    </row>
    <row r="1583" spans="1:24">
      <c r="A1583" s="59">
        <v>12398</v>
      </c>
      <c r="B1583" s="1803">
        <v>0.1</v>
      </c>
      <c r="C1583" s="1648" t="s">
        <v>3163</v>
      </c>
      <c r="D1583" s="1031" t="s">
        <v>2111</v>
      </c>
      <c r="E1583" s="991">
        <v>950000</v>
      </c>
      <c r="F1583" s="2047">
        <v>0.02</v>
      </c>
      <c r="G1583" s="2033">
        <f t="shared" si="73"/>
        <v>19000</v>
      </c>
      <c r="H1583" s="898" t="s">
        <v>527</v>
      </c>
      <c r="I1583" s="2"/>
    </row>
    <row r="1584" spans="1:24">
      <c r="A1584" s="59">
        <v>12413</v>
      </c>
      <c r="B1584" s="1803">
        <v>0.1</v>
      </c>
      <c r="C1584" s="1404" t="s">
        <v>3164</v>
      </c>
      <c r="D1584" s="1730" t="s">
        <v>3165</v>
      </c>
      <c r="E1584" s="991">
        <v>1200000</v>
      </c>
      <c r="F1584" s="2047">
        <v>0.02</v>
      </c>
      <c r="G1584" s="2033">
        <f t="shared" si="73"/>
        <v>24000</v>
      </c>
      <c r="H1584" s="898" t="s">
        <v>748</v>
      </c>
      <c r="I1584" s="2"/>
    </row>
    <row r="1585" spans="1:16">
      <c r="A1585" s="257"/>
      <c r="B1585" s="11"/>
      <c r="C1585" s="11"/>
      <c r="D1585" s="160"/>
      <c r="E1585" s="1769"/>
      <c r="F1585" s="11"/>
      <c r="G1585" s="11"/>
      <c r="H1585" s="11"/>
      <c r="I1585" s="2"/>
    </row>
    <row r="1586" spans="1:16">
      <c r="A1586" s="257"/>
      <c r="B1586" s="11"/>
      <c r="C1586" s="11"/>
      <c r="D1586" s="2048" t="s">
        <v>2499</v>
      </c>
      <c r="E1586" s="1517">
        <f>SUM(E1581:E1584)</f>
        <v>4200000</v>
      </c>
      <c r="F1586" s="11"/>
      <c r="G1586" s="1491">
        <f>SUM(G1581:G1584)</f>
        <v>84000</v>
      </c>
      <c r="H1586" s="2"/>
      <c r="I1586" s="2"/>
    </row>
    <row r="1587" spans="1:16" ht="15.6">
      <c r="A1587" s="257"/>
      <c r="B1587" s="11"/>
      <c r="C1587" s="11"/>
      <c r="D1587" s="160"/>
      <c r="E1587" s="2049">
        <f>G1586</f>
        <v>84000</v>
      </c>
      <c r="F1587" s="11"/>
      <c r="G1587" s="11"/>
      <c r="H1587" s="2"/>
      <c r="I1587" s="2"/>
    </row>
    <row r="1590" spans="1:16">
      <c r="A1590" s="2934" t="s">
        <v>3166</v>
      </c>
      <c r="B1590" s="2934"/>
      <c r="C1590" s="2934"/>
      <c r="D1590" s="2934"/>
      <c r="E1590" s="2934"/>
      <c r="F1590" s="2934"/>
      <c r="G1590" s="2934"/>
      <c r="H1590" s="2935"/>
      <c r="I1590" s="2"/>
    </row>
    <row r="1591" spans="1:16">
      <c r="A1591" s="2934"/>
      <c r="B1591" s="2934"/>
      <c r="C1591" s="2934"/>
      <c r="D1591" s="2934"/>
      <c r="E1591" s="2934"/>
      <c r="F1591" s="2934"/>
      <c r="G1591" s="2936"/>
      <c r="H1591" s="2937"/>
      <c r="I1591" s="2"/>
    </row>
    <row r="1592" spans="1:16" ht="20.45">
      <c r="A1592" s="257" t="s">
        <v>2011</v>
      </c>
      <c r="B1592" s="33" t="s">
        <v>1808</v>
      </c>
      <c r="C1592" s="33" t="s">
        <v>2012</v>
      </c>
      <c r="D1592" s="1066" t="s">
        <v>2123</v>
      </c>
      <c r="E1592" s="63" t="s">
        <v>2013</v>
      </c>
      <c r="F1592" s="118" t="s">
        <v>1811</v>
      </c>
      <c r="G1592" s="88" t="s">
        <v>1817</v>
      </c>
      <c r="H1592" s="258" t="s">
        <v>2213</v>
      </c>
      <c r="I1592" s="260"/>
    </row>
    <row r="1593" spans="1:16">
      <c r="A1593" s="2253">
        <v>12215</v>
      </c>
      <c r="B1593" s="1705">
        <v>0.1</v>
      </c>
      <c r="C1593" s="2059" t="s">
        <v>3134</v>
      </c>
      <c r="D1593" s="1229" t="s">
        <v>2111</v>
      </c>
      <c r="E1593" s="1474">
        <v>950000</v>
      </c>
      <c r="F1593" s="314">
        <v>0.02</v>
      </c>
      <c r="G1593" s="511">
        <f>E1593*F1593</f>
        <v>19000</v>
      </c>
      <c r="H1593" s="1526" t="s">
        <v>2761</v>
      </c>
      <c r="I1593" s="67" t="s">
        <v>2124</v>
      </c>
      <c r="J1593" s="503"/>
      <c r="K1593" s="503"/>
      <c r="L1593" s="503"/>
      <c r="M1593" s="503"/>
      <c r="N1593" s="503"/>
      <c r="O1593" s="503"/>
      <c r="P1593" s="503"/>
    </row>
    <row r="1594" spans="1:16" ht="27">
      <c r="A1594" s="2226">
        <v>12226</v>
      </c>
      <c r="B1594" s="1701">
        <v>0.1</v>
      </c>
      <c r="C1594" s="2058" t="s">
        <v>3167</v>
      </c>
      <c r="D1594" s="1163" t="s">
        <v>2130</v>
      </c>
      <c r="E1594" s="1476">
        <v>1300000</v>
      </c>
      <c r="F1594" s="314">
        <v>0.02</v>
      </c>
      <c r="G1594" s="511">
        <f t="shared" ref="G1594:G1625" si="74">E1594*F1594</f>
        <v>26000</v>
      </c>
      <c r="H1594" s="1526" t="s">
        <v>748</v>
      </c>
      <c r="I1594" s="67" t="s">
        <v>2124</v>
      </c>
      <c r="J1594" s="503"/>
      <c r="K1594" s="503"/>
      <c r="L1594" s="503"/>
      <c r="M1594" s="503"/>
      <c r="N1594" s="503"/>
      <c r="O1594" s="503"/>
      <c r="P1594" s="503"/>
    </row>
    <row r="1595" spans="1:16" ht="15.6">
      <c r="A1595" s="2241">
        <v>12196</v>
      </c>
      <c r="B1595" s="1701">
        <v>0.1</v>
      </c>
      <c r="C1595" s="2058" t="s">
        <v>3168</v>
      </c>
      <c r="D1595" s="1163" t="s">
        <v>2111</v>
      </c>
      <c r="E1595" s="1320">
        <v>1000000</v>
      </c>
      <c r="F1595" s="314">
        <v>0.02</v>
      </c>
      <c r="G1595" s="511">
        <f t="shared" si="74"/>
        <v>20000</v>
      </c>
      <c r="H1595" s="1526" t="s">
        <v>527</v>
      </c>
      <c r="I1595" s="573" t="s">
        <v>2124</v>
      </c>
      <c r="J1595" s="503"/>
      <c r="K1595" s="503"/>
      <c r="L1595" s="503"/>
      <c r="M1595" s="503"/>
      <c r="N1595" s="503"/>
      <c r="O1595" s="503"/>
      <c r="P1595" s="503"/>
    </row>
    <row r="1596" spans="1:16" ht="15.6">
      <c r="A1596" s="1941">
        <v>12234</v>
      </c>
      <c r="B1596" s="1706">
        <v>0.1</v>
      </c>
      <c r="C1596" s="2060" t="s">
        <v>3169</v>
      </c>
      <c r="D1596" s="1143" t="s">
        <v>2111</v>
      </c>
      <c r="E1596" s="1474">
        <v>930000</v>
      </c>
      <c r="F1596" s="314">
        <v>0.02</v>
      </c>
      <c r="G1596" s="511">
        <f t="shared" si="74"/>
        <v>18600</v>
      </c>
      <c r="H1596" s="1526" t="s">
        <v>527</v>
      </c>
      <c r="I1596" s="275" t="s">
        <v>2124</v>
      </c>
      <c r="J1596" s="503"/>
      <c r="K1596" s="503"/>
      <c r="L1596" s="503"/>
      <c r="M1596" s="503"/>
      <c r="N1596" s="503"/>
      <c r="O1596" s="503"/>
      <c r="P1596" s="503"/>
    </row>
    <row r="1597" spans="1:16">
      <c r="A1597" s="2204">
        <v>12240</v>
      </c>
      <c r="B1597" s="1989">
        <v>0.1</v>
      </c>
      <c r="C1597" s="2058" t="s">
        <v>3136</v>
      </c>
      <c r="D1597" s="1143" t="s">
        <v>2111</v>
      </c>
      <c r="E1597" s="1609">
        <v>1000000</v>
      </c>
      <c r="F1597" s="314">
        <v>0.02</v>
      </c>
      <c r="G1597" s="511">
        <f t="shared" si="74"/>
        <v>20000</v>
      </c>
      <c r="H1597" s="573" t="s">
        <v>748</v>
      </c>
      <c r="I1597" s="276" t="s">
        <v>2124</v>
      </c>
      <c r="J1597" s="503"/>
      <c r="K1597" s="503"/>
      <c r="L1597" s="503"/>
      <c r="M1597" s="503"/>
      <c r="N1597" s="503"/>
      <c r="O1597" s="503"/>
      <c r="P1597" s="503"/>
    </row>
    <row r="1598" spans="1:16" ht="15.6">
      <c r="A1598" s="1942">
        <v>12252</v>
      </c>
      <c r="B1598" s="1706">
        <v>0.1</v>
      </c>
      <c r="C1598" s="2061" t="s">
        <v>3170</v>
      </c>
      <c r="D1598" s="1700" t="s">
        <v>2111</v>
      </c>
      <c r="E1598" s="1474">
        <v>1000000</v>
      </c>
      <c r="F1598" s="314">
        <v>0.02</v>
      </c>
      <c r="G1598" s="511">
        <f t="shared" si="74"/>
        <v>20000</v>
      </c>
      <c r="H1598" s="573" t="s">
        <v>2761</v>
      </c>
      <c r="I1598" s="1062" t="s">
        <v>2124</v>
      </c>
      <c r="J1598" s="503"/>
      <c r="K1598" s="503"/>
      <c r="L1598" s="503"/>
      <c r="M1598" s="503"/>
      <c r="N1598" s="503"/>
      <c r="O1598" s="503"/>
      <c r="P1598" s="503"/>
    </row>
    <row r="1599" spans="1:16" ht="27">
      <c r="A1599" s="1942">
        <v>12253</v>
      </c>
      <c r="B1599" s="1705">
        <v>0.1</v>
      </c>
      <c r="C1599" s="2061" t="s">
        <v>3171</v>
      </c>
      <c r="D1599" s="1255" t="s">
        <v>2111</v>
      </c>
      <c r="E1599" s="1476">
        <v>900000</v>
      </c>
      <c r="F1599" s="314">
        <v>0.02</v>
      </c>
      <c r="G1599" s="511">
        <f t="shared" si="74"/>
        <v>18000</v>
      </c>
      <c r="H1599" s="573" t="s">
        <v>527</v>
      </c>
      <c r="I1599" s="1061" t="s">
        <v>2124</v>
      </c>
      <c r="J1599" s="503"/>
      <c r="K1599" s="503"/>
      <c r="L1599" s="503"/>
      <c r="M1599" s="503"/>
      <c r="N1599" s="503"/>
      <c r="O1599" s="503"/>
      <c r="P1599" s="503"/>
    </row>
    <row r="1600" spans="1:16" ht="27">
      <c r="A1600" s="639">
        <v>12277</v>
      </c>
      <c r="B1600" s="122">
        <v>0.1</v>
      </c>
      <c r="C1600" s="2058" t="s">
        <v>3172</v>
      </c>
      <c r="D1600" s="1723" t="s">
        <v>2111</v>
      </c>
      <c r="E1600" s="1724">
        <v>1200000</v>
      </c>
      <c r="F1600" s="314">
        <v>0.02</v>
      </c>
      <c r="G1600" s="511">
        <f t="shared" si="74"/>
        <v>24000</v>
      </c>
      <c r="H1600" s="573" t="s">
        <v>582</v>
      </c>
      <c r="I1600" s="1061" t="s">
        <v>2124</v>
      </c>
      <c r="J1600" s="503"/>
      <c r="K1600" s="503"/>
      <c r="L1600" s="503"/>
      <c r="M1600" s="503"/>
      <c r="N1600" s="503"/>
      <c r="O1600" s="503"/>
      <c r="P1600" s="503"/>
    </row>
    <row r="1601" spans="1:16" ht="15.6">
      <c r="A1601" s="2270">
        <v>12290</v>
      </c>
      <c r="B1601" s="1706">
        <v>0.1</v>
      </c>
      <c r="C1601" s="2061" t="s">
        <v>3173</v>
      </c>
      <c r="D1601" s="1319" t="s">
        <v>2111</v>
      </c>
      <c r="E1601" s="1729">
        <v>1150000</v>
      </c>
      <c r="F1601" s="314">
        <v>0.02</v>
      </c>
      <c r="G1601" s="511">
        <f t="shared" si="74"/>
        <v>23000</v>
      </c>
      <c r="H1601" s="573" t="s">
        <v>582</v>
      </c>
      <c r="I1601" s="1061" t="s">
        <v>2124</v>
      </c>
      <c r="J1601" s="503"/>
      <c r="K1601" s="503"/>
      <c r="L1601" s="503"/>
      <c r="M1601" s="503"/>
      <c r="N1601" s="503"/>
      <c r="O1601" s="503"/>
      <c r="P1601" s="503"/>
    </row>
    <row r="1602" spans="1:16">
      <c r="A1602" s="121">
        <v>12286</v>
      </c>
      <c r="B1602" s="122">
        <v>0.1</v>
      </c>
      <c r="C1602" s="2058" t="s">
        <v>3174</v>
      </c>
      <c r="D1602" s="1317" t="s">
        <v>2111</v>
      </c>
      <c r="E1602" s="1728">
        <v>1050000</v>
      </c>
      <c r="F1602" s="314">
        <v>0.02</v>
      </c>
      <c r="G1602" s="511">
        <f t="shared" si="74"/>
        <v>21000</v>
      </c>
      <c r="H1602" s="573" t="s">
        <v>527</v>
      </c>
      <c r="I1602" s="67" t="s">
        <v>2124</v>
      </c>
      <c r="J1602" s="503"/>
      <c r="K1602" s="503"/>
      <c r="L1602" s="503"/>
      <c r="M1602" s="503"/>
      <c r="N1602" s="503"/>
      <c r="O1602" s="503"/>
      <c r="P1602" s="503"/>
    </row>
    <row r="1603" spans="1:16">
      <c r="A1603" s="121">
        <v>12287</v>
      </c>
      <c r="B1603" s="1989">
        <v>0.1</v>
      </c>
      <c r="C1603" s="2058" t="s">
        <v>3175</v>
      </c>
      <c r="D1603" s="576" t="s">
        <v>2111</v>
      </c>
      <c r="E1603" s="1476">
        <v>900000</v>
      </c>
      <c r="F1603" s="314">
        <v>0.02</v>
      </c>
      <c r="G1603" s="511">
        <f t="shared" si="74"/>
        <v>18000</v>
      </c>
      <c r="H1603" s="573" t="s">
        <v>2761</v>
      </c>
      <c r="I1603" s="1061" t="s">
        <v>2124</v>
      </c>
      <c r="J1603" s="503"/>
      <c r="K1603" s="503"/>
      <c r="L1603" s="503"/>
      <c r="M1603" s="503"/>
      <c r="N1603" s="503"/>
      <c r="O1603" s="503"/>
      <c r="P1603" s="503"/>
    </row>
    <row r="1604" spans="1:16" ht="15.6">
      <c r="A1604" s="1941">
        <v>12301</v>
      </c>
      <c r="B1604" s="1725">
        <v>0.1</v>
      </c>
      <c r="C1604" s="2062" t="s">
        <v>3144</v>
      </c>
      <c r="D1604" s="1736" t="s">
        <v>2111</v>
      </c>
      <c r="E1604" s="1729">
        <v>1200000</v>
      </c>
      <c r="F1604" s="314">
        <v>0.02</v>
      </c>
      <c r="G1604" s="511">
        <f t="shared" si="74"/>
        <v>24000</v>
      </c>
      <c r="H1604" s="573" t="s">
        <v>2761</v>
      </c>
      <c r="I1604" s="1062" t="s">
        <v>2124</v>
      </c>
      <c r="J1604" s="503"/>
      <c r="K1604" s="503"/>
      <c r="L1604" s="503"/>
      <c r="M1604" s="503"/>
      <c r="N1604" s="503"/>
      <c r="O1604" s="503"/>
      <c r="P1604" s="503"/>
    </row>
    <row r="1605" spans="1:16">
      <c r="A1605" s="2247">
        <v>12292</v>
      </c>
      <c r="B1605" s="122">
        <v>0.1</v>
      </c>
      <c r="C1605" s="2058" t="s">
        <v>3142</v>
      </c>
      <c r="D1605" s="1317" t="s">
        <v>2111</v>
      </c>
      <c r="E1605" s="1724">
        <v>1000000</v>
      </c>
      <c r="F1605" s="314">
        <v>0.02</v>
      </c>
      <c r="G1605" s="511">
        <f t="shared" si="74"/>
        <v>20000</v>
      </c>
      <c r="H1605" s="573" t="s">
        <v>748</v>
      </c>
      <c r="I1605" s="1061" t="s">
        <v>2124</v>
      </c>
      <c r="J1605" s="503"/>
      <c r="K1605" s="503"/>
      <c r="L1605" s="503"/>
      <c r="M1605" s="503"/>
      <c r="N1605" s="503"/>
      <c r="O1605" s="503"/>
      <c r="P1605" s="503"/>
    </row>
    <row r="1606" spans="1:16" ht="15.6">
      <c r="A1606" s="1941">
        <v>12282</v>
      </c>
      <c r="B1606" s="122">
        <v>0.1</v>
      </c>
      <c r="C1606" s="2058" t="s">
        <v>3176</v>
      </c>
      <c r="D1606" s="1319" t="s">
        <v>2111</v>
      </c>
      <c r="E1606" s="1724">
        <v>1000000</v>
      </c>
      <c r="F1606" s="314">
        <v>0.02</v>
      </c>
      <c r="G1606" s="511">
        <f t="shared" si="74"/>
        <v>20000</v>
      </c>
      <c r="H1606" s="573" t="s">
        <v>748</v>
      </c>
      <c r="I1606" s="1061" t="s">
        <v>2124</v>
      </c>
      <c r="J1606" s="503"/>
      <c r="K1606" s="503"/>
      <c r="L1606" s="503"/>
      <c r="M1606" s="503"/>
      <c r="N1606" s="503"/>
      <c r="O1606" s="503"/>
      <c r="P1606" s="503"/>
    </row>
    <row r="1607" spans="1:16">
      <c r="A1607" s="121">
        <v>12321</v>
      </c>
      <c r="B1607" s="1990">
        <v>0.1</v>
      </c>
      <c r="C1607" s="2063" t="s">
        <v>3177</v>
      </c>
      <c r="D1607" s="1320" t="s">
        <v>2130</v>
      </c>
      <c r="E1607" s="1765">
        <v>950000</v>
      </c>
      <c r="F1607" s="314">
        <v>0.02</v>
      </c>
      <c r="G1607" s="511">
        <f t="shared" si="74"/>
        <v>19000</v>
      </c>
      <c r="H1607" s="942" t="s">
        <v>2761</v>
      </c>
      <c r="I1607" s="1061" t="s">
        <v>2124</v>
      </c>
      <c r="J1607" s="503"/>
      <c r="K1607" s="503"/>
      <c r="L1607" s="503"/>
      <c r="M1607" s="503"/>
      <c r="N1607" s="503"/>
      <c r="O1607" s="503"/>
      <c r="P1607" s="503"/>
    </row>
    <row r="1608" spans="1:16">
      <c r="A1608" s="2257">
        <v>12327</v>
      </c>
      <c r="B1608" s="1725">
        <v>0.1</v>
      </c>
      <c r="C1608" s="2064" t="s">
        <v>3178</v>
      </c>
      <c r="D1608" s="1320" t="s">
        <v>2111</v>
      </c>
      <c r="E1608" s="1724">
        <v>1050000</v>
      </c>
      <c r="F1608" s="314">
        <v>0.02</v>
      </c>
      <c r="G1608" s="511">
        <f t="shared" si="74"/>
        <v>21000</v>
      </c>
      <c r="H1608" s="573" t="s">
        <v>2761</v>
      </c>
      <c r="I1608" s="1061" t="s">
        <v>2124</v>
      </c>
      <c r="J1608" s="503"/>
      <c r="K1608" s="503"/>
      <c r="L1608" s="503"/>
      <c r="M1608" s="503"/>
      <c r="N1608" s="503"/>
      <c r="O1608" s="503"/>
      <c r="P1608" s="503"/>
    </row>
    <row r="1609" spans="1:16" ht="15.6">
      <c r="A1609" s="1942">
        <v>12331</v>
      </c>
      <c r="B1609" s="977">
        <v>0.1</v>
      </c>
      <c r="C1609" s="2058" t="s">
        <v>3179</v>
      </c>
      <c r="D1609" s="1317" t="s">
        <v>2111</v>
      </c>
      <c r="E1609" s="1724">
        <v>1100000</v>
      </c>
      <c r="F1609" s="314">
        <v>0.02</v>
      </c>
      <c r="G1609" s="511">
        <f t="shared" si="74"/>
        <v>22000</v>
      </c>
      <c r="H1609" s="573" t="s">
        <v>748</v>
      </c>
      <c r="I1609" s="777" t="s">
        <v>2124</v>
      </c>
      <c r="J1609" s="503"/>
      <c r="K1609" s="503"/>
      <c r="L1609" s="503"/>
      <c r="M1609" s="503"/>
      <c r="N1609" s="503"/>
      <c r="O1609" s="503"/>
      <c r="P1609" s="503"/>
    </row>
    <row r="1610" spans="1:16">
      <c r="A1610" s="639">
        <v>12336</v>
      </c>
      <c r="B1610" s="122">
        <v>0.1</v>
      </c>
      <c r="C1610" s="2065" t="s">
        <v>3146</v>
      </c>
      <c r="D1610" s="1720" t="s">
        <v>2111</v>
      </c>
      <c r="E1610" s="1724">
        <v>900000</v>
      </c>
      <c r="F1610" s="314">
        <v>0.02</v>
      </c>
      <c r="G1610" s="511">
        <f t="shared" si="74"/>
        <v>18000</v>
      </c>
      <c r="H1610" s="573" t="s">
        <v>2761</v>
      </c>
      <c r="I1610" s="1062" t="s">
        <v>2124</v>
      </c>
      <c r="J1610" s="503"/>
      <c r="K1610" s="503"/>
      <c r="L1610" s="503"/>
      <c r="M1610" s="503"/>
      <c r="N1610" s="503"/>
      <c r="O1610" s="503"/>
      <c r="P1610" s="503"/>
    </row>
    <row r="1611" spans="1:16">
      <c r="A1611" s="639">
        <v>12337</v>
      </c>
      <c r="B1611" s="122">
        <v>0.1</v>
      </c>
      <c r="C1611" s="2066" t="s">
        <v>3147</v>
      </c>
      <c r="D1611" s="1319" t="s">
        <v>2111</v>
      </c>
      <c r="E1611" s="1724">
        <v>1200000</v>
      </c>
      <c r="F1611" s="314">
        <v>0.02</v>
      </c>
      <c r="G1611" s="511">
        <f t="shared" si="74"/>
        <v>24000</v>
      </c>
      <c r="H1611" s="573" t="s">
        <v>582</v>
      </c>
      <c r="I1611" s="1061" t="s">
        <v>2124</v>
      </c>
      <c r="J1611" s="503"/>
      <c r="K1611" s="503"/>
      <c r="L1611" s="503"/>
      <c r="M1611" s="503"/>
      <c r="N1611" s="503"/>
      <c r="O1611" s="503"/>
      <c r="P1611" s="503"/>
    </row>
    <row r="1612" spans="1:16">
      <c r="A1612" s="639">
        <v>12342</v>
      </c>
      <c r="B1612" s="74" t="s">
        <v>3148</v>
      </c>
      <c r="C1612" s="2068" t="s">
        <v>3149</v>
      </c>
      <c r="D1612" s="1317" t="s">
        <v>2111</v>
      </c>
      <c r="E1612" s="1724">
        <v>900000</v>
      </c>
      <c r="F1612" s="314">
        <v>0.02</v>
      </c>
      <c r="G1612" s="511">
        <f t="shared" si="74"/>
        <v>18000</v>
      </c>
      <c r="H1612" s="573" t="s">
        <v>748</v>
      </c>
      <c r="I1612" s="1061" t="s">
        <v>2787</v>
      </c>
      <c r="J1612" s="503"/>
      <c r="K1612" s="503"/>
      <c r="L1612" s="503"/>
      <c r="M1612" s="503"/>
      <c r="N1612" s="503"/>
      <c r="O1612" s="503"/>
      <c r="P1612" s="503"/>
    </row>
    <row r="1613" spans="1:16">
      <c r="A1613" s="2257">
        <v>12351</v>
      </c>
      <c r="B1613" s="1784">
        <v>0.1</v>
      </c>
      <c r="C1613" s="2067" t="s">
        <v>3150</v>
      </c>
      <c r="D1613" s="1785" t="s">
        <v>2111</v>
      </c>
      <c r="E1613" s="1724">
        <v>1100000</v>
      </c>
      <c r="F1613" s="314">
        <v>0.02</v>
      </c>
      <c r="G1613" s="511">
        <f t="shared" si="74"/>
        <v>22000</v>
      </c>
      <c r="H1613" s="573" t="s">
        <v>748</v>
      </c>
      <c r="I1613" s="777" t="s">
        <v>2124</v>
      </c>
      <c r="J1613" s="503"/>
      <c r="K1613" s="503"/>
      <c r="L1613" s="503"/>
      <c r="M1613" s="503"/>
      <c r="N1613" s="503"/>
      <c r="O1613" s="503"/>
      <c r="P1613" s="503"/>
    </row>
    <row r="1614" spans="1:16" ht="15.6">
      <c r="A1614" s="1941">
        <v>12355</v>
      </c>
      <c r="B1614" s="1787">
        <v>0.1</v>
      </c>
      <c r="C1614" s="2068" t="s">
        <v>3180</v>
      </c>
      <c r="D1614" s="576" t="s">
        <v>2111</v>
      </c>
      <c r="E1614" s="1786">
        <v>1200000</v>
      </c>
      <c r="F1614" s="314">
        <v>0.02</v>
      </c>
      <c r="G1614" s="511">
        <f t="shared" si="74"/>
        <v>24000</v>
      </c>
      <c r="H1614" s="576" t="s">
        <v>523</v>
      </c>
      <c r="I1614" s="777" t="s">
        <v>2124</v>
      </c>
      <c r="J1614" s="503"/>
      <c r="K1614" s="503"/>
      <c r="L1614" s="503"/>
      <c r="M1614" s="503"/>
      <c r="N1614" s="503"/>
      <c r="O1614" s="503"/>
      <c r="P1614" s="503"/>
    </row>
    <row r="1615" spans="1:16">
      <c r="A1615" s="121">
        <v>12364</v>
      </c>
      <c r="B1615" s="1784">
        <v>0.1</v>
      </c>
      <c r="C1615" s="2065" t="s">
        <v>3152</v>
      </c>
      <c r="D1615" s="1736" t="s">
        <v>2111</v>
      </c>
      <c r="E1615" s="1724">
        <v>980000</v>
      </c>
      <c r="F1615" s="314">
        <v>0.02</v>
      </c>
      <c r="G1615" s="511">
        <f t="shared" si="74"/>
        <v>19600</v>
      </c>
      <c r="H1615" s="573" t="s">
        <v>527</v>
      </c>
      <c r="I1615" s="777" t="s">
        <v>2124</v>
      </c>
      <c r="J1615" s="503" t="s">
        <v>3181</v>
      </c>
      <c r="K1615" s="503"/>
      <c r="L1615" s="503"/>
      <c r="M1615" s="503"/>
      <c r="N1615" s="503"/>
      <c r="O1615" s="503"/>
      <c r="P1615" s="503"/>
    </row>
    <row r="1616" spans="1:16">
      <c r="A1616" s="196">
        <v>12367</v>
      </c>
      <c r="B1616" s="1989">
        <v>0.1</v>
      </c>
      <c r="C1616" s="2069" t="s">
        <v>3182</v>
      </c>
      <c r="D1616" s="576" t="s">
        <v>2111</v>
      </c>
      <c r="E1616" s="1478">
        <v>1300000</v>
      </c>
      <c r="F1616" s="314">
        <v>0.02</v>
      </c>
      <c r="G1616" s="511">
        <f t="shared" si="74"/>
        <v>26000</v>
      </c>
      <c r="H1616" s="573" t="s">
        <v>527</v>
      </c>
      <c r="I1616" s="777" t="s">
        <v>2124</v>
      </c>
      <c r="J1616" s="503"/>
      <c r="K1616" s="503"/>
      <c r="L1616" s="503"/>
      <c r="M1616" s="503"/>
      <c r="N1616" s="503"/>
      <c r="O1616" s="503"/>
      <c r="P1616" s="503"/>
    </row>
    <row r="1617" spans="1:16">
      <c r="A1617" s="121">
        <v>12377</v>
      </c>
      <c r="B1617" s="1787">
        <v>0.1</v>
      </c>
      <c r="C1617" s="2062" t="s">
        <v>3153</v>
      </c>
      <c r="D1617" s="1736" t="s">
        <v>2111</v>
      </c>
      <c r="E1617" s="1729">
        <v>850000</v>
      </c>
      <c r="F1617" s="314">
        <v>0.02</v>
      </c>
      <c r="G1617" s="511">
        <f t="shared" si="74"/>
        <v>17000</v>
      </c>
      <c r="H1617" s="573" t="s">
        <v>2761</v>
      </c>
      <c r="I1617" s="777" t="s">
        <v>2124</v>
      </c>
      <c r="J1617" s="503"/>
      <c r="K1617" s="503"/>
      <c r="L1617" s="503"/>
      <c r="M1617" s="503"/>
      <c r="N1617" s="503"/>
      <c r="O1617" s="503"/>
      <c r="P1617" s="503"/>
    </row>
    <row r="1618" spans="1:16">
      <c r="A1618" s="554">
        <v>12380</v>
      </c>
      <c r="B1618" s="1991">
        <v>0.1</v>
      </c>
      <c r="C1618" s="2070" t="s">
        <v>3183</v>
      </c>
      <c r="D1618" s="576" t="s">
        <v>2111</v>
      </c>
      <c r="E1618" s="1478">
        <v>1150000</v>
      </c>
      <c r="F1618" s="314">
        <v>0.02</v>
      </c>
      <c r="G1618" s="511">
        <f t="shared" si="74"/>
        <v>23000</v>
      </c>
      <c r="H1618" s="573" t="s">
        <v>582</v>
      </c>
      <c r="I1618" s="67" t="s">
        <v>2124</v>
      </c>
      <c r="J1618" s="503"/>
      <c r="K1618" s="503"/>
      <c r="L1618" s="503"/>
      <c r="M1618" s="503"/>
      <c r="N1618" s="503"/>
      <c r="O1618" s="503"/>
      <c r="P1618" s="503"/>
    </row>
    <row r="1619" spans="1:16">
      <c r="A1619" s="75">
        <v>12389</v>
      </c>
      <c r="B1619" s="1989">
        <v>0.1</v>
      </c>
      <c r="C1619" s="2069" t="s">
        <v>3184</v>
      </c>
      <c r="D1619" s="1027" t="s">
        <v>2111</v>
      </c>
      <c r="E1619" s="1478">
        <v>1400000</v>
      </c>
      <c r="F1619" s="314">
        <v>0.02</v>
      </c>
      <c r="G1619" s="511">
        <f t="shared" si="74"/>
        <v>28000</v>
      </c>
      <c r="H1619" s="573" t="s">
        <v>582</v>
      </c>
      <c r="I1619" s="1257" t="s">
        <v>2124</v>
      </c>
      <c r="J1619" s="503"/>
      <c r="K1619" s="503"/>
      <c r="L1619" s="503"/>
      <c r="M1619" s="503"/>
      <c r="N1619" s="503"/>
      <c r="O1619" s="503"/>
      <c r="P1619" s="503"/>
    </row>
    <row r="1620" spans="1:16">
      <c r="A1620" s="75">
        <v>12398</v>
      </c>
      <c r="B1620" s="122">
        <v>0.1</v>
      </c>
      <c r="C1620" s="2058" t="s">
        <v>3185</v>
      </c>
      <c r="D1620" s="1027" t="s">
        <v>2111</v>
      </c>
      <c r="E1620" s="2050">
        <v>950000</v>
      </c>
      <c r="F1620" s="314">
        <v>0.02</v>
      </c>
      <c r="G1620" s="511">
        <f t="shared" si="74"/>
        <v>19000</v>
      </c>
      <c r="H1620" s="573" t="s">
        <v>527</v>
      </c>
      <c r="I1620" s="1257" t="s">
        <v>2124</v>
      </c>
      <c r="J1620" s="503"/>
      <c r="K1620" s="503"/>
      <c r="L1620" s="503"/>
      <c r="M1620" s="503"/>
      <c r="N1620" s="503"/>
      <c r="O1620" s="503"/>
      <c r="P1620" s="503"/>
    </row>
    <row r="1621" spans="1:16">
      <c r="A1621" s="170">
        <v>12413</v>
      </c>
      <c r="B1621" s="1705">
        <v>0.1</v>
      </c>
      <c r="C1621" s="1527" t="s">
        <v>3164</v>
      </c>
      <c r="D1621" s="2073" t="s">
        <v>2111</v>
      </c>
      <c r="E1621" s="2050">
        <v>1200000</v>
      </c>
      <c r="F1621" s="314">
        <v>0.02</v>
      </c>
      <c r="G1621" s="511">
        <f t="shared" si="74"/>
        <v>24000</v>
      </c>
      <c r="H1621" s="342" t="s">
        <v>748</v>
      </c>
      <c r="I1621" s="1257" t="s">
        <v>2124</v>
      </c>
      <c r="J1621" s="503"/>
      <c r="K1621" s="503"/>
      <c r="L1621" s="503"/>
      <c r="M1621" s="503"/>
      <c r="N1621" s="503"/>
      <c r="O1621" s="503"/>
      <c r="P1621" s="503"/>
    </row>
    <row r="1622" spans="1:16" ht="15.6">
      <c r="A1622" s="75">
        <v>12425</v>
      </c>
      <c r="B1622" s="1956">
        <v>0.1</v>
      </c>
      <c r="C1622" s="1229" t="s">
        <v>3093</v>
      </c>
      <c r="D1622" s="576" t="s">
        <v>3186</v>
      </c>
      <c r="E1622" s="1476">
        <v>1100000</v>
      </c>
      <c r="F1622" s="314">
        <v>0.02</v>
      </c>
      <c r="G1622" s="511">
        <f t="shared" si="74"/>
        <v>22000</v>
      </c>
      <c r="H1622" s="573" t="s">
        <v>527</v>
      </c>
      <c r="I1622" s="1257" t="s">
        <v>2124</v>
      </c>
      <c r="J1622" s="503"/>
      <c r="K1622" s="503"/>
      <c r="L1622" s="503"/>
      <c r="M1622" s="503"/>
      <c r="N1622" s="503"/>
      <c r="O1622" s="503"/>
      <c r="P1622" s="503"/>
    </row>
    <row r="1623" spans="1:16" ht="15.6">
      <c r="A1623" s="75">
        <v>12427</v>
      </c>
      <c r="B1623" s="1956">
        <v>0.1</v>
      </c>
      <c r="C1623" s="1229" t="s">
        <v>3094</v>
      </c>
      <c r="D1623" s="576" t="s">
        <v>3186</v>
      </c>
      <c r="E1623" s="1476">
        <v>970000</v>
      </c>
      <c r="F1623" s="314">
        <v>0.02</v>
      </c>
      <c r="G1623" s="511">
        <f t="shared" si="74"/>
        <v>19400</v>
      </c>
      <c r="H1623" s="573" t="s">
        <v>748</v>
      </c>
      <c r="I1623" s="777" t="s">
        <v>2124</v>
      </c>
      <c r="J1623" s="503"/>
      <c r="K1623" s="503"/>
      <c r="L1623" s="503"/>
      <c r="M1623" s="503"/>
      <c r="N1623" s="503"/>
      <c r="O1623" s="503"/>
      <c r="P1623" s="503"/>
    </row>
    <row r="1624" spans="1:16" ht="15.6">
      <c r="A1624" s="121">
        <v>12430</v>
      </c>
      <c r="B1624" s="1956">
        <v>0.1</v>
      </c>
      <c r="C1624" s="1383" t="s">
        <v>3156</v>
      </c>
      <c r="D1624" s="1785" t="s">
        <v>2111</v>
      </c>
      <c r="E1624" s="1724">
        <v>1300000</v>
      </c>
      <c r="F1624" s="314">
        <v>0.02</v>
      </c>
      <c r="G1624" s="511">
        <f t="shared" si="74"/>
        <v>26000</v>
      </c>
      <c r="H1624" s="573" t="s">
        <v>2761</v>
      </c>
      <c r="I1624" s="1061" t="s">
        <v>2124</v>
      </c>
    </row>
    <row r="1625" spans="1:16" ht="15.6">
      <c r="A1625" s="121">
        <v>12432</v>
      </c>
      <c r="B1625" s="1956">
        <v>0.1</v>
      </c>
      <c r="C1625" s="1229" t="s">
        <v>3154</v>
      </c>
      <c r="D1625" s="1143" t="s">
        <v>2111</v>
      </c>
      <c r="E1625" s="2074">
        <v>1350000</v>
      </c>
      <c r="F1625" s="314">
        <v>0.02</v>
      </c>
      <c r="G1625" s="511">
        <f t="shared" si="74"/>
        <v>27000</v>
      </c>
      <c r="H1625" s="573" t="s">
        <v>2761</v>
      </c>
      <c r="I1625" s="1062" t="s">
        <v>2124</v>
      </c>
    </row>
    <row r="1626" spans="1:16">
      <c r="A1626" s="2231"/>
      <c r="B1626" s="666"/>
      <c r="C1626" s="1648"/>
      <c r="D1626" s="1146"/>
      <c r="E1626" s="1987"/>
      <c r="F1626" s="743"/>
      <c r="G1626" s="1988"/>
      <c r="H1626" s="1983"/>
      <c r="I1626" s="1984"/>
    </row>
    <row r="1627" spans="1:16">
      <c r="A1627" s="257"/>
      <c r="B1627" s="11"/>
      <c r="C1627" s="11"/>
      <c r="D1627" s="160" t="s">
        <v>2271</v>
      </c>
      <c r="E1627" s="1985">
        <f>SUM(E1593:E1625)</f>
        <v>35530000</v>
      </c>
      <c r="F1627" s="490"/>
      <c r="G1627" s="493">
        <f>SUM(G1593:G1625)</f>
        <v>710600</v>
      </c>
      <c r="H1627" s="957"/>
      <c r="I1627" s="260"/>
    </row>
    <row r="1628" spans="1:16" ht="15.6">
      <c r="A1628" s="2271"/>
      <c r="B1628" s="171"/>
      <c r="C1628" s="171"/>
      <c r="D1628" s="1490" t="s">
        <v>2154</v>
      </c>
      <c r="E1628" s="494">
        <f>G1627</f>
        <v>710600</v>
      </c>
      <c r="F1628" s="11"/>
      <c r="G1628" s="11"/>
      <c r="H1628" s="2"/>
      <c r="I1628" s="2"/>
    </row>
    <row r="1631" spans="1:16" ht="18">
      <c r="A1631" s="2910" t="s">
        <v>2510</v>
      </c>
      <c r="B1631" s="2911"/>
      <c r="C1631" s="2911"/>
      <c r="D1631" s="2911"/>
      <c r="E1631" s="2911"/>
      <c r="F1631" s="11"/>
    </row>
    <row r="1632" spans="1:16" ht="18">
      <c r="A1632" s="1396" t="s">
        <v>2511</v>
      </c>
      <c r="B1632" s="1396" t="s">
        <v>2013</v>
      </c>
      <c r="C1632" s="1396" t="s">
        <v>2512</v>
      </c>
      <c r="D1632" s="1397" t="s">
        <v>2513</v>
      </c>
      <c r="E1632" s="1398" t="s">
        <v>2125</v>
      </c>
      <c r="F1632" s="11"/>
    </row>
    <row r="1633" spans="1:15" ht="15.6">
      <c r="A1633" s="2272">
        <v>10000712</v>
      </c>
      <c r="B1633" s="1811" t="s">
        <v>2812</v>
      </c>
      <c r="C1633" s="1521"/>
      <c r="D1633" s="1521" t="s">
        <v>3187</v>
      </c>
      <c r="E1633" s="1523" t="s">
        <v>3188</v>
      </c>
      <c r="F1633" s="117"/>
    </row>
    <row r="1634" spans="1:15" ht="15.6">
      <c r="A1634" s="2271">
        <v>6866543</v>
      </c>
      <c r="B1634" s="1496">
        <v>900000</v>
      </c>
      <c r="C1634" s="11" t="s">
        <v>3189</v>
      </c>
      <c r="D1634" s="11" t="s">
        <v>3190</v>
      </c>
      <c r="E1634" s="1394" t="s">
        <v>3191</v>
      </c>
      <c r="F1634" s="117"/>
    </row>
    <row r="1635" spans="1:15" ht="15.6">
      <c r="A1635" s="2260">
        <v>6863478</v>
      </c>
      <c r="B1635" s="1500">
        <v>850000</v>
      </c>
      <c r="C1635" s="1212" t="s">
        <v>3192</v>
      </c>
      <c r="D1635" s="1501" t="s">
        <v>3193</v>
      </c>
      <c r="E1635" s="1501" t="s">
        <v>3191</v>
      </c>
      <c r="F1635" s="117"/>
    </row>
    <row r="1636" spans="1:15" ht="15.6">
      <c r="A1636" s="2261">
        <v>6866498</v>
      </c>
      <c r="B1636" s="1587">
        <v>1200000</v>
      </c>
      <c r="C1636" s="1394" t="s">
        <v>3194</v>
      </c>
      <c r="D1636" s="1394" t="s">
        <v>3195</v>
      </c>
      <c r="E1636" s="1394" t="s">
        <v>3191</v>
      </c>
      <c r="F1636" s="117"/>
    </row>
    <row r="1637" spans="1:15" ht="15.6">
      <c r="A1637" s="2249"/>
      <c r="B1637" s="1395"/>
      <c r="C1637" s="701"/>
      <c r="D1637" s="1394"/>
      <c r="E1637" s="1394"/>
      <c r="F1637" s="117"/>
    </row>
    <row r="1639" spans="1:15">
      <c r="A1639" s="2922" t="s">
        <v>1898</v>
      </c>
      <c r="B1639" s="3112"/>
      <c r="C1639" s="79"/>
      <c r="D1639" s="1222">
        <f>E1627</f>
        <v>35530000</v>
      </c>
    </row>
    <row r="1640" spans="1:15">
      <c r="A1640" s="2938" t="s">
        <v>1902</v>
      </c>
      <c r="B1640" s="2939"/>
      <c r="C1640" s="1481"/>
      <c r="D1640" s="714"/>
    </row>
    <row r="1641" spans="1:15">
      <c r="A1641" s="2273" t="s">
        <v>1903</v>
      </c>
      <c r="B1641" s="1746"/>
      <c r="C1641" s="1481"/>
      <c r="D1641" s="714"/>
    </row>
    <row r="1642" spans="1:15">
      <c r="A1642" s="2176"/>
      <c r="B1642" s="43" t="s">
        <v>1904</v>
      </c>
      <c r="C1642" s="43"/>
      <c r="D1642" s="1130" t="s">
        <v>1968</v>
      </c>
    </row>
    <row r="1648" spans="1:15" ht="46.15">
      <c r="A1648" s="2839" t="s">
        <v>1803</v>
      </c>
      <c r="B1648" s="2839"/>
      <c r="C1648" s="2839"/>
      <c r="D1648" s="2839"/>
      <c r="E1648" s="2839"/>
      <c r="F1648" s="2839"/>
      <c r="G1648" s="2839"/>
      <c r="H1648" s="2839"/>
      <c r="I1648" s="2839"/>
      <c r="J1648" s="2839"/>
      <c r="O1648" s="1"/>
    </row>
    <row r="1649" spans="1:17">
      <c r="O1649" s="1"/>
    </row>
    <row r="1650" spans="1:17" ht="21">
      <c r="A1650" s="2817" t="s">
        <v>1804</v>
      </c>
      <c r="B1650" s="2817"/>
      <c r="C1650" s="2817"/>
      <c r="D1650" s="2843"/>
      <c r="E1650" s="2817"/>
      <c r="F1650" s="2817"/>
      <c r="G1650" s="2817"/>
      <c r="H1650" s="2817"/>
      <c r="I1650" s="2817"/>
      <c r="J1650" s="2817"/>
      <c r="K1650" s="2819" t="s">
        <v>1805</v>
      </c>
      <c r="L1650" s="2819"/>
      <c r="M1650" s="2819"/>
      <c r="N1650" s="2819"/>
      <c r="O1650" s="2"/>
    </row>
    <row r="1651" spans="1:17">
      <c r="A1651" s="2218" t="s">
        <v>1806</v>
      </c>
      <c r="B1651" s="1634" t="s">
        <v>1807</v>
      </c>
      <c r="C1651" s="783" t="s">
        <v>1837</v>
      </c>
      <c r="D1651" s="1056" t="s">
        <v>1809</v>
      </c>
      <c r="E1651" s="779" t="s">
        <v>1810</v>
      </c>
      <c r="F1651" s="1634" t="s">
        <v>1811</v>
      </c>
      <c r="G1651" s="167" t="s">
        <v>1812</v>
      </c>
      <c r="H1651" s="1634" t="s">
        <v>1813</v>
      </c>
      <c r="I1651" s="1634" t="s">
        <v>1814</v>
      </c>
      <c r="J1651" s="1634" t="s">
        <v>1815</v>
      </c>
      <c r="K1651" s="26" t="s">
        <v>1807</v>
      </c>
      <c r="L1651" s="26" t="s">
        <v>1809</v>
      </c>
      <c r="M1651" s="26" t="s">
        <v>1816</v>
      </c>
      <c r="N1651" s="259" t="s">
        <v>1811</v>
      </c>
      <c r="O1651" s="260" t="s">
        <v>1817</v>
      </c>
    </row>
    <row r="1652" spans="1:17">
      <c r="A1652" s="2940"/>
      <c r="B1652" s="840">
        <v>12474</v>
      </c>
      <c r="C1652" s="2119">
        <v>0.1</v>
      </c>
      <c r="D1652" s="1668" t="s">
        <v>2030</v>
      </c>
      <c r="E1652" s="1607"/>
      <c r="F1652" s="1363"/>
      <c r="G1652" s="313"/>
      <c r="H1652" s="648"/>
      <c r="I1652" s="2075" t="s">
        <v>2363</v>
      </c>
      <c r="J1652" s="2115"/>
      <c r="K1652" s="26"/>
      <c r="L1652" s="26"/>
      <c r="M1652" s="26"/>
      <c r="N1652" s="259"/>
      <c r="O1652" s="260"/>
    </row>
    <row r="1653" spans="1:17">
      <c r="A1653" s="2941"/>
      <c r="B1653" s="1626"/>
      <c r="C1653" s="1273"/>
      <c r="D1653" s="1619" t="s">
        <v>3196</v>
      </c>
      <c r="E1653" s="1600"/>
      <c r="F1653" s="312"/>
      <c r="G1653" s="313"/>
      <c r="H1653" s="290"/>
      <c r="I1653" s="290" t="s">
        <v>3019</v>
      </c>
      <c r="J1653" s="1626"/>
      <c r="K1653" s="26"/>
      <c r="L1653" s="26"/>
      <c r="M1653" s="26"/>
      <c r="N1653" s="259"/>
      <c r="O1653" s="260"/>
    </row>
    <row r="1654" spans="1:17">
      <c r="A1654" s="2941"/>
      <c r="B1654" s="1747"/>
      <c r="C1654" s="1747"/>
      <c r="D1654" s="2094" t="s">
        <v>3197</v>
      </c>
      <c r="E1654" s="1600"/>
      <c r="F1654" s="312"/>
      <c r="G1654" s="313"/>
      <c r="H1654" s="299"/>
      <c r="I1654" s="290" t="s">
        <v>2363</v>
      </c>
      <c r="J1654" s="1747"/>
      <c r="K1654" s="26"/>
      <c r="L1654" s="26"/>
      <c r="M1654" s="26"/>
      <c r="N1654" s="259"/>
      <c r="O1654" s="260"/>
    </row>
    <row r="1655" spans="1:17">
      <c r="A1655" s="2941"/>
      <c r="B1655" s="1747"/>
      <c r="C1655" s="1747"/>
      <c r="D1655" s="701" t="s">
        <v>3198</v>
      </c>
      <c r="E1655" s="1600"/>
      <c r="F1655" s="312"/>
      <c r="G1655" s="313"/>
      <c r="H1655" s="290"/>
      <c r="I1655" s="290" t="s">
        <v>2363</v>
      </c>
      <c r="J1655" s="1747"/>
      <c r="K1655" s="2095"/>
      <c r="L1655" s="1994"/>
      <c r="M1655" s="1713"/>
      <c r="N1655" s="991"/>
      <c r="O1655" s="368"/>
      <c r="P1655" s="1177"/>
      <c r="Q1655" s="503"/>
    </row>
    <row r="1656" spans="1:17">
      <c r="A1656" s="2941"/>
      <c r="B1656" s="1747"/>
      <c r="C1656" s="1747"/>
      <c r="D1656" s="2094" t="s">
        <v>3199</v>
      </c>
      <c r="E1656" s="1600"/>
      <c r="F1656" s="312"/>
      <c r="G1656" s="313"/>
      <c r="H1656" s="299"/>
      <c r="I1656" s="290" t="s">
        <v>2417</v>
      </c>
      <c r="J1656" s="1747"/>
      <c r="K1656" s="2095"/>
      <c r="L1656" s="1995"/>
      <c r="M1656" s="1996"/>
      <c r="N1656" s="520"/>
      <c r="O1656" s="344"/>
      <c r="P1656" s="299"/>
      <c r="Q1656" s="503"/>
    </row>
    <row r="1657" spans="1:17">
      <c r="A1657" s="2941"/>
      <c r="B1657" s="1633"/>
      <c r="C1657" s="1633"/>
      <c r="D1657" s="2052" t="s">
        <v>3200</v>
      </c>
      <c r="E1657" s="1601"/>
      <c r="F1657" s="747"/>
      <c r="G1657" s="1292"/>
      <c r="H1657" s="1291"/>
      <c r="I1657" s="2096" t="s">
        <v>2417</v>
      </c>
      <c r="J1657" s="1633"/>
      <c r="K1657" s="118"/>
      <c r="L1657" s="1747"/>
      <c r="M1657" s="1747"/>
      <c r="N1657" s="1747"/>
      <c r="O1657" s="2"/>
    </row>
    <row r="1658" spans="1:17">
      <c r="A1658" s="2941"/>
      <c r="B1658" s="1747"/>
      <c r="C1658" s="1747"/>
      <c r="D1658" s="2051" t="s">
        <v>3201</v>
      </c>
      <c r="E1658" s="1600"/>
      <c r="F1658" s="1363"/>
      <c r="G1658" s="313"/>
      <c r="H1658" s="299"/>
      <c r="I1658" s="1485" t="s">
        <v>2363</v>
      </c>
      <c r="J1658" s="1747"/>
      <c r="K1658" s="118"/>
      <c r="L1658" s="1747"/>
      <c r="M1658" s="1747"/>
      <c r="N1658" s="1747"/>
      <c r="O1658" s="2"/>
    </row>
    <row r="1659" spans="1:17">
      <c r="A1659" s="2941"/>
      <c r="B1659" s="1747"/>
      <c r="C1659" s="1747"/>
      <c r="D1659" s="2052"/>
      <c r="E1659" s="1600"/>
      <c r="F1659" s="1363"/>
      <c r="G1659" s="313"/>
      <c r="H1659" s="648"/>
      <c r="I1659" s="2075"/>
      <c r="J1659" s="1273"/>
      <c r="K1659" s="118"/>
      <c r="L1659" s="1747"/>
      <c r="M1659" s="1747"/>
      <c r="N1659" s="1747"/>
      <c r="O1659" s="2"/>
    </row>
    <row r="1660" spans="1:17">
      <c r="A1660" s="2941"/>
      <c r="B1660" s="1747"/>
      <c r="C1660" s="1747"/>
      <c r="D1660" s="2052"/>
      <c r="E1660" s="1600"/>
      <c r="F1660" s="1363"/>
      <c r="G1660" s="313"/>
      <c r="H1660" s="648"/>
      <c r="I1660" s="2075"/>
      <c r="J1660" s="1273"/>
      <c r="K1660" s="118"/>
      <c r="L1660" s="1747"/>
      <c r="M1660" s="1747"/>
      <c r="N1660" s="1747"/>
      <c r="O1660" s="2"/>
    </row>
    <row r="1661" spans="1:17">
      <c r="A1661" s="2941"/>
      <c r="B1661" s="1747"/>
      <c r="C1661" s="1747"/>
      <c r="D1661" s="2052"/>
      <c r="E1661" s="1600"/>
      <c r="F1661" s="1363"/>
      <c r="G1661" s="313"/>
      <c r="H1661" s="648"/>
      <c r="I1661" s="2075"/>
      <c r="J1661" s="1273"/>
      <c r="K1661" s="118"/>
      <c r="L1661" s="1747"/>
      <c r="M1661" s="1747"/>
      <c r="N1661" s="1747"/>
      <c r="O1661" s="2"/>
    </row>
    <row r="1662" spans="1:17">
      <c r="A1662" s="2941"/>
      <c r="B1662" s="1747"/>
      <c r="C1662" s="1747"/>
      <c r="D1662" s="2052"/>
      <c r="E1662" s="1600"/>
      <c r="F1662" s="1363"/>
      <c r="G1662" s="313"/>
      <c r="H1662" s="648"/>
      <c r="I1662" s="2075"/>
      <c r="J1662" s="1273"/>
      <c r="K1662" s="118"/>
      <c r="L1662" s="1747"/>
      <c r="M1662" s="1747"/>
      <c r="N1662" s="1747"/>
      <c r="O1662" s="2"/>
    </row>
    <row r="1663" spans="1:17">
      <c r="A1663" s="2941"/>
      <c r="B1663" s="1747"/>
      <c r="C1663" s="1747"/>
      <c r="D1663" s="2052"/>
      <c r="E1663" s="1600"/>
      <c r="F1663" s="1363"/>
      <c r="G1663" s="313"/>
      <c r="H1663" s="648"/>
      <c r="I1663" s="2075"/>
      <c r="J1663" s="1273"/>
      <c r="K1663" s="118"/>
      <c r="L1663" s="1747"/>
      <c r="M1663" s="1747"/>
      <c r="N1663" s="1747"/>
      <c r="O1663" s="2"/>
    </row>
    <row r="1664" spans="1:17" ht="15" customHeight="1">
      <c r="A1664" s="2941"/>
      <c r="B1664" s="624"/>
      <c r="C1664" s="624"/>
      <c r="D1664" s="2053" t="s">
        <v>1833</v>
      </c>
      <c r="E1664" s="1602" t="e">
        <f>SUM(#REF!)</f>
        <v>#REF!</v>
      </c>
      <c r="F1664" s="929"/>
      <c r="G1664" s="1180" t="e">
        <f>SUM(#REF!)</f>
        <v>#REF!</v>
      </c>
      <c r="H1664" s="1181"/>
      <c r="I1664" s="444"/>
      <c r="J1664" s="773"/>
      <c r="K1664" s="308"/>
      <c r="L1664" s="2834" t="s">
        <v>1834</v>
      </c>
      <c r="M1664" s="2834"/>
      <c r="N1664" s="2834"/>
      <c r="O1664" s="289" t="e">
        <f>SUM(#REF!)</f>
        <v>#REF!</v>
      </c>
    </row>
    <row r="1665" spans="1:16" ht="15" customHeight="1">
      <c r="A1665" s="2942"/>
      <c r="B1665" s="1183"/>
      <c r="C1665" s="1183"/>
      <c r="D1665" s="1184" t="s">
        <v>1835</v>
      </c>
      <c r="E1665" s="1185" t="e">
        <f>G1664+O1664</f>
        <v>#REF!</v>
      </c>
      <c r="F1665" s="1183"/>
      <c r="G1665" s="1186"/>
      <c r="H1665" s="813"/>
      <c r="I1665" s="813"/>
      <c r="J1665" s="816"/>
      <c r="K1665" s="868"/>
      <c r="L1665" s="868"/>
      <c r="M1665" s="868"/>
      <c r="N1665" s="868"/>
      <c r="O1665" s="422"/>
    </row>
    <row r="1666" spans="1:16">
      <c r="A1666" s="2172"/>
      <c r="B1666" s="17"/>
      <c r="C1666" s="17"/>
      <c r="D1666" s="1058"/>
      <c r="E1666" s="19"/>
      <c r="F1666" s="17"/>
      <c r="G1666" s="20"/>
      <c r="H1666" s="17"/>
      <c r="I1666" s="17"/>
      <c r="J1666" s="18"/>
      <c r="O1666" s="1"/>
    </row>
    <row r="1667" spans="1:16">
      <c r="A1667" s="2172"/>
      <c r="B1667" s="17"/>
      <c r="C1667" s="17"/>
      <c r="D1667" s="1058"/>
      <c r="E1667" s="19"/>
      <c r="F1667" s="17"/>
      <c r="G1667" s="20"/>
      <c r="H1667" s="17"/>
      <c r="I1667" s="17"/>
      <c r="J1667" s="18"/>
      <c r="O1667" s="1"/>
    </row>
    <row r="1668" spans="1:16" ht="21">
      <c r="A1668" s="2823" t="s">
        <v>1836</v>
      </c>
      <c r="B1668" s="2823"/>
      <c r="C1668" s="2823"/>
      <c r="D1668" s="2823"/>
      <c r="E1668" s="2823"/>
      <c r="F1668" s="2823"/>
      <c r="G1668" s="2823"/>
      <c r="H1668" s="2823"/>
      <c r="I1668" s="2823"/>
      <c r="J1668" s="2823"/>
      <c r="K1668" s="2825" t="s">
        <v>1805</v>
      </c>
      <c r="L1668" s="2825"/>
      <c r="M1668" s="2825"/>
      <c r="N1668" s="2825"/>
      <c r="O1668" s="260"/>
    </row>
    <row r="1669" spans="1:16">
      <c r="A1669" s="2250" t="s">
        <v>1806</v>
      </c>
      <c r="B1669" s="1452" t="s">
        <v>1807</v>
      </c>
      <c r="C1669" s="1747" t="s">
        <v>1837</v>
      </c>
      <c r="D1669" s="2076" t="s">
        <v>1809</v>
      </c>
      <c r="E1669" s="806" t="s">
        <v>1810</v>
      </c>
      <c r="F1669" s="1747" t="s">
        <v>1811</v>
      </c>
      <c r="G1669" s="807" t="s">
        <v>1812</v>
      </c>
      <c r="H1669" s="1747" t="s">
        <v>1813</v>
      </c>
      <c r="I1669" s="1747" t="s">
        <v>1814</v>
      </c>
      <c r="J1669" s="1747" t="s">
        <v>1815</v>
      </c>
      <c r="K1669" s="1747" t="s">
        <v>1807</v>
      </c>
      <c r="L1669" s="1747" t="s">
        <v>1809</v>
      </c>
      <c r="M1669" s="1747" t="s">
        <v>1816</v>
      </c>
      <c r="N1669" s="1747" t="s">
        <v>1811</v>
      </c>
      <c r="O1669" s="51" t="s">
        <v>1817</v>
      </c>
    </row>
    <row r="1670" spans="1:16">
      <c r="A1670" s="2799"/>
      <c r="B1670" s="2099"/>
      <c r="C1670" s="687"/>
      <c r="D1670" s="759" t="s">
        <v>3202</v>
      </c>
      <c r="E1670" s="2100"/>
      <c r="F1670" s="336"/>
      <c r="G1670" s="350"/>
      <c r="H1670" s="409"/>
      <c r="I1670" s="408" t="s">
        <v>2417</v>
      </c>
      <c r="J1670" s="2102"/>
      <c r="K1670" s="1626"/>
      <c r="L1670" s="1452"/>
      <c r="M1670" s="1747"/>
      <c r="N1670" s="1747"/>
      <c r="O1670" s="51"/>
    </row>
    <row r="1671" spans="1:16">
      <c r="A1671" s="2799"/>
      <c r="B1671" s="118"/>
      <c r="C1671" s="318"/>
      <c r="D1671" s="910" t="s">
        <v>2039</v>
      </c>
      <c r="E1671" s="1596"/>
      <c r="F1671" s="1657"/>
      <c r="G1671" s="290"/>
      <c r="H1671" s="1925"/>
      <c r="I1671" s="1031" t="s">
        <v>2417</v>
      </c>
      <c r="J1671" s="1381"/>
      <c r="K1671" s="1626"/>
      <c r="L1671" s="1452"/>
      <c r="M1671" s="1747"/>
      <c r="N1671" s="1747"/>
      <c r="O1671" s="51"/>
      <c r="P1671" s="503"/>
    </row>
    <row r="1672" spans="1:16">
      <c r="A1672" s="2799"/>
      <c r="B1672" s="118"/>
      <c r="C1672" s="318"/>
      <c r="D1672" s="1415" t="s">
        <v>2040</v>
      </c>
      <c r="E1672" s="1595"/>
      <c r="F1672" s="1363"/>
      <c r="G1672" s="290"/>
      <c r="H1672" s="1031"/>
      <c r="I1672" s="1926" t="s">
        <v>2417</v>
      </c>
      <c r="J1672" s="1381"/>
      <c r="K1672" s="1626"/>
      <c r="L1672" s="1452"/>
      <c r="M1672" s="1747"/>
      <c r="N1672" s="1747"/>
      <c r="O1672" s="51"/>
      <c r="P1672" s="503"/>
    </row>
    <row r="1673" spans="1:16">
      <c r="A1673" s="2799"/>
      <c r="B1673" s="118"/>
      <c r="C1673" s="318"/>
      <c r="D1673" s="2077" t="s">
        <v>3203</v>
      </c>
      <c r="E1673" s="1595"/>
      <c r="F1673" s="958"/>
      <c r="G1673" s="940"/>
      <c r="H1673" s="1748"/>
      <c r="I1673" s="1748" t="s">
        <v>3019</v>
      </c>
      <c r="J1673" s="1381"/>
      <c r="K1673" s="1626"/>
      <c r="L1673" s="1452"/>
      <c r="M1673" s="1747"/>
      <c r="N1673" s="1747"/>
      <c r="O1673" s="51"/>
      <c r="P1673" s="503"/>
    </row>
    <row r="1674" spans="1:16">
      <c r="A1674" s="2799"/>
      <c r="B1674" s="118"/>
      <c r="C1674" s="318"/>
      <c r="D1674" s="1994" t="s">
        <v>3204</v>
      </c>
      <c r="E1674" s="1596"/>
      <c r="F1674" s="1421"/>
      <c r="G1674" s="523"/>
      <c r="H1674" s="1376"/>
      <c r="I1674" s="525" t="s">
        <v>2508</v>
      </c>
      <c r="J1674" s="1381"/>
      <c r="K1674" s="1626"/>
      <c r="L1674" s="1452"/>
      <c r="M1674" s="1747"/>
      <c r="N1674" s="1747"/>
      <c r="O1674" s="51"/>
      <c r="P1674" s="503"/>
    </row>
    <row r="1675" spans="1:16">
      <c r="A1675" s="2799"/>
      <c r="B1675" s="1747"/>
      <c r="C1675" s="808"/>
      <c r="D1675" s="701"/>
      <c r="E1675" s="1595"/>
      <c r="F1675" s="1570"/>
      <c r="G1675" s="523"/>
      <c r="H1675" s="696"/>
      <c r="I1675" s="521"/>
      <c r="J1675" s="1381"/>
      <c r="K1675" s="1626"/>
      <c r="L1675" s="1452"/>
      <c r="M1675" s="1747"/>
      <c r="N1675" s="1747"/>
      <c r="O1675" s="51"/>
      <c r="P1675" s="503"/>
    </row>
    <row r="1676" spans="1:16" ht="15.6">
      <c r="A1676" s="2799"/>
      <c r="B1676" s="1362"/>
      <c r="C1676" s="1556"/>
      <c r="D1676" s="701"/>
      <c r="E1676" s="1595"/>
      <c r="F1676" s="312"/>
      <c r="G1676" s="290"/>
      <c r="H1676" s="299"/>
      <c r="I1676" s="308"/>
      <c r="J1676" s="1748"/>
      <c r="K1676" s="1748"/>
      <c r="L1676" s="1748"/>
      <c r="M1676" s="1557"/>
      <c r="N1676" s="959"/>
      <c r="O1676" s="455"/>
    </row>
    <row r="1677" spans="1:16" ht="15.6">
      <c r="A1677" s="2799"/>
      <c r="B1677" s="1362"/>
      <c r="C1677" s="794"/>
      <c r="D1677" s="1212"/>
      <c r="E1677" s="1597"/>
      <c r="F1677" s="747"/>
      <c r="G1677" s="523"/>
      <c r="H1677" s="696"/>
      <c r="I1677" s="521"/>
      <c r="J1677" s="1246"/>
      <c r="K1677" s="989"/>
      <c r="L1677" s="1236"/>
      <c r="M1677" s="959"/>
      <c r="N1677" s="959"/>
      <c r="O1677" s="455"/>
    </row>
    <row r="1678" spans="1:16" ht="15.6">
      <c r="A1678" s="2799"/>
      <c r="B1678" s="1362"/>
      <c r="C1678" s="794"/>
      <c r="D1678" s="1212"/>
      <c r="E1678" s="1597"/>
      <c r="F1678" s="747"/>
      <c r="G1678" s="523"/>
      <c r="H1678" s="696"/>
      <c r="I1678" s="521"/>
      <c r="J1678" s="1246"/>
      <c r="K1678" s="989"/>
      <c r="L1678" s="1236"/>
      <c r="M1678" s="959"/>
      <c r="N1678" s="959"/>
      <c r="O1678" s="455"/>
    </row>
    <row r="1679" spans="1:16">
      <c r="A1679" s="2799"/>
      <c r="B1679" s="299"/>
      <c r="C1679" s="794"/>
      <c r="D1679" s="1156"/>
      <c r="E1679" s="1598"/>
      <c r="F1679" s="747"/>
      <c r="G1679" s="748"/>
      <c r="H1679" s="696"/>
      <c r="I1679" s="524"/>
      <c r="J1679" s="1381"/>
      <c r="K1679" s="290"/>
      <c r="L1679" s="290"/>
      <c r="M1679" s="290"/>
      <c r="N1679" s="290"/>
      <c r="O1679" s="299"/>
    </row>
    <row r="1680" spans="1:16">
      <c r="A1680" s="2799"/>
      <c r="B1680" s="506"/>
      <c r="C1680" s="675"/>
      <c r="D1680" s="1144" t="s">
        <v>1833</v>
      </c>
      <c r="E1680" s="1599">
        <f>SUM(E1670:E1678)</f>
        <v>0</v>
      </c>
      <c r="F1680" s="506"/>
      <c r="G1680" s="475"/>
      <c r="H1680" s="891"/>
      <c r="I1680" s="506"/>
      <c r="J1680" s="334"/>
      <c r="K1680" s="1439"/>
      <c r="L1680" s="2794" t="s">
        <v>1859</v>
      </c>
      <c r="M1680" s="2794"/>
      <c r="N1680" s="2794"/>
      <c r="O1680" s="1440"/>
    </row>
    <row r="1681" spans="1:18">
      <c r="A1681" s="2800"/>
      <c r="B1681" s="813"/>
      <c r="C1681" s="789"/>
      <c r="D1681" s="1157" t="s">
        <v>1835</v>
      </c>
      <c r="E1681" s="937" t="e">
        <f>#REF!+#REF!+#REF!+#REF!</f>
        <v>#REF!</v>
      </c>
      <c r="F1681" s="450"/>
      <c r="G1681" s="481"/>
      <c r="H1681" s="450"/>
      <c r="I1681" s="450"/>
      <c r="J1681" s="482"/>
      <c r="K1681" s="453"/>
      <c r="L1681" s="938"/>
      <c r="M1681" s="938"/>
      <c r="N1681" s="938"/>
      <c r="O1681" s="455"/>
    </row>
    <row r="1682" spans="1:18" ht="15.6">
      <c r="A1682" s="2209"/>
      <c r="B1682" s="799"/>
      <c r="C1682" s="456"/>
      <c r="D1682" s="1091"/>
      <c r="E1682" s="458"/>
      <c r="F1682" s="456"/>
      <c r="G1682" s="459"/>
      <c r="H1682" s="456"/>
      <c r="I1682" s="456"/>
      <c r="J1682" s="457"/>
      <c r="K1682" s="460"/>
      <c r="L1682" s="461"/>
      <c r="M1682" s="461"/>
      <c r="N1682" s="461"/>
      <c r="O1682" s="455"/>
    </row>
    <row r="1683" spans="1:18" ht="15.6">
      <c r="A1683" s="2209"/>
      <c r="B1683" s="799"/>
      <c r="C1683" s="799"/>
      <c r="D1683" s="1145"/>
      <c r="E1683" s="801"/>
      <c r="F1683" s="799"/>
      <c r="G1683" s="802"/>
      <c r="H1683" s="799"/>
      <c r="I1683" s="799"/>
      <c r="J1683" s="800"/>
      <c r="K1683" s="803"/>
      <c r="L1683" s="804"/>
      <c r="M1683" s="804"/>
      <c r="N1683" s="804"/>
      <c r="O1683" s="805"/>
    </row>
    <row r="1684" spans="1:18" ht="21">
      <c r="A1684" s="2817" t="s">
        <v>1860</v>
      </c>
      <c r="B1684" s="2817"/>
      <c r="C1684" s="2817"/>
      <c r="D1684" s="2817"/>
      <c r="E1684" s="2817"/>
      <c r="F1684" s="2817"/>
      <c r="G1684" s="2817"/>
      <c r="H1684" s="2817"/>
      <c r="I1684" s="2817"/>
      <c r="J1684" s="2817"/>
      <c r="K1684" s="2811" t="s">
        <v>1805</v>
      </c>
      <c r="L1684" s="2811"/>
      <c r="M1684" s="2811"/>
      <c r="N1684" s="2811"/>
      <c r="O1684" s="2"/>
    </row>
    <row r="1685" spans="1:18">
      <c r="A1685" s="2218" t="s">
        <v>1806</v>
      </c>
      <c r="B1685" s="1634" t="s">
        <v>1807</v>
      </c>
      <c r="C1685" s="1634" t="s">
        <v>1837</v>
      </c>
      <c r="D1685" s="1056" t="s">
        <v>1809</v>
      </c>
      <c r="E1685" s="32" t="s">
        <v>1810</v>
      </c>
      <c r="F1685" s="1634" t="s">
        <v>1811</v>
      </c>
      <c r="G1685" s="167" t="s">
        <v>1812</v>
      </c>
      <c r="H1685" s="1634" t="s">
        <v>1813</v>
      </c>
      <c r="I1685" s="1634" t="s">
        <v>1814</v>
      </c>
      <c r="J1685" s="1634" t="s">
        <v>1815</v>
      </c>
      <c r="K1685" s="1626" t="s">
        <v>1807</v>
      </c>
      <c r="L1685" s="1626" t="s">
        <v>1809</v>
      </c>
      <c r="M1685" s="1626" t="s">
        <v>1816</v>
      </c>
      <c r="N1685" s="1626" t="s">
        <v>1811</v>
      </c>
      <c r="O1685" s="260" t="s">
        <v>1817</v>
      </c>
    </row>
    <row r="1686" spans="1:18">
      <c r="A1686" s="2177"/>
      <c r="B1686" s="2097">
        <v>12433</v>
      </c>
      <c r="C1686" s="837">
        <v>0.1</v>
      </c>
      <c r="D1686" s="1229" t="s">
        <v>2031</v>
      </c>
      <c r="E1686" s="1313">
        <v>1200000</v>
      </c>
      <c r="F1686" s="2050"/>
      <c r="G1686" s="302"/>
      <c r="H1686" s="1226" t="s">
        <v>748</v>
      </c>
      <c r="I1686" s="573" t="s">
        <v>2363</v>
      </c>
      <c r="J1686" s="3"/>
      <c r="K1686" s="398"/>
      <c r="L1686" s="1626"/>
      <c r="M1686" s="1626"/>
      <c r="N1686" s="1626"/>
      <c r="O1686" s="260"/>
    </row>
    <row r="1687" spans="1:18">
      <c r="A1687" s="1812"/>
      <c r="B1687" s="2097">
        <v>12446</v>
      </c>
      <c r="C1687" s="837">
        <v>0.1</v>
      </c>
      <c r="D1687" s="1143" t="s">
        <v>2032</v>
      </c>
      <c r="E1687" s="1900">
        <v>1200000</v>
      </c>
      <c r="F1687" s="836"/>
      <c r="G1687" s="839"/>
      <c r="H1687" s="1206" t="s">
        <v>523</v>
      </c>
      <c r="I1687" s="1206" t="s">
        <v>2363</v>
      </c>
      <c r="J1687" s="3"/>
      <c r="K1687" s="398"/>
      <c r="L1687" s="1626"/>
      <c r="M1687" s="1626"/>
      <c r="N1687" s="1626"/>
      <c r="O1687" s="260"/>
    </row>
    <row r="1688" spans="1:18">
      <c r="A1688" s="2914"/>
      <c r="B1688" s="2097">
        <v>12469</v>
      </c>
      <c r="C1688" s="837">
        <v>0.1</v>
      </c>
      <c r="D1688" s="1143" t="s">
        <v>2033</v>
      </c>
      <c r="E1688" s="1900">
        <v>850000</v>
      </c>
      <c r="F1688" s="836"/>
      <c r="G1688" s="839"/>
      <c r="H1688" s="1206" t="s">
        <v>3019</v>
      </c>
      <c r="I1688" s="1206" t="s">
        <v>3019</v>
      </c>
      <c r="J1688" s="3"/>
      <c r="K1688" s="398"/>
      <c r="L1688" s="1161"/>
      <c r="M1688" s="1595"/>
      <c r="N1688" s="300"/>
      <c r="O1688" s="940"/>
      <c r="P1688" s="943"/>
      <c r="Q1688" s="943"/>
      <c r="R1688" s="503"/>
    </row>
    <row r="1689" spans="1:18">
      <c r="A1689" s="2914"/>
      <c r="B1689" s="1273"/>
      <c r="C1689" s="1747"/>
      <c r="D1689" s="1229" t="s">
        <v>2041</v>
      </c>
      <c r="E1689" s="1596"/>
      <c r="F1689" s="991"/>
      <c r="G1689" s="368"/>
      <c r="H1689" s="1177"/>
      <c r="I1689" s="943" t="s">
        <v>2417</v>
      </c>
      <c r="J1689" s="3"/>
      <c r="K1689" s="398"/>
      <c r="L1689" s="2000"/>
      <c r="M1689" s="1605"/>
      <c r="N1689" s="312"/>
      <c r="O1689" s="290"/>
      <c r="P1689" s="299"/>
      <c r="Q1689" s="1031"/>
      <c r="R1689" s="503"/>
    </row>
    <row r="1690" spans="1:18">
      <c r="A1690" s="2914"/>
      <c r="B1690" s="1626"/>
      <c r="C1690" s="1632"/>
      <c r="D1690" s="885" t="s">
        <v>2034</v>
      </c>
      <c r="E1690" s="2079"/>
      <c r="F1690" s="2080"/>
      <c r="G1690" s="1289"/>
      <c r="H1690" s="2081"/>
      <c r="I1690" s="2082" t="s">
        <v>2417</v>
      </c>
      <c r="J1690" s="1625"/>
      <c r="K1690" s="1626"/>
      <c r="L1690" s="2000"/>
      <c r="M1690" s="1605"/>
      <c r="N1690" s="312"/>
      <c r="O1690" s="290"/>
      <c r="P1690" s="299"/>
      <c r="Q1690" s="1031"/>
      <c r="R1690" s="503"/>
    </row>
    <row r="1691" spans="1:18">
      <c r="A1691" s="2914"/>
      <c r="B1691" s="1626"/>
      <c r="C1691" s="1626"/>
      <c r="D1691" s="431" t="s">
        <v>2042</v>
      </c>
      <c r="E1691" s="1605"/>
      <c r="F1691" s="1735"/>
      <c r="G1691" s="958"/>
      <c r="H1691" s="1177"/>
      <c r="I1691" s="1999" t="s">
        <v>3019</v>
      </c>
      <c r="J1691" s="1634"/>
      <c r="K1691" s="1626"/>
      <c r="L1691" s="2078"/>
      <c r="M1691" s="1996"/>
      <c r="N1691" s="520"/>
      <c r="O1691" s="344"/>
      <c r="P1691" s="371"/>
      <c r="Q1691" s="1116"/>
      <c r="R1691" s="503"/>
    </row>
    <row r="1692" spans="1:18">
      <c r="A1692" s="2914"/>
      <c r="B1692" s="1626"/>
      <c r="C1692" s="1626"/>
      <c r="D1692" s="1212" t="s">
        <v>3205</v>
      </c>
      <c r="E1692" s="1605"/>
      <c r="F1692" s="991"/>
      <c r="G1692" s="958"/>
      <c r="H1692" s="1177"/>
      <c r="I1692" s="1999" t="s">
        <v>2363</v>
      </c>
      <c r="J1692" s="1634"/>
      <c r="K1692" s="1626"/>
      <c r="L1692" s="2078"/>
      <c r="M1692" s="1996"/>
      <c r="N1692" s="520"/>
      <c r="O1692" s="344"/>
      <c r="P1692" s="371"/>
      <c r="Q1692" s="1116"/>
      <c r="R1692" s="503"/>
    </row>
    <row r="1693" spans="1:18">
      <c r="A1693" s="2914"/>
      <c r="B1693" s="1626"/>
      <c r="C1693" s="1626"/>
      <c r="D1693" s="701" t="s">
        <v>3206</v>
      </c>
      <c r="E1693" s="1605"/>
      <c r="F1693" s="1735"/>
      <c r="G1693" s="958"/>
      <c r="H1693" s="1177"/>
      <c r="I1693" s="1999" t="s">
        <v>3207</v>
      </c>
      <c r="J1693" s="1634"/>
      <c r="K1693" s="1626"/>
      <c r="L1693" s="2078"/>
      <c r="M1693" s="1996"/>
      <c r="N1693" s="520"/>
      <c r="O1693" s="344"/>
      <c r="P1693" s="371"/>
      <c r="Q1693" s="1116"/>
      <c r="R1693" s="503"/>
    </row>
    <row r="1694" spans="1:18">
      <c r="A1694" s="2914"/>
      <c r="B1694" s="1626"/>
      <c r="C1694" s="1626"/>
      <c r="D1694" s="701" t="s">
        <v>3208</v>
      </c>
      <c r="E1694" s="1605"/>
      <c r="F1694" s="991"/>
      <c r="G1694" s="958"/>
      <c r="H1694" s="1177"/>
      <c r="I1694" s="1999" t="s">
        <v>2363</v>
      </c>
      <c r="J1694" s="1634"/>
      <c r="K1694" s="1626"/>
      <c r="L1694" s="398"/>
      <c r="M1694" s="398"/>
      <c r="N1694" s="1626"/>
      <c r="O1694" s="1044"/>
      <c r="P1694" s="503"/>
      <c r="Q1694" s="503"/>
      <c r="R1694" s="503"/>
    </row>
    <row r="1695" spans="1:18">
      <c r="A1695" s="2914"/>
      <c r="B1695" s="1626"/>
      <c r="C1695" s="1626"/>
      <c r="D1695" s="1212" t="s">
        <v>3209</v>
      </c>
      <c r="E1695" s="1605"/>
      <c r="F1695" s="991"/>
      <c r="G1695" s="958"/>
      <c r="H1695" s="1177"/>
      <c r="I1695" s="1999"/>
      <c r="J1695" s="1715"/>
      <c r="K1695" s="1626"/>
      <c r="L1695" s="398"/>
      <c r="M1695" s="398"/>
      <c r="N1695" s="1626"/>
      <c r="O1695" s="1044"/>
      <c r="P1695" s="503"/>
      <c r="Q1695" s="503"/>
      <c r="R1695" s="503"/>
    </row>
    <row r="1696" spans="1:18">
      <c r="A1696" s="2914"/>
      <c r="B1696" s="1626"/>
      <c r="C1696" s="1626"/>
      <c r="D1696" s="1212" t="s">
        <v>3210</v>
      </c>
      <c r="E1696" s="1605"/>
      <c r="F1696" s="991"/>
      <c r="G1696" s="958"/>
      <c r="H1696" s="1177"/>
      <c r="I1696" s="1999"/>
      <c r="J1696" s="1715"/>
      <c r="K1696" s="1626"/>
      <c r="L1696" s="398"/>
      <c r="M1696" s="398"/>
      <c r="N1696" s="1626"/>
      <c r="O1696" s="1044"/>
      <c r="P1696" s="503"/>
      <c r="Q1696" s="503"/>
      <c r="R1696" s="503"/>
    </row>
    <row r="1697" spans="1:19" ht="15.6">
      <c r="A1697" s="2914"/>
      <c r="B1697" s="1362"/>
      <c r="C1697" s="1189"/>
      <c r="D1697" s="1338"/>
      <c r="E1697" s="1606"/>
      <c r="F1697" s="1747"/>
      <c r="G1697" s="807"/>
      <c r="H1697" s="1747"/>
      <c r="I1697" s="1747"/>
      <c r="J1697" s="398"/>
      <c r="K1697" s="1626"/>
      <c r="L1697" s="398"/>
      <c r="M1697" s="398"/>
      <c r="N1697" s="1626"/>
      <c r="O1697" s="1044"/>
      <c r="P1697" s="503"/>
      <c r="Q1697" s="503"/>
      <c r="R1697" s="503"/>
      <c r="S1697" s="503"/>
    </row>
    <row r="1698" spans="1:19">
      <c r="A1698" s="2914"/>
      <c r="B1698" s="506"/>
      <c r="C1698" s="506"/>
      <c r="D1698" s="1089" t="s">
        <v>1833</v>
      </c>
      <c r="E1698" s="1599">
        <f>SUM(E1686:E1694)</f>
        <v>3250000</v>
      </c>
      <c r="F1698" s="506"/>
      <c r="G1698" s="475"/>
      <c r="H1698" s="506"/>
      <c r="I1698" s="506"/>
      <c r="J1698" s="334"/>
      <c r="K1698" s="279"/>
      <c r="L1698" s="2916" t="s">
        <v>1859</v>
      </c>
      <c r="M1698" s="2916"/>
      <c r="N1698" s="2916"/>
      <c r="O1698" s="821"/>
    </row>
    <row r="1699" spans="1:19" ht="15.6">
      <c r="A1699" s="2915"/>
      <c r="B1699" s="813"/>
      <c r="C1699" s="813"/>
      <c r="D1699" s="483" t="s">
        <v>1835</v>
      </c>
      <c r="E1699" s="814"/>
      <c r="F1699" s="813"/>
      <c r="G1699" s="815"/>
      <c r="H1699" s="813"/>
      <c r="I1699" s="813"/>
      <c r="J1699" s="816"/>
      <c r="K1699" s="279"/>
      <c r="L1699" s="817"/>
      <c r="M1699" s="817"/>
      <c r="N1699" s="817"/>
      <c r="O1699" s="286"/>
    </row>
    <row r="1700" spans="1:19" ht="15.6">
      <c r="A1700" s="2209"/>
      <c r="B1700" s="456"/>
      <c r="C1700" s="456"/>
      <c r="D1700" s="1091"/>
      <c r="E1700" s="458"/>
      <c r="F1700" s="456"/>
      <c r="G1700" s="459"/>
      <c r="H1700" s="456"/>
      <c r="I1700" s="456"/>
      <c r="J1700" s="457"/>
      <c r="K1700" s="460"/>
      <c r="L1700" s="461"/>
      <c r="M1700" s="461"/>
      <c r="N1700" s="461"/>
      <c r="O1700" s="455"/>
    </row>
    <row r="1701" spans="1:19" ht="15.6">
      <c r="A1701" s="2209"/>
      <c r="B1701" s="799"/>
      <c r="C1701" s="799"/>
      <c r="D1701" s="1145"/>
      <c r="E1701" s="801"/>
      <c r="F1701" s="799"/>
      <c r="G1701" s="802"/>
      <c r="H1701" s="799"/>
      <c r="I1701" s="799"/>
      <c r="J1701" s="800"/>
      <c r="K1701" s="803"/>
      <c r="L1701" s="804"/>
      <c r="M1701" s="804"/>
      <c r="N1701" s="804"/>
      <c r="O1701" s="805"/>
    </row>
    <row r="1702" spans="1:19" ht="21">
      <c r="A1702" s="2827" t="s">
        <v>1875</v>
      </c>
      <c r="B1702" s="2917"/>
      <c r="C1702" s="2917"/>
      <c r="D1702" s="2917"/>
      <c r="E1702" s="2917"/>
      <c r="F1702" s="2917"/>
      <c r="G1702" s="2917"/>
      <c r="H1702" s="2917"/>
      <c r="I1702" s="2917"/>
      <c r="J1702" s="2918"/>
      <c r="K1702" s="279"/>
      <c r="L1702" s="818"/>
      <c r="M1702" s="818"/>
      <c r="N1702" s="818"/>
      <c r="O1702" s="286"/>
    </row>
    <row r="1703" spans="1:19">
      <c r="A1703" s="2218" t="s">
        <v>1806</v>
      </c>
      <c r="B1703" s="1634" t="s">
        <v>1807</v>
      </c>
      <c r="C1703" s="3" t="s">
        <v>1837</v>
      </c>
      <c r="D1703" s="1059" t="s">
        <v>1809</v>
      </c>
      <c r="E1703" s="4" t="s">
        <v>1810</v>
      </c>
      <c r="F1703" s="3" t="s">
        <v>1811</v>
      </c>
      <c r="G1703" s="5" t="s">
        <v>1812</v>
      </c>
      <c r="H1703" s="3" t="s">
        <v>1813</v>
      </c>
      <c r="I1703" s="3" t="s">
        <v>1814</v>
      </c>
      <c r="J1703" s="23" t="s">
        <v>1815</v>
      </c>
      <c r="K1703" s="1747" t="s">
        <v>1807</v>
      </c>
      <c r="L1703" s="1747" t="s">
        <v>1809</v>
      </c>
      <c r="M1703" s="1747" t="s">
        <v>1816</v>
      </c>
      <c r="N1703" s="1747" t="s">
        <v>1811</v>
      </c>
      <c r="O1703" s="2" t="s">
        <v>1817</v>
      </c>
    </row>
    <row r="1704" spans="1:19">
      <c r="A1704" s="2193"/>
      <c r="B1704" s="780"/>
      <c r="C1704" s="1453"/>
      <c r="D1704" s="1908" t="s">
        <v>3211</v>
      </c>
      <c r="E1704" s="1822"/>
      <c r="F1704" s="1830"/>
      <c r="G1704" s="2101"/>
      <c r="H1704" s="1934"/>
      <c r="I1704" s="1922" t="s">
        <v>2417</v>
      </c>
      <c r="J1704" s="1207"/>
      <c r="K1704" s="1747"/>
      <c r="L1704" s="118"/>
      <c r="M1704" s="1452"/>
      <c r="N1704" s="64"/>
      <c r="O1704" s="2"/>
    </row>
    <row r="1705" spans="1:19">
      <c r="A1705" s="2193"/>
      <c r="B1705" s="780"/>
      <c r="C1705" s="1453"/>
      <c r="D1705" s="1710" t="s">
        <v>3212</v>
      </c>
      <c r="E1705" s="1822"/>
      <c r="F1705" s="1830"/>
      <c r="G1705" s="2101"/>
      <c r="H1705" s="1825"/>
      <c r="I1705" s="1826" t="s">
        <v>2363</v>
      </c>
      <c r="J1705" s="1207"/>
      <c r="K1705" s="1747"/>
      <c r="L1705" s="118"/>
      <c r="M1705" s="1452"/>
      <c r="N1705" s="64"/>
      <c r="O1705" s="2"/>
    </row>
    <row r="1706" spans="1:19" ht="27">
      <c r="A1706" s="2193"/>
      <c r="B1706" s="780"/>
      <c r="C1706" s="1453"/>
      <c r="D1706" s="1413" t="s">
        <v>3213</v>
      </c>
      <c r="E1706" s="1822"/>
      <c r="F1706" s="1830"/>
      <c r="G1706" s="2101"/>
      <c r="H1706" s="1825"/>
      <c r="I1706" s="1826" t="s">
        <v>2417</v>
      </c>
      <c r="J1706" s="1207"/>
      <c r="K1706" s="1747"/>
      <c r="L1706" s="118"/>
      <c r="M1706" s="1452"/>
      <c r="N1706" s="64"/>
      <c r="O1706" s="2"/>
    </row>
    <row r="1707" spans="1:19" ht="15.6">
      <c r="A1707" s="2193"/>
      <c r="B1707" s="1213">
        <v>12439</v>
      </c>
      <c r="C1707" s="2108">
        <v>0.1</v>
      </c>
      <c r="D1707" s="1918" t="s">
        <v>2035</v>
      </c>
      <c r="E1707" s="1844">
        <v>1350000</v>
      </c>
      <c r="F1707" s="2084"/>
      <c r="G1707" s="1014"/>
      <c r="H1707" s="1214" t="s">
        <v>527</v>
      </c>
      <c r="I1707" s="1214" t="s">
        <v>2417</v>
      </c>
      <c r="J1707" s="23"/>
      <c r="K1707" s="1747"/>
      <c r="L1707" s="118"/>
      <c r="M1707" s="1452"/>
      <c r="N1707" s="64"/>
      <c r="O1707" s="2"/>
    </row>
    <row r="1708" spans="1:19" ht="15.6">
      <c r="A1708" s="2919"/>
      <c r="B1708" s="2111">
        <v>12462</v>
      </c>
      <c r="C1708" s="2109">
        <v>0.1</v>
      </c>
      <c r="D1708" s="1918" t="s">
        <v>2036</v>
      </c>
      <c r="E1708" s="1844">
        <v>1200000</v>
      </c>
      <c r="F1708" s="2084"/>
      <c r="G1708" s="1014"/>
      <c r="H1708" s="1214" t="s">
        <v>748</v>
      </c>
      <c r="I1708" s="1214" t="s">
        <v>2417</v>
      </c>
      <c r="J1708" s="1845"/>
      <c r="K1708" s="1748"/>
      <c r="L1708" s="1679"/>
      <c r="M1708" s="1562"/>
      <c r="N1708" s="300"/>
      <c r="O1708" s="286"/>
    </row>
    <row r="1709" spans="1:19">
      <c r="A1709" s="2919"/>
      <c r="B1709" s="1850"/>
      <c r="C1709" s="2110"/>
      <c r="D1709" s="1919" t="s">
        <v>3214</v>
      </c>
      <c r="E1709" s="1848">
        <v>1300000</v>
      </c>
      <c r="F1709" s="1849"/>
      <c r="G1709" s="1850"/>
      <c r="H1709" s="1920"/>
      <c r="I1709" s="1920" t="s">
        <v>3019</v>
      </c>
      <c r="J1709" s="1845"/>
      <c r="K1709" s="1748"/>
      <c r="L1709" s="1679"/>
      <c r="M1709" s="1562"/>
      <c r="N1709" s="300"/>
      <c r="O1709" s="286"/>
    </row>
    <row r="1710" spans="1:19">
      <c r="A1710" s="2799"/>
      <c r="B1710" s="1846"/>
      <c r="C1710" s="1847"/>
      <c r="D1710" s="1700" t="s">
        <v>2037</v>
      </c>
      <c r="E1710" s="1851"/>
      <c r="F1710" s="1852"/>
      <c r="G1710" s="1853"/>
      <c r="H1710" s="1854"/>
      <c r="I1710" s="1855" t="s">
        <v>2363</v>
      </c>
      <c r="J1710" s="1845"/>
      <c r="K1710" s="1748"/>
      <c r="L1710" s="1679"/>
      <c r="M1710" s="1562"/>
      <c r="N1710" s="300"/>
      <c r="O1710" s="286"/>
    </row>
    <row r="1711" spans="1:19">
      <c r="A1711" s="2799"/>
      <c r="B1711" s="1846"/>
      <c r="C1711" s="1847"/>
      <c r="D1711" s="1700" t="s">
        <v>2043</v>
      </c>
      <c r="E1711" s="1851">
        <v>1050000</v>
      </c>
      <c r="F1711" s="1852"/>
      <c r="G1711" s="1853"/>
      <c r="H1711" s="1854"/>
      <c r="I1711" s="1855" t="s">
        <v>2417</v>
      </c>
      <c r="J1711" s="1845"/>
      <c r="K1711" s="1748"/>
      <c r="L1711" s="1679"/>
      <c r="M1711" s="1562"/>
      <c r="N1711" s="300"/>
      <c r="O1711" s="286"/>
    </row>
    <row r="1712" spans="1:19">
      <c r="A1712" s="2799"/>
      <c r="B1712" s="1846"/>
      <c r="C1712" s="1847"/>
      <c r="D1712" s="2098" t="s">
        <v>3215</v>
      </c>
      <c r="E1712" s="1851"/>
      <c r="F1712" s="1852"/>
      <c r="G1712" s="1853"/>
      <c r="H1712" s="1854"/>
      <c r="I1712" s="1855"/>
      <c r="J1712" s="1845"/>
      <c r="K1712" s="1748"/>
      <c r="L1712" s="1679"/>
      <c r="M1712" s="1562"/>
      <c r="N1712" s="300"/>
      <c r="O1712" s="286"/>
    </row>
    <row r="1713" spans="1:15">
      <c r="A1713" s="2799"/>
      <c r="B1713" s="1846"/>
      <c r="C1713" s="1847"/>
      <c r="D1713" s="2098"/>
      <c r="E1713" s="1851"/>
      <c r="F1713" s="1852"/>
      <c r="G1713" s="1853"/>
      <c r="H1713" s="1854"/>
      <c r="I1713" s="1855"/>
      <c r="J1713" s="1845"/>
      <c r="K1713" s="1748"/>
      <c r="L1713" s="1679"/>
      <c r="M1713" s="1562"/>
      <c r="N1713" s="300"/>
      <c r="O1713" s="286"/>
    </row>
    <row r="1714" spans="1:15">
      <c r="A1714" s="2799"/>
      <c r="B1714" s="1846"/>
      <c r="C1714" s="1847"/>
      <c r="D1714" s="1856"/>
      <c r="E1714" s="1851"/>
      <c r="F1714" s="1852"/>
      <c r="G1714" s="1853"/>
      <c r="H1714" s="1854"/>
      <c r="I1714" s="1855"/>
      <c r="J1714" s="1845"/>
      <c r="K1714" s="1748"/>
      <c r="L1714" s="1679"/>
      <c r="M1714" s="1562"/>
      <c r="N1714" s="300"/>
      <c r="O1714" s="286"/>
    </row>
    <row r="1715" spans="1:15">
      <c r="A1715" s="2799"/>
      <c r="B1715" s="1857"/>
      <c r="C1715" s="1858"/>
      <c r="D1715" s="1859" t="s">
        <v>1833</v>
      </c>
      <c r="E1715" s="1860">
        <f>SUM(E1707:E1708)</f>
        <v>2550000</v>
      </c>
      <c r="F1715" s="1861"/>
      <c r="G1715" s="1862"/>
      <c r="H1715" s="1861"/>
      <c r="I1715" s="1861"/>
      <c r="J1715" s="1863"/>
      <c r="K1715" s="279"/>
      <c r="L1715" s="2849" t="s">
        <v>1859</v>
      </c>
      <c r="M1715" s="2845"/>
      <c r="N1715" s="2820"/>
      <c r="O1715" s="821"/>
    </row>
    <row r="1716" spans="1:15">
      <c r="A1716" s="2800"/>
      <c r="B1716" s="1864"/>
      <c r="C1716" s="1865"/>
      <c r="D1716" s="1866" t="s">
        <v>1835</v>
      </c>
      <c r="E1716" s="1867"/>
      <c r="F1716" s="1868"/>
      <c r="G1716" s="1869"/>
      <c r="H1716" s="1868"/>
      <c r="I1716" s="1868"/>
      <c r="J1716" s="1870"/>
      <c r="K1716" s="279"/>
      <c r="L1716" s="941"/>
      <c r="M1716" s="941"/>
      <c r="N1716" s="941"/>
      <c r="O1716" s="286"/>
    </row>
    <row r="1717" spans="1:15" ht="15.6">
      <c r="A1717" s="2267"/>
      <c r="B1717" s="1872"/>
      <c r="C1717" s="1872"/>
      <c r="D1717" s="1872"/>
      <c r="E1717" s="1873"/>
      <c r="F1717" s="1872"/>
      <c r="G1717" s="1874"/>
      <c r="H1717" s="1872"/>
      <c r="I1717" s="1872"/>
      <c r="J1717" s="1872"/>
      <c r="K1717" s="460"/>
      <c r="L1717" s="461"/>
      <c r="M1717" s="461"/>
      <c r="N1717" s="461"/>
      <c r="O1717" s="455"/>
    </row>
    <row r="1718" spans="1:15" ht="15.6">
      <c r="A1718" s="2267"/>
      <c r="B1718" s="1875"/>
      <c r="C1718" s="1875"/>
      <c r="D1718" s="1875"/>
      <c r="E1718" s="1876"/>
      <c r="F1718" s="1875"/>
      <c r="G1718" s="1877"/>
      <c r="H1718" s="1875"/>
      <c r="I1718" s="1875"/>
      <c r="J1718" s="1875"/>
      <c r="K1718" s="803"/>
      <c r="L1718" s="804"/>
      <c r="M1718" s="804"/>
      <c r="N1718" s="804"/>
      <c r="O1718" s="805"/>
    </row>
    <row r="1719" spans="1:15" ht="21">
      <c r="A1719" s="2829" t="s">
        <v>1887</v>
      </c>
      <c r="B1719" s="2920"/>
      <c r="C1719" s="2920"/>
      <c r="D1719" s="2920"/>
      <c r="E1719" s="2920"/>
      <c r="F1719" s="2920"/>
      <c r="G1719" s="2920"/>
      <c r="H1719" s="2920"/>
      <c r="I1719" s="2920"/>
      <c r="J1719" s="2921"/>
      <c r="K1719" s="279"/>
      <c r="L1719" s="818"/>
      <c r="M1719" s="818"/>
      <c r="N1719" s="818"/>
      <c r="O1719" s="286"/>
    </row>
    <row r="1720" spans="1:15">
      <c r="A1720" s="2268" t="s">
        <v>1806</v>
      </c>
      <c r="B1720" s="1879" t="s">
        <v>1807</v>
      </c>
      <c r="C1720" s="1879" t="s">
        <v>1837</v>
      </c>
      <c r="D1720" s="1879" t="s">
        <v>1809</v>
      </c>
      <c r="E1720" s="1880" t="s">
        <v>1810</v>
      </c>
      <c r="F1720" s="1879" t="s">
        <v>1811</v>
      </c>
      <c r="G1720" s="1881" t="s">
        <v>1812</v>
      </c>
      <c r="H1720" s="1879" t="s">
        <v>1813</v>
      </c>
      <c r="I1720" s="1879" t="s">
        <v>1814</v>
      </c>
      <c r="J1720" s="1835" t="s">
        <v>1815</v>
      </c>
      <c r="K1720" s="1747" t="s">
        <v>1807</v>
      </c>
      <c r="L1720" s="1747" t="s">
        <v>1809</v>
      </c>
      <c r="M1720" s="1747" t="s">
        <v>1816</v>
      </c>
      <c r="N1720" s="1747" t="s">
        <v>1811</v>
      </c>
      <c r="O1720" s="2" t="s">
        <v>1817</v>
      </c>
    </row>
    <row r="1721" spans="1:15">
      <c r="A1721" s="2274"/>
      <c r="B1721" s="1890"/>
      <c r="C1721" s="2103"/>
      <c r="D1721" s="1929" t="s">
        <v>2038</v>
      </c>
      <c r="E1721" s="1895"/>
      <c r="F1721" s="1893"/>
      <c r="G1721" s="1896"/>
      <c r="H1721" s="1921"/>
      <c r="I1721" s="1940" t="s">
        <v>2417</v>
      </c>
      <c r="J1721" s="1835"/>
      <c r="K1721" s="1747"/>
      <c r="L1721" s="1747"/>
      <c r="M1721" s="1747"/>
      <c r="N1721" s="1747"/>
      <c r="O1721" s="2"/>
    </row>
    <row r="1722" spans="1:15">
      <c r="A1722" s="2274"/>
      <c r="B1722" s="1890"/>
      <c r="C1722" s="2103"/>
      <c r="D1722" s="1929" t="s">
        <v>2044</v>
      </c>
      <c r="E1722" s="1895"/>
      <c r="F1722" s="1893"/>
      <c r="G1722" s="1896"/>
      <c r="H1722" s="1921"/>
      <c r="I1722" s="1940" t="s">
        <v>3019</v>
      </c>
      <c r="J1722" s="1835"/>
      <c r="K1722" s="1747"/>
      <c r="L1722" s="1747"/>
      <c r="M1722" s="1747"/>
      <c r="N1722" s="1747"/>
      <c r="O1722" s="2"/>
    </row>
    <row r="1723" spans="1:15">
      <c r="A1723" s="2274"/>
      <c r="B1723" s="1890"/>
      <c r="C1723" s="2103"/>
      <c r="D1723" s="1929" t="s">
        <v>3216</v>
      </c>
      <c r="E1723" s="1895"/>
      <c r="F1723" s="1893"/>
      <c r="G1723" s="1896"/>
      <c r="H1723" s="1921"/>
      <c r="I1723" s="1940" t="s">
        <v>3019</v>
      </c>
      <c r="J1723" s="1845"/>
      <c r="K1723" s="1747"/>
      <c r="L1723" s="1747"/>
      <c r="M1723" s="1747"/>
      <c r="N1723" s="1747"/>
      <c r="O1723" s="2"/>
    </row>
    <row r="1724" spans="1:15">
      <c r="A1724" s="2799"/>
      <c r="B1724" s="1890"/>
      <c r="C1724" s="1891"/>
      <c r="D1724" s="1932" t="s">
        <v>3217</v>
      </c>
      <c r="E1724" s="1892"/>
      <c r="F1724" s="1893"/>
      <c r="G1724" s="1894"/>
      <c r="H1724" s="1921"/>
      <c r="I1724" s="1939" t="s">
        <v>2363</v>
      </c>
      <c r="J1724" s="1845"/>
      <c r="K1724" s="1747"/>
      <c r="L1724" s="1747"/>
      <c r="M1724" s="1747"/>
      <c r="N1724" s="1747"/>
      <c r="O1724" s="2"/>
    </row>
    <row r="1725" spans="1:15">
      <c r="A1725" s="2799"/>
      <c r="B1725" s="1850"/>
      <c r="C1725" s="1889"/>
      <c r="D1725" s="1933" t="s">
        <v>3218</v>
      </c>
      <c r="E1725" s="1895"/>
      <c r="F1725" s="1893"/>
      <c r="G1725" s="1896"/>
      <c r="H1725" s="1921"/>
      <c r="I1725" s="1940" t="s">
        <v>2417</v>
      </c>
      <c r="J1725" s="1845"/>
      <c r="K1725" s="1748"/>
      <c r="L1725" s="1679"/>
      <c r="M1725" s="1562"/>
      <c r="N1725" s="300"/>
      <c r="O1725" s="286"/>
    </row>
    <row r="1726" spans="1:15">
      <c r="A1726" s="2799"/>
      <c r="B1726" s="1850"/>
      <c r="C1726" s="1889"/>
      <c r="D1726" s="1933" t="s">
        <v>3219</v>
      </c>
      <c r="E1726" s="1895"/>
      <c r="F1726" s="1893"/>
      <c r="G1726" s="1896"/>
      <c r="H1726" s="1921"/>
      <c r="I1726" s="1940" t="s">
        <v>2417</v>
      </c>
      <c r="J1726" s="1845"/>
      <c r="K1726" s="1748"/>
      <c r="L1726" s="1679"/>
      <c r="M1726" s="1562"/>
      <c r="N1726" s="300"/>
      <c r="O1726" s="286"/>
    </row>
    <row r="1727" spans="1:15">
      <c r="A1727" s="2799"/>
      <c r="B1727" s="1850"/>
      <c r="C1727" s="1889"/>
      <c r="D1727" s="1933" t="s">
        <v>3220</v>
      </c>
      <c r="E1727" s="1895"/>
      <c r="F1727" s="1893"/>
      <c r="G1727" s="1896"/>
      <c r="H1727" s="1921"/>
      <c r="I1727" s="1940" t="s">
        <v>2417</v>
      </c>
      <c r="J1727" s="1845"/>
      <c r="K1727" s="1748"/>
      <c r="L1727" s="1679"/>
      <c r="M1727" s="1562"/>
      <c r="N1727" s="300"/>
      <c r="O1727" s="286"/>
    </row>
    <row r="1728" spans="1:15">
      <c r="A1728" s="2799"/>
      <c r="B1728" s="1850"/>
      <c r="C1728" s="1889"/>
      <c r="D1728" s="1933" t="s">
        <v>3221</v>
      </c>
      <c r="E1728" s="1895"/>
      <c r="F1728" s="1893"/>
      <c r="G1728" s="1896"/>
      <c r="H1728" s="1921"/>
      <c r="I1728" s="1940"/>
      <c r="J1728" s="1845"/>
      <c r="K1728" s="1748"/>
      <c r="L1728" s="1679"/>
      <c r="M1728" s="1562"/>
      <c r="N1728" s="300"/>
      <c r="O1728" s="286"/>
    </row>
    <row r="1729" spans="1:15">
      <c r="A1729" s="2799"/>
      <c r="B1729" s="1850"/>
      <c r="C1729" s="1889"/>
      <c r="D1729" s="1933" t="s">
        <v>3222</v>
      </c>
      <c r="E1729" s="1895"/>
      <c r="F1729" s="1893"/>
      <c r="G1729" s="1896"/>
      <c r="H1729" s="1921"/>
      <c r="I1729" s="1940"/>
      <c r="J1729" s="1845"/>
      <c r="K1729" s="1748"/>
      <c r="L1729" s="1679"/>
      <c r="M1729" s="1562"/>
      <c r="N1729" s="300"/>
      <c r="O1729" s="286"/>
    </row>
    <row r="1730" spans="1:15">
      <c r="A1730" s="2799"/>
      <c r="B1730" s="1850"/>
      <c r="C1730" s="1889"/>
      <c r="D1730" s="1933"/>
      <c r="E1730" s="1895"/>
      <c r="F1730" s="1893"/>
      <c r="G1730" s="1896"/>
      <c r="H1730" s="1921"/>
      <c r="I1730" s="1940"/>
      <c r="J1730" s="1845"/>
      <c r="K1730" s="1748"/>
      <c r="L1730" s="1679"/>
      <c r="M1730" s="1562"/>
      <c r="N1730" s="300"/>
      <c r="O1730" s="286"/>
    </row>
    <row r="1731" spans="1:15">
      <c r="A1731" s="2799"/>
      <c r="B1731" s="1850"/>
      <c r="C1731" s="1889"/>
      <c r="D1731" s="1933"/>
      <c r="E1731" s="1895"/>
      <c r="F1731" s="1893"/>
      <c r="G1731" s="1896"/>
      <c r="H1731" s="1921"/>
      <c r="I1731" s="1940"/>
      <c r="J1731" s="1845"/>
      <c r="K1731" s="1748"/>
      <c r="L1731" s="1679"/>
      <c r="M1731" s="1562"/>
      <c r="N1731" s="300"/>
      <c r="O1731" s="286"/>
    </row>
    <row r="1732" spans="1:15">
      <c r="A1732" s="2799"/>
      <c r="B1732" s="1861"/>
      <c r="C1732" s="1897"/>
      <c r="D1732" s="1898" t="s">
        <v>1833</v>
      </c>
      <c r="E1732" s="1860">
        <f>SUM(E1724:E1724)</f>
        <v>0</v>
      </c>
      <c r="F1732" s="1861"/>
      <c r="G1732" s="1862">
        <f>SUM(G1724:G1724)</f>
        <v>0</v>
      </c>
      <c r="H1732" s="1861"/>
      <c r="I1732" s="1861"/>
      <c r="J1732" s="1863"/>
      <c r="K1732" s="279"/>
      <c r="L1732" s="2849" t="s">
        <v>1859</v>
      </c>
      <c r="M1732" s="2845"/>
      <c r="N1732" s="2820"/>
      <c r="O1732" s="821"/>
    </row>
    <row r="1733" spans="1:15">
      <c r="A1733" s="2800"/>
      <c r="B1733" s="1899"/>
      <c r="C1733" s="1868"/>
      <c r="D1733" s="1866" t="s">
        <v>1835</v>
      </c>
      <c r="E1733" s="1867"/>
      <c r="F1733" s="1868"/>
      <c r="G1733" s="1869"/>
      <c r="H1733" s="1868"/>
      <c r="I1733" s="1868"/>
      <c r="J1733" s="1870"/>
      <c r="K1733" s="279"/>
      <c r="L1733" s="941"/>
      <c r="M1733" s="941"/>
      <c r="N1733" s="941"/>
      <c r="O1733" s="286"/>
    </row>
    <row r="1734" spans="1:15" ht="15.6">
      <c r="A1734" s="2209"/>
      <c r="B1734" s="799"/>
      <c r="C1734" s="799"/>
      <c r="D1734" s="1145"/>
      <c r="E1734" s="801"/>
      <c r="F1734" s="799"/>
      <c r="G1734" s="802"/>
      <c r="H1734" s="799"/>
      <c r="I1734" s="799"/>
      <c r="J1734" s="800"/>
      <c r="K1734" s="803"/>
      <c r="L1734" s="804"/>
      <c r="M1734" s="804"/>
      <c r="N1734" s="804"/>
      <c r="O1734" s="805"/>
    </row>
    <row r="1735" spans="1:15" ht="15.6">
      <c r="A1735" s="2209"/>
      <c r="B1735" s="799"/>
      <c r="C1735" s="799"/>
      <c r="D1735" s="1145"/>
      <c r="E1735" s="801"/>
      <c r="F1735" s="799"/>
      <c r="G1735" s="802"/>
      <c r="H1735" s="799"/>
      <c r="I1735" s="799"/>
      <c r="J1735" s="800"/>
      <c r="K1735" s="803"/>
      <c r="L1735" s="804"/>
      <c r="M1735" s="804"/>
      <c r="N1735" s="804"/>
      <c r="O1735" s="805"/>
    </row>
    <row r="1736" spans="1:15">
      <c r="A1736" s="90"/>
      <c r="E1736" s="91"/>
      <c r="G1736" s="92"/>
      <c r="H1736" s="1001"/>
    </row>
    <row r="1737" spans="1:15">
      <c r="A1737" s="2897" t="s">
        <v>3223</v>
      </c>
      <c r="B1737" s="2898"/>
      <c r="C1737" s="2898"/>
      <c r="D1737" s="2898"/>
      <c r="E1737" s="2898"/>
      <c r="F1737" s="2898"/>
      <c r="G1737" s="2898"/>
      <c r="H1737" s="2899"/>
    </row>
    <row r="1738" spans="1:15">
      <c r="A1738" s="2900"/>
      <c r="B1738" s="2901"/>
      <c r="C1738" s="2901"/>
      <c r="D1738" s="2901"/>
      <c r="E1738" s="2901"/>
      <c r="F1738" s="2901"/>
      <c r="G1738" s="2901"/>
      <c r="H1738" s="2902"/>
      <c r="J1738" s="503"/>
      <c r="K1738" s="503"/>
      <c r="L1738" s="503"/>
      <c r="M1738" s="503"/>
      <c r="N1738" s="503"/>
      <c r="O1738" s="503"/>
    </row>
    <row r="1739" spans="1:15" ht="20.45">
      <c r="A1739" s="46" t="s">
        <v>2011</v>
      </c>
      <c r="B1739" s="2018" t="s">
        <v>1808</v>
      </c>
      <c r="C1739" s="176" t="s">
        <v>2012</v>
      </c>
      <c r="D1739" s="2085" t="s">
        <v>2580</v>
      </c>
      <c r="E1739" s="63" t="s">
        <v>2013</v>
      </c>
      <c r="F1739" s="398" t="s">
        <v>1811</v>
      </c>
      <c r="G1739" s="643" t="s">
        <v>1817</v>
      </c>
      <c r="H1739" s="94" t="s">
        <v>2125</v>
      </c>
      <c r="I1739" s="2"/>
      <c r="J1739" s="503"/>
      <c r="K1739" s="503"/>
      <c r="L1739" s="503"/>
      <c r="M1739" s="503"/>
      <c r="N1739" s="503"/>
      <c r="O1739" s="503"/>
    </row>
    <row r="1740" spans="1:15">
      <c r="A1740" s="2112"/>
      <c r="B1740" s="1693"/>
      <c r="C1740" s="1262" t="s">
        <v>1858</v>
      </c>
      <c r="D1740" s="409" t="s">
        <v>2127</v>
      </c>
      <c r="E1740" s="1618"/>
      <c r="F1740" s="1204"/>
      <c r="G1740" s="586"/>
      <c r="H1740" s="1124" t="s">
        <v>523</v>
      </c>
      <c r="I1740" s="2"/>
      <c r="J1740" s="503"/>
      <c r="K1740" s="503"/>
      <c r="L1740" s="503"/>
      <c r="M1740" s="503"/>
      <c r="N1740" s="503"/>
      <c r="O1740" s="503"/>
    </row>
    <row r="1741" spans="1:15">
      <c r="A1741" s="2112"/>
      <c r="B1741" s="1693"/>
      <c r="C1741" s="1759" t="s">
        <v>1886</v>
      </c>
      <c r="D1741" s="1651" t="s">
        <v>2127</v>
      </c>
      <c r="E1741" s="1618"/>
      <c r="F1741" s="1204"/>
      <c r="G1741" s="586"/>
      <c r="H1741" s="1124" t="s">
        <v>527</v>
      </c>
      <c r="I1741" s="2"/>
      <c r="J1741" s="503"/>
      <c r="K1741" s="503"/>
      <c r="L1741" s="503"/>
      <c r="M1741" s="503"/>
      <c r="N1741" s="503"/>
      <c r="O1741" s="503"/>
    </row>
    <row r="1742" spans="1:15">
      <c r="A1742" s="2275"/>
      <c r="B1742" s="336"/>
      <c r="C1742" s="1262" t="s">
        <v>3224</v>
      </c>
      <c r="D1742" s="409" t="s">
        <v>2251</v>
      </c>
      <c r="E1742" s="1618"/>
      <c r="F1742" s="1204"/>
      <c r="G1742" s="586"/>
      <c r="H1742" s="377"/>
      <c r="I1742" s="377"/>
    </row>
    <row r="1743" spans="1:15">
      <c r="A1743" s="131">
        <v>12439</v>
      </c>
      <c r="B1743" s="1784">
        <v>0.1</v>
      </c>
      <c r="C1743" s="431" t="s">
        <v>3225</v>
      </c>
      <c r="D1743" s="576" t="s">
        <v>2111</v>
      </c>
      <c r="E1743" s="1476">
        <v>1350000</v>
      </c>
      <c r="F1743" s="418"/>
      <c r="G1743" s="511"/>
      <c r="H1743" s="942" t="s">
        <v>3086</v>
      </c>
      <c r="I1743" s="649" t="s">
        <v>1971</v>
      </c>
      <c r="J1743" s="503"/>
      <c r="K1743" s="503"/>
      <c r="L1743" s="503"/>
      <c r="M1743" s="503"/>
      <c r="N1743" s="503"/>
      <c r="O1743" s="503"/>
    </row>
    <row r="1744" spans="1:15" ht="15.6">
      <c r="A1744" s="75">
        <v>12462</v>
      </c>
      <c r="B1744" s="2113">
        <v>0.1</v>
      </c>
      <c r="C1744" s="431" t="s">
        <v>3226</v>
      </c>
      <c r="D1744" s="1785" t="s">
        <v>2111</v>
      </c>
      <c r="E1744" s="2114">
        <v>1200000</v>
      </c>
      <c r="F1744" s="275"/>
      <c r="G1744" s="1011"/>
      <c r="H1744" s="576" t="s">
        <v>527</v>
      </c>
      <c r="I1744" s="649" t="s">
        <v>1971</v>
      </c>
      <c r="J1744" s="503"/>
      <c r="K1744" s="503"/>
      <c r="L1744" s="503"/>
      <c r="M1744" s="503"/>
      <c r="N1744" s="503"/>
      <c r="O1744" s="503"/>
    </row>
    <row r="1745" spans="1:15" ht="15.6">
      <c r="A1745" s="83">
        <v>12519</v>
      </c>
      <c r="B1745" s="1956">
        <v>0.1</v>
      </c>
      <c r="C1745" s="1229" t="s">
        <v>3227</v>
      </c>
      <c r="D1745" s="576" t="s">
        <v>2111</v>
      </c>
      <c r="E1745" s="1476">
        <v>1050000</v>
      </c>
      <c r="F1745" s="418"/>
      <c r="G1745" s="511"/>
      <c r="H1745" s="970" t="s">
        <v>527</v>
      </c>
      <c r="I1745" s="433" t="s">
        <v>1971</v>
      </c>
      <c r="J1745" s="503"/>
      <c r="K1745" s="503"/>
      <c r="L1745" s="503"/>
      <c r="M1745" s="503"/>
      <c r="N1745" s="503"/>
      <c r="O1745" s="503"/>
    </row>
    <row r="1746" spans="1:15" ht="15.6">
      <c r="A1746" s="83">
        <v>12484</v>
      </c>
      <c r="B1746" s="2122">
        <v>0.1</v>
      </c>
      <c r="C1746" s="518" t="s">
        <v>1888</v>
      </c>
      <c r="D1746" s="1785" t="s">
        <v>2111</v>
      </c>
      <c r="E1746" s="2114">
        <v>850000</v>
      </c>
      <c r="F1746" s="411"/>
      <c r="G1746" s="1011"/>
      <c r="H1746" s="576" t="s">
        <v>2761</v>
      </c>
      <c r="I1746" s="649" t="s">
        <v>1971</v>
      </c>
      <c r="J1746" s="503"/>
      <c r="K1746" s="503"/>
      <c r="L1746" s="503"/>
      <c r="M1746" s="503"/>
      <c r="N1746" s="503"/>
      <c r="O1746" s="503"/>
    </row>
    <row r="1747" spans="1:15" ht="15.6">
      <c r="A1747" s="83">
        <v>12502</v>
      </c>
      <c r="B1747" s="1956">
        <v>0.1</v>
      </c>
      <c r="C1747" s="431" t="s">
        <v>3228</v>
      </c>
      <c r="D1747" s="431" t="s">
        <v>2130</v>
      </c>
      <c r="E1747" s="2114">
        <v>800000</v>
      </c>
      <c r="F1747" s="411"/>
      <c r="G1747" s="1011"/>
      <c r="H1747" s="576" t="s">
        <v>523</v>
      </c>
      <c r="I1747" s="649" t="s">
        <v>1971</v>
      </c>
      <c r="J1747" s="503"/>
      <c r="K1747" s="503"/>
      <c r="L1747" s="503"/>
      <c r="M1747" s="503"/>
      <c r="N1747" s="503"/>
      <c r="O1747" s="503"/>
    </row>
    <row r="1748" spans="1:15" ht="15.6">
      <c r="A1748" s="83">
        <v>12533</v>
      </c>
      <c r="B1748" s="1956">
        <v>0.1</v>
      </c>
      <c r="C1748" s="1229" t="s">
        <v>3229</v>
      </c>
      <c r="D1748" s="1132" t="s">
        <v>2130</v>
      </c>
      <c r="E1748" s="1476">
        <v>1200000</v>
      </c>
      <c r="F1748" s="418"/>
      <c r="G1748" s="511"/>
      <c r="H1748" s="970" t="s">
        <v>523</v>
      </c>
      <c r="I1748" s="649" t="s">
        <v>1971</v>
      </c>
      <c r="J1748" s="503"/>
      <c r="K1748" s="503"/>
      <c r="L1748" s="503"/>
      <c r="M1748" s="503"/>
      <c r="N1748" s="503"/>
      <c r="O1748" s="503"/>
    </row>
    <row r="1749" spans="1:15" ht="15.6">
      <c r="A1749" s="83">
        <v>12549</v>
      </c>
      <c r="B1749" s="1956">
        <v>0.1</v>
      </c>
      <c r="C1749" s="1229" t="s">
        <v>3230</v>
      </c>
      <c r="D1749" s="1132" t="s">
        <v>2130</v>
      </c>
      <c r="E1749" s="1476">
        <v>900000</v>
      </c>
      <c r="F1749" s="418"/>
      <c r="G1749" s="2300"/>
      <c r="H1749" s="970" t="s">
        <v>527</v>
      </c>
      <c r="I1749" s="2316" t="s">
        <v>1971</v>
      </c>
      <c r="J1749" s="503"/>
      <c r="K1749" s="503"/>
      <c r="L1749" s="503"/>
      <c r="M1749" s="503"/>
      <c r="N1749" s="503"/>
      <c r="O1749" s="503"/>
    </row>
    <row r="1750" spans="1:15" ht="15.6">
      <c r="A1750" s="83">
        <v>12480</v>
      </c>
      <c r="B1750" s="2113">
        <v>0.1</v>
      </c>
      <c r="C1750" s="431" t="s">
        <v>3231</v>
      </c>
      <c r="D1750" s="1132" t="s">
        <v>2130</v>
      </c>
      <c r="E1750" s="2114">
        <v>1100000</v>
      </c>
      <c r="F1750" s="411"/>
      <c r="G1750" s="1011"/>
      <c r="H1750" s="576" t="s">
        <v>748</v>
      </c>
      <c r="I1750" s="649" t="s">
        <v>1971</v>
      </c>
      <c r="J1750" s="503"/>
      <c r="K1750" s="503"/>
      <c r="L1750" s="503"/>
      <c r="M1750" s="503"/>
      <c r="N1750" s="503"/>
      <c r="O1750" s="503"/>
    </row>
    <row r="1751" spans="1:15" ht="15.6">
      <c r="A1751" s="2317">
        <v>12546</v>
      </c>
      <c r="B1751" s="2122">
        <v>0.1</v>
      </c>
      <c r="C1751" s="1442" t="s">
        <v>3232</v>
      </c>
      <c r="D1751" s="1132" t="s">
        <v>2130</v>
      </c>
      <c r="E1751" s="1469">
        <v>1300000</v>
      </c>
      <c r="F1751" s="418"/>
      <c r="G1751" s="2300"/>
      <c r="H1751" s="573" t="s">
        <v>582</v>
      </c>
      <c r="I1751" s="432" t="s">
        <v>1971</v>
      </c>
    </row>
    <row r="1752" spans="1:15">
      <c r="A1752" s="75">
        <v>12573</v>
      </c>
      <c r="B1752" s="80">
        <v>0.08</v>
      </c>
      <c r="C1752" s="1229" t="s">
        <v>3233</v>
      </c>
      <c r="D1752" s="576" t="s">
        <v>3234</v>
      </c>
      <c r="E1752" s="1320">
        <v>1850000</v>
      </c>
      <c r="F1752" s="2372"/>
      <c r="G1752" s="2300"/>
      <c r="H1752" s="970" t="s">
        <v>523</v>
      </c>
      <c r="I1752" s="777" t="s">
        <v>2124</v>
      </c>
      <c r="J1752" s="503"/>
      <c r="K1752" s="503"/>
      <c r="L1752" s="503"/>
      <c r="M1752" s="503"/>
      <c r="N1752" s="503"/>
      <c r="O1752" s="503"/>
    </row>
    <row r="1753" spans="1:15">
      <c r="A1753" s="1585">
        <v>12570</v>
      </c>
      <c r="B1753" s="49">
        <v>0.1</v>
      </c>
      <c r="C1753" s="2286" t="s">
        <v>3235</v>
      </c>
      <c r="D1753" s="2373" t="s">
        <v>3236</v>
      </c>
      <c r="E1753" s="1600">
        <v>1100000</v>
      </c>
      <c r="F1753" s="1744"/>
      <c r="G1753" s="2093"/>
      <c r="H1753" s="1279" t="s">
        <v>3026</v>
      </c>
      <c r="I1753" s="1982"/>
      <c r="J1753" s="503"/>
      <c r="K1753" s="503"/>
      <c r="L1753" s="503"/>
      <c r="M1753" s="503"/>
      <c r="N1753" s="503"/>
      <c r="O1753" s="503"/>
    </row>
    <row r="1754" spans="1:15" ht="15.6">
      <c r="A1754" s="1585"/>
      <c r="B1754" s="2044"/>
      <c r="C1754" s="2286" t="s">
        <v>3237</v>
      </c>
      <c r="D1754" s="2287"/>
      <c r="E1754" s="1600"/>
      <c r="F1754" s="1744"/>
      <c r="G1754" s="2093"/>
      <c r="H1754" s="1279" t="s">
        <v>527</v>
      </c>
      <c r="I1754" s="1982"/>
      <c r="J1754" s="503"/>
      <c r="K1754" s="503"/>
      <c r="L1754" s="503"/>
      <c r="M1754" s="503"/>
      <c r="N1754" s="503"/>
      <c r="O1754" s="503"/>
    </row>
    <row r="1755" spans="1:15" ht="15.6">
      <c r="A1755" s="2295"/>
      <c r="B1755" s="2296"/>
      <c r="C1755" s="1404" t="s">
        <v>3238</v>
      </c>
      <c r="D1755" s="1550"/>
      <c r="E1755" s="2297"/>
      <c r="F1755" s="2298"/>
      <c r="G1755" s="2299"/>
      <c r="H1755" s="1279"/>
      <c r="I1755" s="1982"/>
      <c r="J1755" s="503"/>
      <c r="K1755" s="503"/>
      <c r="L1755" s="503"/>
      <c r="M1755" s="503"/>
      <c r="N1755" s="503"/>
      <c r="O1755" s="503"/>
    </row>
    <row r="1756" spans="1:15" ht="15.6">
      <c r="A1756" s="39"/>
      <c r="B1756" s="2044"/>
      <c r="C1756" s="1346" t="s">
        <v>3239</v>
      </c>
      <c r="D1756" s="2104" t="s">
        <v>3240</v>
      </c>
      <c r="E1756" s="1776"/>
      <c r="F1756" s="310"/>
      <c r="G1756" s="825"/>
      <c r="H1756" s="1031" t="s">
        <v>748</v>
      </c>
      <c r="I1756" s="1566"/>
      <c r="J1756" s="503"/>
      <c r="K1756" s="503"/>
      <c r="L1756" s="503"/>
      <c r="M1756" s="503"/>
      <c r="N1756" s="503"/>
      <c r="O1756" s="503"/>
    </row>
    <row r="1757" spans="1:15" ht="15.6">
      <c r="A1757" s="2086"/>
      <c r="B1757" s="2044"/>
      <c r="C1757" s="701" t="s">
        <v>3241</v>
      </c>
      <c r="D1757" s="2104" t="s">
        <v>3242</v>
      </c>
      <c r="E1757" s="1776"/>
      <c r="F1757" s="310"/>
      <c r="G1757" s="825"/>
      <c r="H1757" s="1031" t="s">
        <v>748</v>
      </c>
      <c r="I1757" s="1566"/>
      <c r="J1757" s="503"/>
      <c r="K1757" s="503"/>
      <c r="L1757" s="503"/>
      <c r="M1757" s="503"/>
      <c r="N1757" s="503"/>
      <c r="O1757" s="503"/>
    </row>
    <row r="1758" spans="1:15">
      <c r="A1758" s="2237"/>
      <c r="B1758" s="886"/>
      <c r="C1758" s="862" t="s">
        <v>3243</v>
      </c>
      <c r="D1758" s="1178" t="s">
        <v>3242</v>
      </c>
      <c r="E1758" s="1607"/>
      <c r="F1758" s="914"/>
      <c r="G1758" s="2093"/>
      <c r="H1758" s="943" t="s">
        <v>3026</v>
      </c>
      <c r="I1758" s="1999"/>
    </row>
    <row r="1759" spans="1:15" ht="27">
      <c r="A1759" s="2237"/>
      <c r="B1759" s="886"/>
      <c r="C1759" s="701" t="s">
        <v>3244</v>
      </c>
      <c r="D1759" s="2105" t="s">
        <v>3245</v>
      </c>
      <c r="E1759" s="1719"/>
      <c r="F1759" s="1742"/>
      <c r="G1759" s="2021"/>
      <c r="H1759" s="2092" t="s">
        <v>2761</v>
      </c>
      <c r="I1759" s="1999"/>
    </row>
    <row r="1760" spans="1:15">
      <c r="A1760" s="2237"/>
      <c r="B1760" s="886"/>
      <c r="C1760" s="862" t="s">
        <v>3246</v>
      </c>
      <c r="D1760" s="1550" t="s">
        <v>3247</v>
      </c>
      <c r="E1760" s="1735"/>
      <c r="F1760" s="914"/>
      <c r="G1760" s="2093"/>
      <c r="H1760" s="943" t="s">
        <v>3248</v>
      </c>
      <c r="I1760" s="1999"/>
    </row>
    <row r="1761" spans="1:15" s="503" customFormat="1">
      <c r="A1761" s="2237"/>
      <c r="B1761" s="312"/>
      <c r="C1761" s="1648" t="s">
        <v>3249</v>
      </c>
      <c r="D1761" s="1137" t="s">
        <v>3250</v>
      </c>
      <c r="E1761" s="1607"/>
      <c r="F1761" s="914"/>
      <c r="G1761" s="719"/>
      <c r="H1761" s="1279" t="s">
        <v>2761</v>
      </c>
      <c r="I1761" s="943"/>
    </row>
    <row r="1762" spans="1:15">
      <c r="A1762" s="2276"/>
      <c r="B1762" s="965"/>
      <c r="C1762" s="1740"/>
      <c r="D1762" s="1550" t="s">
        <v>2499</v>
      </c>
      <c r="E1762" s="1770">
        <f>SUM(E1743:E1760)</f>
        <v>12700000</v>
      </c>
      <c r="F1762" s="915"/>
      <c r="G1762" s="406"/>
      <c r="H1762" s="1031"/>
      <c r="I1762" s="1168"/>
      <c r="J1762" s="503"/>
      <c r="K1762" s="503"/>
      <c r="L1762" s="503"/>
      <c r="M1762" s="503"/>
      <c r="N1762" s="503"/>
      <c r="O1762" s="503"/>
    </row>
    <row r="1763" spans="1:15">
      <c r="A1763" s="46"/>
      <c r="B1763" s="994"/>
      <c r="C1763" s="994"/>
      <c r="D1763" s="1771" t="s">
        <v>2154</v>
      </c>
      <c r="E1763" s="951"/>
      <c r="F1763" s="952"/>
      <c r="G1763" s="953"/>
      <c r="H1763" s="1023"/>
      <c r="I1763" s="1050"/>
    </row>
    <row r="1764" spans="1:15">
      <c r="E1764" s="589"/>
    </row>
    <row r="1765" spans="1:15">
      <c r="E1765" s="589"/>
    </row>
    <row r="1766" spans="1:15">
      <c r="A1766" s="2897" t="s">
        <v>3251</v>
      </c>
      <c r="B1766" s="2898"/>
      <c r="C1766" s="2898"/>
      <c r="D1766" s="2898"/>
      <c r="E1766" s="2898"/>
      <c r="F1766" s="2898"/>
      <c r="G1766" s="2898"/>
      <c r="H1766" s="2899"/>
    </row>
    <row r="1767" spans="1:15">
      <c r="A1767" s="2903"/>
      <c r="B1767" s="2901"/>
      <c r="C1767" s="2901"/>
      <c r="D1767" s="2901"/>
      <c r="E1767" s="2901"/>
      <c r="F1767" s="2904"/>
      <c r="G1767" s="2904"/>
      <c r="H1767" s="2905"/>
    </row>
    <row r="1768" spans="1:15" ht="20.45">
      <c r="A1768" s="1692" t="s">
        <v>2011</v>
      </c>
      <c r="B1768" s="176" t="s">
        <v>1808</v>
      </c>
      <c r="C1768" s="176" t="s">
        <v>2012</v>
      </c>
      <c r="D1768" s="1100" t="s">
        <v>2580</v>
      </c>
      <c r="E1768" s="397" t="s">
        <v>2013</v>
      </c>
      <c r="F1768" s="398" t="s">
        <v>1811</v>
      </c>
      <c r="G1768" s="399" t="s">
        <v>1817</v>
      </c>
      <c r="H1768" s="683" t="s">
        <v>2125</v>
      </c>
      <c r="I1768" s="260"/>
    </row>
    <row r="1769" spans="1:15">
      <c r="A1769" s="2089"/>
      <c r="B1769" s="2090"/>
      <c r="C1769" s="1710" t="s">
        <v>3252</v>
      </c>
      <c r="D1769" s="2091" t="s">
        <v>3253</v>
      </c>
      <c r="E1769" s="1638"/>
      <c r="F1769" s="1349"/>
      <c r="G1769" s="1343"/>
      <c r="H1769" s="377" t="s">
        <v>527</v>
      </c>
      <c r="I1769" s="201"/>
      <c r="J1769" s="503"/>
    </row>
    <row r="1770" spans="1:15" ht="15.6">
      <c r="A1770" s="1942">
        <v>12433</v>
      </c>
      <c r="B1770" s="1706">
        <v>0.1</v>
      </c>
      <c r="C1770" s="2107" t="s">
        <v>3254</v>
      </c>
      <c r="D1770" s="495" t="s">
        <v>3255</v>
      </c>
      <c r="E1770" s="1476">
        <v>1200000</v>
      </c>
      <c r="F1770" s="418"/>
      <c r="G1770" s="511"/>
      <c r="H1770" s="573" t="s">
        <v>748</v>
      </c>
      <c r="I1770" s="1051" t="s">
        <v>1971</v>
      </c>
    </row>
    <row r="1771" spans="1:15" ht="15.6">
      <c r="A1771" s="1941">
        <v>12446</v>
      </c>
      <c r="B1771" s="1948">
        <v>0.1</v>
      </c>
      <c r="C1771" s="2107" t="s">
        <v>3256</v>
      </c>
      <c r="D1771" s="751" t="s">
        <v>3255</v>
      </c>
      <c r="E1771" s="1652">
        <v>1200000</v>
      </c>
      <c r="F1771" s="1418"/>
      <c r="G1771" s="1226"/>
      <c r="H1771" s="573" t="s">
        <v>3257</v>
      </c>
      <c r="I1771" s="851" t="s">
        <v>1971</v>
      </c>
    </row>
    <row r="1772" spans="1:15" s="503" customFormat="1" ht="15.6">
      <c r="A1772" s="1941">
        <v>12474</v>
      </c>
      <c r="B1772" s="1953">
        <v>0.1</v>
      </c>
      <c r="C1772" s="1143" t="s">
        <v>3258</v>
      </c>
      <c r="D1772" s="1785" t="s">
        <v>3255</v>
      </c>
      <c r="E1772" s="1652">
        <v>1250000</v>
      </c>
      <c r="F1772" s="1418"/>
      <c r="G1772" s="1226"/>
      <c r="H1772" s="573" t="s">
        <v>3026</v>
      </c>
      <c r="I1772" s="851" t="s">
        <v>1971</v>
      </c>
    </row>
    <row r="1773" spans="1:15" s="503" customFormat="1" ht="15.6">
      <c r="A1773" s="1942">
        <v>12495</v>
      </c>
      <c r="B1773" s="1953">
        <v>0.1</v>
      </c>
      <c r="C1773" s="1143" t="s">
        <v>3259</v>
      </c>
      <c r="D1773" s="1785" t="s">
        <v>3255</v>
      </c>
      <c r="E1773" s="1652">
        <v>1100000</v>
      </c>
      <c r="F1773" s="1418"/>
      <c r="G1773" s="1226"/>
      <c r="H1773" s="573" t="s">
        <v>527</v>
      </c>
      <c r="I1773" s="851" t="s">
        <v>1971</v>
      </c>
    </row>
    <row r="1774" spans="1:15" s="503" customFormat="1">
      <c r="A1774" s="75">
        <v>12513</v>
      </c>
      <c r="B1774" s="2169" t="s">
        <v>3260</v>
      </c>
      <c r="C1774" s="1359" t="s">
        <v>3261</v>
      </c>
      <c r="D1774" s="1736" t="s">
        <v>3262</v>
      </c>
      <c r="E1774" s="1652">
        <v>1000000</v>
      </c>
      <c r="F1774" s="1418"/>
      <c r="G1774" s="1226"/>
      <c r="H1774" s="573" t="s">
        <v>2761</v>
      </c>
      <c r="I1774" s="851" t="s">
        <v>1971</v>
      </c>
    </row>
    <row r="1775" spans="1:15" s="503" customFormat="1" ht="15.6">
      <c r="A1775" s="2292">
        <v>12527</v>
      </c>
      <c r="B1775" s="2293">
        <v>0.09</v>
      </c>
      <c r="C1775" s="1482" t="s">
        <v>3263</v>
      </c>
      <c r="D1775" s="2294" t="s">
        <v>3264</v>
      </c>
      <c r="E1775" s="1652">
        <v>600000</v>
      </c>
      <c r="F1775" s="1418"/>
      <c r="G1775" s="1226"/>
      <c r="H1775" s="573" t="s">
        <v>748</v>
      </c>
      <c r="I1775" s="851" t="s">
        <v>1971</v>
      </c>
    </row>
    <row r="1776" spans="1:15" s="503" customFormat="1" ht="15.6">
      <c r="A1776" s="2277"/>
      <c r="B1776" s="2125"/>
      <c r="C1776" s="2106" t="s">
        <v>3265</v>
      </c>
      <c r="D1776" s="1730" t="s">
        <v>3266</v>
      </c>
      <c r="E1776" s="1719"/>
      <c r="F1776" s="1742"/>
      <c r="G1776" s="1177"/>
      <c r="H1776" s="943" t="s">
        <v>582</v>
      </c>
      <c r="I1776" s="51"/>
    </row>
    <row r="1777" spans="1:15">
      <c r="A1777" s="1585"/>
      <c r="B1777" s="2126"/>
      <c r="C1777" s="1153" t="s">
        <v>3267</v>
      </c>
      <c r="D1777" s="1730" t="s">
        <v>3266</v>
      </c>
      <c r="E1777" s="1719"/>
      <c r="F1777" s="1443"/>
      <c r="G1777" s="1177"/>
      <c r="H1777" s="943" t="s">
        <v>582</v>
      </c>
      <c r="I1777" s="201"/>
      <c r="J1777" s="503"/>
    </row>
    <row r="1778" spans="1:15">
      <c r="A1778" s="1585"/>
      <c r="B1778" s="2126"/>
      <c r="C1778" s="2288" t="s">
        <v>3201</v>
      </c>
      <c r="D1778" s="2289" t="s">
        <v>3266</v>
      </c>
      <c r="E1778" s="1719"/>
      <c r="F1778" s="1443"/>
      <c r="G1778" s="1177"/>
      <c r="H1778" s="943" t="s">
        <v>3026</v>
      </c>
      <c r="I1778" s="201"/>
      <c r="J1778" s="503"/>
    </row>
    <row r="1779" spans="1:15">
      <c r="A1779" s="1585"/>
      <c r="B1779" s="2126"/>
      <c r="C1779" s="2290" t="s">
        <v>3268</v>
      </c>
      <c r="D1779" s="2289" t="s">
        <v>3266</v>
      </c>
      <c r="E1779" s="1719"/>
      <c r="F1779" s="1443"/>
      <c r="G1779" s="1177"/>
      <c r="H1779" s="943" t="s">
        <v>748</v>
      </c>
      <c r="I1779" s="201"/>
      <c r="J1779" s="503"/>
    </row>
    <row r="1780" spans="1:15">
      <c r="A1780" s="164"/>
      <c r="B1780" s="1745"/>
      <c r="C1780" s="1153" t="s">
        <v>3269</v>
      </c>
      <c r="D1780" s="1146" t="s">
        <v>3270</v>
      </c>
      <c r="E1780" s="1427"/>
      <c r="F1780" s="958"/>
      <c r="G1780" s="719"/>
      <c r="H1780" s="943" t="s">
        <v>2761</v>
      </c>
      <c r="I1780" s="201"/>
      <c r="J1780" s="503"/>
    </row>
    <row r="1781" spans="1:15">
      <c r="A1781" s="164"/>
      <c r="B1781" s="1745"/>
      <c r="C1781" s="2106" t="s">
        <v>3271</v>
      </c>
      <c r="D1781" s="1730" t="s">
        <v>3272</v>
      </c>
      <c r="E1781" s="1719"/>
      <c r="F1781" s="1443"/>
      <c r="G1781" s="1177"/>
      <c r="H1781" s="943" t="s">
        <v>523</v>
      </c>
      <c r="I1781" s="201"/>
      <c r="J1781" s="503"/>
    </row>
    <row r="1782" spans="1:15">
      <c r="A1782" s="164"/>
      <c r="B1782" s="1745"/>
      <c r="C1782" s="2106" t="s">
        <v>3273</v>
      </c>
      <c r="D1782" s="1730" t="s">
        <v>3274</v>
      </c>
      <c r="E1782" s="1719"/>
      <c r="F1782" s="1443"/>
      <c r="G1782" s="1177"/>
      <c r="H1782" s="943" t="s">
        <v>2761</v>
      </c>
      <c r="I1782" s="201"/>
      <c r="J1782" s="503"/>
    </row>
    <row r="1783" spans="1:15">
      <c r="A1783" s="164"/>
      <c r="B1783" s="1745"/>
      <c r="C1783" s="1187" t="s">
        <v>3275</v>
      </c>
      <c r="D1783" s="1810" t="s">
        <v>3276</v>
      </c>
      <c r="E1783" s="1719"/>
      <c r="F1783" s="1443"/>
      <c r="G1783" s="1177"/>
      <c r="H1783" s="943" t="s">
        <v>748</v>
      </c>
      <c r="I1783" s="201"/>
      <c r="J1783" s="503"/>
    </row>
    <row r="1784" spans="1:15">
      <c r="A1784" s="164"/>
      <c r="B1784" s="1745"/>
      <c r="C1784" s="1187" t="s">
        <v>3277</v>
      </c>
      <c r="D1784" s="1810"/>
      <c r="E1784" s="1719">
        <v>1300000</v>
      </c>
      <c r="F1784" s="1443"/>
      <c r="G1784" s="1177"/>
      <c r="H1784" s="943"/>
      <c r="I1784" s="201"/>
      <c r="J1784" s="503"/>
    </row>
    <row r="1785" spans="1:15">
      <c r="A1785" s="2258"/>
      <c r="B1785" s="1544"/>
      <c r="C1785" s="1404"/>
      <c r="D1785" s="1550" t="s">
        <v>2499</v>
      </c>
      <c r="E1785" s="1311">
        <f>SUM(E1770:E1784)</f>
        <v>7650000</v>
      </c>
      <c r="F1785" s="34"/>
      <c r="G1785" s="34"/>
      <c r="H1785" s="51"/>
      <c r="I1785" s="51"/>
      <c r="J1785" s="34"/>
      <c r="K1785" s="34"/>
      <c r="L1785" s="34"/>
      <c r="M1785" s="34"/>
      <c r="N1785" s="34"/>
      <c r="O1785" s="34"/>
    </row>
    <row r="1786" spans="1:15">
      <c r="A1786" s="2231"/>
      <c r="B1786" s="34"/>
      <c r="C1786" s="1451"/>
      <c r="D1786" s="390" t="s">
        <v>2154</v>
      </c>
      <c r="E1786" s="1250"/>
      <c r="F1786" s="34"/>
      <c r="G1786" s="34"/>
      <c r="H1786" s="51"/>
      <c r="I1786" s="51"/>
      <c r="J1786" s="34"/>
      <c r="K1786" s="34"/>
      <c r="L1786" s="34"/>
      <c r="M1786" s="34"/>
      <c r="N1786" s="34"/>
      <c r="O1786" s="34"/>
    </row>
    <row r="1789" spans="1:15">
      <c r="A1789" s="2897" t="s">
        <v>3278</v>
      </c>
      <c r="B1789" s="2898"/>
      <c r="C1789" s="2898"/>
      <c r="D1789" s="2898"/>
      <c r="E1789" s="2898"/>
      <c r="F1789" s="2898"/>
      <c r="G1789" s="2898"/>
      <c r="H1789" s="2899"/>
    </row>
    <row r="1790" spans="1:15">
      <c r="A1790" s="2903"/>
      <c r="B1790" s="2901"/>
      <c r="C1790" s="2901"/>
      <c r="D1790" s="2901"/>
      <c r="E1790" s="2901"/>
      <c r="F1790" s="2904"/>
      <c r="G1790" s="2904"/>
      <c r="H1790" s="2905"/>
    </row>
    <row r="1791" spans="1:15" ht="20.45">
      <c r="A1791" s="1692" t="s">
        <v>2011</v>
      </c>
      <c r="B1791" s="176" t="s">
        <v>1808</v>
      </c>
      <c r="C1791" s="176" t="s">
        <v>2012</v>
      </c>
      <c r="D1791" s="1100" t="s">
        <v>2580</v>
      </c>
      <c r="E1791" s="63" t="s">
        <v>2013</v>
      </c>
      <c r="F1791" s="398" t="s">
        <v>1811</v>
      </c>
      <c r="G1791" s="399" t="s">
        <v>1817</v>
      </c>
      <c r="H1791" s="683" t="s">
        <v>2125</v>
      </c>
    </row>
    <row r="1792" spans="1:15">
      <c r="A1792" s="1692">
        <v>12469</v>
      </c>
      <c r="B1792" s="1803">
        <v>0.1</v>
      </c>
      <c r="C1792" s="34" t="s">
        <v>3279</v>
      </c>
      <c r="D1792" s="201" t="s">
        <v>3280</v>
      </c>
      <c r="E1792" s="1768">
        <v>850000</v>
      </c>
      <c r="F1792" s="34"/>
      <c r="G1792" s="34"/>
      <c r="H1792" s="34" t="s">
        <v>748</v>
      </c>
    </row>
    <row r="1793" spans="1:9">
      <c r="A1793" s="1737"/>
      <c r="B1793" s="33"/>
      <c r="C1793" s="701" t="s">
        <v>3281</v>
      </c>
      <c r="D1793" s="1031" t="s">
        <v>2194</v>
      </c>
      <c r="E1793" s="991"/>
      <c r="F1793" s="368"/>
      <c r="G1793" s="719"/>
      <c r="H1793" s="898" t="s">
        <v>582</v>
      </c>
      <c r="I1793" s="2"/>
    </row>
    <row r="1794" spans="1:9">
      <c r="A1794" s="1737"/>
      <c r="B1794" s="33"/>
      <c r="C1794" s="1648" t="s">
        <v>3282</v>
      </c>
      <c r="D1794" s="1713" t="s">
        <v>3283</v>
      </c>
      <c r="E1794" s="1714"/>
      <c r="F1794" s="807"/>
      <c r="G1794" s="1177"/>
      <c r="H1794" s="898" t="s">
        <v>527</v>
      </c>
      <c r="I1794" s="2"/>
    </row>
    <row r="1795" spans="1:9">
      <c r="A1795" s="1737"/>
      <c r="B1795" s="33"/>
      <c r="C1795" s="1648" t="s">
        <v>3284</v>
      </c>
      <c r="D1795" s="1713" t="s">
        <v>2194</v>
      </c>
      <c r="E1795" s="1714"/>
      <c r="F1795" s="807"/>
      <c r="G1795" s="1177"/>
      <c r="H1795" s="898" t="s">
        <v>2761</v>
      </c>
      <c r="I1795" s="2"/>
    </row>
    <row r="1796" spans="1:9">
      <c r="A1796" s="1737">
        <v>12517</v>
      </c>
      <c r="B1796" s="33"/>
      <c r="C1796" s="11" t="s">
        <v>3285</v>
      </c>
      <c r="D1796" s="160" t="s">
        <v>2194</v>
      </c>
      <c r="E1796" s="1769"/>
      <c r="F1796" s="11"/>
      <c r="G1796" s="11"/>
      <c r="H1796" s="11" t="s">
        <v>2761</v>
      </c>
      <c r="I1796" s="2"/>
    </row>
    <row r="1797" spans="1:9">
      <c r="A1797" s="2278">
        <v>12510</v>
      </c>
      <c r="B1797" s="1804">
        <v>0.1</v>
      </c>
      <c r="C1797" s="1648" t="s">
        <v>3286</v>
      </c>
      <c r="D1797" s="1713" t="s">
        <v>3287</v>
      </c>
      <c r="E1797" s="1714"/>
      <c r="F1797" s="807"/>
      <c r="G1797" s="1177"/>
      <c r="H1797" s="898" t="s">
        <v>748</v>
      </c>
      <c r="I1797" s="2"/>
    </row>
    <row r="1798" spans="1:9">
      <c r="A1798" s="1737"/>
      <c r="B1798" s="33"/>
      <c r="C1798" s="1648" t="s">
        <v>3288</v>
      </c>
      <c r="D1798" s="1713" t="s">
        <v>3287</v>
      </c>
      <c r="E1798" s="1714"/>
      <c r="F1798" s="807"/>
      <c r="G1798" s="1177"/>
      <c r="H1798" s="898" t="s">
        <v>523</v>
      </c>
      <c r="I1798" s="2"/>
    </row>
    <row r="1799" spans="1:9">
      <c r="A1799" s="257"/>
      <c r="B1799" s="11"/>
      <c r="C1799" s="11"/>
      <c r="D1799" s="160"/>
      <c r="E1799" s="1769"/>
      <c r="F1799" s="11"/>
      <c r="G1799" s="11"/>
      <c r="H1799" s="11"/>
      <c r="I1799" s="2"/>
    </row>
    <row r="1800" spans="1:9">
      <c r="A1800" s="257"/>
      <c r="B1800" s="11"/>
      <c r="C1800" s="11"/>
      <c r="D1800" s="160"/>
      <c r="E1800" s="1769"/>
      <c r="F1800" s="11"/>
      <c r="G1800" s="11"/>
      <c r="H1800" s="11"/>
      <c r="I1800" s="2"/>
    </row>
    <row r="1801" spans="1:9">
      <c r="A1801" s="257"/>
      <c r="B1801" s="11"/>
      <c r="C1801" s="11"/>
      <c r="D1801" s="160"/>
      <c r="E1801" s="1769"/>
      <c r="F1801" s="11"/>
      <c r="G1801" s="11"/>
      <c r="H1801" s="2"/>
      <c r="I1801" s="2"/>
    </row>
    <row r="1802" spans="1:9">
      <c r="A1802" s="257"/>
      <c r="B1802" s="11"/>
      <c r="C1802" s="11"/>
      <c r="D1802" s="160"/>
      <c r="E1802" s="1769">
        <f>SUM(E1793:E1798)</f>
        <v>0</v>
      </c>
      <c r="F1802" s="11"/>
      <c r="G1802" s="11"/>
      <c r="H1802" s="2"/>
      <c r="I1802" s="2"/>
    </row>
    <row r="1803" spans="1:9">
      <c r="A1803" s="257"/>
      <c r="B1803" s="11"/>
      <c r="C1803" s="11"/>
      <c r="D1803" s="160"/>
      <c r="E1803" s="11"/>
      <c r="F1803" s="11"/>
      <c r="G1803" s="11"/>
      <c r="H1803" s="2"/>
      <c r="I1803" s="2"/>
    </row>
    <row r="1806" spans="1:9">
      <c r="A1806" s="2906" t="s">
        <v>3289</v>
      </c>
      <c r="B1806" s="2906"/>
      <c r="C1806" s="2906"/>
      <c r="D1806" s="2906"/>
      <c r="E1806" s="2906"/>
      <c r="F1806" s="2906"/>
      <c r="G1806" s="2906"/>
      <c r="H1806" s="2907"/>
      <c r="I1806" s="2"/>
    </row>
    <row r="1807" spans="1:9">
      <c r="A1807" s="2906"/>
      <c r="B1807" s="2906"/>
      <c r="C1807" s="2906"/>
      <c r="D1807" s="2906"/>
      <c r="E1807" s="2906"/>
      <c r="F1807" s="2906"/>
      <c r="G1807" s="2908"/>
      <c r="H1807" s="2909"/>
      <c r="I1807" s="2"/>
    </row>
    <row r="1808" spans="1:9" ht="20.45">
      <c r="A1808" s="257" t="s">
        <v>2011</v>
      </c>
      <c r="B1808" s="33" t="s">
        <v>1808</v>
      </c>
      <c r="C1808" s="33" t="s">
        <v>2012</v>
      </c>
      <c r="D1808" s="1066" t="s">
        <v>2123</v>
      </c>
      <c r="E1808" s="63" t="s">
        <v>2013</v>
      </c>
      <c r="F1808" s="118" t="s">
        <v>1811</v>
      </c>
      <c r="G1808" s="88" t="s">
        <v>1817</v>
      </c>
      <c r="H1808" s="258" t="s">
        <v>2213</v>
      </c>
      <c r="I1808" s="260"/>
    </row>
    <row r="1809" spans="1:9" s="503" customFormat="1" ht="15.6">
      <c r="A1809" s="2241">
        <v>12433</v>
      </c>
      <c r="B1809" s="122">
        <v>0.1</v>
      </c>
      <c r="C1809" s="1383" t="s">
        <v>3254</v>
      </c>
      <c r="D1809" s="495" t="s">
        <v>2111</v>
      </c>
      <c r="E1809" s="2087">
        <v>1200000</v>
      </c>
      <c r="F1809" s="418"/>
      <c r="G1809" s="511"/>
      <c r="H1809" s="573" t="s">
        <v>748</v>
      </c>
      <c r="I1809" s="1061" t="s">
        <v>1971</v>
      </c>
    </row>
    <row r="1810" spans="1:9" s="503" customFormat="1">
      <c r="A1810" s="2226">
        <v>12439</v>
      </c>
      <c r="B1810" s="1701">
        <v>0.1</v>
      </c>
      <c r="C1810" s="431" t="s">
        <v>3225</v>
      </c>
      <c r="D1810" s="576" t="s">
        <v>2111</v>
      </c>
      <c r="E1810" s="1476">
        <v>1350000</v>
      </c>
      <c r="F1810" s="418"/>
      <c r="G1810" s="511"/>
      <c r="H1810" s="573" t="s">
        <v>3086</v>
      </c>
      <c r="I1810" s="1061" t="s">
        <v>2124</v>
      </c>
    </row>
    <row r="1811" spans="1:9" s="503" customFormat="1" ht="15.6">
      <c r="A1811" s="2241">
        <v>12446</v>
      </c>
      <c r="B1811" s="1974">
        <v>0.1</v>
      </c>
      <c r="C1811" s="1383" t="s">
        <v>3256</v>
      </c>
      <c r="D1811" s="751" t="s">
        <v>2111</v>
      </c>
      <c r="E1811" s="1724">
        <v>1200000</v>
      </c>
      <c r="F1811" s="2088"/>
      <c r="G1811" s="1226"/>
      <c r="H1811" s="573" t="s">
        <v>3257</v>
      </c>
      <c r="I1811" s="1061" t="s">
        <v>1971</v>
      </c>
    </row>
    <row r="1812" spans="1:9" s="503" customFormat="1" ht="15.6">
      <c r="A1812" s="1942">
        <v>12462</v>
      </c>
      <c r="B1812" s="2122">
        <v>0.1</v>
      </c>
      <c r="C1812" s="2123" t="s">
        <v>3226</v>
      </c>
      <c r="D1812" s="1785" t="s">
        <v>2111</v>
      </c>
      <c r="E1812" s="2114">
        <v>1200000</v>
      </c>
      <c r="F1812" s="275"/>
      <c r="G1812" s="1011"/>
      <c r="H1812" s="576" t="s">
        <v>527</v>
      </c>
      <c r="I1812" s="275" t="s">
        <v>2124</v>
      </c>
    </row>
    <row r="1813" spans="1:9" s="503" customFormat="1" ht="15.6">
      <c r="A1813" s="2279">
        <v>12469</v>
      </c>
      <c r="B1813" s="2120">
        <v>0.1</v>
      </c>
      <c r="C1813" s="34" t="s">
        <v>3279</v>
      </c>
      <c r="D1813" s="2121" t="s">
        <v>2969</v>
      </c>
      <c r="E1813" s="2116">
        <v>850000</v>
      </c>
      <c r="F1813" s="34"/>
      <c r="G1813" s="34"/>
      <c r="H1813" s="34" t="s">
        <v>748</v>
      </c>
      <c r="I1813" s="523"/>
    </row>
    <row r="1814" spans="1:9" s="503" customFormat="1" ht="15.6">
      <c r="A1814" s="2279">
        <v>12474</v>
      </c>
      <c r="B1814" s="1804">
        <v>0.1</v>
      </c>
      <c r="C1814" s="1153" t="s">
        <v>3258</v>
      </c>
      <c r="D1814" s="2104" t="s">
        <v>2969</v>
      </c>
      <c r="E1814" s="2118">
        <v>1250000</v>
      </c>
      <c r="F1814" s="1742"/>
      <c r="G1814" s="1177"/>
      <c r="H1814" s="943" t="s">
        <v>3026</v>
      </c>
      <c r="I1814" s="1984"/>
    </row>
    <row r="1815" spans="1:9" s="503" customFormat="1" ht="15.6">
      <c r="A1815" s="2277"/>
      <c r="B1815" s="1804"/>
      <c r="C1815" s="701"/>
      <c r="D1815" s="1277"/>
      <c r="E1815" s="1607"/>
      <c r="F1815" s="1744"/>
      <c r="G1815" s="719"/>
      <c r="H1815" s="943"/>
      <c r="I1815" s="201"/>
    </row>
    <row r="1816" spans="1:9" s="503" customFormat="1">
      <c r="A1816" s="2215"/>
      <c r="B1816" s="2124"/>
      <c r="C1816" s="1212"/>
      <c r="D1816" s="2117"/>
      <c r="E1816" s="1719"/>
      <c r="F1816" s="1443"/>
      <c r="G1816" s="1177"/>
      <c r="H1816" s="943"/>
      <c r="I1816" s="201"/>
    </row>
    <row r="1817" spans="1:9" s="503" customFormat="1" ht="15.6">
      <c r="A1817" s="2280"/>
      <c r="B1817" s="2022"/>
      <c r="C1817" s="2024"/>
      <c r="D1817" s="2025"/>
      <c r="E1817" s="1714"/>
      <c r="F1817" s="2026"/>
      <c r="G1817" s="1177"/>
      <c r="H1817" s="943"/>
      <c r="I1817" s="201"/>
    </row>
    <row r="1818" spans="1:9" s="503" customFormat="1">
      <c r="A1818" s="50"/>
      <c r="B1818" s="1804"/>
      <c r="C1818" s="701"/>
      <c r="D1818" s="1713"/>
      <c r="E1818" s="2027"/>
      <c r="F1818" s="1443"/>
      <c r="G1818" s="1177"/>
      <c r="H1818" s="943"/>
      <c r="I1818" s="34"/>
    </row>
    <row r="1819" spans="1:9" s="503" customFormat="1">
      <c r="A1819" s="50"/>
      <c r="B1819" s="2023"/>
      <c r="C1819" s="701"/>
      <c r="D1819" s="1031"/>
      <c r="E1819" s="1607"/>
      <c r="F1819" s="1744"/>
      <c r="G1819" s="719"/>
      <c r="H1819" s="943"/>
      <c r="I1819" s="201"/>
    </row>
    <row r="1820" spans="1:9" s="503" customFormat="1" ht="15.6">
      <c r="A1820" s="2277"/>
      <c r="B1820" s="2028"/>
      <c r="C1820" s="1338"/>
      <c r="D1820" s="1810"/>
      <c r="E1820" s="1714"/>
      <c r="F1820" s="1443"/>
      <c r="G1820" s="1177"/>
      <c r="H1820" s="943"/>
      <c r="I1820" s="1984"/>
    </row>
    <row r="1821" spans="1:9" s="503" customFormat="1">
      <c r="A1821" s="2281"/>
      <c r="B1821" s="1804"/>
      <c r="C1821" s="701"/>
      <c r="D1821" s="1713"/>
      <c r="E1821" s="1719"/>
      <c r="F1821" s="1443"/>
      <c r="G1821" s="1177"/>
      <c r="H1821" s="943"/>
      <c r="I1821" s="201"/>
    </row>
    <row r="1822" spans="1:9" s="503" customFormat="1" ht="15.6">
      <c r="A1822" s="2277"/>
      <c r="B1822" s="1804"/>
      <c r="C1822" s="701"/>
      <c r="D1822" s="2025"/>
      <c r="E1822" s="1719"/>
      <c r="F1822" s="2026"/>
      <c r="G1822" s="1177"/>
      <c r="H1822" s="943"/>
      <c r="I1822" s="201"/>
    </row>
    <row r="1823" spans="1:9" s="503" customFormat="1">
      <c r="A1823" s="50"/>
      <c r="B1823" s="2029"/>
      <c r="C1823" s="2030"/>
      <c r="D1823" s="1600"/>
      <c r="E1823" s="2031"/>
      <c r="F1823" s="2032"/>
      <c r="G1823" s="2033"/>
      <c r="H1823" s="1159"/>
      <c r="I1823" s="201"/>
    </row>
    <row r="1824" spans="1:9" s="503" customFormat="1">
      <c r="A1824" s="2282"/>
      <c r="B1824" s="2028"/>
      <c r="C1824" s="961"/>
      <c r="D1824" s="1600"/>
      <c r="E1824" s="1719"/>
      <c r="F1824" s="1742"/>
      <c r="G1824" s="1177"/>
      <c r="H1824" s="943"/>
      <c r="I1824" s="201"/>
    </row>
    <row r="1825" spans="1:9" s="503" customFormat="1" ht="15.6">
      <c r="A1825" s="2283"/>
      <c r="B1825" s="2034"/>
      <c r="C1825" s="701"/>
      <c r="D1825" s="1713"/>
      <c r="E1825" s="1719"/>
      <c r="F1825" s="1443"/>
      <c r="G1825" s="1177"/>
      <c r="H1825" s="943"/>
      <c r="I1825" s="1982"/>
    </row>
    <row r="1826" spans="1:9" s="503" customFormat="1">
      <c r="A1826" s="2223"/>
      <c r="B1826" s="1804"/>
      <c r="C1826" s="1461"/>
      <c r="D1826" s="1901"/>
      <c r="E1826" s="1719"/>
      <c r="F1826" s="1443"/>
      <c r="G1826" s="1177"/>
      <c r="H1826" s="943"/>
      <c r="I1826" s="1984"/>
    </row>
    <row r="1827" spans="1:9" s="503" customFormat="1">
      <c r="A1827" s="2223"/>
      <c r="B1827" s="1804"/>
      <c r="C1827" s="2035"/>
      <c r="D1827" s="2025"/>
      <c r="E1827" s="1719"/>
      <c r="F1827" s="1443"/>
      <c r="G1827" s="1177"/>
      <c r="H1827" s="943"/>
      <c r="I1827" s="201"/>
    </row>
    <row r="1828" spans="1:9" s="503" customFormat="1">
      <c r="A1828" s="2223"/>
      <c r="B1828" s="33"/>
      <c r="C1828" s="2036"/>
      <c r="D1828" s="1713"/>
      <c r="E1828" s="1719"/>
      <c r="F1828" s="1443"/>
      <c r="G1828" s="1177"/>
      <c r="H1828" s="943"/>
      <c r="I1828" s="201"/>
    </row>
    <row r="1829" spans="1:9" s="503" customFormat="1">
      <c r="A1829" s="2282"/>
      <c r="B1829" s="2037"/>
      <c r="C1829" s="2038"/>
      <c r="D1829" s="1730"/>
      <c r="E1829" s="1719"/>
      <c r="F1829" s="1443"/>
      <c r="G1829" s="1177"/>
      <c r="H1829" s="943"/>
      <c r="I1829" s="1982"/>
    </row>
    <row r="1830" spans="1:9" s="503" customFormat="1" ht="15.6">
      <c r="A1830" s="2277"/>
      <c r="B1830" s="2039"/>
      <c r="C1830" s="2038"/>
      <c r="D1830" s="1031"/>
      <c r="E1830" s="2040"/>
      <c r="F1830" s="476"/>
      <c r="G1830" s="406"/>
      <c r="H1830" s="1031"/>
      <c r="I1830" s="1982"/>
    </row>
    <row r="1831" spans="1:9" s="503" customFormat="1">
      <c r="A1831" s="50"/>
      <c r="B1831" s="2037"/>
      <c r="C1831" s="1461"/>
      <c r="D1831" s="1810"/>
      <c r="E1831" s="1719"/>
      <c r="F1831" s="1443"/>
      <c r="G1831" s="1177"/>
      <c r="H1831" s="943"/>
      <c r="I1831" s="1982"/>
    </row>
    <row r="1832" spans="1:9" s="503" customFormat="1">
      <c r="A1832" s="2284"/>
      <c r="B1832" s="2023"/>
      <c r="C1832" s="1648"/>
      <c r="D1832" s="1031"/>
      <c r="E1832" s="1598"/>
      <c r="F1832" s="914"/>
      <c r="G1832" s="719"/>
      <c r="H1832" s="943"/>
      <c r="I1832" s="1982"/>
    </row>
    <row r="1833" spans="1:9" s="503" customFormat="1">
      <c r="A1833" s="50"/>
      <c r="B1833" s="2039"/>
      <c r="C1833" s="1338"/>
      <c r="D1833" s="1810"/>
      <c r="E1833" s="1714"/>
      <c r="F1833" s="1443"/>
      <c r="G1833" s="1177"/>
      <c r="H1833" s="943"/>
      <c r="I1833" s="1982"/>
    </row>
    <row r="1834" spans="1:9" s="503" customFormat="1">
      <c r="A1834" s="1563"/>
      <c r="B1834" s="2041"/>
      <c r="C1834" s="2042"/>
      <c r="D1834" s="1031"/>
      <c r="E1834" s="1598"/>
      <c r="F1834" s="914"/>
      <c r="G1834" s="719"/>
      <c r="H1834" s="943"/>
      <c r="I1834" s="34"/>
    </row>
    <row r="1835" spans="1:9" s="503" customFormat="1">
      <c r="A1835" s="1585"/>
      <c r="B1835" s="2023"/>
      <c r="C1835" s="701"/>
      <c r="D1835" s="1277"/>
      <c r="E1835" s="1598"/>
      <c r="F1835" s="914"/>
      <c r="G1835" s="719"/>
      <c r="H1835" s="943"/>
      <c r="I1835" s="1789"/>
    </row>
    <row r="1836" spans="1:9" s="503" customFormat="1">
      <c r="A1836" s="1585"/>
      <c r="B1836" s="1804"/>
      <c r="C1836" s="701"/>
      <c r="D1836" s="1277"/>
      <c r="E1836" s="991"/>
      <c r="F1836" s="368"/>
      <c r="G1836" s="719"/>
      <c r="H1836" s="943"/>
      <c r="I1836" s="1789"/>
    </row>
    <row r="1837" spans="1:9" s="503" customFormat="1">
      <c r="A1837" s="2285"/>
      <c r="B1837" s="1803"/>
      <c r="C1837" s="2043"/>
      <c r="D1837" s="1986"/>
      <c r="E1837" s="991"/>
      <c r="F1837" s="368"/>
      <c r="G1837" s="1177"/>
      <c r="H1837" s="898"/>
      <c r="I1837" s="1789"/>
    </row>
    <row r="1838" spans="1:9" s="503" customFormat="1" ht="15.6">
      <c r="A1838" s="1585"/>
      <c r="B1838" s="2044"/>
      <c r="C1838" s="1648"/>
      <c r="D1838" s="1031"/>
      <c r="E1838" s="1607"/>
      <c r="F1838" s="914"/>
      <c r="G1838" s="719"/>
      <c r="H1838" s="943"/>
      <c r="I1838" s="1789"/>
    </row>
    <row r="1839" spans="1:9" s="503" customFormat="1" ht="15.6">
      <c r="A1839" s="1585"/>
      <c r="B1839" s="2044"/>
      <c r="C1839" s="1648"/>
      <c r="D1839" s="1031"/>
      <c r="E1839" s="1607"/>
      <c r="F1839" s="914"/>
      <c r="G1839" s="719"/>
      <c r="H1839" s="943"/>
      <c r="I1839" s="1982"/>
    </row>
    <row r="1840" spans="1:9" s="503" customFormat="1" ht="15.6">
      <c r="A1840" s="2231"/>
      <c r="B1840" s="2044"/>
      <c r="C1840" s="1461"/>
      <c r="D1840" s="1730"/>
      <c r="E1840" s="1719"/>
      <c r="F1840" s="1443"/>
      <c r="G1840" s="1177"/>
      <c r="H1840" s="943"/>
      <c r="I1840" s="201"/>
    </row>
    <row r="1841" spans="1:9" s="503" customFormat="1" ht="15.6">
      <c r="A1841" s="2231"/>
      <c r="B1841" s="2044"/>
      <c r="C1841" s="1648"/>
      <c r="D1841" s="1146"/>
      <c r="E1841" s="1427"/>
      <c r="F1841" s="1744"/>
      <c r="G1841" s="719"/>
      <c r="H1841" s="943"/>
      <c r="I1841" s="1984"/>
    </row>
    <row r="1842" spans="1:9">
      <c r="A1842" s="2231"/>
      <c r="B1842" s="666"/>
      <c r="C1842" s="1648"/>
      <c r="D1842" s="1146"/>
      <c r="E1842" s="1987"/>
      <c r="F1842" s="743"/>
      <c r="G1842" s="1988"/>
      <c r="H1842" s="1983"/>
      <c r="I1842" s="1984"/>
    </row>
    <row r="1843" spans="1:9">
      <c r="A1843" s="257"/>
      <c r="B1843" s="11"/>
      <c r="C1843" s="11"/>
      <c r="D1843" s="160" t="s">
        <v>2271</v>
      </c>
      <c r="E1843" s="1985">
        <f>SUM(E1809:E1817)</f>
        <v>7050000</v>
      </c>
      <c r="F1843" s="490"/>
      <c r="G1843" s="493"/>
      <c r="H1843" s="957"/>
      <c r="I1843" s="260"/>
    </row>
    <row r="1844" spans="1:9" ht="15.6">
      <c r="A1844" s="2271"/>
      <c r="B1844" s="171"/>
      <c r="C1844" s="171"/>
      <c r="D1844" s="1490" t="s">
        <v>2154</v>
      </c>
      <c r="E1844" s="494"/>
      <c r="F1844" s="11"/>
      <c r="G1844" s="11"/>
      <c r="H1844" s="2"/>
      <c r="I1844" s="2"/>
    </row>
    <row r="1847" spans="1:9" ht="18">
      <c r="A1847" s="2910" t="s">
        <v>2510</v>
      </c>
      <c r="B1847" s="2911"/>
      <c r="C1847" s="2911"/>
      <c r="D1847" s="2911"/>
      <c r="E1847" s="2911"/>
      <c r="F1847" s="11"/>
    </row>
    <row r="1848" spans="1:9" ht="18">
      <c r="A1848" s="1396" t="s">
        <v>2511</v>
      </c>
      <c r="B1848" s="1396" t="s">
        <v>2013</v>
      </c>
      <c r="C1848" s="1396" t="s">
        <v>2512</v>
      </c>
      <c r="D1848" s="1397" t="s">
        <v>2513</v>
      </c>
      <c r="E1848" s="1398" t="s">
        <v>2125</v>
      </c>
      <c r="F1848" s="11"/>
    </row>
    <row r="1849" spans="1:9" ht="15.6">
      <c r="A1849" s="2272"/>
      <c r="B1849" s="1811"/>
      <c r="C1849" s="1521"/>
      <c r="D1849" s="1521"/>
      <c r="E1849" s="1523"/>
      <c r="F1849" s="117"/>
    </row>
    <row r="1850" spans="1:9" ht="15.6">
      <c r="A1850" s="2271"/>
      <c r="B1850" s="1496"/>
      <c r="C1850" s="11"/>
      <c r="D1850" s="11"/>
      <c r="E1850" s="1394"/>
      <c r="F1850" s="117"/>
    </row>
    <row r="1851" spans="1:9" ht="15.6">
      <c r="A1851" s="2260"/>
      <c r="B1851" s="1500"/>
      <c r="C1851" s="1212"/>
      <c r="D1851" s="1501"/>
      <c r="E1851" s="1501"/>
      <c r="F1851" s="117"/>
    </row>
    <row r="1852" spans="1:9" ht="15.6">
      <c r="A1852" s="2261"/>
      <c r="B1852" s="1587"/>
      <c r="C1852" s="1394"/>
      <c r="D1852" s="1394"/>
      <c r="E1852" s="1394"/>
      <c r="F1852" s="117"/>
    </row>
    <row r="1853" spans="1:9" ht="15.6">
      <c r="A1853" s="2249"/>
      <c r="B1853" s="1395"/>
      <c r="C1853" s="701"/>
      <c r="D1853" s="1394"/>
      <c r="E1853" s="1394"/>
      <c r="F1853" s="117"/>
    </row>
    <row r="1854" spans="1:9" ht="15.6">
      <c r="A1854" s="2249"/>
      <c r="B1854" s="1395"/>
      <c r="C1854" s="701"/>
      <c r="D1854" s="1394"/>
      <c r="E1854" s="1394"/>
      <c r="F1854" s="117"/>
    </row>
    <row r="1855" spans="1:9">
      <c r="A1855" s="2242"/>
      <c r="B1855" s="1392"/>
      <c r="C1855" s="1212"/>
      <c r="D1855" s="1212"/>
      <c r="E1855" s="1212"/>
      <c r="F1855" s="883"/>
    </row>
    <row r="1856" spans="1:9" ht="18">
      <c r="A1856" s="1393"/>
      <c r="B1856" s="871"/>
      <c r="C1856" s="871"/>
      <c r="D1856" s="1170"/>
      <c r="E1856" s="880"/>
      <c r="F1856" s="11"/>
    </row>
    <row r="1857" spans="1:6" ht="18">
      <c r="A1857" s="871"/>
      <c r="B1857" s="871"/>
      <c r="C1857" s="871"/>
      <c r="D1857" s="1170"/>
      <c r="E1857" s="10"/>
      <c r="F1857" s="11"/>
    </row>
    <row r="1859" spans="1:6">
      <c r="A1859" s="2922" t="s">
        <v>1898</v>
      </c>
      <c r="B1859" s="3112"/>
      <c r="C1859" s="79"/>
      <c r="D1859" s="1222">
        <f>E1843</f>
        <v>7050000</v>
      </c>
    </row>
    <row r="1860" spans="1:6">
      <c r="A1860" s="2923" t="s">
        <v>1899</v>
      </c>
      <c r="B1860" s="3113"/>
      <c r="C1860" s="41"/>
      <c r="D1860" s="1405" t="s">
        <v>3290</v>
      </c>
    </row>
    <row r="1861" spans="1:6">
      <c r="A1861" s="2924" t="s">
        <v>1900</v>
      </c>
      <c r="B1861" s="3114"/>
      <c r="C1861" s="45"/>
      <c r="D1861" s="1406" t="s">
        <v>3291</v>
      </c>
    </row>
    <row r="1862" spans="1:6">
      <c r="A1862" s="2807" t="s">
        <v>1901</v>
      </c>
      <c r="B1862" s="2912"/>
      <c r="C1862" s="637"/>
      <c r="D1862" s="1541" t="s">
        <v>3290</v>
      </c>
    </row>
    <row r="1863" spans="1:6">
      <c r="A1863" s="2913" t="s">
        <v>1902</v>
      </c>
      <c r="B1863" s="3115"/>
      <c r="C1863" s="1481"/>
      <c r="D1863" s="714"/>
    </row>
    <row r="1864" spans="1:6">
      <c r="A1864" s="2262" t="s">
        <v>1903</v>
      </c>
      <c r="B1864" s="1746"/>
      <c r="C1864" s="1481"/>
      <c r="D1864" s="714"/>
    </row>
    <row r="1865" spans="1:6">
      <c r="A1865" s="2176"/>
      <c r="B1865" s="43" t="s">
        <v>1904</v>
      </c>
      <c r="C1865" s="43"/>
      <c r="D1865" s="1130" t="s">
        <v>1968</v>
      </c>
    </row>
  </sheetData>
  <mergeCells count="278">
    <mergeCell ref="L110:N110"/>
    <mergeCell ref="A114:J114"/>
    <mergeCell ref="K114:N114"/>
    <mergeCell ref="A102:A111"/>
    <mergeCell ref="A211:J211"/>
    <mergeCell ref="K124:M124"/>
    <mergeCell ref="A129:H130"/>
    <mergeCell ref="A142:H143"/>
    <mergeCell ref="A155:H156"/>
    <mergeCell ref="A176:H177"/>
    <mergeCell ref="A201:B201"/>
    <mergeCell ref="A202:B202"/>
    <mergeCell ref="A203:B203"/>
    <mergeCell ref="A115:A125"/>
    <mergeCell ref="A140:I140"/>
    <mergeCell ref="A204:B204"/>
    <mergeCell ref="A2:J2"/>
    <mergeCell ref="A4:J4"/>
    <mergeCell ref="A14:A18"/>
    <mergeCell ref="A72:B72"/>
    <mergeCell ref="A28:H29"/>
    <mergeCell ref="A73:B73"/>
    <mergeCell ref="A74:B74"/>
    <mergeCell ref="A100:J100"/>
    <mergeCell ref="A45:H46"/>
    <mergeCell ref="A53:H54"/>
    <mergeCell ref="A62:H63"/>
    <mergeCell ref="A75:B75"/>
    <mergeCell ref="K100:N100"/>
    <mergeCell ref="A83:J83"/>
    <mergeCell ref="A85:J85"/>
    <mergeCell ref="K85:N85"/>
    <mergeCell ref="L96:N96"/>
    <mergeCell ref="A88:A97"/>
    <mergeCell ref="K4:N4"/>
    <mergeCell ref="A6:A9"/>
    <mergeCell ref="L9:N9"/>
    <mergeCell ref="A11:J11"/>
    <mergeCell ref="K11:N11"/>
    <mergeCell ref="L18:N18"/>
    <mergeCell ref="A20:J20"/>
    <mergeCell ref="K20:N20"/>
    <mergeCell ref="A21:A25"/>
    <mergeCell ref="L25:N25"/>
    <mergeCell ref="A213:J213"/>
    <mergeCell ref="K213:N213"/>
    <mergeCell ref="A304:B304"/>
    <mergeCell ref="A268:H269"/>
    <mergeCell ref="A280:H281"/>
    <mergeCell ref="A300:B300"/>
    <mergeCell ref="A301:B301"/>
    <mergeCell ref="A302:B302"/>
    <mergeCell ref="A303:B303"/>
    <mergeCell ref="A240:A246"/>
    <mergeCell ref="K247:M247"/>
    <mergeCell ref="A251:H252"/>
    <mergeCell ref="A228:J228"/>
    <mergeCell ref="K228:N228"/>
    <mergeCell ref="A230:A236"/>
    <mergeCell ref="L236:N236"/>
    <mergeCell ref="A239:J239"/>
    <mergeCell ref="K239:N239"/>
    <mergeCell ref="A218:A225"/>
    <mergeCell ref="L224:N224"/>
    <mergeCell ref="A329:J329"/>
    <mergeCell ref="K329:N329"/>
    <mergeCell ref="A332:A339"/>
    <mergeCell ref="L338:N338"/>
    <mergeCell ref="A342:J342"/>
    <mergeCell ref="K342:N342"/>
    <mergeCell ref="A311:J311"/>
    <mergeCell ref="A313:J313"/>
    <mergeCell ref="K313:N313"/>
    <mergeCell ref="A315:A326"/>
    <mergeCell ref="L325:N325"/>
    <mergeCell ref="A412:B412"/>
    <mergeCell ref="A413:B413"/>
    <mergeCell ref="A414:B414"/>
    <mergeCell ref="A415:B415"/>
    <mergeCell ref="A416:B416"/>
    <mergeCell ref="A443:A452"/>
    <mergeCell ref="A426:A438"/>
    <mergeCell ref="A343:A348"/>
    <mergeCell ref="K347:M347"/>
    <mergeCell ref="A353:H354"/>
    <mergeCell ref="A366:H367"/>
    <mergeCell ref="A388:H389"/>
    <mergeCell ref="A441:J441"/>
    <mergeCell ref="A455:J455"/>
    <mergeCell ref="A464:J464"/>
    <mergeCell ref="K441:N441"/>
    <mergeCell ref="L451:N451"/>
    <mergeCell ref="A422:J422"/>
    <mergeCell ref="A424:J424"/>
    <mergeCell ref="K424:N424"/>
    <mergeCell ref="L437:N437"/>
    <mergeCell ref="K455:N455"/>
    <mergeCell ref="A457:A461"/>
    <mergeCell ref="L460:N460"/>
    <mergeCell ref="K464:N464"/>
    <mergeCell ref="A466:A474"/>
    <mergeCell ref="L473:N473"/>
    <mergeCell ref="A545:J545"/>
    <mergeCell ref="A547:J547"/>
    <mergeCell ref="K547:N547"/>
    <mergeCell ref="A550:A559"/>
    <mergeCell ref="L558:N558"/>
    <mergeCell ref="A562:J562"/>
    <mergeCell ref="K562:N562"/>
    <mergeCell ref="A535:B535"/>
    <mergeCell ref="A536:B536"/>
    <mergeCell ref="A537:B537"/>
    <mergeCell ref="A538:B538"/>
    <mergeCell ref="A539:B539"/>
    <mergeCell ref="A476:H477"/>
    <mergeCell ref="A496:H497"/>
    <mergeCell ref="A511:H512"/>
    <mergeCell ref="A719:B719"/>
    <mergeCell ref="A720:B720"/>
    <mergeCell ref="A589:J589"/>
    <mergeCell ref="L574:N574"/>
    <mergeCell ref="A578:J578"/>
    <mergeCell ref="K578:N578"/>
    <mergeCell ref="A580:A585"/>
    <mergeCell ref="L584:N584"/>
    <mergeCell ref="L599:N599"/>
    <mergeCell ref="A603:J603"/>
    <mergeCell ref="L614:N614"/>
    <mergeCell ref="A617:H618"/>
    <mergeCell ref="A626:H627"/>
    <mergeCell ref="A677:H678"/>
    <mergeCell ref="A716:B716"/>
    <mergeCell ref="A717:B717"/>
    <mergeCell ref="A718:B718"/>
    <mergeCell ref="A645:H646"/>
    <mergeCell ref="A708:E708"/>
    <mergeCell ref="A564:A575"/>
    <mergeCell ref="A592:A600"/>
    <mergeCell ref="A605:A611"/>
    <mergeCell ref="A727:J727"/>
    <mergeCell ref="A729:J729"/>
    <mergeCell ref="K729:N729"/>
    <mergeCell ref="L744:N744"/>
    <mergeCell ref="A748:J748"/>
    <mergeCell ref="K748:N748"/>
    <mergeCell ref="L760:N760"/>
    <mergeCell ref="A732:A745"/>
    <mergeCell ref="A751:A761"/>
    <mergeCell ref="L812:N812"/>
    <mergeCell ref="A816:H817"/>
    <mergeCell ref="A881:H882"/>
    <mergeCell ref="A921:E921"/>
    <mergeCell ref="A928:B928"/>
    <mergeCell ref="A929:B929"/>
    <mergeCell ref="A930:B930"/>
    <mergeCell ref="A858:H859"/>
    <mergeCell ref="A764:J764"/>
    <mergeCell ref="K764:N764"/>
    <mergeCell ref="L776:N776"/>
    <mergeCell ref="A780:J780"/>
    <mergeCell ref="L798:N798"/>
    <mergeCell ref="A802:J802"/>
    <mergeCell ref="A805:A811"/>
    <mergeCell ref="A766:A777"/>
    <mergeCell ref="A783:A799"/>
    <mergeCell ref="K1153:N1153"/>
    <mergeCell ref="L1166:N1166"/>
    <mergeCell ref="A1170:J1170"/>
    <mergeCell ref="K1170:N1170"/>
    <mergeCell ref="L1186:N1186"/>
    <mergeCell ref="A1190:J1190"/>
    <mergeCell ref="K1190:N1190"/>
    <mergeCell ref="A931:B931"/>
    <mergeCell ref="A932:B932"/>
    <mergeCell ref="A939:J939"/>
    <mergeCell ref="A941:J941"/>
    <mergeCell ref="K941:N941"/>
    <mergeCell ref="L950:N950"/>
    <mergeCell ref="A953:J953"/>
    <mergeCell ref="K953:N953"/>
    <mergeCell ref="L967:N967"/>
    <mergeCell ref="A970:J970"/>
    <mergeCell ref="K970:N970"/>
    <mergeCell ref="L986:N986"/>
    <mergeCell ref="A990:J990"/>
    <mergeCell ref="L1007:N1007"/>
    <mergeCell ref="A1143:B1143"/>
    <mergeCell ref="A1026:H1027"/>
    <mergeCell ref="L1021:N1021"/>
    <mergeCell ref="A1373:B1373"/>
    <mergeCell ref="A1374:B1374"/>
    <mergeCell ref="A1375:B1375"/>
    <mergeCell ref="L1204:N1204"/>
    <mergeCell ref="A1208:J1208"/>
    <mergeCell ref="L1226:N1226"/>
    <mergeCell ref="A1230:J1230"/>
    <mergeCell ref="L1241:N1241"/>
    <mergeCell ref="A1210:A1227"/>
    <mergeCell ref="A1233:A1242"/>
    <mergeCell ref="A1141:B1141"/>
    <mergeCell ref="A1142:B1142"/>
    <mergeCell ref="A1010:J1010"/>
    <mergeCell ref="A1144:B1144"/>
    <mergeCell ref="A1155:A1167"/>
    <mergeCell ref="A1172:A1187"/>
    <mergeCell ref="A1192:A1205"/>
    <mergeCell ref="A1371:B1371"/>
    <mergeCell ref="A1372:B1372"/>
    <mergeCell ref="A1384:J1384"/>
    <mergeCell ref="A1386:J1386"/>
    <mergeCell ref="K1386:N1386"/>
    <mergeCell ref="L1401:N1401"/>
    <mergeCell ref="A1405:J1405"/>
    <mergeCell ref="K1405:N1405"/>
    <mergeCell ref="A1407:A1413"/>
    <mergeCell ref="L1412:N1412"/>
    <mergeCell ref="A943:A950"/>
    <mergeCell ref="A972:A987"/>
    <mergeCell ref="A955:A967"/>
    <mergeCell ref="A993:A1007"/>
    <mergeCell ref="A1012:A1022"/>
    <mergeCell ref="A1246:H1247"/>
    <mergeCell ref="A1285:H1286"/>
    <mergeCell ref="A1318:H1319"/>
    <mergeCell ref="A1359:E1359"/>
    <mergeCell ref="A1151:J1151"/>
    <mergeCell ref="A1153:J1153"/>
    <mergeCell ref="A1059:H1060"/>
    <mergeCell ref="A1089:H1090"/>
    <mergeCell ref="A1126:E1126"/>
    <mergeCell ref="A1139:B1139"/>
    <mergeCell ref="A1140:B1140"/>
    <mergeCell ref="A1416:J1416"/>
    <mergeCell ref="K1416:N1416"/>
    <mergeCell ref="L1434:N1434"/>
    <mergeCell ref="A1438:J1438"/>
    <mergeCell ref="L1468:N1468"/>
    <mergeCell ref="A1472:J1472"/>
    <mergeCell ref="L1490:N1490"/>
    <mergeCell ref="A1419:A1435"/>
    <mergeCell ref="A1440:A1469"/>
    <mergeCell ref="A1474:A1491"/>
    <mergeCell ref="A1648:J1648"/>
    <mergeCell ref="A1650:J1650"/>
    <mergeCell ref="K1650:N1650"/>
    <mergeCell ref="L1664:N1664"/>
    <mergeCell ref="A1668:J1668"/>
    <mergeCell ref="K1668:N1668"/>
    <mergeCell ref="A1670:A1681"/>
    <mergeCell ref="L1680:N1680"/>
    <mergeCell ref="A1495:H1496"/>
    <mergeCell ref="A1522:H1523"/>
    <mergeCell ref="A1590:H1591"/>
    <mergeCell ref="A1631:E1631"/>
    <mergeCell ref="A1639:B1639"/>
    <mergeCell ref="A1640:B1640"/>
    <mergeCell ref="A1576:H1577"/>
    <mergeCell ref="A1652:A1665"/>
    <mergeCell ref="A1737:H1738"/>
    <mergeCell ref="A1766:H1767"/>
    <mergeCell ref="A1789:H1790"/>
    <mergeCell ref="A1806:H1807"/>
    <mergeCell ref="A1847:E1847"/>
    <mergeCell ref="A1862:B1862"/>
    <mergeCell ref="A1863:B1863"/>
    <mergeCell ref="A1684:J1684"/>
    <mergeCell ref="K1684:N1684"/>
    <mergeCell ref="A1688:A1699"/>
    <mergeCell ref="L1698:N1698"/>
    <mergeCell ref="A1702:J1702"/>
    <mergeCell ref="A1708:A1716"/>
    <mergeCell ref="L1715:N1715"/>
    <mergeCell ref="A1719:J1719"/>
    <mergeCell ref="A1724:A1733"/>
    <mergeCell ref="L1732:N1732"/>
    <mergeCell ref="A1859:B1859"/>
    <mergeCell ref="A1860:B1860"/>
    <mergeCell ref="A1861:B1861"/>
  </mergeCells>
  <pageMargins left="0.7" right="0.7" top="0.75" bottom="0.75" header="0.3" footer="0.3"/>
  <pageSetup paperSize="9" fitToWidth="0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D02A-F051-41B8-B711-CF8DAB70B1B4}">
  <sheetPr>
    <pageSetUpPr fitToPage="1"/>
  </sheetPr>
  <dimension ref="A2:L1366"/>
  <sheetViews>
    <sheetView topLeftCell="A1342" workbookViewId="0">
      <selection activeCell="A1365" sqref="A1365"/>
    </sheetView>
  </sheetViews>
  <sheetFormatPr defaultColWidth="8.85546875" defaultRowHeight="14.45"/>
  <cols>
    <col min="1" max="1" width="17" customWidth="1"/>
    <col min="7" max="7" width="13" customWidth="1"/>
  </cols>
  <sheetData>
    <row r="2" spans="1:10">
      <c r="A2" s="238" t="s">
        <v>2047</v>
      </c>
      <c r="B2" s="239" t="s">
        <v>2047</v>
      </c>
      <c r="C2" s="3082" t="s">
        <v>3292</v>
      </c>
      <c r="D2" s="3082"/>
      <c r="E2" s="3082"/>
      <c r="F2" s="3083"/>
      <c r="G2" s="239" t="s">
        <v>2047</v>
      </c>
      <c r="H2" s="1755" t="s">
        <v>2047</v>
      </c>
      <c r="I2" s="1755" t="s">
        <v>2047</v>
      </c>
      <c r="J2" s="240" t="s">
        <v>2047</v>
      </c>
    </row>
    <row r="3" spans="1:10" ht="15.6">
      <c r="A3" s="241" t="s">
        <v>2047</v>
      </c>
      <c r="B3" s="223"/>
      <c r="C3" s="3084" t="s">
        <v>2045</v>
      </c>
      <c r="D3" s="3084"/>
      <c r="E3" s="3084"/>
      <c r="F3" s="3085"/>
      <c r="G3" s="1756" t="s">
        <v>2047</v>
      </c>
      <c r="H3" s="3086" t="s">
        <v>3293</v>
      </c>
      <c r="I3" s="3086"/>
      <c r="J3" s="242" t="s">
        <v>2047</v>
      </c>
    </row>
    <row r="4" spans="1:10" ht="17.45">
      <c r="A4" s="241" t="s">
        <v>2047</v>
      </c>
      <c r="B4" s="224"/>
      <c r="C4" s="3088" t="s">
        <v>3294</v>
      </c>
      <c r="D4" s="3088"/>
      <c r="E4" s="3088"/>
      <c r="F4" s="3089"/>
      <c r="G4" s="225" t="s">
        <v>3295</v>
      </c>
      <c r="H4" s="3087"/>
      <c r="I4" s="3087"/>
      <c r="J4" s="242" t="s">
        <v>2047</v>
      </c>
    </row>
    <row r="5" spans="1:10">
      <c r="A5" s="241" t="s">
        <v>2047</v>
      </c>
      <c r="B5" s="224" t="s">
        <v>2047</v>
      </c>
      <c r="C5" s="3090" t="s">
        <v>3296</v>
      </c>
      <c r="D5" s="3090"/>
      <c r="E5" s="3090"/>
      <c r="F5" s="3091"/>
      <c r="G5" s="1756" t="s">
        <v>2047</v>
      </c>
      <c r="H5" s="226" t="s">
        <v>2047</v>
      </c>
      <c r="I5" s="226" t="s">
        <v>2047</v>
      </c>
      <c r="J5" s="243" t="s">
        <v>2047</v>
      </c>
    </row>
    <row r="6" spans="1:10" ht="31.9">
      <c r="A6" s="234" t="s">
        <v>3297</v>
      </c>
      <c r="B6" s="237" t="s">
        <v>2047</v>
      </c>
      <c r="C6" s="539" t="s">
        <v>3298</v>
      </c>
      <c r="D6" s="235"/>
      <c r="E6" s="236"/>
      <c r="F6" s="233" t="s">
        <v>3299</v>
      </c>
      <c r="G6" s="232" t="s">
        <v>3300</v>
      </c>
      <c r="H6" s="1757" t="s">
        <v>3301</v>
      </c>
      <c r="I6" s="1757" t="s">
        <v>3302</v>
      </c>
      <c r="J6" s="244" t="s">
        <v>3303</v>
      </c>
    </row>
    <row r="7" spans="1:10">
      <c r="A7" s="3095"/>
      <c r="B7" s="3096"/>
      <c r="C7" s="3096"/>
      <c r="D7" s="3096"/>
      <c r="E7" s="3097"/>
      <c r="F7" s="3105"/>
      <c r="G7" s="3106"/>
      <c r="H7" s="248">
        <v>20</v>
      </c>
      <c r="I7" s="248">
        <v>1</v>
      </c>
      <c r="J7" s="249">
        <v>2021</v>
      </c>
    </row>
    <row r="8" spans="1:10">
      <c r="A8" s="3098" t="s">
        <v>3304</v>
      </c>
      <c r="B8" s="3099"/>
      <c r="C8" s="3099"/>
      <c r="D8" s="3099"/>
      <c r="E8" s="3110"/>
      <c r="F8" s="250" t="s">
        <v>3305</v>
      </c>
      <c r="G8" s="1753" t="s">
        <v>2047</v>
      </c>
      <c r="H8" s="251" t="s">
        <v>3306</v>
      </c>
      <c r="I8" s="252" t="s">
        <v>2047</v>
      </c>
      <c r="J8" s="253" t="s">
        <v>2047</v>
      </c>
    </row>
    <row r="9" spans="1:10">
      <c r="A9" s="3098" t="s">
        <v>3307</v>
      </c>
      <c r="B9" s="3099"/>
      <c r="C9" s="3099"/>
      <c r="D9" s="3099"/>
      <c r="E9" s="3110"/>
      <c r="F9" s="3105" t="s">
        <v>3308</v>
      </c>
      <c r="G9" s="3106"/>
      <c r="H9" s="3105" t="s">
        <v>125</v>
      </c>
      <c r="I9" s="3105"/>
      <c r="J9" s="3107"/>
    </row>
    <row r="10" spans="1:10">
      <c r="A10" s="254" t="s">
        <v>3309</v>
      </c>
      <c r="B10" s="3105" t="s">
        <v>3310</v>
      </c>
      <c r="C10" s="3105"/>
      <c r="D10" s="3105"/>
      <c r="E10" s="3106"/>
      <c r="F10" s="3108" t="s">
        <v>2012</v>
      </c>
      <c r="G10" s="3109"/>
      <c r="H10" s="3105" t="s">
        <v>3311</v>
      </c>
      <c r="I10" s="3105"/>
      <c r="J10" s="3107"/>
    </row>
    <row r="11" spans="1:10">
      <c r="A11" s="255">
        <v>4</v>
      </c>
      <c r="B11" s="3078" t="s">
        <v>3312</v>
      </c>
      <c r="C11" s="3078"/>
      <c r="D11" s="3078"/>
      <c r="E11" s="3078"/>
      <c r="F11" s="3079">
        <v>1000</v>
      </c>
      <c r="G11" s="3080"/>
      <c r="H11" s="3078">
        <f>F11*A11</f>
        <v>4000</v>
      </c>
      <c r="I11" s="3078"/>
      <c r="J11" s="3081"/>
    </row>
    <row r="12" spans="1:10">
      <c r="A12" s="255" t="s">
        <v>2047</v>
      </c>
      <c r="B12" s="3078" t="s">
        <v>2047</v>
      </c>
      <c r="C12" s="3078"/>
      <c r="D12" s="3078"/>
      <c r="E12" s="3078"/>
      <c r="F12" s="3079" t="s">
        <v>2047</v>
      </c>
      <c r="G12" s="3080"/>
      <c r="H12" s="3078" t="s">
        <v>2047</v>
      </c>
      <c r="I12" s="3078"/>
      <c r="J12" s="3081"/>
    </row>
    <row r="13" spans="1:10">
      <c r="A13" s="255" t="s">
        <v>2047</v>
      </c>
      <c r="B13" s="256" t="s">
        <v>2047</v>
      </c>
      <c r="C13" s="256" t="s">
        <v>2047</v>
      </c>
      <c r="D13" s="256" t="s">
        <v>2047</v>
      </c>
      <c r="E13" s="256" t="s">
        <v>2047</v>
      </c>
      <c r="F13" s="3079" t="s">
        <v>2047</v>
      </c>
      <c r="G13" s="3080"/>
      <c r="H13" s="3078" t="s">
        <v>3313</v>
      </c>
      <c r="I13" s="3078"/>
      <c r="J13" s="3081"/>
    </row>
    <row r="14" spans="1:10">
      <c r="A14" s="245" t="s">
        <v>2047</v>
      </c>
      <c r="B14" s="228" t="s">
        <v>2047</v>
      </c>
      <c r="C14" s="228" t="s">
        <v>2047</v>
      </c>
      <c r="D14" s="228" t="s">
        <v>2047</v>
      </c>
      <c r="E14" s="228" t="s">
        <v>2047</v>
      </c>
      <c r="F14" s="3046" t="s">
        <v>2047</v>
      </c>
      <c r="G14" s="3047"/>
      <c r="H14" s="3048" t="s">
        <v>3313</v>
      </c>
      <c r="I14" s="3048"/>
      <c r="J14" s="3049"/>
    </row>
    <row r="15" spans="1:10">
      <c r="A15" s="245" t="s">
        <v>2047</v>
      </c>
      <c r="B15" s="228" t="s">
        <v>2047</v>
      </c>
      <c r="C15" s="228" t="s">
        <v>2047</v>
      </c>
      <c r="D15" s="228" t="s">
        <v>2047</v>
      </c>
      <c r="E15" s="228" t="s">
        <v>2047</v>
      </c>
      <c r="F15" s="3046" t="s">
        <v>2047</v>
      </c>
      <c r="G15" s="3047"/>
      <c r="H15" s="3048" t="s">
        <v>3313</v>
      </c>
      <c r="I15" s="3048"/>
      <c r="J15" s="3049"/>
    </row>
    <row r="16" spans="1:10">
      <c r="A16" s="245" t="s">
        <v>2047</v>
      </c>
      <c r="B16" s="228" t="s">
        <v>2047</v>
      </c>
      <c r="C16" s="228" t="s">
        <v>2047</v>
      </c>
      <c r="D16" s="228" t="s">
        <v>2047</v>
      </c>
      <c r="E16" s="228" t="s">
        <v>2047</v>
      </c>
      <c r="F16" s="3046" t="s">
        <v>2047</v>
      </c>
      <c r="G16" s="3047"/>
      <c r="H16" s="3048" t="s">
        <v>3313</v>
      </c>
      <c r="I16" s="3048"/>
      <c r="J16" s="3049"/>
    </row>
    <row r="17" spans="1:10">
      <c r="A17" s="245" t="s">
        <v>2047</v>
      </c>
      <c r="B17" s="228" t="s">
        <v>2047</v>
      </c>
      <c r="C17" s="228" t="s">
        <v>2047</v>
      </c>
      <c r="D17" s="228" t="s">
        <v>2047</v>
      </c>
      <c r="E17" s="228" t="s">
        <v>2047</v>
      </c>
      <c r="F17" s="3046" t="s">
        <v>2047</v>
      </c>
      <c r="G17" s="3047"/>
      <c r="H17" s="3048" t="s">
        <v>3313</v>
      </c>
      <c r="I17" s="3048"/>
      <c r="J17" s="3049"/>
    </row>
    <row r="18" spans="1:10">
      <c r="A18" s="245" t="s">
        <v>2047</v>
      </c>
      <c r="B18" s="228" t="s">
        <v>2047</v>
      </c>
      <c r="C18" s="228" t="s">
        <v>2047</v>
      </c>
      <c r="D18" s="228" t="s">
        <v>2047</v>
      </c>
      <c r="E18" s="228" t="s">
        <v>2047</v>
      </c>
      <c r="F18" s="3046" t="s">
        <v>2047</v>
      </c>
      <c r="G18" s="3047"/>
      <c r="H18" s="3048" t="s">
        <v>3313</v>
      </c>
      <c r="I18" s="3048"/>
      <c r="J18" s="3049"/>
    </row>
    <row r="19" spans="1:10">
      <c r="A19" s="245" t="s">
        <v>2047</v>
      </c>
      <c r="B19" s="228" t="s">
        <v>2047</v>
      </c>
      <c r="C19" s="228" t="s">
        <v>2047</v>
      </c>
      <c r="D19" s="228" t="s">
        <v>2047</v>
      </c>
      <c r="E19" s="228" t="s">
        <v>2047</v>
      </c>
      <c r="F19" s="3046" t="s">
        <v>2047</v>
      </c>
      <c r="G19" s="3047"/>
      <c r="H19" s="3048" t="s">
        <v>3313</v>
      </c>
      <c r="I19" s="3048"/>
      <c r="J19" s="3049"/>
    </row>
    <row r="20" spans="1:10">
      <c r="A20" s="1754" t="s">
        <v>2580</v>
      </c>
      <c r="B20" s="227" t="s">
        <v>2047</v>
      </c>
      <c r="C20" s="227" t="s">
        <v>2047</v>
      </c>
      <c r="D20" s="227" t="s">
        <v>2047</v>
      </c>
      <c r="E20" s="3050" t="s">
        <v>3314</v>
      </c>
      <c r="F20" s="3051"/>
      <c r="G20" s="3052">
        <f>H11</f>
        <v>4000</v>
      </c>
      <c r="H20" s="3052"/>
      <c r="I20" s="3053"/>
      <c r="J20" s="246"/>
    </row>
    <row r="21" spans="1:10">
      <c r="A21" s="247" t="s">
        <v>2047</v>
      </c>
      <c r="B21" s="229" t="s">
        <v>2047</v>
      </c>
      <c r="C21" s="229" t="s">
        <v>2047</v>
      </c>
      <c r="D21" s="229" t="s">
        <v>2047</v>
      </c>
      <c r="E21" s="229" t="s">
        <v>2047</v>
      </c>
      <c r="F21" s="230" t="s">
        <v>3315</v>
      </c>
      <c r="G21" s="231" t="s">
        <v>3316</v>
      </c>
      <c r="H21" s="3054" t="s">
        <v>3317</v>
      </c>
      <c r="I21" s="3054"/>
      <c r="J21" s="3055"/>
    </row>
    <row r="22" spans="1:10">
      <c r="A22" s="3056" t="s">
        <v>3318</v>
      </c>
      <c r="B22" s="3057"/>
      <c r="C22" s="3057"/>
      <c r="D22" s="3057"/>
      <c r="E22" s="3058"/>
      <c r="F22" s="3062" t="s">
        <v>1990</v>
      </c>
      <c r="G22" s="3063"/>
      <c r="H22" s="3066">
        <f>G20</f>
        <v>4000</v>
      </c>
      <c r="I22" s="3067"/>
      <c r="J22" s="3068"/>
    </row>
    <row r="23" spans="1:10">
      <c r="A23" s="3059"/>
      <c r="B23" s="3060"/>
      <c r="C23" s="3060"/>
      <c r="D23" s="3060"/>
      <c r="E23" s="3061"/>
      <c r="F23" s="3064"/>
      <c r="G23" s="3065"/>
      <c r="H23" s="3069"/>
      <c r="I23" s="3070"/>
      <c r="J23" s="3071"/>
    </row>
    <row r="24" spans="1:10">
      <c r="A24" s="3072" t="s">
        <v>3319</v>
      </c>
      <c r="B24" s="3073"/>
      <c r="C24" s="3073"/>
      <c r="D24" s="3073"/>
      <c r="E24" s="3073"/>
      <c r="F24" s="3073"/>
      <c r="G24" s="3073"/>
      <c r="H24" s="3073"/>
      <c r="I24" s="3073"/>
      <c r="J24" s="3074"/>
    </row>
    <row r="25" spans="1:10">
      <c r="A25" s="3075"/>
      <c r="B25" s="3076"/>
      <c r="C25" s="3076"/>
      <c r="D25" s="3076"/>
      <c r="E25" s="3076"/>
      <c r="F25" s="3076"/>
      <c r="G25" s="3076"/>
      <c r="H25" s="3076"/>
      <c r="I25" s="3076"/>
      <c r="J25" s="3077"/>
    </row>
    <row r="29" spans="1:10">
      <c r="A29" s="238" t="s">
        <v>2047</v>
      </c>
      <c r="B29" s="239" t="s">
        <v>2047</v>
      </c>
      <c r="C29" s="3082" t="s">
        <v>3292</v>
      </c>
      <c r="D29" s="3082"/>
      <c r="E29" s="3082"/>
      <c r="F29" s="3083"/>
      <c r="G29" s="239" t="s">
        <v>2047</v>
      </c>
      <c r="H29" s="1755" t="s">
        <v>2047</v>
      </c>
      <c r="I29" s="1755" t="s">
        <v>2047</v>
      </c>
      <c r="J29" s="240" t="s">
        <v>2047</v>
      </c>
    </row>
    <row r="30" spans="1:10" ht="15.6">
      <c r="A30" s="241" t="s">
        <v>2047</v>
      </c>
      <c r="B30" s="223"/>
      <c r="C30" s="3084" t="s">
        <v>2045</v>
      </c>
      <c r="D30" s="3084"/>
      <c r="E30" s="3084"/>
      <c r="F30" s="3085"/>
      <c r="G30" s="1756" t="s">
        <v>2047</v>
      </c>
      <c r="H30" s="3086" t="s">
        <v>3320</v>
      </c>
      <c r="I30" s="3086"/>
      <c r="J30" s="242" t="s">
        <v>2047</v>
      </c>
    </row>
    <row r="31" spans="1:10" ht="17.45">
      <c r="A31" s="241" t="s">
        <v>2047</v>
      </c>
      <c r="B31" s="224"/>
      <c r="C31" s="3088" t="s">
        <v>3294</v>
      </c>
      <c r="D31" s="3088"/>
      <c r="E31" s="3088"/>
      <c r="F31" s="3089"/>
      <c r="G31" s="225" t="s">
        <v>3295</v>
      </c>
      <c r="H31" s="3087"/>
      <c r="I31" s="3087"/>
      <c r="J31" s="242" t="s">
        <v>2047</v>
      </c>
    </row>
    <row r="32" spans="1:10">
      <c r="A32" s="241" t="s">
        <v>2047</v>
      </c>
      <c r="B32" s="224" t="s">
        <v>2047</v>
      </c>
      <c r="C32" s="3090" t="s">
        <v>3296</v>
      </c>
      <c r="D32" s="3090"/>
      <c r="E32" s="3090"/>
      <c r="F32" s="3091"/>
      <c r="G32" s="1756" t="s">
        <v>2047</v>
      </c>
      <c r="H32" s="226" t="s">
        <v>2047</v>
      </c>
      <c r="I32" s="226" t="s">
        <v>2047</v>
      </c>
      <c r="J32" s="243" t="s">
        <v>2047</v>
      </c>
    </row>
    <row r="33" spans="1:10" ht="31.9">
      <c r="A33" s="234" t="s">
        <v>3297</v>
      </c>
      <c r="B33" s="237" t="s">
        <v>2047</v>
      </c>
      <c r="C33" s="540" t="s">
        <v>3321</v>
      </c>
      <c r="D33" s="235"/>
      <c r="E33" s="236"/>
      <c r="F33" s="233" t="s">
        <v>3299</v>
      </c>
      <c r="G33" s="232" t="s">
        <v>3322</v>
      </c>
      <c r="H33" s="1757" t="s">
        <v>3301</v>
      </c>
      <c r="I33" s="1757" t="s">
        <v>3302</v>
      </c>
      <c r="J33" s="244" t="s">
        <v>3303</v>
      </c>
    </row>
    <row r="34" spans="1:10">
      <c r="A34" s="3095"/>
      <c r="B34" s="3096"/>
      <c r="C34" s="3096"/>
      <c r="D34" s="3096"/>
      <c r="E34" s="3097"/>
      <c r="F34" s="3105"/>
      <c r="G34" s="3106"/>
      <c r="H34" s="248">
        <v>27</v>
      </c>
      <c r="I34" s="248">
        <v>1</v>
      </c>
      <c r="J34" s="249">
        <v>2021</v>
      </c>
    </row>
    <row r="35" spans="1:10">
      <c r="A35" s="3098" t="s">
        <v>3304</v>
      </c>
      <c r="B35" s="3099"/>
      <c r="C35" s="3099"/>
      <c r="D35" s="3099"/>
      <c r="E35" s="3110"/>
      <c r="F35" s="250" t="s">
        <v>3305</v>
      </c>
      <c r="G35" s="1753" t="s">
        <v>2047</v>
      </c>
      <c r="H35" s="251" t="s">
        <v>3306</v>
      </c>
      <c r="I35" s="252" t="s">
        <v>2047</v>
      </c>
      <c r="J35" s="253" t="s">
        <v>2047</v>
      </c>
    </row>
    <row r="36" spans="1:10">
      <c r="A36" s="3098" t="s">
        <v>3323</v>
      </c>
      <c r="B36" s="3099"/>
      <c r="C36" s="3099"/>
      <c r="D36" s="3099"/>
      <c r="E36" s="3110"/>
      <c r="F36" s="3105">
        <v>2998351</v>
      </c>
      <c r="G36" s="3106"/>
      <c r="H36" s="3105" t="s">
        <v>125</v>
      </c>
      <c r="I36" s="3105"/>
      <c r="J36" s="3107"/>
    </row>
    <row r="37" spans="1:10">
      <c r="A37" s="254" t="s">
        <v>3309</v>
      </c>
      <c r="B37" s="3105" t="s">
        <v>3310</v>
      </c>
      <c r="C37" s="3105"/>
      <c r="D37" s="3105"/>
      <c r="E37" s="3106"/>
      <c r="F37" s="3108" t="s">
        <v>2012</v>
      </c>
      <c r="G37" s="3109"/>
      <c r="H37" s="3105" t="s">
        <v>3311</v>
      </c>
      <c r="I37" s="3105"/>
      <c r="J37" s="3107"/>
    </row>
    <row r="38" spans="1:10">
      <c r="A38" s="255">
        <v>2</v>
      </c>
      <c r="B38" s="3078" t="s">
        <v>3312</v>
      </c>
      <c r="C38" s="3078"/>
      <c r="D38" s="3078"/>
      <c r="E38" s="3078"/>
      <c r="F38" s="3079">
        <v>1500</v>
      </c>
      <c r="G38" s="3080"/>
      <c r="H38" s="3078">
        <f>A38*F38</f>
        <v>3000</v>
      </c>
      <c r="I38" s="3078"/>
      <c r="J38" s="3081"/>
    </row>
    <row r="39" spans="1:10">
      <c r="A39" s="255" t="s">
        <v>2047</v>
      </c>
      <c r="B39" s="3078" t="s">
        <v>2047</v>
      </c>
      <c r="C39" s="3078"/>
      <c r="D39" s="3078"/>
      <c r="E39" s="3078"/>
      <c r="F39" s="3079" t="s">
        <v>2047</v>
      </c>
      <c r="G39" s="3080"/>
      <c r="H39" s="3078" t="s">
        <v>2047</v>
      </c>
      <c r="I39" s="3078"/>
      <c r="J39" s="3081"/>
    </row>
    <row r="40" spans="1:10">
      <c r="A40" s="255" t="s">
        <v>2047</v>
      </c>
      <c r="B40" s="256" t="s">
        <v>2047</v>
      </c>
      <c r="C40" s="256" t="s">
        <v>2047</v>
      </c>
      <c r="D40" s="256" t="s">
        <v>2047</v>
      </c>
      <c r="E40" s="256" t="s">
        <v>2047</v>
      </c>
      <c r="F40" s="3079" t="s">
        <v>2047</v>
      </c>
      <c r="G40" s="3080"/>
      <c r="H40" s="3078" t="s">
        <v>3313</v>
      </c>
      <c r="I40" s="3078"/>
      <c r="J40" s="3081"/>
    </row>
    <row r="41" spans="1:10">
      <c r="A41" s="245" t="s">
        <v>2047</v>
      </c>
      <c r="B41" s="228" t="s">
        <v>2047</v>
      </c>
      <c r="C41" s="228" t="s">
        <v>2047</v>
      </c>
      <c r="D41" s="228" t="s">
        <v>2047</v>
      </c>
      <c r="E41" s="228" t="s">
        <v>2047</v>
      </c>
      <c r="F41" s="3046" t="s">
        <v>2047</v>
      </c>
      <c r="G41" s="3047"/>
      <c r="H41" s="3048" t="s">
        <v>3313</v>
      </c>
      <c r="I41" s="3048"/>
      <c r="J41" s="3049"/>
    </row>
    <row r="42" spans="1:10">
      <c r="A42" s="245" t="s">
        <v>2047</v>
      </c>
      <c r="B42" s="228" t="s">
        <v>2047</v>
      </c>
      <c r="C42" s="228" t="s">
        <v>2047</v>
      </c>
      <c r="D42" s="228" t="s">
        <v>2047</v>
      </c>
      <c r="E42" s="228" t="s">
        <v>2047</v>
      </c>
      <c r="F42" s="3046" t="s">
        <v>2047</v>
      </c>
      <c r="G42" s="3047"/>
      <c r="H42" s="3048" t="s">
        <v>3313</v>
      </c>
      <c r="I42" s="3048"/>
      <c r="J42" s="3049"/>
    </row>
    <row r="43" spans="1:10">
      <c r="A43" s="245" t="s">
        <v>2047</v>
      </c>
      <c r="B43" s="228" t="s">
        <v>2047</v>
      </c>
      <c r="C43" s="228" t="s">
        <v>2047</v>
      </c>
      <c r="D43" s="228" t="s">
        <v>2047</v>
      </c>
      <c r="E43" s="228" t="s">
        <v>2047</v>
      </c>
      <c r="F43" s="3046" t="s">
        <v>2047</v>
      </c>
      <c r="G43" s="3047"/>
      <c r="H43" s="3048" t="s">
        <v>3313</v>
      </c>
      <c r="I43" s="3048"/>
      <c r="J43" s="3049"/>
    </row>
    <row r="44" spans="1:10">
      <c r="A44" s="245" t="s">
        <v>2047</v>
      </c>
      <c r="B44" s="228" t="s">
        <v>2047</v>
      </c>
      <c r="C44" s="228" t="s">
        <v>2047</v>
      </c>
      <c r="D44" s="228" t="s">
        <v>2047</v>
      </c>
      <c r="E44" s="228" t="s">
        <v>2047</v>
      </c>
      <c r="F44" s="3046" t="s">
        <v>2047</v>
      </c>
      <c r="G44" s="3047"/>
      <c r="H44" s="3048" t="s">
        <v>3313</v>
      </c>
      <c r="I44" s="3048"/>
      <c r="J44" s="3049"/>
    </row>
    <row r="45" spans="1:10">
      <c r="A45" s="245" t="s">
        <v>2047</v>
      </c>
      <c r="B45" s="228" t="s">
        <v>2047</v>
      </c>
      <c r="C45" s="228" t="s">
        <v>2047</v>
      </c>
      <c r="D45" s="228" t="s">
        <v>2047</v>
      </c>
      <c r="E45" s="228" t="s">
        <v>2047</v>
      </c>
      <c r="F45" s="3046" t="s">
        <v>2047</v>
      </c>
      <c r="G45" s="3047"/>
      <c r="H45" s="3048" t="s">
        <v>3313</v>
      </c>
      <c r="I45" s="3048"/>
      <c r="J45" s="3049"/>
    </row>
    <row r="46" spans="1:10">
      <c r="A46" s="245" t="s">
        <v>2047</v>
      </c>
      <c r="B46" s="228" t="s">
        <v>2047</v>
      </c>
      <c r="C46" s="228" t="s">
        <v>2047</v>
      </c>
      <c r="D46" s="228" t="s">
        <v>2047</v>
      </c>
      <c r="E46" s="228" t="s">
        <v>2047</v>
      </c>
      <c r="F46" s="3046" t="s">
        <v>2047</v>
      </c>
      <c r="G46" s="3047"/>
      <c r="H46" s="3048" t="s">
        <v>3313</v>
      </c>
      <c r="I46" s="3048"/>
      <c r="J46" s="3049"/>
    </row>
    <row r="47" spans="1:10">
      <c r="A47" s="1754" t="s">
        <v>2580</v>
      </c>
      <c r="B47" s="227" t="s">
        <v>2047</v>
      </c>
      <c r="C47" s="227" t="s">
        <v>2047</v>
      </c>
      <c r="D47" s="227" t="s">
        <v>2047</v>
      </c>
      <c r="E47" s="3050" t="s">
        <v>3314</v>
      </c>
      <c r="F47" s="3051"/>
      <c r="G47" s="3052">
        <f>H38</f>
        <v>3000</v>
      </c>
      <c r="H47" s="3052"/>
      <c r="I47" s="3053"/>
      <c r="J47" s="246"/>
    </row>
    <row r="48" spans="1:10">
      <c r="A48" s="247" t="s">
        <v>2047</v>
      </c>
      <c r="B48" s="229" t="s">
        <v>2047</v>
      </c>
      <c r="C48" s="229" t="s">
        <v>2047</v>
      </c>
      <c r="D48" s="229" t="s">
        <v>2047</v>
      </c>
      <c r="E48" s="229" t="s">
        <v>2047</v>
      </c>
      <c r="F48" s="230" t="s">
        <v>3315</v>
      </c>
      <c r="G48" s="231" t="s">
        <v>3316</v>
      </c>
      <c r="H48" s="3054" t="s">
        <v>3317</v>
      </c>
      <c r="I48" s="3054"/>
      <c r="J48" s="3055"/>
    </row>
    <row r="49" spans="1:10">
      <c r="A49" s="3056" t="s">
        <v>3318</v>
      </c>
      <c r="B49" s="3057"/>
      <c r="C49" s="3057"/>
      <c r="D49" s="3057"/>
      <c r="E49" s="3058"/>
      <c r="F49" s="3062" t="s">
        <v>1990</v>
      </c>
      <c r="G49" s="3063"/>
      <c r="H49" s="3066">
        <f>G47</f>
        <v>3000</v>
      </c>
      <c r="I49" s="3067"/>
      <c r="J49" s="3068"/>
    </row>
    <row r="50" spans="1:10">
      <c r="A50" s="3059"/>
      <c r="B50" s="3060"/>
      <c r="C50" s="3060"/>
      <c r="D50" s="3060"/>
      <c r="E50" s="3061"/>
      <c r="F50" s="3064"/>
      <c r="G50" s="3065"/>
      <c r="H50" s="3069"/>
      <c r="I50" s="3070"/>
      <c r="J50" s="3071"/>
    </row>
    <row r="51" spans="1:10">
      <c r="A51" s="3072" t="s">
        <v>3319</v>
      </c>
      <c r="B51" s="3073"/>
      <c r="C51" s="3073"/>
      <c r="D51" s="3073"/>
      <c r="E51" s="3073"/>
      <c r="F51" s="3073"/>
      <c r="G51" s="3073"/>
      <c r="H51" s="3073"/>
      <c r="I51" s="3073"/>
      <c r="J51" s="3074"/>
    </row>
    <row r="52" spans="1:10">
      <c r="A52" s="3075"/>
      <c r="B52" s="3076"/>
      <c r="C52" s="3076"/>
      <c r="D52" s="3076"/>
      <c r="E52" s="3076"/>
      <c r="F52" s="3076"/>
      <c r="G52" s="3076"/>
      <c r="H52" s="3076"/>
      <c r="I52" s="3076"/>
      <c r="J52" s="3077"/>
    </row>
    <row r="56" spans="1:10">
      <c r="A56" s="238" t="s">
        <v>2047</v>
      </c>
      <c r="B56" s="239" t="s">
        <v>2047</v>
      </c>
      <c r="C56" s="3082" t="s">
        <v>3292</v>
      </c>
      <c r="D56" s="3082"/>
      <c r="E56" s="3082"/>
      <c r="F56" s="3083"/>
      <c r="G56" s="239" t="s">
        <v>2047</v>
      </c>
      <c r="H56" s="1755" t="s">
        <v>2047</v>
      </c>
      <c r="I56" s="1755" t="s">
        <v>2047</v>
      </c>
      <c r="J56" s="240" t="s">
        <v>2047</v>
      </c>
    </row>
    <row r="57" spans="1:10" ht="15.6">
      <c r="A57" s="241" t="s">
        <v>2047</v>
      </c>
      <c r="B57" s="223"/>
      <c r="C57" s="3084" t="s">
        <v>2045</v>
      </c>
      <c r="D57" s="3084"/>
      <c r="E57" s="3084"/>
      <c r="F57" s="3085"/>
      <c r="G57" s="1756" t="s">
        <v>2047</v>
      </c>
      <c r="H57" s="3086" t="s">
        <v>3324</v>
      </c>
      <c r="I57" s="3086"/>
      <c r="J57" s="242" t="s">
        <v>2047</v>
      </c>
    </row>
    <row r="58" spans="1:10" ht="17.45">
      <c r="A58" s="241" t="s">
        <v>2047</v>
      </c>
      <c r="B58" s="224"/>
      <c r="C58" s="3088" t="s">
        <v>3294</v>
      </c>
      <c r="D58" s="3088"/>
      <c r="E58" s="3088"/>
      <c r="F58" s="3089"/>
      <c r="G58" s="225" t="s">
        <v>3295</v>
      </c>
      <c r="H58" s="3087"/>
      <c r="I58" s="3087"/>
      <c r="J58" s="242" t="s">
        <v>2047</v>
      </c>
    </row>
    <row r="59" spans="1:10">
      <c r="A59" s="241" t="s">
        <v>2047</v>
      </c>
      <c r="B59" s="224" t="s">
        <v>2047</v>
      </c>
      <c r="C59" s="3090" t="s">
        <v>3296</v>
      </c>
      <c r="D59" s="3090"/>
      <c r="E59" s="3090"/>
      <c r="F59" s="3091"/>
      <c r="G59" s="1756" t="s">
        <v>2047</v>
      </c>
      <c r="H59" s="226" t="s">
        <v>2047</v>
      </c>
      <c r="I59" s="226" t="s">
        <v>2047</v>
      </c>
      <c r="J59" s="243" t="s">
        <v>2047</v>
      </c>
    </row>
    <row r="60" spans="1:10" ht="31.9">
      <c r="A60" s="234" t="s">
        <v>3297</v>
      </c>
      <c r="B60" s="237" t="s">
        <v>2047</v>
      </c>
      <c r="C60" s="540" t="s">
        <v>3325</v>
      </c>
      <c r="D60" s="235"/>
      <c r="E60" s="236"/>
      <c r="F60" s="233" t="s">
        <v>3299</v>
      </c>
      <c r="G60" s="232" t="s">
        <v>3326</v>
      </c>
      <c r="H60" s="1757" t="s">
        <v>3301</v>
      </c>
      <c r="I60" s="1757" t="s">
        <v>3302</v>
      </c>
      <c r="J60" s="244" t="s">
        <v>3303</v>
      </c>
    </row>
    <row r="61" spans="1:10">
      <c r="A61" s="3095"/>
      <c r="B61" s="3096"/>
      <c r="C61" s="3096"/>
      <c r="D61" s="3096"/>
      <c r="E61" s="3097"/>
      <c r="F61" s="3105"/>
      <c r="G61" s="3106"/>
      <c r="H61" s="248">
        <v>3</v>
      </c>
      <c r="I61" s="248">
        <v>2</v>
      </c>
      <c r="J61" s="249">
        <v>2021</v>
      </c>
    </row>
    <row r="62" spans="1:10">
      <c r="A62" s="3098" t="s">
        <v>3304</v>
      </c>
      <c r="B62" s="3099"/>
      <c r="C62" s="3099"/>
      <c r="D62" s="3099"/>
      <c r="E62" s="3110"/>
      <c r="F62" s="250" t="s">
        <v>3305</v>
      </c>
      <c r="G62" s="1753" t="s">
        <v>2047</v>
      </c>
      <c r="H62" s="251" t="s">
        <v>3306</v>
      </c>
      <c r="I62" s="252" t="s">
        <v>2047</v>
      </c>
      <c r="J62" s="253" t="s">
        <v>2047</v>
      </c>
    </row>
    <row r="63" spans="1:10">
      <c r="A63" s="3098" t="s">
        <v>3327</v>
      </c>
      <c r="B63" s="3099"/>
      <c r="C63" s="3099"/>
      <c r="D63" s="3099"/>
      <c r="E63" s="3110"/>
      <c r="F63" s="3105">
        <v>2755591</v>
      </c>
      <c r="G63" s="3106"/>
      <c r="H63" s="3105" t="s">
        <v>125</v>
      </c>
      <c r="I63" s="3105"/>
      <c r="J63" s="3107"/>
    </row>
    <row r="64" spans="1:10">
      <c r="A64" s="254" t="s">
        <v>3309</v>
      </c>
      <c r="B64" s="3105" t="s">
        <v>3310</v>
      </c>
      <c r="C64" s="3105"/>
      <c r="D64" s="3105"/>
      <c r="E64" s="3106"/>
      <c r="F64" s="3108" t="s">
        <v>2012</v>
      </c>
      <c r="G64" s="3109"/>
      <c r="H64" s="3105" t="s">
        <v>3311</v>
      </c>
      <c r="I64" s="3105"/>
      <c r="J64" s="3107"/>
    </row>
    <row r="65" spans="1:10">
      <c r="A65" s="255">
        <v>3</v>
      </c>
      <c r="B65" s="3078" t="s">
        <v>3312</v>
      </c>
      <c r="C65" s="3078"/>
      <c r="D65" s="3078"/>
      <c r="E65" s="3078"/>
      <c r="F65" s="3079">
        <v>1500</v>
      </c>
      <c r="G65" s="3080"/>
      <c r="H65" s="3078">
        <f>A65*F65</f>
        <v>4500</v>
      </c>
      <c r="I65" s="3078"/>
      <c r="J65" s="3081"/>
    </row>
    <row r="66" spans="1:10">
      <c r="A66" s="255" t="s">
        <v>2047</v>
      </c>
      <c r="B66" s="3078" t="s">
        <v>2047</v>
      </c>
      <c r="C66" s="3078"/>
      <c r="D66" s="3078"/>
      <c r="E66" s="3078"/>
      <c r="F66" s="3079" t="s">
        <v>2047</v>
      </c>
      <c r="G66" s="3080"/>
      <c r="H66" s="3078" t="s">
        <v>2047</v>
      </c>
      <c r="I66" s="3078"/>
      <c r="J66" s="3081"/>
    </row>
    <row r="67" spans="1:10">
      <c r="A67" s="255" t="s">
        <v>2047</v>
      </c>
      <c r="B67" s="256" t="s">
        <v>2047</v>
      </c>
      <c r="C67" s="256" t="s">
        <v>2047</v>
      </c>
      <c r="D67" s="256" t="s">
        <v>2047</v>
      </c>
      <c r="E67" s="256" t="s">
        <v>2047</v>
      </c>
      <c r="F67" s="3079" t="s">
        <v>2047</v>
      </c>
      <c r="G67" s="3080"/>
      <c r="H67" s="3078" t="s">
        <v>3313</v>
      </c>
      <c r="I67" s="3078"/>
      <c r="J67" s="3081"/>
    </row>
    <row r="68" spans="1:10">
      <c r="A68" s="245" t="s">
        <v>2047</v>
      </c>
      <c r="B68" s="228" t="s">
        <v>2047</v>
      </c>
      <c r="C68" s="228" t="s">
        <v>2047</v>
      </c>
      <c r="D68" s="228" t="s">
        <v>2047</v>
      </c>
      <c r="E68" s="228" t="s">
        <v>2047</v>
      </c>
      <c r="F68" s="3046" t="s">
        <v>2047</v>
      </c>
      <c r="G68" s="3047"/>
      <c r="H68" s="3048" t="s">
        <v>3313</v>
      </c>
      <c r="I68" s="3048"/>
      <c r="J68" s="3049"/>
    </row>
    <row r="69" spans="1:10">
      <c r="A69" s="245" t="s">
        <v>2047</v>
      </c>
      <c r="B69" s="228" t="s">
        <v>2047</v>
      </c>
      <c r="C69" s="228" t="s">
        <v>2047</v>
      </c>
      <c r="D69" s="228" t="s">
        <v>2047</v>
      </c>
      <c r="E69" s="228" t="s">
        <v>2047</v>
      </c>
      <c r="F69" s="3046" t="s">
        <v>2047</v>
      </c>
      <c r="G69" s="3047"/>
      <c r="H69" s="3048" t="s">
        <v>3313</v>
      </c>
      <c r="I69" s="3048"/>
      <c r="J69" s="3049"/>
    </row>
    <row r="70" spans="1:10">
      <c r="A70" s="245" t="s">
        <v>2047</v>
      </c>
      <c r="B70" s="228" t="s">
        <v>2047</v>
      </c>
      <c r="C70" s="228" t="s">
        <v>2047</v>
      </c>
      <c r="D70" s="228" t="s">
        <v>2047</v>
      </c>
      <c r="E70" s="228" t="s">
        <v>2047</v>
      </c>
      <c r="F70" s="3046" t="s">
        <v>2047</v>
      </c>
      <c r="G70" s="3047"/>
      <c r="H70" s="3048" t="s">
        <v>3313</v>
      </c>
      <c r="I70" s="3048"/>
      <c r="J70" s="3049"/>
    </row>
    <row r="71" spans="1:10">
      <c r="A71" s="245" t="s">
        <v>2047</v>
      </c>
      <c r="B71" s="228" t="s">
        <v>2047</v>
      </c>
      <c r="C71" s="228" t="s">
        <v>2047</v>
      </c>
      <c r="D71" s="228" t="s">
        <v>2047</v>
      </c>
      <c r="E71" s="228" t="s">
        <v>2047</v>
      </c>
      <c r="F71" s="3046" t="s">
        <v>2047</v>
      </c>
      <c r="G71" s="3047"/>
      <c r="H71" s="3048" t="s">
        <v>3313</v>
      </c>
      <c r="I71" s="3048"/>
      <c r="J71" s="3049"/>
    </row>
    <row r="72" spans="1:10">
      <c r="A72" s="245" t="s">
        <v>2047</v>
      </c>
      <c r="B72" s="228" t="s">
        <v>2047</v>
      </c>
      <c r="C72" s="228" t="s">
        <v>2047</v>
      </c>
      <c r="D72" s="228" t="s">
        <v>2047</v>
      </c>
      <c r="E72" s="228" t="s">
        <v>2047</v>
      </c>
      <c r="F72" s="3046" t="s">
        <v>2047</v>
      </c>
      <c r="G72" s="3047"/>
      <c r="H72" s="3048" t="s">
        <v>3313</v>
      </c>
      <c r="I72" s="3048"/>
      <c r="J72" s="3049"/>
    </row>
    <row r="73" spans="1:10">
      <c r="A73" s="245" t="s">
        <v>2047</v>
      </c>
      <c r="B73" s="228" t="s">
        <v>2047</v>
      </c>
      <c r="C73" s="228" t="s">
        <v>2047</v>
      </c>
      <c r="D73" s="228" t="s">
        <v>2047</v>
      </c>
      <c r="E73" s="228" t="s">
        <v>2047</v>
      </c>
      <c r="F73" s="3046" t="s">
        <v>2047</v>
      </c>
      <c r="G73" s="3047"/>
      <c r="H73" s="3048" t="s">
        <v>3313</v>
      </c>
      <c r="I73" s="3048"/>
      <c r="J73" s="3049"/>
    </row>
    <row r="74" spans="1:10">
      <c r="A74" s="1754" t="s">
        <v>2580</v>
      </c>
      <c r="B74" s="227" t="s">
        <v>2047</v>
      </c>
      <c r="C74" s="227" t="s">
        <v>2047</v>
      </c>
      <c r="D74" s="227" t="s">
        <v>2047</v>
      </c>
      <c r="E74" s="3050" t="s">
        <v>3314</v>
      </c>
      <c r="F74" s="3051"/>
      <c r="G74" s="3052">
        <f>H65</f>
        <v>4500</v>
      </c>
      <c r="H74" s="3052"/>
      <c r="I74" s="3053"/>
      <c r="J74" s="246"/>
    </row>
    <row r="75" spans="1:10">
      <c r="A75" s="247" t="s">
        <v>2047</v>
      </c>
      <c r="B75" s="229" t="s">
        <v>2047</v>
      </c>
      <c r="C75" s="229" t="s">
        <v>2047</v>
      </c>
      <c r="D75" s="229" t="s">
        <v>2047</v>
      </c>
      <c r="E75" s="229" t="s">
        <v>2047</v>
      </c>
      <c r="F75" s="230" t="s">
        <v>3315</v>
      </c>
      <c r="G75" s="231" t="s">
        <v>3316</v>
      </c>
      <c r="H75" s="3054" t="s">
        <v>3317</v>
      </c>
      <c r="I75" s="3054"/>
      <c r="J75" s="3055"/>
    </row>
    <row r="76" spans="1:10">
      <c r="A76" s="3056" t="s">
        <v>3318</v>
      </c>
      <c r="B76" s="3057"/>
      <c r="C76" s="3057"/>
      <c r="D76" s="3057"/>
      <c r="E76" s="3058"/>
      <c r="F76" s="3062" t="s">
        <v>1990</v>
      </c>
      <c r="G76" s="3063"/>
      <c r="H76" s="3066">
        <f>G74</f>
        <v>4500</v>
      </c>
      <c r="I76" s="3067"/>
      <c r="J76" s="3068"/>
    </row>
    <row r="77" spans="1:10">
      <c r="A77" s="3059"/>
      <c r="B77" s="3060"/>
      <c r="C77" s="3060"/>
      <c r="D77" s="3060"/>
      <c r="E77" s="3061"/>
      <c r="F77" s="3064"/>
      <c r="G77" s="3065"/>
      <c r="H77" s="3069"/>
      <c r="I77" s="3070"/>
      <c r="J77" s="3071"/>
    </row>
    <row r="78" spans="1:10">
      <c r="A78" s="3072" t="s">
        <v>3319</v>
      </c>
      <c r="B78" s="3073"/>
      <c r="C78" s="3073"/>
      <c r="D78" s="3073"/>
      <c r="E78" s="3073"/>
      <c r="F78" s="3073"/>
      <c r="G78" s="3073"/>
      <c r="H78" s="3073"/>
      <c r="I78" s="3073"/>
      <c r="J78" s="3074"/>
    </row>
    <row r="79" spans="1:10">
      <c r="A79" s="3075"/>
      <c r="B79" s="3076"/>
      <c r="C79" s="3076"/>
      <c r="D79" s="3076"/>
      <c r="E79" s="3076"/>
      <c r="F79" s="3076"/>
      <c r="G79" s="3076"/>
      <c r="H79" s="3076"/>
      <c r="I79" s="3076"/>
      <c r="J79" s="3077"/>
    </row>
    <row r="83" spans="1:10">
      <c r="A83" s="238" t="s">
        <v>2047</v>
      </c>
      <c r="B83" s="239" t="s">
        <v>2047</v>
      </c>
      <c r="C83" s="3082" t="s">
        <v>3292</v>
      </c>
      <c r="D83" s="3082"/>
      <c r="E83" s="3082"/>
      <c r="F83" s="3083"/>
      <c r="G83" s="239" t="s">
        <v>2047</v>
      </c>
      <c r="H83" s="1755" t="s">
        <v>2047</v>
      </c>
      <c r="I83" s="1755" t="s">
        <v>2047</v>
      </c>
      <c r="J83" s="240" t="s">
        <v>2047</v>
      </c>
    </row>
    <row r="84" spans="1:10" ht="15.6">
      <c r="A84" s="241" t="s">
        <v>2047</v>
      </c>
      <c r="B84" s="223"/>
      <c r="C84" s="3084" t="s">
        <v>2045</v>
      </c>
      <c r="D84" s="3084"/>
      <c r="E84" s="3084"/>
      <c r="F84" s="3085"/>
      <c r="G84" s="1756" t="s">
        <v>2047</v>
      </c>
      <c r="H84" s="3086" t="s">
        <v>3328</v>
      </c>
      <c r="I84" s="3086"/>
      <c r="J84" s="242" t="s">
        <v>2047</v>
      </c>
    </row>
    <row r="85" spans="1:10" ht="17.45">
      <c r="A85" s="241" t="s">
        <v>2047</v>
      </c>
      <c r="B85" s="224"/>
      <c r="C85" s="3088" t="s">
        <v>3294</v>
      </c>
      <c r="D85" s="3088"/>
      <c r="E85" s="3088"/>
      <c r="F85" s="3089"/>
      <c r="G85" s="225" t="s">
        <v>3295</v>
      </c>
      <c r="H85" s="3087"/>
      <c r="I85" s="3087"/>
      <c r="J85" s="242" t="s">
        <v>2047</v>
      </c>
    </row>
    <row r="86" spans="1:10">
      <c r="A86" s="241" t="s">
        <v>2047</v>
      </c>
      <c r="B86" s="224" t="s">
        <v>2047</v>
      </c>
      <c r="C86" s="3090" t="s">
        <v>3296</v>
      </c>
      <c r="D86" s="3090"/>
      <c r="E86" s="3090"/>
      <c r="F86" s="3091"/>
      <c r="G86" s="1756" t="s">
        <v>2047</v>
      </c>
      <c r="H86" s="226" t="s">
        <v>2047</v>
      </c>
      <c r="I86" s="226" t="s">
        <v>2047</v>
      </c>
      <c r="J86" s="243" t="s">
        <v>2047</v>
      </c>
    </row>
    <row r="87" spans="1:10" ht="31.9">
      <c r="A87" s="234" t="s">
        <v>3297</v>
      </c>
      <c r="B87" s="237" t="s">
        <v>2047</v>
      </c>
      <c r="C87" s="538" t="s">
        <v>3329</v>
      </c>
      <c r="D87" s="235"/>
      <c r="E87" s="236"/>
      <c r="F87" s="233" t="s">
        <v>3299</v>
      </c>
      <c r="G87" s="232" t="s">
        <v>2047</v>
      </c>
      <c r="H87" s="1757" t="s">
        <v>3301</v>
      </c>
      <c r="I87" s="1757" t="s">
        <v>3302</v>
      </c>
      <c r="J87" s="244" t="s">
        <v>3303</v>
      </c>
    </row>
    <row r="88" spans="1:10">
      <c r="A88" s="3095"/>
      <c r="B88" s="3096"/>
      <c r="C88" s="3096"/>
      <c r="D88" s="3096"/>
      <c r="E88" s="3097"/>
      <c r="F88" s="3105"/>
      <c r="G88" s="3106"/>
      <c r="H88" s="248">
        <v>10</v>
      </c>
      <c r="I88" s="248">
        <v>2</v>
      </c>
      <c r="J88" s="249">
        <v>2021</v>
      </c>
    </row>
    <row r="89" spans="1:10">
      <c r="A89" s="3098" t="s">
        <v>3304</v>
      </c>
      <c r="B89" s="3099"/>
      <c r="C89" s="3099"/>
      <c r="D89" s="3099"/>
      <c r="E89" s="3110"/>
      <c r="F89" s="250" t="s">
        <v>3305</v>
      </c>
      <c r="G89" s="1753" t="s">
        <v>2047</v>
      </c>
      <c r="H89" s="251" t="s">
        <v>3306</v>
      </c>
      <c r="I89" s="252" t="s">
        <v>2047</v>
      </c>
      <c r="J89" s="253" t="s">
        <v>2047</v>
      </c>
    </row>
    <row r="90" spans="1:10">
      <c r="A90" s="3098" t="s">
        <v>3330</v>
      </c>
      <c r="B90" s="3099"/>
      <c r="C90" s="3099"/>
      <c r="D90" s="3099"/>
      <c r="E90" s="3110"/>
      <c r="F90" s="3105">
        <v>4614611</v>
      </c>
      <c r="G90" s="3106"/>
      <c r="H90" s="3105" t="s">
        <v>125</v>
      </c>
      <c r="I90" s="3105"/>
      <c r="J90" s="3107"/>
    </row>
    <row r="91" spans="1:10">
      <c r="A91" s="254" t="s">
        <v>3309</v>
      </c>
      <c r="B91" s="3105" t="s">
        <v>3310</v>
      </c>
      <c r="C91" s="3105"/>
      <c r="D91" s="3105"/>
      <c r="E91" s="3106"/>
      <c r="F91" s="3108" t="s">
        <v>2012</v>
      </c>
      <c r="G91" s="3109"/>
      <c r="H91" s="3105" t="s">
        <v>3311</v>
      </c>
      <c r="I91" s="3105"/>
      <c r="J91" s="3107"/>
    </row>
    <row r="92" spans="1:10">
      <c r="A92" s="255">
        <v>1</v>
      </c>
      <c r="B92" s="3078" t="s">
        <v>3331</v>
      </c>
      <c r="C92" s="3078"/>
      <c r="D92" s="3078"/>
      <c r="E92" s="3078"/>
      <c r="F92" s="3079">
        <v>4500</v>
      </c>
      <c r="G92" s="3080"/>
      <c r="H92" s="3078">
        <v>4500</v>
      </c>
      <c r="I92" s="3078"/>
      <c r="J92" s="3081"/>
    </row>
    <row r="93" spans="1:10">
      <c r="A93" s="255" t="s">
        <v>2047</v>
      </c>
      <c r="B93" s="3078" t="s">
        <v>2047</v>
      </c>
      <c r="C93" s="3078"/>
      <c r="D93" s="3078"/>
      <c r="E93" s="3078"/>
      <c r="F93" s="3079" t="s">
        <v>2047</v>
      </c>
      <c r="G93" s="3080"/>
      <c r="H93" s="3078" t="s">
        <v>2047</v>
      </c>
      <c r="I93" s="3078"/>
      <c r="J93" s="3081"/>
    </row>
    <row r="94" spans="1:10">
      <c r="A94" s="255" t="s">
        <v>2047</v>
      </c>
      <c r="B94" s="256" t="s">
        <v>2047</v>
      </c>
      <c r="C94" s="256" t="s">
        <v>2047</v>
      </c>
      <c r="D94" s="256" t="s">
        <v>2047</v>
      </c>
      <c r="E94" s="256" t="s">
        <v>2047</v>
      </c>
      <c r="F94" s="3079" t="s">
        <v>2047</v>
      </c>
      <c r="G94" s="3080"/>
      <c r="H94" s="3078" t="s">
        <v>3313</v>
      </c>
      <c r="I94" s="3078"/>
      <c r="J94" s="3081"/>
    </row>
    <row r="95" spans="1:10">
      <c r="A95" s="245" t="s">
        <v>2047</v>
      </c>
      <c r="B95" s="228" t="s">
        <v>2047</v>
      </c>
      <c r="C95" s="228" t="s">
        <v>2047</v>
      </c>
      <c r="D95" s="228" t="s">
        <v>2047</v>
      </c>
      <c r="E95" s="228" t="s">
        <v>2047</v>
      </c>
      <c r="F95" s="3046" t="s">
        <v>2047</v>
      </c>
      <c r="G95" s="3047"/>
      <c r="H95" s="3048" t="s">
        <v>3313</v>
      </c>
      <c r="I95" s="3048"/>
      <c r="J95" s="3049"/>
    </row>
    <row r="96" spans="1:10">
      <c r="A96" s="245" t="s">
        <v>2047</v>
      </c>
      <c r="B96" s="228" t="s">
        <v>2047</v>
      </c>
      <c r="C96" s="228" t="s">
        <v>2047</v>
      </c>
      <c r="D96" s="228" t="s">
        <v>2047</v>
      </c>
      <c r="E96" s="228" t="s">
        <v>2047</v>
      </c>
      <c r="F96" s="3046" t="s">
        <v>2047</v>
      </c>
      <c r="G96" s="3047"/>
      <c r="H96" s="3048" t="s">
        <v>3313</v>
      </c>
      <c r="I96" s="3048"/>
      <c r="J96" s="3049"/>
    </row>
    <row r="97" spans="1:10">
      <c r="A97" s="245" t="s">
        <v>2047</v>
      </c>
      <c r="B97" s="228" t="s">
        <v>2047</v>
      </c>
      <c r="C97" s="228" t="s">
        <v>2047</v>
      </c>
      <c r="D97" s="228" t="s">
        <v>2047</v>
      </c>
      <c r="E97" s="228" t="s">
        <v>2047</v>
      </c>
      <c r="F97" s="3046" t="s">
        <v>2047</v>
      </c>
      <c r="G97" s="3047"/>
      <c r="H97" s="3048" t="s">
        <v>3313</v>
      </c>
      <c r="I97" s="3048"/>
      <c r="J97" s="3049"/>
    </row>
    <row r="98" spans="1:10">
      <c r="A98" s="245" t="s">
        <v>2047</v>
      </c>
      <c r="B98" s="228" t="s">
        <v>2047</v>
      </c>
      <c r="C98" s="228" t="s">
        <v>2047</v>
      </c>
      <c r="D98" s="228" t="s">
        <v>2047</v>
      </c>
      <c r="E98" s="228" t="s">
        <v>2047</v>
      </c>
      <c r="F98" s="3046" t="s">
        <v>2047</v>
      </c>
      <c r="G98" s="3047"/>
      <c r="H98" s="3048" t="s">
        <v>3313</v>
      </c>
      <c r="I98" s="3048"/>
      <c r="J98" s="3049"/>
    </row>
    <row r="99" spans="1:10">
      <c r="A99" s="245" t="s">
        <v>2047</v>
      </c>
      <c r="B99" s="228" t="s">
        <v>2047</v>
      </c>
      <c r="C99" s="228" t="s">
        <v>2047</v>
      </c>
      <c r="D99" s="228" t="s">
        <v>2047</v>
      </c>
      <c r="E99" s="228" t="s">
        <v>2047</v>
      </c>
      <c r="F99" s="3046" t="s">
        <v>2047</v>
      </c>
      <c r="G99" s="3047"/>
      <c r="H99" s="3048" t="s">
        <v>3313</v>
      </c>
      <c r="I99" s="3048"/>
      <c r="J99" s="3049"/>
    </row>
    <row r="100" spans="1:10">
      <c r="A100" s="245" t="s">
        <v>2047</v>
      </c>
      <c r="B100" s="228" t="s">
        <v>2047</v>
      </c>
      <c r="C100" s="228" t="s">
        <v>2047</v>
      </c>
      <c r="D100" s="228" t="s">
        <v>2047</v>
      </c>
      <c r="E100" s="228" t="s">
        <v>2047</v>
      </c>
      <c r="F100" s="3046" t="s">
        <v>2047</v>
      </c>
      <c r="G100" s="3047"/>
      <c r="H100" s="3048" t="s">
        <v>3313</v>
      </c>
      <c r="I100" s="3048"/>
      <c r="J100" s="3049"/>
    </row>
    <row r="101" spans="1:10">
      <c r="A101" s="1754" t="s">
        <v>2580</v>
      </c>
      <c r="B101" s="227" t="s">
        <v>2047</v>
      </c>
      <c r="C101" s="227" t="s">
        <v>2047</v>
      </c>
      <c r="D101" s="227" t="s">
        <v>2047</v>
      </c>
      <c r="E101" s="3050" t="s">
        <v>3314</v>
      </c>
      <c r="F101" s="3051"/>
      <c r="G101" s="3052">
        <f>H92</f>
        <v>4500</v>
      </c>
      <c r="H101" s="3052"/>
      <c r="I101" s="3053"/>
      <c r="J101" s="246"/>
    </row>
    <row r="102" spans="1:10">
      <c r="A102" s="247" t="s">
        <v>2047</v>
      </c>
      <c r="B102" s="229" t="s">
        <v>2047</v>
      </c>
      <c r="C102" s="229" t="s">
        <v>2047</v>
      </c>
      <c r="D102" s="229" t="s">
        <v>2047</v>
      </c>
      <c r="E102" s="229" t="s">
        <v>2047</v>
      </c>
      <c r="F102" s="230" t="s">
        <v>3315</v>
      </c>
      <c r="G102" s="231" t="s">
        <v>3316</v>
      </c>
      <c r="H102" s="3054" t="s">
        <v>3317</v>
      </c>
      <c r="I102" s="3054"/>
      <c r="J102" s="3055"/>
    </row>
    <row r="103" spans="1:10">
      <c r="A103" s="3056" t="s">
        <v>3318</v>
      </c>
      <c r="B103" s="3057"/>
      <c r="C103" s="3057"/>
      <c r="D103" s="3057"/>
      <c r="E103" s="3058"/>
      <c r="F103" s="3062" t="s">
        <v>1990</v>
      </c>
      <c r="G103" s="3063"/>
      <c r="H103" s="3066">
        <f>G101</f>
        <v>4500</v>
      </c>
      <c r="I103" s="3067"/>
      <c r="J103" s="3068"/>
    </row>
    <row r="104" spans="1:10">
      <c r="A104" s="3059"/>
      <c r="B104" s="3060"/>
      <c r="C104" s="3060"/>
      <c r="D104" s="3060"/>
      <c r="E104" s="3061"/>
      <c r="F104" s="3064"/>
      <c r="G104" s="3065"/>
      <c r="H104" s="3069"/>
      <c r="I104" s="3070"/>
      <c r="J104" s="3071"/>
    </row>
    <row r="105" spans="1:10">
      <c r="A105" s="3072" t="s">
        <v>3319</v>
      </c>
      <c r="B105" s="3073"/>
      <c r="C105" s="3073"/>
      <c r="D105" s="3073"/>
      <c r="E105" s="3073"/>
      <c r="F105" s="3073"/>
      <c r="G105" s="3073"/>
      <c r="H105" s="3073"/>
      <c r="I105" s="3073"/>
      <c r="J105" s="3074"/>
    </row>
    <row r="106" spans="1:10">
      <c r="A106" s="3075"/>
      <c r="B106" s="3076"/>
      <c r="C106" s="3076"/>
      <c r="D106" s="3076"/>
      <c r="E106" s="3076"/>
      <c r="F106" s="3076"/>
      <c r="G106" s="3076"/>
      <c r="H106" s="3076"/>
      <c r="I106" s="3076"/>
      <c r="J106" s="3077"/>
    </row>
    <row r="110" spans="1:10">
      <c r="A110" s="238" t="s">
        <v>2047</v>
      </c>
      <c r="B110" s="239" t="s">
        <v>2047</v>
      </c>
      <c r="C110" s="3082" t="s">
        <v>3292</v>
      </c>
      <c r="D110" s="3082"/>
      <c r="E110" s="3082"/>
      <c r="F110" s="3083"/>
      <c r="G110" s="239" t="s">
        <v>2047</v>
      </c>
      <c r="H110" s="1755" t="s">
        <v>2047</v>
      </c>
      <c r="I110" s="1755" t="s">
        <v>2047</v>
      </c>
      <c r="J110" s="240" t="s">
        <v>2047</v>
      </c>
    </row>
    <row r="111" spans="1:10" ht="15.6">
      <c r="A111" s="241" t="s">
        <v>2047</v>
      </c>
      <c r="B111" s="223"/>
      <c r="C111" s="3084" t="s">
        <v>2045</v>
      </c>
      <c r="D111" s="3084"/>
      <c r="E111" s="3084"/>
      <c r="F111" s="3085"/>
      <c r="G111" s="1756" t="s">
        <v>2047</v>
      </c>
      <c r="H111" s="3086" t="s">
        <v>3332</v>
      </c>
      <c r="I111" s="3086"/>
      <c r="J111" s="242" t="s">
        <v>2047</v>
      </c>
    </row>
    <row r="112" spans="1:10" ht="17.45">
      <c r="A112" s="241" t="s">
        <v>2047</v>
      </c>
      <c r="B112" s="224"/>
      <c r="C112" s="3088" t="s">
        <v>3294</v>
      </c>
      <c r="D112" s="3088"/>
      <c r="E112" s="3088"/>
      <c r="F112" s="3089"/>
      <c r="G112" s="225" t="s">
        <v>3295</v>
      </c>
      <c r="H112" s="3087"/>
      <c r="I112" s="3087"/>
      <c r="J112" s="242" t="s">
        <v>2047</v>
      </c>
    </row>
    <row r="113" spans="1:10">
      <c r="A113" s="241" t="s">
        <v>2047</v>
      </c>
      <c r="B113" s="224" t="s">
        <v>2047</v>
      </c>
      <c r="C113" s="3090" t="s">
        <v>3296</v>
      </c>
      <c r="D113" s="3090"/>
      <c r="E113" s="3090"/>
      <c r="F113" s="3091"/>
      <c r="G113" s="1756" t="s">
        <v>2047</v>
      </c>
      <c r="H113" s="226" t="s">
        <v>2047</v>
      </c>
      <c r="I113" s="226" t="s">
        <v>2047</v>
      </c>
      <c r="J113" s="243" t="s">
        <v>2047</v>
      </c>
    </row>
    <row r="114" spans="1:10" ht="31.9">
      <c r="A114" s="234" t="s">
        <v>3297</v>
      </c>
      <c r="B114" s="237" t="s">
        <v>2047</v>
      </c>
      <c r="C114" s="538" t="s">
        <v>3329</v>
      </c>
      <c r="D114" s="235"/>
      <c r="E114" s="236"/>
      <c r="F114" s="233" t="s">
        <v>3299</v>
      </c>
      <c r="G114" s="232" t="s">
        <v>2047</v>
      </c>
      <c r="H114" s="1757" t="s">
        <v>3301</v>
      </c>
      <c r="I114" s="1757" t="s">
        <v>3302</v>
      </c>
      <c r="J114" s="244" t="s">
        <v>3303</v>
      </c>
    </row>
    <row r="115" spans="1:10">
      <c r="A115" s="3095"/>
      <c r="B115" s="3096"/>
      <c r="C115" s="3096"/>
      <c r="D115" s="3096"/>
      <c r="E115" s="3097"/>
      <c r="F115" s="3105"/>
      <c r="G115" s="3106"/>
      <c r="H115" s="248">
        <v>20</v>
      </c>
      <c r="I115" s="248">
        <v>2</v>
      </c>
      <c r="J115" s="249">
        <v>2021</v>
      </c>
    </row>
    <row r="116" spans="1:10">
      <c r="A116" s="3098" t="s">
        <v>3304</v>
      </c>
      <c r="B116" s="3099"/>
      <c r="C116" s="3099"/>
      <c r="D116" s="3099"/>
      <c r="E116" s="3110"/>
      <c r="F116" s="250" t="s">
        <v>3305</v>
      </c>
      <c r="G116" s="1753" t="s">
        <v>2047</v>
      </c>
      <c r="H116" s="251" t="s">
        <v>3306</v>
      </c>
      <c r="I116" s="252" t="s">
        <v>2047</v>
      </c>
      <c r="J116" s="253" t="s">
        <v>2047</v>
      </c>
    </row>
    <row r="117" spans="1:10">
      <c r="A117" s="3098" t="s">
        <v>3330</v>
      </c>
      <c r="B117" s="3099"/>
      <c r="C117" s="3099"/>
      <c r="D117" s="3099"/>
      <c r="E117" s="3110"/>
      <c r="F117" s="3105">
        <v>4614611</v>
      </c>
      <c r="G117" s="3106"/>
      <c r="H117" s="3105" t="s">
        <v>125</v>
      </c>
      <c r="I117" s="3105"/>
      <c r="J117" s="3107"/>
    </row>
    <row r="118" spans="1:10">
      <c r="A118" s="254" t="s">
        <v>3309</v>
      </c>
      <c r="B118" s="3105" t="s">
        <v>3310</v>
      </c>
      <c r="C118" s="3105"/>
      <c r="D118" s="3105"/>
      <c r="E118" s="3106"/>
      <c r="F118" s="3108" t="s">
        <v>2012</v>
      </c>
      <c r="G118" s="3109"/>
      <c r="H118" s="3105" t="s">
        <v>3311</v>
      </c>
      <c r="I118" s="3105"/>
      <c r="J118" s="3107"/>
    </row>
    <row r="119" spans="1:10">
      <c r="A119" s="255">
        <v>1</v>
      </c>
      <c r="B119" s="3078" t="s">
        <v>3333</v>
      </c>
      <c r="C119" s="3078"/>
      <c r="D119" s="3078"/>
      <c r="E119" s="3078"/>
      <c r="F119" s="3079">
        <v>4200</v>
      </c>
      <c r="G119" s="3080"/>
      <c r="H119" s="3078">
        <f>F119*A119</f>
        <v>4200</v>
      </c>
      <c r="I119" s="3078"/>
      <c r="J119" s="3081"/>
    </row>
    <row r="120" spans="1:10">
      <c r="A120" s="255" t="s">
        <v>2047</v>
      </c>
      <c r="B120" s="3078" t="s">
        <v>2047</v>
      </c>
      <c r="C120" s="3078"/>
      <c r="D120" s="3078"/>
      <c r="E120" s="3078"/>
      <c r="F120" s="3079" t="s">
        <v>2047</v>
      </c>
      <c r="G120" s="3080"/>
      <c r="H120" s="3078" t="s">
        <v>2047</v>
      </c>
      <c r="I120" s="3078"/>
      <c r="J120" s="3081"/>
    </row>
    <row r="121" spans="1:10">
      <c r="A121" s="255" t="s">
        <v>2047</v>
      </c>
      <c r="B121" s="256" t="s">
        <v>2047</v>
      </c>
      <c r="C121" s="256" t="s">
        <v>2047</v>
      </c>
      <c r="D121" s="256" t="s">
        <v>2047</v>
      </c>
      <c r="E121" s="256" t="s">
        <v>2047</v>
      </c>
      <c r="F121" s="3079" t="s">
        <v>2047</v>
      </c>
      <c r="G121" s="3080"/>
      <c r="H121" s="3078" t="s">
        <v>3313</v>
      </c>
      <c r="I121" s="3078"/>
      <c r="J121" s="3081"/>
    </row>
    <row r="122" spans="1:10">
      <c r="A122" s="245" t="s">
        <v>2047</v>
      </c>
      <c r="B122" s="228" t="s">
        <v>2047</v>
      </c>
      <c r="C122" s="228" t="s">
        <v>2047</v>
      </c>
      <c r="D122" s="228" t="s">
        <v>2047</v>
      </c>
      <c r="E122" s="228" t="s">
        <v>2047</v>
      </c>
      <c r="F122" s="3046" t="s">
        <v>2047</v>
      </c>
      <c r="G122" s="3047"/>
      <c r="H122" s="3048" t="s">
        <v>3313</v>
      </c>
      <c r="I122" s="3048"/>
      <c r="J122" s="3049"/>
    </row>
    <row r="123" spans="1:10">
      <c r="A123" s="245" t="s">
        <v>2047</v>
      </c>
      <c r="B123" s="228" t="s">
        <v>2047</v>
      </c>
      <c r="C123" s="228" t="s">
        <v>2047</v>
      </c>
      <c r="D123" s="228" t="s">
        <v>2047</v>
      </c>
      <c r="E123" s="228" t="s">
        <v>2047</v>
      </c>
      <c r="F123" s="3046" t="s">
        <v>2047</v>
      </c>
      <c r="G123" s="3047"/>
      <c r="H123" s="3048" t="s">
        <v>3313</v>
      </c>
      <c r="I123" s="3048"/>
      <c r="J123" s="3049"/>
    </row>
    <row r="124" spans="1:10">
      <c r="A124" s="245" t="s">
        <v>2047</v>
      </c>
      <c r="B124" s="228" t="s">
        <v>2047</v>
      </c>
      <c r="C124" s="228" t="s">
        <v>2047</v>
      </c>
      <c r="D124" s="228" t="s">
        <v>2047</v>
      </c>
      <c r="E124" s="228" t="s">
        <v>2047</v>
      </c>
      <c r="F124" s="3046" t="s">
        <v>2047</v>
      </c>
      <c r="G124" s="3047"/>
      <c r="H124" s="3048" t="s">
        <v>3313</v>
      </c>
      <c r="I124" s="3048"/>
      <c r="J124" s="3049"/>
    </row>
    <row r="125" spans="1:10">
      <c r="A125" s="245" t="s">
        <v>2047</v>
      </c>
      <c r="B125" s="228" t="s">
        <v>2047</v>
      </c>
      <c r="C125" s="228" t="s">
        <v>2047</v>
      </c>
      <c r="D125" s="228" t="s">
        <v>2047</v>
      </c>
      <c r="E125" s="228" t="s">
        <v>2047</v>
      </c>
      <c r="F125" s="3046" t="s">
        <v>2047</v>
      </c>
      <c r="G125" s="3047"/>
      <c r="H125" s="3048" t="s">
        <v>3313</v>
      </c>
      <c r="I125" s="3048"/>
      <c r="J125" s="3049"/>
    </row>
    <row r="126" spans="1:10">
      <c r="A126" s="245" t="s">
        <v>2047</v>
      </c>
      <c r="B126" s="228" t="s">
        <v>2047</v>
      </c>
      <c r="C126" s="228" t="s">
        <v>2047</v>
      </c>
      <c r="D126" s="228" t="s">
        <v>2047</v>
      </c>
      <c r="E126" s="228" t="s">
        <v>2047</v>
      </c>
      <c r="F126" s="3046" t="s">
        <v>2047</v>
      </c>
      <c r="G126" s="3047"/>
      <c r="H126" s="3048" t="s">
        <v>3313</v>
      </c>
      <c r="I126" s="3048"/>
      <c r="J126" s="3049"/>
    </row>
    <row r="127" spans="1:10">
      <c r="A127" s="245" t="s">
        <v>2047</v>
      </c>
      <c r="B127" s="228" t="s">
        <v>2047</v>
      </c>
      <c r="C127" s="228" t="s">
        <v>2047</v>
      </c>
      <c r="D127" s="228" t="s">
        <v>2047</v>
      </c>
      <c r="E127" s="228" t="s">
        <v>2047</v>
      </c>
      <c r="F127" s="3046" t="s">
        <v>2047</v>
      </c>
      <c r="G127" s="3047"/>
      <c r="H127" s="3048" t="s">
        <v>3313</v>
      </c>
      <c r="I127" s="3048"/>
      <c r="J127" s="3049"/>
    </row>
    <row r="128" spans="1:10">
      <c r="A128" s="1754" t="s">
        <v>2580</v>
      </c>
      <c r="B128" s="227" t="s">
        <v>2047</v>
      </c>
      <c r="C128" s="227" t="s">
        <v>2047</v>
      </c>
      <c r="D128" s="227" t="s">
        <v>2047</v>
      </c>
      <c r="E128" s="3050" t="s">
        <v>3314</v>
      </c>
      <c r="F128" s="3051"/>
      <c r="G128" s="3052">
        <f>H119</f>
        <v>4200</v>
      </c>
      <c r="H128" s="3052"/>
      <c r="I128" s="3053"/>
      <c r="J128" s="246"/>
    </row>
    <row r="129" spans="1:10">
      <c r="A129" s="247" t="s">
        <v>2047</v>
      </c>
      <c r="B129" s="229" t="s">
        <v>2047</v>
      </c>
      <c r="C129" s="229" t="s">
        <v>2047</v>
      </c>
      <c r="D129" s="229" t="s">
        <v>2047</v>
      </c>
      <c r="E129" s="229" t="s">
        <v>2047</v>
      </c>
      <c r="F129" s="230" t="s">
        <v>3315</v>
      </c>
      <c r="G129" s="231" t="s">
        <v>3316</v>
      </c>
      <c r="H129" s="3054" t="s">
        <v>3317</v>
      </c>
      <c r="I129" s="3054"/>
      <c r="J129" s="3055"/>
    </row>
    <row r="130" spans="1:10">
      <c r="A130" s="3056" t="s">
        <v>3318</v>
      </c>
      <c r="B130" s="3057"/>
      <c r="C130" s="3057"/>
      <c r="D130" s="3057"/>
      <c r="E130" s="3058"/>
      <c r="F130" s="3062" t="s">
        <v>1990</v>
      </c>
      <c r="G130" s="3063"/>
      <c r="H130" s="3066">
        <f>G128</f>
        <v>4200</v>
      </c>
      <c r="I130" s="3067"/>
      <c r="J130" s="3068"/>
    </row>
    <row r="131" spans="1:10">
      <c r="A131" s="3059"/>
      <c r="B131" s="3060"/>
      <c r="C131" s="3060"/>
      <c r="D131" s="3060"/>
      <c r="E131" s="3061"/>
      <c r="F131" s="3064"/>
      <c r="G131" s="3065"/>
      <c r="H131" s="3069"/>
      <c r="I131" s="3070"/>
      <c r="J131" s="3071"/>
    </row>
    <row r="132" spans="1:10">
      <c r="A132" s="3072" t="s">
        <v>3319</v>
      </c>
      <c r="B132" s="3073"/>
      <c r="C132" s="3073"/>
      <c r="D132" s="3073"/>
      <c r="E132" s="3073"/>
      <c r="F132" s="3073"/>
      <c r="G132" s="3073"/>
      <c r="H132" s="3073"/>
      <c r="I132" s="3073"/>
      <c r="J132" s="3074"/>
    </row>
    <row r="133" spans="1:10">
      <c r="A133" s="3075"/>
      <c r="B133" s="3076"/>
      <c r="C133" s="3076"/>
      <c r="D133" s="3076"/>
      <c r="E133" s="3076"/>
      <c r="F133" s="3076"/>
      <c r="G133" s="3076"/>
      <c r="H133" s="3076"/>
      <c r="I133" s="3076"/>
      <c r="J133" s="3077"/>
    </row>
    <row r="136" spans="1:10">
      <c r="A136" s="238" t="s">
        <v>2047</v>
      </c>
      <c r="B136" s="239" t="s">
        <v>2047</v>
      </c>
      <c r="C136" s="3082" t="s">
        <v>3292</v>
      </c>
      <c r="D136" s="3082"/>
      <c r="E136" s="3082"/>
      <c r="F136" s="3083"/>
      <c r="G136" s="239" t="s">
        <v>2047</v>
      </c>
      <c r="H136" s="1755" t="s">
        <v>2047</v>
      </c>
      <c r="I136" s="1755" t="s">
        <v>2047</v>
      </c>
      <c r="J136" s="240" t="s">
        <v>2047</v>
      </c>
    </row>
    <row r="137" spans="1:10" ht="15.6">
      <c r="A137" s="241" t="s">
        <v>2047</v>
      </c>
      <c r="B137" s="223"/>
      <c r="C137" s="3084" t="s">
        <v>2045</v>
      </c>
      <c r="D137" s="3084"/>
      <c r="E137" s="3084"/>
      <c r="F137" s="3085"/>
      <c r="G137" s="1756" t="s">
        <v>2047</v>
      </c>
      <c r="H137" s="3086" t="s">
        <v>3334</v>
      </c>
      <c r="I137" s="3086"/>
      <c r="J137" s="242" t="s">
        <v>2047</v>
      </c>
    </row>
    <row r="138" spans="1:10" ht="17.45">
      <c r="A138" s="241" t="s">
        <v>2047</v>
      </c>
      <c r="B138" s="224"/>
      <c r="C138" s="3088" t="s">
        <v>3294</v>
      </c>
      <c r="D138" s="3088"/>
      <c r="E138" s="3088"/>
      <c r="F138" s="3089"/>
      <c r="G138" s="225" t="s">
        <v>3295</v>
      </c>
      <c r="H138" s="3087"/>
      <c r="I138" s="3087"/>
      <c r="J138" s="242" t="s">
        <v>2047</v>
      </c>
    </row>
    <row r="139" spans="1:10">
      <c r="A139" s="241" t="s">
        <v>2047</v>
      </c>
      <c r="B139" s="224" t="s">
        <v>2047</v>
      </c>
      <c r="C139" s="3090" t="s">
        <v>3296</v>
      </c>
      <c r="D139" s="3090"/>
      <c r="E139" s="3090"/>
      <c r="F139" s="3091"/>
      <c r="G139" s="1756" t="s">
        <v>2047</v>
      </c>
      <c r="H139" s="226" t="s">
        <v>2047</v>
      </c>
      <c r="I139" s="226" t="s">
        <v>2047</v>
      </c>
      <c r="J139" s="243" t="s">
        <v>2047</v>
      </c>
    </row>
    <row r="140" spans="1:10" ht="33.75" customHeight="1">
      <c r="A140" s="234" t="s">
        <v>3297</v>
      </c>
      <c r="B140" s="3092" t="s">
        <v>3335</v>
      </c>
      <c r="C140" s="3093"/>
      <c r="D140" s="3093"/>
      <c r="E140" s="3094"/>
      <c r="F140" s="233" t="s">
        <v>3299</v>
      </c>
      <c r="G140" s="232">
        <v>1017271064</v>
      </c>
      <c r="H140" s="1757" t="s">
        <v>3301</v>
      </c>
      <c r="I140" s="1757" t="s">
        <v>3302</v>
      </c>
      <c r="J140" s="244" t="s">
        <v>3303</v>
      </c>
    </row>
    <row r="141" spans="1:10">
      <c r="A141" s="3095"/>
      <c r="B141" s="3096"/>
      <c r="C141" s="3096"/>
      <c r="D141" s="3096"/>
      <c r="E141" s="3097"/>
      <c r="F141" s="3105"/>
      <c r="G141" s="3106"/>
      <c r="H141" s="248">
        <v>25</v>
      </c>
      <c r="I141" s="248">
        <v>2</v>
      </c>
      <c r="J141" s="249">
        <v>2021</v>
      </c>
    </row>
    <row r="142" spans="1:10">
      <c r="A142" s="3098" t="s">
        <v>3304</v>
      </c>
      <c r="B142" s="3099"/>
      <c r="C142" s="3099"/>
      <c r="D142" s="3099"/>
      <c r="E142" s="3110"/>
      <c r="F142" s="250" t="s">
        <v>3305</v>
      </c>
      <c r="G142" s="1753" t="s">
        <v>2047</v>
      </c>
      <c r="H142" s="251" t="s">
        <v>3306</v>
      </c>
      <c r="I142" s="252" t="s">
        <v>2047</v>
      </c>
      <c r="J142" s="253" t="s">
        <v>2047</v>
      </c>
    </row>
    <row r="143" spans="1:10">
      <c r="A143" s="3098" t="s">
        <v>3336</v>
      </c>
      <c r="B143" s="3099"/>
      <c r="C143" s="3099"/>
      <c r="D143" s="3099"/>
      <c r="E143" s="3110"/>
      <c r="F143" s="3105">
        <v>3197024967</v>
      </c>
      <c r="G143" s="3106"/>
      <c r="H143" s="3105" t="s">
        <v>125</v>
      </c>
      <c r="I143" s="3105"/>
      <c r="J143" s="3107"/>
    </row>
    <row r="144" spans="1:10">
      <c r="A144" s="254" t="s">
        <v>3309</v>
      </c>
      <c r="B144" s="3105" t="s">
        <v>3310</v>
      </c>
      <c r="C144" s="3105"/>
      <c r="D144" s="3105"/>
      <c r="E144" s="3106"/>
      <c r="F144" s="3108" t="s">
        <v>2012</v>
      </c>
      <c r="G144" s="3109"/>
      <c r="H144" s="3105" t="s">
        <v>3311</v>
      </c>
      <c r="I144" s="3105"/>
      <c r="J144" s="3107"/>
    </row>
    <row r="145" spans="1:10">
      <c r="A145" s="255">
        <v>1</v>
      </c>
      <c r="B145" s="3078" t="s">
        <v>3337</v>
      </c>
      <c r="C145" s="3078"/>
      <c r="D145" s="3078"/>
      <c r="E145" s="3078"/>
      <c r="F145" s="3079">
        <v>25000</v>
      </c>
      <c r="G145" s="3080"/>
      <c r="H145" s="3078">
        <f>F145*A145</f>
        <v>25000</v>
      </c>
      <c r="I145" s="3078"/>
      <c r="J145" s="3081"/>
    </row>
    <row r="146" spans="1:10">
      <c r="A146" s="255" t="s">
        <v>2047</v>
      </c>
      <c r="B146" s="3078" t="s">
        <v>2047</v>
      </c>
      <c r="C146" s="3078"/>
      <c r="D146" s="3078"/>
      <c r="E146" s="3078"/>
      <c r="F146" s="3079" t="s">
        <v>2047</v>
      </c>
      <c r="G146" s="3080"/>
      <c r="H146" s="3078" t="s">
        <v>2047</v>
      </c>
      <c r="I146" s="3078"/>
      <c r="J146" s="3081"/>
    </row>
    <row r="147" spans="1:10">
      <c r="A147" s="255" t="s">
        <v>2047</v>
      </c>
      <c r="B147" s="256" t="s">
        <v>2047</v>
      </c>
      <c r="C147" s="256" t="s">
        <v>2047</v>
      </c>
      <c r="D147" s="256" t="s">
        <v>2047</v>
      </c>
      <c r="E147" s="256" t="s">
        <v>2047</v>
      </c>
      <c r="F147" s="3079" t="s">
        <v>2047</v>
      </c>
      <c r="G147" s="3080"/>
      <c r="H147" s="3078" t="s">
        <v>3313</v>
      </c>
      <c r="I147" s="3078"/>
      <c r="J147" s="3081"/>
    </row>
    <row r="148" spans="1:10">
      <c r="A148" s="245" t="s">
        <v>2047</v>
      </c>
      <c r="B148" s="228" t="s">
        <v>2047</v>
      </c>
      <c r="C148" s="228" t="s">
        <v>2047</v>
      </c>
      <c r="D148" s="228" t="s">
        <v>2047</v>
      </c>
      <c r="E148" s="228" t="s">
        <v>2047</v>
      </c>
      <c r="F148" s="3046" t="s">
        <v>2047</v>
      </c>
      <c r="G148" s="3047"/>
      <c r="H148" s="3048" t="s">
        <v>3313</v>
      </c>
      <c r="I148" s="3048"/>
      <c r="J148" s="3049"/>
    </row>
    <row r="149" spans="1:10">
      <c r="A149" s="245" t="s">
        <v>2047</v>
      </c>
      <c r="B149" s="228" t="s">
        <v>2047</v>
      </c>
      <c r="C149" s="228" t="s">
        <v>2047</v>
      </c>
      <c r="D149" s="228" t="s">
        <v>2047</v>
      </c>
      <c r="E149" s="228" t="s">
        <v>2047</v>
      </c>
      <c r="F149" s="3046" t="s">
        <v>2047</v>
      </c>
      <c r="G149" s="3047"/>
      <c r="H149" s="3048" t="s">
        <v>3313</v>
      </c>
      <c r="I149" s="3048"/>
      <c r="J149" s="3049"/>
    </row>
    <row r="150" spans="1:10">
      <c r="A150" s="245" t="s">
        <v>2047</v>
      </c>
      <c r="B150" s="228" t="s">
        <v>2047</v>
      </c>
      <c r="C150" s="228" t="s">
        <v>2047</v>
      </c>
      <c r="D150" s="228" t="s">
        <v>2047</v>
      </c>
      <c r="E150" s="228" t="s">
        <v>2047</v>
      </c>
      <c r="F150" s="3046" t="s">
        <v>2047</v>
      </c>
      <c r="G150" s="3047"/>
      <c r="H150" s="3048" t="s">
        <v>3313</v>
      </c>
      <c r="I150" s="3048"/>
      <c r="J150" s="3049"/>
    </row>
    <row r="151" spans="1:10">
      <c r="A151" s="245" t="s">
        <v>2047</v>
      </c>
      <c r="B151" s="228" t="s">
        <v>2047</v>
      </c>
      <c r="C151" s="228" t="s">
        <v>2047</v>
      </c>
      <c r="D151" s="228" t="s">
        <v>2047</v>
      </c>
      <c r="E151" s="228" t="s">
        <v>2047</v>
      </c>
      <c r="F151" s="3046" t="s">
        <v>2047</v>
      </c>
      <c r="G151" s="3047"/>
      <c r="H151" s="3048" t="s">
        <v>3313</v>
      </c>
      <c r="I151" s="3048"/>
      <c r="J151" s="3049"/>
    </row>
    <row r="152" spans="1:10">
      <c r="A152" s="245" t="s">
        <v>2047</v>
      </c>
      <c r="B152" s="228" t="s">
        <v>2047</v>
      </c>
      <c r="C152" s="228" t="s">
        <v>2047</v>
      </c>
      <c r="D152" s="228" t="s">
        <v>2047</v>
      </c>
      <c r="E152" s="228" t="s">
        <v>2047</v>
      </c>
      <c r="F152" s="3046" t="s">
        <v>2047</v>
      </c>
      <c r="G152" s="3047"/>
      <c r="H152" s="3048" t="s">
        <v>3313</v>
      </c>
      <c r="I152" s="3048"/>
      <c r="J152" s="3049"/>
    </row>
    <row r="153" spans="1:10">
      <c r="A153" s="245" t="s">
        <v>2047</v>
      </c>
      <c r="B153" s="228" t="s">
        <v>2047</v>
      </c>
      <c r="C153" s="228" t="s">
        <v>2047</v>
      </c>
      <c r="D153" s="228" t="s">
        <v>2047</v>
      </c>
      <c r="E153" s="228" t="s">
        <v>2047</v>
      </c>
      <c r="F153" s="3046" t="s">
        <v>2047</v>
      </c>
      <c r="G153" s="3047"/>
      <c r="H153" s="3048" t="s">
        <v>3313</v>
      </c>
      <c r="I153" s="3048"/>
      <c r="J153" s="3049"/>
    </row>
    <row r="154" spans="1:10">
      <c r="A154" s="1754" t="s">
        <v>2580</v>
      </c>
      <c r="B154" s="227" t="s">
        <v>2047</v>
      </c>
      <c r="C154" s="227" t="s">
        <v>2047</v>
      </c>
      <c r="D154" s="227" t="s">
        <v>2047</v>
      </c>
      <c r="E154" s="3050" t="s">
        <v>3314</v>
      </c>
      <c r="F154" s="3051"/>
      <c r="G154" s="3052">
        <f>H145</f>
        <v>25000</v>
      </c>
      <c r="H154" s="3052"/>
      <c r="I154" s="3053"/>
      <c r="J154" s="246"/>
    </row>
    <row r="155" spans="1:10">
      <c r="A155" s="247" t="s">
        <v>2047</v>
      </c>
      <c r="B155" s="229" t="s">
        <v>2047</v>
      </c>
      <c r="C155" s="229" t="s">
        <v>2047</v>
      </c>
      <c r="D155" s="229" t="s">
        <v>2047</v>
      </c>
      <c r="E155" s="229" t="s">
        <v>2047</v>
      </c>
      <c r="F155" s="230" t="s">
        <v>3315</v>
      </c>
      <c r="G155" s="231" t="s">
        <v>3316</v>
      </c>
      <c r="H155" s="3054" t="s">
        <v>3317</v>
      </c>
      <c r="I155" s="3054"/>
      <c r="J155" s="3055"/>
    </row>
    <row r="156" spans="1:10">
      <c r="A156" s="3056" t="s">
        <v>3318</v>
      </c>
      <c r="B156" s="3057"/>
      <c r="C156" s="3057"/>
      <c r="D156" s="3057"/>
      <c r="E156" s="3058"/>
      <c r="F156" s="3062" t="s">
        <v>1990</v>
      </c>
      <c r="G156" s="3063"/>
      <c r="H156" s="3066">
        <f>G154</f>
        <v>25000</v>
      </c>
      <c r="I156" s="3067"/>
      <c r="J156" s="3068"/>
    </row>
    <row r="157" spans="1:10">
      <c r="A157" s="3059"/>
      <c r="B157" s="3060"/>
      <c r="C157" s="3060"/>
      <c r="D157" s="3060"/>
      <c r="E157" s="3061"/>
      <c r="F157" s="3064"/>
      <c r="G157" s="3065"/>
      <c r="H157" s="3069"/>
      <c r="I157" s="3070"/>
      <c r="J157" s="3071"/>
    </row>
    <row r="158" spans="1:10">
      <c r="A158" s="3072" t="s">
        <v>3319</v>
      </c>
      <c r="B158" s="3073"/>
      <c r="C158" s="3073"/>
      <c r="D158" s="3073"/>
      <c r="E158" s="3073"/>
      <c r="F158" s="3073"/>
      <c r="G158" s="3073"/>
      <c r="H158" s="3073"/>
      <c r="I158" s="3073"/>
      <c r="J158" s="3074"/>
    </row>
    <row r="159" spans="1:10">
      <c r="A159" s="3075"/>
      <c r="B159" s="3076"/>
      <c r="C159" s="3076"/>
      <c r="D159" s="3076"/>
      <c r="E159" s="3076"/>
      <c r="F159" s="3076"/>
      <c r="G159" s="3076"/>
      <c r="H159" s="3076"/>
      <c r="I159" s="3076"/>
      <c r="J159" s="3077"/>
    </row>
    <row r="160" spans="1:10">
      <c r="A160" s="587"/>
      <c r="B160" s="587"/>
      <c r="C160" s="587"/>
      <c r="D160" s="587"/>
      <c r="E160" s="587"/>
      <c r="F160" s="587"/>
      <c r="G160" s="587"/>
      <c r="H160" s="587"/>
      <c r="I160" s="587"/>
      <c r="J160" s="587"/>
    </row>
    <row r="162" spans="1:10">
      <c r="A162" s="238" t="s">
        <v>2047</v>
      </c>
      <c r="B162" s="239" t="s">
        <v>2047</v>
      </c>
      <c r="C162" s="3082" t="s">
        <v>3292</v>
      </c>
      <c r="D162" s="3082"/>
      <c r="E162" s="3082"/>
      <c r="F162" s="3083"/>
      <c r="G162" s="239" t="s">
        <v>2047</v>
      </c>
      <c r="H162" s="1755" t="s">
        <v>2047</v>
      </c>
      <c r="I162" s="1755" t="s">
        <v>2047</v>
      </c>
      <c r="J162" s="240" t="s">
        <v>2047</v>
      </c>
    </row>
    <row r="163" spans="1:10" ht="15.6">
      <c r="A163" s="241" t="s">
        <v>2047</v>
      </c>
      <c r="B163" s="223"/>
      <c r="C163" s="3084" t="s">
        <v>2045</v>
      </c>
      <c r="D163" s="3084"/>
      <c r="E163" s="3084"/>
      <c r="F163" s="3085"/>
      <c r="G163" s="1756" t="s">
        <v>2047</v>
      </c>
      <c r="H163" s="3086" t="s">
        <v>3338</v>
      </c>
      <c r="I163" s="3086"/>
      <c r="J163" s="242" t="s">
        <v>2047</v>
      </c>
    </row>
    <row r="164" spans="1:10" ht="17.45">
      <c r="A164" s="241" t="s">
        <v>2047</v>
      </c>
      <c r="B164" s="224"/>
      <c r="C164" s="3088" t="s">
        <v>3294</v>
      </c>
      <c r="D164" s="3088"/>
      <c r="E164" s="3088"/>
      <c r="F164" s="3089"/>
      <c r="G164" s="225" t="s">
        <v>3295</v>
      </c>
      <c r="H164" s="3087"/>
      <c r="I164" s="3087"/>
      <c r="J164" s="242" t="s">
        <v>2047</v>
      </c>
    </row>
    <row r="165" spans="1:10">
      <c r="A165" s="241" t="s">
        <v>2047</v>
      </c>
      <c r="B165" s="224" t="s">
        <v>2047</v>
      </c>
      <c r="C165" s="3090" t="s">
        <v>3296</v>
      </c>
      <c r="D165" s="3090"/>
      <c r="E165" s="3090"/>
      <c r="F165" s="3091"/>
      <c r="G165" s="1756" t="s">
        <v>2047</v>
      </c>
      <c r="H165" s="226" t="s">
        <v>2047</v>
      </c>
      <c r="I165" s="226" t="s">
        <v>2047</v>
      </c>
      <c r="J165" s="243" t="s">
        <v>2047</v>
      </c>
    </row>
    <row r="166" spans="1:10" ht="31.9">
      <c r="A166" s="234" t="s">
        <v>3297</v>
      </c>
      <c r="B166" s="3092" t="s">
        <v>3339</v>
      </c>
      <c r="C166" s="3093"/>
      <c r="D166" s="3093"/>
      <c r="E166" s="3094"/>
      <c r="F166" s="233" t="s">
        <v>3299</v>
      </c>
      <c r="G166" s="232" t="s">
        <v>3340</v>
      </c>
      <c r="H166" s="1757" t="s">
        <v>3301</v>
      </c>
      <c r="I166" s="1757" t="s">
        <v>3302</v>
      </c>
      <c r="J166" s="244" t="s">
        <v>3303</v>
      </c>
    </row>
    <row r="167" spans="1:10">
      <c r="A167" s="3095"/>
      <c r="B167" s="3096"/>
      <c r="C167" s="3096"/>
      <c r="D167" s="3096"/>
      <c r="E167" s="3097"/>
      <c r="F167" s="3105"/>
      <c r="G167" s="3106"/>
      <c r="H167" s="248">
        <v>1</v>
      </c>
      <c r="I167" s="248">
        <v>3</v>
      </c>
      <c r="J167" s="249">
        <v>2021</v>
      </c>
    </row>
    <row r="168" spans="1:10">
      <c r="A168" s="3098" t="s">
        <v>3304</v>
      </c>
      <c r="B168" s="3099"/>
      <c r="C168" s="3099"/>
      <c r="D168" s="3099"/>
      <c r="E168" s="3110"/>
      <c r="F168" s="250" t="s">
        <v>3305</v>
      </c>
      <c r="G168" s="1753" t="s">
        <v>2047</v>
      </c>
      <c r="H168" s="251" t="s">
        <v>3306</v>
      </c>
      <c r="I168" s="252" t="s">
        <v>2047</v>
      </c>
      <c r="J168" s="253" t="s">
        <v>2047</v>
      </c>
    </row>
    <row r="169" spans="1:10">
      <c r="A169" s="3098" t="s">
        <v>3341</v>
      </c>
      <c r="B169" s="3099"/>
      <c r="C169" s="3099"/>
      <c r="D169" s="3099"/>
      <c r="E169" s="3110"/>
      <c r="F169" s="3105">
        <v>4641136</v>
      </c>
      <c r="G169" s="3106"/>
      <c r="H169" s="3105" t="s">
        <v>125</v>
      </c>
      <c r="I169" s="3105"/>
      <c r="J169" s="3107"/>
    </row>
    <row r="170" spans="1:10">
      <c r="A170" s="254" t="s">
        <v>3309</v>
      </c>
      <c r="B170" s="3105" t="s">
        <v>3310</v>
      </c>
      <c r="C170" s="3105"/>
      <c r="D170" s="3105"/>
      <c r="E170" s="3106"/>
      <c r="F170" s="3108" t="s">
        <v>2012</v>
      </c>
      <c r="G170" s="3109"/>
      <c r="H170" s="3105" t="s">
        <v>3311</v>
      </c>
      <c r="I170" s="3105"/>
      <c r="J170" s="3107"/>
    </row>
    <row r="171" spans="1:10">
      <c r="A171" s="255">
        <v>3</v>
      </c>
      <c r="B171" s="3078" t="s">
        <v>3342</v>
      </c>
      <c r="C171" s="3078"/>
      <c r="D171" s="3078"/>
      <c r="E171" s="3078"/>
      <c r="F171" s="3079">
        <v>2000</v>
      </c>
      <c r="G171" s="3080"/>
      <c r="H171" s="3078">
        <f>F171*A171</f>
        <v>6000</v>
      </c>
      <c r="I171" s="3078"/>
      <c r="J171" s="3081"/>
    </row>
    <row r="172" spans="1:10">
      <c r="A172" s="255" t="s">
        <v>2047</v>
      </c>
      <c r="B172" s="3078" t="s">
        <v>2047</v>
      </c>
      <c r="C172" s="3078"/>
      <c r="D172" s="3078"/>
      <c r="E172" s="3078"/>
      <c r="F172" s="3079" t="s">
        <v>2047</v>
      </c>
      <c r="G172" s="3080"/>
      <c r="H172" s="3078" t="s">
        <v>2047</v>
      </c>
      <c r="I172" s="3078"/>
      <c r="J172" s="3081"/>
    </row>
    <row r="173" spans="1:10">
      <c r="A173" s="255" t="s">
        <v>2047</v>
      </c>
      <c r="B173" s="256" t="s">
        <v>2047</v>
      </c>
      <c r="C173" s="256" t="s">
        <v>2047</v>
      </c>
      <c r="D173" s="256" t="s">
        <v>2047</v>
      </c>
      <c r="E173" s="256" t="s">
        <v>2047</v>
      </c>
      <c r="F173" s="3079" t="s">
        <v>2047</v>
      </c>
      <c r="G173" s="3080"/>
      <c r="H173" s="3078" t="s">
        <v>3313</v>
      </c>
      <c r="I173" s="3078"/>
      <c r="J173" s="3081"/>
    </row>
    <row r="174" spans="1:10">
      <c r="A174" s="245" t="s">
        <v>2047</v>
      </c>
      <c r="B174" s="228" t="s">
        <v>2047</v>
      </c>
      <c r="C174" s="228" t="s">
        <v>2047</v>
      </c>
      <c r="D174" s="228" t="s">
        <v>2047</v>
      </c>
      <c r="E174" s="228" t="s">
        <v>2047</v>
      </c>
      <c r="F174" s="3046" t="s">
        <v>2047</v>
      </c>
      <c r="G174" s="3047"/>
      <c r="H174" s="3048" t="s">
        <v>3313</v>
      </c>
      <c r="I174" s="3048"/>
      <c r="J174" s="3049"/>
    </row>
    <row r="175" spans="1:10">
      <c r="A175" s="245" t="s">
        <v>2047</v>
      </c>
      <c r="B175" s="228" t="s">
        <v>2047</v>
      </c>
      <c r="C175" s="228" t="s">
        <v>2047</v>
      </c>
      <c r="D175" s="228" t="s">
        <v>2047</v>
      </c>
      <c r="E175" s="228" t="s">
        <v>2047</v>
      </c>
      <c r="F175" s="3046" t="s">
        <v>2047</v>
      </c>
      <c r="G175" s="3047"/>
      <c r="H175" s="3048" t="s">
        <v>3313</v>
      </c>
      <c r="I175" s="3048"/>
      <c r="J175" s="3049"/>
    </row>
    <row r="176" spans="1:10">
      <c r="A176" s="245" t="s">
        <v>2047</v>
      </c>
      <c r="B176" s="228" t="s">
        <v>2047</v>
      </c>
      <c r="C176" s="228" t="s">
        <v>2047</v>
      </c>
      <c r="D176" s="228" t="s">
        <v>2047</v>
      </c>
      <c r="E176" s="228" t="s">
        <v>2047</v>
      </c>
      <c r="F176" s="3046" t="s">
        <v>2047</v>
      </c>
      <c r="G176" s="3047"/>
      <c r="H176" s="3048" t="s">
        <v>3313</v>
      </c>
      <c r="I176" s="3048"/>
      <c r="J176" s="3049"/>
    </row>
    <row r="177" spans="1:10">
      <c r="A177" s="245" t="s">
        <v>2047</v>
      </c>
      <c r="B177" s="228" t="s">
        <v>2047</v>
      </c>
      <c r="C177" s="228" t="s">
        <v>2047</v>
      </c>
      <c r="D177" s="228" t="s">
        <v>2047</v>
      </c>
      <c r="E177" s="228" t="s">
        <v>2047</v>
      </c>
      <c r="F177" s="3046" t="s">
        <v>2047</v>
      </c>
      <c r="G177" s="3047"/>
      <c r="H177" s="3048" t="s">
        <v>3313</v>
      </c>
      <c r="I177" s="3048"/>
      <c r="J177" s="3049"/>
    </row>
    <row r="178" spans="1:10">
      <c r="A178" s="245" t="s">
        <v>2047</v>
      </c>
      <c r="B178" s="228" t="s">
        <v>2047</v>
      </c>
      <c r="C178" s="228" t="s">
        <v>2047</v>
      </c>
      <c r="D178" s="228" t="s">
        <v>2047</v>
      </c>
      <c r="E178" s="228" t="s">
        <v>2047</v>
      </c>
      <c r="F178" s="3046" t="s">
        <v>2047</v>
      </c>
      <c r="G178" s="3047"/>
      <c r="H178" s="3048" t="s">
        <v>3313</v>
      </c>
      <c r="I178" s="3048"/>
      <c r="J178" s="3049"/>
    </row>
    <row r="179" spans="1:10">
      <c r="A179" s="245" t="s">
        <v>2047</v>
      </c>
      <c r="B179" s="228" t="s">
        <v>2047</v>
      </c>
      <c r="C179" s="228" t="s">
        <v>2047</v>
      </c>
      <c r="D179" s="228" t="s">
        <v>2047</v>
      </c>
      <c r="E179" s="228" t="s">
        <v>2047</v>
      </c>
      <c r="F179" s="3046" t="s">
        <v>2047</v>
      </c>
      <c r="G179" s="3047"/>
      <c r="H179" s="3048" t="s">
        <v>3313</v>
      </c>
      <c r="I179" s="3048"/>
      <c r="J179" s="3049"/>
    </row>
    <row r="180" spans="1:10">
      <c r="A180" s="1754" t="s">
        <v>2580</v>
      </c>
      <c r="B180" s="227" t="s">
        <v>2047</v>
      </c>
      <c r="C180" s="227" t="s">
        <v>2047</v>
      </c>
      <c r="D180" s="227" t="s">
        <v>2047</v>
      </c>
      <c r="E180" s="3050" t="s">
        <v>3314</v>
      </c>
      <c r="F180" s="3051"/>
      <c r="G180" s="3052">
        <f>H171</f>
        <v>6000</v>
      </c>
      <c r="H180" s="3052"/>
      <c r="I180" s="3053"/>
      <c r="J180" s="246"/>
    </row>
    <row r="181" spans="1:10">
      <c r="A181" s="247" t="s">
        <v>2047</v>
      </c>
      <c r="B181" s="229" t="s">
        <v>2047</v>
      </c>
      <c r="C181" s="229" t="s">
        <v>2047</v>
      </c>
      <c r="D181" s="229" t="s">
        <v>2047</v>
      </c>
      <c r="E181" s="229" t="s">
        <v>2047</v>
      </c>
      <c r="F181" s="230" t="s">
        <v>3315</v>
      </c>
      <c r="G181" s="231" t="s">
        <v>3316</v>
      </c>
      <c r="H181" s="3054" t="s">
        <v>3317</v>
      </c>
      <c r="I181" s="3054"/>
      <c r="J181" s="3055"/>
    </row>
    <row r="182" spans="1:10">
      <c r="A182" s="3056" t="s">
        <v>3318</v>
      </c>
      <c r="B182" s="3057"/>
      <c r="C182" s="3057"/>
      <c r="D182" s="3057"/>
      <c r="E182" s="3058"/>
      <c r="F182" s="3062" t="s">
        <v>1990</v>
      </c>
      <c r="G182" s="3063"/>
      <c r="H182" s="3066">
        <f>G180</f>
        <v>6000</v>
      </c>
      <c r="I182" s="3067"/>
      <c r="J182" s="3068"/>
    </row>
    <row r="183" spans="1:10">
      <c r="A183" s="3059"/>
      <c r="B183" s="3060"/>
      <c r="C183" s="3060"/>
      <c r="D183" s="3060"/>
      <c r="E183" s="3061"/>
      <c r="F183" s="3064"/>
      <c r="G183" s="3065"/>
      <c r="H183" s="3069"/>
      <c r="I183" s="3070"/>
      <c r="J183" s="3071"/>
    </row>
    <row r="184" spans="1:10">
      <c r="A184" s="3072" t="s">
        <v>3319</v>
      </c>
      <c r="B184" s="3073"/>
      <c r="C184" s="3073"/>
      <c r="D184" s="3073"/>
      <c r="E184" s="3073"/>
      <c r="F184" s="3073"/>
      <c r="G184" s="3073"/>
      <c r="H184" s="3073"/>
      <c r="I184" s="3073"/>
      <c r="J184" s="3074"/>
    </row>
    <row r="185" spans="1:10">
      <c r="A185" s="3075"/>
      <c r="B185" s="3076"/>
      <c r="C185" s="3076"/>
      <c r="D185" s="3076"/>
      <c r="E185" s="3076"/>
      <c r="F185" s="3076"/>
      <c r="G185" s="3076"/>
      <c r="H185" s="3076"/>
      <c r="I185" s="3076"/>
      <c r="J185" s="3077"/>
    </row>
    <row r="186" spans="1:10">
      <c r="A186" s="1752"/>
      <c r="B186" s="1752"/>
      <c r="C186" s="1752"/>
      <c r="D186" s="1752"/>
      <c r="E186" s="1752"/>
      <c r="F186" s="1752"/>
      <c r="G186" s="1752"/>
      <c r="H186" s="1752"/>
      <c r="I186" s="1752"/>
      <c r="J186" s="1752"/>
    </row>
    <row r="187" spans="1:10">
      <c r="A187" s="1752"/>
      <c r="B187" s="1752"/>
      <c r="C187" s="1752"/>
      <c r="D187" s="1752"/>
      <c r="E187" s="1752"/>
      <c r="F187" s="1752"/>
      <c r="G187" s="1752"/>
      <c r="H187" s="1752"/>
      <c r="I187" s="1752"/>
      <c r="J187" s="1752"/>
    </row>
    <row r="190" spans="1:10">
      <c r="A190" s="238" t="s">
        <v>2047</v>
      </c>
      <c r="B190" s="239" t="s">
        <v>2047</v>
      </c>
      <c r="C190" s="3082" t="s">
        <v>3292</v>
      </c>
      <c r="D190" s="3082"/>
      <c r="E190" s="3082"/>
      <c r="F190" s="3083"/>
      <c r="G190" s="239" t="s">
        <v>2047</v>
      </c>
      <c r="H190" s="1755" t="s">
        <v>2047</v>
      </c>
      <c r="I190" s="1755" t="s">
        <v>2047</v>
      </c>
      <c r="J190" s="240" t="s">
        <v>2047</v>
      </c>
    </row>
    <row r="191" spans="1:10" ht="15.6">
      <c r="A191" s="241" t="s">
        <v>2047</v>
      </c>
      <c r="B191" s="223"/>
      <c r="C191" s="3084" t="s">
        <v>2045</v>
      </c>
      <c r="D191" s="3084"/>
      <c r="E191" s="3084"/>
      <c r="F191" s="3085"/>
      <c r="G191" s="1756" t="s">
        <v>2047</v>
      </c>
      <c r="H191" s="3086" t="s">
        <v>3343</v>
      </c>
      <c r="I191" s="3086"/>
      <c r="J191" s="242" t="s">
        <v>2047</v>
      </c>
    </row>
    <row r="192" spans="1:10" ht="17.45">
      <c r="A192" s="241" t="s">
        <v>2047</v>
      </c>
      <c r="B192" s="224"/>
      <c r="C192" s="3088" t="s">
        <v>3294</v>
      </c>
      <c r="D192" s="3088"/>
      <c r="E192" s="3088"/>
      <c r="F192" s="3089"/>
      <c r="G192" s="225" t="s">
        <v>3295</v>
      </c>
      <c r="H192" s="3087"/>
      <c r="I192" s="3087"/>
      <c r="J192" s="242" t="s">
        <v>2047</v>
      </c>
    </row>
    <row r="193" spans="1:10">
      <c r="A193" s="241" t="s">
        <v>2047</v>
      </c>
      <c r="B193" s="224" t="s">
        <v>2047</v>
      </c>
      <c r="C193" s="3090" t="s">
        <v>3296</v>
      </c>
      <c r="D193" s="3090"/>
      <c r="E193" s="3090"/>
      <c r="F193" s="3091"/>
      <c r="G193" s="1756" t="s">
        <v>2047</v>
      </c>
      <c r="H193" s="226" t="s">
        <v>2047</v>
      </c>
      <c r="I193" s="226" t="s">
        <v>2047</v>
      </c>
      <c r="J193" s="243" t="s">
        <v>2047</v>
      </c>
    </row>
    <row r="194" spans="1:10" ht="31.9">
      <c r="A194" s="234" t="s">
        <v>3297</v>
      </c>
      <c r="B194" s="3092" t="s">
        <v>3344</v>
      </c>
      <c r="C194" s="3093"/>
      <c r="D194" s="3093"/>
      <c r="E194" s="3094"/>
      <c r="F194" s="233" t="s">
        <v>3299</v>
      </c>
      <c r="G194" s="232" t="s">
        <v>3345</v>
      </c>
      <c r="H194" s="1757" t="s">
        <v>3301</v>
      </c>
      <c r="I194" s="1757" t="s">
        <v>3302</v>
      </c>
      <c r="J194" s="244" t="s">
        <v>3303</v>
      </c>
    </row>
    <row r="195" spans="1:10">
      <c r="A195" s="3095"/>
      <c r="B195" s="3096"/>
      <c r="C195" s="3096"/>
      <c r="D195" s="3096"/>
      <c r="E195" s="3097"/>
      <c r="F195" s="3105"/>
      <c r="G195" s="3106"/>
      <c r="H195" s="248">
        <v>2</v>
      </c>
      <c r="I195" s="248">
        <v>3</v>
      </c>
      <c r="J195" s="249">
        <v>2021</v>
      </c>
    </row>
    <row r="196" spans="1:10">
      <c r="A196" s="3098" t="s">
        <v>3304</v>
      </c>
      <c r="B196" s="3099"/>
      <c r="C196" s="3099"/>
      <c r="D196" s="3099"/>
      <c r="E196" s="3110"/>
      <c r="F196" s="250" t="s">
        <v>3305</v>
      </c>
      <c r="G196" s="1753" t="s">
        <v>2047</v>
      </c>
      <c r="H196" s="251" t="s">
        <v>3306</v>
      </c>
      <c r="I196" s="252" t="s">
        <v>2047</v>
      </c>
      <c r="J196" s="253" t="s">
        <v>2047</v>
      </c>
    </row>
    <row r="197" spans="1:10">
      <c r="A197" s="3098" t="s">
        <v>3346</v>
      </c>
      <c r="B197" s="3099"/>
      <c r="C197" s="3099"/>
      <c r="D197" s="3099"/>
      <c r="E197" s="3110"/>
      <c r="F197" s="3105" t="s">
        <v>3347</v>
      </c>
      <c r="G197" s="3106"/>
      <c r="H197" s="3105" t="s">
        <v>125</v>
      </c>
      <c r="I197" s="3105"/>
      <c r="J197" s="3107"/>
    </row>
    <row r="198" spans="1:10">
      <c r="A198" s="254" t="s">
        <v>3309</v>
      </c>
      <c r="B198" s="3105" t="s">
        <v>3310</v>
      </c>
      <c r="C198" s="3105"/>
      <c r="D198" s="3105"/>
      <c r="E198" s="3106"/>
      <c r="F198" s="3108" t="s">
        <v>2012</v>
      </c>
      <c r="G198" s="3109"/>
      <c r="H198" s="3105" t="s">
        <v>3311</v>
      </c>
      <c r="I198" s="3105"/>
      <c r="J198" s="3107"/>
    </row>
    <row r="199" spans="1:10">
      <c r="A199" s="255">
        <v>1</v>
      </c>
      <c r="B199" s="3078" t="s">
        <v>3348</v>
      </c>
      <c r="C199" s="3078"/>
      <c r="D199" s="3078"/>
      <c r="E199" s="3078"/>
      <c r="F199" s="3079">
        <v>12000</v>
      </c>
      <c r="G199" s="3080"/>
      <c r="H199" s="3078">
        <f>F199*A199</f>
        <v>12000</v>
      </c>
      <c r="I199" s="3078"/>
      <c r="J199" s="3081"/>
    </row>
    <row r="200" spans="1:10">
      <c r="A200" s="255" t="s">
        <v>2047</v>
      </c>
      <c r="B200" s="3078" t="s">
        <v>2047</v>
      </c>
      <c r="C200" s="3078"/>
      <c r="D200" s="3078"/>
      <c r="E200" s="3078"/>
      <c r="F200" s="3079" t="s">
        <v>2047</v>
      </c>
      <c r="G200" s="3080"/>
      <c r="H200" s="3078" t="s">
        <v>2047</v>
      </c>
      <c r="I200" s="3078"/>
      <c r="J200" s="3081"/>
    </row>
    <row r="201" spans="1:10">
      <c r="A201" s="255" t="s">
        <v>2047</v>
      </c>
      <c r="B201" s="256" t="s">
        <v>2047</v>
      </c>
      <c r="C201" s="256" t="s">
        <v>2047</v>
      </c>
      <c r="D201" s="256" t="s">
        <v>2047</v>
      </c>
      <c r="E201" s="256" t="s">
        <v>2047</v>
      </c>
      <c r="F201" s="3079" t="s">
        <v>2047</v>
      </c>
      <c r="G201" s="3080"/>
      <c r="H201" s="3078" t="s">
        <v>3313</v>
      </c>
      <c r="I201" s="3078"/>
      <c r="J201" s="3081"/>
    </row>
    <row r="202" spans="1:10">
      <c r="A202" s="245" t="s">
        <v>2047</v>
      </c>
      <c r="B202" s="228" t="s">
        <v>2047</v>
      </c>
      <c r="C202" s="228" t="s">
        <v>2047</v>
      </c>
      <c r="D202" s="228" t="s">
        <v>2047</v>
      </c>
      <c r="E202" s="228" t="s">
        <v>2047</v>
      </c>
      <c r="F202" s="3046" t="s">
        <v>2047</v>
      </c>
      <c r="G202" s="3047"/>
      <c r="H202" s="3048" t="s">
        <v>3313</v>
      </c>
      <c r="I202" s="3048"/>
      <c r="J202" s="3049"/>
    </row>
    <row r="203" spans="1:10">
      <c r="A203" s="245" t="s">
        <v>2047</v>
      </c>
      <c r="B203" s="228" t="s">
        <v>2047</v>
      </c>
      <c r="C203" s="228" t="s">
        <v>2047</v>
      </c>
      <c r="D203" s="228" t="s">
        <v>2047</v>
      </c>
      <c r="E203" s="228" t="s">
        <v>2047</v>
      </c>
      <c r="F203" s="3046" t="s">
        <v>2047</v>
      </c>
      <c r="G203" s="3047"/>
      <c r="H203" s="3048" t="s">
        <v>3313</v>
      </c>
      <c r="I203" s="3048"/>
      <c r="J203" s="3049"/>
    </row>
    <row r="204" spans="1:10">
      <c r="A204" s="245" t="s">
        <v>2047</v>
      </c>
      <c r="B204" s="228" t="s">
        <v>2047</v>
      </c>
      <c r="C204" s="228" t="s">
        <v>2047</v>
      </c>
      <c r="D204" s="228" t="s">
        <v>2047</v>
      </c>
      <c r="E204" s="228" t="s">
        <v>2047</v>
      </c>
      <c r="F204" s="3046" t="s">
        <v>2047</v>
      </c>
      <c r="G204" s="3047"/>
      <c r="H204" s="3048" t="s">
        <v>3313</v>
      </c>
      <c r="I204" s="3048"/>
      <c r="J204" s="3049"/>
    </row>
    <row r="205" spans="1:10">
      <c r="A205" s="245" t="s">
        <v>2047</v>
      </c>
      <c r="B205" s="228" t="s">
        <v>2047</v>
      </c>
      <c r="C205" s="228" t="s">
        <v>2047</v>
      </c>
      <c r="D205" s="228" t="s">
        <v>2047</v>
      </c>
      <c r="E205" s="228" t="s">
        <v>2047</v>
      </c>
      <c r="F205" s="3046" t="s">
        <v>2047</v>
      </c>
      <c r="G205" s="3047"/>
      <c r="H205" s="3048" t="s">
        <v>3313</v>
      </c>
      <c r="I205" s="3048"/>
      <c r="J205" s="3049"/>
    </row>
    <row r="206" spans="1:10">
      <c r="A206" s="245" t="s">
        <v>2047</v>
      </c>
      <c r="B206" s="228" t="s">
        <v>2047</v>
      </c>
      <c r="C206" s="228" t="s">
        <v>2047</v>
      </c>
      <c r="D206" s="228" t="s">
        <v>2047</v>
      </c>
      <c r="E206" s="228" t="s">
        <v>2047</v>
      </c>
      <c r="F206" s="3046" t="s">
        <v>2047</v>
      </c>
      <c r="G206" s="3047"/>
      <c r="H206" s="3048" t="s">
        <v>3313</v>
      </c>
      <c r="I206" s="3048"/>
      <c r="J206" s="3049"/>
    </row>
    <row r="207" spans="1:10">
      <c r="A207" s="245" t="s">
        <v>2047</v>
      </c>
      <c r="B207" s="228" t="s">
        <v>2047</v>
      </c>
      <c r="C207" s="228" t="s">
        <v>2047</v>
      </c>
      <c r="D207" s="228" t="s">
        <v>2047</v>
      </c>
      <c r="E207" s="228" t="s">
        <v>2047</v>
      </c>
      <c r="F207" s="3046" t="s">
        <v>2047</v>
      </c>
      <c r="G207" s="3047"/>
      <c r="H207" s="3048" t="s">
        <v>3313</v>
      </c>
      <c r="I207" s="3048"/>
      <c r="J207" s="3049"/>
    </row>
    <row r="208" spans="1:10">
      <c r="A208" s="1754" t="s">
        <v>2580</v>
      </c>
      <c r="B208" s="227" t="s">
        <v>2047</v>
      </c>
      <c r="C208" s="227" t="s">
        <v>2047</v>
      </c>
      <c r="D208" s="227" t="s">
        <v>2047</v>
      </c>
      <c r="E208" s="3050" t="s">
        <v>3314</v>
      </c>
      <c r="F208" s="3051"/>
      <c r="G208" s="3052">
        <f>H199</f>
        <v>12000</v>
      </c>
      <c r="H208" s="3052"/>
      <c r="I208" s="3053"/>
      <c r="J208" s="246"/>
    </row>
    <row r="209" spans="1:10">
      <c r="A209" s="247" t="s">
        <v>2047</v>
      </c>
      <c r="B209" s="229" t="s">
        <v>2047</v>
      </c>
      <c r="C209" s="229" t="s">
        <v>2047</v>
      </c>
      <c r="D209" s="229" t="s">
        <v>2047</v>
      </c>
      <c r="E209" s="229" t="s">
        <v>2047</v>
      </c>
      <c r="F209" s="230" t="s">
        <v>3315</v>
      </c>
      <c r="G209" s="231" t="s">
        <v>3316</v>
      </c>
      <c r="H209" s="3054" t="s">
        <v>3317</v>
      </c>
      <c r="I209" s="3054"/>
      <c r="J209" s="3055"/>
    </row>
    <row r="210" spans="1:10">
      <c r="A210" s="3056" t="s">
        <v>3318</v>
      </c>
      <c r="B210" s="3057"/>
      <c r="C210" s="3057"/>
      <c r="D210" s="3057"/>
      <c r="E210" s="3058"/>
      <c r="F210" s="3062" t="s">
        <v>1990</v>
      </c>
      <c r="G210" s="3063"/>
      <c r="H210" s="3066">
        <f>G208</f>
        <v>12000</v>
      </c>
      <c r="I210" s="3067"/>
      <c r="J210" s="3068"/>
    </row>
    <row r="211" spans="1:10">
      <c r="A211" s="3059"/>
      <c r="B211" s="3060"/>
      <c r="C211" s="3060"/>
      <c r="D211" s="3060"/>
      <c r="E211" s="3061"/>
      <c r="F211" s="3064"/>
      <c r="G211" s="3065"/>
      <c r="H211" s="3069"/>
      <c r="I211" s="3070"/>
      <c r="J211" s="3071"/>
    </row>
    <row r="212" spans="1:10">
      <c r="A212" s="3072" t="s">
        <v>3319</v>
      </c>
      <c r="B212" s="3073"/>
      <c r="C212" s="3073"/>
      <c r="D212" s="3073"/>
      <c r="E212" s="3073"/>
      <c r="F212" s="3073"/>
      <c r="G212" s="3073"/>
      <c r="H212" s="3073"/>
      <c r="I212" s="3073"/>
      <c r="J212" s="3074"/>
    </row>
    <row r="213" spans="1:10">
      <c r="A213" s="3075"/>
      <c r="B213" s="3076"/>
      <c r="C213" s="3076"/>
      <c r="D213" s="3076"/>
      <c r="E213" s="3076"/>
      <c r="F213" s="3076"/>
      <c r="G213" s="3076"/>
      <c r="H213" s="3076"/>
      <c r="I213" s="3076"/>
      <c r="J213" s="3077"/>
    </row>
    <row r="216" spans="1:10">
      <c r="A216" s="238" t="s">
        <v>2047</v>
      </c>
      <c r="B216" s="239" t="s">
        <v>2047</v>
      </c>
      <c r="C216" s="3082" t="s">
        <v>3292</v>
      </c>
      <c r="D216" s="3082"/>
      <c r="E216" s="3082"/>
      <c r="F216" s="3083"/>
      <c r="G216" s="239" t="s">
        <v>2047</v>
      </c>
      <c r="H216" s="1755" t="s">
        <v>2047</v>
      </c>
      <c r="I216" s="1755" t="s">
        <v>2047</v>
      </c>
      <c r="J216" s="240" t="s">
        <v>2047</v>
      </c>
    </row>
    <row r="217" spans="1:10" ht="15.6">
      <c r="A217" s="241" t="s">
        <v>2047</v>
      </c>
      <c r="B217" s="223"/>
      <c r="C217" s="3084" t="s">
        <v>2045</v>
      </c>
      <c r="D217" s="3084"/>
      <c r="E217" s="3084"/>
      <c r="F217" s="3085"/>
      <c r="G217" s="1756" t="s">
        <v>2047</v>
      </c>
      <c r="H217" s="3086" t="s">
        <v>3349</v>
      </c>
      <c r="I217" s="3086"/>
      <c r="J217" s="242" t="s">
        <v>2047</v>
      </c>
    </row>
    <row r="218" spans="1:10" ht="17.45">
      <c r="A218" s="241" t="s">
        <v>2047</v>
      </c>
      <c r="B218" s="224"/>
      <c r="C218" s="3088" t="s">
        <v>3294</v>
      </c>
      <c r="D218" s="3088"/>
      <c r="E218" s="3088"/>
      <c r="F218" s="3089"/>
      <c r="G218" s="225" t="s">
        <v>3295</v>
      </c>
      <c r="H218" s="3087"/>
      <c r="I218" s="3087"/>
      <c r="J218" s="242" t="s">
        <v>2047</v>
      </c>
    </row>
    <row r="219" spans="1:10">
      <c r="A219" s="241" t="s">
        <v>2047</v>
      </c>
      <c r="B219" s="224" t="s">
        <v>2047</v>
      </c>
      <c r="C219" s="3090" t="s">
        <v>3296</v>
      </c>
      <c r="D219" s="3090"/>
      <c r="E219" s="3090"/>
      <c r="F219" s="3091"/>
      <c r="G219" s="1756" t="s">
        <v>2047</v>
      </c>
      <c r="H219" s="226" t="s">
        <v>2047</v>
      </c>
      <c r="I219" s="226" t="s">
        <v>2047</v>
      </c>
      <c r="J219" s="243" t="s">
        <v>2047</v>
      </c>
    </row>
    <row r="220" spans="1:10" ht="31.9">
      <c r="A220" s="234" t="s">
        <v>3297</v>
      </c>
      <c r="B220" s="3092" t="s">
        <v>3329</v>
      </c>
      <c r="C220" s="3093"/>
      <c r="D220" s="3093"/>
      <c r="E220" s="3094"/>
      <c r="F220" s="233" t="s">
        <v>3299</v>
      </c>
      <c r="G220" s="232"/>
      <c r="H220" s="1757" t="s">
        <v>3301</v>
      </c>
      <c r="I220" s="1757" t="s">
        <v>3302</v>
      </c>
      <c r="J220" s="244" t="s">
        <v>3303</v>
      </c>
    </row>
    <row r="221" spans="1:10">
      <c r="A221" s="3095"/>
      <c r="B221" s="3096"/>
      <c r="C221" s="3096"/>
      <c r="D221" s="3096"/>
      <c r="E221" s="3097"/>
      <c r="F221" s="3105"/>
      <c r="G221" s="3106"/>
      <c r="H221" s="248">
        <v>4</v>
      </c>
      <c r="I221" s="248">
        <v>3</v>
      </c>
      <c r="J221" s="249">
        <v>2021</v>
      </c>
    </row>
    <row r="222" spans="1:10">
      <c r="A222" s="3098" t="s">
        <v>3304</v>
      </c>
      <c r="B222" s="3099"/>
      <c r="C222" s="3099"/>
      <c r="D222" s="3099"/>
      <c r="E222" s="3110"/>
      <c r="F222" s="250" t="s">
        <v>3305</v>
      </c>
      <c r="G222" s="1753" t="s">
        <v>2047</v>
      </c>
      <c r="H222" s="251" t="s">
        <v>3306</v>
      </c>
      <c r="I222" s="252" t="s">
        <v>2047</v>
      </c>
      <c r="J222" s="253" t="s">
        <v>2047</v>
      </c>
    </row>
    <row r="223" spans="1:10">
      <c r="A223" s="3098" t="s">
        <v>3330</v>
      </c>
      <c r="B223" s="3099"/>
      <c r="C223" s="3099"/>
      <c r="D223" s="3099"/>
      <c r="E223" s="3110"/>
      <c r="F223" s="3105">
        <v>4614611</v>
      </c>
      <c r="G223" s="3106"/>
      <c r="H223" s="3105" t="s">
        <v>125</v>
      </c>
      <c r="I223" s="3105"/>
      <c r="J223" s="3107"/>
    </row>
    <row r="224" spans="1:10">
      <c r="A224" s="254" t="s">
        <v>3309</v>
      </c>
      <c r="B224" s="3105" t="s">
        <v>3310</v>
      </c>
      <c r="C224" s="3105"/>
      <c r="D224" s="3105"/>
      <c r="E224" s="3106"/>
      <c r="F224" s="3108" t="s">
        <v>2012</v>
      </c>
      <c r="G224" s="3109"/>
      <c r="H224" s="3105" t="s">
        <v>3311</v>
      </c>
      <c r="I224" s="3105"/>
      <c r="J224" s="3107"/>
    </row>
    <row r="225" spans="1:10">
      <c r="A225" s="255">
        <v>1</v>
      </c>
      <c r="B225" s="3078" t="s">
        <v>3350</v>
      </c>
      <c r="C225" s="3078"/>
      <c r="D225" s="3078"/>
      <c r="E225" s="3078"/>
      <c r="F225" s="3079">
        <v>2200</v>
      </c>
      <c r="G225" s="3080"/>
      <c r="H225" s="3078">
        <f>F225*A225</f>
        <v>2200</v>
      </c>
      <c r="I225" s="3078"/>
      <c r="J225" s="3081"/>
    </row>
    <row r="226" spans="1:10">
      <c r="A226" s="255" t="s">
        <v>2047</v>
      </c>
      <c r="B226" s="3078" t="s">
        <v>2047</v>
      </c>
      <c r="C226" s="3078"/>
      <c r="D226" s="3078"/>
      <c r="E226" s="3078"/>
      <c r="F226" s="3079" t="s">
        <v>2047</v>
      </c>
      <c r="G226" s="3080"/>
      <c r="H226" s="3078" t="s">
        <v>2047</v>
      </c>
      <c r="I226" s="3078"/>
      <c r="J226" s="3081"/>
    </row>
    <row r="227" spans="1:10">
      <c r="A227" s="255" t="s">
        <v>2047</v>
      </c>
      <c r="B227" s="256" t="s">
        <v>2047</v>
      </c>
      <c r="C227" s="256" t="s">
        <v>2047</v>
      </c>
      <c r="D227" s="256" t="s">
        <v>2047</v>
      </c>
      <c r="E227" s="256" t="s">
        <v>2047</v>
      </c>
      <c r="F227" s="3079" t="s">
        <v>2047</v>
      </c>
      <c r="G227" s="3080"/>
      <c r="H227" s="3078" t="s">
        <v>3313</v>
      </c>
      <c r="I227" s="3078"/>
      <c r="J227" s="3081"/>
    </row>
    <row r="228" spans="1:10">
      <c r="A228" s="245" t="s">
        <v>2047</v>
      </c>
      <c r="B228" s="228" t="s">
        <v>2047</v>
      </c>
      <c r="C228" s="228" t="s">
        <v>2047</v>
      </c>
      <c r="D228" s="228" t="s">
        <v>2047</v>
      </c>
      <c r="E228" s="228" t="s">
        <v>2047</v>
      </c>
      <c r="F228" s="3046" t="s">
        <v>2047</v>
      </c>
      <c r="G228" s="3047"/>
      <c r="H228" s="3048" t="s">
        <v>3313</v>
      </c>
      <c r="I228" s="3048"/>
      <c r="J228" s="3049"/>
    </row>
    <row r="229" spans="1:10">
      <c r="A229" s="245" t="s">
        <v>2047</v>
      </c>
      <c r="B229" s="228" t="s">
        <v>2047</v>
      </c>
      <c r="C229" s="228" t="s">
        <v>2047</v>
      </c>
      <c r="D229" s="228" t="s">
        <v>2047</v>
      </c>
      <c r="E229" s="228" t="s">
        <v>2047</v>
      </c>
      <c r="F229" s="3046" t="s">
        <v>2047</v>
      </c>
      <c r="G229" s="3047"/>
      <c r="H229" s="3048" t="s">
        <v>3313</v>
      </c>
      <c r="I229" s="3048"/>
      <c r="J229" s="3049"/>
    </row>
    <row r="230" spans="1:10">
      <c r="A230" s="245" t="s">
        <v>2047</v>
      </c>
      <c r="B230" s="228" t="s">
        <v>2047</v>
      </c>
      <c r="C230" s="228" t="s">
        <v>2047</v>
      </c>
      <c r="D230" s="228" t="s">
        <v>2047</v>
      </c>
      <c r="E230" s="228" t="s">
        <v>2047</v>
      </c>
      <c r="F230" s="3046" t="s">
        <v>2047</v>
      </c>
      <c r="G230" s="3047"/>
      <c r="H230" s="3048" t="s">
        <v>3313</v>
      </c>
      <c r="I230" s="3048"/>
      <c r="J230" s="3049"/>
    </row>
    <row r="231" spans="1:10">
      <c r="A231" s="245" t="s">
        <v>2047</v>
      </c>
      <c r="B231" s="228" t="s">
        <v>2047</v>
      </c>
      <c r="C231" s="228" t="s">
        <v>2047</v>
      </c>
      <c r="D231" s="228" t="s">
        <v>2047</v>
      </c>
      <c r="E231" s="228" t="s">
        <v>2047</v>
      </c>
      <c r="F231" s="3046" t="s">
        <v>2047</v>
      </c>
      <c r="G231" s="3047"/>
      <c r="H231" s="3048" t="s">
        <v>3313</v>
      </c>
      <c r="I231" s="3048"/>
      <c r="J231" s="3049"/>
    </row>
    <row r="232" spans="1:10">
      <c r="A232" s="245" t="s">
        <v>2047</v>
      </c>
      <c r="B232" s="228" t="s">
        <v>2047</v>
      </c>
      <c r="C232" s="228" t="s">
        <v>2047</v>
      </c>
      <c r="D232" s="228" t="s">
        <v>2047</v>
      </c>
      <c r="E232" s="228" t="s">
        <v>2047</v>
      </c>
      <c r="F232" s="3046" t="s">
        <v>2047</v>
      </c>
      <c r="G232" s="3047"/>
      <c r="H232" s="3048" t="s">
        <v>3313</v>
      </c>
      <c r="I232" s="3048"/>
      <c r="J232" s="3049"/>
    </row>
    <row r="233" spans="1:10">
      <c r="A233" s="245" t="s">
        <v>2047</v>
      </c>
      <c r="B233" s="228" t="s">
        <v>2047</v>
      </c>
      <c r="C233" s="228" t="s">
        <v>2047</v>
      </c>
      <c r="D233" s="228" t="s">
        <v>2047</v>
      </c>
      <c r="E233" s="228" t="s">
        <v>2047</v>
      </c>
      <c r="F233" s="3046" t="s">
        <v>2047</v>
      </c>
      <c r="G233" s="3047"/>
      <c r="H233" s="3048" t="s">
        <v>3313</v>
      </c>
      <c r="I233" s="3048"/>
      <c r="J233" s="3049"/>
    </row>
    <row r="234" spans="1:10">
      <c r="A234" s="1754" t="s">
        <v>2580</v>
      </c>
      <c r="B234" s="227" t="s">
        <v>2047</v>
      </c>
      <c r="C234" s="227" t="s">
        <v>2047</v>
      </c>
      <c r="D234" s="227" t="s">
        <v>2047</v>
      </c>
      <c r="E234" s="3050" t="s">
        <v>3314</v>
      </c>
      <c r="F234" s="3051"/>
      <c r="G234" s="3052">
        <f>H225</f>
        <v>2200</v>
      </c>
      <c r="H234" s="3052"/>
      <c r="I234" s="3053"/>
      <c r="J234" s="246"/>
    </row>
    <row r="235" spans="1:10">
      <c r="A235" s="247" t="s">
        <v>2047</v>
      </c>
      <c r="B235" s="229" t="s">
        <v>2047</v>
      </c>
      <c r="C235" s="229" t="s">
        <v>2047</v>
      </c>
      <c r="D235" s="229" t="s">
        <v>2047</v>
      </c>
      <c r="E235" s="229" t="s">
        <v>2047</v>
      </c>
      <c r="F235" s="230" t="s">
        <v>3315</v>
      </c>
      <c r="G235" s="231" t="s">
        <v>3316</v>
      </c>
      <c r="H235" s="3054" t="s">
        <v>3317</v>
      </c>
      <c r="I235" s="3054"/>
      <c r="J235" s="3055"/>
    </row>
    <row r="236" spans="1:10">
      <c r="A236" s="3056" t="s">
        <v>3318</v>
      </c>
      <c r="B236" s="3057"/>
      <c r="C236" s="3057"/>
      <c r="D236" s="3057"/>
      <c r="E236" s="3058"/>
      <c r="F236" s="3062" t="s">
        <v>1990</v>
      </c>
      <c r="G236" s="3063"/>
      <c r="H236" s="3066">
        <f>G234</f>
        <v>2200</v>
      </c>
      <c r="I236" s="3067"/>
      <c r="J236" s="3068"/>
    </row>
    <row r="237" spans="1:10">
      <c r="A237" s="3059"/>
      <c r="B237" s="3060"/>
      <c r="C237" s="3060"/>
      <c r="D237" s="3060"/>
      <c r="E237" s="3061"/>
      <c r="F237" s="3064"/>
      <c r="G237" s="3065"/>
      <c r="H237" s="3069"/>
      <c r="I237" s="3070"/>
      <c r="J237" s="3071"/>
    </row>
    <row r="238" spans="1:10">
      <c r="A238" s="3072" t="s">
        <v>3319</v>
      </c>
      <c r="B238" s="3073"/>
      <c r="C238" s="3073"/>
      <c r="D238" s="3073"/>
      <c r="E238" s="3073"/>
      <c r="F238" s="3073"/>
      <c r="G238" s="3073"/>
      <c r="H238" s="3073"/>
      <c r="I238" s="3073"/>
      <c r="J238" s="3074"/>
    </row>
    <row r="239" spans="1:10">
      <c r="A239" s="3075"/>
      <c r="B239" s="3076"/>
      <c r="C239" s="3076"/>
      <c r="D239" s="3076"/>
      <c r="E239" s="3076"/>
      <c r="F239" s="3076"/>
      <c r="G239" s="3076"/>
      <c r="H239" s="3076"/>
      <c r="I239" s="3076"/>
      <c r="J239" s="3077"/>
    </row>
    <row r="240" spans="1:10">
      <c r="A240" s="1752"/>
      <c r="B240" s="1752"/>
      <c r="C240" s="1752"/>
      <c r="D240" s="1752"/>
      <c r="E240" s="1752"/>
      <c r="F240" s="1752"/>
      <c r="G240" s="1752"/>
      <c r="H240" s="1752"/>
      <c r="I240" s="1752"/>
      <c r="J240" s="1752"/>
    </row>
    <row r="241" spans="1:10">
      <c r="A241" s="1752"/>
      <c r="B241" s="1752"/>
      <c r="C241" s="1752"/>
      <c r="D241" s="1752"/>
      <c r="E241" s="1752"/>
      <c r="F241" s="1752"/>
      <c r="G241" s="1752"/>
      <c r="H241" s="1752"/>
      <c r="I241" s="1752"/>
      <c r="J241" s="1752"/>
    </row>
    <row r="244" spans="1:10">
      <c r="A244" s="238" t="s">
        <v>2047</v>
      </c>
      <c r="B244" s="239" t="s">
        <v>2047</v>
      </c>
      <c r="C244" s="3082" t="s">
        <v>3292</v>
      </c>
      <c r="D244" s="3082"/>
      <c r="E244" s="3082"/>
      <c r="F244" s="3083"/>
      <c r="G244" s="239" t="s">
        <v>2047</v>
      </c>
      <c r="H244" s="1755" t="s">
        <v>2047</v>
      </c>
      <c r="I244" s="1755" t="s">
        <v>2047</v>
      </c>
      <c r="J244" s="240" t="s">
        <v>2047</v>
      </c>
    </row>
    <row r="245" spans="1:10" ht="15.6">
      <c r="A245" s="241" t="s">
        <v>2047</v>
      </c>
      <c r="B245" s="223"/>
      <c r="C245" s="3084" t="s">
        <v>2045</v>
      </c>
      <c r="D245" s="3084"/>
      <c r="E245" s="3084"/>
      <c r="F245" s="3085"/>
      <c r="G245" s="1756" t="s">
        <v>2047</v>
      </c>
      <c r="H245" s="3086" t="s">
        <v>3351</v>
      </c>
      <c r="I245" s="3086"/>
      <c r="J245" s="242" t="s">
        <v>2047</v>
      </c>
    </row>
    <row r="246" spans="1:10" ht="17.45">
      <c r="A246" s="241" t="s">
        <v>2047</v>
      </c>
      <c r="B246" s="224"/>
      <c r="C246" s="3088" t="s">
        <v>3294</v>
      </c>
      <c r="D246" s="3088"/>
      <c r="E246" s="3088"/>
      <c r="F246" s="3089"/>
      <c r="G246" s="225" t="s">
        <v>3295</v>
      </c>
      <c r="H246" s="3087"/>
      <c r="I246" s="3087"/>
      <c r="J246" s="242" t="s">
        <v>2047</v>
      </c>
    </row>
    <row r="247" spans="1:10">
      <c r="A247" s="241" t="s">
        <v>2047</v>
      </c>
      <c r="B247" s="224" t="s">
        <v>2047</v>
      </c>
      <c r="C247" s="3090" t="s">
        <v>3296</v>
      </c>
      <c r="D247" s="3090"/>
      <c r="E247" s="3090"/>
      <c r="F247" s="3091"/>
      <c r="G247" s="1756" t="s">
        <v>2047</v>
      </c>
      <c r="H247" s="226" t="s">
        <v>2047</v>
      </c>
      <c r="I247" s="226" t="s">
        <v>2047</v>
      </c>
      <c r="J247" s="243" t="s">
        <v>2047</v>
      </c>
    </row>
    <row r="248" spans="1:10" ht="31.9">
      <c r="A248" s="234" t="s">
        <v>3297</v>
      </c>
      <c r="B248" s="3092" t="s">
        <v>3352</v>
      </c>
      <c r="C248" s="3093"/>
      <c r="D248" s="3093"/>
      <c r="E248" s="3094"/>
      <c r="F248" s="233" t="s">
        <v>3299</v>
      </c>
      <c r="G248" s="232" t="s">
        <v>3353</v>
      </c>
      <c r="H248" s="1757" t="s">
        <v>3301</v>
      </c>
      <c r="I248" s="1757" t="s">
        <v>3302</v>
      </c>
      <c r="J248" s="244" t="s">
        <v>3303</v>
      </c>
    </row>
    <row r="249" spans="1:10">
      <c r="A249" s="3095"/>
      <c r="B249" s="3096"/>
      <c r="C249" s="3096"/>
      <c r="D249" s="3096"/>
      <c r="E249" s="3097"/>
      <c r="F249" s="3105"/>
      <c r="G249" s="3106"/>
      <c r="H249" s="248">
        <v>5</v>
      </c>
      <c r="I249" s="248">
        <v>3</v>
      </c>
      <c r="J249" s="249">
        <v>2021</v>
      </c>
    </row>
    <row r="250" spans="1:10">
      <c r="A250" s="3098" t="s">
        <v>3304</v>
      </c>
      <c r="B250" s="3099"/>
      <c r="C250" s="3099"/>
      <c r="D250" s="3099"/>
      <c r="E250" s="3110"/>
      <c r="F250" s="250" t="s">
        <v>3305</v>
      </c>
      <c r="G250" s="1753" t="s">
        <v>2047</v>
      </c>
      <c r="H250" s="251" t="s">
        <v>3306</v>
      </c>
      <c r="I250" s="252" t="s">
        <v>2047</v>
      </c>
      <c r="J250" s="253" t="s">
        <v>2047</v>
      </c>
    </row>
    <row r="251" spans="1:10">
      <c r="A251" s="3098" t="s">
        <v>3354</v>
      </c>
      <c r="B251" s="3099"/>
      <c r="C251" s="3099"/>
      <c r="D251" s="3099"/>
      <c r="E251" s="3110"/>
      <c r="F251" s="3105"/>
      <c r="G251" s="3106"/>
      <c r="H251" s="3105" t="s">
        <v>125</v>
      </c>
      <c r="I251" s="3105"/>
      <c r="J251" s="3107"/>
    </row>
    <row r="252" spans="1:10">
      <c r="A252" s="254" t="s">
        <v>3309</v>
      </c>
      <c r="B252" s="3105" t="s">
        <v>3310</v>
      </c>
      <c r="C252" s="3105"/>
      <c r="D252" s="3105"/>
      <c r="E252" s="3106"/>
      <c r="F252" s="3108" t="s">
        <v>2012</v>
      </c>
      <c r="G252" s="3109"/>
      <c r="H252" s="3105" t="s">
        <v>3311</v>
      </c>
      <c r="I252" s="3105"/>
      <c r="J252" s="3107"/>
    </row>
    <row r="253" spans="1:10">
      <c r="A253" s="255">
        <v>2</v>
      </c>
      <c r="B253" s="3078" t="s">
        <v>3342</v>
      </c>
      <c r="C253" s="3078"/>
      <c r="D253" s="3078"/>
      <c r="E253" s="3078"/>
      <c r="F253" s="3079">
        <v>2000</v>
      </c>
      <c r="G253" s="3080"/>
      <c r="H253" s="3078">
        <f>F253*A253</f>
        <v>4000</v>
      </c>
      <c r="I253" s="3078"/>
      <c r="J253" s="3081"/>
    </row>
    <row r="254" spans="1:10">
      <c r="A254" s="255" t="s">
        <v>2047</v>
      </c>
      <c r="B254" s="3078" t="s">
        <v>2047</v>
      </c>
      <c r="C254" s="3078"/>
      <c r="D254" s="3078"/>
      <c r="E254" s="3078"/>
      <c r="F254" s="3079" t="s">
        <v>2047</v>
      </c>
      <c r="G254" s="3080"/>
      <c r="H254" s="3078" t="s">
        <v>2047</v>
      </c>
      <c r="I254" s="3078"/>
      <c r="J254" s="3081"/>
    </row>
    <row r="255" spans="1:10">
      <c r="A255" s="255" t="s">
        <v>2047</v>
      </c>
      <c r="B255" s="256" t="s">
        <v>2047</v>
      </c>
      <c r="C255" s="256" t="s">
        <v>2047</v>
      </c>
      <c r="D255" s="256" t="s">
        <v>2047</v>
      </c>
      <c r="E255" s="256" t="s">
        <v>2047</v>
      </c>
      <c r="F255" s="3079" t="s">
        <v>2047</v>
      </c>
      <c r="G255" s="3080"/>
      <c r="H255" s="3078" t="s">
        <v>3313</v>
      </c>
      <c r="I255" s="3078"/>
      <c r="J255" s="3081"/>
    </row>
    <row r="256" spans="1:10">
      <c r="A256" s="245" t="s">
        <v>2047</v>
      </c>
      <c r="B256" s="228" t="s">
        <v>2047</v>
      </c>
      <c r="C256" s="228" t="s">
        <v>2047</v>
      </c>
      <c r="D256" s="228" t="s">
        <v>2047</v>
      </c>
      <c r="E256" s="228" t="s">
        <v>2047</v>
      </c>
      <c r="F256" s="3046" t="s">
        <v>2047</v>
      </c>
      <c r="G256" s="3047"/>
      <c r="H256" s="3048" t="s">
        <v>3313</v>
      </c>
      <c r="I256" s="3048"/>
      <c r="J256" s="3049"/>
    </row>
    <row r="257" spans="1:10">
      <c r="A257" s="245" t="s">
        <v>2047</v>
      </c>
      <c r="B257" s="228" t="s">
        <v>2047</v>
      </c>
      <c r="C257" s="228" t="s">
        <v>2047</v>
      </c>
      <c r="D257" s="228" t="s">
        <v>2047</v>
      </c>
      <c r="E257" s="228" t="s">
        <v>2047</v>
      </c>
      <c r="F257" s="3046" t="s">
        <v>2047</v>
      </c>
      <c r="G257" s="3047"/>
      <c r="H257" s="3048" t="s">
        <v>3313</v>
      </c>
      <c r="I257" s="3048"/>
      <c r="J257" s="3049"/>
    </row>
    <row r="258" spans="1:10">
      <c r="A258" s="245" t="s">
        <v>2047</v>
      </c>
      <c r="B258" s="228" t="s">
        <v>2047</v>
      </c>
      <c r="C258" s="228" t="s">
        <v>2047</v>
      </c>
      <c r="D258" s="228" t="s">
        <v>2047</v>
      </c>
      <c r="E258" s="228" t="s">
        <v>2047</v>
      </c>
      <c r="F258" s="3046" t="s">
        <v>2047</v>
      </c>
      <c r="G258" s="3047"/>
      <c r="H258" s="3048" t="s">
        <v>3313</v>
      </c>
      <c r="I258" s="3048"/>
      <c r="J258" s="3049"/>
    </row>
    <row r="259" spans="1:10">
      <c r="A259" s="245" t="s">
        <v>2047</v>
      </c>
      <c r="B259" s="228" t="s">
        <v>2047</v>
      </c>
      <c r="C259" s="228" t="s">
        <v>2047</v>
      </c>
      <c r="D259" s="228" t="s">
        <v>2047</v>
      </c>
      <c r="E259" s="228" t="s">
        <v>2047</v>
      </c>
      <c r="F259" s="3046" t="s">
        <v>2047</v>
      </c>
      <c r="G259" s="3047"/>
      <c r="H259" s="3048" t="s">
        <v>3313</v>
      </c>
      <c r="I259" s="3048"/>
      <c r="J259" s="3049"/>
    </row>
    <row r="260" spans="1:10">
      <c r="A260" s="245" t="s">
        <v>2047</v>
      </c>
      <c r="B260" s="228" t="s">
        <v>2047</v>
      </c>
      <c r="C260" s="228" t="s">
        <v>2047</v>
      </c>
      <c r="D260" s="228" t="s">
        <v>2047</v>
      </c>
      <c r="E260" s="228" t="s">
        <v>2047</v>
      </c>
      <c r="F260" s="3046" t="s">
        <v>2047</v>
      </c>
      <c r="G260" s="3047"/>
      <c r="H260" s="3048" t="s">
        <v>3313</v>
      </c>
      <c r="I260" s="3048"/>
      <c r="J260" s="3049"/>
    </row>
    <row r="261" spans="1:10">
      <c r="A261" s="245" t="s">
        <v>2047</v>
      </c>
      <c r="B261" s="228" t="s">
        <v>2047</v>
      </c>
      <c r="C261" s="228" t="s">
        <v>2047</v>
      </c>
      <c r="D261" s="228" t="s">
        <v>2047</v>
      </c>
      <c r="E261" s="228" t="s">
        <v>2047</v>
      </c>
      <c r="F261" s="3046" t="s">
        <v>2047</v>
      </c>
      <c r="G261" s="3047"/>
      <c r="H261" s="3048" t="s">
        <v>3313</v>
      </c>
      <c r="I261" s="3048"/>
      <c r="J261" s="3049"/>
    </row>
    <row r="262" spans="1:10">
      <c r="A262" s="1754" t="s">
        <v>2580</v>
      </c>
      <c r="B262" s="227" t="s">
        <v>2047</v>
      </c>
      <c r="C262" s="227" t="s">
        <v>2047</v>
      </c>
      <c r="D262" s="227" t="s">
        <v>2047</v>
      </c>
      <c r="E262" s="3050" t="s">
        <v>3314</v>
      </c>
      <c r="F262" s="3051"/>
      <c r="G262" s="3052">
        <f>H253</f>
        <v>4000</v>
      </c>
      <c r="H262" s="3052"/>
      <c r="I262" s="3053"/>
      <c r="J262" s="246"/>
    </row>
    <row r="263" spans="1:10">
      <c r="A263" s="247" t="s">
        <v>2047</v>
      </c>
      <c r="B263" s="229" t="s">
        <v>2047</v>
      </c>
      <c r="C263" s="229" t="s">
        <v>2047</v>
      </c>
      <c r="D263" s="229" t="s">
        <v>2047</v>
      </c>
      <c r="E263" s="229" t="s">
        <v>2047</v>
      </c>
      <c r="F263" s="230" t="s">
        <v>3315</v>
      </c>
      <c r="G263" s="231" t="s">
        <v>3316</v>
      </c>
      <c r="H263" s="3054" t="s">
        <v>3317</v>
      </c>
      <c r="I263" s="3054"/>
      <c r="J263" s="3055"/>
    </row>
    <row r="264" spans="1:10">
      <c r="A264" s="3056" t="s">
        <v>3318</v>
      </c>
      <c r="B264" s="3057"/>
      <c r="C264" s="3057"/>
      <c r="D264" s="3057"/>
      <c r="E264" s="3058"/>
      <c r="F264" s="3062" t="s">
        <v>1990</v>
      </c>
      <c r="G264" s="3063"/>
      <c r="H264" s="3066">
        <f>G262</f>
        <v>4000</v>
      </c>
      <c r="I264" s="3067"/>
      <c r="J264" s="3068"/>
    </row>
    <row r="265" spans="1:10">
      <c r="A265" s="3059"/>
      <c r="B265" s="3060"/>
      <c r="C265" s="3060"/>
      <c r="D265" s="3060"/>
      <c r="E265" s="3061"/>
      <c r="F265" s="3064"/>
      <c r="G265" s="3065"/>
      <c r="H265" s="3069"/>
      <c r="I265" s="3070"/>
      <c r="J265" s="3071"/>
    </row>
    <row r="266" spans="1:10">
      <c r="A266" s="3072" t="s">
        <v>3319</v>
      </c>
      <c r="B266" s="3073"/>
      <c r="C266" s="3073"/>
      <c r="D266" s="3073"/>
      <c r="E266" s="3073"/>
      <c r="F266" s="3073"/>
      <c r="G266" s="3073"/>
      <c r="H266" s="3073"/>
      <c r="I266" s="3073"/>
      <c r="J266" s="3074"/>
    </row>
    <row r="267" spans="1:10">
      <c r="A267" s="3075"/>
      <c r="B267" s="3076"/>
      <c r="C267" s="3076"/>
      <c r="D267" s="3076"/>
      <c r="E267" s="3076"/>
      <c r="F267" s="3076"/>
      <c r="G267" s="3076"/>
      <c r="H267" s="3076"/>
      <c r="I267" s="3076"/>
      <c r="J267" s="3077"/>
    </row>
    <row r="270" spans="1:10">
      <c r="A270" s="238" t="s">
        <v>2047</v>
      </c>
      <c r="B270" s="239" t="s">
        <v>2047</v>
      </c>
      <c r="C270" s="3082" t="s">
        <v>3292</v>
      </c>
      <c r="D270" s="3082"/>
      <c r="E270" s="3082"/>
      <c r="F270" s="3083"/>
      <c r="G270" s="239" t="s">
        <v>2047</v>
      </c>
      <c r="H270" s="1755" t="s">
        <v>2047</v>
      </c>
      <c r="I270" s="1755" t="s">
        <v>2047</v>
      </c>
      <c r="J270" s="240" t="s">
        <v>2047</v>
      </c>
    </row>
    <row r="271" spans="1:10" ht="15.6">
      <c r="A271" s="241" t="s">
        <v>2047</v>
      </c>
      <c r="B271" s="223"/>
      <c r="C271" s="3084" t="s">
        <v>2045</v>
      </c>
      <c r="D271" s="3084"/>
      <c r="E271" s="3084"/>
      <c r="F271" s="3085"/>
      <c r="G271" s="1756" t="s">
        <v>2047</v>
      </c>
      <c r="H271" s="3086" t="s">
        <v>3355</v>
      </c>
      <c r="I271" s="3086"/>
      <c r="J271" s="242" t="s">
        <v>2047</v>
      </c>
    </row>
    <row r="272" spans="1:10" ht="17.45">
      <c r="A272" s="241" t="s">
        <v>2047</v>
      </c>
      <c r="B272" s="224"/>
      <c r="C272" s="3088" t="s">
        <v>3294</v>
      </c>
      <c r="D272" s="3088"/>
      <c r="E272" s="3088"/>
      <c r="F272" s="3089"/>
      <c r="G272" s="225" t="s">
        <v>3295</v>
      </c>
      <c r="H272" s="3087"/>
      <c r="I272" s="3087"/>
      <c r="J272" s="242" t="s">
        <v>2047</v>
      </c>
    </row>
    <row r="273" spans="1:10">
      <c r="A273" s="241" t="s">
        <v>2047</v>
      </c>
      <c r="B273" s="224" t="s">
        <v>2047</v>
      </c>
      <c r="C273" s="3090" t="s">
        <v>3296</v>
      </c>
      <c r="D273" s="3090"/>
      <c r="E273" s="3090"/>
      <c r="F273" s="3091"/>
      <c r="G273" s="1756" t="s">
        <v>2047</v>
      </c>
      <c r="H273" s="226" t="s">
        <v>2047</v>
      </c>
      <c r="I273" s="226" t="s">
        <v>2047</v>
      </c>
      <c r="J273" s="243" t="s">
        <v>2047</v>
      </c>
    </row>
    <row r="274" spans="1:10" ht="31.9">
      <c r="A274" s="234" t="s">
        <v>3297</v>
      </c>
      <c r="B274" s="3092" t="s">
        <v>3356</v>
      </c>
      <c r="C274" s="3093"/>
      <c r="D274" s="3093"/>
      <c r="E274" s="3094"/>
      <c r="F274" s="233" t="s">
        <v>3299</v>
      </c>
      <c r="G274" s="232" t="s">
        <v>3357</v>
      </c>
      <c r="H274" s="1757" t="s">
        <v>3301</v>
      </c>
      <c r="I274" s="1757" t="s">
        <v>3302</v>
      </c>
      <c r="J274" s="244" t="s">
        <v>3303</v>
      </c>
    </row>
    <row r="275" spans="1:10">
      <c r="A275" s="3095"/>
      <c r="B275" s="3096"/>
      <c r="C275" s="3096"/>
      <c r="D275" s="3096"/>
      <c r="E275" s="3097"/>
      <c r="F275" s="3105"/>
      <c r="G275" s="3106"/>
      <c r="H275" s="248">
        <v>20</v>
      </c>
      <c r="I275" s="248">
        <v>4</v>
      </c>
      <c r="J275" s="249">
        <v>2021</v>
      </c>
    </row>
    <row r="276" spans="1:10">
      <c r="A276" s="3098" t="s">
        <v>3304</v>
      </c>
      <c r="B276" s="3099"/>
      <c r="C276" s="3099"/>
      <c r="D276" s="3099"/>
      <c r="E276" s="3110"/>
      <c r="F276" s="250" t="s">
        <v>3305</v>
      </c>
      <c r="G276" s="1753" t="s">
        <v>2047</v>
      </c>
      <c r="H276" s="251" t="s">
        <v>3306</v>
      </c>
      <c r="I276" s="252" t="s">
        <v>2047</v>
      </c>
      <c r="J276" s="253" t="s">
        <v>2047</v>
      </c>
    </row>
    <row r="277" spans="1:10">
      <c r="A277" s="3098" t="s">
        <v>3358</v>
      </c>
      <c r="B277" s="3099"/>
      <c r="C277" s="3099"/>
      <c r="D277" s="3099"/>
      <c r="E277" s="3110"/>
      <c r="F277" s="3105"/>
      <c r="G277" s="3106"/>
      <c r="H277" s="3105" t="s">
        <v>125</v>
      </c>
      <c r="I277" s="3105"/>
      <c r="J277" s="3107"/>
    </row>
    <row r="278" spans="1:10">
      <c r="A278" s="254" t="s">
        <v>3309</v>
      </c>
      <c r="B278" s="3105" t="s">
        <v>3310</v>
      </c>
      <c r="C278" s="3105"/>
      <c r="D278" s="3105"/>
      <c r="E278" s="3106"/>
      <c r="F278" s="3108" t="s">
        <v>2012</v>
      </c>
      <c r="G278" s="3109"/>
      <c r="H278" s="3105" t="s">
        <v>3311</v>
      </c>
      <c r="I278" s="3105"/>
      <c r="J278" s="3107"/>
    </row>
    <row r="279" spans="1:10">
      <c r="A279" s="255">
        <v>2</v>
      </c>
      <c r="B279" s="3078" t="s">
        <v>3359</v>
      </c>
      <c r="C279" s="3078"/>
      <c r="D279" s="3078"/>
      <c r="E279" s="3078"/>
      <c r="F279" s="3079">
        <v>1000</v>
      </c>
      <c r="G279" s="3080"/>
      <c r="H279" s="3078">
        <f>F279*A279</f>
        <v>2000</v>
      </c>
      <c r="I279" s="3078"/>
      <c r="J279" s="3081"/>
    </row>
    <row r="280" spans="1:10">
      <c r="A280" s="255" t="s">
        <v>2047</v>
      </c>
      <c r="B280" s="3078" t="s">
        <v>2047</v>
      </c>
      <c r="C280" s="3078"/>
      <c r="D280" s="3078"/>
      <c r="E280" s="3078"/>
      <c r="F280" s="3079" t="s">
        <v>2047</v>
      </c>
      <c r="G280" s="3080"/>
      <c r="H280" s="3078" t="s">
        <v>2047</v>
      </c>
      <c r="I280" s="3078"/>
      <c r="J280" s="3081"/>
    </row>
    <row r="281" spans="1:10">
      <c r="A281" s="255" t="s">
        <v>2047</v>
      </c>
      <c r="B281" s="256" t="s">
        <v>2047</v>
      </c>
      <c r="C281" s="256" t="s">
        <v>2047</v>
      </c>
      <c r="D281" s="256" t="s">
        <v>2047</v>
      </c>
      <c r="E281" s="256" t="s">
        <v>2047</v>
      </c>
      <c r="F281" s="3079" t="s">
        <v>2047</v>
      </c>
      <c r="G281" s="3080"/>
      <c r="H281" s="3078" t="s">
        <v>3313</v>
      </c>
      <c r="I281" s="3078"/>
      <c r="J281" s="3081"/>
    </row>
    <row r="282" spans="1:10">
      <c r="A282" s="245" t="s">
        <v>2047</v>
      </c>
      <c r="B282" s="228" t="s">
        <v>2047</v>
      </c>
      <c r="C282" s="228" t="s">
        <v>2047</v>
      </c>
      <c r="D282" s="228" t="s">
        <v>2047</v>
      </c>
      <c r="E282" s="228" t="s">
        <v>2047</v>
      </c>
      <c r="F282" s="3046" t="s">
        <v>2047</v>
      </c>
      <c r="G282" s="3047"/>
      <c r="H282" s="3048" t="s">
        <v>3313</v>
      </c>
      <c r="I282" s="3048"/>
      <c r="J282" s="3049"/>
    </row>
    <row r="283" spans="1:10">
      <c r="A283" s="245" t="s">
        <v>2047</v>
      </c>
      <c r="B283" s="228" t="s">
        <v>2047</v>
      </c>
      <c r="C283" s="228" t="s">
        <v>2047</v>
      </c>
      <c r="D283" s="228" t="s">
        <v>2047</v>
      </c>
      <c r="E283" s="228" t="s">
        <v>2047</v>
      </c>
      <c r="F283" s="3046" t="s">
        <v>2047</v>
      </c>
      <c r="G283" s="3047"/>
      <c r="H283" s="3048" t="s">
        <v>3313</v>
      </c>
      <c r="I283" s="3048"/>
      <c r="J283" s="3049"/>
    </row>
    <row r="284" spans="1:10">
      <c r="A284" s="245" t="s">
        <v>2047</v>
      </c>
      <c r="B284" s="228" t="s">
        <v>2047</v>
      </c>
      <c r="C284" s="228" t="s">
        <v>2047</v>
      </c>
      <c r="D284" s="228" t="s">
        <v>2047</v>
      </c>
      <c r="E284" s="228" t="s">
        <v>2047</v>
      </c>
      <c r="F284" s="3046" t="s">
        <v>2047</v>
      </c>
      <c r="G284" s="3047"/>
      <c r="H284" s="3048" t="s">
        <v>3313</v>
      </c>
      <c r="I284" s="3048"/>
      <c r="J284" s="3049"/>
    </row>
    <row r="285" spans="1:10">
      <c r="A285" s="245" t="s">
        <v>2047</v>
      </c>
      <c r="B285" s="228" t="s">
        <v>2047</v>
      </c>
      <c r="C285" s="228" t="s">
        <v>2047</v>
      </c>
      <c r="D285" s="228" t="s">
        <v>2047</v>
      </c>
      <c r="E285" s="228" t="s">
        <v>2047</v>
      </c>
      <c r="F285" s="3046" t="s">
        <v>2047</v>
      </c>
      <c r="G285" s="3047"/>
      <c r="H285" s="3048" t="s">
        <v>3313</v>
      </c>
      <c r="I285" s="3048"/>
      <c r="J285" s="3049"/>
    </row>
    <row r="286" spans="1:10">
      <c r="A286" s="245" t="s">
        <v>2047</v>
      </c>
      <c r="B286" s="228" t="s">
        <v>2047</v>
      </c>
      <c r="C286" s="228" t="s">
        <v>2047</v>
      </c>
      <c r="D286" s="228" t="s">
        <v>2047</v>
      </c>
      <c r="E286" s="228" t="s">
        <v>2047</v>
      </c>
      <c r="F286" s="3046" t="s">
        <v>2047</v>
      </c>
      <c r="G286" s="3047"/>
      <c r="H286" s="3048" t="s">
        <v>3313</v>
      </c>
      <c r="I286" s="3048"/>
      <c r="J286" s="3049"/>
    </row>
    <row r="287" spans="1:10">
      <c r="A287" s="245" t="s">
        <v>2047</v>
      </c>
      <c r="B287" s="228" t="s">
        <v>2047</v>
      </c>
      <c r="C287" s="228" t="s">
        <v>2047</v>
      </c>
      <c r="D287" s="228" t="s">
        <v>2047</v>
      </c>
      <c r="E287" s="228" t="s">
        <v>2047</v>
      </c>
      <c r="F287" s="3046" t="s">
        <v>2047</v>
      </c>
      <c r="G287" s="3047"/>
      <c r="H287" s="3048" t="s">
        <v>3313</v>
      </c>
      <c r="I287" s="3048"/>
      <c r="J287" s="3049"/>
    </row>
    <row r="288" spans="1:10">
      <c r="A288" s="1754" t="s">
        <v>2580</v>
      </c>
      <c r="B288" s="227" t="s">
        <v>2047</v>
      </c>
      <c r="C288" s="227" t="s">
        <v>2047</v>
      </c>
      <c r="D288" s="227" t="s">
        <v>2047</v>
      </c>
      <c r="E288" s="3050" t="s">
        <v>3314</v>
      </c>
      <c r="F288" s="3051"/>
      <c r="G288" s="3052">
        <f>H279</f>
        <v>2000</v>
      </c>
      <c r="H288" s="3052"/>
      <c r="I288" s="3053"/>
      <c r="J288" s="246"/>
    </row>
    <row r="289" spans="1:10">
      <c r="A289" s="247" t="s">
        <v>2047</v>
      </c>
      <c r="B289" s="229" t="s">
        <v>2047</v>
      </c>
      <c r="C289" s="229" t="s">
        <v>2047</v>
      </c>
      <c r="D289" s="229" t="s">
        <v>2047</v>
      </c>
      <c r="E289" s="229" t="s">
        <v>2047</v>
      </c>
      <c r="F289" s="230" t="s">
        <v>3315</v>
      </c>
      <c r="G289" s="231" t="s">
        <v>3316</v>
      </c>
      <c r="H289" s="3054" t="s">
        <v>3317</v>
      </c>
      <c r="I289" s="3054"/>
      <c r="J289" s="3055"/>
    </row>
    <row r="290" spans="1:10">
      <c r="A290" s="3056" t="s">
        <v>3318</v>
      </c>
      <c r="B290" s="3057"/>
      <c r="C290" s="3057"/>
      <c r="D290" s="3057"/>
      <c r="E290" s="3058"/>
      <c r="F290" s="3062" t="s">
        <v>1990</v>
      </c>
      <c r="G290" s="3063"/>
      <c r="H290" s="3066">
        <f>G288</f>
        <v>2000</v>
      </c>
      <c r="I290" s="3067"/>
      <c r="J290" s="3068"/>
    </row>
    <row r="291" spans="1:10">
      <c r="A291" s="3059"/>
      <c r="B291" s="3060"/>
      <c r="C291" s="3060"/>
      <c r="D291" s="3060"/>
      <c r="E291" s="3061"/>
      <c r="F291" s="3064"/>
      <c r="G291" s="3065"/>
      <c r="H291" s="3069"/>
      <c r="I291" s="3070"/>
      <c r="J291" s="3071"/>
    </row>
    <row r="292" spans="1:10">
      <c r="A292" s="3072" t="s">
        <v>3319</v>
      </c>
      <c r="B292" s="3073"/>
      <c r="C292" s="3073"/>
      <c r="D292" s="3073"/>
      <c r="E292" s="3073"/>
      <c r="F292" s="3073"/>
      <c r="G292" s="3073"/>
      <c r="H292" s="3073"/>
      <c r="I292" s="3073"/>
      <c r="J292" s="3074"/>
    </row>
    <row r="293" spans="1:10">
      <c r="A293" s="3075"/>
      <c r="B293" s="3076"/>
      <c r="C293" s="3076"/>
      <c r="D293" s="3076"/>
      <c r="E293" s="3076"/>
      <c r="F293" s="3076"/>
      <c r="G293" s="3076"/>
      <c r="H293" s="3076"/>
      <c r="I293" s="3076"/>
      <c r="J293" s="3077"/>
    </row>
    <row r="294" spans="1:10">
      <c r="A294" s="1752"/>
      <c r="B294" s="1752"/>
      <c r="C294" s="1752"/>
      <c r="D294" s="1752"/>
      <c r="E294" s="1752"/>
      <c r="F294" s="1752"/>
      <c r="G294" s="1752"/>
      <c r="H294" s="1752"/>
      <c r="I294" s="1752"/>
      <c r="J294" s="1752"/>
    </row>
    <row r="295" spans="1:10">
      <c r="A295" s="1752"/>
      <c r="B295" s="1752"/>
      <c r="C295" s="1752"/>
      <c r="D295" s="1752"/>
      <c r="E295" s="1752"/>
      <c r="F295" s="1752"/>
      <c r="G295" s="1752"/>
      <c r="H295" s="1752"/>
      <c r="I295" s="1752"/>
      <c r="J295" s="1752"/>
    </row>
    <row r="298" spans="1:10">
      <c r="A298" s="238" t="s">
        <v>2047</v>
      </c>
      <c r="B298" s="239" t="s">
        <v>2047</v>
      </c>
      <c r="C298" s="3082" t="s">
        <v>3292</v>
      </c>
      <c r="D298" s="3082"/>
      <c r="E298" s="3082"/>
      <c r="F298" s="3083"/>
      <c r="G298" s="239" t="s">
        <v>2047</v>
      </c>
      <c r="H298" s="1755" t="s">
        <v>2047</v>
      </c>
      <c r="I298" s="1755" t="s">
        <v>2047</v>
      </c>
      <c r="J298" s="240" t="s">
        <v>2047</v>
      </c>
    </row>
    <row r="299" spans="1:10" ht="15.6">
      <c r="A299" s="241" t="s">
        <v>2047</v>
      </c>
      <c r="B299" s="223"/>
      <c r="C299" s="3084" t="s">
        <v>2045</v>
      </c>
      <c r="D299" s="3084"/>
      <c r="E299" s="3084"/>
      <c r="F299" s="3085"/>
      <c r="G299" s="1756" t="s">
        <v>2047</v>
      </c>
      <c r="H299" s="3086" t="s">
        <v>3360</v>
      </c>
      <c r="I299" s="3086"/>
      <c r="J299" s="242" t="s">
        <v>2047</v>
      </c>
    </row>
    <row r="300" spans="1:10" ht="17.45">
      <c r="A300" s="241" t="s">
        <v>2047</v>
      </c>
      <c r="B300" s="224"/>
      <c r="C300" s="3088" t="s">
        <v>3294</v>
      </c>
      <c r="D300" s="3088"/>
      <c r="E300" s="3088"/>
      <c r="F300" s="3089"/>
      <c r="G300" s="225" t="s">
        <v>3295</v>
      </c>
      <c r="H300" s="3087"/>
      <c r="I300" s="3087"/>
      <c r="J300" s="242" t="s">
        <v>2047</v>
      </c>
    </row>
    <row r="301" spans="1:10">
      <c r="A301" s="241" t="s">
        <v>2047</v>
      </c>
      <c r="B301" s="224" t="s">
        <v>2047</v>
      </c>
      <c r="C301" s="3090" t="s">
        <v>3296</v>
      </c>
      <c r="D301" s="3090"/>
      <c r="E301" s="3090"/>
      <c r="F301" s="3091"/>
      <c r="G301" s="1756" t="s">
        <v>2047</v>
      </c>
      <c r="H301" s="226" t="s">
        <v>2047</v>
      </c>
      <c r="I301" s="226" t="s">
        <v>2047</v>
      </c>
      <c r="J301" s="243" t="s">
        <v>2047</v>
      </c>
    </row>
    <row r="302" spans="1:10" ht="31.9">
      <c r="A302" s="234" t="s">
        <v>3297</v>
      </c>
      <c r="B302" s="3092" t="s">
        <v>3356</v>
      </c>
      <c r="C302" s="3093"/>
      <c r="D302" s="3093"/>
      <c r="E302" s="3094"/>
      <c r="F302" s="233" t="s">
        <v>3299</v>
      </c>
      <c r="G302" s="232" t="s">
        <v>3357</v>
      </c>
      <c r="H302" s="1757" t="s">
        <v>3301</v>
      </c>
      <c r="I302" s="1757" t="s">
        <v>3302</v>
      </c>
      <c r="J302" s="244" t="s">
        <v>3303</v>
      </c>
    </row>
    <row r="303" spans="1:10">
      <c r="A303" s="3095"/>
      <c r="B303" s="3096"/>
      <c r="C303" s="3096"/>
      <c r="D303" s="3096"/>
      <c r="E303" s="3097"/>
      <c r="F303" s="3105"/>
      <c r="G303" s="3106"/>
      <c r="H303" s="248">
        <v>20</v>
      </c>
      <c r="I303" s="248">
        <v>4</v>
      </c>
      <c r="J303" s="249">
        <v>2021</v>
      </c>
    </row>
    <row r="304" spans="1:10">
      <c r="A304" s="3098" t="s">
        <v>3304</v>
      </c>
      <c r="B304" s="3099"/>
      <c r="C304" s="3099"/>
      <c r="D304" s="3099"/>
      <c r="E304" s="3110"/>
      <c r="F304" s="250" t="s">
        <v>3305</v>
      </c>
      <c r="G304" s="1753" t="s">
        <v>2047</v>
      </c>
      <c r="H304" s="251" t="s">
        <v>3306</v>
      </c>
      <c r="I304" s="252" t="s">
        <v>2047</v>
      </c>
      <c r="J304" s="253" t="s">
        <v>2047</v>
      </c>
    </row>
    <row r="305" spans="1:10">
      <c r="A305" s="3098" t="s">
        <v>3358</v>
      </c>
      <c r="B305" s="3099"/>
      <c r="C305" s="3099"/>
      <c r="D305" s="3099"/>
      <c r="E305" s="3110"/>
      <c r="F305" s="3105"/>
      <c r="G305" s="3106"/>
      <c r="H305" s="3105" t="s">
        <v>125</v>
      </c>
      <c r="I305" s="3105"/>
      <c r="J305" s="3107"/>
    </row>
    <row r="306" spans="1:10">
      <c r="A306" s="254" t="s">
        <v>3309</v>
      </c>
      <c r="B306" s="3105" t="s">
        <v>3310</v>
      </c>
      <c r="C306" s="3105"/>
      <c r="D306" s="3105"/>
      <c r="E306" s="3106"/>
      <c r="F306" s="3108" t="s">
        <v>2012</v>
      </c>
      <c r="G306" s="3109"/>
      <c r="H306" s="3105" t="s">
        <v>3311</v>
      </c>
      <c r="I306" s="3105"/>
      <c r="J306" s="3107"/>
    </row>
    <row r="307" spans="1:10">
      <c r="A307" s="255">
        <v>1</v>
      </c>
      <c r="B307" s="3078" t="s">
        <v>3359</v>
      </c>
      <c r="C307" s="3078"/>
      <c r="D307" s="3078"/>
      <c r="E307" s="3078"/>
      <c r="F307" s="3079">
        <v>1000</v>
      </c>
      <c r="G307" s="3080"/>
      <c r="H307" s="3078">
        <f>F307*A307</f>
        <v>1000</v>
      </c>
      <c r="I307" s="3078"/>
      <c r="J307" s="3081"/>
    </row>
    <row r="308" spans="1:10">
      <c r="A308" s="255" t="s">
        <v>2047</v>
      </c>
      <c r="B308" s="3078" t="s">
        <v>2047</v>
      </c>
      <c r="C308" s="3078"/>
      <c r="D308" s="3078"/>
      <c r="E308" s="3078"/>
      <c r="F308" s="3079" t="s">
        <v>2047</v>
      </c>
      <c r="G308" s="3080"/>
      <c r="H308" s="3078" t="s">
        <v>2047</v>
      </c>
      <c r="I308" s="3078"/>
      <c r="J308" s="3081"/>
    </row>
    <row r="309" spans="1:10">
      <c r="A309" s="255" t="s">
        <v>2047</v>
      </c>
      <c r="B309" s="256" t="s">
        <v>2047</v>
      </c>
      <c r="C309" s="256" t="s">
        <v>2047</v>
      </c>
      <c r="D309" s="256" t="s">
        <v>2047</v>
      </c>
      <c r="E309" s="256" t="s">
        <v>2047</v>
      </c>
      <c r="F309" s="3079" t="s">
        <v>2047</v>
      </c>
      <c r="G309" s="3080"/>
      <c r="H309" s="3078" t="s">
        <v>3313</v>
      </c>
      <c r="I309" s="3078"/>
      <c r="J309" s="3081"/>
    </row>
    <row r="310" spans="1:10">
      <c r="A310" s="245" t="s">
        <v>2047</v>
      </c>
      <c r="B310" s="228" t="s">
        <v>2047</v>
      </c>
      <c r="C310" s="228" t="s">
        <v>2047</v>
      </c>
      <c r="D310" s="228" t="s">
        <v>2047</v>
      </c>
      <c r="E310" s="228" t="s">
        <v>2047</v>
      </c>
      <c r="F310" s="3046" t="s">
        <v>2047</v>
      </c>
      <c r="G310" s="3047"/>
      <c r="H310" s="3048" t="s">
        <v>3313</v>
      </c>
      <c r="I310" s="3048"/>
      <c r="J310" s="3049"/>
    </row>
    <row r="311" spans="1:10">
      <c r="A311" s="245" t="s">
        <v>2047</v>
      </c>
      <c r="B311" s="228" t="s">
        <v>2047</v>
      </c>
      <c r="C311" s="228" t="s">
        <v>2047</v>
      </c>
      <c r="D311" s="228" t="s">
        <v>2047</v>
      </c>
      <c r="E311" s="228" t="s">
        <v>2047</v>
      </c>
      <c r="F311" s="3046" t="s">
        <v>2047</v>
      </c>
      <c r="G311" s="3047"/>
      <c r="H311" s="3048" t="s">
        <v>3313</v>
      </c>
      <c r="I311" s="3048"/>
      <c r="J311" s="3049"/>
    </row>
    <row r="312" spans="1:10">
      <c r="A312" s="245" t="s">
        <v>2047</v>
      </c>
      <c r="B312" s="228" t="s">
        <v>2047</v>
      </c>
      <c r="C312" s="228" t="s">
        <v>2047</v>
      </c>
      <c r="D312" s="228" t="s">
        <v>2047</v>
      </c>
      <c r="E312" s="228" t="s">
        <v>2047</v>
      </c>
      <c r="F312" s="3046" t="s">
        <v>2047</v>
      </c>
      <c r="G312" s="3047"/>
      <c r="H312" s="3048" t="s">
        <v>3313</v>
      </c>
      <c r="I312" s="3048"/>
      <c r="J312" s="3049"/>
    </row>
    <row r="313" spans="1:10">
      <c r="A313" s="245" t="s">
        <v>2047</v>
      </c>
      <c r="B313" s="228" t="s">
        <v>2047</v>
      </c>
      <c r="C313" s="228" t="s">
        <v>2047</v>
      </c>
      <c r="D313" s="228" t="s">
        <v>2047</v>
      </c>
      <c r="E313" s="228" t="s">
        <v>2047</v>
      </c>
      <c r="F313" s="3046" t="s">
        <v>2047</v>
      </c>
      <c r="G313" s="3047"/>
      <c r="H313" s="3048" t="s">
        <v>3313</v>
      </c>
      <c r="I313" s="3048"/>
      <c r="J313" s="3049"/>
    </row>
    <row r="314" spans="1:10">
      <c r="A314" s="245" t="s">
        <v>2047</v>
      </c>
      <c r="B314" s="228" t="s">
        <v>2047</v>
      </c>
      <c r="C314" s="228" t="s">
        <v>2047</v>
      </c>
      <c r="D314" s="228" t="s">
        <v>2047</v>
      </c>
      <c r="E314" s="228" t="s">
        <v>2047</v>
      </c>
      <c r="F314" s="3046" t="s">
        <v>2047</v>
      </c>
      <c r="G314" s="3047"/>
      <c r="H314" s="3048" t="s">
        <v>3313</v>
      </c>
      <c r="I314" s="3048"/>
      <c r="J314" s="3049"/>
    </row>
    <row r="315" spans="1:10">
      <c r="A315" s="245" t="s">
        <v>2047</v>
      </c>
      <c r="B315" s="228" t="s">
        <v>2047</v>
      </c>
      <c r="C315" s="228" t="s">
        <v>2047</v>
      </c>
      <c r="D315" s="228" t="s">
        <v>2047</v>
      </c>
      <c r="E315" s="228" t="s">
        <v>2047</v>
      </c>
      <c r="F315" s="3046" t="s">
        <v>2047</v>
      </c>
      <c r="G315" s="3047"/>
      <c r="H315" s="3048" t="s">
        <v>3313</v>
      </c>
      <c r="I315" s="3048"/>
      <c r="J315" s="3049"/>
    </row>
    <row r="316" spans="1:10">
      <c r="A316" s="1754" t="s">
        <v>2580</v>
      </c>
      <c r="B316" s="227" t="s">
        <v>2047</v>
      </c>
      <c r="C316" s="227" t="s">
        <v>2047</v>
      </c>
      <c r="D316" s="227" t="s">
        <v>2047</v>
      </c>
      <c r="E316" s="3050" t="s">
        <v>3314</v>
      </c>
      <c r="F316" s="3051"/>
      <c r="G316" s="3052">
        <f>H307</f>
        <v>1000</v>
      </c>
      <c r="H316" s="3052"/>
      <c r="I316" s="3053"/>
      <c r="J316" s="246"/>
    </row>
    <row r="317" spans="1:10">
      <c r="A317" s="247" t="s">
        <v>2047</v>
      </c>
      <c r="B317" s="229" t="s">
        <v>2047</v>
      </c>
      <c r="C317" s="229" t="s">
        <v>2047</v>
      </c>
      <c r="D317" s="229" t="s">
        <v>2047</v>
      </c>
      <c r="E317" s="229" t="s">
        <v>2047</v>
      </c>
      <c r="F317" s="230" t="s">
        <v>3315</v>
      </c>
      <c r="G317" s="231" t="s">
        <v>3316</v>
      </c>
      <c r="H317" s="3054" t="s">
        <v>3317</v>
      </c>
      <c r="I317" s="3054"/>
      <c r="J317" s="3055"/>
    </row>
    <row r="318" spans="1:10">
      <c r="A318" s="3056" t="s">
        <v>3318</v>
      </c>
      <c r="B318" s="3057"/>
      <c r="C318" s="3057"/>
      <c r="D318" s="3057"/>
      <c r="E318" s="3058"/>
      <c r="F318" s="3062" t="s">
        <v>1990</v>
      </c>
      <c r="G318" s="3063"/>
      <c r="H318" s="3066">
        <f>G316</f>
        <v>1000</v>
      </c>
      <c r="I318" s="3067"/>
      <c r="J318" s="3068"/>
    </row>
    <row r="319" spans="1:10">
      <c r="A319" s="3059"/>
      <c r="B319" s="3060"/>
      <c r="C319" s="3060"/>
      <c r="D319" s="3060"/>
      <c r="E319" s="3061"/>
      <c r="F319" s="3064"/>
      <c r="G319" s="3065"/>
      <c r="H319" s="3069"/>
      <c r="I319" s="3070"/>
      <c r="J319" s="3071"/>
    </row>
    <row r="320" spans="1:10">
      <c r="A320" s="3072" t="s">
        <v>3319</v>
      </c>
      <c r="B320" s="3073"/>
      <c r="C320" s="3073"/>
      <c r="D320" s="3073"/>
      <c r="E320" s="3073"/>
      <c r="F320" s="3073"/>
      <c r="G320" s="3073"/>
      <c r="H320" s="3073"/>
      <c r="I320" s="3073"/>
      <c r="J320" s="3074"/>
    </row>
    <row r="321" spans="1:10">
      <c r="A321" s="3075"/>
      <c r="B321" s="3076"/>
      <c r="C321" s="3076"/>
      <c r="D321" s="3076"/>
      <c r="E321" s="3076"/>
      <c r="F321" s="3076"/>
      <c r="G321" s="3076"/>
      <c r="H321" s="3076"/>
      <c r="I321" s="3076"/>
      <c r="J321" s="3077"/>
    </row>
    <row r="324" spans="1:10">
      <c r="A324" s="238" t="s">
        <v>2047</v>
      </c>
      <c r="B324" s="239" t="s">
        <v>2047</v>
      </c>
      <c r="C324" s="3082" t="s">
        <v>3292</v>
      </c>
      <c r="D324" s="3082"/>
      <c r="E324" s="3082"/>
      <c r="F324" s="3083"/>
      <c r="G324" s="239" t="s">
        <v>2047</v>
      </c>
      <c r="H324" s="1755" t="s">
        <v>2047</v>
      </c>
      <c r="I324" s="1755" t="s">
        <v>2047</v>
      </c>
      <c r="J324" s="240" t="s">
        <v>2047</v>
      </c>
    </row>
    <row r="325" spans="1:10" ht="15.6">
      <c r="A325" s="241" t="s">
        <v>2047</v>
      </c>
      <c r="B325" s="223"/>
      <c r="C325" s="3084" t="s">
        <v>2045</v>
      </c>
      <c r="D325" s="3084"/>
      <c r="E325" s="3084"/>
      <c r="F325" s="3085"/>
      <c r="G325" s="1756" t="s">
        <v>2047</v>
      </c>
      <c r="H325" s="3086" t="s">
        <v>3361</v>
      </c>
      <c r="I325" s="3086"/>
      <c r="J325" s="242" t="s">
        <v>2047</v>
      </c>
    </row>
    <row r="326" spans="1:10" ht="17.45">
      <c r="A326" s="241" t="s">
        <v>2047</v>
      </c>
      <c r="B326" s="224"/>
      <c r="C326" s="3088" t="s">
        <v>3294</v>
      </c>
      <c r="D326" s="3088"/>
      <c r="E326" s="3088"/>
      <c r="F326" s="3089"/>
      <c r="G326" s="225" t="s">
        <v>3295</v>
      </c>
      <c r="H326" s="3087"/>
      <c r="I326" s="3087"/>
      <c r="J326" s="242" t="s">
        <v>2047</v>
      </c>
    </row>
    <row r="327" spans="1:10">
      <c r="A327" s="241" t="s">
        <v>2047</v>
      </c>
      <c r="B327" s="224" t="s">
        <v>2047</v>
      </c>
      <c r="C327" s="3090" t="s">
        <v>3296</v>
      </c>
      <c r="D327" s="3090"/>
      <c r="E327" s="3090"/>
      <c r="F327" s="3091"/>
      <c r="G327" s="1756" t="s">
        <v>2047</v>
      </c>
      <c r="H327" s="226" t="s">
        <v>2047</v>
      </c>
      <c r="I327" s="226" t="s">
        <v>2047</v>
      </c>
      <c r="J327" s="243" t="s">
        <v>2047</v>
      </c>
    </row>
    <row r="328" spans="1:10" ht="31.9">
      <c r="A328" s="234" t="s">
        <v>3297</v>
      </c>
      <c r="B328" s="3092" t="s">
        <v>3339</v>
      </c>
      <c r="C328" s="3093"/>
      <c r="D328" s="3093"/>
      <c r="E328" s="3094"/>
      <c r="F328" s="233" t="s">
        <v>3299</v>
      </c>
      <c r="G328" s="232" t="s">
        <v>3340</v>
      </c>
      <c r="H328" s="1757" t="s">
        <v>3301</v>
      </c>
      <c r="I328" s="1757" t="s">
        <v>3302</v>
      </c>
      <c r="J328" s="244" t="s">
        <v>3303</v>
      </c>
    </row>
    <row r="329" spans="1:10">
      <c r="A329" s="3095"/>
      <c r="B329" s="3096"/>
      <c r="C329" s="3096"/>
      <c r="D329" s="3096"/>
      <c r="E329" s="3097"/>
      <c r="F329" s="3105"/>
      <c r="G329" s="3106"/>
      <c r="H329" s="248">
        <v>11</v>
      </c>
      <c r="I329" s="248">
        <v>5</v>
      </c>
      <c r="J329" s="249">
        <v>2021</v>
      </c>
    </row>
    <row r="330" spans="1:10">
      <c r="A330" s="3098" t="s">
        <v>3304</v>
      </c>
      <c r="B330" s="3099"/>
      <c r="C330" s="3099"/>
      <c r="D330" s="3099"/>
      <c r="E330" s="3110"/>
      <c r="F330" s="250" t="s">
        <v>3305</v>
      </c>
      <c r="G330" s="1753" t="s">
        <v>2047</v>
      </c>
      <c r="H330" s="251" t="s">
        <v>3306</v>
      </c>
      <c r="I330" s="252" t="s">
        <v>2047</v>
      </c>
      <c r="J330" s="253" t="s">
        <v>2047</v>
      </c>
    </row>
    <row r="331" spans="1:10">
      <c r="A331" s="3098" t="s">
        <v>3341</v>
      </c>
      <c r="B331" s="3099"/>
      <c r="C331" s="3099"/>
      <c r="D331" s="3099"/>
      <c r="E331" s="3110"/>
      <c r="F331" s="3105">
        <v>4641136</v>
      </c>
      <c r="G331" s="3106"/>
      <c r="H331" s="3105" t="s">
        <v>125</v>
      </c>
      <c r="I331" s="3105"/>
      <c r="J331" s="3107"/>
    </row>
    <row r="332" spans="1:10">
      <c r="A332" s="254" t="s">
        <v>3309</v>
      </c>
      <c r="B332" s="3105" t="s">
        <v>3310</v>
      </c>
      <c r="C332" s="3105"/>
      <c r="D332" s="3105"/>
      <c r="E332" s="3106"/>
      <c r="F332" s="3108" t="s">
        <v>2012</v>
      </c>
      <c r="G332" s="3109"/>
      <c r="H332" s="3105" t="s">
        <v>3311</v>
      </c>
      <c r="I332" s="3105"/>
      <c r="J332" s="3107"/>
    </row>
    <row r="333" spans="1:10">
      <c r="A333" s="255">
        <v>2</v>
      </c>
      <c r="B333" s="3078" t="s">
        <v>3342</v>
      </c>
      <c r="C333" s="3078"/>
      <c r="D333" s="3078"/>
      <c r="E333" s="3078"/>
      <c r="F333" s="3079">
        <v>2000</v>
      </c>
      <c r="G333" s="3080"/>
      <c r="H333" s="3078">
        <f>F333*A333</f>
        <v>4000</v>
      </c>
      <c r="I333" s="3078"/>
      <c r="J333" s="3081"/>
    </row>
    <row r="334" spans="1:10">
      <c r="A334" s="255" t="s">
        <v>2047</v>
      </c>
      <c r="B334" s="3078" t="s">
        <v>2047</v>
      </c>
      <c r="C334" s="3078"/>
      <c r="D334" s="3078"/>
      <c r="E334" s="3078"/>
      <c r="F334" s="3079" t="s">
        <v>2047</v>
      </c>
      <c r="G334" s="3080"/>
      <c r="H334" s="3078" t="s">
        <v>2047</v>
      </c>
      <c r="I334" s="3078"/>
      <c r="J334" s="3081"/>
    </row>
    <row r="335" spans="1:10">
      <c r="A335" s="255" t="s">
        <v>2047</v>
      </c>
      <c r="B335" s="256" t="s">
        <v>2047</v>
      </c>
      <c r="C335" s="256" t="s">
        <v>2047</v>
      </c>
      <c r="D335" s="256" t="s">
        <v>2047</v>
      </c>
      <c r="E335" s="256" t="s">
        <v>2047</v>
      </c>
      <c r="F335" s="3079" t="s">
        <v>2047</v>
      </c>
      <c r="G335" s="3080"/>
      <c r="H335" s="3078" t="s">
        <v>3313</v>
      </c>
      <c r="I335" s="3078"/>
      <c r="J335" s="3081"/>
    </row>
    <row r="336" spans="1:10">
      <c r="A336" s="245" t="s">
        <v>2047</v>
      </c>
      <c r="B336" s="228" t="s">
        <v>2047</v>
      </c>
      <c r="C336" s="228" t="s">
        <v>2047</v>
      </c>
      <c r="D336" s="228" t="s">
        <v>2047</v>
      </c>
      <c r="E336" s="228" t="s">
        <v>2047</v>
      </c>
      <c r="F336" s="3046" t="s">
        <v>2047</v>
      </c>
      <c r="G336" s="3047"/>
      <c r="H336" s="3048" t="s">
        <v>3313</v>
      </c>
      <c r="I336" s="3048"/>
      <c r="J336" s="3049"/>
    </row>
    <row r="337" spans="1:10">
      <c r="A337" s="245" t="s">
        <v>2047</v>
      </c>
      <c r="B337" s="228" t="s">
        <v>2047</v>
      </c>
      <c r="C337" s="228" t="s">
        <v>2047</v>
      </c>
      <c r="D337" s="228" t="s">
        <v>2047</v>
      </c>
      <c r="E337" s="228" t="s">
        <v>2047</v>
      </c>
      <c r="F337" s="3046" t="s">
        <v>2047</v>
      </c>
      <c r="G337" s="3047"/>
      <c r="H337" s="3048" t="s">
        <v>3313</v>
      </c>
      <c r="I337" s="3048"/>
      <c r="J337" s="3049"/>
    </row>
    <row r="338" spans="1:10">
      <c r="A338" s="245" t="s">
        <v>2047</v>
      </c>
      <c r="B338" s="228" t="s">
        <v>2047</v>
      </c>
      <c r="C338" s="228" t="s">
        <v>2047</v>
      </c>
      <c r="D338" s="228" t="s">
        <v>2047</v>
      </c>
      <c r="E338" s="228" t="s">
        <v>2047</v>
      </c>
      <c r="F338" s="3046" t="s">
        <v>2047</v>
      </c>
      <c r="G338" s="3047"/>
      <c r="H338" s="3048" t="s">
        <v>3313</v>
      </c>
      <c r="I338" s="3048"/>
      <c r="J338" s="3049"/>
    </row>
    <row r="339" spans="1:10">
      <c r="A339" s="245" t="s">
        <v>2047</v>
      </c>
      <c r="B339" s="228" t="s">
        <v>2047</v>
      </c>
      <c r="C339" s="228" t="s">
        <v>2047</v>
      </c>
      <c r="D339" s="228" t="s">
        <v>2047</v>
      </c>
      <c r="E339" s="228" t="s">
        <v>2047</v>
      </c>
      <c r="F339" s="3046" t="s">
        <v>2047</v>
      </c>
      <c r="G339" s="3047"/>
      <c r="H339" s="3048" t="s">
        <v>3313</v>
      </c>
      <c r="I339" s="3048"/>
      <c r="J339" s="3049"/>
    </row>
    <row r="340" spans="1:10">
      <c r="A340" s="245" t="s">
        <v>2047</v>
      </c>
      <c r="B340" s="228" t="s">
        <v>2047</v>
      </c>
      <c r="C340" s="228" t="s">
        <v>2047</v>
      </c>
      <c r="D340" s="228" t="s">
        <v>2047</v>
      </c>
      <c r="E340" s="228" t="s">
        <v>2047</v>
      </c>
      <c r="F340" s="3046" t="s">
        <v>2047</v>
      </c>
      <c r="G340" s="3047"/>
      <c r="H340" s="3048" t="s">
        <v>3313</v>
      </c>
      <c r="I340" s="3048"/>
      <c r="J340" s="3049"/>
    </row>
    <row r="341" spans="1:10">
      <c r="A341" s="245" t="s">
        <v>2047</v>
      </c>
      <c r="B341" s="228" t="s">
        <v>2047</v>
      </c>
      <c r="C341" s="228" t="s">
        <v>2047</v>
      </c>
      <c r="D341" s="228" t="s">
        <v>2047</v>
      </c>
      <c r="E341" s="228" t="s">
        <v>2047</v>
      </c>
      <c r="F341" s="3046" t="s">
        <v>2047</v>
      </c>
      <c r="G341" s="3047"/>
      <c r="H341" s="3048" t="s">
        <v>3313</v>
      </c>
      <c r="I341" s="3048"/>
      <c r="J341" s="3049"/>
    </row>
    <row r="342" spans="1:10">
      <c r="A342" s="1754" t="s">
        <v>2580</v>
      </c>
      <c r="B342" s="227" t="s">
        <v>2047</v>
      </c>
      <c r="C342" s="227" t="s">
        <v>2047</v>
      </c>
      <c r="D342" s="227" t="s">
        <v>2047</v>
      </c>
      <c r="E342" s="3050" t="s">
        <v>3314</v>
      </c>
      <c r="F342" s="3051"/>
      <c r="G342" s="3052">
        <f>H333</f>
        <v>4000</v>
      </c>
      <c r="H342" s="3052"/>
      <c r="I342" s="3053"/>
      <c r="J342" s="246"/>
    </row>
    <row r="343" spans="1:10">
      <c r="A343" s="247" t="s">
        <v>2047</v>
      </c>
      <c r="B343" s="229" t="s">
        <v>2047</v>
      </c>
      <c r="C343" s="229" t="s">
        <v>2047</v>
      </c>
      <c r="D343" s="229" t="s">
        <v>2047</v>
      </c>
      <c r="E343" s="229" t="s">
        <v>2047</v>
      </c>
      <c r="F343" s="230" t="s">
        <v>3315</v>
      </c>
      <c r="G343" s="231" t="s">
        <v>3316</v>
      </c>
      <c r="H343" s="3054" t="s">
        <v>3317</v>
      </c>
      <c r="I343" s="3054"/>
      <c r="J343" s="3055"/>
    </row>
    <row r="344" spans="1:10">
      <c r="A344" s="3056" t="s">
        <v>3318</v>
      </c>
      <c r="B344" s="3057"/>
      <c r="C344" s="3057"/>
      <c r="D344" s="3057"/>
      <c r="E344" s="3058"/>
      <c r="F344" s="3062" t="s">
        <v>1990</v>
      </c>
      <c r="G344" s="3063"/>
      <c r="H344" s="3066">
        <f>G342</f>
        <v>4000</v>
      </c>
      <c r="I344" s="3067"/>
      <c r="J344" s="3068"/>
    </row>
    <row r="345" spans="1:10">
      <c r="A345" s="3059"/>
      <c r="B345" s="3060"/>
      <c r="C345" s="3060"/>
      <c r="D345" s="3060"/>
      <c r="E345" s="3061"/>
      <c r="F345" s="3064"/>
      <c r="G345" s="3065"/>
      <c r="H345" s="3069"/>
      <c r="I345" s="3070"/>
      <c r="J345" s="3071"/>
    </row>
    <row r="346" spans="1:10">
      <c r="A346" s="3072" t="s">
        <v>3319</v>
      </c>
      <c r="B346" s="3073"/>
      <c r="C346" s="3073"/>
      <c r="D346" s="3073"/>
      <c r="E346" s="3073"/>
      <c r="F346" s="3073"/>
      <c r="G346" s="3073"/>
      <c r="H346" s="3073"/>
      <c r="I346" s="3073"/>
      <c r="J346" s="3074"/>
    </row>
    <row r="347" spans="1:10">
      <c r="A347" s="3075"/>
      <c r="B347" s="3076"/>
      <c r="C347" s="3076"/>
      <c r="D347" s="3076"/>
      <c r="E347" s="3076"/>
      <c r="F347" s="3076"/>
      <c r="G347" s="3076"/>
      <c r="H347" s="3076"/>
      <c r="I347" s="3076"/>
      <c r="J347" s="3077"/>
    </row>
    <row r="350" spans="1:10">
      <c r="A350" s="238" t="s">
        <v>2047</v>
      </c>
      <c r="B350" s="239" t="s">
        <v>2047</v>
      </c>
      <c r="C350" s="3082" t="s">
        <v>3292</v>
      </c>
      <c r="D350" s="3082"/>
      <c r="E350" s="3082"/>
      <c r="F350" s="3083"/>
      <c r="G350" s="239" t="s">
        <v>2047</v>
      </c>
      <c r="H350" s="1755" t="s">
        <v>2047</v>
      </c>
      <c r="I350" s="1755" t="s">
        <v>2047</v>
      </c>
      <c r="J350" s="240" t="s">
        <v>2047</v>
      </c>
    </row>
    <row r="351" spans="1:10" ht="15.6">
      <c r="A351" s="241" t="s">
        <v>2047</v>
      </c>
      <c r="B351" s="223"/>
      <c r="C351" s="3084" t="s">
        <v>2045</v>
      </c>
      <c r="D351" s="3084"/>
      <c r="E351" s="3084"/>
      <c r="F351" s="3085"/>
      <c r="G351" s="1756" t="s">
        <v>2047</v>
      </c>
      <c r="H351" s="3086" t="s">
        <v>3362</v>
      </c>
      <c r="I351" s="3086"/>
      <c r="J351" s="242" t="s">
        <v>2047</v>
      </c>
    </row>
    <row r="352" spans="1:10" ht="17.45">
      <c r="A352" s="241" t="s">
        <v>2047</v>
      </c>
      <c r="B352" s="224"/>
      <c r="C352" s="3088" t="s">
        <v>3294</v>
      </c>
      <c r="D352" s="3088"/>
      <c r="E352" s="3088"/>
      <c r="F352" s="3089"/>
      <c r="G352" s="225" t="s">
        <v>3295</v>
      </c>
      <c r="H352" s="3087"/>
      <c r="I352" s="3087"/>
      <c r="J352" s="242" t="s">
        <v>2047</v>
      </c>
    </row>
    <row r="353" spans="1:10">
      <c r="A353" s="241" t="s">
        <v>2047</v>
      </c>
      <c r="B353" s="224" t="s">
        <v>2047</v>
      </c>
      <c r="C353" s="3090" t="s">
        <v>3296</v>
      </c>
      <c r="D353" s="3090"/>
      <c r="E353" s="3090"/>
      <c r="F353" s="3091"/>
      <c r="G353" s="1756" t="s">
        <v>2047</v>
      </c>
      <c r="H353" s="226" t="s">
        <v>2047</v>
      </c>
      <c r="I353" s="226" t="s">
        <v>2047</v>
      </c>
      <c r="J353" s="243" t="s">
        <v>2047</v>
      </c>
    </row>
    <row r="354" spans="1:10" ht="31.9">
      <c r="A354" s="234" t="s">
        <v>3297</v>
      </c>
      <c r="B354" s="3092" t="s">
        <v>3329</v>
      </c>
      <c r="C354" s="3093"/>
      <c r="D354" s="3093"/>
      <c r="E354" s="3094"/>
      <c r="F354" s="233" t="s">
        <v>3299</v>
      </c>
      <c r="G354" s="232"/>
      <c r="H354" s="1757" t="s">
        <v>3301</v>
      </c>
      <c r="I354" s="1757" t="s">
        <v>3302</v>
      </c>
      <c r="J354" s="244" t="s">
        <v>3303</v>
      </c>
    </row>
    <row r="355" spans="1:10">
      <c r="A355" s="3095"/>
      <c r="B355" s="3096"/>
      <c r="C355" s="3096"/>
      <c r="D355" s="3096"/>
      <c r="E355" s="3097"/>
      <c r="F355" s="3105"/>
      <c r="G355" s="3106"/>
      <c r="H355" s="248">
        <v>27</v>
      </c>
      <c r="I355" s="248">
        <v>5</v>
      </c>
      <c r="J355" s="249">
        <v>2021</v>
      </c>
    </row>
    <row r="356" spans="1:10">
      <c r="A356" s="3098" t="s">
        <v>3304</v>
      </c>
      <c r="B356" s="3099"/>
      <c r="C356" s="3099"/>
      <c r="D356" s="3099"/>
      <c r="E356" s="3110"/>
      <c r="F356" s="250" t="s">
        <v>3305</v>
      </c>
      <c r="G356" s="1753" t="s">
        <v>2047</v>
      </c>
      <c r="H356" s="251" t="s">
        <v>3306</v>
      </c>
      <c r="I356" s="252" t="s">
        <v>2047</v>
      </c>
      <c r="J356" s="253" t="s">
        <v>2047</v>
      </c>
    </row>
    <row r="357" spans="1:10">
      <c r="A357" s="3098" t="s">
        <v>3330</v>
      </c>
      <c r="B357" s="3099"/>
      <c r="C357" s="3099"/>
      <c r="D357" s="3099"/>
      <c r="E357" s="3110"/>
      <c r="F357" s="3105">
        <v>4614611</v>
      </c>
      <c r="G357" s="3106"/>
      <c r="H357" s="3105" t="s">
        <v>125</v>
      </c>
      <c r="I357" s="3105"/>
      <c r="J357" s="3107"/>
    </row>
    <row r="358" spans="1:10">
      <c r="A358" s="254" t="s">
        <v>3309</v>
      </c>
      <c r="B358" s="3105" t="s">
        <v>3310</v>
      </c>
      <c r="C358" s="3105"/>
      <c r="D358" s="3105"/>
      <c r="E358" s="3106"/>
      <c r="F358" s="3108" t="s">
        <v>2012</v>
      </c>
      <c r="G358" s="3109"/>
      <c r="H358" s="3105" t="s">
        <v>3311</v>
      </c>
      <c r="I358" s="3105"/>
      <c r="J358" s="3107"/>
    </row>
    <row r="359" spans="1:10">
      <c r="A359" s="255">
        <v>1</v>
      </c>
      <c r="B359" s="3078" t="s">
        <v>3363</v>
      </c>
      <c r="C359" s="3078"/>
      <c r="D359" s="3078"/>
      <c r="E359" s="3078"/>
      <c r="F359" s="3079">
        <v>5900</v>
      </c>
      <c r="G359" s="3080"/>
      <c r="H359" s="3078">
        <f>F359*A359</f>
        <v>5900</v>
      </c>
      <c r="I359" s="3078"/>
      <c r="J359" s="3081"/>
    </row>
    <row r="360" spans="1:10">
      <c r="A360" s="255" t="s">
        <v>2047</v>
      </c>
      <c r="B360" s="3078" t="s">
        <v>2047</v>
      </c>
      <c r="C360" s="3078"/>
      <c r="D360" s="3078"/>
      <c r="E360" s="3078"/>
      <c r="F360" s="3079" t="s">
        <v>2047</v>
      </c>
      <c r="G360" s="3080"/>
      <c r="H360" s="3078" t="s">
        <v>2047</v>
      </c>
      <c r="I360" s="3078"/>
      <c r="J360" s="3081"/>
    </row>
    <row r="361" spans="1:10">
      <c r="A361" s="255" t="s">
        <v>2047</v>
      </c>
      <c r="B361" s="256" t="s">
        <v>2047</v>
      </c>
      <c r="C361" s="256" t="s">
        <v>2047</v>
      </c>
      <c r="D361" s="256" t="s">
        <v>2047</v>
      </c>
      <c r="E361" s="256" t="s">
        <v>2047</v>
      </c>
      <c r="F361" s="3079" t="s">
        <v>2047</v>
      </c>
      <c r="G361" s="3080"/>
      <c r="H361" s="3078" t="s">
        <v>3313</v>
      </c>
      <c r="I361" s="3078"/>
      <c r="J361" s="3081"/>
    </row>
    <row r="362" spans="1:10">
      <c r="A362" s="245" t="s">
        <v>2047</v>
      </c>
      <c r="B362" s="228" t="s">
        <v>2047</v>
      </c>
      <c r="C362" s="228" t="s">
        <v>2047</v>
      </c>
      <c r="D362" s="228" t="s">
        <v>2047</v>
      </c>
      <c r="E362" s="228" t="s">
        <v>2047</v>
      </c>
      <c r="F362" s="3046" t="s">
        <v>2047</v>
      </c>
      <c r="G362" s="3047"/>
      <c r="H362" s="3048" t="s">
        <v>3313</v>
      </c>
      <c r="I362" s="3048"/>
      <c r="J362" s="3049"/>
    </row>
    <row r="363" spans="1:10">
      <c r="A363" s="245" t="s">
        <v>2047</v>
      </c>
      <c r="B363" s="228" t="s">
        <v>2047</v>
      </c>
      <c r="C363" s="228" t="s">
        <v>2047</v>
      </c>
      <c r="D363" s="228" t="s">
        <v>2047</v>
      </c>
      <c r="E363" s="228" t="s">
        <v>2047</v>
      </c>
      <c r="F363" s="3046" t="s">
        <v>2047</v>
      </c>
      <c r="G363" s="3047"/>
      <c r="H363" s="3048" t="s">
        <v>3313</v>
      </c>
      <c r="I363" s="3048"/>
      <c r="J363" s="3049"/>
    </row>
    <row r="364" spans="1:10">
      <c r="A364" s="245" t="s">
        <v>2047</v>
      </c>
      <c r="B364" s="228" t="s">
        <v>2047</v>
      </c>
      <c r="C364" s="228" t="s">
        <v>2047</v>
      </c>
      <c r="D364" s="228" t="s">
        <v>2047</v>
      </c>
      <c r="E364" s="228" t="s">
        <v>2047</v>
      </c>
      <c r="F364" s="3046" t="s">
        <v>2047</v>
      </c>
      <c r="G364" s="3047"/>
      <c r="H364" s="3048" t="s">
        <v>3313</v>
      </c>
      <c r="I364" s="3048"/>
      <c r="J364" s="3049"/>
    </row>
    <row r="365" spans="1:10">
      <c r="A365" s="245" t="s">
        <v>2047</v>
      </c>
      <c r="B365" s="228" t="s">
        <v>2047</v>
      </c>
      <c r="C365" s="228" t="s">
        <v>2047</v>
      </c>
      <c r="D365" s="228" t="s">
        <v>2047</v>
      </c>
      <c r="E365" s="228" t="s">
        <v>2047</v>
      </c>
      <c r="F365" s="3046" t="s">
        <v>2047</v>
      </c>
      <c r="G365" s="3047"/>
      <c r="H365" s="3048" t="s">
        <v>3313</v>
      </c>
      <c r="I365" s="3048"/>
      <c r="J365" s="3049"/>
    </row>
    <row r="366" spans="1:10">
      <c r="A366" s="245" t="s">
        <v>2047</v>
      </c>
      <c r="B366" s="228" t="s">
        <v>2047</v>
      </c>
      <c r="C366" s="228" t="s">
        <v>2047</v>
      </c>
      <c r="D366" s="228" t="s">
        <v>2047</v>
      </c>
      <c r="E366" s="228" t="s">
        <v>2047</v>
      </c>
      <c r="F366" s="3046" t="s">
        <v>2047</v>
      </c>
      <c r="G366" s="3047"/>
      <c r="H366" s="3048" t="s">
        <v>3313</v>
      </c>
      <c r="I366" s="3048"/>
      <c r="J366" s="3049"/>
    </row>
    <row r="367" spans="1:10">
      <c r="A367" s="245" t="s">
        <v>2047</v>
      </c>
      <c r="B367" s="228" t="s">
        <v>2047</v>
      </c>
      <c r="C367" s="228" t="s">
        <v>2047</v>
      </c>
      <c r="D367" s="228" t="s">
        <v>2047</v>
      </c>
      <c r="E367" s="228" t="s">
        <v>2047</v>
      </c>
      <c r="F367" s="3046" t="s">
        <v>2047</v>
      </c>
      <c r="G367" s="3047"/>
      <c r="H367" s="3048" t="s">
        <v>3313</v>
      </c>
      <c r="I367" s="3048"/>
      <c r="J367" s="3049"/>
    </row>
    <row r="368" spans="1:10">
      <c r="A368" s="1754" t="s">
        <v>2580</v>
      </c>
      <c r="B368" s="227" t="s">
        <v>2047</v>
      </c>
      <c r="C368" s="227" t="s">
        <v>2047</v>
      </c>
      <c r="D368" s="227" t="s">
        <v>2047</v>
      </c>
      <c r="E368" s="3050" t="s">
        <v>3314</v>
      </c>
      <c r="F368" s="3051"/>
      <c r="G368" s="3052">
        <f>H359</f>
        <v>5900</v>
      </c>
      <c r="H368" s="3052"/>
      <c r="I368" s="3053"/>
      <c r="J368" s="246"/>
    </row>
    <row r="369" spans="1:10">
      <c r="A369" s="247" t="s">
        <v>2047</v>
      </c>
      <c r="B369" s="229" t="s">
        <v>2047</v>
      </c>
      <c r="C369" s="229" t="s">
        <v>2047</v>
      </c>
      <c r="D369" s="229" t="s">
        <v>2047</v>
      </c>
      <c r="E369" s="229" t="s">
        <v>2047</v>
      </c>
      <c r="F369" s="230" t="s">
        <v>3315</v>
      </c>
      <c r="G369" s="231" t="s">
        <v>3316</v>
      </c>
      <c r="H369" s="3054" t="s">
        <v>3317</v>
      </c>
      <c r="I369" s="3054"/>
      <c r="J369" s="3055"/>
    </row>
    <row r="370" spans="1:10">
      <c r="A370" s="3056" t="s">
        <v>3318</v>
      </c>
      <c r="B370" s="3057"/>
      <c r="C370" s="3057"/>
      <c r="D370" s="3057"/>
      <c r="E370" s="3058"/>
      <c r="F370" s="3062" t="s">
        <v>1990</v>
      </c>
      <c r="G370" s="3063"/>
      <c r="H370" s="3066">
        <f>G368</f>
        <v>5900</v>
      </c>
      <c r="I370" s="3067"/>
      <c r="J370" s="3068"/>
    </row>
    <row r="371" spans="1:10">
      <c r="A371" s="3059"/>
      <c r="B371" s="3060"/>
      <c r="C371" s="3060"/>
      <c r="D371" s="3060"/>
      <c r="E371" s="3061"/>
      <c r="F371" s="3064"/>
      <c r="G371" s="3065"/>
      <c r="H371" s="3069"/>
      <c r="I371" s="3070"/>
      <c r="J371" s="3071"/>
    </row>
    <row r="372" spans="1:10">
      <c r="A372" s="3072" t="s">
        <v>3319</v>
      </c>
      <c r="B372" s="3073"/>
      <c r="C372" s="3073"/>
      <c r="D372" s="3073"/>
      <c r="E372" s="3073"/>
      <c r="F372" s="3073"/>
      <c r="G372" s="3073"/>
      <c r="H372" s="3073"/>
      <c r="I372" s="3073"/>
      <c r="J372" s="3074"/>
    </row>
    <row r="373" spans="1:10">
      <c r="A373" s="3075"/>
      <c r="B373" s="3076"/>
      <c r="C373" s="3076"/>
      <c r="D373" s="3076"/>
      <c r="E373" s="3076"/>
      <c r="F373" s="3076"/>
      <c r="G373" s="3076"/>
      <c r="H373" s="3076"/>
      <c r="I373" s="3076"/>
      <c r="J373" s="3077"/>
    </row>
    <row r="374" spans="1:10">
      <c r="A374" s="587"/>
      <c r="B374" s="587"/>
      <c r="C374" s="587"/>
      <c r="D374" s="587"/>
      <c r="E374" s="587"/>
      <c r="F374" s="587"/>
      <c r="G374" s="587"/>
      <c r="H374" s="587"/>
      <c r="I374" s="587"/>
      <c r="J374" s="587"/>
    </row>
    <row r="376" spans="1:10">
      <c r="A376" s="238" t="s">
        <v>2047</v>
      </c>
      <c r="B376" s="239" t="s">
        <v>2047</v>
      </c>
      <c r="C376" s="3082" t="s">
        <v>3292</v>
      </c>
      <c r="D376" s="3082"/>
      <c r="E376" s="3082"/>
      <c r="F376" s="3083"/>
      <c r="G376" s="239" t="s">
        <v>2047</v>
      </c>
      <c r="H376" s="1755" t="s">
        <v>2047</v>
      </c>
      <c r="I376" s="1755" t="s">
        <v>2047</v>
      </c>
      <c r="J376" s="240" t="s">
        <v>2047</v>
      </c>
    </row>
    <row r="377" spans="1:10" ht="15.6">
      <c r="A377" s="241" t="s">
        <v>2047</v>
      </c>
      <c r="B377" s="223"/>
      <c r="C377" s="3084" t="s">
        <v>2045</v>
      </c>
      <c r="D377" s="3084"/>
      <c r="E377" s="3084"/>
      <c r="F377" s="3085"/>
      <c r="G377" s="1756" t="s">
        <v>2047</v>
      </c>
      <c r="H377" s="3086" t="s">
        <v>3364</v>
      </c>
      <c r="I377" s="3086"/>
      <c r="J377" s="242" t="s">
        <v>2047</v>
      </c>
    </row>
    <row r="378" spans="1:10" ht="17.45">
      <c r="A378" s="241" t="s">
        <v>2047</v>
      </c>
      <c r="B378" s="224"/>
      <c r="C378" s="3088" t="s">
        <v>3294</v>
      </c>
      <c r="D378" s="3088"/>
      <c r="E378" s="3088"/>
      <c r="F378" s="3089"/>
      <c r="G378" s="225" t="s">
        <v>3295</v>
      </c>
      <c r="H378" s="3087"/>
      <c r="I378" s="3087"/>
      <c r="J378" s="242" t="s">
        <v>2047</v>
      </c>
    </row>
    <row r="379" spans="1:10">
      <c r="A379" s="241" t="s">
        <v>2047</v>
      </c>
      <c r="B379" s="224" t="s">
        <v>2047</v>
      </c>
      <c r="C379" s="3090" t="s">
        <v>3296</v>
      </c>
      <c r="D379" s="3090"/>
      <c r="E379" s="3090"/>
      <c r="F379" s="3091"/>
      <c r="G379" s="1756" t="s">
        <v>2047</v>
      </c>
      <c r="H379" s="226" t="s">
        <v>2047</v>
      </c>
      <c r="I379" s="226" t="s">
        <v>2047</v>
      </c>
      <c r="J379" s="243" t="s">
        <v>2047</v>
      </c>
    </row>
    <row r="380" spans="1:10" ht="31.9">
      <c r="A380" s="234" t="s">
        <v>3297</v>
      </c>
      <c r="B380" s="3092" t="s">
        <v>3365</v>
      </c>
      <c r="C380" s="3093"/>
      <c r="D380" s="3093"/>
      <c r="E380" s="3094"/>
      <c r="F380" s="233" t="s">
        <v>3299</v>
      </c>
      <c r="G380" s="232">
        <v>70720539</v>
      </c>
      <c r="H380" s="1757" t="s">
        <v>3301</v>
      </c>
      <c r="I380" s="1757" t="s">
        <v>3302</v>
      </c>
      <c r="J380" s="244" t="s">
        <v>3303</v>
      </c>
    </row>
    <row r="381" spans="1:10">
      <c r="A381" s="3095"/>
      <c r="B381" s="3096"/>
      <c r="C381" s="3096"/>
      <c r="D381" s="3096"/>
      <c r="E381" s="3097"/>
      <c r="F381" s="3105"/>
      <c r="G381" s="3106"/>
      <c r="H381" s="248">
        <v>4</v>
      </c>
      <c r="I381" s="248">
        <v>6</v>
      </c>
      <c r="J381" s="249">
        <v>2021</v>
      </c>
    </row>
    <row r="382" spans="1:10">
      <c r="A382" s="3098" t="s">
        <v>3304</v>
      </c>
      <c r="B382" s="3099"/>
      <c r="C382" s="3099"/>
      <c r="D382" s="3099"/>
      <c r="E382" s="3110"/>
      <c r="F382" s="250" t="s">
        <v>3305</v>
      </c>
      <c r="G382" s="1753" t="s">
        <v>2047</v>
      </c>
      <c r="H382" s="251" t="s">
        <v>3306</v>
      </c>
      <c r="I382" s="252" t="s">
        <v>2047</v>
      </c>
      <c r="J382" s="253" t="s">
        <v>2047</v>
      </c>
    </row>
    <row r="383" spans="1:10">
      <c r="A383" s="3098" t="s">
        <v>3366</v>
      </c>
      <c r="B383" s="3099"/>
      <c r="C383" s="3099"/>
      <c r="D383" s="3099"/>
      <c r="E383" s="3110"/>
      <c r="F383" s="3105">
        <v>4641136</v>
      </c>
      <c r="G383" s="3106"/>
      <c r="H383" s="3105" t="s">
        <v>125</v>
      </c>
      <c r="I383" s="3105"/>
      <c r="J383" s="3107"/>
    </row>
    <row r="384" spans="1:10">
      <c r="A384" s="254" t="s">
        <v>3309</v>
      </c>
      <c r="B384" s="3105" t="s">
        <v>3310</v>
      </c>
      <c r="C384" s="3105"/>
      <c r="D384" s="3105"/>
      <c r="E384" s="3106"/>
      <c r="F384" s="3108" t="s">
        <v>2012</v>
      </c>
      <c r="G384" s="3109"/>
      <c r="H384" s="3105" t="s">
        <v>3311</v>
      </c>
      <c r="I384" s="3105"/>
      <c r="J384" s="3107"/>
    </row>
    <row r="385" spans="1:10">
      <c r="A385" s="255">
        <v>1</v>
      </c>
      <c r="B385" s="3078" t="s">
        <v>3367</v>
      </c>
      <c r="C385" s="3078"/>
      <c r="D385" s="3078"/>
      <c r="E385" s="3078"/>
      <c r="F385" s="3079">
        <v>2500</v>
      </c>
      <c r="G385" s="3080"/>
      <c r="H385" s="3078">
        <f>F385*A385</f>
        <v>2500</v>
      </c>
      <c r="I385" s="3078"/>
      <c r="J385" s="3081"/>
    </row>
    <row r="386" spans="1:10">
      <c r="A386" s="255" t="s">
        <v>2047</v>
      </c>
      <c r="B386" s="3078" t="s">
        <v>2047</v>
      </c>
      <c r="C386" s="3078"/>
      <c r="D386" s="3078"/>
      <c r="E386" s="3078"/>
      <c r="F386" s="3079" t="s">
        <v>2047</v>
      </c>
      <c r="G386" s="3080"/>
      <c r="H386" s="3078" t="s">
        <v>2047</v>
      </c>
      <c r="I386" s="3078"/>
      <c r="J386" s="3081"/>
    </row>
    <row r="387" spans="1:10">
      <c r="A387" s="255" t="s">
        <v>2047</v>
      </c>
      <c r="B387" s="256" t="s">
        <v>2047</v>
      </c>
      <c r="C387" s="256" t="s">
        <v>2047</v>
      </c>
      <c r="D387" s="256" t="s">
        <v>2047</v>
      </c>
      <c r="E387" s="256" t="s">
        <v>2047</v>
      </c>
      <c r="F387" s="3079" t="s">
        <v>2047</v>
      </c>
      <c r="G387" s="3080"/>
      <c r="H387" s="3078" t="s">
        <v>3313</v>
      </c>
      <c r="I387" s="3078"/>
      <c r="J387" s="3081"/>
    </row>
    <row r="388" spans="1:10">
      <c r="A388" s="245" t="s">
        <v>2047</v>
      </c>
      <c r="B388" s="228" t="s">
        <v>2047</v>
      </c>
      <c r="C388" s="228" t="s">
        <v>2047</v>
      </c>
      <c r="D388" s="228" t="s">
        <v>2047</v>
      </c>
      <c r="E388" s="228" t="s">
        <v>2047</v>
      </c>
      <c r="F388" s="3046" t="s">
        <v>2047</v>
      </c>
      <c r="G388" s="3047"/>
      <c r="H388" s="3048" t="s">
        <v>3313</v>
      </c>
      <c r="I388" s="3048"/>
      <c r="J388" s="3049"/>
    </row>
    <row r="389" spans="1:10">
      <c r="A389" s="245" t="s">
        <v>2047</v>
      </c>
      <c r="B389" s="228" t="s">
        <v>2047</v>
      </c>
      <c r="C389" s="228" t="s">
        <v>2047</v>
      </c>
      <c r="D389" s="228" t="s">
        <v>2047</v>
      </c>
      <c r="E389" s="228" t="s">
        <v>2047</v>
      </c>
      <c r="F389" s="3046" t="s">
        <v>2047</v>
      </c>
      <c r="G389" s="3047"/>
      <c r="H389" s="3048" t="s">
        <v>3313</v>
      </c>
      <c r="I389" s="3048"/>
      <c r="J389" s="3049"/>
    </row>
    <row r="390" spans="1:10">
      <c r="A390" s="245" t="s">
        <v>2047</v>
      </c>
      <c r="B390" s="228" t="s">
        <v>2047</v>
      </c>
      <c r="C390" s="228" t="s">
        <v>2047</v>
      </c>
      <c r="D390" s="228" t="s">
        <v>2047</v>
      </c>
      <c r="E390" s="228" t="s">
        <v>2047</v>
      </c>
      <c r="F390" s="3046" t="s">
        <v>2047</v>
      </c>
      <c r="G390" s="3047"/>
      <c r="H390" s="3048" t="s">
        <v>3313</v>
      </c>
      <c r="I390" s="3048"/>
      <c r="J390" s="3049"/>
    </row>
    <row r="391" spans="1:10">
      <c r="A391" s="245" t="s">
        <v>2047</v>
      </c>
      <c r="B391" s="228" t="s">
        <v>2047</v>
      </c>
      <c r="C391" s="228" t="s">
        <v>2047</v>
      </c>
      <c r="D391" s="228" t="s">
        <v>2047</v>
      </c>
      <c r="E391" s="228" t="s">
        <v>2047</v>
      </c>
      <c r="F391" s="3046" t="s">
        <v>2047</v>
      </c>
      <c r="G391" s="3047"/>
      <c r="H391" s="3048" t="s">
        <v>3313</v>
      </c>
      <c r="I391" s="3048"/>
      <c r="J391" s="3049"/>
    </row>
    <row r="392" spans="1:10">
      <c r="A392" s="245" t="s">
        <v>2047</v>
      </c>
      <c r="B392" s="228" t="s">
        <v>2047</v>
      </c>
      <c r="C392" s="228" t="s">
        <v>2047</v>
      </c>
      <c r="D392" s="228" t="s">
        <v>2047</v>
      </c>
      <c r="E392" s="228" t="s">
        <v>2047</v>
      </c>
      <c r="F392" s="3046" t="s">
        <v>2047</v>
      </c>
      <c r="G392" s="3047"/>
      <c r="H392" s="3048" t="s">
        <v>3313</v>
      </c>
      <c r="I392" s="3048"/>
      <c r="J392" s="3049"/>
    </row>
    <row r="393" spans="1:10">
      <c r="A393" s="245" t="s">
        <v>2047</v>
      </c>
      <c r="B393" s="228" t="s">
        <v>2047</v>
      </c>
      <c r="C393" s="228" t="s">
        <v>2047</v>
      </c>
      <c r="D393" s="228" t="s">
        <v>2047</v>
      </c>
      <c r="E393" s="228" t="s">
        <v>2047</v>
      </c>
      <c r="F393" s="3046" t="s">
        <v>2047</v>
      </c>
      <c r="G393" s="3047"/>
      <c r="H393" s="3048" t="s">
        <v>3313</v>
      </c>
      <c r="I393" s="3048"/>
      <c r="J393" s="3049"/>
    </row>
    <row r="394" spans="1:10">
      <c r="A394" s="1754" t="s">
        <v>2580</v>
      </c>
      <c r="B394" s="227" t="s">
        <v>2047</v>
      </c>
      <c r="C394" s="227" t="s">
        <v>2047</v>
      </c>
      <c r="D394" s="227" t="s">
        <v>2047</v>
      </c>
      <c r="E394" s="3050" t="s">
        <v>3314</v>
      </c>
      <c r="F394" s="3051"/>
      <c r="G394" s="3052">
        <f>H385</f>
        <v>2500</v>
      </c>
      <c r="H394" s="3052"/>
      <c r="I394" s="3053"/>
      <c r="J394" s="246"/>
    </row>
    <row r="395" spans="1:10">
      <c r="A395" s="247" t="s">
        <v>2047</v>
      </c>
      <c r="B395" s="229" t="s">
        <v>2047</v>
      </c>
      <c r="C395" s="229" t="s">
        <v>2047</v>
      </c>
      <c r="D395" s="229" t="s">
        <v>2047</v>
      </c>
      <c r="E395" s="229" t="s">
        <v>2047</v>
      </c>
      <c r="F395" s="230" t="s">
        <v>3315</v>
      </c>
      <c r="G395" s="231" t="s">
        <v>3316</v>
      </c>
      <c r="H395" s="3054" t="s">
        <v>3317</v>
      </c>
      <c r="I395" s="3054"/>
      <c r="J395" s="3055"/>
    </row>
    <row r="396" spans="1:10">
      <c r="A396" s="3056" t="s">
        <v>3318</v>
      </c>
      <c r="B396" s="3057"/>
      <c r="C396" s="3057"/>
      <c r="D396" s="3057"/>
      <c r="E396" s="3058"/>
      <c r="F396" s="3062" t="s">
        <v>1990</v>
      </c>
      <c r="G396" s="3063"/>
      <c r="H396" s="3066">
        <f>G394</f>
        <v>2500</v>
      </c>
      <c r="I396" s="3067"/>
      <c r="J396" s="3068"/>
    </row>
    <row r="397" spans="1:10">
      <c r="A397" s="3059"/>
      <c r="B397" s="3060"/>
      <c r="C397" s="3060"/>
      <c r="D397" s="3060"/>
      <c r="E397" s="3061"/>
      <c r="F397" s="3064"/>
      <c r="G397" s="3065"/>
      <c r="H397" s="3069"/>
      <c r="I397" s="3070"/>
      <c r="J397" s="3071"/>
    </row>
    <row r="398" spans="1:10">
      <c r="A398" s="3072" t="s">
        <v>3319</v>
      </c>
      <c r="B398" s="3073"/>
      <c r="C398" s="3073"/>
      <c r="D398" s="3073"/>
      <c r="E398" s="3073"/>
      <c r="F398" s="3073"/>
      <c r="G398" s="3073"/>
      <c r="H398" s="3073"/>
      <c r="I398" s="3073"/>
      <c r="J398" s="3074"/>
    </row>
    <row r="399" spans="1:10">
      <c r="A399" s="3075"/>
      <c r="B399" s="3076"/>
      <c r="C399" s="3076"/>
      <c r="D399" s="3076"/>
      <c r="E399" s="3076"/>
      <c r="F399" s="3076"/>
      <c r="G399" s="3076"/>
      <c r="H399" s="3076"/>
      <c r="I399" s="3076"/>
      <c r="J399" s="3077"/>
    </row>
    <row r="402" spans="1:10">
      <c r="A402" s="238" t="s">
        <v>2047</v>
      </c>
      <c r="B402" s="239" t="s">
        <v>2047</v>
      </c>
      <c r="C402" s="3082" t="s">
        <v>3292</v>
      </c>
      <c r="D402" s="3082"/>
      <c r="E402" s="3082"/>
      <c r="F402" s="3083"/>
      <c r="G402" s="239" t="s">
        <v>2047</v>
      </c>
      <c r="H402" s="1755" t="s">
        <v>2047</v>
      </c>
      <c r="I402" s="1755" t="s">
        <v>2047</v>
      </c>
      <c r="J402" s="240" t="s">
        <v>2047</v>
      </c>
    </row>
    <row r="403" spans="1:10" ht="15.6">
      <c r="A403" s="241" t="s">
        <v>2047</v>
      </c>
      <c r="B403" s="223"/>
      <c r="C403" s="3084" t="s">
        <v>2045</v>
      </c>
      <c r="D403" s="3084"/>
      <c r="E403" s="3084"/>
      <c r="F403" s="3085"/>
      <c r="G403" s="1756" t="s">
        <v>2047</v>
      </c>
      <c r="H403" s="3086" t="s">
        <v>3368</v>
      </c>
      <c r="I403" s="3086"/>
      <c r="J403" s="242" t="s">
        <v>2047</v>
      </c>
    </row>
    <row r="404" spans="1:10" ht="17.45">
      <c r="A404" s="241" t="s">
        <v>2047</v>
      </c>
      <c r="B404" s="224"/>
      <c r="C404" s="3088" t="s">
        <v>3294</v>
      </c>
      <c r="D404" s="3088"/>
      <c r="E404" s="3088"/>
      <c r="F404" s="3089"/>
      <c r="G404" s="225" t="s">
        <v>3295</v>
      </c>
      <c r="H404" s="3087"/>
      <c r="I404" s="3087"/>
      <c r="J404" s="242" t="s">
        <v>2047</v>
      </c>
    </row>
    <row r="405" spans="1:10">
      <c r="A405" s="241" t="s">
        <v>2047</v>
      </c>
      <c r="B405" s="224" t="s">
        <v>2047</v>
      </c>
      <c r="C405" s="3090" t="s">
        <v>3296</v>
      </c>
      <c r="D405" s="3090"/>
      <c r="E405" s="3090"/>
      <c r="F405" s="3091"/>
      <c r="G405" s="1756" t="s">
        <v>2047</v>
      </c>
      <c r="H405" s="226" t="s">
        <v>2047</v>
      </c>
      <c r="I405" s="226" t="s">
        <v>2047</v>
      </c>
      <c r="J405" s="243" t="s">
        <v>2047</v>
      </c>
    </row>
    <row r="406" spans="1:10" ht="31.9">
      <c r="A406" s="234" t="s">
        <v>3297</v>
      </c>
      <c r="B406" s="3092" t="s">
        <v>3325</v>
      </c>
      <c r="C406" s="3093"/>
      <c r="D406" s="3093"/>
      <c r="E406" s="3094"/>
      <c r="F406" s="233" t="s">
        <v>3299</v>
      </c>
      <c r="G406" s="232" t="s">
        <v>3326</v>
      </c>
      <c r="H406" s="1757" t="s">
        <v>3301</v>
      </c>
      <c r="I406" s="1757" t="s">
        <v>3302</v>
      </c>
      <c r="J406" s="244" t="s">
        <v>3303</v>
      </c>
    </row>
    <row r="407" spans="1:10">
      <c r="A407" s="3095"/>
      <c r="B407" s="3096"/>
      <c r="C407" s="3096"/>
      <c r="D407" s="3096"/>
      <c r="E407" s="3097"/>
      <c r="F407" s="3105"/>
      <c r="G407" s="3106"/>
      <c r="H407" s="248">
        <v>5</v>
      </c>
      <c r="I407" s="248">
        <v>6</v>
      </c>
      <c r="J407" s="249">
        <v>2021</v>
      </c>
    </row>
    <row r="408" spans="1:10">
      <c r="A408" s="3098" t="s">
        <v>3304</v>
      </c>
      <c r="B408" s="3099"/>
      <c r="C408" s="3099"/>
      <c r="D408" s="3099"/>
      <c r="E408" s="3110"/>
      <c r="F408" s="250" t="s">
        <v>3305</v>
      </c>
      <c r="G408" s="1753" t="s">
        <v>2047</v>
      </c>
      <c r="H408" s="251" t="s">
        <v>3306</v>
      </c>
      <c r="I408" s="252" t="s">
        <v>2047</v>
      </c>
      <c r="J408" s="253" t="s">
        <v>2047</v>
      </c>
    </row>
    <row r="409" spans="1:10">
      <c r="A409" s="3098" t="s">
        <v>3369</v>
      </c>
      <c r="B409" s="3099"/>
      <c r="C409" s="3099"/>
      <c r="D409" s="3099"/>
      <c r="E409" s="3110"/>
      <c r="F409" s="3105">
        <v>2755591</v>
      </c>
      <c r="G409" s="3106"/>
      <c r="H409" s="3105" t="s">
        <v>125</v>
      </c>
      <c r="I409" s="3105"/>
      <c r="J409" s="3107"/>
    </row>
    <row r="410" spans="1:10">
      <c r="A410" s="254" t="s">
        <v>3309</v>
      </c>
      <c r="B410" s="3105" t="s">
        <v>3310</v>
      </c>
      <c r="C410" s="3105"/>
      <c r="D410" s="3105"/>
      <c r="E410" s="3106"/>
      <c r="F410" s="3108" t="s">
        <v>2012</v>
      </c>
      <c r="G410" s="3109"/>
      <c r="H410" s="3105" t="s">
        <v>3311</v>
      </c>
      <c r="I410" s="3105"/>
      <c r="J410" s="3107"/>
    </row>
    <row r="411" spans="1:10">
      <c r="A411" s="255">
        <v>4</v>
      </c>
      <c r="B411" s="3078" t="s">
        <v>3367</v>
      </c>
      <c r="C411" s="3078"/>
      <c r="D411" s="3078"/>
      <c r="E411" s="3078"/>
      <c r="F411" s="3079">
        <v>1500</v>
      </c>
      <c r="G411" s="3080"/>
      <c r="H411" s="3078">
        <f>F411*A411</f>
        <v>6000</v>
      </c>
      <c r="I411" s="3078"/>
      <c r="J411" s="3081"/>
    </row>
    <row r="412" spans="1:10">
      <c r="A412" s="255" t="s">
        <v>2047</v>
      </c>
      <c r="B412" s="3078" t="s">
        <v>2047</v>
      </c>
      <c r="C412" s="3078"/>
      <c r="D412" s="3078"/>
      <c r="E412" s="3078"/>
      <c r="F412" s="3079" t="s">
        <v>2047</v>
      </c>
      <c r="G412" s="3080"/>
      <c r="H412" s="3078" t="s">
        <v>2047</v>
      </c>
      <c r="I412" s="3078"/>
      <c r="J412" s="3081"/>
    </row>
    <row r="413" spans="1:10">
      <c r="A413" s="255" t="s">
        <v>2047</v>
      </c>
      <c r="B413" s="256" t="s">
        <v>2047</v>
      </c>
      <c r="C413" s="256" t="s">
        <v>2047</v>
      </c>
      <c r="D413" s="256" t="s">
        <v>2047</v>
      </c>
      <c r="E413" s="256" t="s">
        <v>2047</v>
      </c>
      <c r="F413" s="3079" t="s">
        <v>2047</v>
      </c>
      <c r="G413" s="3080"/>
      <c r="H413" s="3078" t="s">
        <v>3313</v>
      </c>
      <c r="I413" s="3078"/>
      <c r="J413" s="3081"/>
    </row>
    <row r="414" spans="1:10">
      <c r="A414" s="245" t="s">
        <v>2047</v>
      </c>
      <c r="B414" s="228" t="s">
        <v>2047</v>
      </c>
      <c r="C414" s="228" t="s">
        <v>2047</v>
      </c>
      <c r="D414" s="228" t="s">
        <v>2047</v>
      </c>
      <c r="E414" s="228" t="s">
        <v>2047</v>
      </c>
      <c r="F414" s="3046" t="s">
        <v>2047</v>
      </c>
      <c r="G414" s="3047"/>
      <c r="H414" s="3048" t="s">
        <v>3313</v>
      </c>
      <c r="I414" s="3048"/>
      <c r="J414" s="3049"/>
    </row>
    <row r="415" spans="1:10">
      <c r="A415" s="245" t="s">
        <v>2047</v>
      </c>
      <c r="B415" s="228" t="s">
        <v>2047</v>
      </c>
      <c r="C415" s="228" t="s">
        <v>2047</v>
      </c>
      <c r="D415" s="228" t="s">
        <v>2047</v>
      </c>
      <c r="E415" s="228" t="s">
        <v>2047</v>
      </c>
      <c r="F415" s="3046" t="s">
        <v>2047</v>
      </c>
      <c r="G415" s="3047"/>
      <c r="H415" s="3048" t="s">
        <v>3313</v>
      </c>
      <c r="I415" s="3048"/>
      <c r="J415" s="3049"/>
    </row>
    <row r="416" spans="1:10">
      <c r="A416" s="245" t="s">
        <v>2047</v>
      </c>
      <c r="B416" s="228" t="s">
        <v>2047</v>
      </c>
      <c r="C416" s="228" t="s">
        <v>2047</v>
      </c>
      <c r="D416" s="228" t="s">
        <v>2047</v>
      </c>
      <c r="E416" s="228" t="s">
        <v>2047</v>
      </c>
      <c r="F416" s="3046" t="s">
        <v>2047</v>
      </c>
      <c r="G416" s="3047"/>
      <c r="H416" s="3048" t="s">
        <v>3313</v>
      </c>
      <c r="I416" s="3048"/>
      <c r="J416" s="3049"/>
    </row>
    <row r="417" spans="1:10">
      <c r="A417" s="245" t="s">
        <v>2047</v>
      </c>
      <c r="B417" s="228" t="s">
        <v>2047</v>
      </c>
      <c r="C417" s="228" t="s">
        <v>2047</v>
      </c>
      <c r="D417" s="228" t="s">
        <v>2047</v>
      </c>
      <c r="E417" s="228" t="s">
        <v>2047</v>
      </c>
      <c r="F417" s="3046" t="s">
        <v>2047</v>
      </c>
      <c r="G417" s="3047"/>
      <c r="H417" s="3048" t="s">
        <v>3313</v>
      </c>
      <c r="I417" s="3048"/>
      <c r="J417" s="3049"/>
    </row>
    <row r="418" spans="1:10">
      <c r="A418" s="245" t="s">
        <v>2047</v>
      </c>
      <c r="B418" s="228" t="s">
        <v>2047</v>
      </c>
      <c r="C418" s="228" t="s">
        <v>2047</v>
      </c>
      <c r="D418" s="228" t="s">
        <v>2047</v>
      </c>
      <c r="E418" s="228" t="s">
        <v>2047</v>
      </c>
      <c r="F418" s="3046" t="s">
        <v>2047</v>
      </c>
      <c r="G418" s="3047"/>
      <c r="H418" s="3048" t="s">
        <v>3313</v>
      </c>
      <c r="I418" s="3048"/>
      <c r="J418" s="3049"/>
    </row>
    <row r="419" spans="1:10">
      <c r="A419" s="245" t="s">
        <v>2047</v>
      </c>
      <c r="B419" s="228" t="s">
        <v>2047</v>
      </c>
      <c r="C419" s="228" t="s">
        <v>2047</v>
      </c>
      <c r="D419" s="228" t="s">
        <v>2047</v>
      </c>
      <c r="E419" s="228" t="s">
        <v>2047</v>
      </c>
      <c r="F419" s="3046" t="s">
        <v>2047</v>
      </c>
      <c r="G419" s="3047"/>
      <c r="H419" s="3048" t="s">
        <v>3313</v>
      </c>
      <c r="I419" s="3048"/>
      <c r="J419" s="3049"/>
    </row>
    <row r="420" spans="1:10">
      <c r="A420" s="1754" t="s">
        <v>2580</v>
      </c>
      <c r="B420" s="227" t="s">
        <v>2047</v>
      </c>
      <c r="C420" s="227" t="s">
        <v>2047</v>
      </c>
      <c r="D420" s="227" t="s">
        <v>2047</v>
      </c>
      <c r="E420" s="3050" t="s">
        <v>3314</v>
      </c>
      <c r="F420" s="3051"/>
      <c r="G420" s="3052">
        <f>H411</f>
        <v>6000</v>
      </c>
      <c r="H420" s="3052"/>
      <c r="I420" s="3053"/>
      <c r="J420" s="246"/>
    </row>
    <row r="421" spans="1:10">
      <c r="A421" s="247" t="s">
        <v>2047</v>
      </c>
      <c r="B421" s="229" t="s">
        <v>2047</v>
      </c>
      <c r="C421" s="229" t="s">
        <v>2047</v>
      </c>
      <c r="D421" s="229" t="s">
        <v>2047</v>
      </c>
      <c r="E421" s="229" t="s">
        <v>2047</v>
      </c>
      <c r="F421" s="230" t="s">
        <v>3315</v>
      </c>
      <c r="G421" s="231" t="s">
        <v>3316</v>
      </c>
      <c r="H421" s="3054" t="s">
        <v>3317</v>
      </c>
      <c r="I421" s="3054"/>
      <c r="J421" s="3055"/>
    </row>
    <row r="422" spans="1:10">
      <c r="A422" s="3056" t="s">
        <v>3318</v>
      </c>
      <c r="B422" s="3057"/>
      <c r="C422" s="3057"/>
      <c r="D422" s="3057"/>
      <c r="E422" s="3058"/>
      <c r="F422" s="3062" t="s">
        <v>1990</v>
      </c>
      <c r="G422" s="3063"/>
      <c r="H422" s="3066">
        <f>G420</f>
        <v>6000</v>
      </c>
      <c r="I422" s="3067"/>
      <c r="J422" s="3068"/>
    </row>
    <row r="423" spans="1:10">
      <c r="A423" s="3059"/>
      <c r="B423" s="3060"/>
      <c r="C423" s="3060"/>
      <c r="D423" s="3060"/>
      <c r="E423" s="3061"/>
      <c r="F423" s="3064"/>
      <c r="G423" s="3065"/>
      <c r="H423" s="3069"/>
      <c r="I423" s="3070"/>
      <c r="J423" s="3071"/>
    </row>
    <row r="424" spans="1:10">
      <c r="A424" s="3072" t="s">
        <v>3319</v>
      </c>
      <c r="B424" s="3073"/>
      <c r="C424" s="3073"/>
      <c r="D424" s="3073"/>
      <c r="E424" s="3073"/>
      <c r="F424" s="3073"/>
      <c r="G424" s="3073"/>
      <c r="H424" s="3073"/>
      <c r="I424" s="3073"/>
      <c r="J424" s="3074"/>
    </row>
    <row r="425" spans="1:10">
      <c r="A425" s="3075"/>
      <c r="B425" s="3076"/>
      <c r="C425" s="3076"/>
      <c r="D425" s="3076"/>
      <c r="E425" s="3076"/>
      <c r="F425" s="3076"/>
      <c r="G425" s="3076"/>
      <c r="H425" s="3076"/>
      <c r="I425" s="3076"/>
      <c r="J425" s="3077"/>
    </row>
    <row r="428" spans="1:10">
      <c r="A428" s="238" t="s">
        <v>2047</v>
      </c>
      <c r="B428" s="239" t="s">
        <v>2047</v>
      </c>
      <c r="C428" s="3082" t="s">
        <v>3292</v>
      </c>
      <c r="D428" s="3082"/>
      <c r="E428" s="3082"/>
      <c r="F428" s="3083"/>
      <c r="G428" s="239" t="s">
        <v>2047</v>
      </c>
      <c r="H428" s="1755" t="s">
        <v>2047</v>
      </c>
      <c r="I428" s="1755" t="s">
        <v>2047</v>
      </c>
      <c r="J428" s="240" t="s">
        <v>2047</v>
      </c>
    </row>
    <row r="429" spans="1:10" ht="15.6">
      <c r="A429" s="241" t="s">
        <v>2047</v>
      </c>
      <c r="B429" s="223"/>
      <c r="C429" s="3084" t="s">
        <v>2045</v>
      </c>
      <c r="D429" s="3084"/>
      <c r="E429" s="3084"/>
      <c r="F429" s="3085"/>
      <c r="G429" s="1756" t="s">
        <v>2047</v>
      </c>
      <c r="H429" s="3086" t="s">
        <v>3370</v>
      </c>
      <c r="I429" s="3086"/>
      <c r="J429" s="242" t="s">
        <v>2047</v>
      </c>
    </row>
    <row r="430" spans="1:10" ht="17.45">
      <c r="A430" s="241" t="s">
        <v>2047</v>
      </c>
      <c r="B430" s="224"/>
      <c r="C430" s="3088" t="s">
        <v>3294</v>
      </c>
      <c r="D430" s="3088"/>
      <c r="E430" s="3088"/>
      <c r="F430" s="3089"/>
      <c r="G430" s="225" t="s">
        <v>3295</v>
      </c>
      <c r="H430" s="3087"/>
      <c r="I430" s="3087"/>
      <c r="J430" s="242" t="s">
        <v>2047</v>
      </c>
    </row>
    <row r="431" spans="1:10">
      <c r="A431" s="241" t="s">
        <v>2047</v>
      </c>
      <c r="B431" s="224" t="s">
        <v>2047</v>
      </c>
      <c r="C431" s="3090" t="s">
        <v>3296</v>
      </c>
      <c r="D431" s="3090"/>
      <c r="E431" s="3090"/>
      <c r="F431" s="3091"/>
      <c r="G431" s="1756" t="s">
        <v>2047</v>
      </c>
      <c r="H431" s="226" t="s">
        <v>2047</v>
      </c>
      <c r="I431" s="226" t="s">
        <v>2047</v>
      </c>
      <c r="J431" s="243" t="s">
        <v>2047</v>
      </c>
    </row>
    <row r="432" spans="1:10" ht="31.9">
      <c r="A432" s="234" t="s">
        <v>3297</v>
      </c>
      <c r="B432" s="3111" t="s">
        <v>3371</v>
      </c>
      <c r="C432" s="3111"/>
      <c r="D432" s="3111"/>
      <c r="E432" s="3111"/>
      <c r="F432" s="233" t="s">
        <v>3299</v>
      </c>
      <c r="G432" s="232">
        <v>1017192428</v>
      </c>
      <c r="H432" s="1757" t="s">
        <v>3301</v>
      </c>
      <c r="I432" s="1757" t="s">
        <v>3302</v>
      </c>
      <c r="J432" s="244" t="s">
        <v>3303</v>
      </c>
    </row>
    <row r="433" spans="1:10">
      <c r="A433" s="3095"/>
      <c r="B433" s="3096"/>
      <c r="C433" s="3096"/>
      <c r="D433" s="3096"/>
      <c r="E433" s="3097"/>
      <c r="F433" s="3105"/>
      <c r="G433" s="3106"/>
      <c r="H433" s="248">
        <v>10</v>
      </c>
      <c r="I433" s="248">
        <v>6</v>
      </c>
      <c r="J433" s="249">
        <v>2021</v>
      </c>
    </row>
    <row r="434" spans="1:10">
      <c r="A434" s="3098" t="s">
        <v>3304</v>
      </c>
      <c r="B434" s="3099"/>
      <c r="C434" s="3099"/>
      <c r="D434" s="3099"/>
      <c r="E434" s="3110"/>
      <c r="F434" s="250" t="s">
        <v>3305</v>
      </c>
      <c r="G434" s="1753" t="s">
        <v>2047</v>
      </c>
      <c r="H434" s="251" t="s">
        <v>3306</v>
      </c>
      <c r="I434" s="252" t="s">
        <v>2047</v>
      </c>
      <c r="J434" s="253" t="s">
        <v>2047</v>
      </c>
    </row>
    <row r="435" spans="1:10">
      <c r="A435" s="3098" t="s">
        <v>3372</v>
      </c>
      <c r="B435" s="3099"/>
      <c r="C435" s="3099"/>
      <c r="D435" s="3099"/>
      <c r="E435" s="3110"/>
      <c r="F435" s="3105">
        <v>2313211</v>
      </c>
      <c r="G435" s="3106"/>
      <c r="H435" s="3105" t="s">
        <v>216</v>
      </c>
      <c r="I435" s="3105"/>
      <c r="J435" s="3107"/>
    </row>
    <row r="436" spans="1:10">
      <c r="A436" s="254" t="s">
        <v>3309</v>
      </c>
      <c r="B436" s="3105" t="s">
        <v>3310</v>
      </c>
      <c r="C436" s="3105"/>
      <c r="D436" s="3105"/>
      <c r="E436" s="3106"/>
      <c r="F436" s="3108" t="s">
        <v>2012</v>
      </c>
      <c r="G436" s="3109"/>
      <c r="H436" s="3105" t="s">
        <v>3311</v>
      </c>
      <c r="I436" s="3105"/>
      <c r="J436" s="3107"/>
    </row>
    <row r="437" spans="1:10">
      <c r="A437" s="255">
        <v>1</v>
      </c>
      <c r="B437" s="3078" t="s">
        <v>3373</v>
      </c>
      <c r="C437" s="3078"/>
      <c r="D437" s="3078"/>
      <c r="E437" s="3078"/>
      <c r="F437" s="3079">
        <v>2800</v>
      </c>
      <c r="G437" s="3080"/>
      <c r="H437" s="3078">
        <f>F437*A437</f>
        <v>2800</v>
      </c>
      <c r="I437" s="3078"/>
      <c r="J437" s="3081"/>
    </row>
    <row r="438" spans="1:10">
      <c r="A438" s="255" t="s">
        <v>2047</v>
      </c>
      <c r="B438" s="3078" t="s">
        <v>2047</v>
      </c>
      <c r="C438" s="3078"/>
      <c r="D438" s="3078"/>
      <c r="E438" s="3078"/>
      <c r="F438" s="3079" t="s">
        <v>2047</v>
      </c>
      <c r="G438" s="3080"/>
      <c r="H438" s="3078" t="s">
        <v>2047</v>
      </c>
      <c r="I438" s="3078"/>
      <c r="J438" s="3081"/>
    </row>
    <row r="439" spans="1:10">
      <c r="A439" s="255" t="s">
        <v>2047</v>
      </c>
      <c r="B439" s="256" t="s">
        <v>2047</v>
      </c>
      <c r="C439" s="256" t="s">
        <v>2047</v>
      </c>
      <c r="D439" s="256" t="s">
        <v>2047</v>
      </c>
      <c r="E439" s="256" t="s">
        <v>2047</v>
      </c>
      <c r="F439" s="3079" t="s">
        <v>2047</v>
      </c>
      <c r="G439" s="3080"/>
      <c r="H439" s="3078" t="s">
        <v>3313</v>
      </c>
      <c r="I439" s="3078"/>
      <c r="J439" s="3081"/>
    </row>
    <row r="440" spans="1:10">
      <c r="A440" s="245" t="s">
        <v>2047</v>
      </c>
      <c r="B440" s="228" t="s">
        <v>2047</v>
      </c>
      <c r="C440" s="228" t="s">
        <v>2047</v>
      </c>
      <c r="D440" s="228" t="s">
        <v>2047</v>
      </c>
      <c r="E440" s="228" t="s">
        <v>2047</v>
      </c>
      <c r="F440" s="3046" t="s">
        <v>2047</v>
      </c>
      <c r="G440" s="3047"/>
      <c r="H440" s="3048" t="s">
        <v>3313</v>
      </c>
      <c r="I440" s="3048"/>
      <c r="J440" s="3049"/>
    </row>
    <row r="441" spans="1:10">
      <c r="A441" s="245" t="s">
        <v>2047</v>
      </c>
      <c r="B441" s="228" t="s">
        <v>2047</v>
      </c>
      <c r="C441" s="228" t="s">
        <v>2047</v>
      </c>
      <c r="D441" s="228" t="s">
        <v>2047</v>
      </c>
      <c r="E441" s="228" t="s">
        <v>2047</v>
      </c>
      <c r="F441" s="3046" t="s">
        <v>2047</v>
      </c>
      <c r="G441" s="3047"/>
      <c r="H441" s="3048" t="s">
        <v>3313</v>
      </c>
      <c r="I441" s="3048"/>
      <c r="J441" s="3049"/>
    </row>
    <row r="442" spans="1:10">
      <c r="A442" s="245" t="s">
        <v>2047</v>
      </c>
      <c r="B442" s="228" t="s">
        <v>2047</v>
      </c>
      <c r="C442" s="228" t="s">
        <v>2047</v>
      </c>
      <c r="D442" s="228" t="s">
        <v>2047</v>
      </c>
      <c r="E442" s="228" t="s">
        <v>2047</v>
      </c>
      <c r="F442" s="3046" t="s">
        <v>2047</v>
      </c>
      <c r="G442" s="3047"/>
      <c r="H442" s="3048" t="s">
        <v>3313</v>
      </c>
      <c r="I442" s="3048"/>
      <c r="J442" s="3049"/>
    </row>
    <row r="443" spans="1:10">
      <c r="A443" s="245" t="s">
        <v>2047</v>
      </c>
      <c r="B443" s="228" t="s">
        <v>2047</v>
      </c>
      <c r="C443" s="228" t="s">
        <v>2047</v>
      </c>
      <c r="D443" s="228" t="s">
        <v>2047</v>
      </c>
      <c r="E443" s="228" t="s">
        <v>2047</v>
      </c>
      <c r="F443" s="3046" t="s">
        <v>2047</v>
      </c>
      <c r="G443" s="3047"/>
      <c r="H443" s="3048" t="s">
        <v>3313</v>
      </c>
      <c r="I443" s="3048"/>
      <c r="J443" s="3049"/>
    </row>
    <row r="444" spans="1:10">
      <c r="A444" s="245" t="s">
        <v>2047</v>
      </c>
      <c r="B444" s="228" t="s">
        <v>2047</v>
      </c>
      <c r="C444" s="228" t="s">
        <v>2047</v>
      </c>
      <c r="D444" s="228" t="s">
        <v>2047</v>
      </c>
      <c r="E444" s="228" t="s">
        <v>2047</v>
      </c>
      <c r="F444" s="3046" t="s">
        <v>2047</v>
      </c>
      <c r="G444" s="3047"/>
      <c r="H444" s="3048" t="s">
        <v>3313</v>
      </c>
      <c r="I444" s="3048"/>
      <c r="J444" s="3049"/>
    </row>
    <row r="445" spans="1:10">
      <c r="A445" s="245" t="s">
        <v>2047</v>
      </c>
      <c r="B445" s="228" t="s">
        <v>2047</v>
      </c>
      <c r="C445" s="228" t="s">
        <v>2047</v>
      </c>
      <c r="D445" s="228" t="s">
        <v>2047</v>
      </c>
      <c r="E445" s="228" t="s">
        <v>2047</v>
      </c>
      <c r="F445" s="3046" t="s">
        <v>2047</v>
      </c>
      <c r="G445" s="3047"/>
      <c r="H445" s="3048" t="s">
        <v>3313</v>
      </c>
      <c r="I445" s="3048"/>
      <c r="J445" s="3049"/>
    </row>
    <row r="446" spans="1:10">
      <c r="A446" s="1754" t="s">
        <v>2580</v>
      </c>
      <c r="B446" s="227" t="s">
        <v>2047</v>
      </c>
      <c r="C446" s="227" t="s">
        <v>2047</v>
      </c>
      <c r="D446" s="227" t="s">
        <v>2047</v>
      </c>
      <c r="E446" s="3050" t="s">
        <v>3314</v>
      </c>
      <c r="F446" s="3051"/>
      <c r="G446" s="3052">
        <f>H437</f>
        <v>2800</v>
      </c>
      <c r="H446" s="3052"/>
      <c r="I446" s="3053"/>
      <c r="J446" s="246"/>
    </row>
    <row r="447" spans="1:10">
      <c r="A447" s="247" t="s">
        <v>2047</v>
      </c>
      <c r="B447" s="229" t="s">
        <v>2047</v>
      </c>
      <c r="C447" s="229" t="s">
        <v>2047</v>
      </c>
      <c r="D447" s="229" t="s">
        <v>2047</v>
      </c>
      <c r="E447" s="229" t="s">
        <v>2047</v>
      </c>
      <c r="F447" s="230" t="s">
        <v>3315</v>
      </c>
      <c r="G447" s="231" t="s">
        <v>3316</v>
      </c>
      <c r="H447" s="3054" t="s">
        <v>3317</v>
      </c>
      <c r="I447" s="3054"/>
      <c r="J447" s="3055"/>
    </row>
    <row r="448" spans="1:10">
      <c r="A448" s="3056" t="s">
        <v>3318</v>
      </c>
      <c r="B448" s="3057"/>
      <c r="C448" s="3057"/>
      <c r="D448" s="3057"/>
      <c r="E448" s="3058"/>
      <c r="F448" s="3062" t="s">
        <v>1990</v>
      </c>
      <c r="G448" s="3063"/>
      <c r="H448" s="3066">
        <f>G446</f>
        <v>2800</v>
      </c>
      <c r="I448" s="3067"/>
      <c r="J448" s="3068"/>
    </row>
    <row r="449" spans="1:10">
      <c r="A449" s="3059"/>
      <c r="B449" s="3060"/>
      <c r="C449" s="3060"/>
      <c r="D449" s="3060"/>
      <c r="E449" s="3061"/>
      <c r="F449" s="3064"/>
      <c r="G449" s="3065"/>
      <c r="H449" s="3069"/>
      <c r="I449" s="3070"/>
      <c r="J449" s="3071"/>
    </row>
    <row r="450" spans="1:10">
      <c r="A450" s="3072" t="s">
        <v>3319</v>
      </c>
      <c r="B450" s="3073"/>
      <c r="C450" s="3073"/>
      <c r="D450" s="3073"/>
      <c r="E450" s="3073"/>
      <c r="F450" s="3073"/>
      <c r="G450" s="3073"/>
      <c r="H450" s="3073"/>
      <c r="I450" s="3073"/>
      <c r="J450" s="3074"/>
    </row>
    <row r="451" spans="1:10">
      <c r="A451" s="3075"/>
      <c r="B451" s="3076"/>
      <c r="C451" s="3076"/>
      <c r="D451" s="3076"/>
      <c r="E451" s="3076"/>
      <c r="F451" s="3076"/>
      <c r="G451" s="3076"/>
      <c r="H451" s="3076"/>
      <c r="I451" s="3076"/>
      <c r="J451" s="3077"/>
    </row>
    <row r="454" spans="1:10">
      <c r="A454" s="238" t="s">
        <v>2047</v>
      </c>
      <c r="B454" s="239" t="s">
        <v>2047</v>
      </c>
      <c r="C454" s="3082" t="s">
        <v>3292</v>
      </c>
      <c r="D454" s="3082"/>
      <c r="E454" s="3082"/>
      <c r="F454" s="3083"/>
      <c r="G454" s="239" t="s">
        <v>2047</v>
      </c>
      <c r="H454" s="1755" t="s">
        <v>2047</v>
      </c>
      <c r="I454" s="1755" t="s">
        <v>2047</v>
      </c>
      <c r="J454" s="240" t="s">
        <v>2047</v>
      </c>
    </row>
    <row r="455" spans="1:10" ht="15.6">
      <c r="A455" s="241" t="s">
        <v>2047</v>
      </c>
      <c r="B455" s="223"/>
      <c r="C455" s="3084" t="s">
        <v>2045</v>
      </c>
      <c r="D455" s="3084"/>
      <c r="E455" s="3084"/>
      <c r="F455" s="3085"/>
      <c r="G455" s="1756" t="s">
        <v>2047</v>
      </c>
      <c r="H455" s="3086" t="s">
        <v>3374</v>
      </c>
      <c r="I455" s="3086"/>
      <c r="J455" s="242" t="s">
        <v>2047</v>
      </c>
    </row>
    <row r="456" spans="1:10" ht="17.45">
      <c r="A456" s="241" t="s">
        <v>2047</v>
      </c>
      <c r="B456" s="224"/>
      <c r="C456" s="3088" t="s">
        <v>3294</v>
      </c>
      <c r="D456" s="3088"/>
      <c r="E456" s="3088"/>
      <c r="F456" s="3089"/>
      <c r="G456" s="225" t="s">
        <v>3295</v>
      </c>
      <c r="H456" s="3087"/>
      <c r="I456" s="3087"/>
      <c r="J456" s="242" t="s">
        <v>2047</v>
      </c>
    </row>
    <row r="457" spans="1:10">
      <c r="A457" s="241" t="s">
        <v>2047</v>
      </c>
      <c r="B457" s="224" t="s">
        <v>2047</v>
      </c>
      <c r="C457" s="3090" t="s">
        <v>3296</v>
      </c>
      <c r="D457" s="3090"/>
      <c r="E457" s="3090"/>
      <c r="F457" s="3091"/>
      <c r="G457" s="1756" t="s">
        <v>2047</v>
      </c>
      <c r="H457" s="226" t="s">
        <v>2047</v>
      </c>
      <c r="I457" s="226" t="s">
        <v>2047</v>
      </c>
      <c r="J457" s="243" t="s">
        <v>2047</v>
      </c>
    </row>
    <row r="458" spans="1:10" ht="31.9">
      <c r="A458" s="234" t="s">
        <v>3297</v>
      </c>
      <c r="B458" s="3092" t="s">
        <v>3329</v>
      </c>
      <c r="C458" s="3093"/>
      <c r="D458" s="3093"/>
      <c r="E458" s="3094"/>
      <c r="F458" s="233" t="s">
        <v>3299</v>
      </c>
      <c r="G458" s="232"/>
      <c r="H458" s="1757" t="s">
        <v>3301</v>
      </c>
      <c r="I458" s="1757" t="s">
        <v>3302</v>
      </c>
      <c r="J458" s="244" t="s">
        <v>3303</v>
      </c>
    </row>
    <row r="459" spans="1:10">
      <c r="A459" s="3095"/>
      <c r="B459" s="3096"/>
      <c r="C459" s="3096"/>
      <c r="D459" s="3096"/>
      <c r="E459" s="3097"/>
      <c r="F459" s="3105"/>
      <c r="G459" s="3106"/>
      <c r="H459" s="248">
        <v>11</v>
      </c>
      <c r="I459" s="248">
        <v>6</v>
      </c>
      <c r="J459" s="249">
        <v>2021</v>
      </c>
    </row>
    <row r="460" spans="1:10">
      <c r="A460" s="3098" t="s">
        <v>3304</v>
      </c>
      <c r="B460" s="3099"/>
      <c r="C460" s="3099"/>
      <c r="D460" s="3099"/>
      <c r="E460" s="3110"/>
      <c r="F460" s="250" t="s">
        <v>3305</v>
      </c>
      <c r="G460" s="1753" t="s">
        <v>2047</v>
      </c>
      <c r="H460" s="251" t="s">
        <v>3306</v>
      </c>
      <c r="I460" s="252" t="s">
        <v>2047</v>
      </c>
      <c r="J460" s="253" t="s">
        <v>2047</v>
      </c>
    </row>
    <row r="461" spans="1:10">
      <c r="A461" s="3098" t="s">
        <v>3330</v>
      </c>
      <c r="B461" s="3099"/>
      <c r="C461" s="3099"/>
      <c r="D461" s="3099"/>
      <c r="E461" s="3110"/>
      <c r="F461" s="3105">
        <v>4614611</v>
      </c>
      <c r="G461" s="3106"/>
      <c r="H461" s="3105" t="s">
        <v>125</v>
      </c>
      <c r="I461" s="3105"/>
      <c r="J461" s="3107"/>
    </row>
    <row r="462" spans="1:10">
      <c r="A462" s="254" t="s">
        <v>3309</v>
      </c>
      <c r="B462" s="3105" t="s">
        <v>3310</v>
      </c>
      <c r="C462" s="3105"/>
      <c r="D462" s="3105"/>
      <c r="E462" s="3106"/>
      <c r="F462" s="3108" t="s">
        <v>2012</v>
      </c>
      <c r="G462" s="3109"/>
      <c r="H462" s="3105" t="s">
        <v>3311</v>
      </c>
      <c r="I462" s="3105"/>
      <c r="J462" s="3107"/>
    </row>
    <row r="463" spans="1:10">
      <c r="A463" s="255">
        <v>1</v>
      </c>
      <c r="B463" s="3078" t="s">
        <v>3375</v>
      </c>
      <c r="C463" s="3078"/>
      <c r="D463" s="3078"/>
      <c r="E463" s="3078"/>
      <c r="F463" s="3079">
        <v>2400</v>
      </c>
      <c r="G463" s="3080"/>
      <c r="H463" s="3078">
        <f>F463*A463</f>
        <v>2400</v>
      </c>
      <c r="I463" s="3078"/>
      <c r="J463" s="3081"/>
    </row>
    <row r="464" spans="1:10">
      <c r="A464" s="255" t="s">
        <v>2047</v>
      </c>
      <c r="B464" s="3078" t="s">
        <v>2047</v>
      </c>
      <c r="C464" s="3078"/>
      <c r="D464" s="3078"/>
      <c r="E464" s="3078"/>
      <c r="F464" s="3079" t="s">
        <v>2047</v>
      </c>
      <c r="G464" s="3080"/>
      <c r="H464" s="3078" t="s">
        <v>2047</v>
      </c>
      <c r="I464" s="3078"/>
      <c r="J464" s="3081"/>
    </row>
    <row r="465" spans="1:10">
      <c r="A465" s="255" t="s">
        <v>2047</v>
      </c>
      <c r="B465" s="256" t="s">
        <v>2047</v>
      </c>
      <c r="C465" s="256" t="s">
        <v>2047</v>
      </c>
      <c r="D465" s="256" t="s">
        <v>2047</v>
      </c>
      <c r="E465" s="256" t="s">
        <v>2047</v>
      </c>
      <c r="F465" s="3079" t="s">
        <v>2047</v>
      </c>
      <c r="G465" s="3080"/>
      <c r="H465" s="3078" t="s">
        <v>3313</v>
      </c>
      <c r="I465" s="3078"/>
      <c r="J465" s="3081"/>
    </row>
    <row r="466" spans="1:10">
      <c r="A466" s="245" t="s">
        <v>2047</v>
      </c>
      <c r="B466" s="228" t="s">
        <v>2047</v>
      </c>
      <c r="C466" s="228" t="s">
        <v>2047</v>
      </c>
      <c r="D466" s="228" t="s">
        <v>2047</v>
      </c>
      <c r="E466" s="228" t="s">
        <v>2047</v>
      </c>
      <c r="F466" s="3046" t="s">
        <v>2047</v>
      </c>
      <c r="G466" s="3047"/>
      <c r="H466" s="3048" t="s">
        <v>3313</v>
      </c>
      <c r="I466" s="3048"/>
      <c r="J466" s="3049"/>
    </row>
    <row r="467" spans="1:10">
      <c r="A467" s="245" t="s">
        <v>2047</v>
      </c>
      <c r="B467" s="228" t="s">
        <v>2047</v>
      </c>
      <c r="C467" s="228" t="s">
        <v>2047</v>
      </c>
      <c r="D467" s="228" t="s">
        <v>2047</v>
      </c>
      <c r="E467" s="228" t="s">
        <v>2047</v>
      </c>
      <c r="F467" s="3046" t="s">
        <v>2047</v>
      </c>
      <c r="G467" s="3047"/>
      <c r="H467" s="3048" t="s">
        <v>3313</v>
      </c>
      <c r="I467" s="3048"/>
      <c r="J467" s="3049"/>
    </row>
    <row r="468" spans="1:10">
      <c r="A468" s="245" t="s">
        <v>2047</v>
      </c>
      <c r="B468" s="228" t="s">
        <v>2047</v>
      </c>
      <c r="C468" s="228" t="s">
        <v>2047</v>
      </c>
      <c r="D468" s="228" t="s">
        <v>2047</v>
      </c>
      <c r="E468" s="228" t="s">
        <v>2047</v>
      </c>
      <c r="F468" s="3046" t="s">
        <v>2047</v>
      </c>
      <c r="G468" s="3047"/>
      <c r="H468" s="3048" t="s">
        <v>3313</v>
      </c>
      <c r="I468" s="3048"/>
      <c r="J468" s="3049"/>
    </row>
    <row r="469" spans="1:10">
      <c r="A469" s="245" t="s">
        <v>2047</v>
      </c>
      <c r="B469" s="228" t="s">
        <v>2047</v>
      </c>
      <c r="C469" s="228" t="s">
        <v>2047</v>
      </c>
      <c r="D469" s="228" t="s">
        <v>2047</v>
      </c>
      <c r="E469" s="228" t="s">
        <v>2047</v>
      </c>
      <c r="F469" s="3046" t="s">
        <v>2047</v>
      </c>
      <c r="G469" s="3047"/>
      <c r="H469" s="3048" t="s">
        <v>3313</v>
      </c>
      <c r="I469" s="3048"/>
      <c r="J469" s="3049"/>
    </row>
    <row r="470" spans="1:10">
      <c r="A470" s="245" t="s">
        <v>2047</v>
      </c>
      <c r="B470" s="228" t="s">
        <v>2047</v>
      </c>
      <c r="C470" s="228" t="s">
        <v>2047</v>
      </c>
      <c r="D470" s="228" t="s">
        <v>2047</v>
      </c>
      <c r="E470" s="228" t="s">
        <v>2047</v>
      </c>
      <c r="F470" s="3046" t="s">
        <v>2047</v>
      </c>
      <c r="G470" s="3047"/>
      <c r="H470" s="3048" t="s">
        <v>3313</v>
      </c>
      <c r="I470" s="3048"/>
      <c r="J470" s="3049"/>
    </row>
    <row r="471" spans="1:10">
      <c r="A471" s="245" t="s">
        <v>2047</v>
      </c>
      <c r="B471" s="228" t="s">
        <v>2047</v>
      </c>
      <c r="C471" s="228" t="s">
        <v>2047</v>
      </c>
      <c r="D471" s="228" t="s">
        <v>2047</v>
      </c>
      <c r="E471" s="228" t="s">
        <v>2047</v>
      </c>
      <c r="F471" s="3046" t="s">
        <v>2047</v>
      </c>
      <c r="G471" s="3047"/>
      <c r="H471" s="3048" t="s">
        <v>3313</v>
      </c>
      <c r="I471" s="3048"/>
      <c r="J471" s="3049"/>
    </row>
    <row r="472" spans="1:10">
      <c r="A472" s="1754" t="s">
        <v>2580</v>
      </c>
      <c r="B472" s="227" t="s">
        <v>2047</v>
      </c>
      <c r="C472" s="227" t="s">
        <v>2047</v>
      </c>
      <c r="D472" s="227" t="s">
        <v>2047</v>
      </c>
      <c r="E472" s="3050" t="s">
        <v>3314</v>
      </c>
      <c r="F472" s="3051"/>
      <c r="G472" s="3052">
        <f>H463</f>
        <v>2400</v>
      </c>
      <c r="H472" s="3052"/>
      <c r="I472" s="3053"/>
      <c r="J472" s="246"/>
    </row>
    <row r="473" spans="1:10">
      <c r="A473" s="247" t="s">
        <v>2047</v>
      </c>
      <c r="B473" s="229" t="s">
        <v>2047</v>
      </c>
      <c r="C473" s="229" t="s">
        <v>2047</v>
      </c>
      <c r="D473" s="229" t="s">
        <v>2047</v>
      </c>
      <c r="E473" s="229" t="s">
        <v>2047</v>
      </c>
      <c r="F473" s="230" t="s">
        <v>3315</v>
      </c>
      <c r="G473" s="231" t="s">
        <v>3316</v>
      </c>
      <c r="H473" s="3054" t="s">
        <v>3317</v>
      </c>
      <c r="I473" s="3054"/>
      <c r="J473" s="3055"/>
    </row>
    <row r="474" spans="1:10">
      <c r="A474" s="3056" t="s">
        <v>3318</v>
      </c>
      <c r="B474" s="3057"/>
      <c r="C474" s="3057"/>
      <c r="D474" s="3057"/>
      <c r="E474" s="3058"/>
      <c r="F474" s="3062" t="s">
        <v>1990</v>
      </c>
      <c r="G474" s="3063"/>
      <c r="H474" s="3066">
        <f>G472</f>
        <v>2400</v>
      </c>
      <c r="I474" s="3067"/>
      <c r="J474" s="3068"/>
    </row>
    <row r="475" spans="1:10">
      <c r="A475" s="3059"/>
      <c r="B475" s="3060"/>
      <c r="C475" s="3060"/>
      <c r="D475" s="3060"/>
      <c r="E475" s="3061"/>
      <c r="F475" s="3064"/>
      <c r="G475" s="3065"/>
      <c r="H475" s="3069"/>
      <c r="I475" s="3070"/>
      <c r="J475" s="3071"/>
    </row>
    <row r="476" spans="1:10">
      <c r="A476" s="3072" t="s">
        <v>3319</v>
      </c>
      <c r="B476" s="3073"/>
      <c r="C476" s="3073"/>
      <c r="D476" s="3073"/>
      <c r="E476" s="3073"/>
      <c r="F476" s="3073"/>
      <c r="G476" s="3073"/>
      <c r="H476" s="3073"/>
      <c r="I476" s="3073"/>
      <c r="J476" s="3074"/>
    </row>
    <row r="477" spans="1:10">
      <c r="A477" s="3075"/>
      <c r="B477" s="3076"/>
      <c r="C477" s="3076"/>
      <c r="D477" s="3076"/>
      <c r="E477" s="3076"/>
      <c r="F477" s="3076"/>
      <c r="G477" s="3076"/>
      <c r="H477" s="3076"/>
      <c r="I477" s="3076"/>
      <c r="J477" s="3077"/>
    </row>
    <row r="478" spans="1:10">
      <c r="A478" s="1752"/>
      <c r="B478" s="1752"/>
      <c r="C478" s="1752"/>
      <c r="D478" s="1752"/>
      <c r="E478" s="1752"/>
      <c r="F478" s="1752"/>
      <c r="G478" s="1752"/>
      <c r="H478" s="1752"/>
      <c r="I478" s="1752"/>
      <c r="J478" s="1752"/>
    </row>
    <row r="479" spans="1:10">
      <c r="A479" s="1752"/>
      <c r="B479" s="1752"/>
      <c r="C479" s="1752"/>
      <c r="D479" s="1752"/>
      <c r="E479" s="1752"/>
      <c r="F479" s="1752"/>
      <c r="G479" s="1752"/>
      <c r="H479" s="1752"/>
      <c r="I479" s="1752"/>
      <c r="J479" s="1752"/>
    </row>
    <row r="480" spans="1:10">
      <c r="A480" s="238" t="s">
        <v>2047</v>
      </c>
      <c r="B480" s="239" t="s">
        <v>2047</v>
      </c>
      <c r="C480" s="3082" t="s">
        <v>3292</v>
      </c>
      <c r="D480" s="3082"/>
      <c r="E480" s="3082"/>
      <c r="F480" s="3083"/>
      <c r="G480" s="239" t="s">
        <v>2047</v>
      </c>
      <c r="H480" s="1755" t="s">
        <v>2047</v>
      </c>
      <c r="I480" s="1755" t="s">
        <v>2047</v>
      </c>
      <c r="J480" s="240" t="s">
        <v>2047</v>
      </c>
    </row>
    <row r="481" spans="1:10" ht="15.6">
      <c r="A481" s="241" t="s">
        <v>2047</v>
      </c>
      <c r="B481" s="223"/>
      <c r="C481" s="3084" t="s">
        <v>2045</v>
      </c>
      <c r="D481" s="3084"/>
      <c r="E481" s="3084"/>
      <c r="F481" s="3085"/>
      <c r="G481" s="1756" t="s">
        <v>2047</v>
      </c>
      <c r="H481" s="3086" t="s">
        <v>3376</v>
      </c>
      <c r="I481" s="3086"/>
      <c r="J481" s="242" t="s">
        <v>2047</v>
      </c>
    </row>
    <row r="482" spans="1:10" ht="17.45">
      <c r="A482" s="241" t="s">
        <v>2047</v>
      </c>
      <c r="B482" s="224"/>
      <c r="C482" s="3088" t="s">
        <v>3294</v>
      </c>
      <c r="D482" s="3088"/>
      <c r="E482" s="3088"/>
      <c r="F482" s="3089"/>
      <c r="G482" s="225" t="s">
        <v>3295</v>
      </c>
      <c r="H482" s="3087"/>
      <c r="I482" s="3087"/>
      <c r="J482" s="242" t="s">
        <v>2047</v>
      </c>
    </row>
    <row r="483" spans="1:10">
      <c r="A483" s="241" t="s">
        <v>2047</v>
      </c>
      <c r="B483" s="224" t="s">
        <v>2047</v>
      </c>
      <c r="C483" s="3090" t="s">
        <v>3296</v>
      </c>
      <c r="D483" s="3090"/>
      <c r="E483" s="3090"/>
      <c r="F483" s="3091"/>
      <c r="G483" s="1756" t="s">
        <v>2047</v>
      </c>
      <c r="H483" s="226" t="s">
        <v>2047</v>
      </c>
      <c r="I483" s="226" t="s">
        <v>2047</v>
      </c>
      <c r="J483" s="243" t="s">
        <v>2047</v>
      </c>
    </row>
    <row r="484" spans="1:10" ht="31.9">
      <c r="A484" s="234" t="s">
        <v>3297</v>
      </c>
      <c r="B484" s="3092" t="s">
        <v>3365</v>
      </c>
      <c r="C484" s="3093"/>
      <c r="D484" s="3093"/>
      <c r="E484" s="3094"/>
      <c r="F484" s="233" t="s">
        <v>3299</v>
      </c>
      <c r="G484" s="232">
        <v>70720539</v>
      </c>
      <c r="H484" s="1757" t="s">
        <v>3301</v>
      </c>
      <c r="I484" s="1757" t="s">
        <v>3302</v>
      </c>
      <c r="J484" s="244" t="s">
        <v>3303</v>
      </c>
    </row>
    <row r="485" spans="1:10">
      <c r="A485" s="3095"/>
      <c r="B485" s="3096"/>
      <c r="C485" s="3096"/>
      <c r="D485" s="3096"/>
      <c r="E485" s="3097"/>
      <c r="F485" s="3105"/>
      <c r="G485" s="3106"/>
      <c r="H485" s="248">
        <v>30</v>
      </c>
      <c r="I485" s="248">
        <v>6</v>
      </c>
      <c r="J485" s="249">
        <v>2021</v>
      </c>
    </row>
    <row r="486" spans="1:10">
      <c r="A486" s="3098" t="s">
        <v>3304</v>
      </c>
      <c r="B486" s="3099"/>
      <c r="C486" s="3099"/>
      <c r="D486" s="3099"/>
      <c r="E486" s="3110"/>
      <c r="F486" s="250" t="s">
        <v>3305</v>
      </c>
      <c r="G486" s="1753" t="s">
        <v>2047</v>
      </c>
      <c r="H486" s="251" t="s">
        <v>3306</v>
      </c>
      <c r="I486" s="252" t="s">
        <v>2047</v>
      </c>
      <c r="J486" s="253" t="s">
        <v>2047</v>
      </c>
    </row>
    <row r="487" spans="1:10">
      <c r="A487" s="3098" t="s">
        <v>3366</v>
      </c>
      <c r="B487" s="3099"/>
      <c r="C487" s="3099"/>
      <c r="D487" s="3099"/>
      <c r="E487" s="3110"/>
      <c r="F487" s="3105">
        <v>4641136</v>
      </c>
      <c r="G487" s="3106"/>
      <c r="H487" s="3105" t="s">
        <v>125</v>
      </c>
      <c r="I487" s="3105"/>
      <c r="J487" s="3107"/>
    </row>
    <row r="488" spans="1:10">
      <c r="A488" s="254" t="s">
        <v>3309</v>
      </c>
      <c r="B488" s="3105" t="s">
        <v>3310</v>
      </c>
      <c r="C488" s="3105"/>
      <c r="D488" s="3105"/>
      <c r="E488" s="3106"/>
      <c r="F488" s="3108" t="s">
        <v>2012</v>
      </c>
      <c r="G488" s="3109"/>
      <c r="H488" s="3105" t="s">
        <v>3311</v>
      </c>
      <c r="I488" s="3105"/>
      <c r="J488" s="3107"/>
    </row>
    <row r="489" spans="1:10">
      <c r="A489" s="255">
        <v>2</v>
      </c>
      <c r="B489" s="3078" t="s">
        <v>3367</v>
      </c>
      <c r="C489" s="3078"/>
      <c r="D489" s="3078"/>
      <c r="E489" s="3078"/>
      <c r="F489" s="3079">
        <v>2000</v>
      </c>
      <c r="G489" s="3080"/>
      <c r="H489" s="3078">
        <f>F489*A489</f>
        <v>4000</v>
      </c>
      <c r="I489" s="3078"/>
      <c r="J489" s="3081"/>
    </row>
    <row r="490" spans="1:10">
      <c r="A490" s="255" t="s">
        <v>2047</v>
      </c>
      <c r="B490" s="3078" t="s">
        <v>2047</v>
      </c>
      <c r="C490" s="3078"/>
      <c r="D490" s="3078"/>
      <c r="E490" s="3078"/>
      <c r="F490" s="3079" t="s">
        <v>2047</v>
      </c>
      <c r="G490" s="3080"/>
      <c r="H490" s="3078" t="s">
        <v>2047</v>
      </c>
      <c r="I490" s="3078"/>
      <c r="J490" s="3081"/>
    </row>
    <row r="491" spans="1:10">
      <c r="A491" s="255" t="s">
        <v>2047</v>
      </c>
      <c r="B491" s="256" t="s">
        <v>2047</v>
      </c>
      <c r="C491" s="256" t="s">
        <v>2047</v>
      </c>
      <c r="D491" s="256" t="s">
        <v>2047</v>
      </c>
      <c r="E491" s="256" t="s">
        <v>2047</v>
      </c>
      <c r="F491" s="3079" t="s">
        <v>2047</v>
      </c>
      <c r="G491" s="3080"/>
      <c r="H491" s="3078" t="s">
        <v>3313</v>
      </c>
      <c r="I491" s="3078"/>
      <c r="J491" s="3081"/>
    </row>
    <row r="492" spans="1:10">
      <c r="A492" s="245" t="s">
        <v>2047</v>
      </c>
      <c r="B492" s="228" t="s">
        <v>2047</v>
      </c>
      <c r="C492" s="228" t="s">
        <v>2047</v>
      </c>
      <c r="D492" s="228" t="s">
        <v>2047</v>
      </c>
      <c r="E492" s="228" t="s">
        <v>2047</v>
      </c>
      <c r="F492" s="3046" t="s">
        <v>2047</v>
      </c>
      <c r="G492" s="3047"/>
      <c r="H492" s="3048" t="s">
        <v>3313</v>
      </c>
      <c r="I492" s="3048"/>
      <c r="J492" s="3049"/>
    </row>
    <row r="493" spans="1:10">
      <c r="A493" s="245" t="s">
        <v>2047</v>
      </c>
      <c r="B493" s="228" t="s">
        <v>2047</v>
      </c>
      <c r="C493" s="228" t="s">
        <v>2047</v>
      </c>
      <c r="D493" s="228" t="s">
        <v>2047</v>
      </c>
      <c r="E493" s="228" t="s">
        <v>2047</v>
      </c>
      <c r="F493" s="3046" t="s">
        <v>2047</v>
      </c>
      <c r="G493" s="3047"/>
      <c r="H493" s="3048" t="s">
        <v>3313</v>
      </c>
      <c r="I493" s="3048"/>
      <c r="J493" s="3049"/>
    </row>
    <row r="494" spans="1:10">
      <c r="A494" s="245" t="s">
        <v>2047</v>
      </c>
      <c r="B494" s="228" t="s">
        <v>2047</v>
      </c>
      <c r="C494" s="228" t="s">
        <v>2047</v>
      </c>
      <c r="D494" s="228" t="s">
        <v>2047</v>
      </c>
      <c r="E494" s="228" t="s">
        <v>2047</v>
      </c>
      <c r="F494" s="3046" t="s">
        <v>2047</v>
      </c>
      <c r="G494" s="3047"/>
      <c r="H494" s="3048" t="s">
        <v>3313</v>
      </c>
      <c r="I494" s="3048"/>
      <c r="J494" s="3049"/>
    </row>
    <row r="495" spans="1:10">
      <c r="A495" s="245" t="s">
        <v>2047</v>
      </c>
      <c r="B495" s="228" t="s">
        <v>2047</v>
      </c>
      <c r="C495" s="228" t="s">
        <v>2047</v>
      </c>
      <c r="D495" s="228" t="s">
        <v>2047</v>
      </c>
      <c r="E495" s="228" t="s">
        <v>2047</v>
      </c>
      <c r="F495" s="3046" t="s">
        <v>2047</v>
      </c>
      <c r="G495" s="3047"/>
      <c r="H495" s="3048" t="s">
        <v>3313</v>
      </c>
      <c r="I495" s="3048"/>
      <c r="J495" s="3049"/>
    </row>
    <row r="496" spans="1:10">
      <c r="A496" s="245" t="s">
        <v>2047</v>
      </c>
      <c r="B496" s="228" t="s">
        <v>2047</v>
      </c>
      <c r="C496" s="228" t="s">
        <v>2047</v>
      </c>
      <c r="D496" s="228" t="s">
        <v>2047</v>
      </c>
      <c r="E496" s="228" t="s">
        <v>2047</v>
      </c>
      <c r="F496" s="3046" t="s">
        <v>2047</v>
      </c>
      <c r="G496" s="3047"/>
      <c r="H496" s="3048" t="s">
        <v>3313</v>
      </c>
      <c r="I496" s="3048"/>
      <c r="J496" s="3049"/>
    </row>
    <row r="497" spans="1:11">
      <c r="A497" s="245" t="s">
        <v>2047</v>
      </c>
      <c r="B497" s="228" t="s">
        <v>2047</v>
      </c>
      <c r="C497" s="228" t="s">
        <v>2047</v>
      </c>
      <c r="D497" s="228" t="s">
        <v>2047</v>
      </c>
      <c r="E497" s="228" t="s">
        <v>2047</v>
      </c>
      <c r="F497" s="3046" t="s">
        <v>2047</v>
      </c>
      <c r="G497" s="3047"/>
      <c r="H497" s="3048" t="s">
        <v>3313</v>
      </c>
      <c r="I497" s="3048"/>
      <c r="J497" s="3049"/>
    </row>
    <row r="498" spans="1:11">
      <c r="A498" s="1754" t="s">
        <v>2580</v>
      </c>
      <c r="B498" s="227" t="s">
        <v>2047</v>
      </c>
      <c r="C498" s="227" t="s">
        <v>2047</v>
      </c>
      <c r="D498" s="227" t="s">
        <v>2047</v>
      </c>
      <c r="E498" s="3050" t="s">
        <v>3314</v>
      </c>
      <c r="F498" s="3051"/>
      <c r="G498" s="3052">
        <f>H489</f>
        <v>4000</v>
      </c>
      <c r="H498" s="3052"/>
      <c r="I498" s="3053"/>
      <c r="J498" s="246"/>
    </row>
    <row r="499" spans="1:11">
      <c r="A499" s="247" t="s">
        <v>2047</v>
      </c>
      <c r="B499" s="229" t="s">
        <v>2047</v>
      </c>
      <c r="C499" s="229" t="s">
        <v>2047</v>
      </c>
      <c r="D499" s="229" t="s">
        <v>2047</v>
      </c>
      <c r="E499" s="229" t="s">
        <v>2047</v>
      </c>
      <c r="F499" s="230" t="s">
        <v>3315</v>
      </c>
      <c r="G499" s="231" t="s">
        <v>3316</v>
      </c>
      <c r="H499" s="3054" t="s">
        <v>3317</v>
      </c>
      <c r="I499" s="3054"/>
      <c r="J499" s="3055"/>
    </row>
    <row r="500" spans="1:11">
      <c r="A500" s="3056" t="s">
        <v>3318</v>
      </c>
      <c r="B500" s="3057"/>
      <c r="C500" s="3057"/>
      <c r="D500" s="3057"/>
      <c r="E500" s="3058"/>
      <c r="F500" s="3062" t="s">
        <v>1990</v>
      </c>
      <c r="G500" s="3063"/>
      <c r="H500" s="3066">
        <f>G498</f>
        <v>4000</v>
      </c>
      <c r="I500" s="3067"/>
      <c r="J500" s="3068"/>
    </row>
    <row r="501" spans="1:11">
      <c r="A501" s="3059"/>
      <c r="B501" s="3060"/>
      <c r="C501" s="3060"/>
      <c r="D501" s="3060"/>
      <c r="E501" s="3061"/>
      <c r="F501" s="3064"/>
      <c r="G501" s="3065"/>
      <c r="H501" s="3069"/>
      <c r="I501" s="3070"/>
      <c r="J501" s="3071"/>
    </row>
    <row r="502" spans="1:11">
      <c r="A502" s="3072" t="s">
        <v>3319</v>
      </c>
      <c r="B502" s="3073"/>
      <c r="C502" s="3073"/>
      <c r="D502" s="3073"/>
      <c r="E502" s="3073"/>
      <c r="F502" s="3073"/>
      <c r="G502" s="3073"/>
      <c r="H502" s="3073"/>
      <c r="I502" s="3073"/>
      <c r="J502" s="3074"/>
    </row>
    <row r="503" spans="1:11">
      <c r="A503" s="3075"/>
      <c r="B503" s="3076"/>
      <c r="C503" s="3076"/>
      <c r="D503" s="3076"/>
      <c r="E503" s="3076"/>
      <c r="F503" s="3076"/>
      <c r="G503" s="3076"/>
      <c r="H503" s="3076"/>
      <c r="I503" s="3076"/>
      <c r="J503" s="3077"/>
    </row>
    <row r="504" spans="1:11">
      <c r="A504" s="1391"/>
      <c r="B504" s="1752"/>
      <c r="C504" s="1752"/>
      <c r="D504" s="1752"/>
      <c r="E504" s="1752"/>
      <c r="F504" s="1752"/>
      <c r="G504" s="1752"/>
      <c r="H504" s="1752"/>
      <c r="I504" s="1752"/>
      <c r="J504" s="1752"/>
      <c r="K504" s="916"/>
    </row>
    <row r="505" spans="1:11">
      <c r="A505" s="1391"/>
      <c r="B505" s="1752"/>
      <c r="C505" s="1752"/>
      <c r="D505" s="1752"/>
      <c r="E505" s="1752"/>
      <c r="F505" s="1752"/>
      <c r="G505" s="1752"/>
      <c r="H505" s="1752"/>
      <c r="I505" s="1752"/>
      <c r="J505" s="1752"/>
      <c r="K505" s="916"/>
    </row>
    <row r="506" spans="1:11">
      <c r="A506" s="238" t="s">
        <v>2047</v>
      </c>
      <c r="B506" s="239" t="s">
        <v>2047</v>
      </c>
      <c r="C506" s="3082" t="s">
        <v>3292</v>
      </c>
      <c r="D506" s="3082"/>
      <c r="E506" s="3082"/>
      <c r="F506" s="3083"/>
      <c r="G506" s="239" t="s">
        <v>2047</v>
      </c>
      <c r="H506" s="1755" t="s">
        <v>2047</v>
      </c>
      <c r="I506" s="1755" t="s">
        <v>2047</v>
      </c>
      <c r="J506" s="240" t="s">
        <v>2047</v>
      </c>
    </row>
    <row r="507" spans="1:11" ht="15.6">
      <c r="A507" s="241" t="s">
        <v>2047</v>
      </c>
      <c r="B507" s="223"/>
      <c r="C507" s="3084" t="s">
        <v>2045</v>
      </c>
      <c r="D507" s="3084"/>
      <c r="E507" s="3084"/>
      <c r="F507" s="3085"/>
      <c r="G507" s="1756" t="s">
        <v>2047</v>
      </c>
      <c r="H507" s="3086" t="s">
        <v>3377</v>
      </c>
      <c r="I507" s="3086"/>
      <c r="J507" s="242" t="s">
        <v>2047</v>
      </c>
    </row>
    <row r="508" spans="1:11" ht="17.45">
      <c r="A508" s="241" t="s">
        <v>2047</v>
      </c>
      <c r="B508" s="224"/>
      <c r="C508" s="3088" t="s">
        <v>3294</v>
      </c>
      <c r="D508" s="3088"/>
      <c r="E508" s="3088"/>
      <c r="F508" s="3089"/>
      <c r="G508" s="225" t="s">
        <v>3295</v>
      </c>
      <c r="H508" s="3087"/>
      <c r="I508" s="3087"/>
      <c r="J508" s="242" t="s">
        <v>2047</v>
      </c>
    </row>
    <row r="509" spans="1:11">
      <c r="A509" s="241" t="s">
        <v>2047</v>
      </c>
      <c r="B509" s="224" t="s">
        <v>2047</v>
      </c>
      <c r="C509" s="3090" t="s">
        <v>3296</v>
      </c>
      <c r="D509" s="3090"/>
      <c r="E509" s="3090"/>
      <c r="F509" s="3091"/>
      <c r="G509" s="1756" t="s">
        <v>2047</v>
      </c>
      <c r="H509" s="226" t="s">
        <v>2047</v>
      </c>
      <c r="I509" s="226" t="s">
        <v>2047</v>
      </c>
      <c r="J509" s="243" t="s">
        <v>2047</v>
      </c>
    </row>
    <row r="510" spans="1:11" ht="31.9">
      <c r="A510" s="234" t="s">
        <v>3297</v>
      </c>
      <c r="B510" s="3092" t="s">
        <v>3378</v>
      </c>
      <c r="C510" s="3093"/>
      <c r="D510" s="3093"/>
      <c r="E510" s="3094"/>
      <c r="F510" s="233" t="s">
        <v>3299</v>
      </c>
      <c r="G510" s="232">
        <v>1035422600</v>
      </c>
      <c r="H510" s="1757" t="s">
        <v>3301</v>
      </c>
      <c r="I510" s="1757" t="s">
        <v>3302</v>
      </c>
      <c r="J510" s="244" t="s">
        <v>3303</v>
      </c>
    </row>
    <row r="511" spans="1:11">
      <c r="A511" s="3095"/>
      <c r="B511" s="3096"/>
      <c r="C511" s="3096"/>
      <c r="D511" s="3096"/>
      <c r="E511" s="3097"/>
      <c r="F511" s="3105"/>
      <c r="G511" s="3106"/>
      <c r="H511" s="248">
        <v>1</v>
      </c>
      <c r="I511" s="248">
        <v>7</v>
      </c>
      <c r="J511" s="249">
        <v>2021</v>
      </c>
    </row>
    <row r="512" spans="1:11">
      <c r="A512" s="3098" t="s">
        <v>3304</v>
      </c>
      <c r="B512" s="3099"/>
      <c r="C512" s="3099"/>
      <c r="D512" s="3099"/>
      <c r="E512" s="3110"/>
      <c r="F512" s="250" t="s">
        <v>3305</v>
      </c>
      <c r="G512" s="1753" t="s">
        <v>2047</v>
      </c>
      <c r="H512" s="251" t="s">
        <v>3306</v>
      </c>
      <c r="I512" s="252" t="s">
        <v>2047</v>
      </c>
      <c r="J512" s="253" t="s">
        <v>2047</v>
      </c>
    </row>
    <row r="513" spans="1:10">
      <c r="A513" s="3098" t="s">
        <v>3379</v>
      </c>
      <c r="B513" s="3099"/>
      <c r="C513" s="3099"/>
      <c r="D513" s="3099"/>
      <c r="E513" s="3110"/>
      <c r="F513" s="3105">
        <v>4810090</v>
      </c>
      <c r="G513" s="3106"/>
      <c r="H513" s="3105" t="s">
        <v>128</v>
      </c>
      <c r="I513" s="3105"/>
      <c r="J513" s="3107"/>
    </row>
    <row r="514" spans="1:10">
      <c r="A514" s="254" t="s">
        <v>3309</v>
      </c>
      <c r="B514" s="3105" t="s">
        <v>3310</v>
      </c>
      <c r="C514" s="3105"/>
      <c r="D514" s="3105"/>
      <c r="E514" s="3106"/>
      <c r="F514" s="3108" t="s">
        <v>2012</v>
      </c>
      <c r="G514" s="3109"/>
      <c r="H514" s="3105" t="s">
        <v>3311</v>
      </c>
      <c r="I514" s="3105"/>
      <c r="J514" s="3107"/>
    </row>
    <row r="515" spans="1:10">
      <c r="A515" s="255">
        <v>2</v>
      </c>
      <c r="B515" s="3078" t="s">
        <v>3367</v>
      </c>
      <c r="C515" s="3078"/>
      <c r="D515" s="3078"/>
      <c r="E515" s="3078"/>
      <c r="F515" s="3079">
        <v>2000</v>
      </c>
      <c r="G515" s="3080"/>
      <c r="H515" s="3078">
        <f>F515*A515</f>
        <v>4000</v>
      </c>
      <c r="I515" s="3078"/>
      <c r="J515" s="3081"/>
    </row>
    <row r="516" spans="1:10">
      <c r="A516" s="255" t="s">
        <v>2047</v>
      </c>
      <c r="B516" s="3078" t="s">
        <v>2047</v>
      </c>
      <c r="C516" s="3078"/>
      <c r="D516" s="3078"/>
      <c r="E516" s="3078"/>
      <c r="F516" s="3079" t="s">
        <v>2047</v>
      </c>
      <c r="G516" s="3080"/>
      <c r="H516" s="3078" t="s">
        <v>2047</v>
      </c>
      <c r="I516" s="3078"/>
      <c r="J516" s="3081"/>
    </row>
    <row r="517" spans="1:10">
      <c r="A517" s="255" t="s">
        <v>2047</v>
      </c>
      <c r="B517" s="256" t="s">
        <v>2047</v>
      </c>
      <c r="C517" s="256" t="s">
        <v>2047</v>
      </c>
      <c r="D517" s="256" t="s">
        <v>2047</v>
      </c>
      <c r="E517" s="256" t="s">
        <v>2047</v>
      </c>
      <c r="F517" s="3079" t="s">
        <v>2047</v>
      </c>
      <c r="G517" s="3080"/>
      <c r="H517" s="3078" t="s">
        <v>3313</v>
      </c>
      <c r="I517" s="3078"/>
      <c r="J517" s="3081"/>
    </row>
    <row r="518" spans="1:10">
      <c r="A518" s="245" t="s">
        <v>2047</v>
      </c>
      <c r="B518" s="228" t="s">
        <v>2047</v>
      </c>
      <c r="C518" s="228" t="s">
        <v>2047</v>
      </c>
      <c r="D518" s="228" t="s">
        <v>2047</v>
      </c>
      <c r="E518" s="228" t="s">
        <v>2047</v>
      </c>
      <c r="F518" s="3046" t="s">
        <v>2047</v>
      </c>
      <c r="G518" s="3047"/>
      <c r="H518" s="3048" t="s">
        <v>3313</v>
      </c>
      <c r="I518" s="3048"/>
      <c r="J518" s="3049"/>
    </row>
    <row r="519" spans="1:10">
      <c r="A519" s="245" t="s">
        <v>2047</v>
      </c>
      <c r="B519" s="228" t="s">
        <v>2047</v>
      </c>
      <c r="C519" s="228" t="s">
        <v>2047</v>
      </c>
      <c r="D519" s="228" t="s">
        <v>2047</v>
      </c>
      <c r="E519" s="228" t="s">
        <v>2047</v>
      </c>
      <c r="F519" s="3046" t="s">
        <v>2047</v>
      </c>
      <c r="G519" s="3047"/>
      <c r="H519" s="3048" t="s">
        <v>3313</v>
      </c>
      <c r="I519" s="3048"/>
      <c r="J519" s="3049"/>
    </row>
    <row r="520" spans="1:10">
      <c r="A520" s="245" t="s">
        <v>2047</v>
      </c>
      <c r="B520" s="228" t="s">
        <v>2047</v>
      </c>
      <c r="C520" s="228" t="s">
        <v>2047</v>
      </c>
      <c r="D520" s="228" t="s">
        <v>2047</v>
      </c>
      <c r="E520" s="228" t="s">
        <v>2047</v>
      </c>
      <c r="F520" s="3046" t="s">
        <v>2047</v>
      </c>
      <c r="G520" s="3047"/>
      <c r="H520" s="3048" t="s">
        <v>3313</v>
      </c>
      <c r="I520" s="3048"/>
      <c r="J520" s="3049"/>
    </row>
    <row r="521" spans="1:10">
      <c r="A521" s="245" t="s">
        <v>2047</v>
      </c>
      <c r="B521" s="228" t="s">
        <v>2047</v>
      </c>
      <c r="C521" s="228" t="s">
        <v>2047</v>
      </c>
      <c r="D521" s="228" t="s">
        <v>2047</v>
      </c>
      <c r="E521" s="228" t="s">
        <v>2047</v>
      </c>
      <c r="F521" s="3046" t="s">
        <v>2047</v>
      </c>
      <c r="G521" s="3047"/>
      <c r="H521" s="3048" t="s">
        <v>3313</v>
      </c>
      <c r="I521" s="3048"/>
      <c r="J521" s="3049"/>
    </row>
    <row r="522" spans="1:10">
      <c r="A522" s="245" t="s">
        <v>2047</v>
      </c>
      <c r="B522" s="228" t="s">
        <v>2047</v>
      </c>
      <c r="C522" s="228" t="s">
        <v>2047</v>
      </c>
      <c r="D522" s="228" t="s">
        <v>2047</v>
      </c>
      <c r="E522" s="228" t="s">
        <v>2047</v>
      </c>
      <c r="F522" s="3046" t="s">
        <v>2047</v>
      </c>
      <c r="G522" s="3047"/>
      <c r="H522" s="3048" t="s">
        <v>3313</v>
      </c>
      <c r="I522" s="3048"/>
      <c r="J522" s="3049"/>
    </row>
    <row r="523" spans="1:10">
      <c r="A523" s="245" t="s">
        <v>2047</v>
      </c>
      <c r="B523" s="228" t="s">
        <v>2047</v>
      </c>
      <c r="C523" s="228" t="s">
        <v>2047</v>
      </c>
      <c r="D523" s="228" t="s">
        <v>2047</v>
      </c>
      <c r="E523" s="228" t="s">
        <v>2047</v>
      </c>
      <c r="F523" s="3046" t="s">
        <v>2047</v>
      </c>
      <c r="G523" s="3047"/>
      <c r="H523" s="3048" t="s">
        <v>3313</v>
      </c>
      <c r="I523" s="3048"/>
      <c r="J523" s="3049"/>
    </row>
    <row r="524" spans="1:10">
      <c r="A524" s="1754" t="s">
        <v>2580</v>
      </c>
      <c r="B524" s="227" t="s">
        <v>2047</v>
      </c>
      <c r="C524" s="227" t="s">
        <v>2047</v>
      </c>
      <c r="D524" s="227" t="s">
        <v>2047</v>
      </c>
      <c r="E524" s="3050" t="s">
        <v>3314</v>
      </c>
      <c r="F524" s="3051"/>
      <c r="G524" s="3052">
        <f>H515</f>
        <v>4000</v>
      </c>
      <c r="H524" s="3052"/>
      <c r="I524" s="3053"/>
      <c r="J524" s="246"/>
    </row>
    <row r="525" spans="1:10">
      <c r="A525" s="247" t="s">
        <v>2047</v>
      </c>
      <c r="B525" s="229" t="s">
        <v>2047</v>
      </c>
      <c r="C525" s="229" t="s">
        <v>2047</v>
      </c>
      <c r="D525" s="229" t="s">
        <v>2047</v>
      </c>
      <c r="E525" s="229" t="s">
        <v>2047</v>
      </c>
      <c r="F525" s="230" t="s">
        <v>3315</v>
      </c>
      <c r="G525" s="231" t="s">
        <v>3316</v>
      </c>
      <c r="H525" s="3054" t="s">
        <v>3317</v>
      </c>
      <c r="I525" s="3054"/>
      <c r="J525" s="3055"/>
    </row>
    <row r="526" spans="1:10">
      <c r="A526" s="3056" t="s">
        <v>3318</v>
      </c>
      <c r="B526" s="3057"/>
      <c r="C526" s="3057"/>
      <c r="D526" s="3057"/>
      <c r="E526" s="3058"/>
      <c r="F526" s="3062" t="s">
        <v>1990</v>
      </c>
      <c r="G526" s="3063"/>
      <c r="H526" s="3066">
        <f>G524</f>
        <v>4000</v>
      </c>
      <c r="I526" s="3067"/>
      <c r="J526" s="3068"/>
    </row>
    <row r="527" spans="1:10">
      <c r="A527" s="3059"/>
      <c r="B527" s="3060"/>
      <c r="C527" s="3060"/>
      <c r="D527" s="3060"/>
      <c r="E527" s="3061"/>
      <c r="F527" s="3064"/>
      <c r="G527" s="3065"/>
      <c r="H527" s="3069"/>
      <c r="I527" s="3070"/>
      <c r="J527" s="3071"/>
    </row>
    <row r="528" spans="1:10">
      <c r="A528" s="3072" t="s">
        <v>3319</v>
      </c>
      <c r="B528" s="3073"/>
      <c r="C528" s="3073"/>
      <c r="D528" s="3073"/>
      <c r="E528" s="3073"/>
      <c r="F528" s="3073"/>
      <c r="G528" s="3073"/>
      <c r="H528" s="3073"/>
      <c r="I528" s="3073"/>
      <c r="J528" s="3074"/>
    </row>
    <row r="529" spans="1:10">
      <c r="A529" s="3075"/>
      <c r="B529" s="3076"/>
      <c r="C529" s="3076"/>
      <c r="D529" s="3076"/>
      <c r="E529" s="3076"/>
      <c r="F529" s="3076"/>
      <c r="G529" s="3076"/>
      <c r="H529" s="3076"/>
      <c r="I529" s="3076"/>
      <c r="J529" s="3077"/>
    </row>
    <row r="532" spans="1:10">
      <c r="A532" s="238" t="s">
        <v>2047</v>
      </c>
      <c r="B532" s="239" t="s">
        <v>2047</v>
      </c>
      <c r="C532" s="3082" t="s">
        <v>3292</v>
      </c>
      <c r="D532" s="3082"/>
      <c r="E532" s="3082"/>
      <c r="F532" s="3083"/>
      <c r="G532" s="239" t="s">
        <v>2047</v>
      </c>
      <c r="H532" s="1755" t="s">
        <v>2047</v>
      </c>
      <c r="I532" s="1755" t="s">
        <v>2047</v>
      </c>
      <c r="J532" s="240" t="s">
        <v>2047</v>
      </c>
    </row>
    <row r="533" spans="1:10" ht="15.6">
      <c r="A533" s="241" t="s">
        <v>2047</v>
      </c>
      <c r="B533" s="223"/>
      <c r="C533" s="3084" t="s">
        <v>2045</v>
      </c>
      <c r="D533" s="3084"/>
      <c r="E533" s="3084"/>
      <c r="F533" s="3085"/>
      <c r="G533" s="1756" t="s">
        <v>2047</v>
      </c>
      <c r="H533" s="3086" t="s">
        <v>3380</v>
      </c>
      <c r="I533" s="3086"/>
      <c r="J533" s="242" t="s">
        <v>2047</v>
      </c>
    </row>
    <row r="534" spans="1:10" ht="17.45">
      <c r="A534" s="241" t="s">
        <v>2047</v>
      </c>
      <c r="B534" s="224"/>
      <c r="C534" s="3088" t="s">
        <v>3294</v>
      </c>
      <c r="D534" s="3088"/>
      <c r="E534" s="3088"/>
      <c r="F534" s="3089"/>
      <c r="G534" s="225" t="s">
        <v>3295</v>
      </c>
      <c r="H534" s="3087"/>
      <c r="I534" s="3087"/>
      <c r="J534" s="242" t="s">
        <v>2047</v>
      </c>
    </row>
    <row r="535" spans="1:10">
      <c r="A535" s="241" t="s">
        <v>2047</v>
      </c>
      <c r="B535" s="224" t="s">
        <v>2047</v>
      </c>
      <c r="C535" s="3090" t="s">
        <v>3296</v>
      </c>
      <c r="D535" s="3090"/>
      <c r="E535" s="3090"/>
      <c r="F535" s="3091"/>
      <c r="G535" s="1756" t="s">
        <v>2047</v>
      </c>
      <c r="H535" s="226" t="s">
        <v>2047</v>
      </c>
      <c r="I535" s="226" t="s">
        <v>2047</v>
      </c>
      <c r="J535" s="243" t="s">
        <v>2047</v>
      </c>
    </row>
    <row r="536" spans="1:10" ht="31.9">
      <c r="A536" s="234" t="s">
        <v>3297</v>
      </c>
      <c r="B536" s="3092" t="s">
        <v>3381</v>
      </c>
      <c r="C536" s="3093"/>
      <c r="D536" s="3093"/>
      <c r="E536" s="3094"/>
      <c r="F536" s="233" t="s">
        <v>3299</v>
      </c>
      <c r="G536" s="232" t="s">
        <v>3382</v>
      </c>
      <c r="H536" s="1757" t="s">
        <v>3301</v>
      </c>
      <c r="I536" s="1757" t="s">
        <v>3302</v>
      </c>
      <c r="J536" s="244" t="s">
        <v>3303</v>
      </c>
    </row>
    <row r="537" spans="1:10">
      <c r="A537" s="3095"/>
      <c r="B537" s="3096"/>
      <c r="C537" s="3096"/>
      <c r="D537" s="3096"/>
      <c r="E537" s="3097"/>
      <c r="F537" s="3105"/>
      <c r="G537" s="3106"/>
      <c r="H537" s="248">
        <v>2</v>
      </c>
      <c r="I537" s="248">
        <v>7</v>
      </c>
      <c r="J537" s="249">
        <v>2021</v>
      </c>
    </row>
    <row r="538" spans="1:10">
      <c r="A538" s="3098" t="s">
        <v>3304</v>
      </c>
      <c r="B538" s="3099"/>
      <c r="C538" s="3099"/>
      <c r="D538" s="3099"/>
      <c r="E538" s="3110"/>
      <c r="F538" s="250" t="s">
        <v>3305</v>
      </c>
      <c r="G538" s="1753" t="s">
        <v>2047</v>
      </c>
      <c r="H538" s="251" t="s">
        <v>3306</v>
      </c>
      <c r="I538" s="252" t="s">
        <v>2047</v>
      </c>
      <c r="J538" s="253" t="s">
        <v>2047</v>
      </c>
    </row>
    <row r="539" spans="1:10">
      <c r="A539" s="3098" t="s">
        <v>3383</v>
      </c>
      <c r="B539" s="3099"/>
      <c r="C539" s="3099"/>
      <c r="D539" s="3099"/>
      <c r="E539" s="3110"/>
      <c r="F539" s="3105">
        <v>4486921</v>
      </c>
      <c r="G539" s="3106"/>
      <c r="H539" s="3105" t="s">
        <v>216</v>
      </c>
      <c r="I539" s="3105"/>
      <c r="J539" s="3107"/>
    </row>
    <row r="540" spans="1:10">
      <c r="A540" s="254" t="s">
        <v>3309</v>
      </c>
      <c r="B540" s="3105" t="s">
        <v>3310</v>
      </c>
      <c r="C540" s="3105"/>
      <c r="D540" s="3105"/>
      <c r="E540" s="3106"/>
      <c r="F540" s="3108" t="s">
        <v>2012</v>
      </c>
      <c r="G540" s="3109"/>
      <c r="H540" s="3105" t="s">
        <v>3311</v>
      </c>
      <c r="I540" s="3105"/>
      <c r="J540" s="3107"/>
    </row>
    <row r="541" spans="1:10">
      <c r="A541" s="255">
        <v>1</v>
      </c>
      <c r="B541" s="3078" t="s">
        <v>3367</v>
      </c>
      <c r="C541" s="3078"/>
      <c r="D541" s="3078"/>
      <c r="E541" s="3078"/>
      <c r="F541" s="3079">
        <v>2000</v>
      </c>
      <c r="G541" s="3080"/>
      <c r="H541" s="3078">
        <f>F541*A541</f>
        <v>2000</v>
      </c>
      <c r="I541" s="3078"/>
      <c r="J541" s="3081"/>
    </row>
    <row r="542" spans="1:10">
      <c r="A542" s="255" t="s">
        <v>2047</v>
      </c>
      <c r="B542" s="3078" t="s">
        <v>2047</v>
      </c>
      <c r="C542" s="3078"/>
      <c r="D542" s="3078"/>
      <c r="E542" s="3078"/>
      <c r="F542" s="3079" t="s">
        <v>2047</v>
      </c>
      <c r="G542" s="3080"/>
      <c r="H542" s="3078" t="s">
        <v>2047</v>
      </c>
      <c r="I542" s="3078"/>
      <c r="J542" s="3081"/>
    </row>
    <row r="543" spans="1:10">
      <c r="A543" s="255" t="s">
        <v>2047</v>
      </c>
      <c r="B543" s="256" t="s">
        <v>2047</v>
      </c>
      <c r="C543" s="256" t="s">
        <v>2047</v>
      </c>
      <c r="D543" s="256" t="s">
        <v>2047</v>
      </c>
      <c r="E543" s="256" t="s">
        <v>2047</v>
      </c>
      <c r="F543" s="3079" t="s">
        <v>2047</v>
      </c>
      <c r="G543" s="3080"/>
      <c r="H543" s="3078" t="s">
        <v>3313</v>
      </c>
      <c r="I543" s="3078"/>
      <c r="J543" s="3081"/>
    </row>
    <row r="544" spans="1:10">
      <c r="A544" s="245" t="s">
        <v>2047</v>
      </c>
      <c r="B544" s="228" t="s">
        <v>2047</v>
      </c>
      <c r="C544" s="228" t="s">
        <v>2047</v>
      </c>
      <c r="D544" s="228" t="s">
        <v>2047</v>
      </c>
      <c r="E544" s="228" t="s">
        <v>2047</v>
      </c>
      <c r="F544" s="3046" t="s">
        <v>2047</v>
      </c>
      <c r="G544" s="3047"/>
      <c r="H544" s="3048" t="s">
        <v>3313</v>
      </c>
      <c r="I544" s="3048"/>
      <c r="J544" s="3049"/>
    </row>
    <row r="545" spans="1:10">
      <c r="A545" s="245" t="s">
        <v>2047</v>
      </c>
      <c r="B545" s="228" t="s">
        <v>2047</v>
      </c>
      <c r="C545" s="228" t="s">
        <v>2047</v>
      </c>
      <c r="D545" s="228" t="s">
        <v>2047</v>
      </c>
      <c r="E545" s="228" t="s">
        <v>2047</v>
      </c>
      <c r="F545" s="3046" t="s">
        <v>2047</v>
      </c>
      <c r="G545" s="3047"/>
      <c r="H545" s="3048" t="s">
        <v>3313</v>
      </c>
      <c r="I545" s="3048"/>
      <c r="J545" s="3049"/>
    </row>
    <row r="546" spans="1:10">
      <c r="A546" s="245" t="s">
        <v>2047</v>
      </c>
      <c r="B546" s="228" t="s">
        <v>2047</v>
      </c>
      <c r="C546" s="228" t="s">
        <v>2047</v>
      </c>
      <c r="D546" s="228" t="s">
        <v>2047</v>
      </c>
      <c r="E546" s="228" t="s">
        <v>2047</v>
      </c>
      <c r="F546" s="3046" t="s">
        <v>2047</v>
      </c>
      <c r="G546" s="3047"/>
      <c r="H546" s="3048" t="s">
        <v>3313</v>
      </c>
      <c r="I546" s="3048"/>
      <c r="J546" s="3049"/>
    </row>
    <row r="547" spans="1:10">
      <c r="A547" s="245" t="s">
        <v>2047</v>
      </c>
      <c r="B547" s="228" t="s">
        <v>2047</v>
      </c>
      <c r="C547" s="228" t="s">
        <v>2047</v>
      </c>
      <c r="D547" s="228" t="s">
        <v>2047</v>
      </c>
      <c r="E547" s="228" t="s">
        <v>2047</v>
      </c>
      <c r="F547" s="3046" t="s">
        <v>2047</v>
      </c>
      <c r="G547" s="3047"/>
      <c r="H547" s="3048" t="s">
        <v>3313</v>
      </c>
      <c r="I547" s="3048"/>
      <c r="J547" s="3049"/>
    </row>
    <row r="548" spans="1:10">
      <c r="A548" s="245" t="s">
        <v>2047</v>
      </c>
      <c r="B548" s="228" t="s">
        <v>2047</v>
      </c>
      <c r="C548" s="228" t="s">
        <v>2047</v>
      </c>
      <c r="D548" s="228" t="s">
        <v>2047</v>
      </c>
      <c r="E548" s="228" t="s">
        <v>2047</v>
      </c>
      <c r="F548" s="3046" t="s">
        <v>2047</v>
      </c>
      <c r="G548" s="3047"/>
      <c r="H548" s="3048" t="s">
        <v>3313</v>
      </c>
      <c r="I548" s="3048"/>
      <c r="J548" s="3049"/>
    </row>
    <row r="549" spans="1:10">
      <c r="A549" s="245" t="s">
        <v>2047</v>
      </c>
      <c r="B549" s="228" t="s">
        <v>2047</v>
      </c>
      <c r="C549" s="228" t="s">
        <v>2047</v>
      </c>
      <c r="D549" s="228" t="s">
        <v>2047</v>
      </c>
      <c r="E549" s="228" t="s">
        <v>2047</v>
      </c>
      <c r="F549" s="3046" t="s">
        <v>2047</v>
      </c>
      <c r="G549" s="3047"/>
      <c r="H549" s="3048" t="s">
        <v>3313</v>
      </c>
      <c r="I549" s="3048"/>
      <c r="J549" s="3049"/>
    </row>
    <row r="550" spans="1:10">
      <c r="A550" s="1754" t="s">
        <v>2580</v>
      </c>
      <c r="B550" s="227" t="s">
        <v>2047</v>
      </c>
      <c r="C550" s="227" t="s">
        <v>2047</v>
      </c>
      <c r="D550" s="227" t="s">
        <v>2047</v>
      </c>
      <c r="E550" s="3050" t="s">
        <v>3314</v>
      </c>
      <c r="F550" s="3051"/>
      <c r="G550" s="3052">
        <f>H541</f>
        <v>2000</v>
      </c>
      <c r="H550" s="3052"/>
      <c r="I550" s="3053"/>
      <c r="J550" s="246"/>
    </row>
    <row r="551" spans="1:10">
      <c r="A551" s="247" t="s">
        <v>2047</v>
      </c>
      <c r="B551" s="229" t="s">
        <v>2047</v>
      </c>
      <c r="C551" s="229" t="s">
        <v>2047</v>
      </c>
      <c r="D551" s="229" t="s">
        <v>2047</v>
      </c>
      <c r="E551" s="229" t="s">
        <v>2047</v>
      </c>
      <c r="F551" s="230" t="s">
        <v>3315</v>
      </c>
      <c r="G551" s="231" t="s">
        <v>3316</v>
      </c>
      <c r="H551" s="3054" t="s">
        <v>3317</v>
      </c>
      <c r="I551" s="3054"/>
      <c r="J551" s="3055"/>
    </row>
    <row r="552" spans="1:10">
      <c r="A552" s="3056" t="s">
        <v>3318</v>
      </c>
      <c r="B552" s="3057"/>
      <c r="C552" s="3057"/>
      <c r="D552" s="3057"/>
      <c r="E552" s="3058"/>
      <c r="F552" s="3062" t="s">
        <v>1990</v>
      </c>
      <c r="G552" s="3063"/>
      <c r="H552" s="3066">
        <f>G550</f>
        <v>2000</v>
      </c>
      <c r="I552" s="3067"/>
      <c r="J552" s="3068"/>
    </row>
    <row r="553" spans="1:10">
      <c r="A553" s="3059"/>
      <c r="B553" s="3060"/>
      <c r="C553" s="3060"/>
      <c r="D553" s="3060"/>
      <c r="E553" s="3061"/>
      <c r="F553" s="3064"/>
      <c r="G553" s="3065"/>
      <c r="H553" s="3069"/>
      <c r="I553" s="3070"/>
      <c r="J553" s="3071"/>
    </row>
    <row r="554" spans="1:10">
      <c r="A554" s="3072" t="s">
        <v>3319</v>
      </c>
      <c r="B554" s="3073"/>
      <c r="C554" s="3073"/>
      <c r="D554" s="3073"/>
      <c r="E554" s="3073"/>
      <c r="F554" s="3073"/>
      <c r="G554" s="3073"/>
      <c r="H554" s="3073"/>
      <c r="I554" s="3073"/>
      <c r="J554" s="3074"/>
    </row>
    <row r="555" spans="1:10">
      <c r="A555" s="3075"/>
      <c r="B555" s="3076"/>
      <c r="C555" s="3076"/>
      <c r="D555" s="3076"/>
      <c r="E555" s="3076"/>
      <c r="F555" s="3076"/>
      <c r="G555" s="3076"/>
      <c r="H555" s="3076"/>
      <c r="I555" s="3076"/>
      <c r="J555" s="3077"/>
    </row>
    <row r="558" spans="1:10">
      <c r="A558" s="238" t="s">
        <v>2047</v>
      </c>
      <c r="B558" s="239" t="s">
        <v>2047</v>
      </c>
      <c r="C558" s="3082" t="s">
        <v>3292</v>
      </c>
      <c r="D558" s="3082"/>
      <c r="E558" s="3082"/>
      <c r="F558" s="3083"/>
      <c r="G558" s="239" t="s">
        <v>2047</v>
      </c>
      <c r="H558" s="1755" t="s">
        <v>2047</v>
      </c>
      <c r="I558" s="1755" t="s">
        <v>2047</v>
      </c>
      <c r="J558" s="240" t="s">
        <v>2047</v>
      </c>
    </row>
    <row r="559" spans="1:10" ht="15.6">
      <c r="A559" s="241" t="s">
        <v>2047</v>
      </c>
      <c r="B559" s="223"/>
      <c r="C559" s="3084" t="s">
        <v>2045</v>
      </c>
      <c r="D559" s="3084"/>
      <c r="E559" s="3084"/>
      <c r="F559" s="3085"/>
      <c r="G559" s="1756" t="s">
        <v>2047</v>
      </c>
      <c r="H559" s="3086" t="s">
        <v>3384</v>
      </c>
      <c r="I559" s="3086"/>
      <c r="J559" s="242" t="s">
        <v>2047</v>
      </c>
    </row>
    <row r="560" spans="1:10" ht="17.45">
      <c r="A560" s="241" t="s">
        <v>2047</v>
      </c>
      <c r="B560" s="224"/>
      <c r="C560" s="3088" t="s">
        <v>3294</v>
      </c>
      <c r="D560" s="3088"/>
      <c r="E560" s="3088"/>
      <c r="F560" s="3089"/>
      <c r="G560" s="225" t="s">
        <v>3295</v>
      </c>
      <c r="H560" s="3087"/>
      <c r="I560" s="3087"/>
      <c r="J560" s="242" t="s">
        <v>2047</v>
      </c>
    </row>
    <row r="561" spans="1:10">
      <c r="A561" s="241" t="s">
        <v>2047</v>
      </c>
      <c r="B561" s="224" t="s">
        <v>2047</v>
      </c>
      <c r="C561" s="3090" t="s">
        <v>3296</v>
      </c>
      <c r="D561" s="3090"/>
      <c r="E561" s="3090"/>
      <c r="F561" s="3091"/>
      <c r="G561" s="1756" t="s">
        <v>2047</v>
      </c>
      <c r="H561" s="226" t="s">
        <v>2047</v>
      </c>
      <c r="I561" s="226" t="s">
        <v>2047</v>
      </c>
      <c r="J561" s="243" t="s">
        <v>2047</v>
      </c>
    </row>
    <row r="562" spans="1:10" ht="31.9">
      <c r="A562" s="234" t="s">
        <v>3297</v>
      </c>
      <c r="B562" s="3092" t="s">
        <v>3385</v>
      </c>
      <c r="C562" s="3093"/>
      <c r="D562" s="3093"/>
      <c r="E562" s="3094"/>
      <c r="F562" s="233" t="s">
        <v>3299</v>
      </c>
      <c r="G562" s="232" t="s">
        <v>3386</v>
      </c>
      <c r="H562" s="1757" t="s">
        <v>3301</v>
      </c>
      <c r="I562" s="1757" t="s">
        <v>3302</v>
      </c>
      <c r="J562" s="244" t="s">
        <v>3303</v>
      </c>
    </row>
    <row r="563" spans="1:10">
      <c r="A563" s="3095"/>
      <c r="B563" s="3096"/>
      <c r="C563" s="3096"/>
      <c r="D563" s="3096"/>
      <c r="E563" s="3097"/>
      <c r="F563" s="3105"/>
      <c r="G563" s="3106"/>
      <c r="H563" s="248">
        <v>9</v>
      </c>
      <c r="I563" s="248">
        <v>7</v>
      </c>
      <c r="J563" s="249">
        <v>2021</v>
      </c>
    </row>
    <row r="564" spans="1:10">
      <c r="A564" s="3098" t="s">
        <v>3304</v>
      </c>
      <c r="B564" s="3099"/>
      <c r="C564" s="3099"/>
      <c r="D564" s="3099"/>
      <c r="E564" s="3110"/>
      <c r="F564" s="250" t="s">
        <v>3305</v>
      </c>
      <c r="G564" s="1753" t="s">
        <v>2047</v>
      </c>
      <c r="H564" s="251" t="s">
        <v>3306</v>
      </c>
      <c r="I564" s="252" t="s">
        <v>2047</v>
      </c>
      <c r="J564" s="253" t="s">
        <v>2047</v>
      </c>
    </row>
    <row r="565" spans="1:10">
      <c r="A565" s="3098" t="s">
        <v>3387</v>
      </c>
      <c r="B565" s="3099"/>
      <c r="C565" s="3099"/>
      <c r="D565" s="3099"/>
      <c r="E565" s="3110"/>
      <c r="F565" s="3105">
        <v>3147670922</v>
      </c>
      <c r="G565" s="3106"/>
      <c r="H565" s="3105" t="s">
        <v>128</v>
      </c>
      <c r="I565" s="3105"/>
      <c r="J565" s="3107"/>
    </row>
    <row r="566" spans="1:10">
      <c r="A566" s="254" t="s">
        <v>3309</v>
      </c>
      <c r="B566" s="3105" t="s">
        <v>3310</v>
      </c>
      <c r="C566" s="3105"/>
      <c r="D566" s="3105"/>
      <c r="E566" s="3106"/>
      <c r="F566" s="3108" t="s">
        <v>2012</v>
      </c>
      <c r="G566" s="3109"/>
      <c r="H566" s="3105" t="s">
        <v>3311</v>
      </c>
      <c r="I566" s="3105"/>
      <c r="J566" s="3107"/>
    </row>
    <row r="567" spans="1:10">
      <c r="A567" s="255">
        <v>4</v>
      </c>
      <c r="B567" s="3078" t="s">
        <v>3367</v>
      </c>
      <c r="C567" s="3078"/>
      <c r="D567" s="3078"/>
      <c r="E567" s="3078"/>
      <c r="F567" s="3079">
        <v>2000</v>
      </c>
      <c r="G567" s="3080"/>
      <c r="H567" s="3078">
        <f>F567*A567</f>
        <v>8000</v>
      </c>
      <c r="I567" s="3078"/>
      <c r="J567" s="3081"/>
    </row>
    <row r="568" spans="1:10">
      <c r="A568" s="255" t="s">
        <v>2047</v>
      </c>
      <c r="B568" s="3078" t="s">
        <v>2047</v>
      </c>
      <c r="C568" s="3078"/>
      <c r="D568" s="3078"/>
      <c r="E568" s="3078"/>
      <c r="F568" s="3079" t="s">
        <v>2047</v>
      </c>
      <c r="G568" s="3080"/>
      <c r="H568" s="3078" t="s">
        <v>2047</v>
      </c>
      <c r="I568" s="3078"/>
      <c r="J568" s="3081"/>
    </row>
    <row r="569" spans="1:10">
      <c r="A569" s="255" t="s">
        <v>2047</v>
      </c>
      <c r="B569" s="256" t="s">
        <v>2047</v>
      </c>
      <c r="C569" s="256" t="s">
        <v>2047</v>
      </c>
      <c r="D569" s="256" t="s">
        <v>2047</v>
      </c>
      <c r="E569" s="256" t="s">
        <v>2047</v>
      </c>
      <c r="F569" s="3079" t="s">
        <v>2047</v>
      </c>
      <c r="G569" s="3080"/>
      <c r="H569" s="3078" t="s">
        <v>3313</v>
      </c>
      <c r="I569" s="3078"/>
      <c r="J569" s="3081"/>
    </row>
    <row r="570" spans="1:10">
      <c r="A570" s="245" t="s">
        <v>2047</v>
      </c>
      <c r="B570" s="228" t="s">
        <v>2047</v>
      </c>
      <c r="C570" s="228" t="s">
        <v>2047</v>
      </c>
      <c r="D570" s="228" t="s">
        <v>2047</v>
      </c>
      <c r="E570" s="228" t="s">
        <v>2047</v>
      </c>
      <c r="F570" s="3046" t="s">
        <v>2047</v>
      </c>
      <c r="G570" s="3047"/>
      <c r="H570" s="3048" t="s">
        <v>3313</v>
      </c>
      <c r="I570" s="3048"/>
      <c r="J570" s="3049"/>
    </row>
    <row r="571" spans="1:10">
      <c r="A571" s="245" t="s">
        <v>2047</v>
      </c>
      <c r="B571" s="228" t="s">
        <v>2047</v>
      </c>
      <c r="C571" s="228" t="s">
        <v>2047</v>
      </c>
      <c r="D571" s="228" t="s">
        <v>2047</v>
      </c>
      <c r="E571" s="228" t="s">
        <v>2047</v>
      </c>
      <c r="F571" s="3046" t="s">
        <v>2047</v>
      </c>
      <c r="G571" s="3047"/>
      <c r="H571" s="3048" t="s">
        <v>3313</v>
      </c>
      <c r="I571" s="3048"/>
      <c r="J571" s="3049"/>
    </row>
    <row r="572" spans="1:10">
      <c r="A572" s="245" t="s">
        <v>2047</v>
      </c>
      <c r="B572" s="228" t="s">
        <v>2047</v>
      </c>
      <c r="C572" s="228" t="s">
        <v>2047</v>
      </c>
      <c r="D572" s="228" t="s">
        <v>2047</v>
      </c>
      <c r="E572" s="228" t="s">
        <v>2047</v>
      </c>
      <c r="F572" s="3046" t="s">
        <v>2047</v>
      </c>
      <c r="G572" s="3047"/>
      <c r="H572" s="3048" t="s">
        <v>3313</v>
      </c>
      <c r="I572" s="3048"/>
      <c r="J572" s="3049"/>
    </row>
    <row r="573" spans="1:10">
      <c r="A573" s="245" t="s">
        <v>2047</v>
      </c>
      <c r="B573" s="228" t="s">
        <v>2047</v>
      </c>
      <c r="C573" s="228" t="s">
        <v>2047</v>
      </c>
      <c r="D573" s="228" t="s">
        <v>2047</v>
      </c>
      <c r="E573" s="228" t="s">
        <v>2047</v>
      </c>
      <c r="F573" s="3046" t="s">
        <v>2047</v>
      </c>
      <c r="G573" s="3047"/>
      <c r="H573" s="3048" t="s">
        <v>3313</v>
      </c>
      <c r="I573" s="3048"/>
      <c r="J573" s="3049"/>
    </row>
    <row r="574" spans="1:10">
      <c r="A574" s="245" t="s">
        <v>2047</v>
      </c>
      <c r="B574" s="228" t="s">
        <v>2047</v>
      </c>
      <c r="C574" s="228" t="s">
        <v>2047</v>
      </c>
      <c r="D574" s="228" t="s">
        <v>2047</v>
      </c>
      <c r="E574" s="228" t="s">
        <v>2047</v>
      </c>
      <c r="F574" s="3046" t="s">
        <v>2047</v>
      </c>
      <c r="G574" s="3047"/>
      <c r="H574" s="3048" t="s">
        <v>3313</v>
      </c>
      <c r="I574" s="3048"/>
      <c r="J574" s="3049"/>
    </row>
    <row r="575" spans="1:10">
      <c r="A575" s="245" t="s">
        <v>2047</v>
      </c>
      <c r="B575" s="228" t="s">
        <v>2047</v>
      </c>
      <c r="C575" s="228" t="s">
        <v>2047</v>
      </c>
      <c r="D575" s="228" t="s">
        <v>2047</v>
      </c>
      <c r="E575" s="228" t="s">
        <v>2047</v>
      </c>
      <c r="F575" s="3046" t="s">
        <v>2047</v>
      </c>
      <c r="G575" s="3047"/>
      <c r="H575" s="3048" t="s">
        <v>3313</v>
      </c>
      <c r="I575" s="3048"/>
      <c r="J575" s="3049"/>
    </row>
    <row r="576" spans="1:10">
      <c r="A576" s="1754" t="s">
        <v>2580</v>
      </c>
      <c r="B576" s="227" t="s">
        <v>2047</v>
      </c>
      <c r="C576" s="227" t="s">
        <v>2047</v>
      </c>
      <c r="D576" s="227" t="s">
        <v>2047</v>
      </c>
      <c r="E576" s="3050" t="s">
        <v>3314</v>
      </c>
      <c r="F576" s="3051"/>
      <c r="G576" s="3052">
        <f>H567</f>
        <v>8000</v>
      </c>
      <c r="H576" s="3052"/>
      <c r="I576" s="3053"/>
      <c r="J576" s="246"/>
    </row>
    <row r="577" spans="1:10">
      <c r="A577" s="247" t="s">
        <v>2047</v>
      </c>
      <c r="B577" s="229" t="s">
        <v>2047</v>
      </c>
      <c r="C577" s="229" t="s">
        <v>2047</v>
      </c>
      <c r="D577" s="229" t="s">
        <v>2047</v>
      </c>
      <c r="E577" s="229" t="s">
        <v>2047</v>
      </c>
      <c r="F577" s="230" t="s">
        <v>3315</v>
      </c>
      <c r="G577" s="231" t="s">
        <v>3316</v>
      </c>
      <c r="H577" s="3054" t="s">
        <v>3317</v>
      </c>
      <c r="I577" s="3054"/>
      <c r="J577" s="3055"/>
    </row>
    <row r="578" spans="1:10">
      <c r="A578" s="3056" t="s">
        <v>3318</v>
      </c>
      <c r="B578" s="3057"/>
      <c r="C578" s="3057"/>
      <c r="D578" s="3057"/>
      <c r="E578" s="3058"/>
      <c r="F578" s="3062" t="s">
        <v>1990</v>
      </c>
      <c r="G578" s="3063"/>
      <c r="H578" s="3066">
        <f>G576</f>
        <v>8000</v>
      </c>
      <c r="I578" s="3067"/>
      <c r="J578" s="3068"/>
    </row>
    <row r="579" spans="1:10">
      <c r="A579" s="3059"/>
      <c r="B579" s="3060"/>
      <c r="C579" s="3060"/>
      <c r="D579" s="3060"/>
      <c r="E579" s="3061"/>
      <c r="F579" s="3064"/>
      <c r="G579" s="3065"/>
      <c r="H579" s="3069"/>
      <c r="I579" s="3070"/>
      <c r="J579" s="3071"/>
    </row>
    <row r="580" spans="1:10">
      <c r="A580" s="3072" t="s">
        <v>3319</v>
      </c>
      <c r="B580" s="3073"/>
      <c r="C580" s="3073"/>
      <c r="D580" s="3073"/>
      <c r="E580" s="3073"/>
      <c r="F580" s="3073"/>
      <c r="G580" s="3073"/>
      <c r="H580" s="3073"/>
      <c r="I580" s="3073"/>
      <c r="J580" s="3074"/>
    </row>
    <row r="581" spans="1:10">
      <c r="A581" s="3075"/>
      <c r="B581" s="3076"/>
      <c r="C581" s="3076"/>
      <c r="D581" s="3076"/>
      <c r="E581" s="3076"/>
      <c r="F581" s="3076"/>
      <c r="G581" s="3076"/>
      <c r="H581" s="3076"/>
      <c r="I581" s="3076"/>
      <c r="J581" s="3077"/>
    </row>
    <row r="584" spans="1:10">
      <c r="A584" s="238" t="s">
        <v>2047</v>
      </c>
      <c r="B584" s="239" t="s">
        <v>2047</v>
      </c>
      <c r="C584" s="3082" t="s">
        <v>3292</v>
      </c>
      <c r="D584" s="3082"/>
      <c r="E584" s="3082"/>
      <c r="F584" s="3083"/>
      <c r="G584" s="239" t="s">
        <v>2047</v>
      </c>
      <c r="H584" s="1755" t="s">
        <v>2047</v>
      </c>
      <c r="I584" s="1755" t="s">
        <v>2047</v>
      </c>
      <c r="J584" s="240" t="s">
        <v>2047</v>
      </c>
    </row>
    <row r="585" spans="1:10" ht="15.6">
      <c r="A585" s="241" t="s">
        <v>2047</v>
      </c>
      <c r="B585" s="223"/>
      <c r="C585" s="3084" t="s">
        <v>2045</v>
      </c>
      <c r="D585" s="3084"/>
      <c r="E585" s="3084"/>
      <c r="F585" s="3085"/>
      <c r="G585" s="1756" t="s">
        <v>2047</v>
      </c>
      <c r="H585" s="3086" t="s">
        <v>3388</v>
      </c>
      <c r="I585" s="3086"/>
      <c r="J585" s="242" t="s">
        <v>2047</v>
      </c>
    </row>
    <row r="586" spans="1:10" ht="17.45">
      <c r="A586" s="241" t="s">
        <v>2047</v>
      </c>
      <c r="B586" s="224"/>
      <c r="C586" s="3088" t="s">
        <v>3294</v>
      </c>
      <c r="D586" s="3088"/>
      <c r="E586" s="3088"/>
      <c r="F586" s="3089"/>
      <c r="G586" s="225" t="s">
        <v>3295</v>
      </c>
      <c r="H586" s="3087"/>
      <c r="I586" s="3087"/>
      <c r="J586" s="242" t="s">
        <v>2047</v>
      </c>
    </row>
    <row r="587" spans="1:10">
      <c r="A587" s="241" t="s">
        <v>2047</v>
      </c>
      <c r="B587" s="224" t="s">
        <v>2047</v>
      </c>
      <c r="C587" s="3090" t="s">
        <v>3296</v>
      </c>
      <c r="D587" s="3090"/>
      <c r="E587" s="3090"/>
      <c r="F587" s="3091"/>
      <c r="G587" s="1756" t="s">
        <v>2047</v>
      </c>
      <c r="H587" s="226" t="s">
        <v>2047</v>
      </c>
      <c r="I587" s="226" t="s">
        <v>2047</v>
      </c>
      <c r="J587" s="243" t="s">
        <v>2047</v>
      </c>
    </row>
    <row r="588" spans="1:10" ht="31.9">
      <c r="A588" s="234" t="s">
        <v>3297</v>
      </c>
      <c r="B588" s="3092" t="s">
        <v>3389</v>
      </c>
      <c r="C588" s="3093"/>
      <c r="D588" s="3093"/>
      <c r="E588" s="3094"/>
      <c r="F588" s="233" t="s">
        <v>3299</v>
      </c>
      <c r="G588" s="232" t="s">
        <v>3390</v>
      </c>
      <c r="H588" s="1757" t="s">
        <v>3301</v>
      </c>
      <c r="I588" s="1757" t="s">
        <v>3302</v>
      </c>
      <c r="J588" s="244" t="s">
        <v>3303</v>
      </c>
    </row>
    <row r="589" spans="1:10">
      <c r="A589" s="3095"/>
      <c r="B589" s="3096"/>
      <c r="C589" s="3096"/>
      <c r="D589" s="3096"/>
      <c r="E589" s="3097"/>
      <c r="F589" s="3105"/>
      <c r="G589" s="3106"/>
      <c r="H589" s="248">
        <v>27</v>
      </c>
      <c r="I589" s="248">
        <v>7</v>
      </c>
      <c r="J589" s="249">
        <v>2021</v>
      </c>
    </row>
    <row r="590" spans="1:10">
      <c r="A590" s="3098" t="s">
        <v>3304</v>
      </c>
      <c r="B590" s="3099"/>
      <c r="C590" s="3099"/>
      <c r="D590" s="3099"/>
      <c r="E590" s="3110"/>
      <c r="F590" s="250" t="s">
        <v>3305</v>
      </c>
      <c r="G590" s="1753" t="s">
        <v>2047</v>
      </c>
      <c r="H590" s="251" t="s">
        <v>3306</v>
      </c>
      <c r="I590" s="252" t="s">
        <v>2047</v>
      </c>
      <c r="J590" s="253" t="s">
        <v>2047</v>
      </c>
    </row>
    <row r="591" spans="1:10">
      <c r="A591" s="3098" t="s">
        <v>3391</v>
      </c>
      <c r="B591" s="3099"/>
      <c r="C591" s="3099"/>
      <c r="D591" s="3099"/>
      <c r="E591" s="3110"/>
      <c r="F591" s="3105">
        <v>4821578</v>
      </c>
      <c r="G591" s="3106"/>
      <c r="H591" s="3105" t="s">
        <v>125</v>
      </c>
      <c r="I591" s="3105"/>
      <c r="J591" s="3107"/>
    </row>
    <row r="592" spans="1:10">
      <c r="A592" s="254" t="s">
        <v>3309</v>
      </c>
      <c r="B592" s="3105" t="s">
        <v>3310</v>
      </c>
      <c r="C592" s="3105"/>
      <c r="D592" s="3105"/>
      <c r="E592" s="3106"/>
      <c r="F592" s="3108" t="s">
        <v>2012</v>
      </c>
      <c r="G592" s="3109"/>
      <c r="H592" s="3105" t="s">
        <v>3311</v>
      </c>
      <c r="I592" s="3105"/>
      <c r="J592" s="3107"/>
    </row>
    <row r="593" spans="1:10">
      <c r="A593" s="255">
        <v>1</v>
      </c>
      <c r="B593" s="3078" t="s">
        <v>3367</v>
      </c>
      <c r="C593" s="3078"/>
      <c r="D593" s="3078"/>
      <c r="E593" s="3078"/>
      <c r="F593" s="3079">
        <v>2500</v>
      </c>
      <c r="G593" s="3080"/>
      <c r="H593" s="3078">
        <f>F593*A593</f>
        <v>2500</v>
      </c>
      <c r="I593" s="3078"/>
      <c r="J593" s="3081"/>
    </row>
    <row r="594" spans="1:10">
      <c r="A594" s="255" t="s">
        <v>2047</v>
      </c>
      <c r="B594" s="3078" t="s">
        <v>2047</v>
      </c>
      <c r="C594" s="3078"/>
      <c r="D594" s="3078"/>
      <c r="E594" s="3078"/>
      <c r="F594" s="3079" t="s">
        <v>2047</v>
      </c>
      <c r="G594" s="3080"/>
      <c r="H594" s="3078" t="s">
        <v>2047</v>
      </c>
      <c r="I594" s="3078"/>
      <c r="J594" s="3081"/>
    </row>
    <row r="595" spans="1:10">
      <c r="A595" s="255" t="s">
        <v>2047</v>
      </c>
      <c r="B595" s="256" t="s">
        <v>2047</v>
      </c>
      <c r="C595" s="256" t="s">
        <v>2047</v>
      </c>
      <c r="D595" s="256" t="s">
        <v>2047</v>
      </c>
      <c r="E595" s="256" t="s">
        <v>2047</v>
      </c>
      <c r="F595" s="3079" t="s">
        <v>2047</v>
      </c>
      <c r="G595" s="3080"/>
      <c r="H595" s="3078" t="s">
        <v>3313</v>
      </c>
      <c r="I595" s="3078"/>
      <c r="J595" s="3081"/>
    </row>
    <row r="596" spans="1:10">
      <c r="A596" s="245" t="s">
        <v>2047</v>
      </c>
      <c r="B596" s="228" t="s">
        <v>2047</v>
      </c>
      <c r="C596" s="228" t="s">
        <v>2047</v>
      </c>
      <c r="D596" s="228" t="s">
        <v>2047</v>
      </c>
      <c r="E596" s="228" t="s">
        <v>2047</v>
      </c>
      <c r="F596" s="3046" t="s">
        <v>2047</v>
      </c>
      <c r="G596" s="3047"/>
      <c r="H596" s="3048" t="s">
        <v>3313</v>
      </c>
      <c r="I596" s="3048"/>
      <c r="J596" s="3049"/>
    </row>
    <row r="597" spans="1:10">
      <c r="A597" s="245" t="s">
        <v>2047</v>
      </c>
      <c r="B597" s="228" t="s">
        <v>2047</v>
      </c>
      <c r="C597" s="228" t="s">
        <v>2047</v>
      </c>
      <c r="D597" s="228" t="s">
        <v>2047</v>
      </c>
      <c r="E597" s="228" t="s">
        <v>2047</v>
      </c>
      <c r="F597" s="3046" t="s">
        <v>2047</v>
      </c>
      <c r="G597" s="3047"/>
      <c r="H597" s="3048" t="s">
        <v>3313</v>
      </c>
      <c r="I597" s="3048"/>
      <c r="J597" s="3049"/>
    </row>
    <row r="598" spans="1:10">
      <c r="A598" s="245" t="s">
        <v>2047</v>
      </c>
      <c r="B598" s="228" t="s">
        <v>2047</v>
      </c>
      <c r="C598" s="228" t="s">
        <v>2047</v>
      </c>
      <c r="D598" s="228" t="s">
        <v>2047</v>
      </c>
      <c r="E598" s="228" t="s">
        <v>2047</v>
      </c>
      <c r="F598" s="3046" t="s">
        <v>2047</v>
      </c>
      <c r="G598" s="3047"/>
      <c r="H598" s="3048" t="s">
        <v>3313</v>
      </c>
      <c r="I598" s="3048"/>
      <c r="J598" s="3049"/>
    </row>
    <row r="599" spans="1:10">
      <c r="A599" s="245" t="s">
        <v>2047</v>
      </c>
      <c r="B599" s="228" t="s">
        <v>2047</v>
      </c>
      <c r="C599" s="228" t="s">
        <v>2047</v>
      </c>
      <c r="D599" s="228" t="s">
        <v>2047</v>
      </c>
      <c r="E599" s="228" t="s">
        <v>2047</v>
      </c>
      <c r="F599" s="3046" t="s">
        <v>2047</v>
      </c>
      <c r="G599" s="3047"/>
      <c r="H599" s="3048" t="s">
        <v>3313</v>
      </c>
      <c r="I599" s="3048"/>
      <c r="J599" s="3049"/>
    </row>
    <row r="600" spans="1:10">
      <c r="A600" s="245" t="s">
        <v>2047</v>
      </c>
      <c r="B600" s="228" t="s">
        <v>2047</v>
      </c>
      <c r="C600" s="228" t="s">
        <v>2047</v>
      </c>
      <c r="D600" s="228" t="s">
        <v>2047</v>
      </c>
      <c r="E600" s="228" t="s">
        <v>2047</v>
      </c>
      <c r="F600" s="3046" t="s">
        <v>2047</v>
      </c>
      <c r="G600" s="3047"/>
      <c r="H600" s="3048" t="s">
        <v>3313</v>
      </c>
      <c r="I600" s="3048"/>
      <c r="J600" s="3049"/>
    </row>
    <row r="601" spans="1:10">
      <c r="A601" s="245" t="s">
        <v>2047</v>
      </c>
      <c r="B601" s="228" t="s">
        <v>2047</v>
      </c>
      <c r="C601" s="228" t="s">
        <v>2047</v>
      </c>
      <c r="D601" s="228" t="s">
        <v>2047</v>
      </c>
      <c r="E601" s="228" t="s">
        <v>2047</v>
      </c>
      <c r="F601" s="3046" t="s">
        <v>2047</v>
      </c>
      <c r="G601" s="3047"/>
      <c r="H601" s="3048" t="s">
        <v>3313</v>
      </c>
      <c r="I601" s="3048"/>
      <c r="J601" s="3049"/>
    </row>
    <row r="602" spans="1:10">
      <c r="A602" s="1754" t="s">
        <v>2580</v>
      </c>
      <c r="B602" s="227" t="s">
        <v>2047</v>
      </c>
      <c r="C602" s="227" t="s">
        <v>2047</v>
      </c>
      <c r="D602" s="227" t="s">
        <v>2047</v>
      </c>
      <c r="E602" s="3050" t="s">
        <v>3314</v>
      </c>
      <c r="F602" s="3051"/>
      <c r="G602" s="3052">
        <f>H593</f>
        <v>2500</v>
      </c>
      <c r="H602" s="3052"/>
      <c r="I602" s="3053"/>
      <c r="J602" s="246"/>
    </row>
    <row r="603" spans="1:10">
      <c r="A603" s="247" t="s">
        <v>2047</v>
      </c>
      <c r="B603" s="229" t="s">
        <v>2047</v>
      </c>
      <c r="C603" s="229" t="s">
        <v>2047</v>
      </c>
      <c r="D603" s="229" t="s">
        <v>2047</v>
      </c>
      <c r="E603" s="229" t="s">
        <v>2047</v>
      </c>
      <c r="F603" s="230" t="s">
        <v>3315</v>
      </c>
      <c r="G603" s="231" t="s">
        <v>3316</v>
      </c>
      <c r="H603" s="3054" t="s">
        <v>3317</v>
      </c>
      <c r="I603" s="3054"/>
      <c r="J603" s="3055"/>
    </row>
    <row r="604" spans="1:10">
      <c r="A604" s="3056" t="s">
        <v>3318</v>
      </c>
      <c r="B604" s="3057"/>
      <c r="C604" s="3057"/>
      <c r="D604" s="3057"/>
      <c r="E604" s="3058"/>
      <c r="F604" s="3062" t="s">
        <v>1990</v>
      </c>
      <c r="G604" s="3063"/>
      <c r="H604" s="3066">
        <f>G602</f>
        <v>2500</v>
      </c>
      <c r="I604" s="3067"/>
      <c r="J604" s="3068"/>
    </row>
    <row r="605" spans="1:10">
      <c r="A605" s="3059"/>
      <c r="B605" s="3060"/>
      <c r="C605" s="3060"/>
      <c r="D605" s="3060"/>
      <c r="E605" s="3061"/>
      <c r="F605" s="3064"/>
      <c r="G605" s="3065"/>
      <c r="H605" s="3069"/>
      <c r="I605" s="3070"/>
      <c r="J605" s="3071"/>
    </row>
    <row r="606" spans="1:10">
      <c r="A606" s="3072" t="s">
        <v>3319</v>
      </c>
      <c r="B606" s="3073"/>
      <c r="C606" s="3073"/>
      <c r="D606" s="3073"/>
      <c r="E606" s="3073"/>
      <c r="F606" s="3073"/>
      <c r="G606" s="3073"/>
      <c r="H606" s="3073"/>
      <c r="I606" s="3073"/>
      <c r="J606" s="3074"/>
    </row>
    <row r="607" spans="1:10">
      <c r="A607" s="3075"/>
      <c r="B607" s="3076"/>
      <c r="C607" s="3076"/>
      <c r="D607" s="3076"/>
      <c r="E607" s="3076"/>
      <c r="F607" s="3076"/>
      <c r="G607" s="3076"/>
      <c r="H607" s="3076"/>
      <c r="I607" s="3076"/>
      <c r="J607" s="3077"/>
    </row>
    <row r="610" spans="1:10">
      <c r="A610" s="238" t="s">
        <v>2047</v>
      </c>
      <c r="B610" s="239" t="s">
        <v>2047</v>
      </c>
      <c r="C610" s="3082" t="s">
        <v>3292</v>
      </c>
      <c r="D610" s="3082"/>
      <c r="E610" s="3082"/>
      <c r="F610" s="3083"/>
      <c r="G610" s="239" t="s">
        <v>2047</v>
      </c>
      <c r="H610" s="1755" t="s">
        <v>2047</v>
      </c>
      <c r="I610" s="1755" t="s">
        <v>2047</v>
      </c>
      <c r="J610" s="240" t="s">
        <v>2047</v>
      </c>
    </row>
    <row r="611" spans="1:10" ht="15.6">
      <c r="A611" s="241" t="s">
        <v>2047</v>
      </c>
      <c r="B611" s="223"/>
      <c r="C611" s="3084" t="s">
        <v>2045</v>
      </c>
      <c r="D611" s="3084"/>
      <c r="E611" s="3084"/>
      <c r="F611" s="3085"/>
      <c r="G611" s="1756" t="s">
        <v>2047</v>
      </c>
      <c r="H611" s="3086" t="s">
        <v>3392</v>
      </c>
      <c r="I611" s="3086"/>
      <c r="J611" s="242" t="s">
        <v>2047</v>
      </c>
    </row>
    <row r="612" spans="1:10" ht="17.45">
      <c r="A612" s="241" t="s">
        <v>2047</v>
      </c>
      <c r="B612" s="224"/>
      <c r="C612" s="3088" t="s">
        <v>3294</v>
      </c>
      <c r="D612" s="3088"/>
      <c r="E612" s="3088"/>
      <c r="F612" s="3089"/>
      <c r="G612" s="225" t="s">
        <v>3295</v>
      </c>
      <c r="H612" s="3087"/>
      <c r="I612" s="3087"/>
      <c r="J612" s="242" t="s">
        <v>2047</v>
      </c>
    </row>
    <row r="613" spans="1:10">
      <c r="A613" s="241" t="s">
        <v>2047</v>
      </c>
      <c r="B613" s="224" t="s">
        <v>2047</v>
      </c>
      <c r="C613" s="3090" t="s">
        <v>3296</v>
      </c>
      <c r="D613" s="3090"/>
      <c r="E613" s="3090"/>
      <c r="F613" s="3091"/>
      <c r="G613" s="1756" t="s">
        <v>2047</v>
      </c>
      <c r="H613" s="226" t="s">
        <v>2047</v>
      </c>
      <c r="I613" s="226" t="s">
        <v>2047</v>
      </c>
      <c r="J613" s="243" t="s">
        <v>2047</v>
      </c>
    </row>
    <row r="614" spans="1:10" ht="31.9">
      <c r="A614" s="234" t="s">
        <v>3297</v>
      </c>
      <c r="B614" s="3092" t="s">
        <v>3389</v>
      </c>
      <c r="C614" s="3093"/>
      <c r="D614" s="3093"/>
      <c r="E614" s="3094"/>
      <c r="F614" s="233" t="s">
        <v>3299</v>
      </c>
      <c r="G614" s="232" t="s">
        <v>3390</v>
      </c>
      <c r="H614" s="1757" t="s">
        <v>3301</v>
      </c>
      <c r="I614" s="1757" t="s">
        <v>3302</v>
      </c>
      <c r="J614" s="244" t="s">
        <v>3303</v>
      </c>
    </row>
    <row r="615" spans="1:10">
      <c r="A615" s="3095"/>
      <c r="B615" s="3096"/>
      <c r="C615" s="3096"/>
      <c r="D615" s="3096"/>
      <c r="E615" s="3097"/>
      <c r="F615" s="3105"/>
      <c r="G615" s="3106"/>
      <c r="H615" s="248">
        <v>30</v>
      </c>
      <c r="I615" s="248">
        <v>7</v>
      </c>
      <c r="J615" s="249">
        <v>2021</v>
      </c>
    </row>
    <row r="616" spans="1:10">
      <c r="A616" s="3098" t="s">
        <v>3304</v>
      </c>
      <c r="B616" s="3099"/>
      <c r="C616" s="3099"/>
      <c r="D616" s="3099"/>
      <c r="E616" s="3110"/>
      <c r="F616" s="250" t="s">
        <v>3305</v>
      </c>
      <c r="G616" s="1753" t="s">
        <v>2047</v>
      </c>
      <c r="H616" s="251" t="s">
        <v>3306</v>
      </c>
      <c r="I616" s="252" t="s">
        <v>2047</v>
      </c>
      <c r="J616" s="253" t="s">
        <v>2047</v>
      </c>
    </row>
    <row r="617" spans="1:10">
      <c r="A617" s="3098" t="s">
        <v>3391</v>
      </c>
      <c r="B617" s="3099"/>
      <c r="C617" s="3099"/>
      <c r="D617" s="3099"/>
      <c r="E617" s="3110"/>
      <c r="F617" s="3105">
        <v>4821578</v>
      </c>
      <c r="G617" s="3106"/>
      <c r="H617" s="3105" t="s">
        <v>125</v>
      </c>
      <c r="I617" s="3105"/>
      <c r="J617" s="3107"/>
    </row>
    <row r="618" spans="1:10">
      <c r="A618" s="254" t="s">
        <v>3309</v>
      </c>
      <c r="B618" s="3105" t="s">
        <v>3310</v>
      </c>
      <c r="C618" s="3105"/>
      <c r="D618" s="3105"/>
      <c r="E618" s="3106"/>
      <c r="F618" s="3108" t="s">
        <v>2012</v>
      </c>
      <c r="G618" s="3109"/>
      <c r="H618" s="3105" t="s">
        <v>3311</v>
      </c>
      <c r="I618" s="3105"/>
      <c r="J618" s="3107"/>
    </row>
    <row r="619" spans="1:10">
      <c r="A619" s="255">
        <v>1</v>
      </c>
      <c r="B619" s="3078" t="s">
        <v>3367</v>
      </c>
      <c r="C619" s="3078"/>
      <c r="D619" s="3078"/>
      <c r="E619" s="3078"/>
      <c r="F619" s="3079">
        <v>2500</v>
      </c>
      <c r="G619" s="3080"/>
      <c r="H619" s="3078">
        <f>F619*A619</f>
        <v>2500</v>
      </c>
      <c r="I619" s="3078"/>
      <c r="J619" s="3081"/>
    </row>
    <row r="620" spans="1:10">
      <c r="A620" s="255" t="s">
        <v>2047</v>
      </c>
      <c r="B620" s="3078" t="s">
        <v>2047</v>
      </c>
      <c r="C620" s="3078"/>
      <c r="D620" s="3078"/>
      <c r="E620" s="3078"/>
      <c r="F620" s="3079" t="s">
        <v>2047</v>
      </c>
      <c r="G620" s="3080"/>
      <c r="H620" s="3078" t="s">
        <v>2047</v>
      </c>
      <c r="I620" s="3078"/>
      <c r="J620" s="3081"/>
    </row>
    <row r="621" spans="1:10">
      <c r="A621" s="255" t="s">
        <v>2047</v>
      </c>
      <c r="B621" s="256" t="s">
        <v>2047</v>
      </c>
      <c r="C621" s="256" t="s">
        <v>2047</v>
      </c>
      <c r="D621" s="256" t="s">
        <v>2047</v>
      </c>
      <c r="E621" s="256" t="s">
        <v>2047</v>
      </c>
      <c r="F621" s="3079" t="s">
        <v>2047</v>
      </c>
      <c r="G621" s="3080"/>
      <c r="H621" s="3078" t="s">
        <v>3313</v>
      </c>
      <c r="I621" s="3078"/>
      <c r="J621" s="3081"/>
    </row>
    <row r="622" spans="1:10">
      <c r="A622" s="245" t="s">
        <v>2047</v>
      </c>
      <c r="B622" s="228" t="s">
        <v>2047</v>
      </c>
      <c r="C622" s="228" t="s">
        <v>2047</v>
      </c>
      <c r="D622" s="228" t="s">
        <v>2047</v>
      </c>
      <c r="E622" s="228" t="s">
        <v>2047</v>
      </c>
      <c r="F622" s="3046" t="s">
        <v>2047</v>
      </c>
      <c r="G622" s="3047"/>
      <c r="H622" s="3048" t="s">
        <v>3313</v>
      </c>
      <c r="I622" s="3048"/>
      <c r="J622" s="3049"/>
    </row>
    <row r="623" spans="1:10">
      <c r="A623" s="245" t="s">
        <v>2047</v>
      </c>
      <c r="B623" s="228" t="s">
        <v>2047</v>
      </c>
      <c r="C623" s="228" t="s">
        <v>2047</v>
      </c>
      <c r="D623" s="228" t="s">
        <v>2047</v>
      </c>
      <c r="E623" s="228" t="s">
        <v>2047</v>
      </c>
      <c r="F623" s="3046" t="s">
        <v>2047</v>
      </c>
      <c r="G623" s="3047"/>
      <c r="H623" s="3048" t="s">
        <v>3313</v>
      </c>
      <c r="I623" s="3048"/>
      <c r="J623" s="3049"/>
    </row>
    <row r="624" spans="1:10">
      <c r="A624" s="245" t="s">
        <v>2047</v>
      </c>
      <c r="B624" s="228" t="s">
        <v>2047</v>
      </c>
      <c r="C624" s="228" t="s">
        <v>2047</v>
      </c>
      <c r="D624" s="228" t="s">
        <v>2047</v>
      </c>
      <c r="E624" s="228" t="s">
        <v>2047</v>
      </c>
      <c r="F624" s="3046" t="s">
        <v>2047</v>
      </c>
      <c r="G624" s="3047"/>
      <c r="H624" s="3048" t="s">
        <v>3313</v>
      </c>
      <c r="I624" s="3048"/>
      <c r="J624" s="3049"/>
    </row>
    <row r="625" spans="1:10">
      <c r="A625" s="245" t="s">
        <v>2047</v>
      </c>
      <c r="B625" s="228" t="s">
        <v>2047</v>
      </c>
      <c r="C625" s="228" t="s">
        <v>2047</v>
      </c>
      <c r="D625" s="228" t="s">
        <v>2047</v>
      </c>
      <c r="E625" s="228" t="s">
        <v>2047</v>
      </c>
      <c r="F625" s="3046" t="s">
        <v>2047</v>
      </c>
      <c r="G625" s="3047"/>
      <c r="H625" s="3048" t="s">
        <v>3313</v>
      </c>
      <c r="I625" s="3048"/>
      <c r="J625" s="3049"/>
    </row>
    <row r="626" spans="1:10">
      <c r="A626" s="245" t="s">
        <v>2047</v>
      </c>
      <c r="B626" s="228" t="s">
        <v>2047</v>
      </c>
      <c r="C626" s="228" t="s">
        <v>2047</v>
      </c>
      <c r="D626" s="228" t="s">
        <v>2047</v>
      </c>
      <c r="E626" s="228" t="s">
        <v>2047</v>
      </c>
      <c r="F626" s="3046" t="s">
        <v>2047</v>
      </c>
      <c r="G626" s="3047"/>
      <c r="H626" s="3048" t="s">
        <v>3313</v>
      </c>
      <c r="I626" s="3048"/>
      <c r="J626" s="3049"/>
    </row>
    <row r="627" spans="1:10">
      <c r="A627" s="245" t="s">
        <v>2047</v>
      </c>
      <c r="B627" s="228" t="s">
        <v>2047</v>
      </c>
      <c r="C627" s="228" t="s">
        <v>2047</v>
      </c>
      <c r="D627" s="228" t="s">
        <v>2047</v>
      </c>
      <c r="E627" s="228" t="s">
        <v>2047</v>
      </c>
      <c r="F627" s="3046" t="s">
        <v>2047</v>
      </c>
      <c r="G627" s="3047"/>
      <c r="H627" s="3048" t="s">
        <v>3313</v>
      </c>
      <c r="I627" s="3048"/>
      <c r="J627" s="3049"/>
    </row>
    <row r="628" spans="1:10">
      <c r="A628" s="1754" t="s">
        <v>2580</v>
      </c>
      <c r="B628" s="227" t="s">
        <v>2047</v>
      </c>
      <c r="C628" s="227" t="s">
        <v>2047</v>
      </c>
      <c r="D628" s="227" t="s">
        <v>2047</v>
      </c>
      <c r="E628" s="3050" t="s">
        <v>3314</v>
      </c>
      <c r="F628" s="3051"/>
      <c r="G628" s="3052">
        <f>H619</f>
        <v>2500</v>
      </c>
      <c r="H628" s="3052"/>
      <c r="I628" s="3053"/>
      <c r="J628" s="246"/>
    </row>
    <row r="629" spans="1:10">
      <c r="A629" s="247" t="s">
        <v>2047</v>
      </c>
      <c r="B629" s="229" t="s">
        <v>2047</v>
      </c>
      <c r="C629" s="229" t="s">
        <v>2047</v>
      </c>
      <c r="D629" s="229" t="s">
        <v>2047</v>
      </c>
      <c r="E629" s="229" t="s">
        <v>2047</v>
      </c>
      <c r="F629" s="230" t="s">
        <v>3315</v>
      </c>
      <c r="G629" s="231" t="s">
        <v>3316</v>
      </c>
      <c r="H629" s="3054" t="s">
        <v>3317</v>
      </c>
      <c r="I629" s="3054"/>
      <c r="J629" s="3055"/>
    </row>
    <row r="630" spans="1:10">
      <c r="A630" s="3056" t="s">
        <v>3318</v>
      </c>
      <c r="B630" s="3057"/>
      <c r="C630" s="3057"/>
      <c r="D630" s="3057"/>
      <c r="E630" s="3058"/>
      <c r="F630" s="3062" t="s">
        <v>1990</v>
      </c>
      <c r="G630" s="3063"/>
      <c r="H630" s="3066">
        <f>G628</f>
        <v>2500</v>
      </c>
      <c r="I630" s="3067"/>
      <c r="J630" s="3068"/>
    </row>
    <row r="631" spans="1:10">
      <c r="A631" s="3059"/>
      <c r="B631" s="3060"/>
      <c r="C631" s="3060"/>
      <c r="D631" s="3060"/>
      <c r="E631" s="3061"/>
      <c r="F631" s="3064"/>
      <c r="G631" s="3065"/>
      <c r="H631" s="3069"/>
      <c r="I631" s="3070"/>
      <c r="J631" s="3071"/>
    </row>
    <row r="632" spans="1:10">
      <c r="A632" s="3072" t="s">
        <v>3319</v>
      </c>
      <c r="B632" s="3073"/>
      <c r="C632" s="3073"/>
      <c r="D632" s="3073"/>
      <c r="E632" s="3073"/>
      <c r="F632" s="3073"/>
      <c r="G632" s="3073"/>
      <c r="H632" s="3073"/>
      <c r="I632" s="3073"/>
      <c r="J632" s="3074"/>
    </row>
    <row r="633" spans="1:10">
      <c r="A633" s="3075"/>
      <c r="B633" s="3076"/>
      <c r="C633" s="3076"/>
      <c r="D633" s="3076"/>
      <c r="E633" s="3076"/>
      <c r="F633" s="3076"/>
      <c r="G633" s="3076"/>
      <c r="H633" s="3076"/>
      <c r="I633" s="3076"/>
      <c r="J633" s="3077"/>
    </row>
    <row r="636" spans="1:10">
      <c r="A636" s="238" t="s">
        <v>2047</v>
      </c>
      <c r="B636" s="239" t="s">
        <v>2047</v>
      </c>
      <c r="C636" s="3082" t="s">
        <v>3292</v>
      </c>
      <c r="D636" s="3082"/>
      <c r="E636" s="3082"/>
      <c r="F636" s="3083"/>
      <c r="G636" s="239" t="s">
        <v>2047</v>
      </c>
      <c r="H636" s="1755" t="s">
        <v>2047</v>
      </c>
      <c r="I636" s="1755" t="s">
        <v>2047</v>
      </c>
      <c r="J636" s="240" t="s">
        <v>2047</v>
      </c>
    </row>
    <row r="637" spans="1:10" ht="15.6">
      <c r="A637" s="241" t="s">
        <v>2047</v>
      </c>
      <c r="B637" s="223"/>
      <c r="C637" s="3084" t="s">
        <v>2045</v>
      </c>
      <c r="D637" s="3084"/>
      <c r="E637" s="3084"/>
      <c r="F637" s="3085"/>
      <c r="G637" s="1756" t="s">
        <v>2047</v>
      </c>
      <c r="H637" s="3086" t="s">
        <v>3393</v>
      </c>
      <c r="I637" s="3086"/>
      <c r="J637" s="242" t="s">
        <v>2047</v>
      </c>
    </row>
    <row r="638" spans="1:10" ht="17.45">
      <c r="A638" s="241" t="s">
        <v>2047</v>
      </c>
      <c r="B638" s="224"/>
      <c r="C638" s="3088" t="s">
        <v>3294</v>
      </c>
      <c r="D638" s="3088"/>
      <c r="E638" s="3088"/>
      <c r="F638" s="3089"/>
      <c r="G638" s="225" t="s">
        <v>3295</v>
      </c>
      <c r="H638" s="3087"/>
      <c r="I638" s="3087"/>
      <c r="J638" s="242" t="s">
        <v>2047</v>
      </c>
    </row>
    <row r="639" spans="1:10">
      <c r="A639" s="241" t="s">
        <v>2047</v>
      </c>
      <c r="B639" s="224" t="s">
        <v>2047</v>
      </c>
      <c r="C639" s="3090" t="s">
        <v>3296</v>
      </c>
      <c r="D639" s="3090"/>
      <c r="E639" s="3090"/>
      <c r="F639" s="3091"/>
      <c r="G639" s="1756" t="s">
        <v>2047</v>
      </c>
      <c r="H639" s="226" t="s">
        <v>2047</v>
      </c>
      <c r="I639" s="226" t="s">
        <v>2047</v>
      </c>
      <c r="J639" s="243" t="s">
        <v>2047</v>
      </c>
    </row>
    <row r="640" spans="1:10" ht="31.9">
      <c r="A640" s="234" t="s">
        <v>3297</v>
      </c>
      <c r="B640" s="3092" t="s">
        <v>3394</v>
      </c>
      <c r="C640" s="3093"/>
      <c r="D640" s="3093"/>
      <c r="E640" s="3094"/>
      <c r="F640" s="233" t="s">
        <v>3299</v>
      </c>
      <c r="G640" s="232" t="s">
        <v>3395</v>
      </c>
      <c r="H640" s="1757" t="s">
        <v>3301</v>
      </c>
      <c r="I640" s="1757" t="s">
        <v>3302</v>
      </c>
      <c r="J640" s="244" t="s">
        <v>3303</v>
      </c>
    </row>
    <row r="641" spans="1:10">
      <c r="A641" s="3095"/>
      <c r="B641" s="3096"/>
      <c r="C641" s="3096"/>
      <c r="D641" s="3096"/>
      <c r="E641" s="3097"/>
      <c r="F641" s="3105"/>
      <c r="G641" s="3106"/>
      <c r="H641" s="248">
        <v>3</v>
      </c>
      <c r="I641" s="248">
        <v>8</v>
      </c>
      <c r="J641" s="249">
        <v>2021</v>
      </c>
    </row>
    <row r="642" spans="1:10">
      <c r="A642" s="3098" t="s">
        <v>3304</v>
      </c>
      <c r="B642" s="3099"/>
      <c r="C642" s="3099"/>
      <c r="D642" s="3099"/>
      <c r="E642" s="3110"/>
      <c r="F642" s="250" t="s">
        <v>3305</v>
      </c>
      <c r="G642" s="1753" t="s">
        <v>2047</v>
      </c>
      <c r="H642" s="251" t="s">
        <v>3306</v>
      </c>
      <c r="I642" s="252" t="s">
        <v>2047</v>
      </c>
      <c r="J642" s="253" t="s">
        <v>2047</v>
      </c>
    </row>
    <row r="643" spans="1:10">
      <c r="A643" s="3098" t="s">
        <v>3396</v>
      </c>
      <c r="B643" s="3099"/>
      <c r="C643" s="3099"/>
      <c r="D643" s="3099"/>
      <c r="E643" s="3110"/>
      <c r="F643" s="3105">
        <v>4531823</v>
      </c>
      <c r="G643" s="3106"/>
      <c r="H643" s="3105" t="s">
        <v>125</v>
      </c>
      <c r="I643" s="3105"/>
      <c r="J643" s="3107"/>
    </row>
    <row r="644" spans="1:10">
      <c r="A644" s="254" t="s">
        <v>3309</v>
      </c>
      <c r="B644" s="3105" t="s">
        <v>3310</v>
      </c>
      <c r="C644" s="3105"/>
      <c r="D644" s="3105"/>
      <c r="E644" s="3106"/>
      <c r="F644" s="3108" t="s">
        <v>2012</v>
      </c>
      <c r="G644" s="3109"/>
      <c r="H644" s="3105" t="s">
        <v>3311</v>
      </c>
      <c r="I644" s="3105"/>
      <c r="J644" s="3107"/>
    </row>
    <row r="645" spans="1:10">
      <c r="A645" s="255">
        <v>1</v>
      </c>
      <c r="B645" s="3078" t="s">
        <v>3367</v>
      </c>
      <c r="C645" s="3078"/>
      <c r="D645" s="3078"/>
      <c r="E645" s="3078"/>
      <c r="F645" s="3079">
        <v>1800</v>
      </c>
      <c r="G645" s="3080"/>
      <c r="H645" s="3078">
        <f>F645*A645</f>
        <v>1800</v>
      </c>
      <c r="I645" s="3078"/>
      <c r="J645" s="3081"/>
    </row>
    <row r="646" spans="1:10">
      <c r="A646" s="255" t="s">
        <v>2047</v>
      </c>
      <c r="B646" s="3078" t="s">
        <v>2047</v>
      </c>
      <c r="C646" s="3078"/>
      <c r="D646" s="3078"/>
      <c r="E646" s="3078"/>
      <c r="F646" s="3079" t="s">
        <v>2047</v>
      </c>
      <c r="G646" s="3080"/>
      <c r="H646" s="3078" t="s">
        <v>2047</v>
      </c>
      <c r="I646" s="3078"/>
      <c r="J646" s="3081"/>
    </row>
    <row r="647" spans="1:10">
      <c r="A647" s="255" t="s">
        <v>2047</v>
      </c>
      <c r="B647" s="256" t="s">
        <v>2047</v>
      </c>
      <c r="C647" s="256" t="s">
        <v>2047</v>
      </c>
      <c r="D647" s="256" t="s">
        <v>2047</v>
      </c>
      <c r="E647" s="256" t="s">
        <v>2047</v>
      </c>
      <c r="F647" s="3079" t="s">
        <v>2047</v>
      </c>
      <c r="G647" s="3080"/>
      <c r="H647" s="3078" t="s">
        <v>3313</v>
      </c>
      <c r="I647" s="3078"/>
      <c r="J647" s="3081"/>
    </row>
    <row r="648" spans="1:10">
      <c r="A648" s="245" t="s">
        <v>2047</v>
      </c>
      <c r="B648" s="228" t="s">
        <v>2047</v>
      </c>
      <c r="C648" s="228" t="s">
        <v>2047</v>
      </c>
      <c r="D648" s="228" t="s">
        <v>2047</v>
      </c>
      <c r="E648" s="228" t="s">
        <v>2047</v>
      </c>
      <c r="F648" s="3046" t="s">
        <v>2047</v>
      </c>
      <c r="G648" s="3047"/>
      <c r="H648" s="3048" t="s">
        <v>3313</v>
      </c>
      <c r="I648" s="3048"/>
      <c r="J648" s="3049"/>
    </row>
    <row r="649" spans="1:10">
      <c r="A649" s="245" t="s">
        <v>2047</v>
      </c>
      <c r="B649" s="228" t="s">
        <v>2047</v>
      </c>
      <c r="C649" s="228" t="s">
        <v>2047</v>
      </c>
      <c r="D649" s="228" t="s">
        <v>2047</v>
      </c>
      <c r="E649" s="228" t="s">
        <v>2047</v>
      </c>
      <c r="F649" s="3046" t="s">
        <v>2047</v>
      </c>
      <c r="G649" s="3047"/>
      <c r="H649" s="3048" t="s">
        <v>3313</v>
      </c>
      <c r="I649" s="3048"/>
      <c r="J649" s="3049"/>
    </row>
    <row r="650" spans="1:10">
      <c r="A650" s="245" t="s">
        <v>2047</v>
      </c>
      <c r="B650" s="228" t="s">
        <v>2047</v>
      </c>
      <c r="C650" s="228" t="s">
        <v>2047</v>
      </c>
      <c r="D650" s="228" t="s">
        <v>2047</v>
      </c>
      <c r="E650" s="228" t="s">
        <v>2047</v>
      </c>
      <c r="F650" s="3046" t="s">
        <v>2047</v>
      </c>
      <c r="G650" s="3047"/>
      <c r="H650" s="3048" t="s">
        <v>3313</v>
      </c>
      <c r="I650" s="3048"/>
      <c r="J650" s="3049"/>
    </row>
    <row r="651" spans="1:10">
      <c r="A651" s="245" t="s">
        <v>2047</v>
      </c>
      <c r="B651" s="228" t="s">
        <v>2047</v>
      </c>
      <c r="C651" s="228" t="s">
        <v>2047</v>
      </c>
      <c r="D651" s="228" t="s">
        <v>2047</v>
      </c>
      <c r="E651" s="228" t="s">
        <v>2047</v>
      </c>
      <c r="F651" s="3046" t="s">
        <v>2047</v>
      </c>
      <c r="G651" s="3047"/>
      <c r="H651" s="3048" t="s">
        <v>3313</v>
      </c>
      <c r="I651" s="3048"/>
      <c r="J651" s="3049"/>
    </row>
    <row r="652" spans="1:10">
      <c r="A652" s="245" t="s">
        <v>2047</v>
      </c>
      <c r="B652" s="228" t="s">
        <v>2047</v>
      </c>
      <c r="C652" s="228" t="s">
        <v>2047</v>
      </c>
      <c r="D652" s="228" t="s">
        <v>2047</v>
      </c>
      <c r="E652" s="228" t="s">
        <v>2047</v>
      </c>
      <c r="F652" s="3046" t="s">
        <v>2047</v>
      </c>
      <c r="G652" s="3047"/>
      <c r="H652" s="3048" t="s">
        <v>3313</v>
      </c>
      <c r="I652" s="3048"/>
      <c r="J652" s="3049"/>
    </row>
    <row r="653" spans="1:10">
      <c r="A653" s="245" t="s">
        <v>2047</v>
      </c>
      <c r="B653" s="228" t="s">
        <v>2047</v>
      </c>
      <c r="C653" s="228" t="s">
        <v>2047</v>
      </c>
      <c r="D653" s="228" t="s">
        <v>2047</v>
      </c>
      <c r="E653" s="228" t="s">
        <v>2047</v>
      </c>
      <c r="F653" s="3046" t="s">
        <v>2047</v>
      </c>
      <c r="G653" s="3047"/>
      <c r="H653" s="3048" t="s">
        <v>3313</v>
      </c>
      <c r="I653" s="3048"/>
      <c r="J653" s="3049"/>
    </row>
    <row r="654" spans="1:10">
      <c r="A654" s="1754" t="s">
        <v>2580</v>
      </c>
      <c r="B654" s="227" t="s">
        <v>2047</v>
      </c>
      <c r="C654" s="227" t="s">
        <v>2047</v>
      </c>
      <c r="D654" s="227" t="s">
        <v>2047</v>
      </c>
      <c r="E654" s="3050" t="s">
        <v>3314</v>
      </c>
      <c r="F654" s="3051"/>
      <c r="G654" s="3052">
        <f>H645</f>
        <v>1800</v>
      </c>
      <c r="H654" s="3052"/>
      <c r="I654" s="3053"/>
      <c r="J654" s="246"/>
    </row>
    <row r="655" spans="1:10">
      <c r="A655" s="247" t="s">
        <v>2047</v>
      </c>
      <c r="B655" s="229" t="s">
        <v>2047</v>
      </c>
      <c r="C655" s="229" t="s">
        <v>2047</v>
      </c>
      <c r="D655" s="229" t="s">
        <v>2047</v>
      </c>
      <c r="E655" s="229" t="s">
        <v>2047</v>
      </c>
      <c r="F655" s="230" t="s">
        <v>3315</v>
      </c>
      <c r="G655" s="231" t="s">
        <v>3316</v>
      </c>
      <c r="H655" s="3054" t="s">
        <v>3317</v>
      </c>
      <c r="I655" s="3054"/>
      <c r="J655" s="3055"/>
    </row>
    <row r="656" spans="1:10">
      <c r="A656" s="3056" t="s">
        <v>3318</v>
      </c>
      <c r="B656" s="3057"/>
      <c r="C656" s="3057"/>
      <c r="D656" s="3057"/>
      <c r="E656" s="3058"/>
      <c r="F656" s="3062" t="s">
        <v>1990</v>
      </c>
      <c r="G656" s="3063"/>
      <c r="H656" s="3066">
        <f>G654</f>
        <v>1800</v>
      </c>
      <c r="I656" s="3067"/>
      <c r="J656" s="3068"/>
    </row>
    <row r="657" spans="1:10">
      <c r="A657" s="3059"/>
      <c r="B657" s="3060"/>
      <c r="C657" s="3060"/>
      <c r="D657" s="3060"/>
      <c r="E657" s="3061"/>
      <c r="F657" s="3064"/>
      <c r="G657" s="3065"/>
      <c r="H657" s="3069"/>
      <c r="I657" s="3070"/>
      <c r="J657" s="3071"/>
    </row>
    <row r="658" spans="1:10">
      <c r="A658" s="3072" t="s">
        <v>3319</v>
      </c>
      <c r="B658" s="3073"/>
      <c r="C658" s="3073"/>
      <c r="D658" s="3073"/>
      <c r="E658" s="3073"/>
      <c r="F658" s="3073"/>
      <c r="G658" s="3073"/>
      <c r="H658" s="3073"/>
      <c r="I658" s="3073"/>
      <c r="J658" s="3074"/>
    </row>
    <row r="659" spans="1:10">
      <c r="A659" s="3075"/>
      <c r="B659" s="3076"/>
      <c r="C659" s="3076"/>
      <c r="D659" s="3076"/>
      <c r="E659" s="3076"/>
      <c r="F659" s="3076"/>
      <c r="G659" s="3076"/>
      <c r="H659" s="3076"/>
      <c r="I659" s="3076"/>
      <c r="J659" s="3077"/>
    </row>
    <row r="662" spans="1:10">
      <c r="A662" s="238" t="s">
        <v>2047</v>
      </c>
      <c r="B662" s="239" t="s">
        <v>2047</v>
      </c>
      <c r="C662" s="3082" t="s">
        <v>3292</v>
      </c>
      <c r="D662" s="3082"/>
      <c r="E662" s="3082"/>
      <c r="F662" s="3083"/>
      <c r="G662" s="239" t="s">
        <v>2047</v>
      </c>
      <c r="H662" s="1755" t="s">
        <v>2047</v>
      </c>
      <c r="I662" s="1755" t="s">
        <v>2047</v>
      </c>
      <c r="J662" s="240" t="s">
        <v>2047</v>
      </c>
    </row>
    <row r="663" spans="1:10" ht="15.6">
      <c r="A663" s="241" t="s">
        <v>2047</v>
      </c>
      <c r="B663" s="223"/>
      <c r="C663" s="3084" t="s">
        <v>2045</v>
      </c>
      <c r="D663" s="3084"/>
      <c r="E663" s="3084"/>
      <c r="F663" s="3085"/>
      <c r="G663" s="1756" t="s">
        <v>2047</v>
      </c>
      <c r="H663" s="3086" t="s">
        <v>3397</v>
      </c>
      <c r="I663" s="3086"/>
      <c r="J663" s="242" t="s">
        <v>2047</v>
      </c>
    </row>
    <row r="664" spans="1:10" ht="17.45">
      <c r="A664" s="241" t="s">
        <v>2047</v>
      </c>
      <c r="B664" s="224"/>
      <c r="C664" s="3088" t="s">
        <v>3294</v>
      </c>
      <c r="D664" s="3088"/>
      <c r="E664" s="3088"/>
      <c r="F664" s="3089"/>
      <c r="G664" s="225" t="s">
        <v>3295</v>
      </c>
      <c r="H664" s="3087"/>
      <c r="I664" s="3087"/>
      <c r="J664" s="242" t="s">
        <v>2047</v>
      </c>
    </row>
    <row r="665" spans="1:10">
      <c r="A665" s="241" t="s">
        <v>2047</v>
      </c>
      <c r="B665" s="224" t="s">
        <v>2047</v>
      </c>
      <c r="C665" s="3090" t="s">
        <v>3296</v>
      </c>
      <c r="D665" s="3090"/>
      <c r="E665" s="3090"/>
      <c r="F665" s="3091"/>
      <c r="G665" s="1756" t="s">
        <v>2047</v>
      </c>
      <c r="H665" s="226" t="s">
        <v>2047</v>
      </c>
      <c r="I665" s="226" t="s">
        <v>2047</v>
      </c>
      <c r="J665" s="243" t="s">
        <v>2047</v>
      </c>
    </row>
    <row r="666" spans="1:10" ht="31.9">
      <c r="A666" s="234" t="s">
        <v>3297</v>
      </c>
      <c r="B666" s="3092" t="s">
        <v>3389</v>
      </c>
      <c r="C666" s="3093"/>
      <c r="D666" s="3093"/>
      <c r="E666" s="3094"/>
      <c r="F666" s="233" t="s">
        <v>3299</v>
      </c>
      <c r="G666" s="232" t="s">
        <v>3390</v>
      </c>
      <c r="H666" s="1757" t="s">
        <v>3301</v>
      </c>
      <c r="I666" s="1757" t="s">
        <v>3302</v>
      </c>
      <c r="J666" s="244" t="s">
        <v>3303</v>
      </c>
    </row>
    <row r="667" spans="1:10">
      <c r="A667" s="3095"/>
      <c r="B667" s="3096"/>
      <c r="C667" s="3096"/>
      <c r="D667" s="3096"/>
      <c r="E667" s="3097"/>
      <c r="F667" s="3105"/>
      <c r="G667" s="3106"/>
      <c r="H667" s="248">
        <v>9</v>
      </c>
      <c r="I667" s="248">
        <v>8</v>
      </c>
      <c r="J667" s="249">
        <v>2021</v>
      </c>
    </row>
    <row r="668" spans="1:10">
      <c r="A668" s="3098" t="s">
        <v>3304</v>
      </c>
      <c r="B668" s="3099"/>
      <c r="C668" s="3099"/>
      <c r="D668" s="3099"/>
      <c r="E668" s="3110"/>
      <c r="F668" s="250" t="s">
        <v>3305</v>
      </c>
      <c r="G668" s="1753" t="s">
        <v>2047</v>
      </c>
      <c r="H668" s="251" t="s">
        <v>3306</v>
      </c>
      <c r="I668" s="252" t="s">
        <v>2047</v>
      </c>
      <c r="J668" s="253" t="s">
        <v>2047</v>
      </c>
    </row>
    <row r="669" spans="1:10">
      <c r="A669" s="3098" t="s">
        <v>3391</v>
      </c>
      <c r="B669" s="3099"/>
      <c r="C669" s="3099"/>
      <c r="D669" s="3099"/>
      <c r="E669" s="3110"/>
      <c r="F669" s="3105">
        <v>4821578</v>
      </c>
      <c r="G669" s="3106"/>
      <c r="H669" s="3105" t="s">
        <v>125</v>
      </c>
      <c r="I669" s="3105"/>
      <c r="J669" s="3107"/>
    </row>
    <row r="670" spans="1:10">
      <c r="A670" s="254" t="s">
        <v>3309</v>
      </c>
      <c r="B670" s="3105" t="s">
        <v>3310</v>
      </c>
      <c r="C670" s="3105"/>
      <c r="D670" s="3105"/>
      <c r="E670" s="3106"/>
      <c r="F670" s="3108" t="s">
        <v>2012</v>
      </c>
      <c r="G670" s="3109"/>
      <c r="H670" s="3105" t="s">
        <v>3311</v>
      </c>
      <c r="I670" s="3105"/>
      <c r="J670" s="3107"/>
    </row>
    <row r="671" spans="1:10">
      <c r="A671" s="255">
        <v>2</v>
      </c>
      <c r="B671" s="3078" t="s">
        <v>3367</v>
      </c>
      <c r="C671" s="3078"/>
      <c r="D671" s="3078"/>
      <c r="E671" s="3078"/>
      <c r="F671" s="3079">
        <v>2250</v>
      </c>
      <c r="G671" s="3080"/>
      <c r="H671" s="3078">
        <f>F671*A671</f>
        <v>4500</v>
      </c>
      <c r="I671" s="3078"/>
      <c r="J671" s="3081"/>
    </row>
    <row r="672" spans="1:10">
      <c r="A672" s="255" t="s">
        <v>2047</v>
      </c>
      <c r="B672" s="3078" t="s">
        <v>2047</v>
      </c>
      <c r="C672" s="3078"/>
      <c r="D672" s="3078"/>
      <c r="E672" s="3078"/>
      <c r="F672" s="3079" t="s">
        <v>2047</v>
      </c>
      <c r="G672" s="3080"/>
      <c r="H672" s="3078" t="s">
        <v>2047</v>
      </c>
      <c r="I672" s="3078"/>
      <c r="J672" s="3081"/>
    </row>
    <row r="673" spans="1:10">
      <c r="A673" s="255" t="s">
        <v>2047</v>
      </c>
      <c r="B673" s="256" t="s">
        <v>2047</v>
      </c>
      <c r="C673" s="256" t="s">
        <v>2047</v>
      </c>
      <c r="D673" s="256" t="s">
        <v>2047</v>
      </c>
      <c r="E673" s="256" t="s">
        <v>2047</v>
      </c>
      <c r="F673" s="3079" t="s">
        <v>2047</v>
      </c>
      <c r="G673" s="3080"/>
      <c r="H673" s="3078" t="s">
        <v>3313</v>
      </c>
      <c r="I673" s="3078"/>
      <c r="J673" s="3081"/>
    </row>
    <row r="674" spans="1:10">
      <c r="A674" s="245" t="s">
        <v>2047</v>
      </c>
      <c r="B674" s="228" t="s">
        <v>2047</v>
      </c>
      <c r="C674" s="228" t="s">
        <v>2047</v>
      </c>
      <c r="D674" s="228" t="s">
        <v>2047</v>
      </c>
      <c r="E674" s="228" t="s">
        <v>2047</v>
      </c>
      <c r="F674" s="3046" t="s">
        <v>2047</v>
      </c>
      <c r="G674" s="3047"/>
      <c r="H674" s="3048" t="s">
        <v>3313</v>
      </c>
      <c r="I674" s="3048"/>
      <c r="J674" s="3049"/>
    </row>
    <row r="675" spans="1:10">
      <c r="A675" s="245" t="s">
        <v>2047</v>
      </c>
      <c r="B675" s="228" t="s">
        <v>2047</v>
      </c>
      <c r="C675" s="228" t="s">
        <v>2047</v>
      </c>
      <c r="D675" s="228" t="s">
        <v>2047</v>
      </c>
      <c r="E675" s="228" t="s">
        <v>2047</v>
      </c>
      <c r="F675" s="3046" t="s">
        <v>2047</v>
      </c>
      <c r="G675" s="3047"/>
      <c r="H675" s="3048" t="s">
        <v>3313</v>
      </c>
      <c r="I675" s="3048"/>
      <c r="J675" s="3049"/>
    </row>
    <row r="676" spans="1:10">
      <c r="A676" s="245" t="s">
        <v>2047</v>
      </c>
      <c r="B676" s="228" t="s">
        <v>2047</v>
      </c>
      <c r="C676" s="228" t="s">
        <v>2047</v>
      </c>
      <c r="D676" s="228" t="s">
        <v>2047</v>
      </c>
      <c r="E676" s="228" t="s">
        <v>2047</v>
      </c>
      <c r="F676" s="3046" t="s">
        <v>2047</v>
      </c>
      <c r="G676" s="3047"/>
      <c r="H676" s="3048" t="s">
        <v>3313</v>
      </c>
      <c r="I676" s="3048"/>
      <c r="J676" s="3049"/>
    </row>
    <row r="677" spans="1:10">
      <c r="A677" s="245" t="s">
        <v>2047</v>
      </c>
      <c r="B677" s="228" t="s">
        <v>2047</v>
      </c>
      <c r="C677" s="228" t="s">
        <v>2047</v>
      </c>
      <c r="D677" s="228" t="s">
        <v>2047</v>
      </c>
      <c r="E677" s="228" t="s">
        <v>2047</v>
      </c>
      <c r="F677" s="3046" t="s">
        <v>2047</v>
      </c>
      <c r="G677" s="3047"/>
      <c r="H677" s="3048" t="s">
        <v>3313</v>
      </c>
      <c r="I677" s="3048"/>
      <c r="J677" s="3049"/>
    </row>
    <row r="678" spans="1:10">
      <c r="A678" s="245" t="s">
        <v>2047</v>
      </c>
      <c r="B678" s="228" t="s">
        <v>2047</v>
      </c>
      <c r="C678" s="228" t="s">
        <v>2047</v>
      </c>
      <c r="D678" s="228" t="s">
        <v>2047</v>
      </c>
      <c r="E678" s="228" t="s">
        <v>2047</v>
      </c>
      <c r="F678" s="3046" t="s">
        <v>2047</v>
      </c>
      <c r="G678" s="3047"/>
      <c r="H678" s="3048" t="s">
        <v>3313</v>
      </c>
      <c r="I678" s="3048"/>
      <c r="J678" s="3049"/>
    </row>
    <row r="679" spans="1:10">
      <c r="A679" s="245" t="s">
        <v>2047</v>
      </c>
      <c r="B679" s="228" t="s">
        <v>2047</v>
      </c>
      <c r="C679" s="228" t="s">
        <v>2047</v>
      </c>
      <c r="D679" s="228" t="s">
        <v>2047</v>
      </c>
      <c r="E679" s="228" t="s">
        <v>2047</v>
      </c>
      <c r="F679" s="3046" t="s">
        <v>2047</v>
      </c>
      <c r="G679" s="3047"/>
      <c r="H679" s="3048" t="s">
        <v>3313</v>
      </c>
      <c r="I679" s="3048"/>
      <c r="J679" s="3049"/>
    </row>
    <row r="680" spans="1:10">
      <c r="A680" s="1754" t="s">
        <v>2580</v>
      </c>
      <c r="B680" s="227" t="s">
        <v>2047</v>
      </c>
      <c r="C680" s="227" t="s">
        <v>2047</v>
      </c>
      <c r="D680" s="227" t="s">
        <v>2047</v>
      </c>
      <c r="E680" s="3050" t="s">
        <v>3314</v>
      </c>
      <c r="F680" s="3051"/>
      <c r="G680" s="3052">
        <f>H671</f>
        <v>4500</v>
      </c>
      <c r="H680" s="3052"/>
      <c r="I680" s="3053"/>
      <c r="J680" s="246"/>
    </row>
    <row r="681" spans="1:10">
      <c r="A681" s="247" t="s">
        <v>2047</v>
      </c>
      <c r="B681" s="229" t="s">
        <v>2047</v>
      </c>
      <c r="C681" s="229" t="s">
        <v>2047</v>
      </c>
      <c r="D681" s="229" t="s">
        <v>2047</v>
      </c>
      <c r="E681" s="229" t="s">
        <v>2047</v>
      </c>
      <c r="F681" s="230" t="s">
        <v>3315</v>
      </c>
      <c r="G681" s="231" t="s">
        <v>3316</v>
      </c>
      <c r="H681" s="3054" t="s">
        <v>3317</v>
      </c>
      <c r="I681" s="3054"/>
      <c r="J681" s="3055"/>
    </row>
    <row r="682" spans="1:10">
      <c r="A682" s="3056" t="s">
        <v>3318</v>
      </c>
      <c r="B682" s="3057"/>
      <c r="C682" s="3057"/>
      <c r="D682" s="3057"/>
      <c r="E682" s="3058"/>
      <c r="F682" s="3062" t="s">
        <v>1990</v>
      </c>
      <c r="G682" s="3063"/>
      <c r="H682" s="3066">
        <f>G680</f>
        <v>4500</v>
      </c>
      <c r="I682" s="3067"/>
      <c r="J682" s="3068"/>
    </row>
    <row r="683" spans="1:10">
      <c r="A683" s="3059"/>
      <c r="B683" s="3060"/>
      <c r="C683" s="3060"/>
      <c r="D683" s="3060"/>
      <c r="E683" s="3061"/>
      <c r="F683" s="3064"/>
      <c r="G683" s="3065"/>
      <c r="H683" s="3069"/>
      <c r="I683" s="3070"/>
      <c r="J683" s="3071"/>
    </row>
    <row r="684" spans="1:10">
      <c r="A684" s="3072" t="s">
        <v>3319</v>
      </c>
      <c r="B684" s="3073"/>
      <c r="C684" s="3073"/>
      <c r="D684" s="3073"/>
      <c r="E684" s="3073"/>
      <c r="F684" s="3073"/>
      <c r="G684" s="3073"/>
      <c r="H684" s="3073"/>
      <c r="I684" s="3073"/>
      <c r="J684" s="3074"/>
    </row>
    <row r="685" spans="1:10">
      <c r="A685" s="3075"/>
      <c r="B685" s="3076"/>
      <c r="C685" s="3076"/>
      <c r="D685" s="3076"/>
      <c r="E685" s="3076"/>
      <c r="F685" s="3076"/>
      <c r="G685" s="3076"/>
      <c r="H685" s="3076"/>
      <c r="I685" s="3076"/>
      <c r="J685" s="3077"/>
    </row>
    <row r="686" spans="1:10">
      <c r="A686" s="1752"/>
      <c r="B686" s="1752"/>
      <c r="C686" s="1752"/>
      <c r="D686" s="1752"/>
      <c r="E686" s="1752"/>
      <c r="F686" s="1752"/>
      <c r="G686" s="1752"/>
      <c r="H686" s="1752"/>
      <c r="I686" s="1752"/>
      <c r="J686" s="1752"/>
    </row>
    <row r="687" spans="1:10">
      <c r="A687" s="1752"/>
      <c r="B687" s="1752"/>
      <c r="C687" s="1752"/>
      <c r="D687" s="1752"/>
      <c r="E687" s="1752"/>
      <c r="F687" s="1752"/>
      <c r="G687" s="1752"/>
      <c r="H687" s="1752"/>
      <c r="I687" s="1752"/>
      <c r="J687" s="1752"/>
    </row>
    <row r="688" spans="1:10">
      <c r="A688" s="238" t="s">
        <v>2047</v>
      </c>
      <c r="B688" s="239" t="s">
        <v>2047</v>
      </c>
      <c r="C688" s="3082" t="s">
        <v>3292</v>
      </c>
      <c r="D688" s="3082"/>
      <c r="E688" s="3082"/>
      <c r="F688" s="3083"/>
      <c r="G688" s="239" t="s">
        <v>2047</v>
      </c>
      <c r="H688" s="1755" t="s">
        <v>2047</v>
      </c>
      <c r="I688" s="1755" t="s">
        <v>2047</v>
      </c>
      <c r="J688" s="240" t="s">
        <v>2047</v>
      </c>
    </row>
    <row r="689" spans="1:10" ht="15.6">
      <c r="A689" s="241" t="s">
        <v>2047</v>
      </c>
      <c r="B689" s="223"/>
      <c r="C689" s="3084" t="s">
        <v>2045</v>
      </c>
      <c r="D689" s="3084"/>
      <c r="E689" s="3084"/>
      <c r="F689" s="3085"/>
      <c r="G689" s="1756" t="s">
        <v>2047</v>
      </c>
      <c r="H689" s="3086" t="s">
        <v>3398</v>
      </c>
      <c r="I689" s="3086"/>
      <c r="J689" s="242" t="s">
        <v>2047</v>
      </c>
    </row>
    <row r="690" spans="1:10" ht="17.45">
      <c r="A690" s="241" t="s">
        <v>2047</v>
      </c>
      <c r="B690" s="224"/>
      <c r="C690" s="3088" t="s">
        <v>3294</v>
      </c>
      <c r="D690" s="3088"/>
      <c r="E690" s="3088"/>
      <c r="F690" s="3089"/>
      <c r="G690" s="225" t="s">
        <v>3295</v>
      </c>
      <c r="H690" s="3087"/>
      <c r="I690" s="3087"/>
      <c r="J690" s="242" t="s">
        <v>2047</v>
      </c>
    </row>
    <row r="691" spans="1:10">
      <c r="A691" s="241" t="s">
        <v>2047</v>
      </c>
      <c r="B691" s="224" t="s">
        <v>2047</v>
      </c>
      <c r="C691" s="3090" t="s">
        <v>3296</v>
      </c>
      <c r="D691" s="3090"/>
      <c r="E691" s="3090"/>
      <c r="F691" s="3091"/>
      <c r="G691" s="1756" t="s">
        <v>2047</v>
      </c>
      <c r="H691" s="226" t="s">
        <v>2047</v>
      </c>
      <c r="I691" s="226" t="s">
        <v>2047</v>
      </c>
      <c r="J691" s="243" t="s">
        <v>2047</v>
      </c>
    </row>
    <row r="692" spans="1:10" ht="31.9">
      <c r="A692" s="234" t="s">
        <v>3297</v>
      </c>
      <c r="B692" s="3092" t="s">
        <v>3389</v>
      </c>
      <c r="C692" s="3093"/>
      <c r="D692" s="3093"/>
      <c r="E692" s="3094"/>
      <c r="F692" s="233" t="s">
        <v>3299</v>
      </c>
      <c r="G692" s="232" t="s">
        <v>3390</v>
      </c>
      <c r="H692" s="1757" t="s">
        <v>3301</v>
      </c>
      <c r="I692" s="1757" t="s">
        <v>3302</v>
      </c>
      <c r="J692" s="244" t="s">
        <v>3303</v>
      </c>
    </row>
    <row r="693" spans="1:10">
      <c r="A693" s="3095"/>
      <c r="B693" s="3096"/>
      <c r="C693" s="3096"/>
      <c r="D693" s="3096"/>
      <c r="E693" s="3097"/>
      <c r="F693" s="3105"/>
      <c r="G693" s="3106"/>
      <c r="H693" s="248">
        <v>10</v>
      </c>
      <c r="I693" s="248">
        <v>8</v>
      </c>
      <c r="J693" s="249">
        <v>2021</v>
      </c>
    </row>
    <row r="694" spans="1:10">
      <c r="A694" s="3098" t="s">
        <v>3304</v>
      </c>
      <c r="B694" s="3099"/>
      <c r="C694" s="3099"/>
      <c r="D694" s="3099"/>
      <c r="E694" s="3110"/>
      <c r="F694" s="250" t="s">
        <v>3305</v>
      </c>
      <c r="G694" s="1753" t="s">
        <v>2047</v>
      </c>
      <c r="H694" s="251" t="s">
        <v>3306</v>
      </c>
      <c r="I694" s="252" t="s">
        <v>2047</v>
      </c>
      <c r="J694" s="253" t="s">
        <v>2047</v>
      </c>
    </row>
    <row r="695" spans="1:10">
      <c r="A695" s="3098" t="s">
        <v>3391</v>
      </c>
      <c r="B695" s="3099"/>
      <c r="C695" s="3099"/>
      <c r="D695" s="3099"/>
      <c r="E695" s="3110"/>
      <c r="F695" s="3105">
        <v>4821578</v>
      </c>
      <c r="G695" s="3106"/>
      <c r="H695" s="3105" t="s">
        <v>125</v>
      </c>
      <c r="I695" s="3105"/>
      <c r="J695" s="3107"/>
    </row>
    <row r="696" spans="1:10">
      <c r="A696" s="254" t="s">
        <v>3309</v>
      </c>
      <c r="B696" s="3105" t="s">
        <v>3310</v>
      </c>
      <c r="C696" s="3105"/>
      <c r="D696" s="3105"/>
      <c r="E696" s="3106"/>
      <c r="F696" s="3108" t="s">
        <v>2012</v>
      </c>
      <c r="G696" s="3109"/>
      <c r="H696" s="3105" t="s">
        <v>3311</v>
      </c>
      <c r="I696" s="3105"/>
      <c r="J696" s="3107"/>
    </row>
    <row r="697" spans="1:10">
      <c r="A697" s="255">
        <v>2</v>
      </c>
      <c r="B697" s="3078" t="s">
        <v>3367</v>
      </c>
      <c r="C697" s="3078"/>
      <c r="D697" s="3078"/>
      <c r="E697" s="3078"/>
      <c r="F697" s="3079">
        <v>2500</v>
      </c>
      <c r="G697" s="3080"/>
      <c r="H697" s="3078">
        <f>F697*A697</f>
        <v>5000</v>
      </c>
      <c r="I697" s="3078"/>
      <c r="J697" s="3081"/>
    </row>
    <row r="698" spans="1:10">
      <c r="A698" s="255" t="s">
        <v>2047</v>
      </c>
      <c r="B698" s="3078" t="s">
        <v>2047</v>
      </c>
      <c r="C698" s="3078"/>
      <c r="D698" s="3078"/>
      <c r="E698" s="3078"/>
      <c r="F698" s="3079" t="s">
        <v>2047</v>
      </c>
      <c r="G698" s="3080"/>
      <c r="H698" s="3078" t="s">
        <v>2047</v>
      </c>
      <c r="I698" s="3078"/>
      <c r="J698" s="3081"/>
    </row>
    <row r="699" spans="1:10">
      <c r="A699" s="255" t="s">
        <v>2047</v>
      </c>
      <c r="B699" s="256" t="s">
        <v>2047</v>
      </c>
      <c r="C699" s="256" t="s">
        <v>2047</v>
      </c>
      <c r="D699" s="256" t="s">
        <v>2047</v>
      </c>
      <c r="E699" s="256" t="s">
        <v>2047</v>
      </c>
      <c r="F699" s="3079" t="s">
        <v>2047</v>
      </c>
      <c r="G699" s="3080"/>
      <c r="H699" s="3078" t="s">
        <v>3313</v>
      </c>
      <c r="I699" s="3078"/>
      <c r="J699" s="3081"/>
    </row>
    <row r="700" spans="1:10">
      <c r="A700" s="245" t="s">
        <v>2047</v>
      </c>
      <c r="B700" s="228" t="s">
        <v>2047</v>
      </c>
      <c r="C700" s="228" t="s">
        <v>2047</v>
      </c>
      <c r="D700" s="228" t="s">
        <v>2047</v>
      </c>
      <c r="E700" s="228" t="s">
        <v>2047</v>
      </c>
      <c r="F700" s="3046" t="s">
        <v>2047</v>
      </c>
      <c r="G700" s="3047"/>
      <c r="H700" s="3048" t="s">
        <v>3313</v>
      </c>
      <c r="I700" s="3048"/>
      <c r="J700" s="3049"/>
    </row>
    <row r="701" spans="1:10">
      <c r="A701" s="245" t="s">
        <v>2047</v>
      </c>
      <c r="B701" s="228" t="s">
        <v>2047</v>
      </c>
      <c r="C701" s="228" t="s">
        <v>2047</v>
      </c>
      <c r="D701" s="228" t="s">
        <v>2047</v>
      </c>
      <c r="E701" s="228" t="s">
        <v>2047</v>
      </c>
      <c r="F701" s="3046" t="s">
        <v>2047</v>
      </c>
      <c r="G701" s="3047"/>
      <c r="H701" s="3048" t="s">
        <v>3313</v>
      </c>
      <c r="I701" s="3048"/>
      <c r="J701" s="3049"/>
    </row>
    <row r="702" spans="1:10">
      <c r="A702" s="245" t="s">
        <v>2047</v>
      </c>
      <c r="B702" s="228" t="s">
        <v>2047</v>
      </c>
      <c r="C702" s="228" t="s">
        <v>2047</v>
      </c>
      <c r="D702" s="228" t="s">
        <v>2047</v>
      </c>
      <c r="E702" s="228" t="s">
        <v>2047</v>
      </c>
      <c r="F702" s="3046" t="s">
        <v>2047</v>
      </c>
      <c r="G702" s="3047"/>
      <c r="H702" s="3048" t="s">
        <v>3313</v>
      </c>
      <c r="I702" s="3048"/>
      <c r="J702" s="3049"/>
    </row>
    <row r="703" spans="1:10">
      <c r="A703" s="245" t="s">
        <v>2047</v>
      </c>
      <c r="B703" s="228" t="s">
        <v>2047</v>
      </c>
      <c r="C703" s="228" t="s">
        <v>2047</v>
      </c>
      <c r="D703" s="228" t="s">
        <v>2047</v>
      </c>
      <c r="E703" s="228" t="s">
        <v>2047</v>
      </c>
      <c r="F703" s="3046" t="s">
        <v>2047</v>
      </c>
      <c r="G703" s="3047"/>
      <c r="H703" s="3048" t="s">
        <v>3313</v>
      </c>
      <c r="I703" s="3048"/>
      <c r="J703" s="3049"/>
    </row>
    <row r="704" spans="1:10">
      <c r="A704" s="245" t="s">
        <v>2047</v>
      </c>
      <c r="B704" s="228" t="s">
        <v>2047</v>
      </c>
      <c r="C704" s="228" t="s">
        <v>2047</v>
      </c>
      <c r="D704" s="228" t="s">
        <v>2047</v>
      </c>
      <c r="E704" s="228" t="s">
        <v>2047</v>
      </c>
      <c r="F704" s="3046" t="s">
        <v>2047</v>
      </c>
      <c r="G704" s="3047"/>
      <c r="H704" s="3048" t="s">
        <v>3313</v>
      </c>
      <c r="I704" s="3048"/>
      <c r="J704" s="3049"/>
    </row>
    <row r="705" spans="1:10">
      <c r="A705" s="245" t="s">
        <v>2047</v>
      </c>
      <c r="B705" s="228" t="s">
        <v>2047</v>
      </c>
      <c r="C705" s="228" t="s">
        <v>2047</v>
      </c>
      <c r="D705" s="228" t="s">
        <v>2047</v>
      </c>
      <c r="E705" s="228" t="s">
        <v>2047</v>
      </c>
      <c r="F705" s="3046" t="s">
        <v>2047</v>
      </c>
      <c r="G705" s="3047"/>
      <c r="H705" s="3048" t="s">
        <v>3313</v>
      </c>
      <c r="I705" s="3048"/>
      <c r="J705" s="3049"/>
    </row>
    <row r="706" spans="1:10">
      <c r="A706" s="1754" t="s">
        <v>2580</v>
      </c>
      <c r="B706" s="227" t="s">
        <v>2047</v>
      </c>
      <c r="C706" s="227" t="s">
        <v>2047</v>
      </c>
      <c r="D706" s="227" t="s">
        <v>2047</v>
      </c>
      <c r="E706" s="3050" t="s">
        <v>3314</v>
      </c>
      <c r="F706" s="3051"/>
      <c r="G706" s="3052">
        <f>H697</f>
        <v>5000</v>
      </c>
      <c r="H706" s="3052"/>
      <c r="I706" s="3053"/>
      <c r="J706" s="246"/>
    </row>
    <row r="707" spans="1:10">
      <c r="A707" s="247" t="s">
        <v>2047</v>
      </c>
      <c r="B707" s="229" t="s">
        <v>2047</v>
      </c>
      <c r="C707" s="229" t="s">
        <v>2047</v>
      </c>
      <c r="D707" s="229" t="s">
        <v>2047</v>
      </c>
      <c r="E707" s="229" t="s">
        <v>2047</v>
      </c>
      <c r="F707" s="230" t="s">
        <v>3315</v>
      </c>
      <c r="G707" s="231" t="s">
        <v>3316</v>
      </c>
      <c r="H707" s="3054" t="s">
        <v>3317</v>
      </c>
      <c r="I707" s="3054"/>
      <c r="J707" s="3055"/>
    </row>
    <row r="708" spans="1:10">
      <c r="A708" s="3056" t="s">
        <v>3318</v>
      </c>
      <c r="B708" s="3057"/>
      <c r="C708" s="3057"/>
      <c r="D708" s="3057"/>
      <c r="E708" s="3058"/>
      <c r="F708" s="3062" t="s">
        <v>1990</v>
      </c>
      <c r="G708" s="3063"/>
      <c r="H708" s="3066">
        <f>G706</f>
        <v>5000</v>
      </c>
      <c r="I708" s="3067"/>
      <c r="J708" s="3068"/>
    </row>
    <row r="709" spans="1:10">
      <c r="A709" s="3059"/>
      <c r="B709" s="3060"/>
      <c r="C709" s="3060"/>
      <c r="D709" s="3060"/>
      <c r="E709" s="3061"/>
      <c r="F709" s="3064"/>
      <c r="G709" s="3065"/>
      <c r="H709" s="3069"/>
      <c r="I709" s="3070"/>
      <c r="J709" s="3071"/>
    </row>
    <row r="710" spans="1:10">
      <c r="A710" s="3072" t="s">
        <v>3319</v>
      </c>
      <c r="B710" s="3073"/>
      <c r="C710" s="3073"/>
      <c r="D710" s="3073"/>
      <c r="E710" s="3073"/>
      <c r="F710" s="3073"/>
      <c r="G710" s="3073"/>
      <c r="H710" s="3073"/>
      <c r="I710" s="3073"/>
      <c r="J710" s="3074"/>
    </row>
    <row r="711" spans="1:10">
      <c r="A711" s="3075"/>
      <c r="B711" s="3076"/>
      <c r="C711" s="3076"/>
      <c r="D711" s="3076"/>
      <c r="E711" s="3076"/>
      <c r="F711" s="3076"/>
      <c r="G711" s="3076"/>
      <c r="H711" s="3076"/>
      <c r="I711" s="3076"/>
      <c r="J711" s="3077"/>
    </row>
    <row r="712" spans="1:10">
      <c r="A712" s="1752"/>
      <c r="B712" s="1752"/>
      <c r="C712" s="1752"/>
      <c r="D712" s="1752"/>
      <c r="E712" s="1752"/>
      <c r="F712" s="1752"/>
      <c r="G712" s="1752"/>
      <c r="H712" s="1752"/>
      <c r="I712" s="1752"/>
      <c r="J712" s="1752"/>
    </row>
    <row r="713" spans="1:10">
      <c r="A713" s="1752"/>
      <c r="B713" s="1752"/>
      <c r="C713" s="1752"/>
      <c r="D713" s="1752"/>
      <c r="E713" s="1752"/>
      <c r="F713" s="1752"/>
      <c r="G713" s="1752"/>
      <c r="H713" s="1752"/>
      <c r="I713" s="1752"/>
      <c r="J713" s="1752"/>
    </row>
    <row r="714" spans="1:10">
      <c r="A714" s="238" t="s">
        <v>2047</v>
      </c>
      <c r="B714" s="239" t="s">
        <v>2047</v>
      </c>
      <c r="C714" s="3082" t="s">
        <v>3292</v>
      </c>
      <c r="D714" s="3082"/>
      <c r="E714" s="3082"/>
      <c r="F714" s="3083"/>
      <c r="G714" s="239" t="s">
        <v>2047</v>
      </c>
      <c r="H714" s="1755" t="s">
        <v>2047</v>
      </c>
      <c r="I714" s="1755" t="s">
        <v>2047</v>
      </c>
      <c r="J714" s="240" t="s">
        <v>2047</v>
      </c>
    </row>
    <row r="715" spans="1:10" ht="15.6">
      <c r="A715" s="241" t="s">
        <v>2047</v>
      </c>
      <c r="B715" s="223"/>
      <c r="C715" s="3084" t="s">
        <v>2045</v>
      </c>
      <c r="D715" s="3084"/>
      <c r="E715" s="3084"/>
      <c r="F715" s="3085"/>
      <c r="G715" s="1756" t="s">
        <v>2047</v>
      </c>
      <c r="H715" s="3086" t="s">
        <v>3399</v>
      </c>
      <c r="I715" s="3086"/>
      <c r="J715" s="242" t="s">
        <v>2047</v>
      </c>
    </row>
    <row r="716" spans="1:10" ht="17.45">
      <c r="A716" s="241" t="s">
        <v>2047</v>
      </c>
      <c r="B716" s="224"/>
      <c r="C716" s="3088" t="s">
        <v>3294</v>
      </c>
      <c r="D716" s="3088"/>
      <c r="E716" s="3088"/>
      <c r="F716" s="3089"/>
      <c r="G716" s="225" t="s">
        <v>3295</v>
      </c>
      <c r="H716" s="3087"/>
      <c r="I716" s="3087"/>
      <c r="J716" s="242" t="s">
        <v>2047</v>
      </c>
    </row>
    <row r="717" spans="1:10">
      <c r="A717" s="241" t="s">
        <v>2047</v>
      </c>
      <c r="B717" s="224" t="s">
        <v>2047</v>
      </c>
      <c r="C717" s="3090" t="s">
        <v>3296</v>
      </c>
      <c r="D717" s="3090"/>
      <c r="E717" s="3090"/>
      <c r="F717" s="3091"/>
      <c r="G717" s="1756" t="s">
        <v>2047</v>
      </c>
      <c r="H717" s="226" t="s">
        <v>2047</v>
      </c>
      <c r="I717" s="226" t="s">
        <v>2047</v>
      </c>
      <c r="J717" s="243" t="s">
        <v>2047</v>
      </c>
    </row>
    <row r="718" spans="1:10" ht="31.9">
      <c r="A718" s="234" t="s">
        <v>3297</v>
      </c>
      <c r="B718" s="3092" t="s">
        <v>3365</v>
      </c>
      <c r="C718" s="3093"/>
      <c r="D718" s="3093"/>
      <c r="E718" s="3094"/>
      <c r="F718" s="233" t="s">
        <v>3299</v>
      </c>
      <c r="G718" s="232">
        <v>70720539</v>
      </c>
      <c r="H718" s="1757" t="s">
        <v>3301</v>
      </c>
      <c r="I718" s="1757" t="s">
        <v>3302</v>
      </c>
      <c r="J718" s="244" t="s">
        <v>3303</v>
      </c>
    </row>
    <row r="719" spans="1:10">
      <c r="A719" s="3095"/>
      <c r="B719" s="3096"/>
      <c r="C719" s="3096"/>
      <c r="D719" s="3096"/>
      <c r="E719" s="3097"/>
      <c r="F719" s="3105"/>
      <c r="G719" s="3106"/>
      <c r="H719" s="248">
        <v>11</v>
      </c>
      <c r="I719" s="248">
        <v>8</v>
      </c>
      <c r="J719" s="249">
        <v>2021</v>
      </c>
    </row>
    <row r="720" spans="1:10">
      <c r="A720" s="3098" t="s">
        <v>3304</v>
      </c>
      <c r="B720" s="3099"/>
      <c r="C720" s="3099"/>
      <c r="D720" s="3099"/>
      <c r="E720" s="3110"/>
      <c r="F720" s="250" t="s">
        <v>3305</v>
      </c>
      <c r="G720" s="1753" t="s">
        <v>2047</v>
      </c>
      <c r="H720" s="251" t="s">
        <v>3306</v>
      </c>
      <c r="I720" s="252" t="s">
        <v>2047</v>
      </c>
      <c r="J720" s="253" t="s">
        <v>2047</v>
      </c>
    </row>
    <row r="721" spans="1:10">
      <c r="A721" s="3098" t="s">
        <v>3366</v>
      </c>
      <c r="B721" s="3099"/>
      <c r="C721" s="3099"/>
      <c r="D721" s="3099"/>
      <c r="E721" s="3110"/>
      <c r="F721" s="3105">
        <v>4641136</v>
      </c>
      <c r="G721" s="3106"/>
      <c r="H721" s="3105" t="s">
        <v>125</v>
      </c>
      <c r="I721" s="3105"/>
      <c r="J721" s="3107"/>
    </row>
    <row r="722" spans="1:10">
      <c r="A722" s="254" t="s">
        <v>3309</v>
      </c>
      <c r="B722" s="3105" t="s">
        <v>3310</v>
      </c>
      <c r="C722" s="3105"/>
      <c r="D722" s="3105"/>
      <c r="E722" s="3106"/>
      <c r="F722" s="3108" t="s">
        <v>2012</v>
      </c>
      <c r="G722" s="3109"/>
      <c r="H722" s="3105" t="s">
        <v>3311</v>
      </c>
      <c r="I722" s="3105"/>
      <c r="J722" s="3107"/>
    </row>
    <row r="723" spans="1:10">
      <c r="A723" s="255">
        <v>2</v>
      </c>
      <c r="B723" s="3078" t="s">
        <v>3367</v>
      </c>
      <c r="C723" s="3078"/>
      <c r="D723" s="3078"/>
      <c r="E723" s="3078"/>
      <c r="F723" s="3079">
        <v>2500</v>
      </c>
      <c r="G723" s="3080"/>
      <c r="H723" s="3078">
        <f>F723*A723</f>
        <v>5000</v>
      </c>
      <c r="I723" s="3078"/>
      <c r="J723" s="3081"/>
    </row>
    <row r="724" spans="1:10">
      <c r="A724" s="255" t="s">
        <v>2047</v>
      </c>
      <c r="B724" s="3078" t="s">
        <v>2047</v>
      </c>
      <c r="C724" s="3078"/>
      <c r="D724" s="3078"/>
      <c r="E724" s="3078"/>
      <c r="F724" s="3079" t="s">
        <v>2047</v>
      </c>
      <c r="G724" s="3080"/>
      <c r="H724" s="3078" t="s">
        <v>2047</v>
      </c>
      <c r="I724" s="3078"/>
      <c r="J724" s="3081"/>
    </row>
    <row r="725" spans="1:10">
      <c r="A725" s="255" t="s">
        <v>2047</v>
      </c>
      <c r="B725" s="256" t="s">
        <v>2047</v>
      </c>
      <c r="C725" s="256" t="s">
        <v>2047</v>
      </c>
      <c r="D725" s="256" t="s">
        <v>2047</v>
      </c>
      <c r="E725" s="256" t="s">
        <v>2047</v>
      </c>
      <c r="F725" s="3079" t="s">
        <v>2047</v>
      </c>
      <c r="G725" s="3080"/>
      <c r="H725" s="3078" t="s">
        <v>3313</v>
      </c>
      <c r="I725" s="3078"/>
      <c r="J725" s="3081"/>
    </row>
    <row r="726" spans="1:10">
      <c r="A726" s="245" t="s">
        <v>2047</v>
      </c>
      <c r="B726" s="228" t="s">
        <v>2047</v>
      </c>
      <c r="C726" s="228" t="s">
        <v>2047</v>
      </c>
      <c r="D726" s="228" t="s">
        <v>2047</v>
      </c>
      <c r="E726" s="228" t="s">
        <v>2047</v>
      </c>
      <c r="F726" s="3046" t="s">
        <v>2047</v>
      </c>
      <c r="G726" s="3047"/>
      <c r="H726" s="3048" t="s">
        <v>3313</v>
      </c>
      <c r="I726" s="3048"/>
      <c r="J726" s="3049"/>
    </row>
    <row r="727" spans="1:10">
      <c r="A727" s="245" t="s">
        <v>2047</v>
      </c>
      <c r="B727" s="228" t="s">
        <v>2047</v>
      </c>
      <c r="C727" s="228" t="s">
        <v>2047</v>
      </c>
      <c r="D727" s="228" t="s">
        <v>2047</v>
      </c>
      <c r="E727" s="228" t="s">
        <v>2047</v>
      </c>
      <c r="F727" s="3046" t="s">
        <v>2047</v>
      </c>
      <c r="G727" s="3047"/>
      <c r="H727" s="3048" t="s">
        <v>3313</v>
      </c>
      <c r="I727" s="3048"/>
      <c r="J727" s="3049"/>
    </row>
    <row r="728" spans="1:10">
      <c r="A728" s="245" t="s">
        <v>2047</v>
      </c>
      <c r="B728" s="228" t="s">
        <v>2047</v>
      </c>
      <c r="C728" s="228" t="s">
        <v>2047</v>
      </c>
      <c r="D728" s="228" t="s">
        <v>2047</v>
      </c>
      <c r="E728" s="228" t="s">
        <v>2047</v>
      </c>
      <c r="F728" s="3046" t="s">
        <v>2047</v>
      </c>
      <c r="G728" s="3047"/>
      <c r="H728" s="3048" t="s">
        <v>3313</v>
      </c>
      <c r="I728" s="3048"/>
      <c r="J728" s="3049"/>
    </row>
    <row r="729" spans="1:10">
      <c r="A729" s="245" t="s">
        <v>2047</v>
      </c>
      <c r="B729" s="228" t="s">
        <v>2047</v>
      </c>
      <c r="C729" s="228" t="s">
        <v>2047</v>
      </c>
      <c r="D729" s="228" t="s">
        <v>2047</v>
      </c>
      <c r="E729" s="228" t="s">
        <v>2047</v>
      </c>
      <c r="F729" s="3046" t="s">
        <v>2047</v>
      </c>
      <c r="G729" s="3047"/>
      <c r="H729" s="3048" t="s">
        <v>3313</v>
      </c>
      <c r="I729" s="3048"/>
      <c r="J729" s="3049"/>
    </row>
    <row r="730" spans="1:10">
      <c r="A730" s="245" t="s">
        <v>2047</v>
      </c>
      <c r="B730" s="228" t="s">
        <v>2047</v>
      </c>
      <c r="C730" s="228" t="s">
        <v>2047</v>
      </c>
      <c r="D730" s="228" t="s">
        <v>2047</v>
      </c>
      <c r="E730" s="228" t="s">
        <v>2047</v>
      </c>
      <c r="F730" s="3046" t="s">
        <v>2047</v>
      </c>
      <c r="G730" s="3047"/>
      <c r="H730" s="3048" t="s">
        <v>3313</v>
      </c>
      <c r="I730" s="3048"/>
      <c r="J730" s="3049"/>
    </row>
    <row r="731" spans="1:10">
      <c r="A731" s="245" t="s">
        <v>2047</v>
      </c>
      <c r="B731" s="228" t="s">
        <v>2047</v>
      </c>
      <c r="C731" s="228" t="s">
        <v>2047</v>
      </c>
      <c r="D731" s="228" t="s">
        <v>2047</v>
      </c>
      <c r="E731" s="228" t="s">
        <v>2047</v>
      </c>
      <c r="F731" s="3046" t="s">
        <v>2047</v>
      </c>
      <c r="G731" s="3047"/>
      <c r="H731" s="3048" t="s">
        <v>3313</v>
      </c>
      <c r="I731" s="3048"/>
      <c r="J731" s="3049"/>
    </row>
    <row r="732" spans="1:10">
      <c r="A732" s="1754" t="s">
        <v>2580</v>
      </c>
      <c r="B732" s="227" t="s">
        <v>2047</v>
      </c>
      <c r="C732" s="227" t="s">
        <v>2047</v>
      </c>
      <c r="D732" s="227" t="s">
        <v>2047</v>
      </c>
      <c r="E732" s="3050" t="s">
        <v>3314</v>
      </c>
      <c r="F732" s="3051"/>
      <c r="G732" s="3052">
        <f>H723</f>
        <v>5000</v>
      </c>
      <c r="H732" s="3052"/>
      <c r="I732" s="3053"/>
      <c r="J732" s="246"/>
    </row>
    <row r="733" spans="1:10">
      <c r="A733" s="247" t="s">
        <v>2047</v>
      </c>
      <c r="B733" s="229" t="s">
        <v>2047</v>
      </c>
      <c r="C733" s="229" t="s">
        <v>2047</v>
      </c>
      <c r="D733" s="229" t="s">
        <v>2047</v>
      </c>
      <c r="E733" s="229" t="s">
        <v>2047</v>
      </c>
      <c r="F733" s="230" t="s">
        <v>3315</v>
      </c>
      <c r="G733" s="231" t="s">
        <v>3316</v>
      </c>
      <c r="H733" s="3054" t="s">
        <v>3317</v>
      </c>
      <c r="I733" s="3054"/>
      <c r="J733" s="3055"/>
    </row>
    <row r="734" spans="1:10">
      <c r="A734" s="3056" t="s">
        <v>3318</v>
      </c>
      <c r="B734" s="3057"/>
      <c r="C734" s="3057"/>
      <c r="D734" s="3057"/>
      <c r="E734" s="3058"/>
      <c r="F734" s="3062" t="s">
        <v>1990</v>
      </c>
      <c r="G734" s="3063"/>
      <c r="H734" s="3066">
        <f>G732</f>
        <v>5000</v>
      </c>
      <c r="I734" s="3067"/>
      <c r="J734" s="3068"/>
    </row>
    <row r="735" spans="1:10">
      <c r="A735" s="3059"/>
      <c r="B735" s="3060"/>
      <c r="C735" s="3060"/>
      <c r="D735" s="3060"/>
      <c r="E735" s="3061"/>
      <c r="F735" s="3064"/>
      <c r="G735" s="3065"/>
      <c r="H735" s="3069"/>
      <c r="I735" s="3070"/>
      <c r="J735" s="3071"/>
    </row>
    <row r="736" spans="1:10">
      <c r="A736" s="3072" t="s">
        <v>3319</v>
      </c>
      <c r="B736" s="3073"/>
      <c r="C736" s="3073"/>
      <c r="D736" s="3073"/>
      <c r="E736" s="3073"/>
      <c r="F736" s="3073"/>
      <c r="G736" s="3073"/>
      <c r="H736" s="3073"/>
      <c r="I736" s="3073"/>
      <c r="J736" s="3074"/>
    </row>
    <row r="737" spans="1:10">
      <c r="A737" s="3075"/>
      <c r="B737" s="3076"/>
      <c r="C737" s="3076"/>
      <c r="D737" s="3076"/>
      <c r="E737" s="3076"/>
      <c r="F737" s="3076"/>
      <c r="G737" s="3076"/>
      <c r="H737" s="3076"/>
      <c r="I737" s="3076"/>
      <c r="J737" s="3077"/>
    </row>
    <row r="740" spans="1:10">
      <c r="A740" s="238" t="s">
        <v>2047</v>
      </c>
      <c r="B740" s="239" t="s">
        <v>2047</v>
      </c>
      <c r="C740" s="3082" t="s">
        <v>3292</v>
      </c>
      <c r="D740" s="3082"/>
      <c r="E740" s="3082"/>
      <c r="F740" s="3083"/>
      <c r="G740" s="239" t="s">
        <v>2047</v>
      </c>
      <c r="H740" s="1755" t="s">
        <v>2047</v>
      </c>
      <c r="I740" s="1755" t="s">
        <v>2047</v>
      </c>
      <c r="J740" s="240" t="s">
        <v>2047</v>
      </c>
    </row>
    <row r="741" spans="1:10" ht="15.6">
      <c r="A741" s="241" t="s">
        <v>2047</v>
      </c>
      <c r="B741" s="223"/>
      <c r="C741" s="3084" t="s">
        <v>2045</v>
      </c>
      <c r="D741" s="3084"/>
      <c r="E741" s="3084"/>
      <c r="F741" s="3085"/>
      <c r="G741" s="1756" t="s">
        <v>2047</v>
      </c>
      <c r="H741" s="3086" t="s">
        <v>3400</v>
      </c>
      <c r="I741" s="3086"/>
      <c r="J741" s="242" t="s">
        <v>2047</v>
      </c>
    </row>
    <row r="742" spans="1:10" ht="17.45">
      <c r="A742" s="241" t="s">
        <v>2047</v>
      </c>
      <c r="B742" s="224"/>
      <c r="C742" s="3088" t="s">
        <v>3294</v>
      </c>
      <c r="D742" s="3088"/>
      <c r="E742" s="3088"/>
      <c r="F742" s="3089"/>
      <c r="G742" s="225" t="s">
        <v>3295</v>
      </c>
      <c r="H742" s="3087"/>
      <c r="I742" s="3087"/>
      <c r="J742" s="242" t="s">
        <v>2047</v>
      </c>
    </row>
    <row r="743" spans="1:10">
      <c r="A743" s="241" t="s">
        <v>2047</v>
      </c>
      <c r="B743" s="224" t="s">
        <v>2047</v>
      </c>
      <c r="C743" s="3090" t="s">
        <v>3296</v>
      </c>
      <c r="D743" s="3090"/>
      <c r="E743" s="3090"/>
      <c r="F743" s="3091"/>
      <c r="G743" s="1756" t="s">
        <v>2047</v>
      </c>
      <c r="H743" s="226" t="s">
        <v>2047</v>
      </c>
      <c r="I743" s="226" t="s">
        <v>2047</v>
      </c>
      <c r="J743" s="243" t="s">
        <v>2047</v>
      </c>
    </row>
    <row r="744" spans="1:10" ht="31.9">
      <c r="A744" s="234" t="s">
        <v>3297</v>
      </c>
      <c r="B744" s="3092" t="s">
        <v>3401</v>
      </c>
      <c r="C744" s="3093"/>
      <c r="D744" s="3093"/>
      <c r="E744" s="3094"/>
      <c r="F744" s="233" t="s">
        <v>3299</v>
      </c>
      <c r="G744" s="232">
        <v>98496872</v>
      </c>
      <c r="H744" s="1757" t="s">
        <v>3301</v>
      </c>
      <c r="I744" s="1757" t="s">
        <v>3302</v>
      </c>
      <c r="J744" s="244" t="s">
        <v>3303</v>
      </c>
    </row>
    <row r="745" spans="1:10">
      <c r="A745" s="3095"/>
      <c r="B745" s="3096"/>
      <c r="C745" s="3096"/>
      <c r="D745" s="3096"/>
      <c r="E745" s="3097"/>
      <c r="F745" s="3105"/>
      <c r="G745" s="3106"/>
      <c r="H745" s="248">
        <v>20</v>
      </c>
      <c r="I745" s="248">
        <v>10</v>
      </c>
      <c r="J745" s="249">
        <v>2021</v>
      </c>
    </row>
    <row r="746" spans="1:10">
      <c r="A746" s="3098" t="s">
        <v>3304</v>
      </c>
      <c r="B746" s="3099"/>
      <c r="C746" s="3099"/>
      <c r="D746" s="3099"/>
      <c r="E746" s="3110"/>
      <c r="F746" s="250" t="s">
        <v>3305</v>
      </c>
      <c r="G746" s="1753" t="s">
        <v>2047</v>
      </c>
      <c r="H746" s="251" t="s">
        <v>3306</v>
      </c>
      <c r="I746" s="252" t="s">
        <v>2047</v>
      </c>
      <c r="J746" s="253" t="s">
        <v>2047</v>
      </c>
    </row>
    <row r="747" spans="1:10">
      <c r="A747" s="3098" t="s">
        <v>3402</v>
      </c>
      <c r="B747" s="3099"/>
      <c r="C747" s="3099"/>
      <c r="D747" s="3099"/>
      <c r="E747" s="3110"/>
      <c r="F747" s="3105" t="s">
        <v>3403</v>
      </c>
      <c r="G747" s="3106"/>
      <c r="H747" s="3105" t="s">
        <v>125</v>
      </c>
      <c r="I747" s="3105"/>
      <c r="J747" s="3107"/>
    </row>
    <row r="748" spans="1:10">
      <c r="A748" s="254" t="s">
        <v>3309</v>
      </c>
      <c r="B748" s="3105" t="s">
        <v>3310</v>
      </c>
      <c r="C748" s="3105"/>
      <c r="D748" s="3105"/>
      <c r="E748" s="3106"/>
      <c r="F748" s="3108" t="s">
        <v>2012</v>
      </c>
      <c r="G748" s="3109"/>
      <c r="H748" s="3105" t="s">
        <v>3311</v>
      </c>
      <c r="I748" s="3105"/>
      <c r="J748" s="3107"/>
    </row>
    <row r="749" spans="1:10">
      <c r="A749" s="255">
        <v>3</v>
      </c>
      <c r="B749" s="3078" t="s">
        <v>3367</v>
      </c>
      <c r="C749" s="3078"/>
      <c r="D749" s="3078"/>
      <c r="E749" s="3078"/>
      <c r="F749" s="3079">
        <v>2000</v>
      </c>
      <c r="G749" s="3080"/>
      <c r="H749" s="3078">
        <f>F749*A749</f>
        <v>6000</v>
      </c>
      <c r="I749" s="3078"/>
      <c r="J749" s="3081"/>
    </row>
    <row r="750" spans="1:10">
      <c r="A750" s="255" t="s">
        <v>2047</v>
      </c>
      <c r="B750" s="3078" t="s">
        <v>2047</v>
      </c>
      <c r="C750" s="3078"/>
      <c r="D750" s="3078"/>
      <c r="E750" s="3078"/>
      <c r="F750" s="3079" t="s">
        <v>2047</v>
      </c>
      <c r="G750" s="3080"/>
      <c r="H750" s="3078" t="s">
        <v>2047</v>
      </c>
      <c r="I750" s="3078"/>
      <c r="J750" s="3081"/>
    </row>
    <row r="751" spans="1:10">
      <c r="A751" s="255" t="s">
        <v>2047</v>
      </c>
      <c r="B751" s="256" t="s">
        <v>2047</v>
      </c>
      <c r="C751" s="256" t="s">
        <v>2047</v>
      </c>
      <c r="D751" s="256" t="s">
        <v>2047</v>
      </c>
      <c r="E751" s="256" t="s">
        <v>2047</v>
      </c>
      <c r="F751" s="3079" t="s">
        <v>2047</v>
      </c>
      <c r="G751" s="3080"/>
      <c r="H751" s="3078" t="s">
        <v>3313</v>
      </c>
      <c r="I751" s="3078"/>
      <c r="J751" s="3081"/>
    </row>
    <row r="752" spans="1:10">
      <c r="A752" s="245" t="s">
        <v>2047</v>
      </c>
      <c r="B752" s="228" t="s">
        <v>2047</v>
      </c>
      <c r="C752" s="228" t="s">
        <v>2047</v>
      </c>
      <c r="D752" s="228" t="s">
        <v>2047</v>
      </c>
      <c r="E752" s="228" t="s">
        <v>2047</v>
      </c>
      <c r="F752" s="3046" t="s">
        <v>2047</v>
      </c>
      <c r="G752" s="3047"/>
      <c r="H752" s="3048" t="s">
        <v>3313</v>
      </c>
      <c r="I752" s="3048"/>
      <c r="J752" s="3049"/>
    </row>
    <row r="753" spans="1:10">
      <c r="A753" s="245" t="s">
        <v>2047</v>
      </c>
      <c r="B753" s="228" t="s">
        <v>2047</v>
      </c>
      <c r="C753" s="228" t="s">
        <v>2047</v>
      </c>
      <c r="D753" s="228" t="s">
        <v>2047</v>
      </c>
      <c r="E753" s="228" t="s">
        <v>2047</v>
      </c>
      <c r="F753" s="3046" t="s">
        <v>2047</v>
      </c>
      <c r="G753" s="3047"/>
      <c r="H753" s="3048" t="s">
        <v>3313</v>
      </c>
      <c r="I753" s="3048"/>
      <c r="J753" s="3049"/>
    </row>
    <row r="754" spans="1:10">
      <c r="A754" s="245" t="s">
        <v>2047</v>
      </c>
      <c r="B754" s="228" t="s">
        <v>2047</v>
      </c>
      <c r="C754" s="228" t="s">
        <v>2047</v>
      </c>
      <c r="D754" s="228" t="s">
        <v>2047</v>
      </c>
      <c r="E754" s="228" t="s">
        <v>2047</v>
      </c>
      <c r="F754" s="3046" t="s">
        <v>2047</v>
      </c>
      <c r="G754" s="3047"/>
      <c r="H754" s="3048" t="s">
        <v>3313</v>
      </c>
      <c r="I754" s="3048"/>
      <c r="J754" s="3049"/>
    </row>
    <row r="755" spans="1:10">
      <c r="A755" s="245" t="s">
        <v>2047</v>
      </c>
      <c r="B755" s="228" t="s">
        <v>2047</v>
      </c>
      <c r="C755" s="228" t="s">
        <v>2047</v>
      </c>
      <c r="D755" s="228" t="s">
        <v>2047</v>
      </c>
      <c r="E755" s="228" t="s">
        <v>2047</v>
      </c>
      <c r="F755" s="3046" t="s">
        <v>2047</v>
      </c>
      <c r="G755" s="3047"/>
      <c r="H755" s="3048" t="s">
        <v>3313</v>
      </c>
      <c r="I755" s="3048"/>
      <c r="J755" s="3049"/>
    </row>
    <row r="756" spans="1:10">
      <c r="A756" s="245" t="s">
        <v>2047</v>
      </c>
      <c r="B756" s="228" t="s">
        <v>2047</v>
      </c>
      <c r="C756" s="228" t="s">
        <v>2047</v>
      </c>
      <c r="D756" s="228" t="s">
        <v>2047</v>
      </c>
      <c r="E756" s="228" t="s">
        <v>2047</v>
      </c>
      <c r="F756" s="3046" t="s">
        <v>2047</v>
      </c>
      <c r="G756" s="3047"/>
      <c r="H756" s="3048" t="s">
        <v>3313</v>
      </c>
      <c r="I756" s="3048"/>
      <c r="J756" s="3049"/>
    </row>
    <row r="757" spans="1:10">
      <c r="A757" s="245" t="s">
        <v>2047</v>
      </c>
      <c r="B757" s="228" t="s">
        <v>2047</v>
      </c>
      <c r="C757" s="228" t="s">
        <v>2047</v>
      </c>
      <c r="D757" s="228" t="s">
        <v>2047</v>
      </c>
      <c r="E757" s="228" t="s">
        <v>2047</v>
      </c>
      <c r="F757" s="3046" t="s">
        <v>2047</v>
      </c>
      <c r="G757" s="3047"/>
      <c r="H757" s="3048" t="s">
        <v>3313</v>
      </c>
      <c r="I757" s="3048"/>
      <c r="J757" s="3049"/>
    </row>
    <row r="758" spans="1:10">
      <c r="A758" s="1754" t="s">
        <v>2580</v>
      </c>
      <c r="B758" s="227" t="s">
        <v>2047</v>
      </c>
      <c r="C758" s="227" t="s">
        <v>2047</v>
      </c>
      <c r="D758" s="227" t="s">
        <v>2047</v>
      </c>
      <c r="E758" s="3050" t="s">
        <v>3314</v>
      </c>
      <c r="F758" s="3051"/>
      <c r="G758" s="3052">
        <f>H749</f>
        <v>6000</v>
      </c>
      <c r="H758" s="3052"/>
      <c r="I758" s="3053"/>
      <c r="J758" s="246"/>
    </row>
    <row r="759" spans="1:10">
      <c r="A759" s="247" t="s">
        <v>2047</v>
      </c>
      <c r="B759" s="229" t="s">
        <v>2047</v>
      </c>
      <c r="C759" s="229" t="s">
        <v>2047</v>
      </c>
      <c r="D759" s="229" t="s">
        <v>2047</v>
      </c>
      <c r="E759" s="229" t="s">
        <v>2047</v>
      </c>
      <c r="F759" s="230" t="s">
        <v>3315</v>
      </c>
      <c r="G759" s="231" t="s">
        <v>3316</v>
      </c>
      <c r="H759" s="3054" t="s">
        <v>3317</v>
      </c>
      <c r="I759" s="3054"/>
      <c r="J759" s="3055"/>
    </row>
    <row r="760" spans="1:10">
      <c r="A760" s="3056" t="s">
        <v>3318</v>
      </c>
      <c r="B760" s="3057"/>
      <c r="C760" s="3057"/>
      <c r="D760" s="3057"/>
      <c r="E760" s="3058"/>
      <c r="F760" s="3062" t="s">
        <v>1990</v>
      </c>
      <c r="G760" s="3063"/>
      <c r="H760" s="3066">
        <f>G758</f>
        <v>6000</v>
      </c>
      <c r="I760" s="3067"/>
      <c r="J760" s="3068"/>
    </row>
    <row r="761" spans="1:10">
      <c r="A761" s="3059"/>
      <c r="B761" s="3060"/>
      <c r="C761" s="3060"/>
      <c r="D761" s="3060"/>
      <c r="E761" s="3061"/>
      <c r="F761" s="3064"/>
      <c r="G761" s="3065"/>
      <c r="H761" s="3069"/>
      <c r="I761" s="3070"/>
      <c r="J761" s="3071"/>
    </row>
    <row r="762" spans="1:10">
      <c r="A762" s="3072" t="s">
        <v>3319</v>
      </c>
      <c r="B762" s="3073"/>
      <c r="C762" s="3073"/>
      <c r="D762" s="3073"/>
      <c r="E762" s="3073"/>
      <c r="F762" s="3073"/>
      <c r="G762" s="3073"/>
      <c r="H762" s="3073"/>
      <c r="I762" s="3073"/>
      <c r="J762" s="3074"/>
    </row>
    <row r="763" spans="1:10">
      <c r="A763" s="3075"/>
      <c r="B763" s="3076"/>
      <c r="C763" s="3076"/>
      <c r="D763" s="3076"/>
      <c r="E763" s="3076"/>
      <c r="F763" s="3076"/>
      <c r="G763" s="3076"/>
      <c r="H763" s="3076"/>
      <c r="I763" s="3076"/>
      <c r="J763" s="3077"/>
    </row>
    <row r="765" spans="1:10">
      <c r="A765" s="238" t="s">
        <v>2047</v>
      </c>
      <c r="B765" s="239" t="s">
        <v>2047</v>
      </c>
      <c r="C765" s="3082" t="s">
        <v>3292</v>
      </c>
      <c r="D765" s="3082"/>
      <c r="E765" s="3082"/>
      <c r="F765" s="3083"/>
      <c r="G765" s="239" t="s">
        <v>2047</v>
      </c>
      <c r="H765" s="1755" t="s">
        <v>2047</v>
      </c>
      <c r="I765" s="1755" t="s">
        <v>2047</v>
      </c>
      <c r="J765" s="240" t="s">
        <v>2047</v>
      </c>
    </row>
    <row r="766" spans="1:10" ht="15.6">
      <c r="A766" s="241" t="s">
        <v>2047</v>
      </c>
      <c r="B766" s="223"/>
      <c r="C766" s="3084" t="s">
        <v>2045</v>
      </c>
      <c r="D766" s="3084"/>
      <c r="E766" s="3084"/>
      <c r="F766" s="3085"/>
      <c r="G766" s="1756" t="s">
        <v>2047</v>
      </c>
      <c r="H766" s="3086" t="s">
        <v>3404</v>
      </c>
      <c r="I766" s="3086"/>
      <c r="J766" s="242" t="s">
        <v>2047</v>
      </c>
    </row>
    <row r="767" spans="1:10" ht="17.45">
      <c r="A767" s="241" t="s">
        <v>2047</v>
      </c>
      <c r="B767" s="224"/>
      <c r="C767" s="3088" t="s">
        <v>3294</v>
      </c>
      <c r="D767" s="3088"/>
      <c r="E767" s="3088"/>
      <c r="F767" s="3089"/>
      <c r="G767" s="225" t="s">
        <v>3295</v>
      </c>
      <c r="H767" s="3087"/>
      <c r="I767" s="3087"/>
      <c r="J767" s="242" t="s">
        <v>2047</v>
      </c>
    </row>
    <row r="768" spans="1:10">
      <c r="A768" s="241" t="s">
        <v>2047</v>
      </c>
      <c r="B768" s="224" t="s">
        <v>2047</v>
      </c>
      <c r="C768" s="3090" t="s">
        <v>3296</v>
      </c>
      <c r="D768" s="3090"/>
      <c r="E768" s="3090"/>
      <c r="F768" s="3091"/>
      <c r="G768" s="1756" t="s">
        <v>2047</v>
      </c>
      <c r="H768" s="226" t="s">
        <v>2047</v>
      </c>
      <c r="I768" s="226" t="s">
        <v>2047</v>
      </c>
      <c r="J768" s="243" t="s">
        <v>2047</v>
      </c>
    </row>
    <row r="769" spans="1:10" ht="31.9">
      <c r="A769" s="234" t="s">
        <v>3297</v>
      </c>
      <c r="B769" s="3092" t="s">
        <v>3405</v>
      </c>
      <c r="C769" s="3093"/>
      <c r="D769" s="3093"/>
      <c r="E769" s="3094"/>
      <c r="F769" s="233" t="s">
        <v>3299</v>
      </c>
      <c r="G769" s="232">
        <v>98529299</v>
      </c>
      <c r="H769" s="1757" t="s">
        <v>3301</v>
      </c>
      <c r="I769" s="1757" t="s">
        <v>3302</v>
      </c>
      <c r="J769" s="244" t="s">
        <v>3303</v>
      </c>
    </row>
    <row r="770" spans="1:10">
      <c r="A770" s="3095"/>
      <c r="B770" s="3096"/>
      <c r="C770" s="3096"/>
      <c r="D770" s="3096"/>
      <c r="E770" s="3097"/>
      <c r="F770" s="3105"/>
      <c r="G770" s="3106"/>
      <c r="H770" s="248">
        <v>11</v>
      </c>
      <c r="I770" s="248">
        <v>9</v>
      </c>
      <c r="J770" s="249">
        <v>2021</v>
      </c>
    </row>
    <row r="771" spans="1:10">
      <c r="A771" s="3098" t="s">
        <v>3304</v>
      </c>
      <c r="B771" s="3099"/>
      <c r="C771" s="3099"/>
      <c r="D771" s="3099"/>
      <c r="E771" s="3110"/>
      <c r="F771" s="250" t="s">
        <v>3305</v>
      </c>
      <c r="G771" s="1753" t="s">
        <v>2047</v>
      </c>
      <c r="H771" s="251" t="s">
        <v>3306</v>
      </c>
      <c r="I771" s="252" t="s">
        <v>2047</v>
      </c>
      <c r="J771" s="253" t="s">
        <v>2047</v>
      </c>
    </row>
    <row r="772" spans="1:10">
      <c r="A772" s="3098" t="s">
        <v>3406</v>
      </c>
      <c r="B772" s="3099"/>
      <c r="C772" s="3099"/>
      <c r="D772" s="3099"/>
      <c r="E772" s="3110"/>
      <c r="F772" s="3105" t="s">
        <v>3407</v>
      </c>
      <c r="G772" s="3106"/>
      <c r="H772" s="3105" t="s">
        <v>125</v>
      </c>
      <c r="I772" s="3105"/>
      <c r="J772" s="3107"/>
    </row>
    <row r="773" spans="1:10">
      <c r="A773" s="254" t="s">
        <v>3309</v>
      </c>
      <c r="B773" s="3105" t="s">
        <v>3310</v>
      </c>
      <c r="C773" s="3105"/>
      <c r="D773" s="3105"/>
      <c r="E773" s="3106"/>
      <c r="F773" s="3108" t="s">
        <v>2012</v>
      </c>
      <c r="G773" s="3109"/>
      <c r="H773" s="3105" t="s">
        <v>3311</v>
      </c>
      <c r="I773" s="3105"/>
      <c r="J773" s="3107"/>
    </row>
    <row r="774" spans="1:10">
      <c r="A774" s="255">
        <v>2</v>
      </c>
      <c r="B774" s="3078" t="s">
        <v>3367</v>
      </c>
      <c r="C774" s="3078"/>
      <c r="D774" s="3078"/>
      <c r="E774" s="3078"/>
      <c r="F774" s="3079">
        <v>2250</v>
      </c>
      <c r="G774" s="3080"/>
      <c r="H774" s="3078">
        <f>F774*A774</f>
        <v>4500</v>
      </c>
      <c r="I774" s="3078"/>
      <c r="J774" s="3081"/>
    </row>
    <row r="775" spans="1:10">
      <c r="A775" s="255" t="s">
        <v>2047</v>
      </c>
      <c r="B775" s="3078" t="s">
        <v>2047</v>
      </c>
      <c r="C775" s="3078"/>
      <c r="D775" s="3078"/>
      <c r="E775" s="3078"/>
      <c r="F775" s="3079" t="s">
        <v>2047</v>
      </c>
      <c r="G775" s="3080"/>
      <c r="H775" s="3078" t="s">
        <v>2047</v>
      </c>
      <c r="I775" s="3078"/>
      <c r="J775" s="3081"/>
    </row>
    <row r="776" spans="1:10">
      <c r="A776" s="255" t="s">
        <v>2047</v>
      </c>
      <c r="B776" s="256" t="s">
        <v>2047</v>
      </c>
      <c r="C776" s="256" t="s">
        <v>2047</v>
      </c>
      <c r="D776" s="256" t="s">
        <v>2047</v>
      </c>
      <c r="E776" s="256" t="s">
        <v>2047</v>
      </c>
      <c r="F776" s="3079" t="s">
        <v>2047</v>
      </c>
      <c r="G776" s="3080"/>
      <c r="H776" s="3078" t="s">
        <v>3313</v>
      </c>
      <c r="I776" s="3078"/>
      <c r="J776" s="3081"/>
    </row>
    <row r="777" spans="1:10">
      <c r="A777" s="245" t="s">
        <v>2047</v>
      </c>
      <c r="B777" s="228" t="s">
        <v>2047</v>
      </c>
      <c r="C777" s="228" t="s">
        <v>2047</v>
      </c>
      <c r="D777" s="228" t="s">
        <v>2047</v>
      </c>
      <c r="E777" s="228" t="s">
        <v>2047</v>
      </c>
      <c r="F777" s="3046" t="s">
        <v>2047</v>
      </c>
      <c r="G777" s="3047"/>
      <c r="H777" s="3048" t="s">
        <v>3313</v>
      </c>
      <c r="I777" s="3048"/>
      <c r="J777" s="3049"/>
    </row>
    <row r="778" spans="1:10">
      <c r="A778" s="245" t="s">
        <v>2047</v>
      </c>
      <c r="B778" s="228" t="s">
        <v>2047</v>
      </c>
      <c r="C778" s="228" t="s">
        <v>2047</v>
      </c>
      <c r="D778" s="228" t="s">
        <v>2047</v>
      </c>
      <c r="E778" s="228" t="s">
        <v>2047</v>
      </c>
      <c r="F778" s="3046" t="s">
        <v>2047</v>
      </c>
      <c r="G778" s="3047"/>
      <c r="H778" s="3048" t="s">
        <v>3313</v>
      </c>
      <c r="I778" s="3048"/>
      <c r="J778" s="3049"/>
    </row>
    <row r="779" spans="1:10">
      <c r="A779" s="245" t="s">
        <v>2047</v>
      </c>
      <c r="B779" s="228" t="s">
        <v>2047</v>
      </c>
      <c r="C779" s="228" t="s">
        <v>2047</v>
      </c>
      <c r="D779" s="228" t="s">
        <v>2047</v>
      </c>
      <c r="E779" s="228" t="s">
        <v>2047</v>
      </c>
      <c r="F779" s="3046" t="s">
        <v>2047</v>
      </c>
      <c r="G779" s="3047"/>
      <c r="H779" s="3048" t="s">
        <v>3313</v>
      </c>
      <c r="I779" s="3048"/>
      <c r="J779" s="3049"/>
    </row>
    <row r="780" spans="1:10">
      <c r="A780" s="245" t="s">
        <v>2047</v>
      </c>
      <c r="B780" s="228" t="s">
        <v>2047</v>
      </c>
      <c r="C780" s="228" t="s">
        <v>2047</v>
      </c>
      <c r="D780" s="228" t="s">
        <v>2047</v>
      </c>
      <c r="E780" s="228" t="s">
        <v>2047</v>
      </c>
      <c r="F780" s="3046" t="s">
        <v>2047</v>
      </c>
      <c r="G780" s="3047"/>
      <c r="H780" s="3048" t="s">
        <v>3313</v>
      </c>
      <c r="I780" s="3048"/>
      <c r="J780" s="3049"/>
    </row>
    <row r="781" spans="1:10">
      <c r="A781" s="245" t="s">
        <v>2047</v>
      </c>
      <c r="B781" s="228" t="s">
        <v>2047</v>
      </c>
      <c r="C781" s="228" t="s">
        <v>2047</v>
      </c>
      <c r="D781" s="228" t="s">
        <v>2047</v>
      </c>
      <c r="E781" s="228" t="s">
        <v>2047</v>
      </c>
      <c r="F781" s="3046" t="s">
        <v>2047</v>
      </c>
      <c r="G781" s="3047"/>
      <c r="H781" s="3048" t="s">
        <v>3313</v>
      </c>
      <c r="I781" s="3048"/>
      <c r="J781" s="3049"/>
    </row>
    <row r="782" spans="1:10">
      <c r="A782" s="245" t="s">
        <v>2047</v>
      </c>
      <c r="B782" s="228" t="s">
        <v>2047</v>
      </c>
      <c r="C782" s="228" t="s">
        <v>2047</v>
      </c>
      <c r="D782" s="228" t="s">
        <v>2047</v>
      </c>
      <c r="E782" s="228" t="s">
        <v>2047</v>
      </c>
      <c r="F782" s="3046" t="s">
        <v>2047</v>
      </c>
      <c r="G782" s="3047"/>
      <c r="H782" s="3048" t="s">
        <v>3313</v>
      </c>
      <c r="I782" s="3048"/>
      <c r="J782" s="3049"/>
    </row>
    <row r="783" spans="1:10">
      <c r="A783" s="1754" t="s">
        <v>2580</v>
      </c>
      <c r="B783" s="227" t="s">
        <v>2047</v>
      </c>
      <c r="C783" s="227" t="s">
        <v>2047</v>
      </c>
      <c r="D783" s="227" t="s">
        <v>2047</v>
      </c>
      <c r="E783" s="3050" t="s">
        <v>3314</v>
      </c>
      <c r="F783" s="3051"/>
      <c r="G783" s="3052">
        <f>H774</f>
        <v>4500</v>
      </c>
      <c r="H783" s="3052"/>
      <c r="I783" s="3053"/>
      <c r="J783" s="246"/>
    </row>
    <row r="784" spans="1:10">
      <c r="A784" s="247" t="s">
        <v>2047</v>
      </c>
      <c r="B784" s="229" t="s">
        <v>2047</v>
      </c>
      <c r="C784" s="229" t="s">
        <v>2047</v>
      </c>
      <c r="D784" s="229" t="s">
        <v>2047</v>
      </c>
      <c r="E784" s="229" t="s">
        <v>2047</v>
      </c>
      <c r="F784" s="230" t="s">
        <v>3315</v>
      </c>
      <c r="G784" s="231" t="s">
        <v>3316</v>
      </c>
      <c r="H784" s="3054" t="s">
        <v>3317</v>
      </c>
      <c r="I784" s="3054"/>
      <c r="J784" s="3055"/>
    </row>
    <row r="785" spans="1:10">
      <c r="A785" s="3056" t="s">
        <v>3318</v>
      </c>
      <c r="B785" s="3057"/>
      <c r="C785" s="3057"/>
      <c r="D785" s="3057"/>
      <c r="E785" s="3058"/>
      <c r="F785" s="3062" t="s">
        <v>1990</v>
      </c>
      <c r="G785" s="3063"/>
      <c r="H785" s="3066">
        <f>G783</f>
        <v>4500</v>
      </c>
      <c r="I785" s="3067"/>
      <c r="J785" s="3068"/>
    </row>
    <row r="786" spans="1:10">
      <c r="A786" s="3059"/>
      <c r="B786" s="3060"/>
      <c r="C786" s="3060"/>
      <c r="D786" s="3060"/>
      <c r="E786" s="3061"/>
      <c r="F786" s="3064"/>
      <c r="G786" s="3065"/>
      <c r="H786" s="3069"/>
      <c r="I786" s="3070"/>
      <c r="J786" s="3071"/>
    </row>
    <row r="787" spans="1:10">
      <c r="A787" s="3072" t="s">
        <v>3319</v>
      </c>
      <c r="B787" s="3073"/>
      <c r="C787" s="3073"/>
      <c r="D787" s="3073"/>
      <c r="E787" s="3073"/>
      <c r="F787" s="3073"/>
      <c r="G787" s="3073"/>
      <c r="H787" s="3073"/>
      <c r="I787" s="3073"/>
      <c r="J787" s="3074"/>
    </row>
    <row r="788" spans="1:10">
      <c r="A788" s="3075"/>
      <c r="B788" s="3076"/>
      <c r="C788" s="3076"/>
      <c r="D788" s="3076"/>
      <c r="E788" s="3076"/>
      <c r="F788" s="3076"/>
      <c r="G788" s="3076"/>
      <c r="H788" s="3076"/>
      <c r="I788" s="3076"/>
      <c r="J788" s="3077"/>
    </row>
    <row r="790" spans="1:10">
      <c r="A790" s="238" t="s">
        <v>2047</v>
      </c>
      <c r="B790" s="239" t="s">
        <v>2047</v>
      </c>
      <c r="C790" s="3082" t="s">
        <v>3292</v>
      </c>
      <c r="D790" s="3082"/>
      <c r="E790" s="3082"/>
      <c r="F790" s="3083"/>
      <c r="G790" s="239" t="s">
        <v>2047</v>
      </c>
      <c r="H790" s="1755" t="s">
        <v>2047</v>
      </c>
      <c r="I790" s="1755" t="s">
        <v>2047</v>
      </c>
      <c r="J790" s="240" t="s">
        <v>2047</v>
      </c>
    </row>
    <row r="791" spans="1:10" ht="15.6">
      <c r="A791" s="241" t="s">
        <v>2047</v>
      </c>
      <c r="B791" s="223"/>
      <c r="C791" s="3084" t="s">
        <v>2045</v>
      </c>
      <c r="D791" s="3084"/>
      <c r="E791" s="3084"/>
      <c r="F791" s="3085"/>
      <c r="G791" s="1756" t="s">
        <v>2047</v>
      </c>
      <c r="H791" s="3086" t="s">
        <v>3408</v>
      </c>
      <c r="I791" s="3086"/>
      <c r="J791" s="242" t="s">
        <v>2047</v>
      </c>
    </row>
    <row r="792" spans="1:10" ht="17.45">
      <c r="A792" s="241" t="s">
        <v>2047</v>
      </c>
      <c r="B792" s="224"/>
      <c r="C792" s="3088" t="s">
        <v>3294</v>
      </c>
      <c r="D792" s="3088"/>
      <c r="E792" s="3088"/>
      <c r="F792" s="3089"/>
      <c r="G792" s="225" t="s">
        <v>3295</v>
      </c>
      <c r="H792" s="3087"/>
      <c r="I792" s="3087"/>
      <c r="J792" s="242" t="s">
        <v>2047</v>
      </c>
    </row>
    <row r="793" spans="1:10">
      <c r="A793" s="241" t="s">
        <v>2047</v>
      </c>
      <c r="B793" s="224" t="s">
        <v>2047</v>
      </c>
      <c r="C793" s="3090" t="s">
        <v>3296</v>
      </c>
      <c r="D793" s="3090"/>
      <c r="E793" s="3090"/>
      <c r="F793" s="3091"/>
      <c r="G793" s="1756" t="s">
        <v>2047</v>
      </c>
      <c r="H793" s="226" t="s">
        <v>2047</v>
      </c>
      <c r="I793" s="226" t="s">
        <v>2047</v>
      </c>
      <c r="J793" s="243" t="s">
        <v>2047</v>
      </c>
    </row>
    <row r="794" spans="1:10" ht="31.9">
      <c r="A794" s="234" t="s">
        <v>3297</v>
      </c>
      <c r="B794" s="3092" t="s">
        <v>3405</v>
      </c>
      <c r="C794" s="3093"/>
      <c r="D794" s="3093"/>
      <c r="E794" s="3094"/>
      <c r="F794" s="233" t="s">
        <v>3299</v>
      </c>
      <c r="G794" s="232">
        <v>98529299</v>
      </c>
      <c r="H794" s="1757" t="s">
        <v>3301</v>
      </c>
      <c r="I794" s="1757" t="s">
        <v>3302</v>
      </c>
      <c r="J794" s="244" t="s">
        <v>3303</v>
      </c>
    </row>
    <row r="795" spans="1:10">
      <c r="A795" s="3095"/>
      <c r="B795" s="3096"/>
      <c r="C795" s="3096"/>
      <c r="D795" s="3096"/>
      <c r="E795" s="3097"/>
      <c r="F795" s="3105"/>
      <c r="G795" s="3106"/>
      <c r="H795" s="248">
        <v>15</v>
      </c>
      <c r="I795" s="248">
        <v>9</v>
      </c>
      <c r="J795" s="249">
        <v>2021</v>
      </c>
    </row>
    <row r="796" spans="1:10">
      <c r="A796" s="3098" t="s">
        <v>3304</v>
      </c>
      <c r="B796" s="3099"/>
      <c r="C796" s="3099"/>
      <c r="D796" s="3099"/>
      <c r="E796" s="3110"/>
      <c r="F796" s="250" t="s">
        <v>3305</v>
      </c>
      <c r="G796" s="1753" t="s">
        <v>2047</v>
      </c>
      <c r="H796" s="251" t="s">
        <v>3306</v>
      </c>
      <c r="I796" s="252" t="s">
        <v>2047</v>
      </c>
      <c r="J796" s="253" t="s">
        <v>2047</v>
      </c>
    </row>
    <row r="797" spans="1:10">
      <c r="A797" s="3098" t="s">
        <v>3406</v>
      </c>
      <c r="B797" s="3099"/>
      <c r="C797" s="3099"/>
      <c r="D797" s="3099"/>
      <c r="E797" s="3110"/>
      <c r="F797" s="3105" t="s">
        <v>3407</v>
      </c>
      <c r="G797" s="3106"/>
      <c r="H797" s="3105" t="s">
        <v>125</v>
      </c>
      <c r="I797" s="3105"/>
      <c r="J797" s="3107"/>
    </row>
    <row r="798" spans="1:10">
      <c r="A798" s="254" t="s">
        <v>3309</v>
      </c>
      <c r="B798" s="3105" t="s">
        <v>3310</v>
      </c>
      <c r="C798" s="3105"/>
      <c r="D798" s="3105"/>
      <c r="E798" s="3106"/>
      <c r="F798" s="3108" t="s">
        <v>2012</v>
      </c>
      <c r="G798" s="3109"/>
      <c r="H798" s="3105" t="s">
        <v>3311</v>
      </c>
      <c r="I798" s="3105"/>
      <c r="J798" s="3107"/>
    </row>
    <row r="799" spans="1:10">
      <c r="A799" s="255">
        <v>2</v>
      </c>
      <c r="B799" s="3078" t="s">
        <v>3367</v>
      </c>
      <c r="C799" s="3078"/>
      <c r="D799" s="3078"/>
      <c r="E799" s="3078"/>
      <c r="F799" s="3079">
        <v>2000</v>
      </c>
      <c r="G799" s="3080"/>
      <c r="H799" s="3078">
        <f>F799*A799</f>
        <v>4000</v>
      </c>
      <c r="I799" s="3078"/>
      <c r="J799" s="3081"/>
    </row>
    <row r="800" spans="1:10">
      <c r="A800" s="255" t="s">
        <v>2047</v>
      </c>
      <c r="B800" s="3078" t="s">
        <v>2047</v>
      </c>
      <c r="C800" s="3078"/>
      <c r="D800" s="3078"/>
      <c r="E800" s="3078"/>
      <c r="F800" s="3079" t="s">
        <v>2047</v>
      </c>
      <c r="G800" s="3080"/>
      <c r="H800" s="3078" t="s">
        <v>2047</v>
      </c>
      <c r="I800" s="3078"/>
      <c r="J800" s="3081"/>
    </row>
    <row r="801" spans="1:10">
      <c r="A801" s="255" t="s">
        <v>2047</v>
      </c>
      <c r="B801" s="256" t="s">
        <v>2047</v>
      </c>
      <c r="C801" s="256" t="s">
        <v>2047</v>
      </c>
      <c r="D801" s="256" t="s">
        <v>2047</v>
      </c>
      <c r="E801" s="256" t="s">
        <v>2047</v>
      </c>
      <c r="F801" s="3079" t="s">
        <v>2047</v>
      </c>
      <c r="G801" s="3080"/>
      <c r="H801" s="3078" t="s">
        <v>3313</v>
      </c>
      <c r="I801" s="3078"/>
      <c r="J801" s="3081"/>
    </row>
    <row r="802" spans="1:10">
      <c r="A802" s="245" t="s">
        <v>2047</v>
      </c>
      <c r="B802" s="228" t="s">
        <v>2047</v>
      </c>
      <c r="C802" s="228" t="s">
        <v>2047</v>
      </c>
      <c r="D802" s="228" t="s">
        <v>2047</v>
      </c>
      <c r="E802" s="228" t="s">
        <v>2047</v>
      </c>
      <c r="F802" s="3046" t="s">
        <v>2047</v>
      </c>
      <c r="G802" s="3047"/>
      <c r="H802" s="3048" t="s">
        <v>3313</v>
      </c>
      <c r="I802" s="3048"/>
      <c r="J802" s="3049"/>
    </row>
    <row r="803" spans="1:10">
      <c r="A803" s="245" t="s">
        <v>2047</v>
      </c>
      <c r="B803" s="228" t="s">
        <v>2047</v>
      </c>
      <c r="C803" s="228" t="s">
        <v>2047</v>
      </c>
      <c r="D803" s="228" t="s">
        <v>2047</v>
      </c>
      <c r="E803" s="228" t="s">
        <v>2047</v>
      </c>
      <c r="F803" s="3046" t="s">
        <v>2047</v>
      </c>
      <c r="G803" s="3047"/>
      <c r="H803" s="3048" t="s">
        <v>3313</v>
      </c>
      <c r="I803" s="3048"/>
      <c r="J803" s="3049"/>
    </row>
    <row r="804" spans="1:10">
      <c r="A804" s="245" t="s">
        <v>2047</v>
      </c>
      <c r="B804" s="228" t="s">
        <v>2047</v>
      </c>
      <c r="C804" s="228" t="s">
        <v>2047</v>
      </c>
      <c r="D804" s="228" t="s">
        <v>2047</v>
      </c>
      <c r="E804" s="228" t="s">
        <v>2047</v>
      </c>
      <c r="F804" s="3046" t="s">
        <v>2047</v>
      </c>
      <c r="G804" s="3047"/>
      <c r="H804" s="3048" t="s">
        <v>3313</v>
      </c>
      <c r="I804" s="3048"/>
      <c r="J804" s="3049"/>
    </row>
    <row r="805" spans="1:10">
      <c r="A805" s="245" t="s">
        <v>2047</v>
      </c>
      <c r="B805" s="228" t="s">
        <v>2047</v>
      </c>
      <c r="C805" s="228" t="s">
        <v>2047</v>
      </c>
      <c r="D805" s="228" t="s">
        <v>2047</v>
      </c>
      <c r="E805" s="228" t="s">
        <v>2047</v>
      </c>
      <c r="F805" s="3046" t="s">
        <v>2047</v>
      </c>
      <c r="G805" s="3047"/>
      <c r="H805" s="3048" t="s">
        <v>3313</v>
      </c>
      <c r="I805" s="3048"/>
      <c r="J805" s="3049"/>
    </row>
    <row r="806" spans="1:10">
      <c r="A806" s="245" t="s">
        <v>2047</v>
      </c>
      <c r="B806" s="228" t="s">
        <v>2047</v>
      </c>
      <c r="C806" s="228" t="s">
        <v>2047</v>
      </c>
      <c r="D806" s="228" t="s">
        <v>2047</v>
      </c>
      <c r="E806" s="228" t="s">
        <v>2047</v>
      </c>
      <c r="F806" s="3046" t="s">
        <v>2047</v>
      </c>
      <c r="G806" s="3047"/>
      <c r="H806" s="3048" t="s">
        <v>3313</v>
      </c>
      <c r="I806" s="3048"/>
      <c r="J806" s="3049"/>
    </row>
    <row r="807" spans="1:10">
      <c r="A807" s="245" t="s">
        <v>2047</v>
      </c>
      <c r="B807" s="228" t="s">
        <v>2047</v>
      </c>
      <c r="C807" s="228" t="s">
        <v>2047</v>
      </c>
      <c r="D807" s="228" t="s">
        <v>2047</v>
      </c>
      <c r="E807" s="228" t="s">
        <v>2047</v>
      </c>
      <c r="F807" s="3046" t="s">
        <v>2047</v>
      </c>
      <c r="G807" s="3047"/>
      <c r="H807" s="3048" t="s">
        <v>3313</v>
      </c>
      <c r="I807" s="3048"/>
      <c r="J807" s="3049"/>
    </row>
    <row r="808" spans="1:10">
      <c r="A808" s="1754" t="s">
        <v>2580</v>
      </c>
      <c r="B808" s="227" t="s">
        <v>2047</v>
      </c>
      <c r="C808" s="227" t="s">
        <v>2047</v>
      </c>
      <c r="D808" s="227" t="s">
        <v>2047</v>
      </c>
      <c r="E808" s="3050" t="s">
        <v>3314</v>
      </c>
      <c r="F808" s="3051"/>
      <c r="G808" s="3052">
        <f>H799</f>
        <v>4000</v>
      </c>
      <c r="H808" s="3052"/>
      <c r="I808" s="3053"/>
      <c r="J808" s="246"/>
    </row>
    <row r="809" spans="1:10">
      <c r="A809" s="247" t="s">
        <v>2047</v>
      </c>
      <c r="B809" s="229" t="s">
        <v>2047</v>
      </c>
      <c r="C809" s="229" t="s">
        <v>2047</v>
      </c>
      <c r="D809" s="229" t="s">
        <v>2047</v>
      </c>
      <c r="E809" s="229" t="s">
        <v>2047</v>
      </c>
      <c r="F809" s="230" t="s">
        <v>3315</v>
      </c>
      <c r="G809" s="231" t="s">
        <v>3316</v>
      </c>
      <c r="H809" s="3054" t="s">
        <v>3317</v>
      </c>
      <c r="I809" s="3054"/>
      <c r="J809" s="3055"/>
    </row>
    <row r="810" spans="1:10">
      <c r="A810" s="3056" t="s">
        <v>3318</v>
      </c>
      <c r="B810" s="3057"/>
      <c r="C810" s="3057"/>
      <c r="D810" s="3057"/>
      <c r="E810" s="3058"/>
      <c r="F810" s="3062" t="s">
        <v>1990</v>
      </c>
      <c r="G810" s="3063"/>
      <c r="H810" s="3066">
        <f>G808</f>
        <v>4000</v>
      </c>
      <c r="I810" s="3067"/>
      <c r="J810" s="3068"/>
    </row>
    <row r="811" spans="1:10">
      <c r="A811" s="3059"/>
      <c r="B811" s="3060"/>
      <c r="C811" s="3060"/>
      <c r="D811" s="3060"/>
      <c r="E811" s="3061"/>
      <c r="F811" s="3064"/>
      <c r="G811" s="3065"/>
      <c r="H811" s="3069"/>
      <c r="I811" s="3070"/>
      <c r="J811" s="3071"/>
    </row>
    <row r="812" spans="1:10">
      <c r="A812" s="3072" t="s">
        <v>3319</v>
      </c>
      <c r="B812" s="3073"/>
      <c r="C812" s="3073"/>
      <c r="D812" s="3073"/>
      <c r="E812" s="3073"/>
      <c r="F812" s="3073"/>
      <c r="G812" s="3073"/>
      <c r="H812" s="3073"/>
      <c r="I812" s="3073"/>
      <c r="J812" s="3074"/>
    </row>
    <row r="813" spans="1:10">
      <c r="A813" s="3075"/>
      <c r="B813" s="3076"/>
      <c r="C813" s="3076"/>
      <c r="D813" s="3076"/>
      <c r="E813" s="3076"/>
      <c r="F813" s="3076"/>
      <c r="G813" s="3076"/>
      <c r="H813" s="3076"/>
      <c r="I813" s="3076"/>
      <c r="J813" s="3077"/>
    </row>
    <row r="815" spans="1:10">
      <c r="A815" s="238" t="s">
        <v>2047</v>
      </c>
      <c r="B815" s="239" t="s">
        <v>2047</v>
      </c>
      <c r="C815" s="3082" t="s">
        <v>3292</v>
      </c>
      <c r="D815" s="3082"/>
      <c r="E815" s="3082"/>
      <c r="F815" s="3083"/>
      <c r="G815" s="239" t="s">
        <v>2047</v>
      </c>
      <c r="H815" s="1755" t="s">
        <v>2047</v>
      </c>
      <c r="I815" s="1755" t="s">
        <v>2047</v>
      </c>
      <c r="J815" s="240" t="s">
        <v>2047</v>
      </c>
    </row>
    <row r="816" spans="1:10" ht="15.6">
      <c r="A816" s="241" t="s">
        <v>2047</v>
      </c>
      <c r="B816" s="223"/>
      <c r="C816" s="3084" t="s">
        <v>2045</v>
      </c>
      <c r="D816" s="3084"/>
      <c r="E816" s="3084"/>
      <c r="F816" s="3085"/>
      <c r="G816" s="1756" t="s">
        <v>2047</v>
      </c>
      <c r="H816" s="3086" t="s">
        <v>3409</v>
      </c>
      <c r="I816" s="3086"/>
      <c r="J816" s="242" t="s">
        <v>2047</v>
      </c>
    </row>
    <row r="817" spans="1:10" ht="17.45">
      <c r="A817" s="241" t="s">
        <v>2047</v>
      </c>
      <c r="B817" s="224"/>
      <c r="C817" s="3088" t="s">
        <v>3294</v>
      </c>
      <c r="D817" s="3088"/>
      <c r="E817" s="3088"/>
      <c r="F817" s="3089"/>
      <c r="G817" s="225" t="s">
        <v>3295</v>
      </c>
      <c r="H817" s="3087"/>
      <c r="I817" s="3087"/>
      <c r="J817" s="242" t="s">
        <v>2047</v>
      </c>
    </row>
    <row r="818" spans="1:10">
      <c r="A818" s="241" t="s">
        <v>2047</v>
      </c>
      <c r="B818" s="224" t="s">
        <v>2047</v>
      </c>
      <c r="C818" s="3090" t="s">
        <v>3296</v>
      </c>
      <c r="D818" s="3090"/>
      <c r="E818" s="3090"/>
      <c r="F818" s="3091"/>
      <c r="G818" s="1756" t="s">
        <v>2047</v>
      </c>
      <c r="H818" s="226" t="s">
        <v>2047</v>
      </c>
      <c r="I818" s="226" t="s">
        <v>2047</v>
      </c>
      <c r="J818" s="243" t="s">
        <v>2047</v>
      </c>
    </row>
    <row r="819" spans="1:10" ht="31.9">
      <c r="A819" s="234" t="s">
        <v>3297</v>
      </c>
      <c r="B819" s="3092" t="s">
        <v>3405</v>
      </c>
      <c r="C819" s="3093"/>
      <c r="D819" s="3093"/>
      <c r="E819" s="3094"/>
      <c r="F819" s="233" t="s">
        <v>3299</v>
      </c>
      <c r="G819" s="232">
        <v>98529299</v>
      </c>
      <c r="H819" s="1757" t="s">
        <v>3301</v>
      </c>
      <c r="I819" s="1757" t="s">
        <v>3302</v>
      </c>
      <c r="J819" s="244" t="s">
        <v>3303</v>
      </c>
    </row>
    <row r="820" spans="1:10">
      <c r="A820" s="3095"/>
      <c r="B820" s="3096"/>
      <c r="C820" s="3096"/>
      <c r="D820" s="3096"/>
      <c r="E820" s="3097"/>
      <c r="F820" s="3105"/>
      <c r="G820" s="3106"/>
      <c r="H820" s="248">
        <v>29</v>
      </c>
      <c r="I820" s="248">
        <v>11</v>
      </c>
      <c r="J820" s="249">
        <v>2021</v>
      </c>
    </row>
    <row r="821" spans="1:10">
      <c r="A821" s="3098" t="s">
        <v>3304</v>
      </c>
      <c r="B821" s="3099"/>
      <c r="C821" s="3099"/>
      <c r="D821" s="3099"/>
      <c r="E821" s="3110"/>
      <c r="F821" s="250" t="s">
        <v>3305</v>
      </c>
      <c r="G821" s="1753" t="s">
        <v>2047</v>
      </c>
      <c r="H821" s="251" t="s">
        <v>3306</v>
      </c>
      <c r="I821" s="252" t="s">
        <v>2047</v>
      </c>
      <c r="J821" s="253" t="s">
        <v>2047</v>
      </c>
    </row>
    <row r="822" spans="1:10">
      <c r="A822" s="3098" t="s">
        <v>3406</v>
      </c>
      <c r="B822" s="3099"/>
      <c r="C822" s="3099"/>
      <c r="D822" s="3099"/>
      <c r="E822" s="3110"/>
      <c r="F822" s="3105" t="s">
        <v>3407</v>
      </c>
      <c r="G822" s="3106"/>
      <c r="H822" s="3105" t="s">
        <v>125</v>
      </c>
      <c r="I822" s="3105"/>
      <c r="J822" s="3107"/>
    </row>
    <row r="823" spans="1:10">
      <c r="A823" s="254" t="s">
        <v>3309</v>
      </c>
      <c r="B823" s="3105" t="s">
        <v>3310</v>
      </c>
      <c r="C823" s="3105"/>
      <c r="D823" s="3105"/>
      <c r="E823" s="3106"/>
      <c r="F823" s="3108" t="s">
        <v>2012</v>
      </c>
      <c r="G823" s="3109"/>
      <c r="H823" s="3105" t="s">
        <v>3311</v>
      </c>
      <c r="I823" s="3105"/>
      <c r="J823" s="3107"/>
    </row>
    <row r="824" spans="1:10">
      <c r="A824" s="255">
        <v>2</v>
      </c>
      <c r="B824" s="3078" t="s">
        <v>3367</v>
      </c>
      <c r="C824" s="3078"/>
      <c r="D824" s="3078"/>
      <c r="E824" s="3078"/>
      <c r="F824" s="3079">
        <v>2000</v>
      </c>
      <c r="G824" s="3080"/>
      <c r="H824" s="3078">
        <f>F824*A824</f>
        <v>4000</v>
      </c>
      <c r="I824" s="3078"/>
      <c r="J824" s="3081"/>
    </row>
    <row r="825" spans="1:10">
      <c r="A825" s="255" t="s">
        <v>2047</v>
      </c>
      <c r="B825" s="3078" t="s">
        <v>2047</v>
      </c>
      <c r="C825" s="3078"/>
      <c r="D825" s="3078"/>
      <c r="E825" s="3078"/>
      <c r="F825" s="3079" t="s">
        <v>2047</v>
      </c>
      <c r="G825" s="3080"/>
      <c r="H825" s="3078" t="s">
        <v>2047</v>
      </c>
      <c r="I825" s="3078"/>
      <c r="J825" s="3081"/>
    </row>
    <row r="826" spans="1:10">
      <c r="A826" s="255" t="s">
        <v>2047</v>
      </c>
      <c r="B826" s="256" t="s">
        <v>2047</v>
      </c>
      <c r="C826" s="256" t="s">
        <v>2047</v>
      </c>
      <c r="D826" s="256" t="s">
        <v>2047</v>
      </c>
      <c r="E826" s="256" t="s">
        <v>2047</v>
      </c>
      <c r="F826" s="3079" t="s">
        <v>2047</v>
      </c>
      <c r="G826" s="3080"/>
      <c r="H826" s="3078" t="s">
        <v>3313</v>
      </c>
      <c r="I826" s="3078"/>
      <c r="J826" s="3081"/>
    </row>
    <row r="827" spans="1:10">
      <c r="A827" s="245" t="s">
        <v>2047</v>
      </c>
      <c r="B827" s="228" t="s">
        <v>2047</v>
      </c>
      <c r="C827" s="228" t="s">
        <v>2047</v>
      </c>
      <c r="D827" s="228" t="s">
        <v>2047</v>
      </c>
      <c r="E827" s="228" t="s">
        <v>2047</v>
      </c>
      <c r="F827" s="3046" t="s">
        <v>2047</v>
      </c>
      <c r="G827" s="3047"/>
      <c r="H827" s="3048" t="s">
        <v>3313</v>
      </c>
      <c r="I827" s="3048"/>
      <c r="J827" s="3049"/>
    </row>
    <row r="828" spans="1:10">
      <c r="A828" s="245" t="s">
        <v>2047</v>
      </c>
      <c r="B828" s="228" t="s">
        <v>2047</v>
      </c>
      <c r="C828" s="228" t="s">
        <v>2047</v>
      </c>
      <c r="D828" s="228" t="s">
        <v>2047</v>
      </c>
      <c r="E828" s="228" t="s">
        <v>2047</v>
      </c>
      <c r="F828" s="3046" t="s">
        <v>2047</v>
      </c>
      <c r="G828" s="3047"/>
      <c r="H828" s="3048" t="s">
        <v>3313</v>
      </c>
      <c r="I828" s="3048"/>
      <c r="J828" s="3049"/>
    </row>
    <row r="829" spans="1:10">
      <c r="A829" s="245" t="s">
        <v>2047</v>
      </c>
      <c r="B829" s="228" t="s">
        <v>2047</v>
      </c>
      <c r="C829" s="228" t="s">
        <v>2047</v>
      </c>
      <c r="D829" s="228" t="s">
        <v>2047</v>
      </c>
      <c r="E829" s="228" t="s">
        <v>2047</v>
      </c>
      <c r="F829" s="3046" t="s">
        <v>2047</v>
      </c>
      <c r="G829" s="3047"/>
      <c r="H829" s="3048" t="s">
        <v>3313</v>
      </c>
      <c r="I829" s="3048"/>
      <c r="J829" s="3049"/>
    </row>
    <row r="830" spans="1:10">
      <c r="A830" s="245" t="s">
        <v>2047</v>
      </c>
      <c r="B830" s="228" t="s">
        <v>2047</v>
      </c>
      <c r="C830" s="228" t="s">
        <v>2047</v>
      </c>
      <c r="D830" s="228" t="s">
        <v>2047</v>
      </c>
      <c r="E830" s="228" t="s">
        <v>2047</v>
      </c>
      <c r="F830" s="3046" t="s">
        <v>2047</v>
      </c>
      <c r="G830" s="3047"/>
      <c r="H830" s="3048" t="s">
        <v>3313</v>
      </c>
      <c r="I830" s="3048"/>
      <c r="J830" s="3049"/>
    </row>
    <row r="831" spans="1:10">
      <c r="A831" s="245" t="s">
        <v>2047</v>
      </c>
      <c r="B831" s="228" t="s">
        <v>2047</v>
      </c>
      <c r="C831" s="228" t="s">
        <v>2047</v>
      </c>
      <c r="D831" s="228" t="s">
        <v>2047</v>
      </c>
      <c r="E831" s="228" t="s">
        <v>2047</v>
      </c>
      <c r="F831" s="3046" t="s">
        <v>2047</v>
      </c>
      <c r="G831" s="3047"/>
      <c r="H831" s="3048" t="s">
        <v>3313</v>
      </c>
      <c r="I831" s="3048"/>
      <c r="J831" s="3049"/>
    </row>
    <row r="832" spans="1:10">
      <c r="A832" s="245" t="s">
        <v>2047</v>
      </c>
      <c r="B832" s="228" t="s">
        <v>2047</v>
      </c>
      <c r="C832" s="228" t="s">
        <v>2047</v>
      </c>
      <c r="D832" s="228" t="s">
        <v>2047</v>
      </c>
      <c r="E832" s="228" t="s">
        <v>2047</v>
      </c>
      <c r="F832" s="3046" t="s">
        <v>2047</v>
      </c>
      <c r="G832" s="3047"/>
      <c r="H832" s="3048" t="s">
        <v>3313</v>
      </c>
      <c r="I832" s="3048"/>
      <c r="J832" s="3049"/>
    </row>
    <row r="833" spans="1:10">
      <c r="A833" s="1754" t="s">
        <v>2580</v>
      </c>
      <c r="B833" s="227" t="s">
        <v>2047</v>
      </c>
      <c r="C833" s="227" t="s">
        <v>2047</v>
      </c>
      <c r="D833" s="227" t="s">
        <v>2047</v>
      </c>
      <c r="E833" s="3050" t="s">
        <v>3314</v>
      </c>
      <c r="F833" s="3051"/>
      <c r="G833" s="3052">
        <f>H824</f>
        <v>4000</v>
      </c>
      <c r="H833" s="3052"/>
      <c r="I833" s="3053"/>
      <c r="J833" s="246"/>
    </row>
    <row r="834" spans="1:10">
      <c r="A834" s="247" t="s">
        <v>2047</v>
      </c>
      <c r="B834" s="229" t="s">
        <v>2047</v>
      </c>
      <c r="C834" s="229" t="s">
        <v>2047</v>
      </c>
      <c r="D834" s="229" t="s">
        <v>2047</v>
      </c>
      <c r="E834" s="229" t="s">
        <v>2047</v>
      </c>
      <c r="F834" s="230" t="s">
        <v>3315</v>
      </c>
      <c r="G834" s="231" t="s">
        <v>3316</v>
      </c>
      <c r="H834" s="3054" t="s">
        <v>3317</v>
      </c>
      <c r="I834" s="3054"/>
      <c r="J834" s="3055"/>
    </row>
    <row r="835" spans="1:10">
      <c r="A835" s="3056" t="s">
        <v>3318</v>
      </c>
      <c r="B835" s="3057"/>
      <c r="C835" s="3057"/>
      <c r="D835" s="3057"/>
      <c r="E835" s="3058"/>
      <c r="F835" s="3062" t="s">
        <v>1990</v>
      </c>
      <c r="G835" s="3063"/>
      <c r="H835" s="3066">
        <f>G833</f>
        <v>4000</v>
      </c>
      <c r="I835" s="3067"/>
      <c r="J835" s="3068"/>
    </row>
    <row r="836" spans="1:10">
      <c r="A836" s="3059"/>
      <c r="B836" s="3060"/>
      <c r="C836" s="3060"/>
      <c r="D836" s="3060"/>
      <c r="E836" s="3061"/>
      <c r="F836" s="3064"/>
      <c r="G836" s="3065"/>
      <c r="H836" s="3069"/>
      <c r="I836" s="3070"/>
      <c r="J836" s="3071"/>
    </row>
    <row r="837" spans="1:10">
      <c r="A837" s="3072" t="s">
        <v>3319</v>
      </c>
      <c r="B837" s="3073"/>
      <c r="C837" s="3073"/>
      <c r="D837" s="3073"/>
      <c r="E837" s="3073"/>
      <c r="F837" s="3073"/>
      <c r="G837" s="3073"/>
      <c r="H837" s="3073"/>
      <c r="I837" s="3073"/>
      <c r="J837" s="3074"/>
    </row>
    <row r="838" spans="1:10">
      <c r="A838" s="3075"/>
      <c r="B838" s="3076"/>
      <c r="C838" s="3076"/>
      <c r="D838" s="3076"/>
      <c r="E838" s="3076"/>
      <c r="F838" s="3076"/>
      <c r="G838" s="3076"/>
      <c r="H838" s="3076"/>
      <c r="I838" s="3076"/>
      <c r="J838" s="3077"/>
    </row>
    <row r="840" spans="1:10">
      <c r="A840" s="238" t="s">
        <v>2047</v>
      </c>
      <c r="B840" s="239" t="s">
        <v>2047</v>
      </c>
      <c r="C840" s="3082" t="s">
        <v>3292</v>
      </c>
      <c r="D840" s="3082"/>
      <c r="E840" s="3082"/>
      <c r="F840" s="3083"/>
      <c r="G840" s="239" t="s">
        <v>2047</v>
      </c>
      <c r="H840" s="1755" t="s">
        <v>2047</v>
      </c>
      <c r="I840" s="1755" t="s">
        <v>2047</v>
      </c>
      <c r="J840" s="240" t="s">
        <v>2047</v>
      </c>
    </row>
    <row r="841" spans="1:10" ht="15.6">
      <c r="A841" s="241" t="s">
        <v>2047</v>
      </c>
      <c r="B841" s="223"/>
      <c r="C841" s="3084" t="s">
        <v>2045</v>
      </c>
      <c r="D841" s="3084"/>
      <c r="E841" s="3084"/>
      <c r="F841" s="3085"/>
      <c r="G841" s="1756" t="s">
        <v>2047</v>
      </c>
      <c r="H841" s="3086" t="s">
        <v>3410</v>
      </c>
      <c r="I841" s="3086"/>
      <c r="J841" s="242" t="s">
        <v>2047</v>
      </c>
    </row>
    <row r="842" spans="1:10" ht="17.45">
      <c r="A842" s="241" t="s">
        <v>2047</v>
      </c>
      <c r="B842" s="224"/>
      <c r="C842" s="3088" t="s">
        <v>3294</v>
      </c>
      <c r="D842" s="3088"/>
      <c r="E842" s="3088"/>
      <c r="F842" s="3089"/>
      <c r="G842" s="225" t="s">
        <v>3295</v>
      </c>
      <c r="H842" s="3087"/>
      <c r="I842" s="3087"/>
      <c r="J842" s="242" t="s">
        <v>2047</v>
      </c>
    </row>
    <row r="843" spans="1:10">
      <c r="A843" s="241" t="s">
        <v>2047</v>
      </c>
      <c r="B843" s="224" t="s">
        <v>2047</v>
      </c>
      <c r="C843" s="3090" t="s">
        <v>3296</v>
      </c>
      <c r="D843" s="3090"/>
      <c r="E843" s="3090"/>
      <c r="F843" s="3091"/>
      <c r="G843" s="1756" t="s">
        <v>2047</v>
      </c>
      <c r="H843" s="226" t="s">
        <v>2047</v>
      </c>
      <c r="I843" s="226" t="s">
        <v>2047</v>
      </c>
      <c r="J843" s="243" t="s">
        <v>2047</v>
      </c>
    </row>
    <row r="844" spans="1:10" ht="31.9">
      <c r="A844" s="234" t="s">
        <v>3297</v>
      </c>
      <c r="B844" s="3092" t="s">
        <v>3411</v>
      </c>
      <c r="C844" s="3093"/>
      <c r="D844" s="3093"/>
      <c r="E844" s="3094"/>
      <c r="F844" s="233" t="s">
        <v>3299</v>
      </c>
      <c r="G844" s="232">
        <v>71672110</v>
      </c>
      <c r="H844" s="1757" t="s">
        <v>3301</v>
      </c>
      <c r="I844" s="1757" t="s">
        <v>3302</v>
      </c>
      <c r="J844" s="244" t="s">
        <v>3303</v>
      </c>
    </row>
    <row r="845" spans="1:10">
      <c r="A845" s="3095"/>
      <c r="B845" s="3096"/>
      <c r="C845" s="3096"/>
      <c r="D845" s="3096"/>
      <c r="E845" s="3097"/>
      <c r="F845" s="3105"/>
      <c r="G845" s="3106"/>
      <c r="H845" s="248">
        <v>13</v>
      </c>
      <c r="I845" s="248">
        <v>11</v>
      </c>
      <c r="J845" s="249">
        <v>2021</v>
      </c>
    </row>
    <row r="846" spans="1:10">
      <c r="A846" s="3098" t="s">
        <v>3304</v>
      </c>
      <c r="B846" s="3099"/>
      <c r="C846" s="3099"/>
      <c r="D846" s="3099"/>
      <c r="E846" s="3110"/>
      <c r="F846" s="250" t="s">
        <v>3305</v>
      </c>
      <c r="G846" s="1753" t="s">
        <v>2047</v>
      </c>
      <c r="H846" s="251" t="s">
        <v>3306</v>
      </c>
      <c r="I846" s="252" t="s">
        <v>2047</v>
      </c>
      <c r="J846" s="253" t="s">
        <v>2047</v>
      </c>
    </row>
    <row r="847" spans="1:10">
      <c r="A847" s="3098" t="s">
        <v>3412</v>
      </c>
      <c r="B847" s="3099"/>
      <c r="C847" s="3099"/>
      <c r="D847" s="3099"/>
      <c r="E847" s="3110"/>
      <c r="F847" s="3105">
        <v>4531823</v>
      </c>
      <c r="G847" s="3106"/>
      <c r="H847" s="3105" t="s">
        <v>125</v>
      </c>
      <c r="I847" s="3105"/>
      <c r="J847" s="3107"/>
    </row>
    <row r="848" spans="1:10">
      <c r="A848" s="254" t="s">
        <v>3309</v>
      </c>
      <c r="B848" s="3105" t="s">
        <v>3310</v>
      </c>
      <c r="C848" s="3105"/>
      <c r="D848" s="3105"/>
      <c r="E848" s="3106"/>
      <c r="F848" s="3108" t="s">
        <v>2012</v>
      </c>
      <c r="G848" s="3109"/>
      <c r="H848" s="3105" t="s">
        <v>3311</v>
      </c>
      <c r="I848" s="3105"/>
      <c r="J848" s="3107"/>
    </row>
    <row r="849" spans="1:10">
      <c r="A849" s="255">
        <v>1</v>
      </c>
      <c r="B849" s="3078" t="s">
        <v>3413</v>
      </c>
      <c r="C849" s="3078"/>
      <c r="D849" s="3078"/>
      <c r="E849" s="3078"/>
      <c r="F849" s="3079">
        <v>2000</v>
      </c>
      <c r="G849" s="3080"/>
      <c r="H849" s="3078">
        <f>F849*A849</f>
        <v>2000</v>
      </c>
      <c r="I849" s="3078"/>
      <c r="J849" s="3081"/>
    </row>
    <row r="850" spans="1:10" ht="26.25" customHeight="1">
      <c r="A850" s="255">
        <v>1</v>
      </c>
      <c r="B850" s="3078" t="s">
        <v>3414</v>
      </c>
      <c r="C850" s="3078"/>
      <c r="D850" s="3078"/>
      <c r="E850" s="3078"/>
      <c r="F850" s="3079">
        <v>1800</v>
      </c>
      <c r="G850" s="3080"/>
      <c r="H850" s="3078">
        <f>F850*A850</f>
        <v>1800</v>
      </c>
      <c r="I850" s="3078"/>
      <c r="J850" s="3081"/>
    </row>
    <row r="851" spans="1:10">
      <c r="A851" s="255" t="s">
        <v>2047</v>
      </c>
      <c r="B851" s="256" t="s">
        <v>2047</v>
      </c>
      <c r="C851" s="256" t="s">
        <v>2047</v>
      </c>
      <c r="D851" s="256" t="s">
        <v>2047</v>
      </c>
      <c r="E851" s="256" t="s">
        <v>2047</v>
      </c>
      <c r="F851" s="3079" t="s">
        <v>2047</v>
      </c>
      <c r="G851" s="3080"/>
      <c r="H851" s="3078" t="s">
        <v>3313</v>
      </c>
      <c r="I851" s="3078"/>
      <c r="J851" s="3081"/>
    </row>
    <row r="852" spans="1:10">
      <c r="A852" s="245" t="s">
        <v>2047</v>
      </c>
      <c r="B852" s="228" t="s">
        <v>2047</v>
      </c>
      <c r="C852" s="228" t="s">
        <v>2047</v>
      </c>
      <c r="D852" s="228" t="s">
        <v>2047</v>
      </c>
      <c r="E852" s="228" t="s">
        <v>2047</v>
      </c>
      <c r="F852" s="3046" t="s">
        <v>2047</v>
      </c>
      <c r="G852" s="3047"/>
      <c r="H852" s="3048" t="s">
        <v>3313</v>
      </c>
      <c r="I852" s="3048"/>
      <c r="J852" s="3049"/>
    </row>
    <row r="853" spans="1:10">
      <c r="A853" s="245" t="s">
        <v>2047</v>
      </c>
      <c r="B853" s="228" t="s">
        <v>2047</v>
      </c>
      <c r="C853" s="228" t="s">
        <v>2047</v>
      </c>
      <c r="D853" s="228" t="s">
        <v>2047</v>
      </c>
      <c r="E853" s="228" t="s">
        <v>2047</v>
      </c>
      <c r="F853" s="3046" t="s">
        <v>2047</v>
      </c>
      <c r="G853" s="3047"/>
      <c r="H853" s="3048" t="s">
        <v>3313</v>
      </c>
      <c r="I853" s="3048"/>
      <c r="J853" s="3049"/>
    </row>
    <row r="854" spans="1:10">
      <c r="A854" s="245" t="s">
        <v>2047</v>
      </c>
      <c r="B854" s="228" t="s">
        <v>2047</v>
      </c>
      <c r="C854" s="228" t="s">
        <v>2047</v>
      </c>
      <c r="D854" s="228" t="s">
        <v>2047</v>
      </c>
      <c r="E854" s="228" t="s">
        <v>2047</v>
      </c>
      <c r="F854" s="3046" t="s">
        <v>2047</v>
      </c>
      <c r="G854" s="3047"/>
      <c r="H854" s="3048" t="s">
        <v>3313</v>
      </c>
      <c r="I854" s="3048"/>
      <c r="J854" s="3049"/>
    </row>
    <row r="855" spans="1:10">
      <c r="A855" s="245" t="s">
        <v>2047</v>
      </c>
      <c r="B855" s="228" t="s">
        <v>2047</v>
      </c>
      <c r="C855" s="228" t="s">
        <v>2047</v>
      </c>
      <c r="D855" s="228" t="s">
        <v>2047</v>
      </c>
      <c r="E855" s="228" t="s">
        <v>2047</v>
      </c>
      <c r="F855" s="3046" t="s">
        <v>2047</v>
      </c>
      <c r="G855" s="3047"/>
      <c r="H855" s="3048" t="s">
        <v>3313</v>
      </c>
      <c r="I855" s="3048"/>
      <c r="J855" s="3049"/>
    </row>
    <row r="856" spans="1:10">
      <c r="A856" s="245" t="s">
        <v>2047</v>
      </c>
      <c r="B856" s="228" t="s">
        <v>2047</v>
      </c>
      <c r="C856" s="228" t="s">
        <v>2047</v>
      </c>
      <c r="D856" s="228" t="s">
        <v>2047</v>
      </c>
      <c r="E856" s="228" t="s">
        <v>2047</v>
      </c>
      <c r="F856" s="3046" t="s">
        <v>2047</v>
      </c>
      <c r="G856" s="3047"/>
      <c r="H856" s="3048" t="s">
        <v>3313</v>
      </c>
      <c r="I856" s="3048"/>
      <c r="J856" s="3049"/>
    </row>
    <row r="857" spans="1:10">
      <c r="A857" s="245" t="s">
        <v>2047</v>
      </c>
      <c r="B857" s="228" t="s">
        <v>2047</v>
      </c>
      <c r="C857" s="228" t="s">
        <v>2047</v>
      </c>
      <c r="D857" s="228" t="s">
        <v>2047</v>
      </c>
      <c r="E857" s="228" t="s">
        <v>2047</v>
      </c>
      <c r="F857" s="3046" t="s">
        <v>2047</v>
      </c>
      <c r="G857" s="3047"/>
      <c r="H857" s="3048" t="s">
        <v>3313</v>
      </c>
      <c r="I857" s="3048"/>
      <c r="J857" s="3049"/>
    </row>
    <row r="858" spans="1:10">
      <c r="A858" s="1754" t="s">
        <v>2580</v>
      </c>
      <c r="B858" s="227" t="s">
        <v>2047</v>
      </c>
      <c r="C858" s="227" t="s">
        <v>2047</v>
      </c>
      <c r="D858" s="227" t="s">
        <v>2047</v>
      </c>
      <c r="E858" s="3050" t="s">
        <v>3314</v>
      </c>
      <c r="F858" s="3051"/>
      <c r="G858" s="3052">
        <f>H849+H850</f>
        <v>3800</v>
      </c>
      <c r="H858" s="3052"/>
      <c r="I858" s="3053"/>
      <c r="J858" s="246"/>
    </row>
    <row r="859" spans="1:10">
      <c r="A859" s="247" t="s">
        <v>2047</v>
      </c>
      <c r="B859" s="229" t="s">
        <v>2047</v>
      </c>
      <c r="C859" s="229" t="s">
        <v>2047</v>
      </c>
      <c r="D859" s="229" t="s">
        <v>2047</v>
      </c>
      <c r="E859" s="229" t="s">
        <v>2047</v>
      </c>
      <c r="F859" s="230" t="s">
        <v>3315</v>
      </c>
      <c r="G859" s="231" t="s">
        <v>3316</v>
      </c>
      <c r="H859" s="3054" t="s">
        <v>3317</v>
      </c>
      <c r="I859" s="3054"/>
      <c r="J859" s="3055"/>
    </row>
    <row r="860" spans="1:10">
      <c r="A860" s="3056" t="s">
        <v>3318</v>
      </c>
      <c r="B860" s="3057"/>
      <c r="C860" s="3057"/>
      <c r="D860" s="3057"/>
      <c r="E860" s="3058"/>
      <c r="F860" s="3062" t="s">
        <v>1990</v>
      </c>
      <c r="G860" s="3063"/>
      <c r="H860" s="3066">
        <f>G858</f>
        <v>3800</v>
      </c>
      <c r="I860" s="3067"/>
      <c r="J860" s="3068"/>
    </row>
    <row r="861" spans="1:10">
      <c r="A861" s="3059"/>
      <c r="B861" s="3060"/>
      <c r="C861" s="3060"/>
      <c r="D861" s="3060"/>
      <c r="E861" s="3061"/>
      <c r="F861" s="3064"/>
      <c r="G861" s="3065"/>
      <c r="H861" s="3069"/>
      <c r="I861" s="3070"/>
      <c r="J861" s="3071"/>
    </row>
    <row r="862" spans="1:10">
      <c r="A862" s="3072" t="s">
        <v>3319</v>
      </c>
      <c r="B862" s="3073"/>
      <c r="C862" s="3073"/>
      <c r="D862" s="3073"/>
      <c r="E862" s="3073"/>
      <c r="F862" s="3073"/>
      <c r="G862" s="3073"/>
      <c r="H862" s="3073"/>
      <c r="I862" s="3073"/>
      <c r="J862" s="3074"/>
    </row>
    <row r="863" spans="1:10">
      <c r="A863" s="3075"/>
      <c r="B863" s="3076"/>
      <c r="C863" s="3076"/>
      <c r="D863" s="3076"/>
      <c r="E863" s="3076"/>
      <c r="F863" s="3076"/>
      <c r="G863" s="3076"/>
      <c r="H863" s="3076"/>
      <c r="I863" s="3076"/>
      <c r="J863" s="3077"/>
    </row>
    <row r="865" spans="1:10">
      <c r="A865" s="238" t="s">
        <v>2047</v>
      </c>
      <c r="B865" s="239" t="s">
        <v>2047</v>
      </c>
      <c r="C865" s="3082" t="s">
        <v>3292</v>
      </c>
      <c r="D865" s="3082"/>
      <c r="E865" s="3082"/>
      <c r="F865" s="3083"/>
      <c r="G865" s="239" t="s">
        <v>2047</v>
      </c>
      <c r="H865" s="1755" t="s">
        <v>2047</v>
      </c>
      <c r="I865" s="1755" t="s">
        <v>2047</v>
      </c>
      <c r="J865" s="240" t="s">
        <v>2047</v>
      </c>
    </row>
    <row r="866" spans="1:10" ht="15.6">
      <c r="A866" s="241" t="s">
        <v>2047</v>
      </c>
      <c r="B866" s="223"/>
      <c r="C866" s="3084" t="s">
        <v>2045</v>
      </c>
      <c r="D866" s="3084"/>
      <c r="E866" s="3084"/>
      <c r="F866" s="3085"/>
      <c r="G866" s="1756" t="s">
        <v>2047</v>
      </c>
      <c r="H866" s="3086" t="s">
        <v>3415</v>
      </c>
      <c r="I866" s="3086"/>
      <c r="J866" s="242" t="s">
        <v>2047</v>
      </c>
    </row>
    <row r="867" spans="1:10" ht="17.45">
      <c r="A867" s="241" t="s">
        <v>2047</v>
      </c>
      <c r="B867" s="224"/>
      <c r="C867" s="3088" t="s">
        <v>3294</v>
      </c>
      <c r="D867" s="3088"/>
      <c r="E867" s="3088"/>
      <c r="F867" s="3089"/>
      <c r="G867" s="225" t="s">
        <v>3295</v>
      </c>
      <c r="H867" s="3087"/>
      <c r="I867" s="3087"/>
      <c r="J867" s="242" t="s">
        <v>2047</v>
      </c>
    </row>
    <row r="868" spans="1:10">
      <c r="A868" s="241" t="s">
        <v>2047</v>
      </c>
      <c r="B868" s="224" t="s">
        <v>2047</v>
      </c>
      <c r="C868" s="3090" t="s">
        <v>3296</v>
      </c>
      <c r="D868" s="3090"/>
      <c r="E868" s="3090"/>
      <c r="F868" s="3091"/>
      <c r="G868" s="1756" t="s">
        <v>2047</v>
      </c>
      <c r="H868" s="226" t="s">
        <v>2047</v>
      </c>
      <c r="I868" s="226" t="s">
        <v>2047</v>
      </c>
      <c r="J868" s="243" t="s">
        <v>2047</v>
      </c>
    </row>
    <row r="869" spans="1:10" ht="31.9">
      <c r="A869" s="234" t="s">
        <v>3297</v>
      </c>
      <c r="B869" s="3092" t="s">
        <v>3411</v>
      </c>
      <c r="C869" s="3093"/>
      <c r="D869" s="3093"/>
      <c r="E869" s="3094"/>
      <c r="F869" s="233" t="s">
        <v>3299</v>
      </c>
      <c r="G869" s="232">
        <v>71672110</v>
      </c>
      <c r="H869" s="1757" t="s">
        <v>3301</v>
      </c>
      <c r="I869" s="1757" t="s">
        <v>3302</v>
      </c>
      <c r="J869" s="244" t="s">
        <v>3303</v>
      </c>
    </row>
    <row r="870" spans="1:10">
      <c r="A870" s="3095"/>
      <c r="B870" s="3096"/>
      <c r="C870" s="3096"/>
      <c r="D870" s="3096"/>
      <c r="E870" s="3097"/>
      <c r="F870" s="3105"/>
      <c r="G870" s="3106"/>
      <c r="H870" s="248">
        <v>16</v>
      </c>
      <c r="I870" s="248">
        <v>11</v>
      </c>
      <c r="J870" s="249">
        <v>2021</v>
      </c>
    </row>
    <row r="871" spans="1:10">
      <c r="A871" s="3098" t="s">
        <v>3304</v>
      </c>
      <c r="B871" s="3099"/>
      <c r="C871" s="3099"/>
      <c r="D871" s="3099"/>
      <c r="E871" s="3110"/>
      <c r="F871" s="250" t="s">
        <v>3305</v>
      </c>
      <c r="G871" s="1753" t="s">
        <v>2047</v>
      </c>
      <c r="H871" s="251" t="s">
        <v>3306</v>
      </c>
      <c r="I871" s="252" t="s">
        <v>2047</v>
      </c>
      <c r="J871" s="253" t="s">
        <v>2047</v>
      </c>
    </row>
    <row r="872" spans="1:10">
      <c r="A872" s="3098" t="s">
        <v>3412</v>
      </c>
      <c r="B872" s="3099"/>
      <c r="C872" s="3099"/>
      <c r="D872" s="3099"/>
      <c r="E872" s="3110"/>
      <c r="F872" s="3105">
        <v>4531823</v>
      </c>
      <c r="G872" s="3106"/>
      <c r="H872" s="3105" t="s">
        <v>125</v>
      </c>
      <c r="I872" s="3105"/>
      <c r="J872" s="3107"/>
    </row>
    <row r="873" spans="1:10">
      <c r="A873" s="254" t="s">
        <v>3309</v>
      </c>
      <c r="B873" s="3105" t="s">
        <v>3310</v>
      </c>
      <c r="C873" s="3105"/>
      <c r="D873" s="3105"/>
      <c r="E873" s="3106"/>
      <c r="F873" s="3108" t="s">
        <v>2012</v>
      </c>
      <c r="G873" s="3109"/>
      <c r="H873" s="3105" t="s">
        <v>3311</v>
      </c>
      <c r="I873" s="3105"/>
      <c r="J873" s="3107"/>
    </row>
    <row r="874" spans="1:10">
      <c r="A874" s="255">
        <v>1</v>
      </c>
      <c r="B874" s="3078" t="s">
        <v>3413</v>
      </c>
      <c r="C874" s="3078"/>
      <c r="D874" s="3078"/>
      <c r="E874" s="3078"/>
      <c r="F874" s="3079">
        <v>2000</v>
      </c>
      <c r="G874" s="3080"/>
      <c r="H874" s="3078">
        <f>F874*A874</f>
        <v>2000</v>
      </c>
      <c r="I874" s="3078"/>
      <c r="J874" s="3081"/>
    </row>
    <row r="875" spans="1:10" ht="22.5" customHeight="1">
      <c r="A875" s="255">
        <v>1</v>
      </c>
      <c r="B875" s="3078" t="s">
        <v>3416</v>
      </c>
      <c r="C875" s="3078"/>
      <c r="D875" s="3078"/>
      <c r="E875" s="3078"/>
      <c r="F875" s="3079">
        <v>1800</v>
      </c>
      <c r="G875" s="3080"/>
      <c r="H875" s="3078">
        <f>F875*A875</f>
        <v>1800</v>
      </c>
      <c r="I875" s="3078"/>
      <c r="J875" s="3081"/>
    </row>
    <row r="876" spans="1:10">
      <c r="A876" s="255" t="s">
        <v>2047</v>
      </c>
      <c r="B876" s="256" t="s">
        <v>2047</v>
      </c>
      <c r="C876" s="256" t="s">
        <v>2047</v>
      </c>
      <c r="D876" s="256" t="s">
        <v>2047</v>
      </c>
      <c r="E876" s="256" t="s">
        <v>2047</v>
      </c>
      <c r="F876" s="3079" t="s">
        <v>2047</v>
      </c>
      <c r="G876" s="3080"/>
      <c r="H876" s="3078" t="s">
        <v>3313</v>
      </c>
      <c r="I876" s="3078"/>
      <c r="J876" s="3081"/>
    </row>
    <row r="877" spans="1:10">
      <c r="A877" s="245" t="s">
        <v>2047</v>
      </c>
      <c r="B877" s="228" t="s">
        <v>2047</v>
      </c>
      <c r="C877" s="228" t="s">
        <v>2047</v>
      </c>
      <c r="D877" s="228" t="s">
        <v>2047</v>
      </c>
      <c r="E877" s="228" t="s">
        <v>2047</v>
      </c>
      <c r="F877" s="3046" t="s">
        <v>2047</v>
      </c>
      <c r="G877" s="3047"/>
      <c r="H877" s="3048" t="s">
        <v>3313</v>
      </c>
      <c r="I877" s="3048"/>
      <c r="J877" s="3049"/>
    </row>
    <row r="878" spans="1:10">
      <c r="A878" s="245" t="s">
        <v>2047</v>
      </c>
      <c r="B878" s="228" t="s">
        <v>2047</v>
      </c>
      <c r="C878" s="228" t="s">
        <v>2047</v>
      </c>
      <c r="D878" s="228" t="s">
        <v>2047</v>
      </c>
      <c r="E878" s="228" t="s">
        <v>2047</v>
      </c>
      <c r="F878" s="3046" t="s">
        <v>2047</v>
      </c>
      <c r="G878" s="3047"/>
      <c r="H878" s="3048" t="s">
        <v>3313</v>
      </c>
      <c r="I878" s="3048"/>
      <c r="J878" s="3049"/>
    </row>
    <row r="879" spans="1:10">
      <c r="A879" s="245" t="s">
        <v>2047</v>
      </c>
      <c r="B879" s="228" t="s">
        <v>2047</v>
      </c>
      <c r="C879" s="228" t="s">
        <v>2047</v>
      </c>
      <c r="D879" s="228" t="s">
        <v>2047</v>
      </c>
      <c r="E879" s="228" t="s">
        <v>2047</v>
      </c>
      <c r="F879" s="3046" t="s">
        <v>2047</v>
      </c>
      <c r="G879" s="3047"/>
      <c r="H879" s="3048" t="s">
        <v>3313</v>
      </c>
      <c r="I879" s="3048"/>
      <c r="J879" s="3049"/>
    </row>
    <row r="880" spans="1:10">
      <c r="A880" s="245" t="s">
        <v>2047</v>
      </c>
      <c r="B880" s="228" t="s">
        <v>2047</v>
      </c>
      <c r="C880" s="228" t="s">
        <v>2047</v>
      </c>
      <c r="D880" s="228" t="s">
        <v>2047</v>
      </c>
      <c r="E880" s="228" t="s">
        <v>2047</v>
      </c>
      <c r="F880" s="3046" t="s">
        <v>2047</v>
      </c>
      <c r="G880" s="3047"/>
      <c r="H880" s="3048" t="s">
        <v>3313</v>
      </c>
      <c r="I880" s="3048"/>
      <c r="J880" s="3049"/>
    </row>
    <row r="881" spans="1:10">
      <c r="A881" s="245" t="s">
        <v>2047</v>
      </c>
      <c r="B881" s="228" t="s">
        <v>2047</v>
      </c>
      <c r="C881" s="228" t="s">
        <v>2047</v>
      </c>
      <c r="D881" s="228" t="s">
        <v>2047</v>
      </c>
      <c r="E881" s="228" t="s">
        <v>2047</v>
      </c>
      <c r="F881" s="3046" t="s">
        <v>2047</v>
      </c>
      <c r="G881" s="3047"/>
      <c r="H881" s="3048" t="s">
        <v>3313</v>
      </c>
      <c r="I881" s="3048"/>
      <c r="J881" s="3049"/>
    </row>
    <row r="882" spans="1:10">
      <c r="A882" s="245" t="s">
        <v>2047</v>
      </c>
      <c r="B882" s="228" t="s">
        <v>2047</v>
      </c>
      <c r="C882" s="228" t="s">
        <v>2047</v>
      </c>
      <c r="D882" s="228" t="s">
        <v>2047</v>
      </c>
      <c r="E882" s="228" t="s">
        <v>2047</v>
      </c>
      <c r="F882" s="3046" t="s">
        <v>2047</v>
      </c>
      <c r="G882" s="3047"/>
      <c r="H882" s="3048" t="s">
        <v>3313</v>
      </c>
      <c r="I882" s="3048"/>
      <c r="J882" s="3049"/>
    </row>
    <row r="883" spans="1:10">
      <c r="A883" s="1754" t="s">
        <v>2580</v>
      </c>
      <c r="B883" s="227" t="s">
        <v>2047</v>
      </c>
      <c r="C883" s="227" t="s">
        <v>2047</v>
      </c>
      <c r="D883" s="227" t="s">
        <v>2047</v>
      </c>
      <c r="E883" s="3050" t="s">
        <v>3314</v>
      </c>
      <c r="F883" s="3051"/>
      <c r="G883" s="3052">
        <f>H874+H875</f>
        <v>3800</v>
      </c>
      <c r="H883" s="3052"/>
      <c r="I883" s="3053"/>
      <c r="J883" s="246"/>
    </row>
    <row r="884" spans="1:10">
      <c r="A884" s="247" t="s">
        <v>2047</v>
      </c>
      <c r="B884" s="229" t="s">
        <v>2047</v>
      </c>
      <c r="C884" s="229" t="s">
        <v>2047</v>
      </c>
      <c r="D884" s="229" t="s">
        <v>2047</v>
      </c>
      <c r="E884" s="229" t="s">
        <v>2047</v>
      </c>
      <c r="F884" s="230" t="s">
        <v>3315</v>
      </c>
      <c r="G884" s="231" t="s">
        <v>3316</v>
      </c>
      <c r="H884" s="3054" t="s">
        <v>3317</v>
      </c>
      <c r="I884" s="3054"/>
      <c r="J884" s="3055"/>
    </row>
    <row r="885" spans="1:10">
      <c r="A885" s="3056" t="s">
        <v>3318</v>
      </c>
      <c r="B885" s="3057"/>
      <c r="C885" s="3057"/>
      <c r="D885" s="3057"/>
      <c r="E885" s="3058"/>
      <c r="F885" s="3062" t="s">
        <v>1990</v>
      </c>
      <c r="G885" s="3063"/>
      <c r="H885" s="3066">
        <f>G883</f>
        <v>3800</v>
      </c>
      <c r="I885" s="3067"/>
      <c r="J885" s="3068"/>
    </row>
    <row r="886" spans="1:10">
      <c r="A886" s="3059"/>
      <c r="B886" s="3060"/>
      <c r="C886" s="3060"/>
      <c r="D886" s="3060"/>
      <c r="E886" s="3061"/>
      <c r="F886" s="3064"/>
      <c r="G886" s="3065"/>
      <c r="H886" s="3069"/>
      <c r="I886" s="3070"/>
      <c r="J886" s="3071"/>
    </row>
    <row r="887" spans="1:10">
      <c r="A887" s="3072" t="s">
        <v>3319</v>
      </c>
      <c r="B887" s="3073"/>
      <c r="C887" s="3073"/>
      <c r="D887" s="3073"/>
      <c r="E887" s="3073"/>
      <c r="F887" s="3073"/>
      <c r="G887" s="3073"/>
      <c r="H887" s="3073"/>
      <c r="I887" s="3073"/>
      <c r="J887" s="3074"/>
    </row>
    <row r="888" spans="1:10">
      <c r="A888" s="3075"/>
      <c r="B888" s="3076"/>
      <c r="C888" s="3076"/>
      <c r="D888" s="3076"/>
      <c r="E888" s="3076"/>
      <c r="F888" s="3076"/>
      <c r="G888" s="3076"/>
      <c r="H888" s="3076"/>
      <c r="I888" s="3076"/>
      <c r="J888" s="3077"/>
    </row>
    <row r="890" spans="1:10">
      <c r="A890" s="238" t="s">
        <v>2047</v>
      </c>
      <c r="B890" s="239" t="s">
        <v>2047</v>
      </c>
      <c r="C890" s="3082" t="s">
        <v>3292</v>
      </c>
      <c r="D890" s="3082"/>
      <c r="E890" s="3082"/>
      <c r="F890" s="3083"/>
      <c r="G890" s="239" t="s">
        <v>2047</v>
      </c>
      <c r="H890" s="1755" t="s">
        <v>2047</v>
      </c>
      <c r="I890" s="1755" t="s">
        <v>2047</v>
      </c>
      <c r="J890" s="240" t="s">
        <v>2047</v>
      </c>
    </row>
    <row r="891" spans="1:10" ht="15.6">
      <c r="A891" s="241" t="s">
        <v>2047</v>
      </c>
      <c r="B891" s="223"/>
      <c r="C891" s="3084" t="s">
        <v>2045</v>
      </c>
      <c r="D891" s="3084"/>
      <c r="E891" s="3084"/>
      <c r="F891" s="3085"/>
      <c r="G891" s="1756" t="s">
        <v>2047</v>
      </c>
      <c r="H891" s="3086" t="s">
        <v>3417</v>
      </c>
      <c r="I891" s="3086"/>
      <c r="J891" s="242" t="s">
        <v>2047</v>
      </c>
    </row>
    <row r="892" spans="1:10" ht="17.45">
      <c r="A892" s="241" t="s">
        <v>2047</v>
      </c>
      <c r="B892" s="224"/>
      <c r="C892" s="3088" t="s">
        <v>3294</v>
      </c>
      <c r="D892" s="3088"/>
      <c r="E892" s="3088"/>
      <c r="F892" s="3089"/>
      <c r="G892" s="225" t="s">
        <v>3295</v>
      </c>
      <c r="H892" s="3087"/>
      <c r="I892" s="3087"/>
      <c r="J892" s="242" t="s">
        <v>2047</v>
      </c>
    </row>
    <row r="893" spans="1:10">
      <c r="A893" s="241" t="s">
        <v>2047</v>
      </c>
      <c r="B893" s="224" t="s">
        <v>2047</v>
      </c>
      <c r="C893" s="3090" t="s">
        <v>3296</v>
      </c>
      <c r="D893" s="3090"/>
      <c r="E893" s="3090"/>
      <c r="F893" s="3091"/>
      <c r="G893" s="1756" t="s">
        <v>2047</v>
      </c>
      <c r="H893" s="226" t="s">
        <v>2047</v>
      </c>
      <c r="I893" s="226" t="s">
        <v>2047</v>
      </c>
      <c r="J893" s="243" t="s">
        <v>2047</v>
      </c>
    </row>
    <row r="894" spans="1:10" ht="31.9">
      <c r="A894" s="234" t="s">
        <v>3297</v>
      </c>
      <c r="B894" s="3092" t="s">
        <v>3411</v>
      </c>
      <c r="C894" s="3093"/>
      <c r="D894" s="3093"/>
      <c r="E894" s="3094"/>
      <c r="F894" s="233" t="s">
        <v>3299</v>
      </c>
      <c r="G894" s="232">
        <v>71672110</v>
      </c>
      <c r="H894" s="1757" t="s">
        <v>3301</v>
      </c>
      <c r="I894" s="1757" t="s">
        <v>3302</v>
      </c>
      <c r="J894" s="244" t="s">
        <v>3303</v>
      </c>
    </row>
    <row r="895" spans="1:10">
      <c r="A895" s="3095"/>
      <c r="B895" s="3096"/>
      <c r="C895" s="3096"/>
      <c r="D895" s="3096"/>
      <c r="E895" s="3097"/>
      <c r="F895" s="3105"/>
      <c r="G895" s="3106"/>
      <c r="H895" s="248">
        <v>29</v>
      </c>
      <c r="I895" s="248">
        <v>11</v>
      </c>
      <c r="J895" s="249">
        <v>2021</v>
      </c>
    </row>
    <row r="896" spans="1:10">
      <c r="A896" s="3098" t="s">
        <v>3304</v>
      </c>
      <c r="B896" s="3099"/>
      <c r="C896" s="3099"/>
      <c r="D896" s="3099"/>
      <c r="E896" s="3110"/>
      <c r="F896" s="250" t="s">
        <v>3305</v>
      </c>
      <c r="G896" s="1753" t="s">
        <v>2047</v>
      </c>
      <c r="H896" s="251" t="s">
        <v>3306</v>
      </c>
      <c r="I896" s="252" t="s">
        <v>2047</v>
      </c>
      <c r="J896" s="253" t="s">
        <v>2047</v>
      </c>
    </row>
    <row r="897" spans="1:10">
      <c r="A897" s="3098" t="s">
        <v>3412</v>
      </c>
      <c r="B897" s="3099"/>
      <c r="C897" s="3099"/>
      <c r="D897" s="3099"/>
      <c r="E897" s="3110"/>
      <c r="F897" s="3105">
        <v>4531823</v>
      </c>
      <c r="G897" s="3106"/>
      <c r="H897" s="3105" t="s">
        <v>125</v>
      </c>
      <c r="I897" s="3105"/>
      <c r="J897" s="3107"/>
    </row>
    <row r="898" spans="1:10">
      <c r="A898" s="254" t="s">
        <v>3309</v>
      </c>
      <c r="B898" s="3105" t="s">
        <v>3310</v>
      </c>
      <c r="C898" s="3105"/>
      <c r="D898" s="3105"/>
      <c r="E898" s="3106"/>
      <c r="F898" s="3108" t="s">
        <v>2012</v>
      </c>
      <c r="G898" s="3109"/>
      <c r="H898" s="3105" t="s">
        <v>3311</v>
      </c>
      <c r="I898" s="3105"/>
      <c r="J898" s="3107"/>
    </row>
    <row r="899" spans="1:10" ht="24.75" customHeight="1">
      <c r="A899" s="255">
        <v>2</v>
      </c>
      <c r="B899" s="3078" t="s">
        <v>3414</v>
      </c>
      <c r="C899" s="3078"/>
      <c r="D899" s="3078"/>
      <c r="E899" s="3078"/>
      <c r="F899" s="3079">
        <v>2000</v>
      </c>
      <c r="G899" s="3080"/>
      <c r="H899" s="3078">
        <f>F899*A899</f>
        <v>4000</v>
      </c>
      <c r="I899" s="3078"/>
      <c r="J899" s="3081"/>
    </row>
    <row r="900" spans="1:10">
      <c r="A900" s="255"/>
      <c r="B900" s="3078"/>
      <c r="C900" s="3078"/>
      <c r="D900" s="3078"/>
      <c r="E900" s="3078"/>
      <c r="F900" s="3079"/>
      <c r="G900" s="3080"/>
      <c r="H900" s="3078"/>
      <c r="I900" s="3078"/>
      <c r="J900" s="3081"/>
    </row>
    <row r="901" spans="1:10">
      <c r="A901" s="255" t="s">
        <v>2047</v>
      </c>
      <c r="B901" s="256" t="s">
        <v>2047</v>
      </c>
      <c r="C901" s="256" t="s">
        <v>2047</v>
      </c>
      <c r="D901" s="256" t="s">
        <v>2047</v>
      </c>
      <c r="E901" s="256" t="s">
        <v>2047</v>
      </c>
      <c r="F901" s="3079" t="s">
        <v>2047</v>
      </c>
      <c r="G901" s="3080"/>
      <c r="H901" s="3078" t="s">
        <v>3313</v>
      </c>
      <c r="I901" s="3078"/>
      <c r="J901" s="3081"/>
    </row>
    <row r="902" spans="1:10">
      <c r="A902" s="245" t="s">
        <v>2047</v>
      </c>
      <c r="B902" s="228" t="s">
        <v>2047</v>
      </c>
      <c r="C902" s="228" t="s">
        <v>2047</v>
      </c>
      <c r="D902" s="228" t="s">
        <v>2047</v>
      </c>
      <c r="E902" s="228" t="s">
        <v>2047</v>
      </c>
      <c r="F902" s="3046" t="s">
        <v>2047</v>
      </c>
      <c r="G902" s="3047"/>
      <c r="H902" s="3048" t="s">
        <v>3313</v>
      </c>
      <c r="I902" s="3048"/>
      <c r="J902" s="3049"/>
    </row>
    <row r="903" spans="1:10">
      <c r="A903" s="245" t="s">
        <v>2047</v>
      </c>
      <c r="B903" s="228" t="s">
        <v>2047</v>
      </c>
      <c r="C903" s="228" t="s">
        <v>2047</v>
      </c>
      <c r="D903" s="228" t="s">
        <v>2047</v>
      </c>
      <c r="E903" s="228" t="s">
        <v>2047</v>
      </c>
      <c r="F903" s="3046" t="s">
        <v>2047</v>
      </c>
      <c r="G903" s="3047"/>
      <c r="H903" s="3048" t="s">
        <v>3313</v>
      </c>
      <c r="I903" s="3048"/>
      <c r="J903" s="3049"/>
    </row>
    <row r="904" spans="1:10">
      <c r="A904" s="245" t="s">
        <v>2047</v>
      </c>
      <c r="B904" s="228" t="s">
        <v>2047</v>
      </c>
      <c r="C904" s="228" t="s">
        <v>2047</v>
      </c>
      <c r="D904" s="228" t="s">
        <v>2047</v>
      </c>
      <c r="E904" s="228" t="s">
        <v>2047</v>
      </c>
      <c r="F904" s="3046" t="s">
        <v>2047</v>
      </c>
      <c r="G904" s="3047"/>
      <c r="H904" s="3048" t="s">
        <v>3313</v>
      </c>
      <c r="I904" s="3048"/>
      <c r="J904" s="3049"/>
    </row>
    <row r="905" spans="1:10">
      <c r="A905" s="245" t="s">
        <v>2047</v>
      </c>
      <c r="B905" s="228" t="s">
        <v>2047</v>
      </c>
      <c r="C905" s="228" t="s">
        <v>2047</v>
      </c>
      <c r="D905" s="228" t="s">
        <v>2047</v>
      </c>
      <c r="E905" s="228" t="s">
        <v>2047</v>
      </c>
      <c r="F905" s="3046" t="s">
        <v>2047</v>
      </c>
      <c r="G905" s="3047"/>
      <c r="H905" s="3048" t="s">
        <v>3313</v>
      </c>
      <c r="I905" s="3048"/>
      <c r="J905" s="3049"/>
    </row>
    <row r="906" spans="1:10">
      <c r="A906" s="245" t="s">
        <v>2047</v>
      </c>
      <c r="B906" s="228" t="s">
        <v>2047</v>
      </c>
      <c r="C906" s="228" t="s">
        <v>2047</v>
      </c>
      <c r="D906" s="228" t="s">
        <v>2047</v>
      </c>
      <c r="E906" s="228" t="s">
        <v>2047</v>
      </c>
      <c r="F906" s="3046" t="s">
        <v>2047</v>
      </c>
      <c r="G906" s="3047"/>
      <c r="H906" s="3048" t="s">
        <v>3313</v>
      </c>
      <c r="I906" s="3048"/>
      <c r="J906" s="3049"/>
    </row>
    <row r="907" spans="1:10">
      <c r="A907" s="245" t="s">
        <v>2047</v>
      </c>
      <c r="B907" s="228" t="s">
        <v>2047</v>
      </c>
      <c r="C907" s="228" t="s">
        <v>2047</v>
      </c>
      <c r="D907" s="228" t="s">
        <v>2047</v>
      </c>
      <c r="E907" s="228" t="s">
        <v>2047</v>
      </c>
      <c r="F907" s="3046" t="s">
        <v>2047</v>
      </c>
      <c r="G907" s="3047"/>
      <c r="H907" s="3048" t="s">
        <v>3313</v>
      </c>
      <c r="I907" s="3048"/>
      <c r="J907" s="3049"/>
    </row>
    <row r="908" spans="1:10">
      <c r="A908" s="1754" t="s">
        <v>2580</v>
      </c>
      <c r="B908" s="227" t="s">
        <v>2047</v>
      </c>
      <c r="C908" s="227" t="s">
        <v>2047</v>
      </c>
      <c r="D908" s="227" t="s">
        <v>2047</v>
      </c>
      <c r="E908" s="3050" t="s">
        <v>3314</v>
      </c>
      <c r="F908" s="3051"/>
      <c r="G908" s="3052">
        <f>H899+H900</f>
        <v>4000</v>
      </c>
      <c r="H908" s="3052"/>
      <c r="I908" s="3053"/>
      <c r="J908" s="246"/>
    </row>
    <row r="909" spans="1:10">
      <c r="A909" s="247" t="s">
        <v>2047</v>
      </c>
      <c r="B909" s="229" t="s">
        <v>2047</v>
      </c>
      <c r="C909" s="229" t="s">
        <v>2047</v>
      </c>
      <c r="D909" s="229" t="s">
        <v>2047</v>
      </c>
      <c r="E909" s="229" t="s">
        <v>2047</v>
      </c>
      <c r="F909" s="230" t="s">
        <v>3315</v>
      </c>
      <c r="G909" s="231" t="s">
        <v>3316</v>
      </c>
      <c r="H909" s="3054" t="s">
        <v>3317</v>
      </c>
      <c r="I909" s="3054"/>
      <c r="J909" s="3055"/>
    </row>
    <row r="910" spans="1:10">
      <c r="A910" s="3056" t="s">
        <v>3318</v>
      </c>
      <c r="B910" s="3057"/>
      <c r="C910" s="3057"/>
      <c r="D910" s="3057"/>
      <c r="E910" s="3058"/>
      <c r="F910" s="3062" t="s">
        <v>1990</v>
      </c>
      <c r="G910" s="3063"/>
      <c r="H910" s="3066">
        <f>G908</f>
        <v>4000</v>
      </c>
      <c r="I910" s="3067"/>
      <c r="J910" s="3068"/>
    </row>
    <row r="911" spans="1:10">
      <c r="A911" s="3059"/>
      <c r="B911" s="3060"/>
      <c r="C911" s="3060"/>
      <c r="D911" s="3060"/>
      <c r="E911" s="3061"/>
      <c r="F911" s="3064"/>
      <c r="G911" s="3065"/>
      <c r="H911" s="3069"/>
      <c r="I911" s="3070"/>
      <c r="J911" s="3071"/>
    </row>
    <row r="912" spans="1:10">
      <c r="A912" s="3072" t="s">
        <v>3319</v>
      </c>
      <c r="B912" s="3073"/>
      <c r="C912" s="3073"/>
      <c r="D912" s="3073"/>
      <c r="E912" s="3073"/>
      <c r="F912" s="3073"/>
      <c r="G912" s="3073"/>
      <c r="H912" s="3073"/>
      <c r="I912" s="3073"/>
      <c r="J912" s="3074"/>
    </row>
    <row r="913" spans="1:10">
      <c r="A913" s="3075"/>
      <c r="B913" s="3076"/>
      <c r="C913" s="3076"/>
      <c r="D913" s="3076"/>
      <c r="E913" s="3076"/>
      <c r="F913" s="3076"/>
      <c r="G913" s="3076"/>
      <c r="H913" s="3076"/>
      <c r="I913" s="3076"/>
      <c r="J913" s="3077"/>
    </row>
    <row r="915" spans="1:10">
      <c r="A915" s="238" t="s">
        <v>2047</v>
      </c>
      <c r="B915" s="239" t="s">
        <v>2047</v>
      </c>
      <c r="C915" s="3082" t="s">
        <v>3292</v>
      </c>
      <c r="D915" s="3082"/>
      <c r="E915" s="3082"/>
      <c r="F915" s="3083"/>
      <c r="G915" s="239" t="s">
        <v>2047</v>
      </c>
      <c r="H915" s="1755" t="s">
        <v>2047</v>
      </c>
      <c r="I915" s="1755" t="s">
        <v>2047</v>
      </c>
      <c r="J915" s="240" t="s">
        <v>2047</v>
      </c>
    </row>
    <row r="916" spans="1:10" ht="15.6">
      <c r="A916" s="241" t="s">
        <v>2047</v>
      </c>
      <c r="B916" s="223"/>
      <c r="C916" s="3084" t="s">
        <v>2045</v>
      </c>
      <c r="D916" s="3084"/>
      <c r="E916" s="3084"/>
      <c r="F916" s="3085"/>
      <c r="G916" s="1756" t="s">
        <v>2047</v>
      </c>
      <c r="H916" s="3086" t="s">
        <v>3418</v>
      </c>
      <c r="I916" s="3086"/>
      <c r="J916" s="242" t="s">
        <v>2047</v>
      </c>
    </row>
    <row r="917" spans="1:10" ht="17.45">
      <c r="A917" s="241" t="s">
        <v>2047</v>
      </c>
      <c r="B917" s="224"/>
      <c r="C917" s="3088" t="s">
        <v>3294</v>
      </c>
      <c r="D917" s="3088"/>
      <c r="E917" s="3088"/>
      <c r="F917" s="3089"/>
      <c r="G917" s="225" t="s">
        <v>3295</v>
      </c>
      <c r="H917" s="3087"/>
      <c r="I917" s="3087"/>
      <c r="J917" s="242" t="s">
        <v>2047</v>
      </c>
    </row>
    <row r="918" spans="1:10">
      <c r="A918" s="241" t="s">
        <v>2047</v>
      </c>
      <c r="B918" s="224" t="s">
        <v>2047</v>
      </c>
      <c r="C918" s="3090" t="s">
        <v>3296</v>
      </c>
      <c r="D918" s="3090"/>
      <c r="E918" s="3090"/>
      <c r="F918" s="3091"/>
      <c r="G918" s="1756" t="s">
        <v>2047</v>
      </c>
      <c r="H918" s="226" t="s">
        <v>2047</v>
      </c>
      <c r="I918" s="226" t="s">
        <v>2047</v>
      </c>
      <c r="J918" s="243" t="s">
        <v>2047</v>
      </c>
    </row>
    <row r="919" spans="1:10" ht="31.9">
      <c r="A919" s="234" t="s">
        <v>3297</v>
      </c>
      <c r="B919" s="3092" t="s">
        <v>3419</v>
      </c>
      <c r="C919" s="3093"/>
      <c r="D919" s="3093"/>
      <c r="E919" s="3094"/>
      <c r="F919" s="233" t="s">
        <v>3299</v>
      </c>
      <c r="G919" s="232">
        <v>70720539</v>
      </c>
      <c r="H919" s="1757" t="s">
        <v>3301</v>
      </c>
      <c r="I919" s="1757" t="s">
        <v>3302</v>
      </c>
      <c r="J919" s="244" t="s">
        <v>3303</v>
      </c>
    </row>
    <row r="920" spans="1:10">
      <c r="A920" s="3095"/>
      <c r="B920" s="3096"/>
      <c r="C920" s="3096"/>
      <c r="D920" s="3096"/>
      <c r="E920" s="3097"/>
      <c r="F920" s="3105"/>
      <c r="G920" s="3106"/>
      <c r="H920" s="248">
        <v>30</v>
      </c>
      <c r="I920" s="248">
        <v>8</v>
      </c>
      <c r="J920" s="249">
        <v>2021</v>
      </c>
    </row>
    <row r="921" spans="1:10">
      <c r="A921" s="3098" t="s">
        <v>3304</v>
      </c>
      <c r="B921" s="3099"/>
      <c r="C921" s="3099"/>
      <c r="D921" s="3099"/>
      <c r="E921" s="3110"/>
      <c r="F921" s="250" t="s">
        <v>3305</v>
      </c>
      <c r="G921" s="1753" t="s">
        <v>2047</v>
      </c>
      <c r="H921" s="251" t="s">
        <v>3306</v>
      </c>
      <c r="I921" s="252" t="s">
        <v>2047</v>
      </c>
      <c r="J921" s="253" t="s">
        <v>2047</v>
      </c>
    </row>
    <row r="922" spans="1:10" ht="21.75" customHeight="1">
      <c r="A922" s="3098" t="s">
        <v>3420</v>
      </c>
      <c r="B922" s="3099"/>
      <c r="C922" s="3099"/>
      <c r="D922" s="3099"/>
      <c r="E922" s="3110"/>
      <c r="F922" s="3105" t="s">
        <v>3421</v>
      </c>
      <c r="G922" s="3106"/>
      <c r="H922" s="3105" t="s">
        <v>125</v>
      </c>
      <c r="I922" s="3105"/>
      <c r="J922" s="3107"/>
    </row>
    <row r="923" spans="1:10">
      <c r="A923" s="254" t="s">
        <v>3309</v>
      </c>
      <c r="B923" s="3105" t="s">
        <v>3310</v>
      </c>
      <c r="C923" s="3105"/>
      <c r="D923" s="3105"/>
      <c r="E923" s="3106"/>
      <c r="F923" s="3108" t="s">
        <v>2012</v>
      </c>
      <c r="G923" s="3109"/>
      <c r="H923" s="3105" t="s">
        <v>3311</v>
      </c>
      <c r="I923" s="3105"/>
      <c r="J923" s="3107"/>
    </row>
    <row r="924" spans="1:10">
      <c r="A924" s="255">
        <v>2</v>
      </c>
      <c r="B924" s="3078" t="s">
        <v>3422</v>
      </c>
      <c r="C924" s="3078"/>
      <c r="D924" s="3078"/>
      <c r="E924" s="3078"/>
      <c r="F924" s="3079">
        <v>2500</v>
      </c>
      <c r="G924" s="3080"/>
      <c r="H924" s="3078">
        <f>F924*A924</f>
        <v>5000</v>
      </c>
      <c r="I924" s="3078"/>
      <c r="J924" s="3081"/>
    </row>
    <row r="925" spans="1:10">
      <c r="A925" s="255"/>
      <c r="B925" s="3078"/>
      <c r="C925" s="3078"/>
      <c r="D925" s="3078"/>
      <c r="E925" s="3078"/>
      <c r="F925" s="3079"/>
      <c r="G925" s="3080"/>
      <c r="H925" s="3078"/>
      <c r="I925" s="3078"/>
      <c r="J925" s="3081"/>
    </row>
    <row r="926" spans="1:10">
      <c r="A926" s="255" t="s">
        <v>2047</v>
      </c>
      <c r="B926" s="256" t="s">
        <v>2047</v>
      </c>
      <c r="C926" s="256" t="s">
        <v>2047</v>
      </c>
      <c r="D926" s="256" t="s">
        <v>2047</v>
      </c>
      <c r="E926" s="256" t="s">
        <v>2047</v>
      </c>
      <c r="F926" s="3079" t="s">
        <v>2047</v>
      </c>
      <c r="G926" s="3080"/>
      <c r="H926" s="3078" t="s">
        <v>3313</v>
      </c>
      <c r="I926" s="3078"/>
      <c r="J926" s="3081"/>
    </row>
    <row r="927" spans="1:10">
      <c r="A927" s="245" t="s">
        <v>2047</v>
      </c>
      <c r="B927" s="228" t="s">
        <v>2047</v>
      </c>
      <c r="C927" s="228" t="s">
        <v>2047</v>
      </c>
      <c r="D927" s="228" t="s">
        <v>2047</v>
      </c>
      <c r="E927" s="228" t="s">
        <v>2047</v>
      </c>
      <c r="F927" s="3046" t="s">
        <v>2047</v>
      </c>
      <c r="G927" s="3047"/>
      <c r="H927" s="3048" t="s">
        <v>3313</v>
      </c>
      <c r="I927" s="3048"/>
      <c r="J927" s="3049"/>
    </row>
    <row r="928" spans="1:10">
      <c r="A928" s="245" t="s">
        <v>2047</v>
      </c>
      <c r="B928" s="228" t="s">
        <v>2047</v>
      </c>
      <c r="C928" s="228" t="s">
        <v>2047</v>
      </c>
      <c r="D928" s="228" t="s">
        <v>2047</v>
      </c>
      <c r="E928" s="228" t="s">
        <v>2047</v>
      </c>
      <c r="F928" s="3046" t="s">
        <v>2047</v>
      </c>
      <c r="G928" s="3047"/>
      <c r="H928" s="3048" t="s">
        <v>3313</v>
      </c>
      <c r="I928" s="3048"/>
      <c r="J928" s="3049"/>
    </row>
    <row r="929" spans="1:10">
      <c r="A929" s="245" t="s">
        <v>2047</v>
      </c>
      <c r="B929" s="228" t="s">
        <v>2047</v>
      </c>
      <c r="C929" s="228" t="s">
        <v>2047</v>
      </c>
      <c r="D929" s="228" t="s">
        <v>2047</v>
      </c>
      <c r="E929" s="228" t="s">
        <v>2047</v>
      </c>
      <c r="F929" s="3046" t="s">
        <v>2047</v>
      </c>
      <c r="G929" s="3047"/>
      <c r="H929" s="3048" t="s">
        <v>3313</v>
      </c>
      <c r="I929" s="3048"/>
      <c r="J929" s="3049"/>
    </row>
    <row r="930" spans="1:10">
      <c r="A930" s="245" t="s">
        <v>2047</v>
      </c>
      <c r="B930" s="228" t="s">
        <v>2047</v>
      </c>
      <c r="C930" s="228" t="s">
        <v>2047</v>
      </c>
      <c r="D930" s="228" t="s">
        <v>2047</v>
      </c>
      <c r="E930" s="228" t="s">
        <v>2047</v>
      </c>
      <c r="F930" s="3046" t="s">
        <v>2047</v>
      </c>
      <c r="G930" s="3047"/>
      <c r="H930" s="3048" t="s">
        <v>3313</v>
      </c>
      <c r="I930" s="3048"/>
      <c r="J930" s="3049"/>
    </row>
    <row r="931" spans="1:10">
      <c r="A931" s="245" t="s">
        <v>2047</v>
      </c>
      <c r="B931" s="228" t="s">
        <v>2047</v>
      </c>
      <c r="C931" s="228" t="s">
        <v>2047</v>
      </c>
      <c r="D931" s="228" t="s">
        <v>2047</v>
      </c>
      <c r="E931" s="228" t="s">
        <v>2047</v>
      </c>
      <c r="F931" s="3046" t="s">
        <v>2047</v>
      </c>
      <c r="G931" s="3047"/>
      <c r="H931" s="3048" t="s">
        <v>3313</v>
      </c>
      <c r="I931" s="3048"/>
      <c r="J931" s="3049"/>
    </row>
    <row r="932" spans="1:10">
      <c r="A932" s="245" t="s">
        <v>2047</v>
      </c>
      <c r="B932" s="228" t="s">
        <v>2047</v>
      </c>
      <c r="C932" s="228" t="s">
        <v>2047</v>
      </c>
      <c r="D932" s="228" t="s">
        <v>2047</v>
      </c>
      <c r="E932" s="228" t="s">
        <v>2047</v>
      </c>
      <c r="F932" s="3046" t="s">
        <v>2047</v>
      </c>
      <c r="G932" s="3047"/>
      <c r="H932" s="3048" t="s">
        <v>3313</v>
      </c>
      <c r="I932" s="3048"/>
      <c r="J932" s="3049"/>
    </row>
    <row r="933" spans="1:10">
      <c r="A933" s="1754" t="s">
        <v>2580</v>
      </c>
      <c r="B933" s="227" t="s">
        <v>2047</v>
      </c>
      <c r="C933" s="227" t="s">
        <v>2047</v>
      </c>
      <c r="D933" s="227" t="s">
        <v>2047</v>
      </c>
      <c r="E933" s="3050" t="s">
        <v>3314</v>
      </c>
      <c r="F933" s="3051"/>
      <c r="G933" s="3052">
        <f>H924+H925</f>
        <v>5000</v>
      </c>
      <c r="H933" s="3052"/>
      <c r="I933" s="3053"/>
      <c r="J933" s="246"/>
    </row>
    <row r="934" spans="1:10">
      <c r="A934" s="247" t="s">
        <v>2047</v>
      </c>
      <c r="B934" s="229" t="s">
        <v>2047</v>
      </c>
      <c r="C934" s="229" t="s">
        <v>2047</v>
      </c>
      <c r="D934" s="229" t="s">
        <v>2047</v>
      </c>
      <c r="E934" s="229" t="s">
        <v>2047</v>
      </c>
      <c r="F934" s="230" t="s">
        <v>3315</v>
      </c>
      <c r="G934" s="231" t="s">
        <v>3316</v>
      </c>
      <c r="H934" s="3054" t="s">
        <v>3317</v>
      </c>
      <c r="I934" s="3054"/>
      <c r="J934" s="3055"/>
    </row>
    <row r="935" spans="1:10">
      <c r="A935" s="3056" t="s">
        <v>3318</v>
      </c>
      <c r="B935" s="3057"/>
      <c r="C935" s="3057"/>
      <c r="D935" s="3057"/>
      <c r="E935" s="3058"/>
      <c r="F935" s="3062" t="s">
        <v>1990</v>
      </c>
      <c r="G935" s="3063"/>
      <c r="H935" s="3066">
        <f>G933</f>
        <v>5000</v>
      </c>
      <c r="I935" s="3067"/>
      <c r="J935" s="3068"/>
    </row>
    <row r="936" spans="1:10">
      <c r="A936" s="3059"/>
      <c r="B936" s="3060"/>
      <c r="C936" s="3060"/>
      <c r="D936" s="3060"/>
      <c r="E936" s="3061"/>
      <c r="F936" s="3064"/>
      <c r="G936" s="3065"/>
      <c r="H936" s="3069"/>
      <c r="I936" s="3070"/>
      <c r="J936" s="3071"/>
    </row>
    <row r="937" spans="1:10">
      <c r="A937" s="3072" t="s">
        <v>3319</v>
      </c>
      <c r="B937" s="3073"/>
      <c r="C937" s="3073"/>
      <c r="D937" s="3073"/>
      <c r="E937" s="3073"/>
      <c r="F937" s="3073"/>
      <c r="G937" s="3073"/>
      <c r="H937" s="3073"/>
      <c r="I937" s="3073"/>
      <c r="J937" s="3074"/>
    </row>
    <row r="938" spans="1:10">
      <c r="A938" s="3075"/>
      <c r="B938" s="3076"/>
      <c r="C938" s="3076"/>
      <c r="D938" s="3076"/>
      <c r="E938" s="3076"/>
      <c r="F938" s="3076"/>
      <c r="G938" s="3076"/>
      <c r="H938" s="3076"/>
      <c r="I938" s="3076"/>
      <c r="J938" s="3077"/>
    </row>
    <row r="940" spans="1:10">
      <c r="A940" s="238" t="s">
        <v>2047</v>
      </c>
      <c r="B940" s="239" t="s">
        <v>2047</v>
      </c>
      <c r="C940" s="3082" t="s">
        <v>3292</v>
      </c>
      <c r="D940" s="3082"/>
      <c r="E940" s="3082"/>
      <c r="F940" s="3083"/>
      <c r="G940" s="239" t="s">
        <v>2047</v>
      </c>
      <c r="H940" s="1755" t="s">
        <v>2047</v>
      </c>
      <c r="I940" s="1755" t="s">
        <v>2047</v>
      </c>
      <c r="J940" s="240" t="s">
        <v>2047</v>
      </c>
    </row>
    <row r="941" spans="1:10" ht="15.6">
      <c r="A941" s="241" t="s">
        <v>2047</v>
      </c>
      <c r="B941" s="223"/>
      <c r="C941" s="3084" t="s">
        <v>2045</v>
      </c>
      <c r="D941" s="3084"/>
      <c r="E941" s="3084"/>
      <c r="F941" s="3085"/>
      <c r="G941" s="1756" t="s">
        <v>2047</v>
      </c>
      <c r="H941" s="3086" t="s">
        <v>3423</v>
      </c>
      <c r="I941" s="3086"/>
      <c r="J941" s="242" t="s">
        <v>2047</v>
      </c>
    </row>
    <row r="942" spans="1:10" ht="17.45">
      <c r="A942" s="241" t="s">
        <v>2047</v>
      </c>
      <c r="B942" s="224"/>
      <c r="C942" s="3088" t="s">
        <v>3294</v>
      </c>
      <c r="D942" s="3088"/>
      <c r="E942" s="3088"/>
      <c r="F942" s="3089"/>
      <c r="G942" s="225" t="s">
        <v>3295</v>
      </c>
      <c r="H942" s="3087"/>
      <c r="I942" s="3087"/>
      <c r="J942" s="242" t="s">
        <v>2047</v>
      </c>
    </row>
    <row r="943" spans="1:10">
      <c r="A943" s="241" t="s">
        <v>2047</v>
      </c>
      <c r="B943" s="224" t="s">
        <v>2047</v>
      </c>
      <c r="C943" s="3090" t="s">
        <v>3296</v>
      </c>
      <c r="D943" s="3090"/>
      <c r="E943" s="3090"/>
      <c r="F943" s="3091"/>
      <c r="G943" s="1756" t="s">
        <v>2047</v>
      </c>
      <c r="H943" s="226" t="s">
        <v>2047</v>
      </c>
      <c r="I943" s="226" t="s">
        <v>2047</v>
      </c>
      <c r="J943" s="243" t="s">
        <v>2047</v>
      </c>
    </row>
    <row r="944" spans="1:10" ht="31.9">
      <c r="A944" s="234" t="s">
        <v>3297</v>
      </c>
      <c r="B944" s="3092" t="s">
        <v>3419</v>
      </c>
      <c r="C944" s="3093"/>
      <c r="D944" s="3093"/>
      <c r="E944" s="3094"/>
      <c r="F944" s="233" t="s">
        <v>3299</v>
      </c>
      <c r="G944" s="232">
        <v>70720539</v>
      </c>
      <c r="H944" s="1757" t="s">
        <v>3301</v>
      </c>
      <c r="I944" s="1757" t="s">
        <v>3302</v>
      </c>
      <c r="J944" s="244" t="s">
        <v>3303</v>
      </c>
    </row>
    <row r="945" spans="1:10">
      <c r="A945" s="3095"/>
      <c r="B945" s="3096"/>
      <c r="C945" s="3096"/>
      <c r="D945" s="3096"/>
      <c r="E945" s="3097"/>
      <c r="F945" s="3105"/>
      <c r="G945" s="3106"/>
      <c r="H945" s="248">
        <v>5</v>
      </c>
      <c r="I945" s="248">
        <v>11</v>
      </c>
      <c r="J945" s="249">
        <v>2021</v>
      </c>
    </row>
    <row r="946" spans="1:10">
      <c r="A946" s="3098" t="s">
        <v>3304</v>
      </c>
      <c r="B946" s="3099"/>
      <c r="C946" s="3099"/>
      <c r="D946" s="3099"/>
      <c r="E946" s="3110"/>
      <c r="F946" s="250" t="s">
        <v>3305</v>
      </c>
      <c r="G946" s="1753" t="s">
        <v>2047</v>
      </c>
      <c r="H946" s="251" t="s">
        <v>3306</v>
      </c>
      <c r="I946" s="252" t="s">
        <v>2047</v>
      </c>
      <c r="J946" s="253" t="s">
        <v>2047</v>
      </c>
    </row>
    <row r="947" spans="1:10" ht="20.25" customHeight="1">
      <c r="A947" s="3098" t="s">
        <v>3420</v>
      </c>
      <c r="B947" s="3099"/>
      <c r="C947" s="3099"/>
      <c r="D947" s="3099"/>
      <c r="E947" s="3110"/>
      <c r="F947" s="3105" t="s">
        <v>3421</v>
      </c>
      <c r="G947" s="3106"/>
      <c r="H947" s="3105" t="s">
        <v>125</v>
      </c>
      <c r="I947" s="3105"/>
      <c r="J947" s="3107"/>
    </row>
    <row r="948" spans="1:10">
      <c r="A948" s="254" t="s">
        <v>3309</v>
      </c>
      <c r="B948" s="3105" t="s">
        <v>3310</v>
      </c>
      <c r="C948" s="3105"/>
      <c r="D948" s="3105"/>
      <c r="E948" s="3106"/>
      <c r="F948" s="3108" t="s">
        <v>2012</v>
      </c>
      <c r="G948" s="3109"/>
      <c r="H948" s="3105" t="s">
        <v>3311</v>
      </c>
      <c r="I948" s="3105"/>
      <c r="J948" s="3107"/>
    </row>
    <row r="949" spans="1:10">
      <c r="A949" s="255">
        <v>2</v>
      </c>
      <c r="B949" s="3078" t="s">
        <v>3422</v>
      </c>
      <c r="C949" s="3078"/>
      <c r="D949" s="3078"/>
      <c r="E949" s="3078"/>
      <c r="F949" s="3079">
        <v>2500</v>
      </c>
      <c r="G949" s="3080"/>
      <c r="H949" s="3078">
        <f>F949*A949</f>
        <v>5000</v>
      </c>
      <c r="I949" s="3078"/>
      <c r="J949" s="3081"/>
    </row>
    <row r="950" spans="1:10">
      <c r="A950" s="255"/>
      <c r="B950" s="3078"/>
      <c r="C950" s="3078"/>
      <c r="D950" s="3078"/>
      <c r="E950" s="3078"/>
      <c r="F950" s="3079"/>
      <c r="G950" s="3080"/>
      <c r="H950" s="3078"/>
      <c r="I950" s="3078"/>
      <c r="J950" s="3081"/>
    </row>
    <row r="951" spans="1:10">
      <c r="A951" s="255" t="s">
        <v>2047</v>
      </c>
      <c r="B951" s="256" t="s">
        <v>2047</v>
      </c>
      <c r="C951" s="256" t="s">
        <v>2047</v>
      </c>
      <c r="D951" s="256" t="s">
        <v>2047</v>
      </c>
      <c r="E951" s="256" t="s">
        <v>2047</v>
      </c>
      <c r="F951" s="3079" t="s">
        <v>2047</v>
      </c>
      <c r="G951" s="3080"/>
      <c r="H951" s="3078" t="s">
        <v>3313</v>
      </c>
      <c r="I951" s="3078"/>
      <c r="J951" s="3081"/>
    </row>
    <row r="952" spans="1:10">
      <c r="A952" s="245" t="s">
        <v>2047</v>
      </c>
      <c r="B952" s="228" t="s">
        <v>2047</v>
      </c>
      <c r="C952" s="228" t="s">
        <v>2047</v>
      </c>
      <c r="D952" s="228" t="s">
        <v>2047</v>
      </c>
      <c r="E952" s="228" t="s">
        <v>2047</v>
      </c>
      <c r="F952" s="3046" t="s">
        <v>2047</v>
      </c>
      <c r="G952" s="3047"/>
      <c r="H952" s="3048" t="s">
        <v>3313</v>
      </c>
      <c r="I952" s="3048"/>
      <c r="J952" s="3049"/>
    </row>
    <row r="953" spans="1:10">
      <c r="A953" s="245" t="s">
        <v>2047</v>
      </c>
      <c r="B953" s="228" t="s">
        <v>2047</v>
      </c>
      <c r="C953" s="228" t="s">
        <v>2047</v>
      </c>
      <c r="D953" s="228" t="s">
        <v>2047</v>
      </c>
      <c r="E953" s="228" t="s">
        <v>2047</v>
      </c>
      <c r="F953" s="3046" t="s">
        <v>2047</v>
      </c>
      <c r="G953" s="3047"/>
      <c r="H953" s="3048" t="s">
        <v>3313</v>
      </c>
      <c r="I953" s="3048"/>
      <c r="J953" s="3049"/>
    </row>
    <row r="954" spans="1:10">
      <c r="A954" s="245" t="s">
        <v>2047</v>
      </c>
      <c r="B954" s="228" t="s">
        <v>2047</v>
      </c>
      <c r="C954" s="228" t="s">
        <v>2047</v>
      </c>
      <c r="D954" s="228" t="s">
        <v>2047</v>
      </c>
      <c r="E954" s="228" t="s">
        <v>2047</v>
      </c>
      <c r="F954" s="3046" t="s">
        <v>2047</v>
      </c>
      <c r="G954" s="3047"/>
      <c r="H954" s="3048" t="s">
        <v>3313</v>
      </c>
      <c r="I954" s="3048"/>
      <c r="J954" s="3049"/>
    </row>
    <row r="955" spans="1:10">
      <c r="A955" s="245" t="s">
        <v>2047</v>
      </c>
      <c r="B955" s="228" t="s">
        <v>2047</v>
      </c>
      <c r="C955" s="228" t="s">
        <v>2047</v>
      </c>
      <c r="D955" s="228" t="s">
        <v>2047</v>
      </c>
      <c r="E955" s="228" t="s">
        <v>2047</v>
      </c>
      <c r="F955" s="3046" t="s">
        <v>2047</v>
      </c>
      <c r="G955" s="3047"/>
      <c r="H955" s="3048" t="s">
        <v>3313</v>
      </c>
      <c r="I955" s="3048"/>
      <c r="J955" s="3049"/>
    </row>
    <row r="956" spans="1:10">
      <c r="A956" s="245" t="s">
        <v>2047</v>
      </c>
      <c r="B956" s="228" t="s">
        <v>2047</v>
      </c>
      <c r="C956" s="228" t="s">
        <v>2047</v>
      </c>
      <c r="D956" s="228" t="s">
        <v>2047</v>
      </c>
      <c r="E956" s="228" t="s">
        <v>2047</v>
      </c>
      <c r="F956" s="3046" t="s">
        <v>2047</v>
      </c>
      <c r="G956" s="3047"/>
      <c r="H956" s="3048" t="s">
        <v>3313</v>
      </c>
      <c r="I956" s="3048"/>
      <c r="J956" s="3049"/>
    </row>
    <row r="957" spans="1:10">
      <c r="A957" s="245" t="s">
        <v>2047</v>
      </c>
      <c r="B957" s="228" t="s">
        <v>2047</v>
      </c>
      <c r="C957" s="228" t="s">
        <v>2047</v>
      </c>
      <c r="D957" s="228" t="s">
        <v>2047</v>
      </c>
      <c r="E957" s="228" t="s">
        <v>2047</v>
      </c>
      <c r="F957" s="3046" t="s">
        <v>2047</v>
      </c>
      <c r="G957" s="3047"/>
      <c r="H957" s="3048" t="s">
        <v>3313</v>
      </c>
      <c r="I957" s="3048"/>
      <c r="J957" s="3049"/>
    </row>
    <row r="958" spans="1:10">
      <c r="A958" s="1754" t="s">
        <v>2580</v>
      </c>
      <c r="B958" s="227" t="s">
        <v>2047</v>
      </c>
      <c r="C958" s="227" t="s">
        <v>2047</v>
      </c>
      <c r="D958" s="227" t="s">
        <v>2047</v>
      </c>
      <c r="E958" s="3050" t="s">
        <v>3314</v>
      </c>
      <c r="F958" s="3051"/>
      <c r="G958" s="3052">
        <f>H949+H950</f>
        <v>5000</v>
      </c>
      <c r="H958" s="3052"/>
      <c r="I958" s="3053"/>
      <c r="J958" s="246"/>
    </row>
    <row r="959" spans="1:10">
      <c r="A959" s="247" t="s">
        <v>2047</v>
      </c>
      <c r="B959" s="229" t="s">
        <v>2047</v>
      </c>
      <c r="C959" s="229" t="s">
        <v>2047</v>
      </c>
      <c r="D959" s="229" t="s">
        <v>2047</v>
      </c>
      <c r="E959" s="229" t="s">
        <v>2047</v>
      </c>
      <c r="F959" s="230" t="s">
        <v>3315</v>
      </c>
      <c r="G959" s="231" t="s">
        <v>3316</v>
      </c>
      <c r="H959" s="3054" t="s">
        <v>3317</v>
      </c>
      <c r="I959" s="3054"/>
      <c r="J959" s="3055"/>
    </row>
    <row r="960" spans="1:10">
      <c r="A960" s="3056" t="s">
        <v>3318</v>
      </c>
      <c r="B960" s="3057"/>
      <c r="C960" s="3057"/>
      <c r="D960" s="3057"/>
      <c r="E960" s="3058"/>
      <c r="F960" s="3062" t="s">
        <v>1990</v>
      </c>
      <c r="G960" s="3063"/>
      <c r="H960" s="3066">
        <f>G958</f>
        <v>5000</v>
      </c>
      <c r="I960" s="3067"/>
      <c r="J960" s="3068"/>
    </row>
    <row r="961" spans="1:10">
      <c r="A961" s="3059"/>
      <c r="B961" s="3060"/>
      <c r="C961" s="3060"/>
      <c r="D961" s="3060"/>
      <c r="E961" s="3061"/>
      <c r="F961" s="3064"/>
      <c r="G961" s="3065"/>
      <c r="H961" s="3069"/>
      <c r="I961" s="3070"/>
      <c r="J961" s="3071"/>
    </row>
    <row r="962" spans="1:10">
      <c r="A962" s="3072" t="s">
        <v>3319</v>
      </c>
      <c r="B962" s="3073"/>
      <c r="C962" s="3073"/>
      <c r="D962" s="3073"/>
      <c r="E962" s="3073"/>
      <c r="F962" s="3073"/>
      <c r="G962" s="3073"/>
      <c r="H962" s="3073"/>
      <c r="I962" s="3073"/>
      <c r="J962" s="3074"/>
    </row>
    <row r="963" spans="1:10">
      <c r="A963" s="3075"/>
      <c r="B963" s="3076"/>
      <c r="C963" s="3076"/>
      <c r="D963" s="3076"/>
      <c r="E963" s="3076"/>
      <c r="F963" s="3076"/>
      <c r="G963" s="3076"/>
      <c r="H963" s="3076"/>
      <c r="I963" s="3076"/>
      <c r="J963" s="3077"/>
    </row>
    <row r="965" spans="1:10">
      <c r="A965" s="238" t="s">
        <v>2047</v>
      </c>
      <c r="B965" s="239" t="s">
        <v>2047</v>
      </c>
      <c r="C965" s="3082" t="s">
        <v>3292</v>
      </c>
      <c r="D965" s="3082"/>
      <c r="E965" s="3082"/>
      <c r="F965" s="3083"/>
      <c r="G965" s="239" t="s">
        <v>2047</v>
      </c>
      <c r="H965" s="1755" t="s">
        <v>2047</v>
      </c>
      <c r="I965" s="1755" t="s">
        <v>2047</v>
      </c>
      <c r="J965" s="240" t="s">
        <v>2047</v>
      </c>
    </row>
    <row r="966" spans="1:10" ht="15.6">
      <c r="A966" s="241" t="s">
        <v>2047</v>
      </c>
      <c r="B966" s="223"/>
      <c r="C966" s="3084" t="s">
        <v>2045</v>
      </c>
      <c r="D966" s="3084"/>
      <c r="E966" s="3084"/>
      <c r="F966" s="3085"/>
      <c r="G966" s="1756" t="s">
        <v>2047</v>
      </c>
      <c r="H966" s="3086" t="s">
        <v>3424</v>
      </c>
      <c r="I966" s="3086"/>
      <c r="J966" s="242" t="s">
        <v>2047</v>
      </c>
    </row>
    <row r="967" spans="1:10" ht="17.45">
      <c r="A967" s="241" t="s">
        <v>2047</v>
      </c>
      <c r="B967" s="224"/>
      <c r="C967" s="3088" t="s">
        <v>3294</v>
      </c>
      <c r="D967" s="3088"/>
      <c r="E967" s="3088"/>
      <c r="F967" s="3089"/>
      <c r="G967" s="225" t="s">
        <v>3295</v>
      </c>
      <c r="H967" s="3087"/>
      <c r="I967" s="3087"/>
      <c r="J967" s="242" t="s">
        <v>2047</v>
      </c>
    </row>
    <row r="968" spans="1:10">
      <c r="A968" s="241" t="s">
        <v>2047</v>
      </c>
      <c r="B968" s="224" t="s">
        <v>2047</v>
      </c>
      <c r="C968" s="3090" t="s">
        <v>3296</v>
      </c>
      <c r="D968" s="3090"/>
      <c r="E968" s="3090"/>
      <c r="F968" s="3091"/>
      <c r="G968" s="1756" t="s">
        <v>2047</v>
      </c>
      <c r="H968" s="226"/>
      <c r="I968" s="226" t="s">
        <v>2047</v>
      </c>
      <c r="J968" s="243" t="s">
        <v>2047</v>
      </c>
    </row>
    <row r="969" spans="1:10" ht="31.9">
      <c r="A969" s="234" t="s">
        <v>3297</v>
      </c>
      <c r="B969" s="3092" t="s">
        <v>3419</v>
      </c>
      <c r="C969" s="3093"/>
      <c r="D969" s="3093"/>
      <c r="E969" s="3094"/>
      <c r="F969" s="233" t="s">
        <v>3299</v>
      </c>
      <c r="G969" s="232">
        <v>70720539</v>
      </c>
      <c r="H969" s="1757" t="s">
        <v>3301</v>
      </c>
      <c r="I969" s="1757" t="s">
        <v>3302</v>
      </c>
      <c r="J969" s="244" t="s">
        <v>3303</v>
      </c>
    </row>
    <row r="970" spans="1:10">
      <c r="A970" s="3095"/>
      <c r="B970" s="3096"/>
      <c r="C970" s="3096"/>
      <c r="D970" s="3096"/>
      <c r="E970" s="3097"/>
      <c r="F970" s="3105"/>
      <c r="G970" s="3106"/>
      <c r="H970" s="248">
        <v>6</v>
      </c>
      <c r="I970" s="248">
        <v>11</v>
      </c>
      <c r="J970" s="249">
        <v>2021</v>
      </c>
    </row>
    <row r="971" spans="1:10">
      <c r="A971" s="3098" t="s">
        <v>3304</v>
      </c>
      <c r="B971" s="3099"/>
      <c r="C971" s="3099"/>
      <c r="D971" s="3099"/>
      <c r="E971" s="3110"/>
      <c r="F971" s="250" t="s">
        <v>3305</v>
      </c>
      <c r="G971" s="1753" t="s">
        <v>2047</v>
      </c>
      <c r="H971" s="251" t="s">
        <v>3306</v>
      </c>
      <c r="I971" s="252" t="s">
        <v>2047</v>
      </c>
      <c r="J971" s="253" t="s">
        <v>2047</v>
      </c>
    </row>
    <row r="972" spans="1:10">
      <c r="A972" s="3098" t="s">
        <v>3420</v>
      </c>
      <c r="B972" s="3099"/>
      <c r="C972" s="3099"/>
      <c r="D972" s="3099"/>
      <c r="E972" s="3110"/>
      <c r="F972" s="3105" t="s">
        <v>3421</v>
      </c>
      <c r="G972" s="3106"/>
      <c r="H972" s="3105" t="s">
        <v>125</v>
      </c>
      <c r="I972" s="3105"/>
      <c r="J972" s="3107"/>
    </row>
    <row r="973" spans="1:10">
      <c r="A973" s="254" t="s">
        <v>3309</v>
      </c>
      <c r="B973" s="3105" t="s">
        <v>3310</v>
      </c>
      <c r="C973" s="3105"/>
      <c r="D973" s="3105"/>
      <c r="E973" s="3106"/>
      <c r="F973" s="3108" t="s">
        <v>2012</v>
      </c>
      <c r="G973" s="3109"/>
      <c r="H973" s="3105" t="s">
        <v>3311</v>
      </c>
      <c r="I973" s="3105"/>
      <c r="J973" s="3107"/>
    </row>
    <row r="974" spans="1:10">
      <c r="A974" s="255">
        <v>1</v>
      </c>
      <c r="B974" s="3078" t="s">
        <v>3422</v>
      </c>
      <c r="C974" s="3078"/>
      <c r="D974" s="3078"/>
      <c r="E974" s="3078"/>
      <c r="F974" s="3079">
        <v>2500</v>
      </c>
      <c r="G974" s="3080"/>
      <c r="H974" s="3078">
        <f>F974*A974</f>
        <v>2500</v>
      </c>
      <c r="I974" s="3078"/>
      <c r="J974" s="3081"/>
    </row>
    <row r="975" spans="1:10">
      <c r="A975" s="255"/>
      <c r="B975" s="3078"/>
      <c r="C975" s="3078"/>
      <c r="D975" s="3078"/>
      <c r="E975" s="3078"/>
      <c r="F975" s="3079"/>
      <c r="G975" s="3080"/>
      <c r="H975" s="3078"/>
      <c r="I975" s="3078"/>
      <c r="J975" s="3081"/>
    </row>
    <row r="976" spans="1:10">
      <c r="A976" s="255" t="s">
        <v>2047</v>
      </c>
      <c r="B976" s="256" t="s">
        <v>2047</v>
      </c>
      <c r="C976" s="256" t="s">
        <v>2047</v>
      </c>
      <c r="D976" s="256" t="s">
        <v>2047</v>
      </c>
      <c r="E976" s="256" t="s">
        <v>2047</v>
      </c>
      <c r="F976" s="3079" t="s">
        <v>2047</v>
      </c>
      <c r="G976" s="3080"/>
      <c r="H976" s="3078" t="s">
        <v>3313</v>
      </c>
      <c r="I976" s="3078"/>
      <c r="J976" s="3081"/>
    </row>
    <row r="977" spans="1:10">
      <c r="A977" s="245" t="s">
        <v>2047</v>
      </c>
      <c r="B977" s="228" t="s">
        <v>2047</v>
      </c>
      <c r="C977" s="228" t="s">
        <v>2047</v>
      </c>
      <c r="D977" s="228" t="s">
        <v>2047</v>
      </c>
      <c r="E977" s="228" t="s">
        <v>2047</v>
      </c>
      <c r="F977" s="3046" t="s">
        <v>2047</v>
      </c>
      <c r="G977" s="3047"/>
      <c r="H977" s="3048" t="s">
        <v>3313</v>
      </c>
      <c r="I977" s="3048"/>
      <c r="J977" s="3049"/>
    </row>
    <row r="978" spans="1:10">
      <c r="A978" s="245" t="s">
        <v>2047</v>
      </c>
      <c r="B978" s="228" t="s">
        <v>2047</v>
      </c>
      <c r="C978" s="228" t="s">
        <v>2047</v>
      </c>
      <c r="D978" s="228" t="s">
        <v>2047</v>
      </c>
      <c r="E978" s="228" t="s">
        <v>2047</v>
      </c>
      <c r="F978" s="3046" t="s">
        <v>2047</v>
      </c>
      <c r="G978" s="3047"/>
      <c r="H978" s="3048" t="s">
        <v>3313</v>
      </c>
      <c r="I978" s="3048"/>
      <c r="J978" s="3049"/>
    </row>
    <row r="979" spans="1:10">
      <c r="A979" s="245" t="s">
        <v>2047</v>
      </c>
      <c r="B979" s="228" t="s">
        <v>2047</v>
      </c>
      <c r="C979" s="228" t="s">
        <v>2047</v>
      </c>
      <c r="D979" s="228" t="s">
        <v>2047</v>
      </c>
      <c r="E979" s="228" t="s">
        <v>2047</v>
      </c>
      <c r="F979" s="3046" t="s">
        <v>2047</v>
      </c>
      <c r="G979" s="3047"/>
      <c r="H979" s="3048" t="s">
        <v>3313</v>
      </c>
      <c r="I979" s="3048"/>
      <c r="J979" s="3049"/>
    </row>
    <row r="980" spans="1:10">
      <c r="A980" s="245" t="s">
        <v>2047</v>
      </c>
      <c r="B980" s="228" t="s">
        <v>2047</v>
      </c>
      <c r="C980" s="228" t="s">
        <v>2047</v>
      </c>
      <c r="D980" s="228" t="s">
        <v>2047</v>
      </c>
      <c r="E980" s="228" t="s">
        <v>2047</v>
      </c>
      <c r="F980" s="3046" t="s">
        <v>2047</v>
      </c>
      <c r="G980" s="3047"/>
      <c r="H980" s="3048" t="s">
        <v>3313</v>
      </c>
      <c r="I980" s="3048"/>
      <c r="J980" s="3049"/>
    </row>
    <row r="981" spans="1:10">
      <c r="A981" s="245" t="s">
        <v>2047</v>
      </c>
      <c r="B981" s="228" t="s">
        <v>2047</v>
      </c>
      <c r="C981" s="228" t="s">
        <v>2047</v>
      </c>
      <c r="D981" s="228" t="s">
        <v>2047</v>
      </c>
      <c r="E981" s="228" t="s">
        <v>2047</v>
      </c>
      <c r="F981" s="3046" t="s">
        <v>2047</v>
      </c>
      <c r="G981" s="3047"/>
      <c r="H981" s="3048" t="s">
        <v>3313</v>
      </c>
      <c r="I981" s="3048"/>
      <c r="J981" s="3049"/>
    </row>
    <row r="982" spans="1:10">
      <c r="A982" s="245" t="s">
        <v>2047</v>
      </c>
      <c r="B982" s="228" t="s">
        <v>2047</v>
      </c>
      <c r="C982" s="228" t="s">
        <v>2047</v>
      </c>
      <c r="D982" s="228" t="s">
        <v>2047</v>
      </c>
      <c r="E982" s="228" t="s">
        <v>2047</v>
      </c>
      <c r="F982" s="3046" t="s">
        <v>2047</v>
      </c>
      <c r="G982" s="3047"/>
      <c r="H982" s="3048" t="s">
        <v>3313</v>
      </c>
      <c r="I982" s="3048"/>
      <c r="J982" s="3049"/>
    </row>
    <row r="983" spans="1:10">
      <c r="A983" s="1754" t="s">
        <v>2580</v>
      </c>
      <c r="B983" s="227" t="s">
        <v>2047</v>
      </c>
      <c r="C983" s="227" t="s">
        <v>2047</v>
      </c>
      <c r="D983" s="227" t="s">
        <v>2047</v>
      </c>
      <c r="E983" s="3050" t="s">
        <v>3314</v>
      </c>
      <c r="F983" s="3051"/>
      <c r="G983" s="3052">
        <f>H974+H975</f>
        <v>2500</v>
      </c>
      <c r="H983" s="3052"/>
      <c r="I983" s="3053"/>
      <c r="J983" s="246"/>
    </row>
    <row r="984" spans="1:10">
      <c r="A984" s="247" t="s">
        <v>2047</v>
      </c>
      <c r="B984" s="229" t="s">
        <v>2047</v>
      </c>
      <c r="C984" s="229" t="s">
        <v>2047</v>
      </c>
      <c r="D984" s="229" t="s">
        <v>2047</v>
      </c>
      <c r="E984" s="229" t="s">
        <v>2047</v>
      </c>
      <c r="F984" s="230" t="s">
        <v>3315</v>
      </c>
      <c r="G984" s="231" t="s">
        <v>3316</v>
      </c>
      <c r="H984" s="3054" t="s">
        <v>3317</v>
      </c>
      <c r="I984" s="3054"/>
      <c r="J984" s="3055"/>
    </row>
    <row r="985" spans="1:10">
      <c r="A985" s="3056" t="s">
        <v>3318</v>
      </c>
      <c r="B985" s="3057"/>
      <c r="C985" s="3057"/>
      <c r="D985" s="3057"/>
      <c r="E985" s="3058"/>
      <c r="F985" s="3062" t="s">
        <v>1990</v>
      </c>
      <c r="G985" s="3063"/>
      <c r="H985" s="3066">
        <f>G983</f>
        <v>2500</v>
      </c>
      <c r="I985" s="3067"/>
      <c r="J985" s="3068"/>
    </row>
    <row r="986" spans="1:10">
      <c r="A986" s="3059"/>
      <c r="B986" s="3060"/>
      <c r="C986" s="3060"/>
      <c r="D986" s="3060"/>
      <c r="E986" s="3061"/>
      <c r="F986" s="3064"/>
      <c r="G986" s="3065"/>
      <c r="H986" s="3069"/>
      <c r="I986" s="3070"/>
      <c r="J986" s="3071"/>
    </row>
    <row r="987" spans="1:10">
      <c r="A987" s="3072" t="s">
        <v>3319</v>
      </c>
      <c r="B987" s="3073"/>
      <c r="C987" s="3073"/>
      <c r="D987" s="3073"/>
      <c r="E987" s="3073"/>
      <c r="F987" s="3073"/>
      <c r="G987" s="3073"/>
      <c r="H987" s="3073"/>
      <c r="I987" s="3073"/>
      <c r="J987" s="3074"/>
    </row>
    <row r="988" spans="1:10">
      <c r="A988" s="3075"/>
      <c r="B988" s="3076"/>
      <c r="C988" s="3076"/>
      <c r="D988" s="3076"/>
      <c r="E988" s="3076"/>
      <c r="F988" s="3076"/>
      <c r="G988" s="3076"/>
      <c r="H988" s="3076"/>
      <c r="I988" s="3076"/>
      <c r="J988" s="3077"/>
    </row>
    <row r="990" spans="1:10">
      <c r="A990" s="238" t="s">
        <v>2047</v>
      </c>
      <c r="B990" s="239" t="s">
        <v>2047</v>
      </c>
      <c r="C990" s="3082" t="s">
        <v>3292</v>
      </c>
      <c r="D990" s="3082"/>
      <c r="E990" s="3082"/>
      <c r="F990" s="3083"/>
      <c r="G990" s="239" t="s">
        <v>2047</v>
      </c>
      <c r="H990" s="1755" t="s">
        <v>2047</v>
      </c>
      <c r="I990" s="1755" t="s">
        <v>2047</v>
      </c>
      <c r="J990" s="240" t="s">
        <v>2047</v>
      </c>
    </row>
    <row r="991" spans="1:10" ht="15.6">
      <c r="A991" s="241" t="s">
        <v>2047</v>
      </c>
      <c r="B991" s="223"/>
      <c r="C991" s="3084" t="s">
        <v>2045</v>
      </c>
      <c r="D991" s="3084"/>
      <c r="E991" s="3084"/>
      <c r="F991" s="3085"/>
      <c r="G991" s="1756" t="s">
        <v>2047</v>
      </c>
      <c r="H991" s="3086" t="s">
        <v>3425</v>
      </c>
      <c r="I991" s="3086"/>
      <c r="J991" s="242" t="s">
        <v>2047</v>
      </c>
    </row>
    <row r="992" spans="1:10" ht="17.45">
      <c r="A992" s="241" t="s">
        <v>2047</v>
      </c>
      <c r="B992" s="224"/>
      <c r="C992" s="3088" t="s">
        <v>3294</v>
      </c>
      <c r="D992" s="3088"/>
      <c r="E992" s="3088"/>
      <c r="F992" s="3089"/>
      <c r="G992" s="225" t="s">
        <v>3295</v>
      </c>
      <c r="H992" s="3087"/>
      <c r="I992" s="3087"/>
      <c r="J992" s="242" t="s">
        <v>2047</v>
      </c>
    </row>
    <row r="993" spans="1:10">
      <c r="A993" s="241" t="s">
        <v>2047</v>
      </c>
      <c r="B993" s="224" t="s">
        <v>2047</v>
      </c>
      <c r="C993" s="3090" t="s">
        <v>3296</v>
      </c>
      <c r="D993" s="3090"/>
      <c r="E993" s="3090"/>
      <c r="F993" s="3091"/>
      <c r="G993" s="1756" t="s">
        <v>2047</v>
      </c>
      <c r="H993" s="226"/>
      <c r="I993" s="226" t="s">
        <v>2047</v>
      </c>
      <c r="J993" s="243" t="s">
        <v>2047</v>
      </c>
    </row>
    <row r="994" spans="1:10" ht="31.9">
      <c r="A994" s="234" t="s">
        <v>3297</v>
      </c>
      <c r="B994" s="3092" t="s">
        <v>3426</v>
      </c>
      <c r="C994" s="3093"/>
      <c r="D994" s="3093"/>
      <c r="E994" s="3094"/>
      <c r="F994" s="233" t="s">
        <v>3299</v>
      </c>
      <c r="G994" s="232">
        <v>71270077</v>
      </c>
      <c r="H994" s="1757" t="s">
        <v>3301</v>
      </c>
      <c r="I994" s="1757" t="s">
        <v>3302</v>
      </c>
      <c r="J994" s="244" t="s">
        <v>3303</v>
      </c>
    </row>
    <row r="995" spans="1:10">
      <c r="A995" s="3095"/>
      <c r="B995" s="3096"/>
      <c r="C995" s="3096"/>
      <c r="D995" s="3096"/>
      <c r="E995" s="3097"/>
      <c r="F995" s="3105"/>
      <c r="G995" s="3106"/>
      <c r="H995" s="248">
        <v>30</v>
      </c>
      <c r="I995" s="248">
        <v>8</v>
      </c>
      <c r="J995" s="249">
        <v>2021</v>
      </c>
    </row>
    <row r="996" spans="1:10">
      <c r="A996" s="3098" t="s">
        <v>3304</v>
      </c>
      <c r="B996" s="3099"/>
      <c r="C996" s="3099"/>
      <c r="D996" s="3099"/>
      <c r="E996" s="3110"/>
      <c r="F996" s="250" t="s">
        <v>3305</v>
      </c>
      <c r="G996" s="1753" t="s">
        <v>2047</v>
      </c>
      <c r="H996" s="251" t="s">
        <v>3306</v>
      </c>
      <c r="I996" s="252" t="s">
        <v>2047</v>
      </c>
      <c r="J996" s="253" t="s">
        <v>2047</v>
      </c>
    </row>
    <row r="997" spans="1:10">
      <c r="A997" s="3098" t="s">
        <v>3427</v>
      </c>
      <c r="B997" s="3099"/>
      <c r="C997" s="3099"/>
      <c r="D997" s="3099"/>
      <c r="E997" s="3110"/>
      <c r="F997" s="3105">
        <v>2755591</v>
      </c>
      <c r="G997" s="3106"/>
      <c r="H997" s="3105" t="s">
        <v>125</v>
      </c>
      <c r="I997" s="3105"/>
      <c r="J997" s="3107"/>
    </row>
    <row r="998" spans="1:10">
      <c r="A998" s="254" t="s">
        <v>3309</v>
      </c>
      <c r="B998" s="3105" t="s">
        <v>3310</v>
      </c>
      <c r="C998" s="3105"/>
      <c r="D998" s="3105"/>
      <c r="E998" s="3106"/>
      <c r="F998" s="3108" t="s">
        <v>2012</v>
      </c>
      <c r="G998" s="3109"/>
      <c r="H998" s="3105" t="s">
        <v>3311</v>
      </c>
      <c r="I998" s="3105"/>
      <c r="J998" s="3107"/>
    </row>
    <row r="999" spans="1:10">
      <c r="A999" s="255">
        <v>1</v>
      </c>
      <c r="B999" s="3078" t="s">
        <v>3422</v>
      </c>
      <c r="C999" s="3078"/>
      <c r="D999" s="3078"/>
      <c r="E999" s="3078"/>
      <c r="F999" s="3079">
        <v>1500</v>
      </c>
      <c r="G999" s="3080"/>
      <c r="H999" s="3078">
        <f>F999*A999</f>
        <v>1500</v>
      </c>
      <c r="I999" s="3078"/>
      <c r="J999" s="3081"/>
    </row>
    <row r="1000" spans="1:10">
      <c r="A1000" s="255"/>
      <c r="B1000" s="3078"/>
      <c r="C1000" s="3078"/>
      <c r="D1000" s="3078"/>
      <c r="E1000" s="3078"/>
      <c r="F1000" s="3079"/>
      <c r="G1000" s="3080"/>
      <c r="H1000" s="3078"/>
      <c r="I1000" s="3078"/>
      <c r="J1000" s="3081"/>
    </row>
    <row r="1001" spans="1:10">
      <c r="A1001" s="255" t="s">
        <v>2047</v>
      </c>
      <c r="B1001" s="256" t="s">
        <v>2047</v>
      </c>
      <c r="C1001" s="256" t="s">
        <v>2047</v>
      </c>
      <c r="D1001" s="256" t="s">
        <v>2047</v>
      </c>
      <c r="E1001" s="256" t="s">
        <v>2047</v>
      </c>
      <c r="F1001" s="3079" t="s">
        <v>2047</v>
      </c>
      <c r="G1001" s="3080"/>
      <c r="H1001" s="3078" t="s">
        <v>3313</v>
      </c>
      <c r="I1001" s="3078"/>
      <c r="J1001" s="3081"/>
    </row>
    <row r="1002" spans="1:10">
      <c r="A1002" s="245" t="s">
        <v>2047</v>
      </c>
      <c r="B1002" s="228" t="s">
        <v>2047</v>
      </c>
      <c r="C1002" s="228" t="s">
        <v>2047</v>
      </c>
      <c r="D1002" s="228" t="s">
        <v>2047</v>
      </c>
      <c r="E1002" s="228" t="s">
        <v>2047</v>
      </c>
      <c r="F1002" s="3046" t="s">
        <v>2047</v>
      </c>
      <c r="G1002" s="3047"/>
      <c r="H1002" s="3048" t="s">
        <v>3313</v>
      </c>
      <c r="I1002" s="3048"/>
      <c r="J1002" s="3049"/>
    </row>
    <row r="1003" spans="1:10">
      <c r="A1003" s="245" t="s">
        <v>2047</v>
      </c>
      <c r="B1003" s="228" t="s">
        <v>2047</v>
      </c>
      <c r="C1003" s="228" t="s">
        <v>2047</v>
      </c>
      <c r="D1003" s="228" t="s">
        <v>2047</v>
      </c>
      <c r="E1003" s="228" t="s">
        <v>2047</v>
      </c>
      <c r="F1003" s="3046" t="s">
        <v>2047</v>
      </c>
      <c r="G1003" s="3047"/>
      <c r="H1003" s="3048" t="s">
        <v>3313</v>
      </c>
      <c r="I1003" s="3048"/>
      <c r="J1003" s="3049"/>
    </row>
    <row r="1004" spans="1:10">
      <c r="A1004" s="245" t="s">
        <v>2047</v>
      </c>
      <c r="B1004" s="228" t="s">
        <v>2047</v>
      </c>
      <c r="C1004" s="228" t="s">
        <v>2047</v>
      </c>
      <c r="D1004" s="228" t="s">
        <v>2047</v>
      </c>
      <c r="E1004" s="228" t="s">
        <v>2047</v>
      </c>
      <c r="F1004" s="3046" t="s">
        <v>2047</v>
      </c>
      <c r="G1004" s="3047"/>
      <c r="H1004" s="3048" t="s">
        <v>3313</v>
      </c>
      <c r="I1004" s="3048"/>
      <c r="J1004" s="3049"/>
    </row>
    <row r="1005" spans="1:10">
      <c r="A1005" s="245" t="s">
        <v>2047</v>
      </c>
      <c r="B1005" s="228" t="s">
        <v>2047</v>
      </c>
      <c r="C1005" s="228" t="s">
        <v>2047</v>
      </c>
      <c r="D1005" s="228" t="s">
        <v>2047</v>
      </c>
      <c r="E1005" s="228" t="s">
        <v>2047</v>
      </c>
      <c r="F1005" s="3046" t="s">
        <v>2047</v>
      </c>
      <c r="G1005" s="3047"/>
      <c r="H1005" s="3048" t="s">
        <v>3313</v>
      </c>
      <c r="I1005" s="3048"/>
      <c r="J1005" s="3049"/>
    </row>
    <row r="1006" spans="1:10">
      <c r="A1006" s="245" t="s">
        <v>2047</v>
      </c>
      <c r="B1006" s="228" t="s">
        <v>2047</v>
      </c>
      <c r="C1006" s="228" t="s">
        <v>2047</v>
      </c>
      <c r="D1006" s="228" t="s">
        <v>2047</v>
      </c>
      <c r="E1006" s="228" t="s">
        <v>2047</v>
      </c>
      <c r="F1006" s="3046" t="s">
        <v>2047</v>
      </c>
      <c r="G1006" s="3047"/>
      <c r="H1006" s="3048" t="s">
        <v>3313</v>
      </c>
      <c r="I1006" s="3048"/>
      <c r="J1006" s="3049"/>
    </row>
    <row r="1007" spans="1:10">
      <c r="A1007" s="245" t="s">
        <v>2047</v>
      </c>
      <c r="B1007" s="228" t="s">
        <v>2047</v>
      </c>
      <c r="C1007" s="228" t="s">
        <v>2047</v>
      </c>
      <c r="D1007" s="228" t="s">
        <v>2047</v>
      </c>
      <c r="E1007" s="228" t="s">
        <v>2047</v>
      </c>
      <c r="F1007" s="3046" t="s">
        <v>2047</v>
      </c>
      <c r="G1007" s="3047"/>
      <c r="H1007" s="3048" t="s">
        <v>3313</v>
      </c>
      <c r="I1007" s="3048"/>
      <c r="J1007" s="3049"/>
    </row>
    <row r="1008" spans="1:10">
      <c r="A1008" s="1754" t="s">
        <v>2580</v>
      </c>
      <c r="B1008" s="227" t="s">
        <v>2047</v>
      </c>
      <c r="C1008" s="227" t="s">
        <v>2047</v>
      </c>
      <c r="D1008" s="227" t="s">
        <v>2047</v>
      </c>
      <c r="E1008" s="3050" t="s">
        <v>3314</v>
      </c>
      <c r="F1008" s="3051"/>
      <c r="G1008" s="3052">
        <f>H999+H1000</f>
        <v>1500</v>
      </c>
      <c r="H1008" s="3052"/>
      <c r="I1008" s="3053"/>
      <c r="J1008" s="246"/>
    </row>
    <row r="1009" spans="1:10">
      <c r="A1009" s="247" t="s">
        <v>2047</v>
      </c>
      <c r="B1009" s="229" t="s">
        <v>2047</v>
      </c>
      <c r="C1009" s="229" t="s">
        <v>2047</v>
      </c>
      <c r="D1009" s="229" t="s">
        <v>2047</v>
      </c>
      <c r="E1009" s="229" t="s">
        <v>2047</v>
      </c>
      <c r="F1009" s="230" t="s">
        <v>3315</v>
      </c>
      <c r="G1009" s="231" t="s">
        <v>3316</v>
      </c>
      <c r="H1009" s="3054" t="s">
        <v>3317</v>
      </c>
      <c r="I1009" s="3054"/>
      <c r="J1009" s="3055"/>
    </row>
    <row r="1010" spans="1:10">
      <c r="A1010" s="3056" t="s">
        <v>3318</v>
      </c>
      <c r="B1010" s="3057"/>
      <c r="C1010" s="3057"/>
      <c r="D1010" s="3057"/>
      <c r="E1010" s="3058"/>
      <c r="F1010" s="3062" t="s">
        <v>1990</v>
      </c>
      <c r="G1010" s="3063"/>
      <c r="H1010" s="3066">
        <f>G1008</f>
        <v>1500</v>
      </c>
      <c r="I1010" s="3067"/>
      <c r="J1010" s="3068"/>
    </row>
    <row r="1011" spans="1:10">
      <c r="A1011" s="3059"/>
      <c r="B1011" s="3060"/>
      <c r="C1011" s="3060"/>
      <c r="D1011" s="3060"/>
      <c r="E1011" s="3061"/>
      <c r="F1011" s="3064"/>
      <c r="G1011" s="3065"/>
      <c r="H1011" s="3069"/>
      <c r="I1011" s="3070"/>
      <c r="J1011" s="3071"/>
    </row>
    <row r="1012" spans="1:10">
      <c r="A1012" s="3072" t="s">
        <v>3319</v>
      </c>
      <c r="B1012" s="3073"/>
      <c r="C1012" s="3073"/>
      <c r="D1012" s="3073"/>
      <c r="E1012" s="3073"/>
      <c r="F1012" s="3073"/>
      <c r="G1012" s="3073"/>
      <c r="H1012" s="3073"/>
      <c r="I1012" s="3073"/>
      <c r="J1012" s="3074"/>
    </row>
    <row r="1013" spans="1:10">
      <c r="A1013" s="3075"/>
      <c r="B1013" s="3076"/>
      <c r="C1013" s="3076"/>
      <c r="D1013" s="3076"/>
      <c r="E1013" s="3076"/>
      <c r="F1013" s="3076"/>
      <c r="G1013" s="3076"/>
      <c r="H1013" s="3076"/>
      <c r="I1013" s="3076"/>
      <c r="J1013" s="3077"/>
    </row>
    <row r="1015" spans="1:10">
      <c r="A1015" s="238" t="s">
        <v>2047</v>
      </c>
      <c r="B1015" s="239" t="s">
        <v>2047</v>
      </c>
      <c r="C1015" s="3082" t="s">
        <v>3292</v>
      </c>
      <c r="D1015" s="3082"/>
      <c r="E1015" s="3082"/>
      <c r="F1015" s="3083"/>
      <c r="G1015" s="239" t="s">
        <v>2047</v>
      </c>
      <c r="H1015" s="1755" t="s">
        <v>2047</v>
      </c>
      <c r="I1015" s="1755" t="s">
        <v>2047</v>
      </c>
      <c r="J1015" s="240" t="s">
        <v>2047</v>
      </c>
    </row>
    <row r="1016" spans="1:10" ht="15.6">
      <c r="A1016" s="241" t="s">
        <v>2047</v>
      </c>
      <c r="B1016" s="223"/>
      <c r="C1016" s="3084" t="s">
        <v>2045</v>
      </c>
      <c r="D1016" s="3084"/>
      <c r="E1016" s="3084"/>
      <c r="F1016" s="3085"/>
      <c r="G1016" s="1756" t="s">
        <v>2047</v>
      </c>
      <c r="H1016" s="3086" t="s">
        <v>3428</v>
      </c>
      <c r="I1016" s="3086"/>
      <c r="J1016" s="242" t="s">
        <v>2047</v>
      </c>
    </row>
    <row r="1017" spans="1:10" ht="17.45">
      <c r="A1017" s="241" t="s">
        <v>2047</v>
      </c>
      <c r="B1017" s="224"/>
      <c r="C1017" s="3088" t="s">
        <v>3294</v>
      </c>
      <c r="D1017" s="3088"/>
      <c r="E1017" s="3088"/>
      <c r="F1017" s="3089"/>
      <c r="G1017" s="225" t="s">
        <v>3295</v>
      </c>
      <c r="H1017" s="3087"/>
      <c r="I1017" s="3087"/>
      <c r="J1017" s="242" t="s">
        <v>2047</v>
      </c>
    </row>
    <row r="1018" spans="1:10">
      <c r="A1018" s="241" t="s">
        <v>2047</v>
      </c>
      <c r="B1018" s="224" t="s">
        <v>2047</v>
      </c>
      <c r="C1018" s="3090" t="s">
        <v>3296</v>
      </c>
      <c r="D1018" s="3090"/>
      <c r="E1018" s="3090"/>
      <c r="F1018" s="3091"/>
      <c r="G1018" s="1756" t="s">
        <v>2047</v>
      </c>
      <c r="H1018" s="226"/>
      <c r="I1018" s="226" t="s">
        <v>2047</v>
      </c>
      <c r="J1018" s="243" t="s">
        <v>2047</v>
      </c>
    </row>
    <row r="1019" spans="1:10" ht="31.9">
      <c r="A1019" s="234" t="s">
        <v>3297</v>
      </c>
      <c r="B1019" s="3092" t="s">
        <v>3426</v>
      </c>
      <c r="C1019" s="3093"/>
      <c r="D1019" s="3093"/>
      <c r="E1019" s="3094"/>
      <c r="F1019" s="233" t="s">
        <v>3299</v>
      </c>
      <c r="G1019" s="232">
        <v>71270077</v>
      </c>
      <c r="H1019" s="1757" t="s">
        <v>3301</v>
      </c>
      <c r="I1019" s="1757" t="s">
        <v>3302</v>
      </c>
      <c r="J1019" s="244" t="s">
        <v>3303</v>
      </c>
    </row>
    <row r="1020" spans="1:10">
      <c r="A1020" s="3095"/>
      <c r="B1020" s="3096"/>
      <c r="C1020" s="3096"/>
      <c r="D1020" s="3096"/>
      <c r="E1020" s="3097"/>
      <c r="F1020" s="3105"/>
      <c r="G1020" s="3106"/>
      <c r="H1020" s="248">
        <v>25</v>
      </c>
      <c r="I1020" s="248">
        <v>8</v>
      </c>
      <c r="J1020" s="249">
        <v>2021</v>
      </c>
    </row>
    <row r="1021" spans="1:10">
      <c r="A1021" s="3098" t="s">
        <v>3304</v>
      </c>
      <c r="B1021" s="3099"/>
      <c r="C1021" s="3099"/>
      <c r="D1021" s="3099"/>
      <c r="E1021" s="3110"/>
      <c r="F1021" s="250" t="s">
        <v>3305</v>
      </c>
      <c r="G1021" s="1753" t="s">
        <v>2047</v>
      </c>
      <c r="H1021" s="251" t="s">
        <v>3306</v>
      </c>
      <c r="I1021" s="252" t="s">
        <v>2047</v>
      </c>
      <c r="J1021" s="253" t="s">
        <v>2047</v>
      </c>
    </row>
    <row r="1022" spans="1:10">
      <c r="A1022" s="3098" t="s">
        <v>3427</v>
      </c>
      <c r="B1022" s="3099"/>
      <c r="C1022" s="3099"/>
      <c r="D1022" s="3099"/>
      <c r="E1022" s="3110"/>
      <c r="F1022" s="3105">
        <v>2755591</v>
      </c>
      <c r="G1022" s="3106"/>
      <c r="H1022" s="3105" t="s">
        <v>125</v>
      </c>
      <c r="I1022" s="3105"/>
      <c r="J1022" s="3107"/>
    </row>
    <row r="1023" spans="1:10">
      <c r="A1023" s="254" t="s">
        <v>3309</v>
      </c>
      <c r="B1023" s="3105" t="s">
        <v>3310</v>
      </c>
      <c r="C1023" s="3105"/>
      <c r="D1023" s="3105"/>
      <c r="E1023" s="3106"/>
      <c r="F1023" s="3108" t="s">
        <v>2012</v>
      </c>
      <c r="G1023" s="3109"/>
      <c r="H1023" s="3105" t="s">
        <v>3311</v>
      </c>
      <c r="I1023" s="3105"/>
      <c r="J1023" s="3107"/>
    </row>
    <row r="1024" spans="1:10">
      <c r="A1024" s="255">
        <v>2</v>
      </c>
      <c r="B1024" s="3078" t="s">
        <v>3422</v>
      </c>
      <c r="C1024" s="3078"/>
      <c r="D1024" s="3078"/>
      <c r="E1024" s="3078"/>
      <c r="F1024" s="3079">
        <v>1500</v>
      </c>
      <c r="G1024" s="3080"/>
      <c r="H1024" s="3078">
        <f>F1024*A1024</f>
        <v>3000</v>
      </c>
      <c r="I1024" s="3078"/>
      <c r="J1024" s="3081"/>
    </row>
    <row r="1025" spans="1:10">
      <c r="A1025" s="255"/>
      <c r="B1025" s="3078"/>
      <c r="C1025" s="3078"/>
      <c r="D1025" s="3078"/>
      <c r="E1025" s="3078"/>
      <c r="F1025" s="3079"/>
      <c r="G1025" s="3080"/>
      <c r="H1025" s="3078"/>
      <c r="I1025" s="3078"/>
      <c r="J1025" s="3081"/>
    </row>
    <row r="1026" spans="1:10">
      <c r="A1026" s="255" t="s">
        <v>2047</v>
      </c>
      <c r="B1026" s="256" t="s">
        <v>2047</v>
      </c>
      <c r="C1026" s="256" t="s">
        <v>2047</v>
      </c>
      <c r="D1026" s="256" t="s">
        <v>2047</v>
      </c>
      <c r="E1026" s="256" t="s">
        <v>2047</v>
      </c>
      <c r="F1026" s="3079" t="s">
        <v>2047</v>
      </c>
      <c r="G1026" s="3080"/>
      <c r="H1026" s="3078" t="s">
        <v>3313</v>
      </c>
      <c r="I1026" s="3078"/>
      <c r="J1026" s="3081"/>
    </row>
    <row r="1027" spans="1:10">
      <c r="A1027" s="245" t="s">
        <v>2047</v>
      </c>
      <c r="B1027" s="228" t="s">
        <v>2047</v>
      </c>
      <c r="C1027" s="228" t="s">
        <v>2047</v>
      </c>
      <c r="D1027" s="228" t="s">
        <v>2047</v>
      </c>
      <c r="E1027" s="228" t="s">
        <v>2047</v>
      </c>
      <c r="F1027" s="3046" t="s">
        <v>2047</v>
      </c>
      <c r="G1027" s="3047"/>
      <c r="H1027" s="3048" t="s">
        <v>3313</v>
      </c>
      <c r="I1027" s="3048"/>
      <c r="J1027" s="3049"/>
    </row>
    <row r="1028" spans="1:10">
      <c r="A1028" s="245" t="s">
        <v>2047</v>
      </c>
      <c r="B1028" s="228" t="s">
        <v>2047</v>
      </c>
      <c r="C1028" s="228" t="s">
        <v>2047</v>
      </c>
      <c r="D1028" s="228" t="s">
        <v>2047</v>
      </c>
      <c r="E1028" s="228" t="s">
        <v>2047</v>
      </c>
      <c r="F1028" s="3046" t="s">
        <v>2047</v>
      </c>
      <c r="G1028" s="3047"/>
      <c r="H1028" s="3048" t="s">
        <v>3313</v>
      </c>
      <c r="I1028" s="3048"/>
      <c r="J1028" s="3049"/>
    </row>
    <row r="1029" spans="1:10">
      <c r="A1029" s="245" t="s">
        <v>2047</v>
      </c>
      <c r="B1029" s="228" t="s">
        <v>2047</v>
      </c>
      <c r="C1029" s="228" t="s">
        <v>2047</v>
      </c>
      <c r="D1029" s="228" t="s">
        <v>2047</v>
      </c>
      <c r="E1029" s="228" t="s">
        <v>2047</v>
      </c>
      <c r="F1029" s="3046" t="s">
        <v>2047</v>
      </c>
      <c r="G1029" s="3047"/>
      <c r="H1029" s="3048" t="s">
        <v>3313</v>
      </c>
      <c r="I1029" s="3048"/>
      <c r="J1029" s="3049"/>
    </row>
    <row r="1030" spans="1:10">
      <c r="A1030" s="245" t="s">
        <v>2047</v>
      </c>
      <c r="B1030" s="228" t="s">
        <v>2047</v>
      </c>
      <c r="C1030" s="228" t="s">
        <v>2047</v>
      </c>
      <c r="D1030" s="228" t="s">
        <v>2047</v>
      </c>
      <c r="E1030" s="228" t="s">
        <v>2047</v>
      </c>
      <c r="F1030" s="3046" t="s">
        <v>2047</v>
      </c>
      <c r="G1030" s="3047"/>
      <c r="H1030" s="3048" t="s">
        <v>3313</v>
      </c>
      <c r="I1030" s="3048"/>
      <c r="J1030" s="3049"/>
    </row>
    <row r="1031" spans="1:10">
      <c r="A1031" s="245" t="s">
        <v>2047</v>
      </c>
      <c r="B1031" s="228" t="s">
        <v>2047</v>
      </c>
      <c r="C1031" s="228" t="s">
        <v>2047</v>
      </c>
      <c r="D1031" s="228" t="s">
        <v>2047</v>
      </c>
      <c r="E1031" s="228" t="s">
        <v>2047</v>
      </c>
      <c r="F1031" s="3046" t="s">
        <v>2047</v>
      </c>
      <c r="G1031" s="3047"/>
      <c r="H1031" s="3048" t="s">
        <v>3313</v>
      </c>
      <c r="I1031" s="3048"/>
      <c r="J1031" s="3049"/>
    </row>
    <row r="1032" spans="1:10">
      <c r="A1032" s="245" t="s">
        <v>2047</v>
      </c>
      <c r="B1032" s="228" t="s">
        <v>2047</v>
      </c>
      <c r="C1032" s="228" t="s">
        <v>2047</v>
      </c>
      <c r="D1032" s="228" t="s">
        <v>2047</v>
      </c>
      <c r="E1032" s="228" t="s">
        <v>2047</v>
      </c>
      <c r="F1032" s="3046" t="s">
        <v>2047</v>
      </c>
      <c r="G1032" s="3047"/>
      <c r="H1032" s="3048" t="s">
        <v>3313</v>
      </c>
      <c r="I1032" s="3048"/>
      <c r="J1032" s="3049"/>
    </row>
    <row r="1033" spans="1:10">
      <c r="A1033" s="1754" t="s">
        <v>2580</v>
      </c>
      <c r="B1033" s="227" t="s">
        <v>2047</v>
      </c>
      <c r="C1033" s="227" t="s">
        <v>2047</v>
      </c>
      <c r="D1033" s="227" t="s">
        <v>2047</v>
      </c>
      <c r="E1033" s="3050" t="s">
        <v>3314</v>
      </c>
      <c r="F1033" s="3051"/>
      <c r="G1033" s="3052">
        <f>H1024+H1025</f>
        <v>3000</v>
      </c>
      <c r="H1033" s="3052"/>
      <c r="I1033" s="3053"/>
      <c r="J1033" s="246"/>
    </row>
    <row r="1034" spans="1:10">
      <c r="A1034" s="247" t="s">
        <v>2047</v>
      </c>
      <c r="B1034" s="229" t="s">
        <v>2047</v>
      </c>
      <c r="C1034" s="229" t="s">
        <v>2047</v>
      </c>
      <c r="D1034" s="229" t="s">
        <v>2047</v>
      </c>
      <c r="E1034" s="229" t="s">
        <v>2047</v>
      </c>
      <c r="F1034" s="230" t="s">
        <v>3315</v>
      </c>
      <c r="G1034" s="231" t="s">
        <v>3316</v>
      </c>
      <c r="H1034" s="3054" t="s">
        <v>3317</v>
      </c>
      <c r="I1034" s="3054"/>
      <c r="J1034" s="3055"/>
    </row>
    <row r="1035" spans="1:10">
      <c r="A1035" s="3056" t="s">
        <v>3318</v>
      </c>
      <c r="B1035" s="3057"/>
      <c r="C1035" s="3057"/>
      <c r="D1035" s="3057"/>
      <c r="E1035" s="3058"/>
      <c r="F1035" s="3062" t="s">
        <v>1990</v>
      </c>
      <c r="G1035" s="3063"/>
      <c r="H1035" s="3066">
        <f>G1033</f>
        <v>3000</v>
      </c>
      <c r="I1035" s="3067"/>
      <c r="J1035" s="3068"/>
    </row>
    <row r="1036" spans="1:10">
      <c r="A1036" s="3059"/>
      <c r="B1036" s="3060"/>
      <c r="C1036" s="3060"/>
      <c r="D1036" s="3060"/>
      <c r="E1036" s="3061"/>
      <c r="F1036" s="3064"/>
      <c r="G1036" s="3065"/>
      <c r="H1036" s="3069"/>
      <c r="I1036" s="3070"/>
      <c r="J1036" s="3071"/>
    </row>
    <row r="1037" spans="1:10">
      <c r="A1037" s="3072" t="s">
        <v>3319</v>
      </c>
      <c r="B1037" s="3073"/>
      <c r="C1037" s="3073"/>
      <c r="D1037" s="3073"/>
      <c r="E1037" s="3073"/>
      <c r="F1037" s="3073"/>
      <c r="G1037" s="3073"/>
      <c r="H1037" s="3073"/>
      <c r="I1037" s="3073"/>
      <c r="J1037" s="3074"/>
    </row>
    <row r="1038" spans="1:10">
      <c r="A1038" s="3075"/>
      <c r="B1038" s="3076"/>
      <c r="C1038" s="3076"/>
      <c r="D1038" s="3076"/>
      <c r="E1038" s="3076"/>
      <c r="F1038" s="3076"/>
      <c r="G1038" s="3076"/>
      <c r="H1038" s="3076"/>
      <c r="I1038" s="3076"/>
      <c r="J1038" s="3077"/>
    </row>
    <row r="1040" spans="1:10">
      <c r="A1040" s="238" t="s">
        <v>2047</v>
      </c>
      <c r="B1040" s="239" t="s">
        <v>2047</v>
      </c>
      <c r="C1040" s="3082" t="s">
        <v>3292</v>
      </c>
      <c r="D1040" s="3082"/>
      <c r="E1040" s="3082"/>
      <c r="F1040" s="3083"/>
      <c r="G1040" s="239" t="s">
        <v>2047</v>
      </c>
      <c r="H1040" s="1755" t="s">
        <v>2047</v>
      </c>
      <c r="I1040" s="1755" t="s">
        <v>2047</v>
      </c>
      <c r="J1040" s="240" t="s">
        <v>2047</v>
      </c>
    </row>
    <row r="1041" spans="1:10" ht="15.6">
      <c r="A1041" s="241" t="s">
        <v>2047</v>
      </c>
      <c r="B1041" s="223"/>
      <c r="C1041" s="3084" t="s">
        <v>2045</v>
      </c>
      <c r="D1041" s="3084"/>
      <c r="E1041" s="3084"/>
      <c r="F1041" s="3085"/>
      <c r="G1041" s="1756" t="s">
        <v>2047</v>
      </c>
      <c r="H1041" s="3086" t="s">
        <v>3429</v>
      </c>
      <c r="I1041" s="3086"/>
      <c r="J1041" s="242" t="s">
        <v>2047</v>
      </c>
    </row>
    <row r="1042" spans="1:10" ht="17.45">
      <c r="A1042" s="241" t="s">
        <v>2047</v>
      </c>
      <c r="B1042" s="224"/>
      <c r="C1042" s="3088" t="s">
        <v>3294</v>
      </c>
      <c r="D1042" s="3088"/>
      <c r="E1042" s="3088"/>
      <c r="F1042" s="3089"/>
      <c r="G1042" s="225" t="s">
        <v>3295</v>
      </c>
      <c r="H1042" s="3087"/>
      <c r="I1042" s="3087"/>
      <c r="J1042" s="242" t="s">
        <v>2047</v>
      </c>
    </row>
    <row r="1043" spans="1:10">
      <c r="A1043" s="241" t="s">
        <v>2047</v>
      </c>
      <c r="B1043" s="224" t="s">
        <v>2047</v>
      </c>
      <c r="C1043" s="3090" t="s">
        <v>3296</v>
      </c>
      <c r="D1043" s="3090"/>
      <c r="E1043" s="3090"/>
      <c r="F1043" s="3091"/>
      <c r="G1043" s="1756" t="s">
        <v>2047</v>
      </c>
      <c r="H1043" s="226" t="s">
        <v>2047</v>
      </c>
      <c r="I1043" s="226" t="s">
        <v>2047</v>
      </c>
      <c r="J1043" s="243" t="s">
        <v>2047</v>
      </c>
    </row>
    <row r="1044" spans="1:10" ht="31.9">
      <c r="A1044" s="234" t="s">
        <v>3297</v>
      </c>
      <c r="B1044" s="3092" t="s">
        <v>3405</v>
      </c>
      <c r="C1044" s="3093"/>
      <c r="D1044" s="3093"/>
      <c r="E1044" s="3094"/>
      <c r="F1044" s="233" t="s">
        <v>3299</v>
      </c>
      <c r="G1044" s="232">
        <v>98529299</v>
      </c>
      <c r="H1044" s="1757" t="s">
        <v>3301</v>
      </c>
      <c r="I1044" s="1757" t="s">
        <v>3302</v>
      </c>
      <c r="J1044" s="244" t="s">
        <v>3303</v>
      </c>
    </row>
    <row r="1045" spans="1:10">
      <c r="A1045" s="3095"/>
      <c r="B1045" s="3096"/>
      <c r="C1045" s="3096"/>
      <c r="D1045" s="3096"/>
      <c r="E1045" s="3097"/>
      <c r="F1045" s="3105"/>
      <c r="G1045" s="3106"/>
      <c r="H1045" s="248">
        <v>17</v>
      </c>
      <c r="I1045" s="248">
        <v>12</v>
      </c>
      <c r="J1045" s="249">
        <v>2021</v>
      </c>
    </row>
    <row r="1046" spans="1:10">
      <c r="A1046" s="3098" t="s">
        <v>3304</v>
      </c>
      <c r="B1046" s="3099"/>
      <c r="C1046" s="3099"/>
      <c r="D1046" s="3099"/>
      <c r="E1046" s="3110"/>
      <c r="F1046" s="250" t="s">
        <v>3305</v>
      </c>
      <c r="G1046" s="1753" t="s">
        <v>2047</v>
      </c>
      <c r="H1046" s="251" t="s">
        <v>3306</v>
      </c>
      <c r="I1046" s="252" t="s">
        <v>2047</v>
      </c>
      <c r="J1046" s="253" t="s">
        <v>2047</v>
      </c>
    </row>
    <row r="1047" spans="1:10">
      <c r="A1047" s="3098" t="s">
        <v>3406</v>
      </c>
      <c r="B1047" s="3099"/>
      <c r="C1047" s="3099"/>
      <c r="D1047" s="3099"/>
      <c r="E1047" s="3110"/>
      <c r="F1047" s="3105" t="s">
        <v>3407</v>
      </c>
      <c r="G1047" s="3106"/>
      <c r="H1047" s="3105" t="s">
        <v>125</v>
      </c>
      <c r="I1047" s="3105"/>
      <c r="J1047" s="3107"/>
    </row>
    <row r="1048" spans="1:10">
      <c r="A1048" s="254" t="s">
        <v>3309</v>
      </c>
      <c r="B1048" s="3105" t="s">
        <v>3310</v>
      </c>
      <c r="C1048" s="3105"/>
      <c r="D1048" s="3105"/>
      <c r="E1048" s="3106"/>
      <c r="F1048" s="3108" t="s">
        <v>2012</v>
      </c>
      <c r="G1048" s="3109"/>
      <c r="H1048" s="3105" t="s">
        <v>3311</v>
      </c>
      <c r="I1048" s="3105"/>
      <c r="J1048" s="3107"/>
    </row>
    <row r="1049" spans="1:10">
      <c r="A1049" s="255">
        <v>1</v>
      </c>
      <c r="B1049" s="3078" t="s">
        <v>3367</v>
      </c>
      <c r="C1049" s="3078"/>
      <c r="D1049" s="3078"/>
      <c r="E1049" s="3078"/>
      <c r="F1049" s="3079">
        <v>2500</v>
      </c>
      <c r="G1049" s="3080"/>
      <c r="H1049" s="3078">
        <f>F1049*A1049</f>
        <v>2500</v>
      </c>
      <c r="I1049" s="3078"/>
      <c r="J1049" s="3081"/>
    </row>
    <row r="1050" spans="1:10">
      <c r="A1050" s="255">
        <v>1</v>
      </c>
      <c r="B1050" s="3078" t="s">
        <v>3367</v>
      </c>
      <c r="C1050" s="3078"/>
      <c r="D1050" s="3078"/>
      <c r="E1050" s="3078"/>
      <c r="F1050" s="3079">
        <v>2000</v>
      </c>
      <c r="G1050" s="3080"/>
      <c r="H1050" s="3078">
        <f>F1050*A1050</f>
        <v>2000</v>
      </c>
      <c r="I1050" s="3078"/>
      <c r="J1050" s="3081"/>
    </row>
    <row r="1051" spans="1:10">
      <c r="A1051" s="255" t="s">
        <v>2047</v>
      </c>
      <c r="B1051" s="256" t="s">
        <v>2047</v>
      </c>
      <c r="C1051" s="256" t="s">
        <v>2047</v>
      </c>
      <c r="D1051" s="256" t="s">
        <v>2047</v>
      </c>
      <c r="E1051" s="256" t="s">
        <v>2047</v>
      </c>
      <c r="F1051" s="3079" t="s">
        <v>2047</v>
      </c>
      <c r="G1051" s="3080"/>
      <c r="H1051" s="3078" t="s">
        <v>3313</v>
      </c>
      <c r="I1051" s="3078"/>
      <c r="J1051" s="3081"/>
    </row>
    <row r="1052" spans="1:10">
      <c r="A1052" s="245" t="s">
        <v>2047</v>
      </c>
      <c r="B1052" s="228" t="s">
        <v>2047</v>
      </c>
      <c r="C1052" s="228" t="s">
        <v>2047</v>
      </c>
      <c r="D1052" s="228" t="s">
        <v>2047</v>
      </c>
      <c r="E1052" s="228" t="s">
        <v>2047</v>
      </c>
      <c r="F1052" s="3046" t="s">
        <v>2047</v>
      </c>
      <c r="G1052" s="3047"/>
      <c r="H1052" s="3048" t="s">
        <v>3313</v>
      </c>
      <c r="I1052" s="3048"/>
      <c r="J1052" s="3049"/>
    </row>
    <row r="1053" spans="1:10">
      <c r="A1053" s="245" t="s">
        <v>2047</v>
      </c>
      <c r="B1053" s="228" t="s">
        <v>2047</v>
      </c>
      <c r="C1053" s="228" t="s">
        <v>2047</v>
      </c>
      <c r="D1053" s="228" t="s">
        <v>2047</v>
      </c>
      <c r="E1053" s="228" t="s">
        <v>2047</v>
      </c>
      <c r="F1053" s="3046" t="s">
        <v>2047</v>
      </c>
      <c r="G1053" s="3047"/>
      <c r="H1053" s="3048" t="s">
        <v>3313</v>
      </c>
      <c r="I1053" s="3048"/>
      <c r="J1053" s="3049"/>
    </row>
    <row r="1054" spans="1:10">
      <c r="A1054" s="245" t="s">
        <v>2047</v>
      </c>
      <c r="B1054" s="228" t="s">
        <v>2047</v>
      </c>
      <c r="C1054" s="228" t="s">
        <v>2047</v>
      </c>
      <c r="D1054" s="228" t="s">
        <v>2047</v>
      </c>
      <c r="E1054" s="228" t="s">
        <v>2047</v>
      </c>
      <c r="F1054" s="3046" t="s">
        <v>2047</v>
      </c>
      <c r="G1054" s="3047"/>
      <c r="H1054" s="3048" t="s">
        <v>3313</v>
      </c>
      <c r="I1054" s="3048"/>
      <c r="J1054" s="3049"/>
    </row>
    <row r="1055" spans="1:10">
      <c r="A1055" s="245" t="s">
        <v>2047</v>
      </c>
      <c r="B1055" s="228" t="s">
        <v>2047</v>
      </c>
      <c r="C1055" s="228" t="s">
        <v>2047</v>
      </c>
      <c r="D1055" s="228" t="s">
        <v>2047</v>
      </c>
      <c r="E1055" s="228" t="s">
        <v>2047</v>
      </c>
      <c r="F1055" s="3046" t="s">
        <v>2047</v>
      </c>
      <c r="G1055" s="3047"/>
      <c r="H1055" s="3048" t="s">
        <v>3313</v>
      </c>
      <c r="I1055" s="3048"/>
      <c r="J1055" s="3049"/>
    </row>
    <row r="1056" spans="1:10">
      <c r="A1056" s="245" t="s">
        <v>2047</v>
      </c>
      <c r="B1056" s="228" t="s">
        <v>2047</v>
      </c>
      <c r="C1056" s="228" t="s">
        <v>2047</v>
      </c>
      <c r="D1056" s="228" t="s">
        <v>2047</v>
      </c>
      <c r="E1056" s="228" t="s">
        <v>2047</v>
      </c>
      <c r="F1056" s="3046" t="s">
        <v>2047</v>
      </c>
      <c r="G1056" s="3047"/>
      <c r="H1056" s="3048" t="s">
        <v>3313</v>
      </c>
      <c r="I1056" s="3048"/>
      <c r="J1056" s="3049"/>
    </row>
    <row r="1057" spans="1:10">
      <c r="A1057" s="245" t="s">
        <v>2047</v>
      </c>
      <c r="B1057" s="228" t="s">
        <v>2047</v>
      </c>
      <c r="C1057" s="228" t="s">
        <v>2047</v>
      </c>
      <c r="D1057" s="228" t="s">
        <v>2047</v>
      </c>
      <c r="E1057" s="228" t="s">
        <v>2047</v>
      </c>
      <c r="F1057" s="3046" t="s">
        <v>2047</v>
      </c>
      <c r="G1057" s="3047"/>
      <c r="H1057" s="3048" t="s">
        <v>3313</v>
      </c>
      <c r="I1057" s="3048"/>
      <c r="J1057" s="3049"/>
    </row>
    <row r="1058" spans="1:10">
      <c r="A1058" s="1754" t="s">
        <v>2580</v>
      </c>
      <c r="B1058" s="227" t="s">
        <v>2047</v>
      </c>
      <c r="C1058" s="227" t="s">
        <v>2047</v>
      </c>
      <c r="D1058" s="227" t="s">
        <v>2047</v>
      </c>
      <c r="E1058" s="3050" t="s">
        <v>3314</v>
      </c>
      <c r="F1058" s="3051"/>
      <c r="G1058" s="3052">
        <f>H1049+H1050</f>
        <v>4500</v>
      </c>
      <c r="H1058" s="3052"/>
      <c r="I1058" s="3053"/>
      <c r="J1058" s="246"/>
    </row>
    <row r="1059" spans="1:10">
      <c r="A1059" s="247" t="s">
        <v>2047</v>
      </c>
      <c r="B1059" s="229" t="s">
        <v>2047</v>
      </c>
      <c r="C1059" s="229" t="s">
        <v>2047</v>
      </c>
      <c r="D1059" s="229" t="s">
        <v>2047</v>
      </c>
      <c r="E1059" s="229" t="s">
        <v>2047</v>
      </c>
      <c r="F1059" s="230" t="s">
        <v>3315</v>
      </c>
      <c r="G1059" s="231" t="s">
        <v>3316</v>
      </c>
      <c r="H1059" s="3054" t="s">
        <v>3317</v>
      </c>
      <c r="I1059" s="3054"/>
      <c r="J1059" s="3055"/>
    </row>
    <row r="1060" spans="1:10">
      <c r="A1060" s="3056" t="s">
        <v>3318</v>
      </c>
      <c r="B1060" s="3057"/>
      <c r="C1060" s="3057"/>
      <c r="D1060" s="3057"/>
      <c r="E1060" s="3058"/>
      <c r="F1060" s="3062" t="s">
        <v>1990</v>
      </c>
      <c r="G1060" s="3063"/>
      <c r="H1060" s="3066">
        <f>G1058</f>
        <v>4500</v>
      </c>
      <c r="I1060" s="3067"/>
      <c r="J1060" s="3068"/>
    </row>
    <row r="1061" spans="1:10">
      <c r="A1061" s="3059"/>
      <c r="B1061" s="3060"/>
      <c r="C1061" s="3060"/>
      <c r="D1061" s="3060"/>
      <c r="E1061" s="3061"/>
      <c r="F1061" s="3064"/>
      <c r="G1061" s="3065"/>
      <c r="H1061" s="3069"/>
      <c r="I1061" s="3070"/>
      <c r="J1061" s="3071"/>
    </row>
    <row r="1062" spans="1:10">
      <c r="A1062" s="3072" t="s">
        <v>3319</v>
      </c>
      <c r="B1062" s="3073"/>
      <c r="C1062" s="3073"/>
      <c r="D1062" s="3073"/>
      <c r="E1062" s="3073"/>
      <c r="F1062" s="3073"/>
      <c r="G1062" s="3073"/>
      <c r="H1062" s="3073"/>
      <c r="I1062" s="3073"/>
      <c r="J1062" s="3074"/>
    </row>
    <row r="1063" spans="1:10">
      <c r="A1063" s="3075"/>
      <c r="B1063" s="3076"/>
      <c r="C1063" s="3076"/>
      <c r="D1063" s="3076"/>
      <c r="E1063" s="3076"/>
      <c r="F1063" s="3076"/>
      <c r="G1063" s="3076"/>
      <c r="H1063" s="3076"/>
      <c r="I1063" s="3076"/>
      <c r="J1063" s="3077"/>
    </row>
    <row r="1065" spans="1:10">
      <c r="A1065" s="238" t="s">
        <v>2047</v>
      </c>
      <c r="B1065" s="239" t="s">
        <v>2047</v>
      </c>
      <c r="C1065" s="3082" t="s">
        <v>3292</v>
      </c>
      <c r="D1065" s="3082"/>
      <c r="E1065" s="3082"/>
      <c r="F1065" s="3083"/>
      <c r="G1065" s="239" t="s">
        <v>2047</v>
      </c>
      <c r="H1065" s="1755" t="s">
        <v>2047</v>
      </c>
      <c r="I1065" s="1755" t="s">
        <v>2047</v>
      </c>
      <c r="J1065" s="240" t="s">
        <v>2047</v>
      </c>
    </row>
    <row r="1066" spans="1:10" ht="15.6">
      <c r="A1066" s="241" t="s">
        <v>2047</v>
      </c>
      <c r="B1066" s="223"/>
      <c r="C1066" s="3084" t="s">
        <v>2045</v>
      </c>
      <c r="D1066" s="3084"/>
      <c r="E1066" s="3084"/>
      <c r="F1066" s="3085"/>
      <c r="G1066" s="1756" t="s">
        <v>2047</v>
      </c>
      <c r="H1066" s="3086" t="s">
        <v>3430</v>
      </c>
      <c r="I1066" s="3086"/>
      <c r="J1066" s="242" t="s">
        <v>2047</v>
      </c>
    </row>
    <row r="1067" spans="1:10" ht="17.45">
      <c r="A1067" s="241" t="s">
        <v>2047</v>
      </c>
      <c r="B1067" s="224"/>
      <c r="C1067" s="3088" t="s">
        <v>3294</v>
      </c>
      <c r="D1067" s="3088"/>
      <c r="E1067" s="3088"/>
      <c r="F1067" s="3089"/>
      <c r="G1067" s="225" t="s">
        <v>3295</v>
      </c>
      <c r="H1067" s="3087"/>
      <c r="I1067" s="3087"/>
      <c r="J1067" s="242" t="s">
        <v>2047</v>
      </c>
    </row>
    <row r="1068" spans="1:10">
      <c r="A1068" s="241" t="s">
        <v>2047</v>
      </c>
      <c r="B1068" s="224" t="s">
        <v>2047</v>
      </c>
      <c r="C1068" s="3090" t="s">
        <v>3296</v>
      </c>
      <c r="D1068" s="3090"/>
      <c r="E1068" s="3090"/>
      <c r="F1068" s="3091"/>
      <c r="G1068" s="1756" t="s">
        <v>2047</v>
      </c>
      <c r="H1068" s="226"/>
      <c r="I1068" s="226" t="s">
        <v>2047</v>
      </c>
      <c r="J1068" s="243" t="s">
        <v>2047</v>
      </c>
    </row>
    <row r="1069" spans="1:10" ht="31.9">
      <c r="A1069" s="234" t="s">
        <v>3297</v>
      </c>
      <c r="B1069" s="3092" t="s">
        <v>3419</v>
      </c>
      <c r="C1069" s="3093"/>
      <c r="D1069" s="3093"/>
      <c r="E1069" s="3094"/>
      <c r="F1069" s="233" t="s">
        <v>3299</v>
      </c>
      <c r="G1069" s="232">
        <v>70720539</v>
      </c>
      <c r="H1069" s="1757" t="s">
        <v>3301</v>
      </c>
      <c r="I1069" s="1757" t="s">
        <v>3302</v>
      </c>
      <c r="J1069" s="244" t="s">
        <v>3303</v>
      </c>
    </row>
    <row r="1070" spans="1:10">
      <c r="A1070" s="3095"/>
      <c r="B1070" s="3096"/>
      <c r="C1070" s="3096"/>
      <c r="D1070" s="3096"/>
      <c r="E1070" s="3097"/>
      <c r="F1070" s="3105"/>
      <c r="G1070" s="3106"/>
      <c r="H1070" s="248">
        <v>22</v>
      </c>
      <c r="I1070" s="248">
        <v>12</v>
      </c>
      <c r="J1070" s="249">
        <v>2021</v>
      </c>
    </row>
    <row r="1071" spans="1:10" ht="18" customHeight="1">
      <c r="A1071" s="3098" t="s">
        <v>3304</v>
      </c>
      <c r="B1071" s="3099"/>
      <c r="C1071" s="3099"/>
      <c r="D1071" s="3099"/>
      <c r="E1071" s="3110"/>
      <c r="F1071" s="250" t="s">
        <v>3305</v>
      </c>
      <c r="G1071" s="1753" t="s">
        <v>2047</v>
      </c>
      <c r="H1071" s="251" t="s">
        <v>3306</v>
      </c>
      <c r="I1071" s="252" t="s">
        <v>2047</v>
      </c>
      <c r="J1071" s="253" t="s">
        <v>2047</v>
      </c>
    </row>
    <row r="1072" spans="1:10" ht="21.75" customHeight="1">
      <c r="A1072" s="3098" t="s">
        <v>3420</v>
      </c>
      <c r="B1072" s="3099"/>
      <c r="C1072" s="3099"/>
      <c r="D1072" s="3099"/>
      <c r="E1072" s="3110"/>
      <c r="F1072" s="3105" t="s">
        <v>3421</v>
      </c>
      <c r="G1072" s="3106"/>
      <c r="H1072" s="3105" t="s">
        <v>125</v>
      </c>
      <c r="I1072" s="3105"/>
      <c r="J1072" s="3107"/>
    </row>
    <row r="1073" spans="1:10">
      <c r="A1073" s="254" t="s">
        <v>3309</v>
      </c>
      <c r="B1073" s="3105" t="s">
        <v>3310</v>
      </c>
      <c r="C1073" s="3105"/>
      <c r="D1073" s="3105"/>
      <c r="E1073" s="3106"/>
      <c r="F1073" s="3108" t="s">
        <v>2012</v>
      </c>
      <c r="G1073" s="3109"/>
      <c r="H1073" s="3105" t="s">
        <v>3311</v>
      </c>
      <c r="I1073" s="3105"/>
      <c r="J1073" s="3107"/>
    </row>
    <row r="1074" spans="1:10">
      <c r="A1074" s="255">
        <v>1</v>
      </c>
      <c r="B1074" s="3078" t="s">
        <v>3422</v>
      </c>
      <c r="C1074" s="3078"/>
      <c r="D1074" s="3078"/>
      <c r="E1074" s="3078"/>
      <c r="F1074" s="3079">
        <v>2500</v>
      </c>
      <c r="G1074" s="3080"/>
      <c r="H1074" s="3078">
        <f>F1074*A1074</f>
        <v>2500</v>
      </c>
      <c r="I1074" s="3078"/>
      <c r="J1074" s="3081"/>
    </row>
    <row r="1075" spans="1:10">
      <c r="A1075" s="255"/>
      <c r="B1075" s="3078"/>
      <c r="C1075" s="3078"/>
      <c r="D1075" s="3078"/>
      <c r="E1075" s="3078"/>
      <c r="F1075" s="3079"/>
      <c r="G1075" s="3080"/>
      <c r="H1075" s="3078"/>
      <c r="I1075" s="3078"/>
      <c r="J1075" s="3081"/>
    </row>
    <row r="1076" spans="1:10">
      <c r="A1076" s="255" t="s">
        <v>2047</v>
      </c>
      <c r="B1076" s="256" t="s">
        <v>2047</v>
      </c>
      <c r="C1076" s="256" t="s">
        <v>2047</v>
      </c>
      <c r="D1076" s="256" t="s">
        <v>2047</v>
      </c>
      <c r="E1076" s="256" t="s">
        <v>2047</v>
      </c>
      <c r="F1076" s="3079" t="s">
        <v>2047</v>
      </c>
      <c r="G1076" s="3080"/>
      <c r="H1076" s="3078" t="s">
        <v>3313</v>
      </c>
      <c r="I1076" s="3078"/>
      <c r="J1076" s="3081"/>
    </row>
    <row r="1077" spans="1:10">
      <c r="A1077" s="245" t="s">
        <v>2047</v>
      </c>
      <c r="B1077" s="228" t="s">
        <v>2047</v>
      </c>
      <c r="C1077" s="228" t="s">
        <v>2047</v>
      </c>
      <c r="D1077" s="228" t="s">
        <v>2047</v>
      </c>
      <c r="E1077" s="228" t="s">
        <v>2047</v>
      </c>
      <c r="F1077" s="3046" t="s">
        <v>2047</v>
      </c>
      <c r="G1077" s="3047"/>
      <c r="H1077" s="3048" t="s">
        <v>3313</v>
      </c>
      <c r="I1077" s="3048"/>
      <c r="J1077" s="3049"/>
    </row>
    <row r="1078" spans="1:10">
      <c r="A1078" s="245" t="s">
        <v>2047</v>
      </c>
      <c r="B1078" s="228" t="s">
        <v>2047</v>
      </c>
      <c r="C1078" s="228" t="s">
        <v>2047</v>
      </c>
      <c r="D1078" s="228" t="s">
        <v>2047</v>
      </c>
      <c r="E1078" s="228" t="s">
        <v>2047</v>
      </c>
      <c r="F1078" s="3046" t="s">
        <v>2047</v>
      </c>
      <c r="G1078" s="3047"/>
      <c r="H1078" s="3048" t="s">
        <v>3313</v>
      </c>
      <c r="I1078" s="3048"/>
      <c r="J1078" s="3049"/>
    </row>
    <row r="1079" spans="1:10">
      <c r="A1079" s="245" t="s">
        <v>2047</v>
      </c>
      <c r="B1079" s="228" t="s">
        <v>2047</v>
      </c>
      <c r="C1079" s="228" t="s">
        <v>2047</v>
      </c>
      <c r="D1079" s="228" t="s">
        <v>2047</v>
      </c>
      <c r="E1079" s="228" t="s">
        <v>2047</v>
      </c>
      <c r="F1079" s="3046" t="s">
        <v>2047</v>
      </c>
      <c r="G1079" s="3047"/>
      <c r="H1079" s="3048" t="s">
        <v>3313</v>
      </c>
      <c r="I1079" s="3048"/>
      <c r="J1079" s="3049"/>
    </row>
    <row r="1080" spans="1:10">
      <c r="A1080" s="245" t="s">
        <v>2047</v>
      </c>
      <c r="B1080" s="228" t="s">
        <v>2047</v>
      </c>
      <c r="C1080" s="228" t="s">
        <v>2047</v>
      </c>
      <c r="D1080" s="228" t="s">
        <v>2047</v>
      </c>
      <c r="E1080" s="228" t="s">
        <v>2047</v>
      </c>
      <c r="F1080" s="3046" t="s">
        <v>2047</v>
      </c>
      <c r="G1080" s="3047"/>
      <c r="H1080" s="3048" t="s">
        <v>3313</v>
      </c>
      <c r="I1080" s="3048"/>
      <c r="J1080" s="3049"/>
    </row>
    <row r="1081" spans="1:10">
      <c r="A1081" s="245" t="s">
        <v>2047</v>
      </c>
      <c r="B1081" s="228" t="s">
        <v>2047</v>
      </c>
      <c r="C1081" s="228" t="s">
        <v>2047</v>
      </c>
      <c r="D1081" s="228" t="s">
        <v>2047</v>
      </c>
      <c r="E1081" s="228" t="s">
        <v>2047</v>
      </c>
      <c r="F1081" s="3046" t="s">
        <v>2047</v>
      </c>
      <c r="G1081" s="3047"/>
      <c r="H1081" s="3048" t="s">
        <v>3313</v>
      </c>
      <c r="I1081" s="3048"/>
      <c r="J1081" s="3049"/>
    </row>
    <row r="1082" spans="1:10">
      <c r="A1082" s="245" t="s">
        <v>2047</v>
      </c>
      <c r="B1082" s="228" t="s">
        <v>2047</v>
      </c>
      <c r="C1082" s="228" t="s">
        <v>2047</v>
      </c>
      <c r="D1082" s="228" t="s">
        <v>2047</v>
      </c>
      <c r="E1082" s="228" t="s">
        <v>2047</v>
      </c>
      <c r="F1082" s="3046" t="s">
        <v>2047</v>
      </c>
      <c r="G1082" s="3047"/>
      <c r="H1082" s="3048" t="s">
        <v>3313</v>
      </c>
      <c r="I1082" s="3048"/>
      <c r="J1082" s="3049"/>
    </row>
    <row r="1083" spans="1:10">
      <c r="A1083" s="1754" t="s">
        <v>2580</v>
      </c>
      <c r="B1083" s="227" t="s">
        <v>2047</v>
      </c>
      <c r="C1083" s="227" t="s">
        <v>2047</v>
      </c>
      <c r="D1083" s="227" t="s">
        <v>2047</v>
      </c>
      <c r="E1083" s="3050" t="s">
        <v>3314</v>
      </c>
      <c r="F1083" s="3051"/>
      <c r="G1083" s="3052">
        <f>H1074+H1075</f>
        <v>2500</v>
      </c>
      <c r="H1083" s="3052"/>
      <c r="I1083" s="3053"/>
      <c r="J1083" s="246"/>
    </row>
    <row r="1084" spans="1:10">
      <c r="A1084" s="247" t="s">
        <v>2047</v>
      </c>
      <c r="B1084" s="229" t="s">
        <v>2047</v>
      </c>
      <c r="C1084" s="229" t="s">
        <v>2047</v>
      </c>
      <c r="D1084" s="229" t="s">
        <v>2047</v>
      </c>
      <c r="E1084" s="229" t="s">
        <v>2047</v>
      </c>
      <c r="F1084" s="230" t="s">
        <v>3315</v>
      </c>
      <c r="G1084" s="231" t="s">
        <v>3316</v>
      </c>
      <c r="H1084" s="3054" t="s">
        <v>3317</v>
      </c>
      <c r="I1084" s="3054"/>
      <c r="J1084" s="3055"/>
    </row>
    <row r="1085" spans="1:10">
      <c r="A1085" s="3056" t="s">
        <v>3318</v>
      </c>
      <c r="B1085" s="3057"/>
      <c r="C1085" s="3057"/>
      <c r="D1085" s="3057"/>
      <c r="E1085" s="3058"/>
      <c r="F1085" s="3062" t="s">
        <v>1990</v>
      </c>
      <c r="G1085" s="3063"/>
      <c r="H1085" s="3066">
        <f>G1083</f>
        <v>2500</v>
      </c>
      <c r="I1085" s="3067"/>
      <c r="J1085" s="3068"/>
    </row>
    <row r="1086" spans="1:10">
      <c r="A1086" s="3059"/>
      <c r="B1086" s="3060"/>
      <c r="C1086" s="3060"/>
      <c r="D1086" s="3060"/>
      <c r="E1086" s="3061"/>
      <c r="F1086" s="3064"/>
      <c r="G1086" s="3065"/>
      <c r="H1086" s="3069"/>
      <c r="I1086" s="3070"/>
      <c r="J1086" s="3071"/>
    </row>
    <row r="1087" spans="1:10">
      <c r="A1087" s="3072" t="s">
        <v>3319</v>
      </c>
      <c r="B1087" s="3073"/>
      <c r="C1087" s="3073"/>
      <c r="D1087" s="3073"/>
      <c r="E1087" s="3073"/>
      <c r="F1087" s="3073"/>
      <c r="G1087" s="3073"/>
      <c r="H1087" s="3073"/>
      <c r="I1087" s="3073"/>
      <c r="J1087" s="3074"/>
    </row>
    <row r="1088" spans="1:10">
      <c r="A1088" s="3075"/>
      <c r="B1088" s="3076"/>
      <c r="C1088" s="3076"/>
      <c r="D1088" s="3076"/>
      <c r="E1088" s="3076"/>
      <c r="F1088" s="3076"/>
      <c r="G1088" s="3076"/>
      <c r="H1088" s="3076"/>
      <c r="I1088" s="3076"/>
      <c r="J1088" s="3077"/>
    </row>
    <row r="1090" spans="1:12">
      <c r="A1090" s="2486"/>
      <c r="B1090" s="2486"/>
      <c r="C1090" s="2486"/>
      <c r="D1090" s="2486"/>
      <c r="E1090" s="2486"/>
      <c r="F1090" s="2486"/>
      <c r="G1090" s="2486"/>
      <c r="H1090" s="2486"/>
      <c r="I1090" s="2486"/>
      <c r="J1090" s="2486"/>
      <c r="K1090" s="2486"/>
      <c r="L1090" s="2486"/>
    </row>
    <row r="1092" spans="1:12">
      <c r="A1092" s="238" t="s">
        <v>2047</v>
      </c>
      <c r="B1092" s="239" t="s">
        <v>2047</v>
      </c>
      <c r="C1092" s="3082" t="s">
        <v>3292</v>
      </c>
      <c r="D1092" s="3082"/>
      <c r="E1092" s="3082"/>
      <c r="F1092" s="3083"/>
      <c r="G1092" s="239" t="s">
        <v>2047</v>
      </c>
      <c r="H1092" s="1755" t="s">
        <v>2047</v>
      </c>
      <c r="I1092" s="1755" t="s">
        <v>2047</v>
      </c>
      <c r="J1092" s="240" t="s">
        <v>2047</v>
      </c>
    </row>
    <row r="1093" spans="1:12" ht="15.6">
      <c r="A1093" s="241" t="s">
        <v>2047</v>
      </c>
      <c r="B1093" s="223"/>
      <c r="C1093" s="3084" t="s">
        <v>2045</v>
      </c>
      <c r="D1093" s="3084"/>
      <c r="E1093" s="3084"/>
      <c r="F1093" s="3085"/>
      <c r="G1093" s="1756" t="s">
        <v>2047</v>
      </c>
      <c r="H1093" s="3086" t="s">
        <v>3431</v>
      </c>
      <c r="I1093" s="3086"/>
      <c r="J1093" s="242" t="s">
        <v>2047</v>
      </c>
    </row>
    <row r="1094" spans="1:12" ht="17.45">
      <c r="A1094" s="241" t="s">
        <v>2047</v>
      </c>
      <c r="B1094" s="224"/>
      <c r="C1094" s="3088" t="s">
        <v>3294</v>
      </c>
      <c r="D1094" s="3088"/>
      <c r="E1094" s="3088"/>
      <c r="F1094" s="3089"/>
      <c r="G1094" s="225" t="s">
        <v>3295</v>
      </c>
      <c r="H1094" s="3087"/>
      <c r="I1094" s="3087"/>
      <c r="J1094" s="242" t="s">
        <v>2047</v>
      </c>
    </row>
    <row r="1095" spans="1:12" ht="15.75" customHeight="1">
      <c r="A1095" s="241" t="s">
        <v>2047</v>
      </c>
      <c r="B1095" s="224" t="s">
        <v>2047</v>
      </c>
      <c r="C1095" s="3090" t="s">
        <v>3296</v>
      </c>
      <c r="D1095" s="3090"/>
      <c r="E1095" s="3090"/>
      <c r="F1095" s="3091"/>
      <c r="G1095" s="1756" t="s">
        <v>2047</v>
      </c>
      <c r="H1095" s="226"/>
      <c r="I1095" s="226" t="s">
        <v>2047</v>
      </c>
      <c r="J1095" s="243" t="s">
        <v>2047</v>
      </c>
    </row>
    <row r="1096" spans="1:12" ht="31.9">
      <c r="A1096" s="234" t="s">
        <v>3297</v>
      </c>
      <c r="B1096" s="3092" t="s">
        <v>3419</v>
      </c>
      <c r="C1096" s="3093"/>
      <c r="D1096" s="3093"/>
      <c r="E1096" s="3094"/>
      <c r="F1096" s="233" t="s">
        <v>3299</v>
      </c>
      <c r="G1096" s="232">
        <v>70720539</v>
      </c>
      <c r="H1096" s="1757" t="s">
        <v>3301</v>
      </c>
      <c r="I1096" s="1757" t="s">
        <v>3302</v>
      </c>
      <c r="J1096" s="244" t="s">
        <v>3303</v>
      </c>
    </row>
    <row r="1097" spans="1:12">
      <c r="A1097" s="3095"/>
      <c r="B1097" s="3096"/>
      <c r="C1097" s="3096"/>
      <c r="D1097" s="3096"/>
      <c r="E1097" s="3097"/>
      <c r="F1097" s="3096"/>
      <c r="G1097" s="3097"/>
      <c r="H1097" s="248">
        <v>12</v>
      </c>
      <c r="I1097" s="248">
        <v>1</v>
      </c>
      <c r="J1097" s="249">
        <v>2022</v>
      </c>
    </row>
    <row r="1098" spans="1:12">
      <c r="A1098" s="3098" t="s">
        <v>3304</v>
      </c>
      <c r="B1098" s="3099"/>
      <c r="C1098" s="3099"/>
      <c r="D1098" s="3099"/>
      <c r="E1098" s="3099"/>
      <c r="F1098" s="3100" t="s">
        <v>3305</v>
      </c>
      <c r="G1098" s="3101"/>
      <c r="H1098" s="3102" t="s">
        <v>3306</v>
      </c>
      <c r="I1098" s="3102"/>
      <c r="J1098" s="3101"/>
    </row>
    <row r="1099" spans="1:12" ht="24" customHeight="1">
      <c r="A1099" s="3098" t="s">
        <v>3420</v>
      </c>
      <c r="B1099" s="3099"/>
      <c r="C1099" s="3099"/>
      <c r="D1099" s="3099"/>
      <c r="E1099" s="3099"/>
      <c r="F1099" s="3103" t="s">
        <v>3421</v>
      </c>
      <c r="G1099" s="3103"/>
      <c r="H1099" s="3104" t="s">
        <v>125</v>
      </c>
      <c r="I1099" s="3103"/>
      <c r="J1099" s="3103"/>
    </row>
    <row r="1100" spans="1:12">
      <c r="A1100" s="254" t="s">
        <v>3309</v>
      </c>
      <c r="B1100" s="3105" t="s">
        <v>3310</v>
      </c>
      <c r="C1100" s="3105"/>
      <c r="D1100" s="3105"/>
      <c r="E1100" s="3106"/>
      <c r="F1100" s="3105" t="s">
        <v>2012</v>
      </c>
      <c r="G1100" s="3106"/>
      <c r="H1100" s="3105" t="s">
        <v>3311</v>
      </c>
      <c r="I1100" s="3105"/>
      <c r="J1100" s="3107"/>
    </row>
    <row r="1101" spans="1:12">
      <c r="A1101" s="255">
        <v>1</v>
      </c>
      <c r="B1101" s="3078" t="s">
        <v>3422</v>
      </c>
      <c r="C1101" s="3078"/>
      <c r="D1101" s="3078"/>
      <c r="E1101" s="3078"/>
      <c r="F1101" s="3079">
        <v>2500</v>
      </c>
      <c r="G1101" s="3080"/>
      <c r="H1101" s="3078">
        <f>F1101*A1101</f>
        <v>2500</v>
      </c>
      <c r="I1101" s="3078"/>
      <c r="J1101" s="3081"/>
    </row>
    <row r="1102" spans="1:12">
      <c r="A1102" s="255"/>
      <c r="B1102" s="3078"/>
      <c r="C1102" s="3078"/>
      <c r="D1102" s="3078"/>
      <c r="E1102" s="3078"/>
      <c r="F1102" s="3079"/>
      <c r="G1102" s="3080"/>
      <c r="H1102" s="3078"/>
      <c r="I1102" s="3078"/>
      <c r="J1102" s="3081"/>
    </row>
    <row r="1103" spans="1:12">
      <c r="A1103" s="255" t="s">
        <v>2047</v>
      </c>
      <c r="B1103" s="256" t="s">
        <v>2047</v>
      </c>
      <c r="C1103" s="256" t="s">
        <v>2047</v>
      </c>
      <c r="D1103" s="256" t="s">
        <v>2047</v>
      </c>
      <c r="E1103" s="256" t="s">
        <v>2047</v>
      </c>
      <c r="F1103" s="3079" t="s">
        <v>2047</v>
      </c>
      <c r="G1103" s="3080"/>
      <c r="H1103" s="3078" t="s">
        <v>3313</v>
      </c>
      <c r="I1103" s="3078"/>
      <c r="J1103" s="3081"/>
    </row>
    <row r="1104" spans="1:12">
      <c r="A1104" s="245" t="s">
        <v>2047</v>
      </c>
      <c r="B1104" s="228" t="s">
        <v>2047</v>
      </c>
      <c r="C1104" s="228" t="s">
        <v>2047</v>
      </c>
      <c r="D1104" s="228" t="s">
        <v>2047</v>
      </c>
      <c r="E1104" s="228" t="s">
        <v>2047</v>
      </c>
      <c r="F1104" s="3046" t="s">
        <v>2047</v>
      </c>
      <c r="G1104" s="3047"/>
      <c r="H1104" s="3048" t="s">
        <v>3313</v>
      </c>
      <c r="I1104" s="3048"/>
      <c r="J1104" s="3049"/>
    </row>
    <row r="1105" spans="1:10">
      <c r="A1105" s="245" t="s">
        <v>2047</v>
      </c>
      <c r="B1105" s="228" t="s">
        <v>2047</v>
      </c>
      <c r="C1105" s="228" t="s">
        <v>2047</v>
      </c>
      <c r="D1105" s="228" t="s">
        <v>2047</v>
      </c>
      <c r="E1105" s="228" t="s">
        <v>2047</v>
      </c>
      <c r="F1105" s="3046" t="s">
        <v>2047</v>
      </c>
      <c r="G1105" s="3047"/>
      <c r="H1105" s="3048" t="s">
        <v>3313</v>
      </c>
      <c r="I1105" s="3048"/>
      <c r="J1105" s="3049"/>
    </row>
    <row r="1106" spans="1:10">
      <c r="A1106" s="245" t="s">
        <v>2047</v>
      </c>
      <c r="B1106" s="228" t="s">
        <v>2047</v>
      </c>
      <c r="C1106" s="228" t="s">
        <v>2047</v>
      </c>
      <c r="D1106" s="228" t="s">
        <v>2047</v>
      </c>
      <c r="E1106" s="228" t="s">
        <v>2047</v>
      </c>
      <c r="F1106" s="3046" t="s">
        <v>2047</v>
      </c>
      <c r="G1106" s="3047"/>
      <c r="H1106" s="3048" t="s">
        <v>3313</v>
      </c>
      <c r="I1106" s="3048"/>
      <c r="J1106" s="3049"/>
    </row>
    <row r="1107" spans="1:10">
      <c r="A1107" s="245" t="s">
        <v>2047</v>
      </c>
      <c r="B1107" s="228" t="s">
        <v>2047</v>
      </c>
      <c r="C1107" s="228" t="s">
        <v>2047</v>
      </c>
      <c r="D1107" s="228" t="s">
        <v>2047</v>
      </c>
      <c r="E1107" s="228" t="s">
        <v>2047</v>
      </c>
      <c r="F1107" s="3046" t="s">
        <v>2047</v>
      </c>
      <c r="G1107" s="3047"/>
      <c r="H1107" s="3048" t="s">
        <v>3313</v>
      </c>
      <c r="I1107" s="3048"/>
      <c r="J1107" s="3049"/>
    </row>
    <row r="1108" spans="1:10">
      <c r="A1108" s="245" t="s">
        <v>2047</v>
      </c>
      <c r="B1108" s="228" t="s">
        <v>2047</v>
      </c>
      <c r="C1108" s="228" t="s">
        <v>2047</v>
      </c>
      <c r="D1108" s="228" t="s">
        <v>2047</v>
      </c>
      <c r="E1108" s="228" t="s">
        <v>2047</v>
      </c>
      <c r="F1108" s="3046" t="s">
        <v>2047</v>
      </c>
      <c r="G1108" s="3047"/>
      <c r="H1108" s="3048" t="s">
        <v>3313</v>
      </c>
      <c r="I1108" s="3048"/>
      <c r="J1108" s="3049"/>
    </row>
    <row r="1109" spans="1:10">
      <c r="A1109" s="245" t="s">
        <v>2047</v>
      </c>
      <c r="B1109" s="228" t="s">
        <v>2047</v>
      </c>
      <c r="C1109" s="228" t="s">
        <v>2047</v>
      </c>
      <c r="D1109" s="228" t="s">
        <v>2047</v>
      </c>
      <c r="E1109" s="228" t="s">
        <v>2047</v>
      </c>
      <c r="F1109" s="3046" t="s">
        <v>2047</v>
      </c>
      <c r="G1109" s="3047"/>
      <c r="H1109" s="3048" t="s">
        <v>3313</v>
      </c>
      <c r="I1109" s="3048"/>
      <c r="J1109" s="3049"/>
    </row>
    <row r="1110" spans="1:10">
      <c r="A1110" s="1754" t="s">
        <v>2580</v>
      </c>
      <c r="B1110" s="227" t="s">
        <v>2047</v>
      </c>
      <c r="C1110" s="227" t="s">
        <v>2047</v>
      </c>
      <c r="D1110" s="227" t="s">
        <v>2047</v>
      </c>
      <c r="E1110" s="3050" t="s">
        <v>3314</v>
      </c>
      <c r="F1110" s="3051"/>
      <c r="G1110" s="3052">
        <f>H1101+H1102</f>
        <v>2500</v>
      </c>
      <c r="H1110" s="3052"/>
      <c r="I1110" s="3053"/>
      <c r="J1110" s="246"/>
    </row>
    <row r="1111" spans="1:10">
      <c r="A1111" s="247" t="s">
        <v>2047</v>
      </c>
      <c r="B1111" s="229" t="s">
        <v>2047</v>
      </c>
      <c r="C1111" s="229" t="s">
        <v>2047</v>
      </c>
      <c r="D1111" s="229" t="s">
        <v>2047</v>
      </c>
      <c r="E1111" s="229" t="s">
        <v>2047</v>
      </c>
      <c r="F1111" s="230" t="s">
        <v>3315</v>
      </c>
      <c r="G1111" s="231" t="s">
        <v>3316</v>
      </c>
      <c r="H1111" s="3054" t="s">
        <v>3317</v>
      </c>
      <c r="I1111" s="3054"/>
      <c r="J1111" s="3055"/>
    </row>
    <row r="1112" spans="1:10">
      <c r="A1112" s="3056" t="s">
        <v>3318</v>
      </c>
      <c r="B1112" s="3057"/>
      <c r="C1112" s="3057"/>
      <c r="D1112" s="3057"/>
      <c r="E1112" s="3058"/>
      <c r="F1112" s="3062" t="s">
        <v>1990</v>
      </c>
      <c r="G1112" s="3063"/>
      <c r="H1112" s="3066">
        <f>G1110</f>
        <v>2500</v>
      </c>
      <c r="I1112" s="3067"/>
      <c r="J1112" s="3068"/>
    </row>
    <row r="1113" spans="1:10">
      <c r="A1113" s="3059"/>
      <c r="B1113" s="3060"/>
      <c r="C1113" s="3060"/>
      <c r="D1113" s="3060"/>
      <c r="E1113" s="3061"/>
      <c r="F1113" s="3064"/>
      <c r="G1113" s="3065"/>
      <c r="H1113" s="3069"/>
      <c r="I1113" s="3070"/>
      <c r="J1113" s="3071"/>
    </row>
    <row r="1114" spans="1:10">
      <c r="A1114" s="3072" t="s">
        <v>3319</v>
      </c>
      <c r="B1114" s="3073"/>
      <c r="C1114" s="3073"/>
      <c r="D1114" s="3073"/>
      <c r="E1114" s="3073"/>
      <c r="F1114" s="3073"/>
      <c r="G1114" s="3073"/>
      <c r="H1114" s="3073"/>
      <c r="I1114" s="3073"/>
      <c r="J1114" s="3074"/>
    </row>
    <row r="1115" spans="1:10">
      <c r="A1115" s="3075"/>
      <c r="B1115" s="3076"/>
      <c r="C1115" s="3076"/>
      <c r="D1115" s="3076"/>
      <c r="E1115" s="3076"/>
      <c r="F1115" s="3076"/>
      <c r="G1115" s="3076"/>
      <c r="H1115" s="3076"/>
      <c r="I1115" s="3076"/>
      <c r="J1115" s="3077"/>
    </row>
    <row r="1117" spans="1:10">
      <c r="A1117" s="238" t="s">
        <v>2047</v>
      </c>
      <c r="B1117" s="239" t="s">
        <v>2047</v>
      </c>
      <c r="C1117" s="3082" t="s">
        <v>3292</v>
      </c>
      <c r="D1117" s="3082"/>
      <c r="E1117" s="3082"/>
      <c r="F1117" s="3083"/>
      <c r="G1117" s="239" t="s">
        <v>2047</v>
      </c>
      <c r="H1117" s="1755" t="s">
        <v>2047</v>
      </c>
      <c r="I1117" s="1755" t="s">
        <v>2047</v>
      </c>
      <c r="J1117" s="240" t="s">
        <v>2047</v>
      </c>
    </row>
    <row r="1118" spans="1:10" ht="15.6">
      <c r="A1118" s="241" t="s">
        <v>2047</v>
      </c>
      <c r="B1118" s="223"/>
      <c r="C1118" s="3084" t="s">
        <v>2045</v>
      </c>
      <c r="D1118" s="3084"/>
      <c r="E1118" s="3084"/>
      <c r="F1118" s="3085"/>
      <c r="G1118" s="1756" t="s">
        <v>2047</v>
      </c>
      <c r="H1118" s="3086" t="s">
        <v>3432</v>
      </c>
      <c r="I1118" s="3086"/>
      <c r="J1118" s="242" t="s">
        <v>2047</v>
      </c>
    </row>
    <row r="1119" spans="1:10" ht="17.45">
      <c r="A1119" s="241" t="s">
        <v>2047</v>
      </c>
      <c r="B1119" s="224"/>
      <c r="C1119" s="3088" t="s">
        <v>3294</v>
      </c>
      <c r="D1119" s="3088"/>
      <c r="E1119" s="3088"/>
      <c r="F1119" s="3089"/>
      <c r="G1119" s="225" t="s">
        <v>3295</v>
      </c>
      <c r="H1119" s="3087"/>
      <c r="I1119" s="3087"/>
      <c r="J1119" s="242" t="s">
        <v>2047</v>
      </c>
    </row>
    <row r="1120" spans="1:10">
      <c r="A1120" s="241" t="s">
        <v>2047</v>
      </c>
      <c r="B1120" s="224" t="s">
        <v>2047</v>
      </c>
      <c r="C1120" s="3090" t="s">
        <v>3296</v>
      </c>
      <c r="D1120" s="3090"/>
      <c r="E1120" s="3090"/>
      <c r="F1120" s="3091"/>
      <c r="G1120" s="1756" t="s">
        <v>2047</v>
      </c>
      <c r="H1120" s="226"/>
      <c r="I1120" s="226" t="s">
        <v>2047</v>
      </c>
      <c r="J1120" s="243" t="s">
        <v>2047</v>
      </c>
    </row>
    <row r="1121" spans="1:10" ht="31.9">
      <c r="A1121" s="234" t="s">
        <v>3297</v>
      </c>
      <c r="B1121" s="3092" t="s">
        <v>3419</v>
      </c>
      <c r="C1121" s="3093"/>
      <c r="D1121" s="3093"/>
      <c r="E1121" s="3094"/>
      <c r="F1121" s="233" t="s">
        <v>3299</v>
      </c>
      <c r="G1121" s="232">
        <v>70720539</v>
      </c>
      <c r="H1121" s="1757" t="s">
        <v>3301</v>
      </c>
      <c r="I1121" s="1757" t="s">
        <v>3302</v>
      </c>
      <c r="J1121" s="244" t="s">
        <v>3303</v>
      </c>
    </row>
    <row r="1122" spans="1:10">
      <c r="A1122" s="3095"/>
      <c r="B1122" s="3096"/>
      <c r="C1122" s="3096"/>
      <c r="D1122" s="3096"/>
      <c r="E1122" s="3097"/>
      <c r="F1122" s="3096"/>
      <c r="G1122" s="3097"/>
      <c r="H1122" s="248">
        <v>14</v>
      </c>
      <c r="I1122" s="248">
        <v>1</v>
      </c>
      <c r="J1122" s="249">
        <v>2022</v>
      </c>
    </row>
    <row r="1123" spans="1:10">
      <c r="A1123" s="3098" t="s">
        <v>3304</v>
      </c>
      <c r="B1123" s="3099"/>
      <c r="C1123" s="3099"/>
      <c r="D1123" s="3099"/>
      <c r="E1123" s="3099"/>
      <c r="F1123" s="3100" t="s">
        <v>3305</v>
      </c>
      <c r="G1123" s="3101"/>
      <c r="H1123" s="3102" t="s">
        <v>3306</v>
      </c>
      <c r="I1123" s="3102"/>
      <c r="J1123" s="3101"/>
    </row>
    <row r="1124" spans="1:10" ht="21.75" customHeight="1">
      <c r="A1124" s="3098" t="s">
        <v>3420</v>
      </c>
      <c r="B1124" s="3099"/>
      <c r="C1124" s="3099"/>
      <c r="D1124" s="3099"/>
      <c r="E1124" s="3099"/>
      <c r="F1124" s="3103" t="s">
        <v>3421</v>
      </c>
      <c r="G1124" s="3103"/>
      <c r="H1124" s="3104" t="s">
        <v>125</v>
      </c>
      <c r="I1124" s="3103"/>
      <c r="J1124" s="3103"/>
    </row>
    <row r="1125" spans="1:10">
      <c r="A1125" s="254" t="s">
        <v>3309</v>
      </c>
      <c r="B1125" s="3105" t="s">
        <v>3310</v>
      </c>
      <c r="C1125" s="3105"/>
      <c r="D1125" s="3105"/>
      <c r="E1125" s="3106"/>
      <c r="F1125" s="3105" t="s">
        <v>2012</v>
      </c>
      <c r="G1125" s="3106"/>
      <c r="H1125" s="3105" t="s">
        <v>3311</v>
      </c>
      <c r="I1125" s="3105"/>
      <c r="J1125" s="3107"/>
    </row>
    <row r="1126" spans="1:10">
      <c r="A1126" s="255">
        <v>1</v>
      </c>
      <c r="B1126" s="3078" t="s">
        <v>3422</v>
      </c>
      <c r="C1126" s="3078"/>
      <c r="D1126" s="3078"/>
      <c r="E1126" s="3078"/>
      <c r="F1126" s="3079">
        <v>2500</v>
      </c>
      <c r="G1126" s="3080"/>
      <c r="H1126" s="3078">
        <f>F1126*A1126</f>
        <v>2500</v>
      </c>
      <c r="I1126" s="3078"/>
      <c r="J1126" s="3081"/>
    </row>
    <row r="1127" spans="1:10">
      <c r="A1127" s="255"/>
      <c r="B1127" s="3078"/>
      <c r="C1127" s="3078"/>
      <c r="D1127" s="3078"/>
      <c r="E1127" s="3078"/>
      <c r="F1127" s="3079"/>
      <c r="G1127" s="3080"/>
      <c r="H1127" s="3078"/>
      <c r="I1127" s="3078"/>
      <c r="J1127" s="3081"/>
    </row>
    <row r="1128" spans="1:10">
      <c r="A1128" s="255" t="s">
        <v>2047</v>
      </c>
      <c r="B1128" s="256" t="s">
        <v>2047</v>
      </c>
      <c r="C1128" s="256" t="s">
        <v>2047</v>
      </c>
      <c r="D1128" s="256" t="s">
        <v>2047</v>
      </c>
      <c r="E1128" s="256" t="s">
        <v>2047</v>
      </c>
      <c r="F1128" s="3079" t="s">
        <v>2047</v>
      </c>
      <c r="G1128" s="3080"/>
      <c r="H1128" s="3078" t="s">
        <v>3313</v>
      </c>
      <c r="I1128" s="3078"/>
      <c r="J1128" s="3081"/>
    </row>
    <row r="1129" spans="1:10">
      <c r="A1129" s="245" t="s">
        <v>2047</v>
      </c>
      <c r="B1129" s="228" t="s">
        <v>2047</v>
      </c>
      <c r="C1129" s="228" t="s">
        <v>2047</v>
      </c>
      <c r="D1129" s="228" t="s">
        <v>2047</v>
      </c>
      <c r="E1129" s="228" t="s">
        <v>2047</v>
      </c>
      <c r="F1129" s="3046" t="s">
        <v>2047</v>
      </c>
      <c r="G1129" s="3047"/>
      <c r="H1129" s="3048" t="s">
        <v>3313</v>
      </c>
      <c r="I1129" s="3048"/>
      <c r="J1129" s="3049"/>
    </row>
    <row r="1130" spans="1:10">
      <c r="A1130" s="245" t="s">
        <v>2047</v>
      </c>
      <c r="B1130" s="228" t="s">
        <v>2047</v>
      </c>
      <c r="C1130" s="228" t="s">
        <v>2047</v>
      </c>
      <c r="D1130" s="228" t="s">
        <v>2047</v>
      </c>
      <c r="E1130" s="228" t="s">
        <v>2047</v>
      </c>
      <c r="F1130" s="3046" t="s">
        <v>2047</v>
      </c>
      <c r="G1130" s="3047"/>
      <c r="H1130" s="3048" t="s">
        <v>3313</v>
      </c>
      <c r="I1130" s="3048"/>
      <c r="J1130" s="3049"/>
    </row>
    <row r="1131" spans="1:10">
      <c r="A1131" s="245" t="s">
        <v>2047</v>
      </c>
      <c r="B1131" s="228" t="s">
        <v>2047</v>
      </c>
      <c r="C1131" s="228" t="s">
        <v>2047</v>
      </c>
      <c r="D1131" s="228" t="s">
        <v>2047</v>
      </c>
      <c r="E1131" s="228" t="s">
        <v>2047</v>
      </c>
      <c r="F1131" s="3046" t="s">
        <v>2047</v>
      </c>
      <c r="G1131" s="3047"/>
      <c r="H1131" s="3048" t="s">
        <v>3313</v>
      </c>
      <c r="I1131" s="3048"/>
      <c r="J1131" s="3049"/>
    </row>
    <row r="1132" spans="1:10">
      <c r="A1132" s="245" t="s">
        <v>2047</v>
      </c>
      <c r="B1132" s="228" t="s">
        <v>2047</v>
      </c>
      <c r="C1132" s="228" t="s">
        <v>2047</v>
      </c>
      <c r="D1132" s="228" t="s">
        <v>2047</v>
      </c>
      <c r="E1132" s="228" t="s">
        <v>2047</v>
      </c>
      <c r="F1132" s="3046" t="s">
        <v>2047</v>
      </c>
      <c r="G1132" s="3047"/>
      <c r="H1132" s="3048" t="s">
        <v>3313</v>
      </c>
      <c r="I1132" s="3048"/>
      <c r="J1132" s="3049"/>
    </row>
    <row r="1133" spans="1:10">
      <c r="A1133" s="245" t="s">
        <v>2047</v>
      </c>
      <c r="B1133" s="228" t="s">
        <v>2047</v>
      </c>
      <c r="C1133" s="228" t="s">
        <v>2047</v>
      </c>
      <c r="D1133" s="228" t="s">
        <v>2047</v>
      </c>
      <c r="E1133" s="228" t="s">
        <v>2047</v>
      </c>
      <c r="F1133" s="3046" t="s">
        <v>2047</v>
      </c>
      <c r="G1133" s="3047"/>
      <c r="H1133" s="3048" t="s">
        <v>3313</v>
      </c>
      <c r="I1133" s="3048"/>
      <c r="J1133" s="3049"/>
    </row>
    <row r="1134" spans="1:10">
      <c r="A1134" s="245" t="s">
        <v>2047</v>
      </c>
      <c r="B1134" s="228" t="s">
        <v>2047</v>
      </c>
      <c r="C1134" s="228" t="s">
        <v>2047</v>
      </c>
      <c r="D1134" s="228" t="s">
        <v>2047</v>
      </c>
      <c r="E1134" s="228" t="s">
        <v>2047</v>
      </c>
      <c r="F1134" s="3046" t="s">
        <v>2047</v>
      </c>
      <c r="G1134" s="3047"/>
      <c r="H1134" s="3048" t="s">
        <v>3313</v>
      </c>
      <c r="I1134" s="3048"/>
      <c r="J1134" s="3049"/>
    </row>
    <row r="1135" spans="1:10">
      <c r="A1135" s="1754" t="s">
        <v>2580</v>
      </c>
      <c r="B1135" s="227" t="s">
        <v>2047</v>
      </c>
      <c r="C1135" s="227" t="s">
        <v>2047</v>
      </c>
      <c r="D1135" s="227" t="s">
        <v>2047</v>
      </c>
      <c r="E1135" s="3050" t="s">
        <v>3314</v>
      </c>
      <c r="F1135" s="3051"/>
      <c r="G1135" s="3052">
        <f>H1126+H1127</f>
        <v>2500</v>
      </c>
      <c r="H1135" s="3052"/>
      <c r="I1135" s="3053"/>
      <c r="J1135" s="246"/>
    </row>
    <row r="1136" spans="1:10">
      <c r="A1136" s="247" t="s">
        <v>2047</v>
      </c>
      <c r="B1136" s="229" t="s">
        <v>2047</v>
      </c>
      <c r="C1136" s="229" t="s">
        <v>2047</v>
      </c>
      <c r="D1136" s="229" t="s">
        <v>2047</v>
      </c>
      <c r="E1136" s="229" t="s">
        <v>2047</v>
      </c>
      <c r="F1136" s="230" t="s">
        <v>3315</v>
      </c>
      <c r="G1136" s="231" t="s">
        <v>3316</v>
      </c>
      <c r="H1136" s="3054" t="s">
        <v>3317</v>
      </c>
      <c r="I1136" s="3054"/>
      <c r="J1136" s="3055"/>
    </row>
    <row r="1137" spans="1:10">
      <c r="A1137" s="3056" t="s">
        <v>3318</v>
      </c>
      <c r="B1137" s="3057"/>
      <c r="C1137" s="3057"/>
      <c r="D1137" s="3057"/>
      <c r="E1137" s="3058"/>
      <c r="F1137" s="3062" t="s">
        <v>1990</v>
      </c>
      <c r="G1137" s="3063"/>
      <c r="H1137" s="3066">
        <f>G1135</f>
        <v>2500</v>
      </c>
      <c r="I1137" s="3067"/>
      <c r="J1137" s="3068"/>
    </row>
    <row r="1138" spans="1:10">
      <c r="A1138" s="3059"/>
      <c r="B1138" s="3060"/>
      <c r="C1138" s="3060"/>
      <c r="D1138" s="3060"/>
      <c r="E1138" s="3061"/>
      <c r="F1138" s="3064"/>
      <c r="G1138" s="3065"/>
      <c r="H1138" s="3069"/>
      <c r="I1138" s="3070"/>
      <c r="J1138" s="3071"/>
    </row>
    <row r="1139" spans="1:10">
      <c r="A1139" s="3072" t="s">
        <v>3319</v>
      </c>
      <c r="B1139" s="3073"/>
      <c r="C1139" s="3073"/>
      <c r="D1139" s="3073"/>
      <c r="E1139" s="3073"/>
      <c r="F1139" s="3073"/>
      <c r="G1139" s="3073"/>
      <c r="H1139" s="3073"/>
      <c r="I1139" s="3073"/>
      <c r="J1139" s="3074"/>
    </row>
    <row r="1140" spans="1:10">
      <c r="A1140" s="3075"/>
      <c r="B1140" s="3076"/>
      <c r="C1140" s="3076"/>
      <c r="D1140" s="3076"/>
      <c r="E1140" s="3076"/>
      <c r="F1140" s="3076"/>
      <c r="G1140" s="3076"/>
      <c r="H1140" s="3076"/>
      <c r="I1140" s="3076"/>
      <c r="J1140" s="3077"/>
    </row>
    <row r="1142" spans="1:10">
      <c r="A1142" s="238" t="s">
        <v>2047</v>
      </c>
      <c r="B1142" s="239" t="s">
        <v>2047</v>
      </c>
      <c r="C1142" s="3082" t="s">
        <v>3292</v>
      </c>
      <c r="D1142" s="3082"/>
      <c r="E1142" s="3082"/>
      <c r="F1142" s="3083"/>
      <c r="G1142" s="239" t="s">
        <v>2047</v>
      </c>
      <c r="H1142" s="1755" t="s">
        <v>2047</v>
      </c>
      <c r="I1142" s="1755" t="s">
        <v>2047</v>
      </c>
      <c r="J1142" s="240" t="s">
        <v>2047</v>
      </c>
    </row>
    <row r="1143" spans="1:10" ht="15.6">
      <c r="A1143" s="241" t="s">
        <v>2047</v>
      </c>
      <c r="B1143" s="223"/>
      <c r="C1143" s="3084" t="s">
        <v>2045</v>
      </c>
      <c r="D1143" s="3084"/>
      <c r="E1143" s="3084"/>
      <c r="F1143" s="3085"/>
      <c r="G1143" s="1756" t="s">
        <v>2047</v>
      </c>
      <c r="H1143" s="3086" t="s">
        <v>3433</v>
      </c>
      <c r="I1143" s="3086"/>
      <c r="J1143" s="242" t="s">
        <v>2047</v>
      </c>
    </row>
    <row r="1144" spans="1:10" ht="17.45">
      <c r="A1144" s="241" t="s">
        <v>2047</v>
      </c>
      <c r="B1144" s="224"/>
      <c r="C1144" s="3088" t="s">
        <v>3294</v>
      </c>
      <c r="D1144" s="3088"/>
      <c r="E1144" s="3088"/>
      <c r="F1144" s="3089"/>
      <c r="G1144" s="225" t="s">
        <v>3295</v>
      </c>
      <c r="H1144" s="3087"/>
      <c r="I1144" s="3087"/>
      <c r="J1144" s="242" t="s">
        <v>2047</v>
      </c>
    </row>
    <row r="1145" spans="1:10">
      <c r="A1145" s="241" t="s">
        <v>2047</v>
      </c>
      <c r="B1145" s="224" t="s">
        <v>2047</v>
      </c>
      <c r="C1145" s="3090" t="s">
        <v>3296</v>
      </c>
      <c r="D1145" s="3090"/>
      <c r="E1145" s="3090"/>
      <c r="F1145" s="3091"/>
      <c r="G1145" s="1756" t="s">
        <v>2047</v>
      </c>
      <c r="H1145" s="226"/>
      <c r="I1145" s="226" t="s">
        <v>2047</v>
      </c>
      <c r="J1145" s="243" t="s">
        <v>2047</v>
      </c>
    </row>
    <row r="1146" spans="1:10" ht="31.9">
      <c r="A1146" s="234" t="s">
        <v>3297</v>
      </c>
      <c r="B1146" s="3092" t="s">
        <v>3419</v>
      </c>
      <c r="C1146" s="3093"/>
      <c r="D1146" s="3093"/>
      <c r="E1146" s="3094"/>
      <c r="F1146" s="233" t="s">
        <v>3299</v>
      </c>
      <c r="G1146" s="232">
        <v>70720539</v>
      </c>
      <c r="H1146" s="1757" t="s">
        <v>3301</v>
      </c>
      <c r="I1146" s="1757" t="s">
        <v>3302</v>
      </c>
      <c r="J1146" s="244" t="s">
        <v>3303</v>
      </c>
    </row>
    <row r="1147" spans="1:10">
      <c r="A1147" s="3095"/>
      <c r="B1147" s="3096"/>
      <c r="C1147" s="3096"/>
      <c r="D1147" s="3096"/>
      <c r="E1147" s="3097"/>
      <c r="F1147" s="3096"/>
      <c r="G1147" s="3097"/>
      <c r="H1147" s="248">
        <v>14</v>
      </c>
      <c r="I1147" s="248">
        <v>2</v>
      </c>
      <c r="J1147" s="249">
        <v>2022</v>
      </c>
    </row>
    <row r="1148" spans="1:10" ht="12" customHeight="1">
      <c r="A1148" s="3098" t="s">
        <v>3304</v>
      </c>
      <c r="B1148" s="3099"/>
      <c r="C1148" s="3099"/>
      <c r="D1148" s="3099"/>
      <c r="E1148" s="3099"/>
      <c r="F1148" s="3100" t="s">
        <v>3305</v>
      </c>
      <c r="G1148" s="3101"/>
      <c r="H1148" s="3102" t="s">
        <v>3306</v>
      </c>
      <c r="I1148" s="3102"/>
      <c r="J1148" s="3101"/>
    </row>
    <row r="1149" spans="1:10" ht="22.5" customHeight="1">
      <c r="A1149" s="3098" t="s">
        <v>3420</v>
      </c>
      <c r="B1149" s="3099"/>
      <c r="C1149" s="3099"/>
      <c r="D1149" s="3099"/>
      <c r="E1149" s="3099"/>
      <c r="F1149" s="3103" t="s">
        <v>3421</v>
      </c>
      <c r="G1149" s="3103"/>
      <c r="H1149" s="3104" t="s">
        <v>125</v>
      </c>
      <c r="I1149" s="3103"/>
      <c r="J1149" s="3103"/>
    </row>
    <row r="1150" spans="1:10">
      <c r="A1150" s="254" t="s">
        <v>3309</v>
      </c>
      <c r="B1150" s="3105" t="s">
        <v>3310</v>
      </c>
      <c r="C1150" s="3105"/>
      <c r="D1150" s="3105"/>
      <c r="E1150" s="3106"/>
      <c r="F1150" s="3105" t="s">
        <v>2012</v>
      </c>
      <c r="G1150" s="3106"/>
      <c r="H1150" s="3105" t="s">
        <v>3311</v>
      </c>
      <c r="I1150" s="3105"/>
      <c r="J1150" s="3107"/>
    </row>
    <row r="1151" spans="1:10">
      <c r="A1151" s="255">
        <v>1</v>
      </c>
      <c r="B1151" s="3078" t="s">
        <v>3422</v>
      </c>
      <c r="C1151" s="3078"/>
      <c r="D1151" s="3078"/>
      <c r="E1151" s="3078"/>
      <c r="F1151" s="3079">
        <v>2500</v>
      </c>
      <c r="G1151" s="3080"/>
      <c r="H1151" s="3078">
        <f>F1151*A1151</f>
        <v>2500</v>
      </c>
      <c r="I1151" s="3078"/>
      <c r="J1151" s="3081"/>
    </row>
    <row r="1152" spans="1:10">
      <c r="A1152" s="255"/>
      <c r="B1152" s="3078"/>
      <c r="C1152" s="3078"/>
      <c r="D1152" s="3078"/>
      <c r="E1152" s="3078"/>
      <c r="F1152" s="3079"/>
      <c r="G1152" s="3080"/>
      <c r="H1152" s="3078"/>
      <c r="I1152" s="3078"/>
      <c r="J1152" s="3081"/>
    </row>
    <row r="1153" spans="1:10">
      <c r="A1153" s="255" t="s">
        <v>2047</v>
      </c>
      <c r="B1153" s="256" t="s">
        <v>2047</v>
      </c>
      <c r="C1153" s="256" t="s">
        <v>2047</v>
      </c>
      <c r="D1153" s="256" t="s">
        <v>2047</v>
      </c>
      <c r="E1153" s="256" t="s">
        <v>2047</v>
      </c>
      <c r="F1153" s="3079" t="s">
        <v>2047</v>
      </c>
      <c r="G1153" s="3080"/>
      <c r="H1153" s="3078" t="s">
        <v>3313</v>
      </c>
      <c r="I1153" s="3078"/>
      <c r="J1153" s="3081"/>
    </row>
    <row r="1154" spans="1:10">
      <c r="A1154" s="245" t="s">
        <v>2047</v>
      </c>
      <c r="B1154" s="228" t="s">
        <v>2047</v>
      </c>
      <c r="C1154" s="228" t="s">
        <v>2047</v>
      </c>
      <c r="D1154" s="228" t="s">
        <v>2047</v>
      </c>
      <c r="E1154" s="228" t="s">
        <v>2047</v>
      </c>
      <c r="F1154" s="3046" t="s">
        <v>2047</v>
      </c>
      <c r="G1154" s="3047"/>
      <c r="H1154" s="3048" t="s">
        <v>3313</v>
      </c>
      <c r="I1154" s="3048"/>
      <c r="J1154" s="3049"/>
    </row>
    <row r="1155" spans="1:10">
      <c r="A1155" s="245" t="s">
        <v>2047</v>
      </c>
      <c r="B1155" s="228" t="s">
        <v>2047</v>
      </c>
      <c r="C1155" s="228" t="s">
        <v>2047</v>
      </c>
      <c r="D1155" s="228" t="s">
        <v>2047</v>
      </c>
      <c r="E1155" s="228" t="s">
        <v>2047</v>
      </c>
      <c r="F1155" s="3046" t="s">
        <v>2047</v>
      </c>
      <c r="G1155" s="3047"/>
      <c r="H1155" s="3048" t="s">
        <v>3313</v>
      </c>
      <c r="I1155" s="3048"/>
      <c r="J1155" s="3049"/>
    </row>
    <row r="1156" spans="1:10">
      <c r="A1156" s="245" t="s">
        <v>2047</v>
      </c>
      <c r="B1156" s="228" t="s">
        <v>2047</v>
      </c>
      <c r="C1156" s="228" t="s">
        <v>2047</v>
      </c>
      <c r="D1156" s="228" t="s">
        <v>2047</v>
      </c>
      <c r="E1156" s="228" t="s">
        <v>2047</v>
      </c>
      <c r="F1156" s="3046" t="s">
        <v>2047</v>
      </c>
      <c r="G1156" s="3047"/>
      <c r="H1156" s="3048" t="s">
        <v>3313</v>
      </c>
      <c r="I1156" s="3048"/>
      <c r="J1156" s="3049"/>
    </row>
    <row r="1157" spans="1:10">
      <c r="A1157" s="245" t="s">
        <v>2047</v>
      </c>
      <c r="B1157" s="228" t="s">
        <v>2047</v>
      </c>
      <c r="C1157" s="228" t="s">
        <v>2047</v>
      </c>
      <c r="D1157" s="228" t="s">
        <v>2047</v>
      </c>
      <c r="E1157" s="228" t="s">
        <v>2047</v>
      </c>
      <c r="F1157" s="3046" t="s">
        <v>2047</v>
      </c>
      <c r="G1157" s="3047"/>
      <c r="H1157" s="3048" t="s">
        <v>3313</v>
      </c>
      <c r="I1157" s="3048"/>
      <c r="J1157" s="3049"/>
    </row>
    <row r="1158" spans="1:10">
      <c r="A1158" s="245" t="s">
        <v>2047</v>
      </c>
      <c r="B1158" s="228" t="s">
        <v>2047</v>
      </c>
      <c r="C1158" s="228" t="s">
        <v>2047</v>
      </c>
      <c r="D1158" s="228" t="s">
        <v>2047</v>
      </c>
      <c r="E1158" s="228" t="s">
        <v>2047</v>
      </c>
      <c r="F1158" s="3046" t="s">
        <v>2047</v>
      </c>
      <c r="G1158" s="3047"/>
      <c r="H1158" s="3048" t="s">
        <v>3313</v>
      </c>
      <c r="I1158" s="3048"/>
      <c r="J1158" s="3049"/>
    </row>
    <row r="1159" spans="1:10">
      <c r="A1159" s="245" t="s">
        <v>2047</v>
      </c>
      <c r="B1159" s="228" t="s">
        <v>2047</v>
      </c>
      <c r="C1159" s="228" t="s">
        <v>2047</v>
      </c>
      <c r="D1159" s="228" t="s">
        <v>2047</v>
      </c>
      <c r="E1159" s="228" t="s">
        <v>2047</v>
      </c>
      <c r="F1159" s="3046" t="s">
        <v>2047</v>
      </c>
      <c r="G1159" s="3047"/>
      <c r="H1159" s="3048" t="s">
        <v>3313</v>
      </c>
      <c r="I1159" s="3048"/>
      <c r="J1159" s="3049"/>
    </row>
    <row r="1160" spans="1:10">
      <c r="A1160" s="1754" t="s">
        <v>2580</v>
      </c>
      <c r="B1160" s="227" t="s">
        <v>2047</v>
      </c>
      <c r="C1160" s="227" t="s">
        <v>2047</v>
      </c>
      <c r="D1160" s="227" t="s">
        <v>2047</v>
      </c>
      <c r="E1160" s="3050" t="s">
        <v>3314</v>
      </c>
      <c r="F1160" s="3051"/>
      <c r="G1160" s="3052">
        <f>H1151+H1152</f>
        <v>2500</v>
      </c>
      <c r="H1160" s="3052"/>
      <c r="I1160" s="3053"/>
      <c r="J1160" s="246"/>
    </row>
    <row r="1161" spans="1:10">
      <c r="A1161" s="247" t="s">
        <v>2047</v>
      </c>
      <c r="B1161" s="229" t="s">
        <v>2047</v>
      </c>
      <c r="C1161" s="229" t="s">
        <v>2047</v>
      </c>
      <c r="D1161" s="229" t="s">
        <v>2047</v>
      </c>
      <c r="E1161" s="229" t="s">
        <v>2047</v>
      </c>
      <c r="F1161" s="230" t="s">
        <v>3315</v>
      </c>
      <c r="G1161" s="231" t="s">
        <v>3316</v>
      </c>
      <c r="H1161" s="3054" t="s">
        <v>3317</v>
      </c>
      <c r="I1161" s="3054"/>
      <c r="J1161" s="3055"/>
    </row>
    <row r="1162" spans="1:10">
      <c r="A1162" s="3056" t="s">
        <v>3318</v>
      </c>
      <c r="B1162" s="3057"/>
      <c r="C1162" s="3057"/>
      <c r="D1162" s="3057"/>
      <c r="E1162" s="3058"/>
      <c r="F1162" s="3062" t="s">
        <v>1990</v>
      </c>
      <c r="G1162" s="3063"/>
      <c r="H1162" s="3066">
        <f>G1160</f>
        <v>2500</v>
      </c>
      <c r="I1162" s="3067"/>
      <c r="J1162" s="3068"/>
    </row>
    <row r="1163" spans="1:10">
      <c r="A1163" s="3059"/>
      <c r="B1163" s="3060"/>
      <c r="C1163" s="3060"/>
      <c r="D1163" s="3060"/>
      <c r="E1163" s="3061"/>
      <c r="F1163" s="3064"/>
      <c r="G1163" s="3065"/>
      <c r="H1163" s="3069"/>
      <c r="I1163" s="3070"/>
      <c r="J1163" s="3071"/>
    </row>
    <row r="1164" spans="1:10">
      <c r="A1164" s="3072" t="s">
        <v>3319</v>
      </c>
      <c r="B1164" s="3073"/>
      <c r="C1164" s="3073"/>
      <c r="D1164" s="3073"/>
      <c r="E1164" s="3073"/>
      <c r="F1164" s="3073"/>
      <c r="G1164" s="3073"/>
      <c r="H1164" s="3073"/>
      <c r="I1164" s="3073"/>
      <c r="J1164" s="3074"/>
    </row>
    <row r="1165" spans="1:10">
      <c r="A1165" s="3075"/>
      <c r="B1165" s="3076"/>
      <c r="C1165" s="3076"/>
      <c r="D1165" s="3076"/>
      <c r="E1165" s="3076"/>
      <c r="F1165" s="3076"/>
      <c r="G1165" s="3076"/>
      <c r="H1165" s="3076"/>
      <c r="I1165" s="3076"/>
      <c r="J1165" s="3077"/>
    </row>
    <row r="1167" spans="1:10">
      <c r="A1167" s="238" t="s">
        <v>2047</v>
      </c>
      <c r="B1167" s="239" t="s">
        <v>2047</v>
      </c>
      <c r="C1167" s="3082" t="s">
        <v>3292</v>
      </c>
      <c r="D1167" s="3082"/>
      <c r="E1167" s="3082"/>
      <c r="F1167" s="3083"/>
      <c r="G1167" s="239" t="s">
        <v>2047</v>
      </c>
      <c r="H1167" s="1755" t="s">
        <v>2047</v>
      </c>
      <c r="I1167" s="1755" t="s">
        <v>2047</v>
      </c>
      <c r="J1167" s="240" t="s">
        <v>2047</v>
      </c>
    </row>
    <row r="1168" spans="1:10" ht="15.6">
      <c r="A1168" s="241" t="s">
        <v>2047</v>
      </c>
      <c r="B1168" s="223"/>
      <c r="C1168" s="3084" t="s">
        <v>2045</v>
      </c>
      <c r="D1168" s="3084"/>
      <c r="E1168" s="3084"/>
      <c r="F1168" s="3085"/>
      <c r="G1168" s="1756" t="s">
        <v>2047</v>
      </c>
      <c r="H1168" s="3086" t="s">
        <v>3434</v>
      </c>
      <c r="I1168" s="3086"/>
      <c r="J1168" s="242" t="s">
        <v>2047</v>
      </c>
    </row>
    <row r="1169" spans="1:10" ht="17.45">
      <c r="A1169" s="241" t="s">
        <v>2047</v>
      </c>
      <c r="B1169" s="224"/>
      <c r="C1169" s="3088" t="s">
        <v>3294</v>
      </c>
      <c r="D1169" s="3088"/>
      <c r="E1169" s="3088"/>
      <c r="F1169" s="3089"/>
      <c r="G1169" s="225" t="s">
        <v>3295</v>
      </c>
      <c r="H1169" s="3087"/>
      <c r="I1169" s="3087"/>
      <c r="J1169" s="242" t="s">
        <v>2047</v>
      </c>
    </row>
    <row r="1170" spans="1:10">
      <c r="A1170" s="241" t="s">
        <v>2047</v>
      </c>
      <c r="B1170" s="224" t="s">
        <v>2047</v>
      </c>
      <c r="C1170" s="3090" t="s">
        <v>3296</v>
      </c>
      <c r="D1170" s="3090"/>
      <c r="E1170" s="3090"/>
      <c r="F1170" s="3091"/>
      <c r="G1170" s="1756" t="s">
        <v>2047</v>
      </c>
      <c r="H1170" s="226"/>
      <c r="I1170" s="226" t="s">
        <v>2047</v>
      </c>
      <c r="J1170" s="243" t="s">
        <v>2047</v>
      </c>
    </row>
    <row r="1171" spans="1:10" ht="31.9">
      <c r="A1171" s="234" t="s">
        <v>3297</v>
      </c>
      <c r="B1171" s="3092" t="s">
        <v>3419</v>
      </c>
      <c r="C1171" s="3093"/>
      <c r="D1171" s="3093"/>
      <c r="E1171" s="3094"/>
      <c r="F1171" s="233" t="s">
        <v>3299</v>
      </c>
      <c r="G1171" s="232">
        <v>70720539</v>
      </c>
      <c r="H1171" s="1757" t="s">
        <v>3301</v>
      </c>
      <c r="I1171" s="1757" t="s">
        <v>3302</v>
      </c>
      <c r="J1171" s="244" t="s">
        <v>3303</v>
      </c>
    </row>
    <row r="1172" spans="1:10">
      <c r="A1172" s="3095"/>
      <c r="B1172" s="3096"/>
      <c r="C1172" s="3096"/>
      <c r="D1172" s="3096"/>
      <c r="E1172" s="3097"/>
      <c r="F1172" s="3096"/>
      <c r="G1172" s="3097"/>
      <c r="H1172" s="248">
        <v>10</v>
      </c>
      <c r="I1172" s="248">
        <v>3</v>
      </c>
      <c r="J1172" s="249">
        <v>2022</v>
      </c>
    </row>
    <row r="1173" spans="1:10">
      <c r="A1173" s="3098" t="s">
        <v>3304</v>
      </c>
      <c r="B1173" s="3099"/>
      <c r="C1173" s="3099"/>
      <c r="D1173" s="3099"/>
      <c r="E1173" s="3099"/>
      <c r="F1173" s="3100" t="s">
        <v>3305</v>
      </c>
      <c r="G1173" s="3101"/>
      <c r="H1173" s="3102" t="s">
        <v>3306</v>
      </c>
      <c r="I1173" s="3102"/>
      <c r="J1173" s="3101"/>
    </row>
    <row r="1174" spans="1:10" ht="23.25" customHeight="1">
      <c r="A1174" s="3098" t="s">
        <v>3420</v>
      </c>
      <c r="B1174" s="3099"/>
      <c r="C1174" s="3099"/>
      <c r="D1174" s="3099"/>
      <c r="E1174" s="3099"/>
      <c r="F1174" s="3103" t="s">
        <v>3421</v>
      </c>
      <c r="G1174" s="3103"/>
      <c r="H1174" s="3104" t="s">
        <v>125</v>
      </c>
      <c r="I1174" s="3103"/>
      <c r="J1174" s="3103"/>
    </row>
    <row r="1175" spans="1:10">
      <c r="A1175" s="254" t="s">
        <v>3309</v>
      </c>
      <c r="B1175" s="3105" t="s">
        <v>3310</v>
      </c>
      <c r="C1175" s="3105"/>
      <c r="D1175" s="3105"/>
      <c r="E1175" s="3106"/>
      <c r="F1175" s="3105" t="s">
        <v>2012</v>
      </c>
      <c r="G1175" s="3106"/>
      <c r="H1175" s="3105" t="s">
        <v>3311</v>
      </c>
      <c r="I1175" s="3105"/>
      <c r="J1175" s="3107"/>
    </row>
    <row r="1176" spans="1:10">
      <c r="A1176" s="255">
        <v>1</v>
      </c>
      <c r="B1176" s="3078" t="s">
        <v>3422</v>
      </c>
      <c r="C1176" s="3078"/>
      <c r="D1176" s="3078"/>
      <c r="E1176" s="3078"/>
      <c r="F1176" s="3079">
        <v>2500</v>
      </c>
      <c r="G1176" s="3080"/>
      <c r="H1176" s="3078">
        <f>F1176*A1176</f>
        <v>2500</v>
      </c>
      <c r="I1176" s="3078"/>
      <c r="J1176" s="3081"/>
    </row>
    <row r="1177" spans="1:10">
      <c r="A1177" s="255"/>
      <c r="B1177" s="3078"/>
      <c r="C1177" s="3078"/>
      <c r="D1177" s="3078"/>
      <c r="E1177" s="3078"/>
      <c r="F1177" s="3079"/>
      <c r="G1177" s="3080"/>
      <c r="H1177" s="3078"/>
      <c r="I1177" s="3078"/>
      <c r="J1177" s="3081"/>
    </row>
    <row r="1178" spans="1:10">
      <c r="A1178" s="255" t="s">
        <v>2047</v>
      </c>
      <c r="B1178" s="256" t="s">
        <v>2047</v>
      </c>
      <c r="C1178" s="256" t="s">
        <v>2047</v>
      </c>
      <c r="D1178" s="256" t="s">
        <v>2047</v>
      </c>
      <c r="E1178" s="256" t="s">
        <v>2047</v>
      </c>
      <c r="F1178" s="3079" t="s">
        <v>2047</v>
      </c>
      <c r="G1178" s="3080"/>
      <c r="H1178" s="3078" t="s">
        <v>3313</v>
      </c>
      <c r="I1178" s="3078"/>
      <c r="J1178" s="3081"/>
    </row>
    <row r="1179" spans="1:10">
      <c r="A1179" s="245" t="s">
        <v>2047</v>
      </c>
      <c r="B1179" s="228" t="s">
        <v>2047</v>
      </c>
      <c r="C1179" s="228" t="s">
        <v>2047</v>
      </c>
      <c r="D1179" s="228" t="s">
        <v>2047</v>
      </c>
      <c r="E1179" s="228" t="s">
        <v>2047</v>
      </c>
      <c r="F1179" s="3046" t="s">
        <v>2047</v>
      </c>
      <c r="G1179" s="3047"/>
      <c r="H1179" s="3048" t="s">
        <v>3313</v>
      </c>
      <c r="I1179" s="3048"/>
      <c r="J1179" s="3049"/>
    </row>
    <row r="1180" spans="1:10">
      <c r="A1180" s="245" t="s">
        <v>2047</v>
      </c>
      <c r="B1180" s="228" t="s">
        <v>2047</v>
      </c>
      <c r="C1180" s="228" t="s">
        <v>2047</v>
      </c>
      <c r="D1180" s="228" t="s">
        <v>2047</v>
      </c>
      <c r="E1180" s="228" t="s">
        <v>2047</v>
      </c>
      <c r="F1180" s="3046" t="s">
        <v>2047</v>
      </c>
      <c r="G1180" s="3047"/>
      <c r="H1180" s="3048" t="s">
        <v>3313</v>
      </c>
      <c r="I1180" s="3048"/>
      <c r="J1180" s="3049"/>
    </row>
    <row r="1181" spans="1:10">
      <c r="A1181" s="245" t="s">
        <v>2047</v>
      </c>
      <c r="B1181" s="228" t="s">
        <v>2047</v>
      </c>
      <c r="C1181" s="228" t="s">
        <v>2047</v>
      </c>
      <c r="D1181" s="228" t="s">
        <v>2047</v>
      </c>
      <c r="E1181" s="228" t="s">
        <v>2047</v>
      </c>
      <c r="F1181" s="3046" t="s">
        <v>2047</v>
      </c>
      <c r="G1181" s="3047"/>
      <c r="H1181" s="3048" t="s">
        <v>3313</v>
      </c>
      <c r="I1181" s="3048"/>
      <c r="J1181" s="3049"/>
    </row>
    <row r="1182" spans="1:10">
      <c r="A1182" s="245" t="s">
        <v>2047</v>
      </c>
      <c r="B1182" s="228" t="s">
        <v>2047</v>
      </c>
      <c r="C1182" s="228" t="s">
        <v>2047</v>
      </c>
      <c r="D1182" s="228" t="s">
        <v>2047</v>
      </c>
      <c r="E1182" s="228" t="s">
        <v>2047</v>
      </c>
      <c r="F1182" s="3046" t="s">
        <v>2047</v>
      </c>
      <c r="G1182" s="3047"/>
      <c r="H1182" s="3048" t="s">
        <v>3313</v>
      </c>
      <c r="I1182" s="3048"/>
      <c r="J1182" s="3049"/>
    </row>
    <row r="1183" spans="1:10">
      <c r="A1183" s="245" t="s">
        <v>2047</v>
      </c>
      <c r="B1183" s="228" t="s">
        <v>2047</v>
      </c>
      <c r="C1183" s="228" t="s">
        <v>2047</v>
      </c>
      <c r="D1183" s="228" t="s">
        <v>2047</v>
      </c>
      <c r="E1183" s="228" t="s">
        <v>2047</v>
      </c>
      <c r="F1183" s="3046" t="s">
        <v>2047</v>
      </c>
      <c r="G1183" s="3047"/>
      <c r="H1183" s="3048" t="s">
        <v>3313</v>
      </c>
      <c r="I1183" s="3048"/>
      <c r="J1183" s="3049"/>
    </row>
    <row r="1184" spans="1:10">
      <c r="A1184" s="245" t="s">
        <v>2047</v>
      </c>
      <c r="B1184" s="228" t="s">
        <v>2047</v>
      </c>
      <c r="C1184" s="228" t="s">
        <v>2047</v>
      </c>
      <c r="D1184" s="228" t="s">
        <v>2047</v>
      </c>
      <c r="E1184" s="228" t="s">
        <v>2047</v>
      </c>
      <c r="F1184" s="3046" t="s">
        <v>2047</v>
      </c>
      <c r="G1184" s="3047"/>
      <c r="H1184" s="3048" t="s">
        <v>3313</v>
      </c>
      <c r="I1184" s="3048"/>
      <c r="J1184" s="3049"/>
    </row>
    <row r="1185" spans="1:10">
      <c r="A1185" s="1754" t="s">
        <v>2580</v>
      </c>
      <c r="B1185" s="227" t="s">
        <v>2047</v>
      </c>
      <c r="C1185" s="227" t="s">
        <v>2047</v>
      </c>
      <c r="D1185" s="227" t="s">
        <v>2047</v>
      </c>
      <c r="E1185" s="3050" t="s">
        <v>3314</v>
      </c>
      <c r="F1185" s="3051"/>
      <c r="G1185" s="3052">
        <f>H1176+H1177</f>
        <v>2500</v>
      </c>
      <c r="H1185" s="3052"/>
      <c r="I1185" s="3053"/>
      <c r="J1185" s="246"/>
    </row>
    <row r="1186" spans="1:10">
      <c r="A1186" s="247" t="s">
        <v>2047</v>
      </c>
      <c r="B1186" s="229" t="s">
        <v>2047</v>
      </c>
      <c r="C1186" s="229" t="s">
        <v>2047</v>
      </c>
      <c r="D1186" s="229" t="s">
        <v>2047</v>
      </c>
      <c r="E1186" s="229" t="s">
        <v>2047</v>
      </c>
      <c r="F1186" s="230" t="s">
        <v>3315</v>
      </c>
      <c r="G1186" s="231" t="s">
        <v>3316</v>
      </c>
      <c r="H1186" s="3054" t="s">
        <v>3317</v>
      </c>
      <c r="I1186" s="3054"/>
      <c r="J1186" s="3055"/>
    </row>
    <row r="1187" spans="1:10">
      <c r="A1187" s="3056" t="s">
        <v>3318</v>
      </c>
      <c r="B1187" s="3057"/>
      <c r="C1187" s="3057"/>
      <c r="D1187" s="3057"/>
      <c r="E1187" s="3058"/>
      <c r="F1187" s="3062" t="s">
        <v>1990</v>
      </c>
      <c r="G1187" s="3063"/>
      <c r="H1187" s="3066">
        <f>G1185</f>
        <v>2500</v>
      </c>
      <c r="I1187" s="3067"/>
      <c r="J1187" s="3068"/>
    </row>
    <row r="1188" spans="1:10">
      <c r="A1188" s="3059"/>
      <c r="B1188" s="3060"/>
      <c r="C1188" s="3060"/>
      <c r="D1188" s="3060"/>
      <c r="E1188" s="3061"/>
      <c r="F1188" s="3064"/>
      <c r="G1188" s="3065"/>
      <c r="H1188" s="3069"/>
      <c r="I1188" s="3070"/>
      <c r="J1188" s="3071"/>
    </row>
    <row r="1189" spans="1:10">
      <c r="A1189" s="3072" t="s">
        <v>3319</v>
      </c>
      <c r="B1189" s="3073"/>
      <c r="C1189" s="3073"/>
      <c r="D1189" s="3073"/>
      <c r="E1189" s="3073"/>
      <c r="F1189" s="3073"/>
      <c r="G1189" s="3073"/>
      <c r="H1189" s="3073"/>
      <c r="I1189" s="3073"/>
      <c r="J1189" s="3074"/>
    </row>
    <row r="1190" spans="1:10">
      <c r="A1190" s="3075"/>
      <c r="B1190" s="3076"/>
      <c r="C1190" s="3076"/>
      <c r="D1190" s="3076"/>
      <c r="E1190" s="3076"/>
      <c r="F1190" s="3076"/>
      <c r="G1190" s="3076"/>
      <c r="H1190" s="3076"/>
      <c r="I1190" s="3076"/>
      <c r="J1190" s="3077"/>
    </row>
    <row r="1192" spans="1:10">
      <c r="A1192" s="238" t="s">
        <v>2047</v>
      </c>
      <c r="B1192" s="239" t="s">
        <v>2047</v>
      </c>
      <c r="C1192" s="3082" t="s">
        <v>3292</v>
      </c>
      <c r="D1192" s="3082"/>
      <c r="E1192" s="3082"/>
      <c r="F1192" s="3083"/>
      <c r="G1192" s="239" t="s">
        <v>2047</v>
      </c>
      <c r="H1192" s="1755" t="s">
        <v>2047</v>
      </c>
      <c r="I1192" s="1755" t="s">
        <v>2047</v>
      </c>
      <c r="J1192" s="240" t="s">
        <v>2047</v>
      </c>
    </row>
    <row r="1193" spans="1:10" ht="15.6">
      <c r="A1193" s="241" t="s">
        <v>2047</v>
      </c>
      <c r="B1193" s="223"/>
      <c r="C1193" s="3084" t="s">
        <v>2045</v>
      </c>
      <c r="D1193" s="3084"/>
      <c r="E1193" s="3084"/>
      <c r="F1193" s="3085"/>
      <c r="G1193" s="1756" t="s">
        <v>2047</v>
      </c>
      <c r="H1193" s="3086" t="s">
        <v>3435</v>
      </c>
      <c r="I1193" s="3086"/>
      <c r="J1193" s="242" t="s">
        <v>2047</v>
      </c>
    </row>
    <row r="1194" spans="1:10" ht="17.45">
      <c r="A1194" s="241" t="s">
        <v>2047</v>
      </c>
      <c r="B1194" s="224"/>
      <c r="C1194" s="3088" t="s">
        <v>3294</v>
      </c>
      <c r="D1194" s="3088"/>
      <c r="E1194" s="3088"/>
      <c r="F1194" s="3089"/>
      <c r="G1194" s="225" t="s">
        <v>3295</v>
      </c>
      <c r="H1194" s="3087"/>
      <c r="I1194" s="3087"/>
      <c r="J1194" s="242" t="s">
        <v>2047</v>
      </c>
    </row>
    <row r="1195" spans="1:10">
      <c r="A1195" s="241" t="s">
        <v>2047</v>
      </c>
      <c r="B1195" s="224" t="s">
        <v>2047</v>
      </c>
      <c r="C1195" s="3090" t="s">
        <v>3296</v>
      </c>
      <c r="D1195" s="3090"/>
      <c r="E1195" s="3090"/>
      <c r="F1195" s="3091"/>
      <c r="G1195" s="1756" t="s">
        <v>2047</v>
      </c>
      <c r="H1195" s="226"/>
      <c r="I1195" s="226" t="s">
        <v>2047</v>
      </c>
      <c r="J1195" s="243" t="s">
        <v>2047</v>
      </c>
    </row>
    <row r="1196" spans="1:10" ht="31.9">
      <c r="A1196" s="234" t="s">
        <v>3297</v>
      </c>
      <c r="B1196" s="3092" t="s">
        <v>3419</v>
      </c>
      <c r="C1196" s="3093"/>
      <c r="D1196" s="3093"/>
      <c r="E1196" s="3094"/>
      <c r="F1196" s="233" t="s">
        <v>3299</v>
      </c>
      <c r="G1196" s="232">
        <v>70720539</v>
      </c>
      <c r="H1196" s="1757" t="s">
        <v>3301</v>
      </c>
      <c r="I1196" s="1757" t="s">
        <v>3302</v>
      </c>
      <c r="J1196" s="244" t="s">
        <v>3303</v>
      </c>
    </row>
    <row r="1197" spans="1:10">
      <c r="A1197" s="3095"/>
      <c r="B1197" s="3096"/>
      <c r="C1197" s="3096"/>
      <c r="D1197" s="3096"/>
      <c r="E1197" s="3097"/>
      <c r="F1197" s="3096"/>
      <c r="G1197" s="3097"/>
      <c r="H1197" s="248">
        <v>19</v>
      </c>
      <c r="I1197" s="248">
        <v>4</v>
      </c>
      <c r="J1197" s="249">
        <v>2022</v>
      </c>
    </row>
    <row r="1198" spans="1:10">
      <c r="A1198" s="3098" t="s">
        <v>3304</v>
      </c>
      <c r="B1198" s="3099"/>
      <c r="C1198" s="3099"/>
      <c r="D1198" s="3099"/>
      <c r="E1198" s="3099"/>
      <c r="F1198" s="3100" t="s">
        <v>3305</v>
      </c>
      <c r="G1198" s="3101"/>
      <c r="H1198" s="3102" t="s">
        <v>3306</v>
      </c>
      <c r="I1198" s="3102"/>
      <c r="J1198" s="3101"/>
    </row>
    <row r="1199" spans="1:10" ht="20.25" customHeight="1">
      <c r="A1199" s="3098" t="s">
        <v>3420</v>
      </c>
      <c r="B1199" s="3099"/>
      <c r="C1199" s="3099"/>
      <c r="D1199" s="3099"/>
      <c r="E1199" s="3099"/>
      <c r="F1199" s="3103" t="s">
        <v>3421</v>
      </c>
      <c r="G1199" s="3103"/>
      <c r="H1199" s="3104" t="s">
        <v>125</v>
      </c>
      <c r="I1199" s="3103"/>
      <c r="J1199" s="3103"/>
    </row>
    <row r="1200" spans="1:10">
      <c r="A1200" s="254" t="s">
        <v>3309</v>
      </c>
      <c r="B1200" s="3105" t="s">
        <v>3310</v>
      </c>
      <c r="C1200" s="3105"/>
      <c r="D1200" s="3105"/>
      <c r="E1200" s="3106"/>
      <c r="F1200" s="3105" t="s">
        <v>2012</v>
      </c>
      <c r="G1200" s="3106"/>
      <c r="H1200" s="3105" t="s">
        <v>3311</v>
      </c>
      <c r="I1200" s="3105"/>
      <c r="J1200" s="3107"/>
    </row>
    <row r="1201" spans="1:10">
      <c r="A1201" s="255">
        <v>2</v>
      </c>
      <c r="B1201" s="3078" t="s">
        <v>3422</v>
      </c>
      <c r="C1201" s="3078"/>
      <c r="D1201" s="3078"/>
      <c r="E1201" s="3078"/>
      <c r="F1201" s="3079">
        <v>2500</v>
      </c>
      <c r="G1201" s="3080"/>
      <c r="H1201" s="3078">
        <f>F1201*A1201</f>
        <v>5000</v>
      </c>
      <c r="I1201" s="3078"/>
      <c r="J1201" s="3081"/>
    </row>
    <row r="1202" spans="1:10">
      <c r="A1202" s="255"/>
      <c r="B1202" s="3078"/>
      <c r="C1202" s="3078"/>
      <c r="D1202" s="3078"/>
      <c r="E1202" s="3078"/>
      <c r="F1202" s="3079"/>
      <c r="G1202" s="3080"/>
      <c r="H1202" s="3078"/>
      <c r="I1202" s="3078"/>
      <c r="J1202" s="3081"/>
    </row>
    <row r="1203" spans="1:10">
      <c r="A1203" s="255" t="s">
        <v>2047</v>
      </c>
      <c r="B1203" s="256" t="s">
        <v>2047</v>
      </c>
      <c r="C1203" s="256" t="s">
        <v>2047</v>
      </c>
      <c r="D1203" s="256" t="s">
        <v>2047</v>
      </c>
      <c r="E1203" s="256" t="s">
        <v>2047</v>
      </c>
      <c r="F1203" s="3079" t="s">
        <v>2047</v>
      </c>
      <c r="G1203" s="3080"/>
      <c r="H1203" s="3078" t="s">
        <v>3313</v>
      </c>
      <c r="I1203" s="3078"/>
      <c r="J1203" s="3081"/>
    </row>
    <row r="1204" spans="1:10">
      <c r="A1204" s="245" t="s">
        <v>2047</v>
      </c>
      <c r="B1204" s="228" t="s">
        <v>2047</v>
      </c>
      <c r="C1204" s="228" t="s">
        <v>2047</v>
      </c>
      <c r="D1204" s="228" t="s">
        <v>2047</v>
      </c>
      <c r="E1204" s="228" t="s">
        <v>2047</v>
      </c>
      <c r="F1204" s="3046" t="s">
        <v>2047</v>
      </c>
      <c r="G1204" s="3047"/>
      <c r="H1204" s="3048" t="s">
        <v>3313</v>
      </c>
      <c r="I1204" s="3048"/>
      <c r="J1204" s="3049"/>
    </row>
    <row r="1205" spans="1:10">
      <c r="A1205" s="245" t="s">
        <v>2047</v>
      </c>
      <c r="B1205" s="228" t="s">
        <v>2047</v>
      </c>
      <c r="C1205" s="228" t="s">
        <v>2047</v>
      </c>
      <c r="D1205" s="228" t="s">
        <v>2047</v>
      </c>
      <c r="E1205" s="228" t="s">
        <v>2047</v>
      </c>
      <c r="F1205" s="3046" t="s">
        <v>2047</v>
      </c>
      <c r="G1205" s="3047"/>
      <c r="H1205" s="3048" t="s">
        <v>3313</v>
      </c>
      <c r="I1205" s="3048"/>
      <c r="J1205" s="3049"/>
    </row>
    <row r="1206" spans="1:10">
      <c r="A1206" s="245" t="s">
        <v>2047</v>
      </c>
      <c r="B1206" s="228" t="s">
        <v>2047</v>
      </c>
      <c r="C1206" s="228" t="s">
        <v>2047</v>
      </c>
      <c r="D1206" s="228" t="s">
        <v>2047</v>
      </c>
      <c r="E1206" s="228" t="s">
        <v>2047</v>
      </c>
      <c r="F1206" s="3046" t="s">
        <v>2047</v>
      </c>
      <c r="G1206" s="3047"/>
      <c r="H1206" s="3048" t="s">
        <v>3313</v>
      </c>
      <c r="I1206" s="3048"/>
      <c r="J1206" s="3049"/>
    </row>
    <row r="1207" spans="1:10">
      <c r="A1207" s="245" t="s">
        <v>2047</v>
      </c>
      <c r="B1207" s="228" t="s">
        <v>2047</v>
      </c>
      <c r="C1207" s="228" t="s">
        <v>2047</v>
      </c>
      <c r="D1207" s="228" t="s">
        <v>2047</v>
      </c>
      <c r="E1207" s="228" t="s">
        <v>2047</v>
      </c>
      <c r="F1207" s="3046" t="s">
        <v>2047</v>
      </c>
      <c r="G1207" s="3047"/>
      <c r="H1207" s="3048" t="s">
        <v>3313</v>
      </c>
      <c r="I1207" s="3048"/>
      <c r="J1207" s="3049"/>
    </row>
    <row r="1208" spans="1:10">
      <c r="A1208" s="245" t="s">
        <v>2047</v>
      </c>
      <c r="B1208" s="228" t="s">
        <v>2047</v>
      </c>
      <c r="C1208" s="228" t="s">
        <v>2047</v>
      </c>
      <c r="D1208" s="228" t="s">
        <v>2047</v>
      </c>
      <c r="E1208" s="228" t="s">
        <v>2047</v>
      </c>
      <c r="F1208" s="3046" t="s">
        <v>2047</v>
      </c>
      <c r="G1208" s="3047"/>
      <c r="H1208" s="3048" t="s">
        <v>3313</v>
      </c>
      <c r="I1208" s="3048"/>
      <c r="J1208" s="3049"/>
    </row>
    <row r="1209" spans="1:10">
      <c r="A1209" s="245" t="s">
        <v>2047</v>
      </c>
      <c r="B1209" s="228" t="s">
        <v>2047</v>
      </c>
      <c r="C1209" s="228" t="s">
        <v>2047</v>
      </c>
      <c r="D1209" s="228" t="s">
        <v>2047</v>
      </c>
      <c r="E1209" s="228" t="s">
        <v>2047</v>
      </c>
      <c r="F1209" s="3046" t="s">
        <v>2047</v>
      </c>
      <c r="G1209" s="3047"/>
      <c r="H1209" s="3048" t="s">
        <v>3313</v>
      </c>
      <c r="I1209" s="3048"/>
      <c r="J1209" s="3049"/>
    </row>
    <row r="1210" spans="1:10">
      <c r="A1210" s="1754" t="s">
        <v>2580</v>
      </c>
      <c r="B1210" s="227" t="s">
        <v>2047</v>
      </c>
      <c r="C1210" s="227" t="s">
        <v>2047</v>
      </c>
      <c r="D1210" s="227" t="s">
        <v>2047</v>
      </c>
      <c r="E1210" s="3050" t="s">
        <v>3314</v>
      </c>
      <c r="F1210" s="3051"/>
      <c r="G1210" s="3052">
        <f>H1201+H1202</f>
        <v>5000</v>
      </c>
      <c r="H1210" s="3052"/>
      <c r="I1210" s="3053"/>
      <c r="J1210" s="246"/>
    </row>
    <row r="1211" spans="1:10">
      <c r="A1211" s="247" t="s">
        <v>2047</v>
      </c>
      <c r="B1211" s="229" t="s">
        <v>2047</v>
      </c>
      <c r="C1211" s="229" t="s">
        <v>2047</v>
      </c>
      <c r="D1211" s="229" t="s">
        <v>2047</v>
      </c>
      <c r="E1211" s="229" t="s">
        <v>2047</v>
      </c>
      <c r="F1211" s="230" t="s">
        <v>3315</v>
      </c>
      <c r="G1211" s="231" t="s">
        <v>3316</v>
      </c>
      <c r="H1211" s="3054" t="s">
        <v>3317</v>
      </c>
      <c r="I1211" s="3054"/>
      <c r="J1211" s="3055"/>
    </row>
    <row r="1212" spans="1:10">
      <c r="A1212" s="3056" t="s">
        <v>3318</v>
      </c>
      <c r="B1212" s="3057"/>
      <c r="C1212" s="3057"/>
      <c r="D1212" s="3057"/>
      <c r="E1212" s="3058"/>
      <c r="F1212" s="3062" t="s">
        <v>1990</v>
      </c>
      <c r="G1212" s="3063"/>
      <c r="H1212" s="3066">
        <f>G1210</f>
        <v>5000</v>
      </c>
      <c r="I1212" s="3067"/>
      <c r="J1212" s="3068"/>
    </row>
    <row r="1213" spans="1:10">
      <c r="A1213" s="3059"/>
      <c r="B1213" s="3060"/>
      <c r="C1213" s="3060"/>
      <c r="D1213" s="3060"/>
      <c r="E1213" s="3061"/>
      <c r="F1213" s="3064"/>
      <c r="G1213" s="3065"/>
      <c r="H1213" s="3069"/>
      <c r="I1213" s="3070"/>
      <c r="J1213" s="3071"/>
    </row>
    <row r="1214" spans="1:10">
      <c r="A1214" s="3072" t="s">
        <v>3319</v>
      </c>
      <c r="B1214" s="3073"/>
      <c r="C1214" s="3073"/>
      <c r="D1214" s="3073"/>
      <c r="E1214" s="3073"/>
      <c r="F1214" s="3073"/>
      <c r="G1214" s="3073"/>
      <c r="H1214" s="3073"/>
      <c r="I1214" s="3073"/>
      <c r="J1214" s="3074"/>
    </row>
    <row r="1215" spans="1:10">
      <c r="A1215" s="3075"/>
      <c r="B1215" s="3076"/>
      <c r="C1215" s="3076"/>
      <c r="D1215" s="3076"/>
      <c r="E1215" s="3076"/>
      <c r="F1215" s="3076"/>
      <c r="G1215" s="3076"/>
      <c r="H1215" s="3076"/>
      <c r="I1215" s="3076"/>
      <c r="J1215" s="3077"/>
    </row>
    <row r="1218" spans="1:10">
      <c r="A1218" s="238" t="s">
        <v>2047</v>
      </c>
      <c r="B1218" s="239" t="s">
        <v>2047</v>
      </c>
      <c r="C1218" s="3082" t="s">
        <v>3292</v>
      </c>
      <c r="D1218" s="3082"/>
      <c r="E1218" s="3082"/>
      <c r="F1218" s="3083"/>
      <c r="G1218" s="239" t="s">
        <v>2047</v>
      </c>
      <c r="H1218" s="1755" t="s">
        <v>2047</v>
      </c>
      <c r="I1218" s="1755" t="s">
        <v>2047</v>
      </c>
      <c r="J1218" s="240" t="s">
        <v>2047</v>
      </c>
    </row>
    <row r="1219" spans="1:10" ht="15.6">
      <c r="A1219" s="241" t="s">
        <v>2047</v>
      </c>
      <c r="B1219" s="223"/>
      <c r="C1219" s="3084" t="s">
        <v>2045</v>
      </c>
      <c r="D1219" s="3084"/>
      <c r="E1219" s="3084"/>
      <c r="F1219" s="3085"/>
      <c r="G1219" s="1756" t="s">
        <v>2047</v>
      </c>
      <c r="H1219" s="3086" t="s">
        <v>3436</v>
      </c>
      <c r="I1219" s="3086"/>
      <c r="J1219" s="242" t="s">
        <v>2047</v>
      </c>
    </row>
    <row r="1220" spans="1:10" ht="17.45">
      <c r="A1220" s="241" t="s">
        <v>2047</v>
      </c>
      <c r="B1220" s="224"/>
      <c r="C1220" s="3088" t="s">
        <v>3294</v>
      </c>
      <c r="D1220" s="3088"/>
      <c r="E1220" s="3088"/>
      <c r="F1220" s="3089"/>
      <c r="G1220" s="225" t="s">
        <v>3295</v>
      </c>
      <c r="H1220" s="3087"/>
      <c r="I1220" s="3087"/>
      <c r="J1220" s="242" t="s">
        <v>2047</v>
      </c>
    </row>
    <row r="1221" spans="1:10">
      <c r="A1221" s="241" t="s">
        <v>2047</v>
      </c>
      <c r="B1221" s="224" t="s">
        <v>2047</v>
      </c>
      <c r="C1221" s="3090" t="s">
        <v>3296</v>
      </c>
      <c r="D1221" s="3090"/>
      <c r="E1221" s="3090"/>
      <c r="F1221" s="3091"/>
      <c r="G1221" s="1756" t="s">
        <v>2047</v>
      </c>
      <c r="H1221" s="226" t="s">
        <v>2047</v>
      </c>
      <c r="I1221" s="226" t="s">
        <v>2047</v>
      </c>
      <c r="J1221" s="243" t="s">
        <v>2047</v>
      </c>
    </row>
    <row r="1222" spans="1:10" ht="31.9">
      <c r="A1222" s="234" t="s">
        <v>3297</v>
      </c>
      <c r="B1222" s="3092" t="s">
        <v>3411</v>
      </c>
      <c r="C1222" s="3093"/>
      <c r="D1222" s="3093"/>
      <c r="E1222" s="3094"/>
      <c r="F1222" s="233" t="s">
        <v>3299</v>
      </c>
      <c r="G1222" s="232">
        <v>71672110</v>
      </c>
      <c r="H1222" s="1757" t="s">
        <v>3301</v>
      </c>
      <c r="I1222" s="1757" t="s">
        <v>3302</v>
      </c>
      <c r="J1222" s="244" t="s">
        <v>3303</v>
      </c>
    </row>
    <row r="1223" spans="1:10">
      <c r="A1223" s="3095"/>
      <c r="B1223" s="3096"/>
      <c r="C1223" s="3096"/>
      <c r="D1223" s="3096"/>
      <c r="E1223" s="3097"/>
      <c r="F1223" s="3105"/>
      <c r="G1223" s="3106"/>
      <c r="H1223" s="248">
        <v>23</v>
      </c>
      <c r="I1223" s="248">
        <v>3</v>
      </c>
      <c r="J1223" s="249">
        <v>2022</v>
      </c>
    </row>
    <row r="1224" spans="1:10">
      <c r="A1224" s="3098" t="s">
        <v>3304</v>
      </c>
      <c r="B1224" s="3099"/>
      <c r="C1224" s="3099"/>
      <c r="D1224" s="3099"/>
      <c r="E1224" s="3110"/>
      <c r="F1224" s="250" t="s">
        <v>3305</v>
      </c>
      <c r="G1224" s="1753" t="s">
        <v>2047</v>
      </c>
      <c r="H1224" s="251" t="s">
        <v>3306</v>
      </c>
      <c r="I1224" s="252" t="s">
        <v>2047</v>
      </c>
      <c r="J1224" s="253" t="s">
        <v>2047</v>
      </c>
    </row>
    <row r="1225" spans="1:10">
      <c r="A1225" s="3098" t="s">
        <v>3412</v>
      </c>
      <c r="B1225" s="3099"/>
      <c r="C1225" s="3099"/>
      <c r="D1225" s="3099"/>
      <c r="E1225" s="3110"/>
      <c r="F1225" s="3105">
        <v>4531823</v>
      </c>
      <c r="G1225" s="3106"/>
      <c r="H1225" s="3105" t="s">
        <v>125</v>
      </c>
      <c r="I1225" s="3105"/>
      <c r="J1225" s="3107"/>
    </row>
    <row r="1226" spans="1:10">
      <c r="A1226" s="254" t="s">
        <v>3309</v>
      </c>
      <c r="B1226" s="3105" t="s">
        <v>3310</v>
      </c>
      <c r="C1226" s="3105"/>
      <c r="D1226" s="3105"/>
      <c r="E1226" s="3106"/>
      <c r="F1226" s="3108" t="s">
        <v>2012</v>
      </c>
      <c r="G1226" s="3109"/>
      <c r="H1226" s="3105" t="s">
        <v>3311</v>
      </c>
      <c r="I1226" s="3105"/>
      <c r="J1226" s="3107"/>
    </row>
    <row r="1227" spans="1:10">
      <c r="A1227" s="255">
        <v>2</v>
      </c>
      <c r="B1227" s="3078" t="s">
        <v>3414</v>
      </c>
      <c r="C1227" s="3078"/>
      <c r="D1227" s="3078"/>
      <c r="E1227" s="3078"/>
      <c r="F1227" s="3079">
        <v>2000</v>
      </c>
      <c r="G1227" s="3080"/>
      <c r="H1227" s="3078">
        <f>F1227*A1227</f>
        <v>4000</v>
      </c>
      <c r="I1227" s="3078"/>
      <c r="J1227" s="3081"/>
    </row>
    <row r="1228" spans="1:10">
      <c r="A1228" s="255"/>
      <c r="B1228" s="3078"/>
      <c r="C1228" s="3078"/>
      <c r="D1228" s="3078"/>
      <c r="E1228" s="3078"/>
      <c r="F1228" s="3079"/>
      <c r="G1228" s="3080"/>
      <c r="H1228" s="3078"/>
      <c r="I1228" s="3078"/>
      <c r="J1228" s="3081"/>
    </row>
    <row r="1229" spans="1:10">
      <c r="A1229" s="255" t="s">
        <v>2047</v>
      </c>
      <c r="B1229" s="256" t="s">
        <v>2047</v>
      </c>
      <c r="C1229" s="256" t="s">
        <v>2047</v>
      </c>
      <c r="D1229" s="256" t="s">
        <v>2047</v>
      </c>
      <c r="E1229" s="256" t="s">
        <v>2047</v>
      </c>
      <c r="F1229" s="3079" t="s">
        <v>2047</v>
      </c>
      <c r="G1229" s="3080"/>
      <c r="H1229" s="3078" t="s">
        <v>3313</v>
      </c>
      <c r="I1229" s="3078"/>
      <c r="J1229" s="3081"/>
    </row>
    <row r="1230" spans="1:10">
      <c r="A1230" s="245" t="s">
        <v>2047</v>
      </c>
      <c r="B1230" s="228" t="s">
        <v>2047</v>
      </c>
      <c r="C1230" s="228" t="s">
        <v>2047</v>
      </c>
      <c r="D1230" s="228" t="s">
        <v>2047</v>
      </c>
      <c r="E1230" s="228" t="s">
        <v>2047</v>
      </c>
      <c r="F1230" s="3046" t="s">
        <v>2047</v>
      </c>
      <c r="G1230" s="3047"/>
      <c r="H1230" s="3048" t="s">
        <v>3313</v>
      </c>
      <c r="I1230" s="3048"/>
      <c r="J1230" s="3049"/>
    </row>
    <row r="1231" spans="1:10">
      <c r="A1231" s="245" t="s">
        <v>2047</v>
      </c>
      <c r="B1231" s="228" t="s">
        <v>2047</v>
      </c>
      <c r="C1231" s="228" t="s">
        <v>2047</v>
      </c>
      <c r="D1231" s="228" t="s">
        <v>2047</v>
      </c>
      <c r="E1231" s="228" t="s">
        <v>2047</v>
      </c>
      <c r="F1231" s="3046" t="s">
        <v>2047</v>
      </c>
      <c r="G1231" s="3047"/>
      <c r="H1231" s="3048" t="s">
        <v>3313</v>
      </c>
      <c r="I1231" s="3048"/>
      <c r="J1231" s="3049"/>
    </row>
    <row r="1232" spans="1:10">
      <c r="A1232" s="245" t="s">
        <v>2047</v>
      </c>
      <c r="B1232" s="228" t="s">
        <v>2047</v>
      </c>
      <c r="C1232" s="228" t="s">
        <v>2047</v>
      </c>
      <c r="D1232" s="228" t="s">
        <v>2047</v>
      </c>
      <c r="E1232" s="228" t="s">
        <v>2047</v>
      </c>
      <c r="F1232" s="3046" t="s">
        <v>2047</v>
      </c>
      <c r="G1232" s="3047"/>
      <c r="H1232" s="3048" t="s">
        <v>3313</v>
      </c>
      <c r="I1232" s="3048"/>
      <c r="J1232" s="3049"/>
    </row>
    <row r="1233" spans="1:10">
      <c r="A1233" s="245" t="s">
        <v>2047</v>
      </c>
      <c r="B1233" s="228" t="s">
        <v>2047</v>
      </c>
      <c r="C1233" s="228" t="s">
        <v>2047</v>
      </c>
      <c r="D1233" s="228" t="s">
        <v>2047</v>
      </c>
      <c r="E1233" s="228" t="s">
        <v>2047</v>
      </c>
      <c r="F1233" s="3046" t="s">
        <v>2047</v>
      </c>
      <c r="G1233" s="3047"/>
      <c r="H1233" s="3048" t="s">
        <v>3313</v>
      </c>
      <c r="I1233" s="3048"/>
      <c r="J1233" s="3049"/>
    </row>
    <row r="1234" spans="1:10">
      <c r="A1234" s="245" t="s">
        <v>2047</v>
      </c>
      <c r="B1234" s="228" t="s">
        <v>2047</v>
      </c>
      <c r="C1234" s="228" t="s">
        <v>2047</v>
      </c>
      <c r="D1234" s="228" t="s">
        <v>2047</v>
      </c>
      <c r="E1234" s="228" t="s">
        <v>2047</v>
      </c>
      <c r="F1234" s="3046" t="s">
        <v>2047</v>
      </c>
      <c r="G1234" s="3047"/>
      <c r="H1234" s="3048" t="s">
        <v>3313</v>
      </c>
      <c r="I1234" s="3048"/>
      <c r="J1234" s="3049"/>
    </row>
    <row r="1235" spans="1:10">
      <c r="A1235" s="245" t="s">
        <v>2047</v>
      </c>
      <c r="B1235" s="228" t="s">
        <v>2047</v>
      </c>
      <c r="C1235" s="228" t="s">
        <v>2047</v>
      </c>
      <c r="D1235" s="228" t="s">
        <v>2047</v>
      </c>
      <c r="E1235" s="228" t="s">
        <v>2047</v>
      </c>
      <c r="F1235" s="3046" t="s">
        <v>2047</v>
      </c>
      <c r="G1235" s="3047"/>
      <c r="H1235" s="3048" t="s">
        <v>3313</v>
      </c>
      <c r="I1235" s="3048"/>
      <c r="J1235" s="3049"/>
    </row>
    <row r="1236" spans="1:10">
      <c r="A1236" s="1754" t="s">
        <v>2580</v>
      </c>
      <c r="B1236" s="227" t="s">
        <v>2047</v>
      </c>
      <c r="C1236" s="227" t="s">
        <v>2047</v>
      </c>
      <c r="D1236" s="227" t="s">
        <v>2047</v>
      </c>
      <c r="E1236" s="3050" t="s">
        <v>3314</v>
      </c>
      <c r="F1236" s="3051"/>
      <c r="G1236" s="3052">
        <f>H1227+H1228</f>
        <v>4000</v>
      </c>
      <c r="H1236" s="3052"/>
      <c r="I1236" s="3053"/>
      <c r="J1236" s="246"/>
    </row>
    <row r="1237" spans="1:10">
      <c r="A1237" s="247" t="s">
        <v>2047</v>
      </c>
      <c r="B1237" s="229" t="s">
        <v>2047</v>
      </c>
      <c r="C1237" s="229" t="s">
        <v>2047</v>
      </c>
      <c r="D1237" s="229" t="s">
        <v>2047</v>
      </c>
      <c r="E1237" s="229" t="s">
        <v>2047</v>
      </c>
      <c r="F1237" s="230" t="s">
        <v>3315</v>
      </c>
      <c r="G1237" s="231" t="s">
        <v>3316</v>
      </c>
      <c r="H1237" s="3054" t="s">
        <v>3317</v>
      </c>
      <c r="I1237" s="3054"/>
      <c r="J1237" s="3055"/>
    </row>
    <row r="1238" spans="1:10">
      <c r="A1238" s="3056" t="s">
        <v>3318</v>
      </c>
      <c r="B1238" s="3057"/>
      <c r="C1238" s="3057"/>
      <c r="D1238" s="3057"/>
      <c r="E1238" s="3058"/>
      <c r="F1238" s="3062" t="s">
        <v>1990</v>
      </c>
      <c r="G1238" s="3063"/>
      <c r="H1238" s="3066">
        <f>G1236</f>
        <v>4000</v>
      </c>
      <c r="I1238" s="3067"/>
      <c r="J1238" s="3068"/>
    </row>
    <row r="1239" spans="1:10">
      <c r="A1239" s="3059"/>
      <c r="B1239" s="3060"/>
      <c r="C1239" s="3060"/>
      <c r="D1239" s="3060"/>
      <c r="E1239" s="3061"/>
      <c r="F1239" s="3064"/>
      <c r="G1239" s="3065"/>
      <c r="H1239" s="3069"/>
      <c r="I1239" s="3070"/>
      <c r="J1239" s="3071"/>
    </row>
    <row r="1240" spans="1:10">
      <c r="A1240" s="3072" t="s">
        <v>3319</v>
      </c>
      <c r="B1240" s="3073"/>
      <c r="C1240" s="3073"/>
      <c r="D1240" s="3073"/>
      <c r="E1240" s="3073"/>
      <c r="F1240" s="3073"/>
      <c r="G1240" s="3073"/>
      <c r="H1240" s="3073"/>
      <c r="I1240" s="3073"/>
      <c r="J1240" s="3074"/>
    </row>
    <row r="1241" spans="1:10">
      <c r="A1241" s="3075"/>
      <c r="B1241" s="3076"/>
      <c r="C1241" s="3076"/>
      <c r="D1241" s="3076"/>
      <c r="E1241" s="3076"/>
      <c r="F1241" s="3076"/>
      <c r="G1241" s="3076"/>
      <c r="H1241" s="3076"/>
      <c r="I1241" s="3076"/>
      <c r="J1241" s="3077"/>
    </row>
    <row r="1243" spans="1:10">
      <c r="A1243" s="238" t="s">
        <v>2047</v>
      </c>
      <c r="B1243" s="239" t="s">
        <v>2047</v>
      </c>
      <c r="C1243" s="3082" t="s">
        <v>3292</v>
      </c>
      <c r="D1243" s="3082"/>
      <c r="E1243" s="3082"/>
      <c r="F1243" s="3083"/>
      <c r="G1243" s="239" t="s">
        <v>2047</v>
      </c>
      <c r="H1243" s="1755" t="s">
        <v>2047</v>
      </c>
      <c r="I1243" s="1755" t="s">
        <v>2047</v>
      </c>
      <c r="J1243" s="240" t="s">
        <v>2047</v>
      </c>
    </row>
    <row r="1244" spans="1:10" ht="15.6">
      <c r="A1244" s="241" t="s">
        <v>2047</v>
      </c>
      <c r="B1244" s="223"/>
      <c r="C1244" s="3084" t="s">
        <v>2045</v>
      </c>
      <c r="D1244" s="3084"/>
      <c r="E1244" s="3084"/>
      <c r="F1244" s="3085"/>
      <c r="G1244" s="1756" t="s">
        <v>2047</v>
      </c>
      <c r="H1244" s="3086" t="s">
        <v>3437</v>
      </c>
      <c r="I1244" s="3086"/>
      <c r="J1244" s="242" t="s">
        <v>2047</v>
      </c>
    </row>
    <row r="1245" spans="1:10" ht="17.45">
      <c r="A1245" s="241" t="s">
        <v>2047</v>
      </c>
      <c r="B1245" s="224"/>
      <c r="C1245" s="3088" t="s">
        <v>3294</v>
      </c>
      <c r="D1245" s="3088"/>
      <c r="E1245" s="3088"/>
      <c r="F1245" s="3089"/>
      <c r="G1245" s="225" t="s">
        <v>3295</v>
      </c>
      <c r="H1245" s="3087"/>
      <c r="I1245" s="3087"/>
      <c r="J1245" s="242" t="s">
        <v>2047</v>
      </c>
    </row>
    <row r="1246" spans="1:10">
      <c r="A1246" s="241" t="s">
        <v>2047</v>
      </c>
      <c r="B1246" s="224" t="s">
        <v>2047</v>
      </c>
      <c r="C1246" s="3090" t="s">
        <v>3296</v>
      </c>
      <c r="D1246" s="3090"/>
      <c r="E1246" s="3090"/>
      <c r="F1246" s="3091"/>
      <c r="G1246" s="1756" t="s">
        <v>2047</v>
      </c>
      <c r="H1246" s="226" t="s">
        <v>2047</v>
      </c>
      <c r="I1246" s="226" t="s">
        <v>2047</v>
      </c>
      <c r="J1246" s="243" t="s">
        <v>2047</v>
      </c>
    </row>
    <row r="1247" spans="1:10" ht="31.9">
      <c r="A1247" s="234" t="s">
        <v>3297</v>
      </c>
      <c r="B1247" s="3092" t="s">
        <v>3405</v>
      </c>
      <c r="C1247" s="3093"/>
      <c r="D1247" s="3093"/>
      <c r="E1247" s="3094"/>
      <c r="F1247" s="233" t="s">
        <v>3299</v>
      </c>
      <c r="G1247" s="232">
        <v>98529299</v>
      </c>
      <c r="H1247" s="1757" t="s">
        <v>3301</v>
      </c>
      <c r="I1247" s="1757" t="s">
        <v>3302</v>
      </c>
      <c r="J1247" s="244" t="s">
        <v>3303</v>
      </c>
    </row>
    <row r="1248" spans="1:10">
      <c r="A1248" s="3095"/>
      <c r="B1248" s="3096"/>
      <c r="C1248" s="3096"/>
      <c r="D1248" s="3096"/>
      <c r="E1248" s="3097"/>
      <c r="F1248" s="3105"/>
      <c r="G1248" s="3106"/>
      <c r="H1248" s="248">
        <v>3</v>
      </c>
      <c r="I1248" s="248">
        <v>1</v>
      </c>
      <c r="J1248" s="249">
        <v>2022</v>
      </c>
    </row>
    <row r="1249" spans="1:10">
      <c r="A1249" s="3098" t="s">
        <v>3304</v>
      </c>
      <c r="B1249" s="3099"/>
      <c r="C1249" s="3099"/>
      <c r="D1249" s="3099"/>
      <c r="E1249" s="3110"/>
      <c r="F1249" s="250" t="s">
        <v>3305</v>
      </c>
      <c r="G1249" s="1753" t="s">
        <v>2047</v>
      </c>
      <c r="H1249" s="251" t="s">
        <v>3306</v>
      </c>
      <c r="I1249" s="252" t="s">
        <v>2047</v>
      </c>
      <c r="J1249" s="253" t="s">
        <v>2047</v>
      </c>
    </row>
    <row r="1250" spans="1:10">
      <c r="A1250" s="3098" t="s">
        <v>3406</v>
      </c>
      <c r="B1250" s="3099"/>
      <c r="C1250" s="3099"/>
      <c r="D1250" s="3099"/>
      <c r="E1250" s="3110"/>
      <c r="F1250" s="3105" t="s">
        <v>3407</v>
      </c>
      <c r="G1250" s="3106"/>
      <c r="H1250" s="3105" t="s">
        <v>125</v>
      </c>
      <c r="I1250" s="3105"/>
      <c r="J1250" s="3107"/>
    </row>
    <row r="1251" spans="1:10">
      <c r="A1251" s="254" t="s">
        <v>3309</v>
      </c>
      <c r="B1251" s="3105" t="s">
        <v>3310</v>
      </c>
      <c r="C1251" s="3105"/>
      <c r="D1251" s="3105"/>
      <c r="E1251" s="3106"/>
      <c r="F1251" s="3108" t="s">
        <v>2012</v>
      </c>
      <c r="G1251" s="3109"/>
      <c r="H1251" s="3105" t="s">
        <v>3311</v>
      </c>
      <c r="I1251" s="3105"/>
      <c r="J1251" s="3107"/>
    </row>
    <row r="1252" spans="1:10">
      <c r="A1252" s="255">
        <v>2</v>
      </c>
      <c r="B1252" s="3078" t="s">
        <v>3367</v>
      </c>
      <c r="C1252" s="3078"/>
      <c r="D1252" s="3078"/>
      <c r="E1252" s="3078"/>
      <c r="F1252" s="3079">
        <v>2000</v>
      </c>
      <c r="G1252" s="3080"/>
      <c r="H1252" s="3078">
        <f>F1252*A1252</f>
        <v>4000</v>
      </c>
      <c r="I1252" s="3078"/>
      <c r="J1252" s="3081"/>
    </row>
    <row r="1253" spans="1:10">
      <c r="A1253" s="255" t="s">
        <v>2047</v>
      </c>
      <c r="B1253" s="3078" t="s">
        <v>2047</v>
      </c>
      <c r="C1253" s="3078"/>
      <c r="D1253" s="3078"/>
      <c r="E1253" s="3078"/>
      <c r="F1253" s="3079" t="s">
        <v>2047</v>
      </c>
      <c r="G1253" s="3080"/>
      <c r="H1253" s="3078" t="s">
        <v>2047</v>
      </c>
      <c r="I1253" s="3078"/>
      <c r="J1253" s="3081"/>
    </row>
    <row r="1254" spans="1:10">
      <c r="A1254" s="255" t="s">
        <v>2047</v>
      </c>
      <c r="B1254" s="256" t="s">
        <v>2047</v>
      </c>
      <c r="C1254" s="256" t="s">
        <v>2047</v>
      </c>
      <c r="D1254" s="256" t="s">
        <v>2047</v>
      </c>
      <c r="E1254" s="256" t="s">
        <v>2047</v>
      </c>
      <c r="F1254" s="3079" t="s">
        <v>2047</v>
      </c>
      <c r="G1254" s="3080"/>
      <c r="H1254" s="3078" t="s">
        <v>3313</v>
      </c>
      <c r="I1254" s="3078"/>
      <c r="J1254" s="3081"/>
    </row>
    <row r="1255" spans="1:10">
      <c r="A1255" s="245" t="s">
        <v>2047</v>
      </c>
      <c r="B1255" s="228" t="s">
        <v>2047</v>
      </c>
      <c r="C1255" s="228" t="s">
        <v>2047</v>
      </c>
      <c r="D1255" s="228" t="s">
        <v>2047</v>
      </c>
      <c r="E1255" s="228" t="s">
        <v>2047</v>
      </c>
      <c r="F1255" s="3046" t="s">
        <v>2047</v>
      </c>
      <c r="G1255" s="3047"/>
      <c r="H1255" s="3048" t="s">
        <v>3313</v>
      </c>
      <c r="I1255" s="3048"/>
      <c r="J1255" s="3049"/>
    </row>
    <row r="1256" spans="1:10">
      <c r="A1256" s="245" t="s">
        <v>2047</v>
      </c>
      <c r="B1256" s="228" t="s">
        <v>2047</v>
      </c>
      <c r="C1256" s="228" t="s">
        <v>2047</v>
      </c>
      <c r="D1256" s="228" t="s">
        <v>2047</v>
      </c>
      <c r="E1256" s="228" t="s">
        <v>2047</v>
      </c>
      <c r="F1256" s="3046" t="s">
        <v>2047</v>
      </c>
      <c r="G1256" s="3047"/>
      <c r="H1256" s="3048" t="s">
        <v>3313</v>
      </c>
      <c r="I1256" s="3048"/>
      <c r="J1256" s="3049"/>
    </row>
    <row r="1257" spans="1:10">
      <c r="A1257" s="245" t="s">
        <v>2047</v>
      </c>
      <c r="B1257" s="228" t="s">
        <v>2047</v>
      </c>
      <c r="C1257" s="228" t="s">
        <v>2047</v>
      </c>
      <c r="D1257" s="228" t="s">
        <v>2047</v>
      </c>
      <c r="E1257" s="228" t="s">
        <v>2047</v>
      </c>
      <c r="F1257" s="3046" t="s">
        <v>2047</v>
      </c>
      <c r="G1257" s="3047"/>
      <c r="H1257" s="3048" t="s">
        <v>3313</v>
      </c>
      <c r="I1257" s="3048"/>
      <c r="J1257" s="3049"/>
    </row>
    <row r="1258" spans="1:10">
      <c r="A1258" s="245" t="s">
        <v>2047</v>
      </c>
      <c r="B1258" s="228" t="s">
        <v>2047</v>
      </c>
      <c r="C1258" s="228" t="s">
        <v>2047</v>
      </c>
      <c r="D1258" s="228" t="s">
        <v>2047</v>
      </c>
      <c r="E1258" s="228" t="s">
        <v>2047</v>
      </c>
      <c r="F1258" s="3046" t="s">
        <v>2047</v>
      </c>
      <c r="G1258" s="3047"/>
      <c r="H1258" s="3048" t="s">
        <v>3313</v>
      </c>
      <c r="I1258" s="3048"/>
      <c r="J1258" s="3049"/>
    </row>
    <row r="1259" spans="1:10">
      <c r="A1259" s="245" t="s">
        <v>2047</v>
      </c>
      <c r="B1259" s="228" t="s">
        <v>2047</v>
      </c>
      <c r="C1259" s="228" t="s">
        <v>2047</v>
      </c>
      <c r="D1259" s="228" t="s">
        <v>2047</v>
      </c>
      <c r="E1259" s="228" t="s">
        <v>2047</v>
      </c>
      <c r="F1259" s="3046" t="s">
        <v>2047</v>
      </c>
      <c r="G1259" s="3047"/>
      <c r="H1259" s="3048" t="s">
        <v>3313</v>
      </c>
      <c r="I1259" s="3048"/>
      <c r="J1259" s="3049"/>
    </row>
    <row r="1260" spans="1:10">
      <c r="A1260" s="245" t="s">
        <v>2047</v>
      </c>
      <c r="B1260" s="228" t="s">
        <v>2047</v>
      </c>
      <c r="C1260" s="228" t="s">
        <v>2047</v>
      </c>
      <c r="D1260" s="228" t="s">
        <v>2047</v>
      </c>
      <c r="E1260" s="228" t="s">
        <v>2047</v>
      </c>
      <c r="F1260" s="3046" t="s">
        <v>2047</v>
      </c>
      <c r="G1260" s="3047"/>
      <c r="H1260" s="3048" t="s">
        <v>3313</v>
      </c>
      <c r="I1260" s="3048"/>
      <c r="J1260" s="3049"/>
    </row>
    <row r="1261" spans="1:10">
      <c r="A1261" s="1754" t="s">
        <v>2580</v>
      </c>
      <c r="B1261" s="227" t="s">
        <v>2047</v>
      </c>
      <c r="C1261" s="227" t="s">
        <v>2047</v>
      </c>
      <c r="D1261" s="227" t="s">
        <v>2047</v>
      </c>
      <c r="E1261" s="3050" t="s">
        <v>3314</v>
      </c>
      <c r="F1261" s="3051"/>
      <c r="G1261" s="3052">
        <f>H1252</f>
        <v>4000</v>
      </c>
      <c r="H1261" s="3052"/>
      <c r="I1261" s="3053"/>
      <c r="J1261" s="246"/>
    </row>
    <row r="1262" spans="1:10">
      <c r="A1262" s="247" t="s">
        <v>2047</v>
      </c>
      <c r="B1262" s="229" t="s">
        <v>2047</v>
      </c>
      <c r="C1262" s="229" t="s">
        <v>2047</v>
      </c>
      <c r="D1262" s="229" t="s">
        <v>2047</v>
      </c>
      <c r="E1262" s="229" t="s">
        <v>2047</v>
      </c>
      <c r="F1262" s="230" t="s">
        <v>3315</v>
      </c>
      <c r="G1262" s="231" t="s">
        <v>3316</v>
      </c>
      <c r="H1262" s="3054" t="s">
        <v>3317</v>
      </c>
      <c r="I1262" s="3054"/>
      <c r="J1262" s="3055"/>
    </row>
    <row r="1263" spans="1:10">
      <c r="A1263" s="3056" t="s">
        <v>3318</v>
      </c>
      <c r="B1263" s="3057"/>
      <c r="C1263" s="3057"/>
      <c r="D1263" s="3057"/>
      <c r="E1263" s="3058"/>
      <c r="F1263" s="3062" t="s">
        <v>1990</v>
      </c>
      <c r="G1263" s="3063"/>
      <c r="H1263" s="3066">
        <f>G1261</f>
        <v>4000</v>
      </c>
      <c r="I1263" s="3067"/>
      <c r="J1263" s="3068"/>
    </row>
    <row r="1264" spans="1:10">
      <c r="A1264" s="3059"/>
      <c r="B1264" s="3060"/>
      <c r="C1264" s="3060"/>
      <c r="D1264" s="3060"/>
      <c r="E1264" s="3061"/>
      <c r="F1264" s="3064"/>
      <c r="G1264" s="3065"/>
      <c r="H1264" s="3069"/>
      <c r="I1264" s="3070"/>
      <c r="J1264" s="3071"/>
    </row>
    <row r="1265" spans="1:10">
      <c r="A1265" s="3072" t="s">
        <v>3319</v>
      </c>
      <c r="B1265" s="3073"/>
      <c r="C1265" s="3073"/>
      <c r="D1265" s="3073"/>
      <c r="E1265" s="3073"/>
      <c r="F1265" s="3073"/>
      <c r="G1265" s="3073"/>
      <c r="H1265" s="3073"/>
      <c r="I1265" s="3073"/>
      <c r="J1265" s="3074"/>
    </row>
    <row r="1266" spans="1:10">
      <c r="A1266" s="3075"/>
      <c r="B1266" s="3076"/>
      <c r="C1266" s="3076"/>
      <c r="D1266" s="3076"/>
      <c r="E1266" s="3076"/>
      <c r="F1266" s="3076"/>
      <c r="G1266" s="3076"/>
      <c r="H1266" s="3076"/>
      <c r="I1266" s="3076"/>
      <c r="J1266" s="3077"/>
    </row>
    <row r="1268" spans="1:10">
      <c r="A1268" s="238" t="s">
        <v>2047</v>
      </c>
      <c r="B1268" s="239" t="s">
        <v>2047</v>
      </c>
      <c r="C1268" s="3082" t="s">
        <v>3292</v>
      </c>
      <c r="D1268" s="3082"/>
      <c r="E1268" s="3082"/>
      <c r="F1268" s="3083"/>
      <c r="G1268" s="239" t="s">
        <v>2047</v>
      </c>
      <c r="H1268" s="1755" t="s">
        <v>2047</v>
      </c>
      <c r="I1268" s="1755" t="s">
        <v>2047</v>
      </c>
      <c r="J1268" s="240" t="s">
        <v>2047</v>
      </c>
    </row>
    <row r="1269" spans="1:10" ht="15.6">
      <c r="A1269" s="241" t="s">
        <v>2047</v>
      </c>
      <c r="B1269" s="223"/>
      <c r="C1269" s="3084" t="s">
        <v>2045</v>
      </c>
      <c r="D1269" s="3084"/>
      <c r="E1269" s="3084"/>
      <c r="F1269" s="3085"/>
      <c r="G1269" s="1756" t="s">
        <v>2047</v>
      </c>
      <c r="H1269" s="3086" t="s">
        <v>3438</v>
      </c>
      <c r="I1269" s="3086"/>
      <c r="J1269" s="242" t="s">
        <v>2047</v>
      </c>
    </row>
    <row r="1270" spans="1:10" ht="17.45">
      <c r="A1270" s="241" t="s">
        <v>2047</v>
      </c>
      <c r="B1270" s="224"/>
      <c r="C1270" s="3088" t="s">
        <v>3294</v>
      </c>
      <c r="D1270" s="3088"/>
      <c r="E1270" s="3088"/>
      <c r="F1270" s="3089"/>
      <c r="G1270" s="225" t="s">
        <v>3295</v>
      </c>
      <c r="H1270" s="3087"/>
      <c r="I1270" s="3087"/>
      <c r="J1270" s="242" t="s">
        <v>2047</v>
      </c>
    </row>
    <row r="1271" spans="1:10">
      <c r="A1271" s="241" t="s">
        <v>2047</v>
      </c>
      <c r="B1271" s="224" t="s">
        <v>2047</v>
      </c>
      <c r="C1271" s="3090" t="s">
        <v>3296</v>
      </c>
      <c r="D1271" s="3090"/>
      <c r="E1271" s="3090"/>
      <c r="F1271" s="3091"/>
      <c r="G1271" s="1756" t="s">
        <v>2047</v>
      </c>
      <c r="H1271" s="226"/>
      <c r="I1271" s="226" t="s">
        <v>2047</v>
      </c>
      <c r="J1271" s="243" t="s">
        <v>2047</v>
      </c>
    </row>
    <row r="1272" spans="1:10" ht="31.9">
      <c r="A1272" s="234" t="s">
        <v>3297</v>
      </c>
      <c r="B1272" s="3092" t="s">
        <v>3426</v>
      </c>
      <c r="C1272" s="3093"/>
      <c r="D1272" s="3093"/>
      <c r="E1272" s="3094"/>
      <c r="F1272" s="233" t="s">
        <v>3299</v>
      </c>
      <c r="G1272" s="232">
        <v>71270077</v>
      </c>
      <c r="H1272" s="1757" t="s">
        <v>3301</v>
      </c>
      <c r="I1272" s="1757" t="s">
        <v>3302</v>
      </c>
      <c r="J1272" s="244" t="s">
        <v>3303</v>
      </c>
    </row>
    <row r="1273" spans="1:10">
      <c r="A1273" s="3095"/>
      <c r="B1273" s="3096"/>
      <c r="C1273" s="3096"/>
      <c r="D1273" s="3096"/>
      <c r="E1273" s="3097"/>
      <c r="F1273" s="3105"/>
      <c r="G1273" s="3106"/>
      <c r="H1273" s="248">
        <v>26</v>
      </c>
      <c r="I1273" s="248">
        <v>1</v>
      </c>
      <c r="J1273" s="249">
        <v>2022</v>
      </c>
    </row>
    <row r="1274" spans="1:10">
      <c r="A1274" s="3098" t="s">
        <v>3304</v>
      </c>
      <c r="B1274" s="3099"/>
      <c r="C1274" s="3099"/>
      <c r="D1274" s="3099"/>
      <c r="E1274" s="3110"/>
      <c r="F1274" s="250" t="s">
        <v>3305</v>
      </c>
      <c r="G1274" s="1753" t="s">
        <v>2047</v>
      </c>
      <c r="H1274" s="251" t="s">
        <v>3306</v>
      </c>
      <c r="I1274" s="252" t="s">
        <v>2047</v>
      </c>
      <c r="J1274" s="253" t="s">
        <v>2047</v>
      </c>
    </row>
    <row r="1275" spans="1:10">
      <c r="A1275" s="3098" t="s">
        <v>3427</v>
      </c>
      <c r="B1275" s="3099"/>
      <c r="C1275" s="3099"/>
      <c r="D1275" s="3099"/>
      <c r="E1275" s="3110"/>
      <c r="F1275" s="3105">
        <v>2755591</v>
      </c>
      <c r="G1275" s="3106"/>
      <c r="H1275" s="3105" t="s">
        <v>125</v>
      </c>
      <c r="I1275" s="3105"/>
      <c r="J1275" s="3107"/>
    </row>
    <row r="1276" spans="1:10">
      <c r="A1276" s="254" t="s">
        <v>3309</v>
      </c>
      <c r="B1276" s="3105" t="s">
        <v>3310</v>
      </c>
      <c r="C1276" s="3105"/>
      <c r="D1276" s="3105"/>
      <c r="E1276" s="3106"/>
      <c r="F1276" s="3108" t="s">
        <v>2012</v>
      </c>
      <c r="G1276" s="3109"/>
      <c r="H1276" s="3105" t="s">
        <v>3311</v>
      </c>
      <c r="I1276" s="3105"/>
      <c r="J1276" s="3107"/>
    </row>
    <row r="1277" spans="1:10">
      <c r="A1277" s="255">
        <v>3</v>
      </c>
      <c r="B1277" s="3078" t="s">
        <v>3422</v>
      </c>
      <c r="C1277" s="3078"/>
      <c r="D1277" s="3078"/>
      <c r="E1277" s="3078"/>
      <c r="F1277" s="3079">
        <v>1800</v>
      </c>
      <c r="G1277" s="3080"/>
      <c r="H1277" s="3078">
        <f>F1277*A1277</f>
        <v>5400</v>
      </c>
      <c r="I1277" s="3078"/>
      <c r="J1277" s="3081"/>
    </row>
    <row r="1278" spans="1:10">
      <c r="A1278" s="255"/>
      <c r="B1278" s="3078"/>
      <c r="C1278" s="3078"/>
      <c r="D1278" s="3078"/>
      <c r="E1278" s="3078"/>
      <c r="F1278" s="3079"/>
      <c r="G1278" s="3080"/>
      <c r="H1278" s="3078"/>
      <c r="I1278" s="3078"/>
      <c r="J1278" s="3081"/>
    </row>
    <row r="1279" spans="1:10">
      <c r="A1279" s="255" t="s">
        <v>2047</v>
      </c>
      <c r="B1279" s="256" t="s">
        <v>2047</v>
      </c>
      <c r="C1279" s="256" t="s">
        <v>2047</v>
      </c>
      <c r="D1279" s="256" t="s">
        <v>2047</v>
      </c>
      <c r="E1279" s="256" t="s">
        <v>2047</v>
      </c>
      <c r="F1279" s="3079" t="s">
        <v>2047</v>
      </c>
      <c r="G1279" s="3080"/>
      <c r="H1279" s="3078" t="s">
        <v>3313</v>
      </c>
      <c r="I1279" s="3078"/>
      <c r="J1279" s="3081"/>
    </row>
    <row r="1280" spans="1:10">
      <c r="A1280" s="245" t="s">
        <v>2047</v>
      </c>
      <c r="B1280" s="228" t="s">
        <v>2047</v>
      </c>
      <c r="C1280" s="228" t="s">
        <v>2047</v>
      </c>
      <c r="D1280" s="228" t="s">
        <v>2047</v>
      </c>
      <c r="E1280" s="228" t="s">
        <v>2047</v>
      </c>
      <c r="F1280" s="3046" t="s">
        <v>2047</v>
      </c>
      <c r="G1280" s="3047"/>
      <c r="H1280" s="3048" t="s">
        <v>3313</v>
      </c>
      <c r="I1280" s="3048"/>
      <c r="J1280" s="3049"/>
    </row>
    <row r="1281" spans="1:10">
      <c r="A1281" s="245" t="s">
        <v>2047</v>
      </c>
      <c r="B1281" s="228" t="s">
        <v>2047</v>
      </c>
      <c r="C1281" s="228" t="s">
        <v>2047</v>
      </c>
      <c r="D1281" s="228" t="s">
        <v>2047</v>
      </c>
      <c r="E1281" s="228" t="s">
        <v>2047</v>
      </c>
      <c r="F1281" s="3046" t="s">
        <v>2047</v>
      </c>
      <c r="G1281" s="3047"/>
      <c r="H1281" s="3048" t="s">
        <v>3313</v>
      </c>
      <c r="I1281" s="3048"/>
      <c r="J1281" s="3049"/>
    </row>
    <row r="1282" spans="1:10">
      <c r="A1282" s="245" t="s">
        <v>2047</v>
      </c>
      <c r="B1282" s="228" t="s">
        <v>2047</v>
      </c>
      <c r="C1282" s="228" t="s">
        <v>2047</v>
      </c>
      <c r="D1282" s="228" t="s">
        <v>2047</v>
      </c>
      <c r="E1282" s="228" t="s">
        <v>2047</v>
      </c>
      <c r="F1282" s="3046" t="s">
        <v>2047</v>
      </c>
      <c r="G1282" s="3047"/>
      <c r="H1282" s="3048" t="s">
        <v>3313</v>
      </c>
      <c r="I1282" s="3048"/>
      <c r="J1282" s="3049"/>
    </row>
    <row r="1283" spans="1:10">
      <c r="A1283" s="245" t="s">
        <v>2047</v>
      </c>
      <c r="B1283" s="228" t="s">
        <v>2047</v>
      </c>
      <c r="C1283" s="228" t="s">
        <v>2047</v>
      </c>
      <c r="D1283" s="228" t="s">
        <v>2047</v>
      </c>
      <c r="E1283" s="228" t="s">
        <v>2047</v>
      </c>
      <c r="F1283" s="3046" t="s">
        <v>2047</v>
      </c>
      <c r="G1283" s="3047"/>
      <c r="H1283" s="3048" t="s">
        <v>3313</v>
      </c>
      <c r="I1283" s="3048"/>
      <c r="J1283" s="3049"/>
    </row>
    <row r="1284" spans="1:10">
      <c r="A1284" s="245" t="s">
        <v>2047</v>
      </c>
      <c r="B1284" s="228" t="s">
        <v>2047</v>
      </c>
      <c r="C1284" s="228" t="s">
        <v>2047</v>
      </c>
      <c r="D1284" s="228" t="s">
        <v>2047</v>
      </c>
      <c r="E1284" s="228" t="s">
        <v>2047</v>
      </c>
      <c r="F1284" s="3046" t="s">
        <v>2047</v>
      </c>
      <c r="G1284" s="3047"/>
      <c r="H1284" s="3048" t="s">
        <v>3313</v>
      </c>
      <c r="I1284" s="3048"/>
      <c r="J1284" s="3049"/>
    </row>
    <row r="1285" spans="1:10">
      <c r="A1285" s="245" t="s">
        <v>2047</v>
      </c>
      <c r="B1285" s="228" t="s">
        <v>2047</v>
      </c>
      <c r="C1285" s="228" t="s">
        <v>2047</v>
      </c>
      <c r="D1285" s="228" t="s">
        <v>2047</v>
      </c>
      <c r="E1285" s="228" t="s">
        <v>2047</v>
      </c>
      <c r="F1285" s="3046" t="s">
        <v>2047</v>
      </c>
      <c r="G1285" s="3047"/>
      <c r="H1285" s="3048" t="s">
        <v>3313</v>
      </c>
      <c r="I1285" s="3048"/>
      <c r="J1285" s="3049"/>
    </row>
    <row r="1286" spans="1:10">
      <c r="A1286" s="1754" t="s">
        <v>2580</v>
      </c>
      <c r="B1286" s="227" t="s">
        <v>2047</v>
      </c>
      <c r="C1286" s="227" t="s">
        <v>2047</v>
      </c>
      <c r="D1286" s="227" t="s">
        <v>2047</v>
      </c>
      <c r="E1286" s="3050" t="s">
        <v>3314</v>
      </c>
      <c r="F1286" s="3051"/>
      <c r="G1286" s="3052">
        <f>H1277+H1278</f>
        <v>5400</v>
      </c>
      <c r="H1286" s="3052"/>
      <c r="I1286" s="3053"/>
      <c r="J1286" s="246"/>
    </row>
    <row r="1287" spans="1:10">
      <c r="A1287" s="247" t="s">
        <v>2047</v>
      </c>
      <c r="B1287" s="229" t="s">
        <v>2047</v>
      </c>
      <c r="C1287" s="229" t="s">
        <v>2047</v>
      </c>
      <c r="D1287" s="229" t="s">
        <v>2047</v>
      </c>
      <c r="E1287" s="229" t="s">
        <v>2047</v>
      </c>
      <c r="F1287" s="230" t="s">
        <v>3315</v>
      </c>
      <c r="G1287" s="231" t="s">
        <v>3316</v>
      </c>
      <c r="H1287" s="3054" t="s">
        <v>3317</v>
      </c>
      <c r="I1287" s="3054"/>
      <c r="J1287" s="3055"/>
    </row>
    <row r="1288" spans="1:10">
      <c r="A1288" s="3056" t="s">
        <v>3318</v>
      </c>
      <c r="B1288" s="3057"/>
      <c r="C1288" s="3057"/>
      <c r="D1288" s="3057"/>
      <c r="E1288" s="3058"/>
      <c r="F1288" s="3062" t="s">
        <v>1990</v>
      </c>
      <c r="G1288" s="3063"/>
      <c r="H1288" s="3066">
        <f>G1286</f>
        <v>5400</v>
      </c>
      <c r="I1288" s="3067"/>
      <c r="J1288" s="3068"/>
    </row>
    <row r="1289" spans="1:10">
      <c r="A1289" s="3059"/>
      <c r="B1289" s="3060"/>
      <c r="C1289" s="3060"/>
      <c r="D1289" s="3060"/>
      <c r="E1289" s="3061"/>
      <c r="F1289" s="3064"/>
      <c r="G1289" s="3065"/>
      <c r="H1289" s="3069"/>
      <c r="I1289" s="3070"/>
      <c r="J1289" s="3071"/>
    </row>
    <row r="1290" spans="1:10">
      <c r="A1290" s="3072" t="s">
        <v>3319</v>
      </c>
      <c r="B1290" s="3073"/>
      <c r="C1290" s="3073"/>
      <c r="D1290" s="3073"/>
      <c r="E1290" s="3073"/>
      <c r="F1290" s="3073"/>
      <c r="G1290" s="3073"/>
      <c r="H1290" s="3073"/>
      <c r="I1290" s="3073"/>
      <c r="J1290" s="3074"/>
    </row>
    <row r="1291" spans="1:10">
      <c r="A1291" s="3075"/>
      <c r="B1291" s="3076"/>
      <c r="C1291" s="3076"/>
      <c r="D1291" s="3076"/>
      <c r="E1291" s="3076"/>
      <c r="F1291" s="3076"/>
      <c r="G1291" s="3076"/>
      <c r="H1291" s="3076"/>
      <c r="I1291" s="3076"/>
      <c r="J1291" s="3077"/>
    </row>
    <row r="1293" spans="1:10">
      <c r="A1293" s="238" t="s">
        <v>2047</v>
      </c>
      <c r="B1293" s="239" t="s">
        <v>2047</v>
      </c>
      <c r="C1293" s="3082" t="s">
        <v>3292</v>
      </c>
      <c r="D1293" s="3082"/>
      <c r="E1293" s="3082"/>
      <c r="F1293" s="3083"/>
      <c r="G1293" s="239" t="s">
        <v>2047</v>
      </c>
      <c r="H1293" s="1755" t="s">
        <v>2047</v>
      </c>
      <c r="I1293" s="1755" t="s">
        <v>2047</v>
      </c>
      <c r="J1293" s="240" t="s">
        <v>2047</v>
      </c>
    </row>
    <row r="1294" spans="1:10" ht="15.6">
      <c r="A1294" s="241" t="s">
        <v>2047</v>
      </c>
      <c r="B1294" s="223"/>
      <c r="C1294" s="3084" t="s">
        <v>2045</v>
      </c>
      <c r="D1294" s="3084"/>
      <c r="E1294" s="3084"/>
      <c r="F1294" s="3085"/>
      <c r="G1294" s="1756" t="s">
        <v>2047</v>
      </c>
      <c r="H1294" s="3086" t="s">
        <v>3439</v>
      </c>
      <c r="I1294" s="3086"/>
      <c r="J1294" s="242" t="s">
        <v>2047</v>
      </c>
    </row>
    <row r="1295" spans="1:10" ht="17.45">
      <c r="A1295" s="241" t="s">
        <v>2047</v>
      </c>
      <c r="B1295" s="224"/>
      <c r="C1295" s="3088" t="s">
        <v>3294</v>
      </c>
      <c r="D1295" s="3088"/>
      <c r="E1295" s="3088"/>
      <c r="F1295" s="3089"/>
      <c r="G1295" s="225" t="s">
        <v>3295</v>
      </c>
      <c r="H1295" s="3087"/>
      <c r="I1295" s="3087"/>
      <c r="J1295" s="242" t="s">
        <v>2047</v>
      </c>
    </row>
    <row r="1296" spans="1:10">
      <c r="A1296" s="241" t="s">
        <v>2047</v>
      </c>
      <c r="B1296" s="224" t="s">
        <v>2047</v>
      </c>
      <c r="C1296" s="3090" t="s">
        <v>3296</v>
      </c>
      <c r="D1296" s="3090"/>
      <c r="E1296" s="3090"/>
      <c r="F1296" s="3091"/>
      <c r="G1296" s="1756" t="s">
        <v>2047</v>
      </c>
      <c r="H1296" s="226"/>
      <c r="I1296" s="226" t="s">
        <v>2047</v>
      </c>
      <c r="J1296" s="243" t="s">
        <v>2047</v>
      </c>
    </row>
    <row r="1297" spans="1:10" ht="31.9">
      <c r="A1297" s="234" t="s">
        <v>3297</v>
      </c>
      <c r="B1297" s="3092" t="s">
        <v>3426</v>
      </c>
      <c r="C1297" s="3093"/>
      <c r="D1297" s="3093"/>
      <c r="E1297" s="3094"/>
      <c r="F1297" s="233" t="s">
        <v>3299</v>
      </c>
      <c r="G1297" s="232">
        <v>71270077</v>
      </c>
      <c r="H1297" s="1757" t="s">
        <v>3301</v>
      </c>
      <c r="I1297" s="1757" t="s">
        <v>3302</v>
      </c>
      <c r="J1297" s="244" t="s">
        <v>3303</v>
      </c>
    </row>
    <row r="1298" spans="1:10">
      <c r="A1298" s="3095"/>
      <c r="B1298" s="3096"/>
      <c r="C1298" s="3096"/>
      <c r="D1298" s="3096"/>
      <c r="E1298" s="3097"/>
      <c r="F1298" s="3105"/>
      <c r="G1298" s="3106"/>
      <c r="H1298" s="248">
        <v>29</v>
      </c>
      <c r="I1298" s="248">
        <v>1</v>
      </c>
      <c r="J1298" s="249">
        <v>2022</v>
      </c>
    </row>
    <row r="1299" spans="1:10">
      <c r="A1299" s="3098" t="s">
        <v>3304</v>
      </c>
      <c r="B1299" s="3099"/>
      <c r="C1299" s="3099"/>
      <c r="D1299" s="3099"/>
      <c r="E1299" s="3110"/>
      <c r="F1299" s="250" t="s">
        <v>3305</v>
      </c>
      <c r="G1299" s="1753" t="s">
        <v>2047</v>
      </c>
      <c r="H1299" s="251" t="s">
        <v>3306</v>
      </c>
      <c r="I1299" s="252" t="s">
        <v>2047</v>
      </c>
      <c r="J1299" s="253" t="s">
        <v>2047</v>
      </c>
    </row>
    <row r="1300" spans="1:10">
      <c r="A1300" s="3098" t="s">
        <v>3427</v>
      </c>
      <c r="B1300" s="3099"/>
      <c r="C1300" s="3099"/>
      <c r="D1300" s="3099"/>
      <c r="E1300" s="3110"/>
      <c r="F1300" s="3105">
        <v>2755591</v>
      </c>
      <c r="G1300" s="3106"/>
      <c r="H1300" s="3105" t="s">
        <v>125</v>
      </c>
      <c r="I1300" s="3105"/>
      <c r="J1300" s="3107"/>
    </row>
    <row r="1301" spans="1:10">
      <c r="A1301" s="254" t="s">
        <v>3309</v>
      </c>
      <c r="B1301" s="3105" t="s">
        <v>3310</v>
      </c>
      <c r="C1301" s="3105"/>
      <c r="D1301" s="3105"/>
      <c r="E1301" s="3106"/>
      <c r="F1301" s="3108" t="s">
        <v>2012</v>
      </c>
      <c r="G1301" s="3109"/>
      <c r="H1301" s="3105" t="s">
        <v>3311</v>
      </c>
      <c r="I1301" s="3105"/>
      <c r="J1301" s="3107"/>
    </row>
    <row r="1302" spans="1:10">
      <c r="A1302" s="255">
        <v>2</v>
      </c>
      <c r="B1302" s="3078" t="s">
        <v>3422</v>
      </c>
      <c r="C1302" s="3078"/>
      <c r="D1302" s="3078"/>
      <c r="E1302" s="3078"/>
      <c r="F1302" s="3079">
        <v>1800</v>
      </c>
      <c r="G1302" s="3080"/>
      <c r="H1302" s="3078">
        <f>F1302*A1302</f>
        <v>3600</v>
      </c>
      <c r="I1302" s="3078"/>
      <c r="J1302" s="3081"/>
    </row>
    <row r="1303" spans="1:10">
      <c r="A1303" s="255"/>
      <c r="B1303" s="3078"/>
      <c r="C1303" s="3078"/>
      <c r="D1303" s="3078"/>
      <c r="E1303" s="3078"/>
      <c r="F1303" s="3079"/>
      <c r="G1303" s="3080"/>
      <c r="H1303" s="3078"/>
      <c r="I1303" s="3078"/>
      <c r="J1303" s="3081"/>
    </row>
    <row r="1304" spans="1:10">
      <c r="A1304" s="255" t="s">
        <v>2047</v>
      </c>
      <c r="B1304" s="256" t="s">
        <v>2047</v>
      </c>
      <c r="C1304" s="256" t="s">
        <v>2047</v>
      </c>
      <c r="D1304" s="256" t="s">
        <v>2047</v>
      </c>
      <c r="E1304" s="256" t="s">
        <v>2047</v>
      </c>
      <c r="F1304" s="3079" t="s">
        <v>2047</v>
      </c>
      <c r="G1304" s="3080"/>
      <c r="H1304" s="3078" t="s">
        <v>3313</v>
      </c>
      <c r="I1304" s="3078"/>
      <c r="J1304" s="3081"/>
    </row>
    <row r="1305" spans="1:10">
      <c r="A1305" s="245" t="s">
        <v>2047</v>
      </c>
      <c r="B1305" s="228" t="s">
        <v>2047</v>
      </c>
      <c r="C1305" s="228" t="s">
        <v>2047</v>
      </c>
      <c r="D1305" s="228" t="s">
        <v>2047</v>
      </c>
      <c r="E1305" s="228" t="s">
        <v>2047</v>
      </c>
      <c r="F1305" s="3046" t="s">
        <v>2047</v>
      </c>
      <c r="G1305" s="3047"/>
      <c r="H1305" s="3048" t="s">
        <v>3313</v>
      </c>
      <c r="I1305" s="3048"/>
      <c r="J1305" s="3049"/>
    </row>
    <row r="1306" spans="1:10">
      <c r="A1306" s="245" t="s">
        <v>2047</v>
      </c>
      <c r="B1306" s="228" t="s">
        <v>2047</v>
      </c>
      <c r="C1306" s="228" t="s">
        <v>2047</v>
      </c>
      <c r="D1306" s="228" t="s">
        <v>2047</v>
      </c>
      <c r="E1306" s="228" t="s">
        <v>2047</v>
      </c>
      <c r="F1306" s="3046" t="s">
        <v>2047</v>
      </c>
      <c r="G1306" s="3047"/>
      <c r="H1306" s="3048" t="s">
        <v>3313</v>
      </c>
      <c r="I1306" s="3048"/>
      <c r="J1306" s="3049"/>
    </row>
    <row r="1307" spans="1:10">
      <c r="A1307" s="245" t="s">
        <v>2047</v>
      </c>
      <c r="B1307" s="228" t="s">
        <v>2047</v>
      </c>
      <c r="C1307" s="228" t="s">
        <v>2047</v>
      </c>
      <c r="D1307" s="228" t="s">
        <v>2047</v>
      </c>
      <c r="E1307" s="228" t="s">
        <v>2047</v>
      </c>
      <c r="F1307" s="3046" t="s">
        <v>2047</v>
      </c>
      <c r="G1307" s="3047"/>
      <c r="H1307" s="3048" t="s">
        <v>3313</v>
      </c>
      <c r="I1307" s="3048"/>
      <c r="J1307" s="3049"/>
    </row>
    <row r="1308" spans="1:10">
      <c r="A1308" s="245" t="s">
        <v>2047</v>
      </c>
      <c r="B1308" s="228" t="s">
        <v>2047</v>
      </c>
      <c r="C1308" s="228" t="s">
        <v>2047</v>
      </c>
      <c r="D1308" s="228" t="s">
        <v>2047</v>
      </c>
      <c r="E1308" s="228" t="s">
        <v>2047</v>
      </c>
      <c r="F1308" s="3046" t="s">
        <v>2047</v>
      </c>
      <c r="G1308" s="3047"/>
      <c r="H1308" s="3048" t="s">
        <v>3313</v>
      </c>
      <c r="I1308" s="3048"/>
      <c r="J1308" s="3049"/>
    </row>
    <row r="1309" spans="1:10">
      <c r="A1309" s="245" t="s">
        <v>2047</v>
      </c>
      <c r="B1309" s="228" t="s">
        <v>2047</v>
      </c>
      <c r="C1309" s="228" t="s">
        <v>2047</v>
      </c>
      <c r="D1309" s="228" t="s">
        <v>2047</v>
      </c>
      <c r="E1309" s="228" t="s">
        <v>2047</v>
      </c>
      <c r="F1309" s="3046" t="s">
        <v>2047</v>
      </c>
      <c r="G1309" s="3047"/>
      <c r="H1309" s="3048" t="s">
        <v>3313</v>
      </c>
      <c r="I1309" s="3048"/>
      <c r="J1309" s="3049"/>
    </row>
    <row r="1310" spans="1:10">
      <c r="A1310" s="245" t="s">
        <v>2047</v>
      </c>
      <c r="B1310" s="228" t="s">
        <v>2047</v>
      </c>
      <c r="C1310" s="228" t="s">
        <v>2047</v>
      </c>
      <c r="D1310" s="228" t="s">
        <v>2047</v>
      </c>
      <c r="E1310" s="228" t="s">
        <v>2047</v>
      </c>
      <c r="F1310" s="3046" t="s">
        <v>2047</v>
      </c>
      <c r="G1310" s="3047"/>
      <c r="H1310" s="3048" t="s">
        <v>3313</v>
      </c>
      <c r="I1310" s="3048"/>
      <c r="J1310" s="3049"/>
    </row>
    <row r="1311" spans="1:10">
      <c r="A1311" s="1754" t="s">
        <v>2580</v>
      </c>
      <c r="B1311" s="227" t="s">
        <v>2047</v>
      </c>
      <c r="C1311" s="227" t="s">
        <v>2047</v>
      </c>
      <c r="D1311" s="227" t="s">
        <v>2047</v>
      </c>
      <c r="E1311" s="3050" t="s">
        <v>3314</v>
      </c>
      <c r="F1311" s="3051"/>
      <c r="G1311" s="3052">
        <f>H1302+H1303</f>
        <v>3600</v>
      </c>
      <c r="H1311" s="3052"/>
      <c r="I1311" s="3053"/>
      <c r="J1311" s="246"/>
    </row>
    <row r="1312" spans="1:10">
      <c r="A1312" s="247" t="s">
        <v>2047</v>
      </c>
      <c r="B1312" s="229" t="s">
        <v>2047</v>
      </c>
      <c r="C1312" s="229" t="s">
        <v>2047</v>
      </c>
      <c r="D1312" s="229" t="s">
        <v>2047</v>
      </c>
      <c r="E1312" s="229" t="s">
        <v>2047</v>
      </c>
      <c r="F1312" s="230" t="s">
        <v>3315</v>
      </c>
      <c r="G1312" s="231" t="s">
        <v>3316</v>
      </c>
      <c r="H1312" s="3054" t="s">
        <v>3317</v>
      </c>
      <c r="I1312" s="3054"/>
      <c r="J1312" s="3055"/>
    </row>
    <row r="1313" spans="1:10">
      <c r="A1313" s="3056" t="s">
        <v>3318</v>
      </c>
      <c r="B1313" s="3057"/>
      <c r="C1313" s="3057"/>
      <c r="D1313" s="3057"/>
      <c r="E1313" s="3058"/>
      <c r="F1313" s="3062" t="s">
        <v>1990</v>
      </c>
      <c r="G1313" s="3063"/>
      <c r="H1313" s="3066">
        <f>G1311</f>
        <v>3600</v>
      </c>
      <c r="I1313" s="3067"/>
      <c r="J1313" s="3068"/>
    </row>
    <row r="1314" spans="1:10">
      <c r="A1314" s="3059"/>
      <c r="B1314" s="3060"/>
      <c r="C1314" s="3060"/>
      <c r="D1314" s="3060"/>
      <c r="E1314" s="3061"/>
      <c r="F1314" s="3064"/>
      <c r="G1314" s="3065"/>
      <c r="H1314" s="3069"/>
      <c r="I1314" s="3070"/>
      <c r="J1314" s="3071"/>
    </row>
    <row r="1315" spans="1:10">
      <c r="A1315" s="3072" t="s">
        <v>3319</v>
      </c>
      <c r="B1315" s="3073"/>
      <c r="C1315" s="3073"/>
      <c r="D1315" s="3073"/>
      <c r="E1315" s="3073"/>
      <c r="F1315" s="3073"/>
      <c r="G1315" s="3073"/>
      <c r="H1315" s="3073"/>
      <c r="I1315" s="3073"/>
      <c r="J1315" s="3074"/>
    </row>
    <row r="1316" spans="1:10">
      <c r="A1316" s="3075"/>
      <c r="B1316" s="3076"/>
      <c r="C1316" s="3076"/>
      <c r="D1316" s="3076"/>
      <c r="E1316" s="3076"/>
      <c r="F1316" s="3076"/>
      <c r="G1316" s="3076"/>
      <c r="H1316" s="3076"/>
      <c r="I1316" s="3076"/>
      <c r="J1316" s="3077"/>
    </row>
    <row r="1318" spans="1:10">
      <c r="A1318" s="238" t="s">
        <v>2047</v>
      </c>
      <c r="B1318" s="239" t="s">
        <v>2047</v>
      </c>
      <c r="C1318" s="3082" t="s">
        <v>3292</v>
      </c>
      <c r="D1318" s="3082"/>
      <c r="E1318" s="3082"/>
      <c r="F1318" s="3083"/>
      <c r="G1318" s="239" t="s">
        <v>2047</v>
      </c>
      <c r="H1318" s="1755" t="s">
        <v>2047</v>
      </c>
      <c r="I1318" s="1755" t="s">
        <v>2047</v>
      </c>
      <c r="J1318" s="240" t="s">
        <v>2047</v>
      </c>
    </row>
    <row r="1319" spans="1:10" ht="15.6">
      <c r="A1319" s="241" t="s">
        <v>2047</v>
      </c>
      <c r="B1319" s="223"/>
      <c r="C1319" s="3084" t="s">
        <v>2045</v>
      </c>
      <c r="D1319" s="3084"/>
      <c r="E1319" s="3084"/>
      <c r="F1319" s="3085"/>
      <c r="G1319" s="1756" t="s">
        <v>2047</v>
      </c>
      <c r="H1319" s="3086" t="s">
        <v>3440</v>
      </c>
      <c r="I1319" s="3086"/>
      <c r="J1319" s="242" t="s">
        <v>2047</v>
      </c>
    </row>
    <row r="1320" spans="1:10" ht="17.45">
      <c r="A1320" s="241" t="s">
        <v>2047</v>
      </c>
      <c r="B1320" s="224"/>
      <c r="C1320" s="3088" t="s">
        <v>3294</v>
      </c>
      <c r="D1320" s="3088"/>
      <c r="E1320" s="3088"/>
      <c r="F1320" s="3089"/>
      <c r="G1320" s="225" t="s">
        <v>3295</v>
      </c>
      <c r="H1320" s="3087"/>
      <c r="I1320" s="3087"/>
      <c r="J1320" s="242" t="s">
        <v>2047</v>
      </c>
    </row>
    <row r="1321" spans="1:10">
      <c r="A1321" s="241" t="s">
        <v>2047</v>
      </c>
      <c r="B1321" s="224" t="s">
        <v>2047</v>
      </c>
      <c r="C1321" s="3090" t="s">
        <v>3296</v>
      </c>
      <c r="D1321" s="3090"/>
      <c r="E1321" s="3090"/>
      <c r="F1321" s="3091"/>
      <c r="G1321" s="1756" t="s">
        <v>2047</v>
      </c>
      <c r="H1321" s="226"/>
      <c r="I1321" s="226" t="s">
        <v>2047</v>
      </c>
      <c r="J1321" s="243" t="s">
        <v>2047</v>
      </c>
    </row>
    <row r="1322" spans="1:10" ht="31.9">
      <c r="A1322" s="234" t="s">
        <v>3297</v>
      </c>
      <c r="B1322" s="3092" t="s">
        <v>3426</v>
      </c>
      <c r="C1322" s="3093"/>
      <c r="D1322" s="3093"/>
      <c r="E1322" s="3094"/>
      <c r="F1322" s="233" t="s">
        <v>3299</v>
      </c>
      <c r="G1322" s="232">
        <v>71270077</v>
      </c>
      <c r="H1322" s="1757" t="s">
        <v>3301</v>
      </c>
      <c r="I1322" s="1757" t="s">
        <v>3302</v>
      </c>
      <c r="J1322" s="244" t="s">
        <v>3303</v>
      </c>
    </row>
    <row r="1323" spans="1:10">
      <c r="A1323" s="3095"/>
      <c r="B1323" s="3096"/>
      <c r="C1323" s="3096"/>
      <c r="D1323" s="3096"/>
      <c r="E1323" s="3097"/>
      <c r="F1323" s="3105"/>
      <c r="G1323" s="3106"/>
      <c r="H1323" s="248">
        <v>11</v>
      </c>
      <c r="I1323" s="248">
        <v>2</v>
      </c>
      <c r="J1323" s="249">
        <v>2022</v>
      </c>
    </row>
    <row r="1324" spans="1:10">
      <c r="A1324" s="3098" t="s">
        <v>3304</v>
      </c>
      <c r="B1324" s="3099"/>
      <c r="C1324" s="3099"/>
      <c r="D1324" s="3099"/>
      <c r="E1324" s="3110"/>
      <c r="F1324" s="250" t="s">
        <v>3305</v>
      </c>
      <c r="G1324" s="1753" t="s">
        <v>2047</v>
      </c>
      <c r="H1324" s="251" t="s">
        <v>3306</v>
      </c>
      <c r="I1324" s="252" t="s">
        <v>2047</v>
      </c>
      <c r="J1324" s="253" t="s">
        <v>2047</v>
      </c>
    </row>
    <row r="1325" spans="1:10">
      <c r="A1325" s="3098" t="s">
        <v>3427</v>
      </c>
      <c r="B1325" s="3099"/>
      <c r="C1325" s="3099"/>
      <c r="D1325" s="3099"/>
      <c r="E1325" s="3110"/>
      <c r="F1325" s="3105">
        <v>2755591</v>
      </c>
      <c r="G1325" s="3106"/>
      <c r="H1325" s="3105" t="s">
        <v>125</v>
      </c>
      <c r="I1325" s="3105"/>
      <c r="J1325" s="3107"/>
    </row>
    <row r="1326" spans="1:10">
      <c r="A1326" s="254" t="s">
        <v>3309</v>
      </c>
      <c r="B1326" s="3105" t="s">
        <v>3310</v>
      </c>
      <c r="C1326" s="3105"/>
      <c r="D1326" s="3105"/>
      <c r="E1326" s="3106"/>
      <c r="F1326" s="3108" t="s">
        <v>2012</v>
      </c>
      <c r="G1326" s="3109"/>
      <c r="H1326" s="3105" t="s">
        <v>3311</v>
      </c>
      <c r="I1326" s="3105"/>
      <c r="J1326" s="3107"/>
    </row>
    <row r="1327" spans="1:10">
      <c r="A1327" s="255">
        <v>2</v>
      </c>
      <c r="B1327" s="3078" t="s">
        <v>3422</v>
      </c>
      <c r="C1327" s="3078"/>
      <c r="D1327" s="3078"/>
      <c r="E1327" s="3078"/>
      <c r="F1327" s="3079">
        <v>1800</v>
      </c>
      <c r="G1327" s="3080"/>
      <c r="H1327" s="3078">
        <f>F1327*A1327</f>
        <v>3600</v>
      </c>
      <c r="I1327" s="3078"/>
      <c r="J1327" s="3081"/>
    </row>
    <row r="1328" spans="1:10">
      <c r="A1328" s="255"/>
      <c r="B1328" s="3078"/>
      <c r="C1328" s="3078"/>
      <c r="D1328" s="3078"/>
      <c r="E1328" s="3078"/>
      <c r="F1328" s="3079"/>
      <c r="G1328" s="3080"/>
      <c r="H1328" s="3078"/>
      <c r="I1328" s="3078"/>
      <c r="J1328" s="3081"/>
    </row>
    <row r="1329" spans="1:10">
      <c r="A1329" s="255" t="s">
        <v>2047</v>
      </c>
      <c r="B1329" s="256" t="s">
        <v>2047</v>
      </c>
      <c r="C1329" s="256" t="s">
        <v>2047</v>
      </c>
      <c r="D1329" s="256" t="s">
        <v>2047</v>
      </c>
      <c r="E1329" s="256" t="s">
        <v>2047</v>
      </c>
      <c r="F1329" s="3079" t="s">
        <v>2047</v>
      </c>
      <c r="G1329" s="3080"/>
      <c r="H1329" s="3078" t="s">
        <v>3313</v>
      </c>
      <c r="I1329" s="3078"/>
      <c r="J1329" s="3081"/>
    </row>
    <row r="1330" spans="1:10">
      <c r="A1330" s="245" t="s">
        <v>2047</v>
      </c>
      <c r="B1330" s="228" t="s">
        <v>2047</v>
      </c>
      <c r="C1330" s="228" t="s">
        <v>2047</v>
      </c>
      <c r="D1330" s="228" t="s">
        <v>2047</v>
      </c>
      <c r="E1330" s="228" t="s">
        <v>2047</v>
      </c>
      <c r="F1330" s="3046" t="s">
        <v>2047</v>
      </c>
      <c r="G1330" s="3047"/>
      <c r="H1330" s="3048" t="s">
        <v>3313</v>
      </c>
      <c r="I1330" s="3048"/>
      <c r="J1330" s="3049"/>
    </row>
    <row r="1331" spans="1:10">
      <c r="A1331" s="245" t="s">
        <v>2047</v>
      </c>
      <c r="B1331" s="228" t="s">
        <v>2047</v>
      </c>
      <c r="C1331" s="228" t="s">
        <v>2047</v>
      </c>
      <c r="D1331" s="228" t="s">
        <v>2047</v>
      </c>
      <c r="E1331" s="228" t="s">
        <v>2047</v>
      </c>
      <c r="F1331" s="3046" t="s">
        <v>2047</v>
      </c>
      <c r="G1331" s="3047"/>
      <c r="H1331" s="3048" t="s">
        <v>3313</v>
      </c>
      <c r="I1331" s="3048"/>
      <c r="J1331" s="3049"/>
    </row>
    <row r="1332" spans="1:10">
      <c r="A1332" s="245" t="s">
        <v>2047</v>
      </c>
      <c r="B1332" s="228" t="s">
        <v>2047</v>
      </c>
      <c r="C1332" s="228" t="s">
        <v>2047</v>
      </c>
      <c r="D1332" s="228" t="s">
        <v>2047</v>
      </c>
      <c r="E1332" s="228" t="s">
        <v>2047</v>
      </c>
      <c r="F1332" s="3046" t="s">
        <v>2047</v>
      </c>
      <c r="G1332" s="3047"/>
      <c r="H1332" s="3048" t="s">
        <v>3313</v>
      </c>
      <c r="I1332" s="3048"/>
      <c r="J1332" s="3049"/>
    </row>
    <row r="1333" spans="1:10">
      <c r="A1333" s="245" t="s">
        <v>2047</v>
      </c>
      <c r="B1333" s="228" t="s">
        <v>2047</v>
      </c>
      <c r="C1333" s="228" t="s">
        <v>2047</v>
      </c>
      <c r="D1333" s="228" t="s">
        <v>2047</v>
      </c>
      <c r="E1333" s="228" t="s">
        <v>2047</v>
      </c>
      <c r="F1333" s="3046" t="s">
        <v>2047</v>
      </c>
      <c r="G1333" s="3047"/>
      <c r="H1333" s="3048" t="s">
        <v>3313</v>
      </c>
      <c r="I1333" s="3048"/>
      <c r="J1333" s="3049"/>
    </row>
    <row r="1334" spans="1:10">
      <c r="A1334" s="245" t="s">
        <v>2047</v>
      </c>
      <c r="B1334" s="228" t="s">
        <v>2047</v>
      </c>
      <c r="C1334" s="228" t="s">
        <v>2047</v>
      </c>
      <c r="D1334" s="228" t="s">
        <v>2047</v>
      </c>
      <c r="E1334" s="228" t="s">
        <v>2047</v>
      </c>
      <c r="F1334" s="3046" t="s">
        <v>2047</v>
      </c>
      <c r="G1334" s="3047"/>
      <c r="H1334" s="3048" t="s">
        <v>3313</v>
      </c>
      <c r="I1334" s="3048"/>
      <c r="J1334" s="3049"/>
    </row>
    <row r="1335" spans="1:10">
      <c r="A1335" s="245" t="s">
        <v>2047</v>
      </c>
      <c r="B1335" s="228" t="s">
        <v>2047</v>
      </c>
      <c r="C1335" s="228" t="s">
        <v>2047</v>
      </c>
      <c r="D1335" s="228" t="s">
        <v>2047</v>
      </c>
      <c r="E1335" s="228" t="s">
        <v>2047</v>
      </c>
      <c r="F1335" s="3046" t="s">
        <v>2047</v>
      </c>
      <c r="G1335" s="3047"/>
      <c r="H1335" s="3048" t="s">
        <v>3313</v>
      </c>
      <c r="I1335" s="3048"/>
      <c r="J1335" s="3049"/>
    </row>
    <row r="1336" spans="1:10">
      <c r="A1336" s="1754" t="s">
        <v>2580</v>
      </c>
      <c r="B1336" s="227" t="s">
        <v>2047</v>
      </c>
      <c r="C1336" s="227" t="s">
        <v>2047</v>
      </c>
      <c r="D1336" s="227" t="s">
        <v>2047</v>
      </c>
      <c r="E1336" s="3050" t="s">
        <v>3314</v>
      </c>
      <c r="F1336" s="3051"/>
      <c r="G1336" s="3052">
        <f>H1327+H1328</f>
        <v>3600</v>
      </c>
      <c r="H1336" s="3052"/>
      <c r="I1336" s="3053"/>
      <c r="J1336" s="246"/>
    </row>
    <row r="1337" spans="1:10">
      <c r="A1337" s="247" t="s">
        <v>2047</v>
      </c>
      <c r="B1337" s="229" t="s">
        <v>2047</v>
      </c>
      <c r="C1337" s="229" t="s">
        <v>2047</v>
      </c>
      <c r="D1337" s="229" t="s">
        <v>2047</v>
      </c>
      <c r="E1337" s="229" t="s">
        <v>2047</v>
      </c>
      <c r="F1337" s="230" t="s">
        <v>3315</v>
      </c>
      <c r="G1337" s="231" t="s">
        <v>3316</v>
      </c>
      <c r="H1337" s="3054" t="s">
        <v>3317</v>
      </c>
      <c r="I1337" s="3054"/>
      <c r="J1337" s="3055"/>
    </row>
    <row r="1338" spans="1:10">
      <c r="A1338" s="3056" t="s">
        <v>3318</v>
      </c>
      <c r="B1338" s="3057"/>
      <c r="C1338" s="3057"/>
      <c r="D1338" s="3057"/>
      <c r="E1338" s="3058"/>
      <c r="F1338" s="3062" t="s">
        <v>1990</v>
      </c>
      <c r="G1338" s="3063"/>
      <c r="H1338" s="3066">
        <f>G1336</f>
        <v>3600</v>
      </c>
      <c r="I1338" s="3067"/>
      <c r="J1338" s="3068"/>
    </row>
    <row r="1339" spans="1:10">
      <c r="A1339" s="3059"/>
      <c r="B1339" s="3060"/>
      <c r="C1339" s="3060"/>
      <c r="D1339" s="3060"/>
      <c r="E1339" s="3061"/>
      <c r="F1339" s="3064"/>
      <c r="G1339" s="3065"/>
      <c r="H1339" s="3069"/>
      <c r="I1339" s="3070"/>
      <c r="J1339" s="3071"/>
    </row>
    <row r="1340" spans="1:10">
      <c r="A1340" s="3072" t="s">
        <v>3319</v>
      </c>
      <c r="B1340" s="3073"/>
      <c r="C1340" s="3073"/>
      <c r="D1340" s="3073"/>
      <c r="E1340" s="3073"/>
      <c r="F1340" s="3073"/>
      <c r="G1340" s="3073"/>
      <c r="H1340" s="3073"/>
      <c r="I1340" s="3073"/>
      <c r="J1340" s="3074"/>
    </row>
    <row r="1341" spans="1:10">
      <c r="A1341" s="3075"/>
      <c r="B1341" s="3076"/>
      <c r="C1341" s="3076"/>
      <c r="D1341" s="3076"/>
      <c r="E1341" s="3076"/>
      <c r="F1341" s="3076"/>
      <c r="G1341" s="3076"/>
      <c r="H1341" s="3076"/>
      <c r="I1341" s="3076"/>
      <c r="J1341" s="3077"/>
    </row>
    <row r="1343" spans="1:10">
      <c r="A1343" s="238" t="s">
        <v>2047</v>
      </c>
      <c r="B1343" s="239" t="s">
        <v>2047</v>
      </c>
      <c r="C1343" s="3082" t="s">
        <v>3292</v>
      </c>
      <c r="D1343" s="3082"/>
      <c r="E1343" s="3082"/>
      <c r="F1343" s="3083"/>
      <c r="G1343" s="239" t="s">
        <v>2047</v>
      </c>
      <c r="H1343" s="1755" t="s">
        <v>2047</v>
      </c>
      <c r="I1343" s="1755" t="s">
        <v>2047</v>
      </c>
      <c r="J1343" s="240" t="s">
        <v>2047</v>
      </c>
    </row>
    <row r="1344" spans="1:10" ht="15.6">
      <c r="A1344" s="241" t="s">
        <v>2047</v>
      </c>
      <c r="B1344" s="223"/>
      <c r="C1344" s="3084" t="s">
        <v>2045</v>
      </c>
      <c r="D1344" s="3084"/>
      <c r="E1344" s="3084"/>
      <c r="F1344" s="3085"/>
      <c r="G1344" s="1756" t="s">
        <v>2047</v>
      </c>
      <c r="H1344" s="3086" t="s">
        <v>3441</v>
      </c>
      <c r="I1344" s="3086"/>
      <c r="J1344" s="242" t="s">
        <v>2047</v>
      </c>
    </row>
    <row r="1345" spans="1:10" ht="17.45">
      <c r="A1345" s="241" t="s">
        <v>2047</v>
      </c>
      <c r="B1345" s="224"/>
      <c r="C1345" s="3088" t="s">
        <v>3294</v>
      </c>
      <c r="D1345" s="3088"/>
      <c r="E1345" s="3088"/>
      <c r="F1345" s="3089"/>
      <c r="G1345" s="225" t="s">
        <v>3295</v>
      </c>
      <c r="H1345" s="3087"/>
      <c r="I1345" s="3087"/>
      <c r="J1345" s="242" t="s">
        <v>2047</v>
      </c>
    </row>
    <row r="1346" spans="1:10">
      <c r="A1346" s="241" t="s">
        <v>2047</v>
      </c>
      <c r="B1346" s="224" t="s">
        <v>2047</v>
      </c>
      <c r="C1346" s="3090" t="s">
        <v>3296</v>
      </c>
      <c r="D1346" s="3090"/>
      <c r="E1346" s="3090"/>
      <c r="F1346" s="3091"/>
      <c r="G1346" s="1756" t="s">
        <v>2047</v>
      </c>
      <c r="H1346" s="226"/>
      <c r="I1346" s="226" t="s">
        <v>2047</v>
      </c>
      <c r="J1346" s="243" t="s">
        <v>2047</v>
      </c>
    </row>
    <row r="1347" spans="1:10" ht="31.9">
      <c r="A1347" s="234" t="s">
        <v>3297</v>
      </c>
      <c r="B1347" s="3092" t="s">
        <v>3426</v>
      </c>
      <c r="C1347" s="3093"/>
      <c r="D1347" s="3093"/>
      <c r="E1347" s="3094"/>
      <c r="F1347" s="233" t="s">
        <v>3299</v>
      </c>
      <c r="G1347" s="232">
        <v>71270077</v>
      </c>
      <c r="H1347" s="1757" t="s">
        <v>3301</v>
      </c>
      <c r="I1347" s="1757" t="s">
        <v>3302</v>
      </c>
      <c r="J1347" s="244" t="s">
        <v>3303</v>
      </c>
    </row>
    <row r="1348" spans="1:10">
      <c r="A1348" s="3095"/>
      <c r="B1348" s="3096"/>
      <c r="C1348" s="3096"/>
      <c r="D1348" s="3096"/>
      <c r="E1348" s="3097"/>
      <c r="F1348" s="3105"/>
      <c r="G1348" s="3106"/>
      <c r="H1348" s="248">
        <v>21</v>
      </c>
      <c r="I1348" s="248">
        <v>2</v>
      </c>
      <c r="J1348" s="249">
        <v>2022</v>
      </c>
    </row>
    <row r="1349" spans="1:10">
      <c r="A1349" s="3098" t="s">
        <v>3304</v>
      </c>
      <c r="B1349" s="3099"/>
      <c r="C1349" s="3099"/>
      <c r="D1349" s="3099"/>
      <c r="E1349" s="3110"/>
      <c r="F1349" s="250" t="s">
        <v>3305</v>
      </c>
      <c r="G1349" s="1753" t="s">
        <v>2047</v>
      </c>
      <c r="H1349" s="251" t="s">
        <v>3306</v>
      </c>
      <c r="I1349" s="252" t="s">
        <v>2047</v>
      </c>
      <c r="J1349" s="253" t="s">
        <v>2047</v>
      </c>
    </row>
    <row r="1350" spans="1:10">
      <c r="A1350" s="3098" t="s">
        <v>3427</v>
      </c>
      <c r="B1350" s="3099"/>
      <c r="C1350" s="3099"/>
      <c r="D1350" s="3099"/>
      <c r="E1350" s="3110"/>
      <c r="F1350" s="3105">
        <v>2755591</v>
      </c>
      <c r="G1350" s="3106"/>
      <c r="H1350" s="3105" t="s">
        <v>125</v>
      </c>
      <c r="I1350" s="3105"/>
      <c r="J1350" s="3107"/>
    </row>
    <row r="1351" spans="1:10">
      <c r="A1351" s="254" t="s">
        <v>3309</v>
      </c>
      <c r="B1351" s="3105" t="s">
        <v>3310</v>
      </c>
      <c r="C1351" s="3105"/>
      <c r="D1351" s="3105"/>
      <c r="E1351" s="3106"/>
      <c r="F1351" s="3108" t="s">
        <v>2012</v>
      </c>
      <c r="G1351" s="3109"/>
      <c r="H1351" s="3105" t="s">
        <v>3311</v>
      </c>
      <c r="I1351" s="3105"/>
      <c r="J1351" s="3107"/>
    </row>
    <row r="1352" spans="1:10">
      <c r="A1352" s="255">
        <v>1</v>
      </c>
      <c r="B1352" s="3078" t="s">
        <v>3422</v>
      </c>
      <c r="C1352" s="3078"/>
      <c r="D1352" s="3078"/>
      <c r="E1352" s="3078"/>
      <c r="F1352" s="3079">
        <v>1800</v>
      </c>
      <c r="G1352" s="3080"/>
      <c r="H1352" s="3078">
        <f>F1352*A1352</f>
        <v>1800</v>
      </c>
      <c r="I1352" s="3078"/>
      <c r="J1352" s="3081"/>
    </row>
    <row r="1353" spans="1:10">
      <c r="A1353" s="255"/>
      <c r="B1353" s="3078"/>
      <c r="C1353" s="3078"/>
      <c r="D1353" s="3078"/>
      <c r="E1353" s="3078"/>
      <c r="F1353" s="3079"/>
      <c r="G1353" s="3080"/>
      <c r="H1353" s="3078"/>
      <c r="I1353" s="3078"/>
      <c r="J1353" s="3081"/>
    </row>
    <row r="1354" spans="1:10">
      <c r="A1354" s="255" t="s">
        <v>2047</v>
      </c>
      <c r="B1354" s="256" t="s">
        <v>2047</v>
      </c>
      <c r="C1354" s="256" t="s">
        <v>2047</v>
      </c>
      <c r="D1354" s="256" t="s">
        <v>2047</v>
      </c>
      <c r="E1354" s="256" t="s">
        <v>2047</v>
      </c>
      <c r="F1354" s="3079" t="s">
        <v>2047</v>
      </c>
      <c r="G1354" s="3080"/>
      <c r="H1354" s="3078" t="s">
        <v>3313</v>
      </c>
      <c r="I1354" s="3078"/>
      <c r="J1354" s="3081"/>
    </row>
    <row r="1355" spans="1:10">
      <c r="A1355" s="245" t="s">
        <v>2047</v>
      </c>
      <c r="B1355" s="228" t="s">
        <v>2047</v>
      </c>
      <c r="C1355" s="228" t="s">
        <v>2047</v>
      </c>
      <c r="D1355" s="228" t="s">
        <v>2047</v>
      </c>
      <c r="E1355" s="228" t="s">
        <v>2047</v>
      </c>
      <c r="F1355" s="3046" t="s">
        <v>2047</v>
      </c>
      <c r="G1355" s="3047"/>
      <c r="H1355" s="3048" t="s">
        <v>3313</v>
      </c>
      <c r="I1355" s="3048"/>
      <c r="J1355" s="3049"/>
    </row>
    <row r="1356" spans="1:10">
      <c r="A1356" s="245" t="s">
        <v>2047</v>
      </c>
      <c r="B1356" s="228" t="s">
        <v>2047</v>
      </c>
      <c r="C1356" s="228" t="s">
        <v>2047</v>
      </c>
      <c r="D1356" s="228" t="s">
        <v>2047</v>
      </c>
      <c r="E1356" s="228" t="s">
        <v>2047</v>
      </c>
      <c r="F1356" s="3046" t="s">
        <v>2047</v>
      </c>
      <c r="G1356" s="3047"/>
      <c r="H1356" s="3048" t="s">
        <v>3313</v>
      </c>
      <c r="I1356" s="3048"/>
      <c r="J1356" s="3049"/>
    </row>
    <row r="1357" spans="1:10">
      <c r="A1357" s="245" t="s">
        <v>2047</v>
      </c>
      <c r="B1357" s="228" t="s">
        <v>2047</v>
      </c>
      <c r="C1357" s="228" t="s">
        <v>2047</v>
      </c>
      <c r="D1357" s="228" t="s">
        <v>2047</v>
      </c>
      <c r="E1357" s="228" t="s">
        <v>2047</v>
      </c>
      <c r="F1357" s="3046" t="s">
        <v>2047</v>
      </c>
      <c r="G1357" s="3047"/>
      <c r="H1357" s="3048" t="s">
        <v>3313</v>
      </c>
      <c r="I1357" s="3048"/>
      <c r="J1357" s="3049"/>
    </row>
    <row r="1358" spans="1:10">
      <c r="A1358" s="245" t="s">
        <v>2047</v>
      </c>
      <c r="B1358" s="228" t="s">
        <v>2047</v>
      </c>
      <c r="C1358" s="228" t="s">
        <v>2047</v>
      </c>
      <c r="D1358" s="228" t="s">
        <v>2047</v>
      </c>
      <c r="E1358" s="228" t="s">
        <v>2047</v>
      </c>
      <c r="F1358" s="3046" t="s">
        <v>2047</v>
      </c>
      <c r="G1358" s="3047"/>
      <c r="H1358" s="3048" t="s">
        <v>3313</v>
      </c>
      <c r="I1358" s="3048"/>
      <c r="J1358" s="3049"/>
    </row>
    <row r="1359" spans="1:10">
      <c r="A1359" s="245" t="s">
        <v>2047</v>
      </c>
      <c r="B1359" s="228" t="s">
        <v>2047</v>
      </c>
      <c r="C1359" s="228" t="s">
        <v>2047</v>
      </c>
      <c r="D1359" s="228" t="s">
        <v>2047</v>
      </c>
      <c r="E1359" s="228" t="s">
        <v>2047</v>
      </c>
      <c r="F1359" s="3046" t="s">
        <v>2047</v>
      </c>
      <c r="G1359" s="3047"/>
      <c r="H1359" s="3048" t="s">
        <v>3313</v>
      </c>
      <c r="I1359" s="3048"/>
      <c r="J1359" s="3049"/>
    </row>
    <row r="1360" spans="1:10">
      <c r="A1360" s="245" t="s">
        <v>2047</v>
      </c>
      <c r="B1360" s="228" t="s">
        <v>2047</v>
      </c>
      <c r="C1360" s="228" t="s">
        <v>2047</v>
      </c>
      <c r="D1360" s="228" t="s">
        <v>2047</v>
      </c>
      <c r="E1360" s="228" t="s">
        <v>2047</v>
      </c>
      <c r="F1360" s="3046" t="s">
        <v>2047</v>
      </c>
      <c r="G1360" s="3047"/>
      <c r="H1360" s="3048" t="s">
        <v>3313</v>
      </c>
      <c r="I1360" s="3048"/>
      <c r="J1360" s="3049"/>
    </row>
    <row r="1361" spans="1:10">
      <c r="A1361" s="1754" t="s">
        <v>2580</v>
      </c>
      <c r="B1361" s="227" t="s">
        <v>2047</v>
      </c>
      <c r="C1361" s="227" t="s">
        <v>2047</v>
      </c>
      <c r="D1361" s="227" t="s">
        <v>2047</v>
      </c>
      <c r="E1361" s="3050" t="s">
        <v>3314</v>
      </c>
      <c r="F1361" s="3051"/>
      <c r="G1361" s="3052">
        <f>H1352+H1353</f>
        <v>1800</v>
      </c>
      <c r="H1361" s="3052"/>
      <c r="I1361" s="3053"/>
      <c r="J1361" s="246"/>
    </row>
    <row r="1362" spans="1:10">
      <c r="A1362" s="247" t="s">
        <v>2047</v>
      </c>
      <c r="B1362" s="229" t="s">
        <v>2047</v>
      </c>
      <c r="C1362" s="229" t="s">
        <v>2047</v>
      </c>
      <c r="D1362" s="229" t="s">
        <v>2047</v>
      </c>
      <c r="E1362" s="229" t="s">
        <v>2047</v>
      </c>
      <c r="F1362" s="230" t="s">
        <v>3315</v>
      </c>
      <c r="G1362" s="231" t="s">
        <v>3316</v>
      </c>
      <c r="H1362" s="3054" t="s">
        <v>3317</v>
      </c>
      <c r="I1362" s="3054"/>
      <c r="J1362" s="3055"/>
    </row>
    <row r="1363" spans="1:10">
      <c r="A1363" s="3056" t="s">
        <v>3318</v>
      </c>
      <c r="B1363" s="3057"/>
      <c r="C1363" s="3057"/>
      <c r="D1363" s="3057"/>
      <c r="E1363" s="3058"/>
      <c r="F1363" s="3062" t="s">
        <v>1990</v>
      </c>
      <c r="G1363" s="3063"/>
      <c r="H1363" s="3066">
        <f>G1361</f>
        <v>1800</v>
      </c>
      <c r="I1363" s="3067"/>
      <c r="J1363" s="3068"/>
    </row>
    <row r="1364" spans="1:10">
      <c r="A1364" s="3059"/>
      <c r="B1364" s="3060"/>
      <c r="C1364" s="3060"/>
      <c r="D1364" s="3060"/>
      <c r="E1364" s="3061"/>
      <c r="F1364" s="3064"/>
      <c r="G1364" s="3065"/>
      <c r="H1364" s="3069"/>
      <c r="I1364" s="3070"/>
      <c r="J1364" s="3071"/>
    </row>
    <row r="1365" spans="1:10">
      <c r="A1365" s="3072" t="s">
        <v>3319</v>
      </c>
      <c r="B1365" s="3073"/>
      <c r="C1365" s="3073"/>
      <c r="D1365" s="3073"/>
      <c r="E1365" s="3073"/>
      <c r="F1365" s="3073"/>
      <c r="G1365" s="3073"/>
      <c r="H1365" s="3073"/>
      <c r="I1365" s="3073"/>
      <c r="J1365" s="3074"/>
    </row>
    <row r="1366" spans="1:10">
      <c r="A1366" s="3075"/>
      <c r="B1366" s="3076"/>
      <c r="C1366" s="3076"/>
      <c r="D1366" s="3076"/>
      <c r="E1366" s="3076"/>
      <c r="F1366" s="3076"/>
      <c r="G1366" s="3076"/>
      <c r="H1366" s="3076"/>
      <c r="I1366" s="3076"/>
      <c r="J1366" s="3077"/>
    </row>
  </sheetData>
  <mergeCells count="2231">
    <mergeCell ref="E1361:F1361"/>
    <mergeCell ref="G1361:I1361"/>
    <mergeCell ref="H1362:J1362"/>
    <mergeCell ref="A1363:E1364"/>
    <mergeCell ref="F1363:G1364"/>
    <mergeCell ref="H1363:J1364"/>
    <mergeCell ref="A1365:J1366"/>
    <mergeCell ref="B1353:E1353"/>
    <mergeCell ref="F1353:G1353"/>
    <mergeCell ref="H1353:J1353"/>
    <mergeCell ref="F1354:G1354"/>
    <mergeCell ref="H1354:J1354"/>
    <mergeCell ref="F1355:G1355"/>
    <mergeCell ref="H1355:J1355"/>
    <mergeCell ref="F1356:G1356"/>
    <mergeCell ref="H1356:J1356"/>
    <mergeCell ref="F1357:G1357"/>
    <mergeCell ref="H1357:J1357"/>
    <mergeCell ref="F1358:G1358"/>
    <mergeCell ref="H1358:J1358"/>
    <mergeCell ref="F1359:G1359"/>
    <mergeCell ref="H1359:J1359"/>
    <mergeCell ref="F1360:G1360"/>
    <mergeCell ref="H1360:J1360"/>
    <mergeCell ref="C1343:F1343"/>
    <mergeCell ref="C1344:F1344"/>
    <mergeCell ref="H1344:I1345"/>
    <mergeCell ref="C1345:F1345"/>
    <mergeCell ref="C1346:F1346"/>
    <mergeCell ref="B1347:E1347"/>
    <mergeCell ref="A1348:E1348"/>
    <mergeCell ref="F1348:G1348"/>
    <mergeCell ref="A1349:E1349"/>
    <mergeCell ref="A1350:E1350"/>
    <mergeCell ref="F1350:G1350"/>
    <mergeCell ref="H1350:J1350"/>
    <mergeCell ref="B1351:E1351"/>
    <mergeCell ref="F1351:G1351"/>
    <mergeCell ref="H1351:J1351"/>
    <mergeCell ref="B1352:E1352"/>
    <mergeCell ref="F1352:G1352"/>
    <mergeCell ref="H1352:J1352"/>
    <mergeCell ref="F1331:G1331"/>
    <mergeCell ref="H1331:J1331"/>
    <mergeCell ref="F1332:G1332"/>
    <mergeCell ref="H1332:J1332"/>
    <mergeCell ref="F1333:G1333"/>
    <mergeCell ref="H1333:J1333"/>
    <mergeCell ref="F1334:G1334"/>
    <mergeCell ref="H1334:J1334"/>
    <mergeCell ref="F1335:G1335"/>
    <mergeCell ref="H1335:J1335"/>
    <mergeCell ref="E1336:F1336"/>
    <mergeCell ref="G1336:I1336"/>
    <mergeCell ref="H1337:J1337"/>
    <mergeCell ref="A1338:E1339"/>
    <mergeCell ref="F1338:G1339"/>
    <mergeCell ref="H1338:J1339"/>
    <mergeCell ref="A1340:J1341"/>
    <mergeCell ref="A1324:E1324"/>
    <mergeCell ref="A1325:E1325"/>
    <mergeCell ref="F1325:G1325"/>
    <mergeCell ref="H1325:J1325"/>
    <mergeCell ref="B1326:E1326"/>
    <mergeCell ref="F1326:G1326"/>
    <mergeCell ref="H1326:J1326"/>
    <mergeCell ref="B1327:E1327"/>
    <mergeCell ref="F1327:G1327"/>
    <mergeCell ref="H1327:J1327"/>
    <mergeCell ref="B1328:E1328"/>
    <mergeCell ref="F1328:G1328"/>
    <mergeCell ref="H1328:J1328"/>
    <mergeCell ref="F1329:G1329"/>
    <mergeCell ref="H1329:J1329"/>
    <mergeCell ref="F1330:G1330"/>
    <mergeCell ref="H1330:J1330"/>
    <mergeCell ref="F1310:G1310"/>
    <mergeCell ref="H1310:J1310"/>
    <mergeCell ref="E1311:F1311"/>
    <mergeCell ref="G1311:I1311"/>
    <mergeCell ref="H1312:J1312"/>
    <mergeCell ref="A1313:E1314"/>
    <mergeCell ref="F1313:G1314"/>
    <mergeCell ref="H1313:J1314"/>
    <mergeCell ref="A1315:J1316"/>
    <mergeCell ref="C1318:F1318"/>
    <mergeCell ref="C1319:F1319"/>
    <mergeCell ref="H1319:I1320"/>
    <mergeCell ref="C1320:F1320"/>
    <mergeCell ref="C1321:F1321"/>
    <mergeCell ref="B1322:E1322"/>
    <mergeCell ref="A1323:E1323"/>
    <mergeCell ref="F1323:G1323"/>
    <mergeCell ref="B1302:E1302"/>
    <mergeCell ref="F1302:G1302"/>
    <mergeCell ref="H1302:J1302"/>
    <mergeCell ref="B1303:E1303"/>
    <mergeCell ref="F1303:G1303"/>
    <mergeCell ref="H1303:J1303"/>
    <mergeCell ref="F1304:G1304"/>
    <mergeCell ref="H1304:J1304"/>
    <mergeCell ref="F1305:G1305"/>
    <mergeCell ref="H1305:J1305"/>
    <mergeCell ref="F1306:G1306"/>
    <mergeCell ref="H1306:J1306"/>
    <mergeCell ref="F1307:G1307"/>
    <mergeCell ref="H1307:J1307"/>
    <mergeCell ref="F1308:G1308"/>
    <mergeCell ref="H1308:J1308"/>
    <mergeCell ref="F1309:G1309"/>
    <mergeCell ref="H1309:J1309"/>
    <mergeCell ref="A1288:E1289"/>
    <mergeCell ref="F1288:G1289"/>
    <mergeCell ref="H1288:J1289"/>
    <mergeCell ref="A1290:J1291"/>
    <mergeCell ref="C1293:F1293"/>
    <mergeCell ref="C1294:F1294"/>
    <mergeCell ref="H1294:I1295"/>
    <mergeCell ref="C1295:F1295"/>
    <mergeCell ref="C1296:F1296"/>
    <mergeCell ref="B1297:E1297"/>
    <mergeCell ref="A1298:E1298"/>
    <mergeCell ref="F1298:G1298"/>
    <mergeCell ref="A1299:E1299"/>
    <mergeCell ref="A1300:E1300"/>
    <mergeCell ref="F1300:G1300"/>
    <mergeCell ref="H1300:J1300"/>
    <mergeCell ref="B1301:E1301"/>
    <mergeCell ref="F1301:G1301"/>
    <mergeCell ref="H1301:J1301"/>
    <mergeCell ref="F1279:G1279"/>
    <mergeCell ref="H1279:J1279"/>
    <mergeCell ref="F1280:G1280"/>
    <mergeCell ref="H1280:J1280"/>
    <mergeCell ref="F1281:G1281"/>
    <mergeCell ref="H1281:J1281"/>
    <mergeCell ref="F1282:G1282"/>
    <mergeCell ref="H1282:J1282"/>
    <mergeCell ref="F1283:G1283"/>
    <mergeCell ref="H1283:J1283"/>
    <mergeCell ref="F1284:G1284"/>
    <mergeCell ref="H1284:J1284"/>
    <mergeCell ref="F1285:G1285"/>
    <mergeCell ref="H1285:J1285"/>
    <mergeCell ref="E1286:F1286"/>
    <mergeCell ref="G1286:I1286"/>
    <mergeCell ref="H1287:J1287"/>
    <mergeCell ref="C1271:F1271"/>
    <mergeCell ref="B1272:E1272"/>
    <mergeCell ref="A1273:E1273"/>
    <mergeCell ref="F1273:G1273"/>
    <mergeCell ref="A1274:E1274"/>
    <mergeCell ref="A1275:E1275"/>
    <mergeCell ref="F1275:G1275"/>
    <mergeCell ref="H1275:J1275"/>
    <mergeCell ref="B1276:E1276"/>
    <mergeCell ref="F1276:G1276"/>
    <mergeCell ref="H1276:J1276"/>
    <mergeCell ref="B1277:E1277"/>
    <mergeCell ref="F1277:G1277"/>
    <mergeCell ref="H1277:J1277"/>
    <mergeCell ref="B1278:E1278"/>
    <mergeCell ref="F1278:G1278"/>
    <mergeCell ref="H1278:J1278"/>
    <mergeCell ref="F1258:G1258"/>
    <mergeCell ref="H1258:J1258"/>
    <mergeCell ref="F1259:G1259"/>
    <mergeCell ref="H1259:J1259"/>
    <mergeCell ref="F1260:G1260"/>
    <mergeCell ref="H1260:J1260"/>
    <mergeCell ref="E1261:F1261"/>
    <mergeCell ref="G1261:I1261"/>
    <mergeCell ref="H1262:J1262"/>
    <mergeCell ref="A1263:E1264"/>
    <mergeCell ref="F1263:G1264"/>
    <mergeCell ref="H1263:J1264"/>
    <mergeCell ref="A1265:J1266"/>
    <mergeCell ref="C1268:F1268"/>
    <mergeCell ref="C1269:F1269"/>
    <mergeCell ref="H1269:I1270"/>
    <mergeCell ref="C1270:F1270"/>
    <mergeCell ref="B1251:E1251"/>
    <mergeCell ref="F1251:G1251"/>
    <mergeCell ref="H1251:J1251"/>
    <mergeCell ref="B1252:E1252"/>
    <mergeCell ref="F1252:G1252"/>
    <mergeCell ref="H1252:J1252"/>
    <mergeCell ref="B1253:E1253"/>
    <mergeCell ref="F1253:G1253"/>
    <mergeCell ref="H1253:J1253"/>
    <mergeCell ref="F1254:G1254"/>
    <mergeCell ref="H1254:J1254"/>
    <mergeCell ref="F1255:G1255"/>
    <mergeCell ref="H1255:J1255"/>
    <mergeCell ref="F1256:G1256"/>
    <mergeCell ref="H1256:J1256"/>
    <mergeCell ref="F1257:G1257"/>
    <mergeCell ref="H1257:J1257"/>
    <mergeCell ref="E1236:F1236"/>
    <mergeCell ref="G1236:I1236"/>
    <mergeCell ref="H1237:J1237"/>
    <mergeCell ref="A1238:E1239"/>
    <mergeCell ref="F1238:G1239"/>
    <mergeCell ref="H1238:J1239"/>
    <mergeCell ref="A1240:J1241"/>
    <mergeCell ref="C1243:F1243"/>
    <mergeCell ref="C1244:F1244"/>
    <mergeCell ref="H1244:I1245"/>
    <mergeCell ref="C1245:F1245"/>
    <mergeCell ref="C1246:F1246"/>
    <mergeCell ref="B1247:E1247"/>
    <mergeCell ref="A1248:E1248"/>
    <mergeCell ref="F1248:G1248"/>
    <mergeCell ref="A1249:E1249"/>
    <mergeCell ref="A1250:E1250"/>
    <mergeCell ref="F1250:G1250"/>
    <mergeCell ref="H1250:J1250"/>
    <mergeCell ref="B1228:E1228"/>
    <mergeCell ref="F1228:G1228"/>
    <mergeCell ref="H1228:J1228"/>
    <mergeCell ref="F1229:G1229"/>
    <mergeCell ref="H1229:J1229"/>
    <mergeCell ref="F1230:G1230"/>
    <mergeCell ref="H1230:J1230"/>
    <mergeCell ref="F1231:G1231"/>
    <mergeCell ref="H1231:J1231"/>
    <mergeCell ref="F1232:G1232"/>
    <mergeCell ref="H1232:J1232"/>
    <mergeCell ref="F1233:G1233"/>
    <mergeCell ref="H1233:J1233"/>
    <mergeCell ref="F1234:G1234"/>
    <mergeCell ref="H1234:J1234"/>
    <mergeCell ref="F1235:G1235"/>
    <mergeCell ref="H1235:J1235"/>
    <mergeCell ref="A1214:J1215"/>
    <mergeCell ref="C1218:F1218"/>
    <mergeCell ref="C1219:F1219"/>
    <mergeCell ref="H1219:I1220"/>
    <mergeCell ref="C1220:F1220"/>
    <mergeCell ref="C1221:F1221"/>
    <mergeCell ref="B1222:E1222"/>
    <mergeCell ref="A1223:E1223"/>
    <mergeCell ref="F1223:G1223"/>
    <mergeCell ref="A1224:E1224"/>
    <mergeCell ref="A1225:E1225"/>
    <mergeCell ref="F1225:G1225"/>
    <mergeCell ref="H1225:J1225"/>
    <mergeCell ref="B1226:E1226"/>
    <mergeCell ref="F1226:G1226"/>
    <mergeCell ref="H1226:J1226"/>
    <mergeCell ref="B1227:E1227"/>
    <mergeCell ref="F1227:G1227"/>
    <mergeCell ref="H1227:J1227"/>
    <mergeCell ref="F1204:G1204"/>
    <mergeCell ref="H1204:J1204"/>
    <mergeCell ref="F1205:G1205"/>
    <mergeCell ref="H1205:J1205"/>
    <mergeCell ref="F1206:G1206"/>
    <mergeCell ref="H1206:J1206"/>
    <mergeCell ref="F1207:G1207"/>
    <mergeCell ref="H1207:J1207"/>
    <mergeCell ref="F1208:G1208"/>
    <mergeCell ref="H1208:J1208"/>
    <mergeCell ref="F1209:G1209"/>
    <mergeCell ref="H1209:J1209"/>
    <mergeCell ref="E1210:F1210"/>
    <mergeCell ref="G1210:I1210"/>
    <mergeCell ref="H1211:J1211"/>
    <mergeCell ref="A1212:E1213"/>
    <mergeCell ref="F1212:G1213"/>
    <mergeCell ref="H1212:J1213"/>
    <mergeCell ref="A1198:E1198"/>
    <mergeCell ref="F1198:G1198"/>
    <mergeCell ref="H1198:J1198"/>
    <mergeCell ref="A1199:E1199"/>
    <mergeCell ref="F1199:G1199"/>
    <mergeCell ref="H1199:J1199"/>
    <mergeCell ref="B1200:E1200"/>
    <mergeCell ref="F1200:G1200"/>
    <mergeCell ref="H1200:J1200"/>
    <mergeCell ref="B1201:E1201"/>
    <mergeCell ref="F1201:G1201"/>
    <mergeCell ref="H1201:J1201"/>
    <mergeCell ref="B1202:E1202"/>
    <mergeCell ref="F1202:G1202"/>
    <mergeCell ref="H1202:J1202"/>
    <mergeCell ref="F1203:G1203"/>
    <mergeCell ref="H1203:J1203"/>
    <mergeCell ref="F1184:G1184"/>
    <mergeCell ref="H1184:J1184"/>
    <mergeCell ref="E1185:F1185"/>
    <mergeCell ref="G1185:I1185"/>
    <mergeCell ref="H1186:J1186"/>
    <mergeCell ref="A1187:E1188"/>
    <mergeCell ref="F1187:G1188"/>
    <mergeCell ref="H1187:J1188"/>
    <mergeCell ref="A1189:J1190"/>
    <mergeCell ref="C1192:F1192"/>
    <mergeCell ref="C1193:F1193"/>
    <mergeCell ref="H1193:I1194"/>
    <mergeCell ref="C1194:F1194"/>
    <mergeCell ref="C1195:F1195"/>
    <mergeCell ref="B1196:E1196"/>
    <mergeCell ref="A1197:E1197"/>
    <mergeCell ref="F1197:G1197"/>
    <mergeCell ref="B1176:E1176"/>
    <mergeCell ref="F1176:G1176"/>
    <mergeCell ref="H1176:J1176"/>
    <mergeCell ref="B1177:E1177"/>
    <mergeCell ref="F1177:G1177"/>
    <mergeCell ref="H1177:J1177"/>
    <mergeCell ref="F1178:G1178"/>
    <mergeCell ref="H1178:J1178"/>
    <mergeCell ref="F1179:G1179"/>
    <mergeCell ref="H1179:J1179"/>
    <mergeCell ref="F1180:G1180"/>
    <mergeCell ref="H1180:J1180"/>
    <mergeCell ref="F1181:G1181"/>
    <mergeCell ref="H1181:J1181"/>
    <mergeCell ref="F1182:G1182"/>
    <mergeCell ref="H1182:J1182"/>
    <mergeCell ref="F1183:G1183"/>
    <mergeCell ref="H1183:J1183"/>
    <mergeCell ref="C1167:F1167"/>
    <mergeCell ref="C1168:F1168"/>
    <mergeCell ref="H1168:I1169"/>
    <mergeCell ref="C1169:F1169"/>
    <mergeCell ref="C1170:F1170"/>
    <mergeCell ref="B1171:E1171"/>
    <mergeCell ref="A1172:E1172"/>
    <mergeCell ref="F1172:G1172"/>
    <mergeCell ref="A1173:E1173"/>
    <mergeCell ref="F1173:G1173"/>
    <mergeCell ref="H1173:J1173"/>
    <mergeCell ref="A1174:E1174"/>
    <mergeCell ref="F1174:G1174"/>
    <mergeCell ref="H1174:J1174"/>
    <mergeCell ref="B1175:E1175"/>
    <mergeCell ref="F1175:G1175"/>
    <mergeCell ref="H1175:J1175"/>
    <mergeCell ref="F362:G362"/>
    <mergeCell ref="H362:J362"/>
    <mergeCell ref="F363:G363"/>
    <mergeCell ref="H363:J363"/>
    <mergeCell ref="H369:J369"/>
    <mergeCell ref="A370:E371"/>
    <mergeCell ref="F370:G371"/>
    <mergeCell ref="H370:J371"/>
    <mergeCell ref="A372:J37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E368:F368"/>
    <mergeCell ref="G368:I368"/>
    <mergeCell ref="A355:E355"/>
    <mergeCell ref="F355:G355"/>
    <mergeCell ref="A356:E356"/>
    <mergeCell ref="A357:E357"/>
    <mergeCell ref="F357:G357"/>
    <mergeCell ref="H357:J357"/>
    <mergeCell ref="B358:E358"/>
    <mergeCell ref="F358:G358"/>
    <mergeCell ref="H358:J358"/>
    <mergeCell ref="B359:E359"/>
    <mergeCell ref="F359:G359"/>
    <mergeCell ref="H359:J359"/>
    <mergeCell ref="B360:E360"/>
    <mergeCell ref="F360:G360"/>
    <mergeCell ref="H360:J360"/>
    <mergeCell ref="F361:G361"/>
    <mergeCell ref="H361:J361"/>
    <mergeCell ref="A346:J347"/>
    <mergeCell ref="F337:G337"/>
    <mergeCell ref="H337:J337"/>
    <mergeCell ref="F338:G338"/>
    <mergeCell ref="H338:J338"/>
    <mergeCell ref="F339:G339"/>
    <mergeCell ref="H339:J339"/>
    <mergeCell ref="F340:G340"/>
    <mergeCell ref="H340:J340"/>
    <mergeCell ref="F341:G341"/>
    <mergeCell ref="H341:J341"/>
    <mergeCell ref="C350:F350"/>
    <mergeCell ref="C351:F351"/>
    <mergeCell ref="H351:I352"/>
    <mergeCell ref="C352:F352"/>
    <mergeCell ref="C353:F353"/>
    <mergeCell ref="B354:E354"/>
    <mergeCell ref="B332:E332"/>
    <mergeCell ref="F332:G332"/>
    <mergeCell ref="H332:J332"/>
    <mergeCell ref="B333:E333"/>
    <mergeCell ref="F333:G333"/>
    <mergeCell ref="H333:J333"/>
    <mergeCell ref="B334:E334"/>
    <mergeCell ref="F334:G334"/>
    <mergeCell ref="H334:J334"/>
    <mergeCell ref="F335:G335"/>
    <mergeCell ref="H335:J335"/>
    <mergeCell ref="F336:G336"/>
    <mergeCell ref="H336:J336"/>
    <mergeCell ref="E342:F342"/>
    <mergeCell ref="G342:I342"/>
    <mergeCell ref="H343:J343"/>
    <mergeCell ref="A344:E345"/>
    <mergeCell ref="F344:G345"/>
    <mergeCell ref="H344:J345"/>
    <mergeCell ref="E316:F316"/>
    <mergeCell ref="G316:I316"/>
    <mergeCell ref="H317:J317"/>
    <mergeCell ref="A318:E319"/>
    <mergeCell ref="F318:G319"/>
    <mergeCell ref="H318:J319"/>
    <mergeCell ref="A320:J321"/>
    <mergeCell ref="C324:F324"/>
    <mergeCell ref="C325:F325"/>
    <mergeCell ref="H325:I326"/>
    <mergeCell ref="C326:F326"/>
    <mergeCell ref="C327:F327"/>
    <mergeCell ref="B328:E328"/>
    <mergeCell ref="A329:E329"/>
    <mergeCell ref="F329:G329"/>
    <mergeCell ref="A330:E330"/>
    <mergeCell ref="A331:E331"/>
    <mergeCell ref="F331:G331"/>
    <mergeCell ref="H331:J331"/>
    <mergeCell ref="B308:E308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C298:F298"/>
    <mergeCell ref="C299:F299"/>
    <mergeCell ref="H299:I300"/>
    <mergeCell ref="C300:F300"/>
    <mergeCell ref="C301:F301"/>
    <mergeCell ref="B302:E302"/>
    <mergeCell ref="A303:E303"/>
    <mergeCell ref="F303:G303"/>
    <mergeCell ref="A304:E304"/>
    <mergeCell ref="A305:E305"/>
    <mergeCell ref="F305:G305"/>
    <mergeCell ref="H305:J305"/>
    <mergeCell ref="B306:E306"/>
    <mergeCell ref="F306:G306"/>
    <mergeCell ref="H306:J306"/>
    <mergeCell ref="B307:E307"/>
    <mergeCell ref="F307:G307"/>
    <mergeCell ref="H307:J307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E288:F288"/>
    <mergeCell ref="G288:I288"/>
    <mergeCell ref="H289:J289"/>
    <mergeCell ref="A290:E291"/>
    <mergeCell ref="F290:G291"/>
    <mergeCell ref="H290:J291"/>
    <mergeCell ref="A292:J293"/>
    <mergeCell ref="A276:E276"/>
    <mergeCell ref="A277:E277"/>
    <mergeCell ref="F277:G277"/>
    <mergeCell ref="H277:J277"/>
    <mergeCell ref="B278:E278"/>
    <mergeCell ref="F278:G278"/>
    <mergeCell ref="H278:J278"/>
    <mergeCell ref="B279:E279"/>
    <mergeCell ref="F279:G279"/>
    <mergeCell ref="H279:J279"/>
    <mergeCell ref="B280:E280"/>
    <mergeCell ref="F280:G280"/>
    <mergeCell ref="H280:J280"/>
    <mergeCell ref="F281:G281"/>
    <mergeCell ref="H281:J281"/>
    <mergeCell ref="F282:G282"/>
    <mergeCell ref="H282:J282"/>
    <mergeCell ref="F261:G261"/>
    <mergeCell ref="H261:J261"/>
    <mergeCell ref="E262:F262"/>
    <mergeCell ref="G262:I262"/>
    <mergeCell ref="H263:J263"/>
    <mergeCell ref="A264:E265"/>
    <mergeCell ref="F264:G265"/>
    <mergeCell ref="H264:J265"/>
    <mergeCell ref="A266:J267"/>
    <mergeCell ref="C270:F270"/>
    <mergeCell ref="C271:F271"/>
    <mergeCell ref="H271:I272"/>
    <mergeCell ref="C272:F272"/>
    <mergeCell ref="C273:F273"/>
    <mergeCell ref="B274:E274"/>
    <mergeCell ref="A275:E275"/>
    <mergeCell ref="F275:G275"/>
    <mergeCell ref="B253:E253"/>
    <mergeCell ref="F253:G253"/>
    <mergeCell ref="H253:J253"/>
    <mergeCell ref="B254:E254"/>
    <mergeCell ref="F254:G254"/>
    <mergeCell ref="H254:J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A236:E237"/>
    <mergeCell ref="F236:G237"/>
    <mergeCell ref="H236:J237"/>
    <mergeCell ref="A238:J239"/>
    <mergeCell ref="C244:F244"/>
    <mergeCell ref="C245:F245"/>
    <mergeCell ref="H245:I246"/>
    <mergeCell ref="C246:F246"/>
    <mergeCell ref="C247:F247"/>
    <mergeCell ref="B248:E248"/>
    <mergeCell ref="A249:E249"/>
    <mergeCell ref="F249:G249"/>
    <mergeCell ref="A250:E250"/>
    <mergeCell ref="A251:E251"/>
    <mergeCell ref="F251:G251"/>
    <mergeCell ref="H251:J251"/>
    <mergeCell ref="B252:E252"/>
    <mergeCell ref="F252:G252"/>
    <mergeCell ref="H252:J252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E234:F234"/>
    <mergeCell ref="G234:I234"/>
    <mergeCell ref="H235:J235"/>
    <mergeCell ref="C219:F219"/>
    <mergeCell ref="B220:E220"/>
    <mergeCell ref="A221:E221"/>
    <mergeCell ref="F221:G221"/>
    <mergeCell ref="A222:E222"/>
    <mergeCell ref="A223:E223"/>
    <mergeCell ref="F223:G223"/>
    <mergeCell ref="H223:J223"/>
    <mergeCell ref="B224:E224"/>
    <mergeCell ref="F224:G224"/>
    <mergeCell ref="H224:J224"/>
    <mergeCell ref="B225:E225"/>
    <mergeCell ref="F225:G225"/>
    <mergeCell ref="H225:J225"/>
    <mergeCell ref="B226:E226"/>
    <mergeCell ref="F226:G226"/>
    <mergeCell ref="H226:J226"/>
    <mergeCell ref="F205:G205"/>
    <mergeCell ref="H205:J205"/>
    <mergeCell ref="F206:G206"/>
    <mergeCell ref="H206:J206"/>
    <mergeCell ref="F207:G207"/>
    <mergeCell ref="H207:J207"/>
    <mergeCell ref="E208:F208"/>
    <mergeCell ref="G208:I208"/>
    <mergeCell ref="H209:J209"/>
    <mergeCell ref="A210:E211"/>
    <mergeCell ref="F210:G211"/>
    <mergeCell ref="H210:J211"/>
    <mergeCell ref="A212:J213"/>
    <mergeCell ref="C216:F216"/>
    <mergeCell ref="C217:F217"/>
    <mergeCell ref="H217:I218"/>
    <mergeCell ref="C218:F218"/>
    <mergeCell ref="B198:E198"/>
    <mergeCell ref="F198:G198"/>
    <mergeCell ref="H198:J198"/>
    <mergeCell ref="B199:E199"/>
    <mergeCell ref="F199:G199"/>
    <mergeCell ref="H199:J199"/>
    <mergeCell ref="B200:E200"/>
    <mergeCell ref="F200:G200"/>
    <mergeCell ref="H200:J200"/>
    <mergeCell ref="F201:G201"/>
    <mergeCell ref="H201:J201"/>
    <mergeCell ref="F202:G202"/>
    <mergeCell ref="H202:J202"/>
    <mergeCell ref="F203:G203"/>
    <mergeCell ref="H203:J203"/>
    <mergeCell ref="F204:G204"/>
    <mergeCell ref="H204:J204"/>
    <mergeCell ref="E180:F180"/>
    <mergeCell ref="G180:I180"/>
    <mergeCell ref="H181:J181"/>
    <mergeCell ref="A182:E183"/>
    <mergeCell ref="F182:G183"/>
    <mergeCell ref="H182:J183"/>
    <mergeCell ref="A184:J185"/>
    <mergeCell ref="C190:F190"/>
    <mergeCell ref="C191:F191"/>
    <mergeCell ref="H191:I192"/>
    <mergeCell ref="C192:F192"/>
    <mergeCell ref="C193:F193"/>
    <mergeCell ref="B194:E194"/>
    <mergeCell ref="A195:E195"/>
    <mergeCell ref="F195:G195"/>
    <mergeCell ref="A196:E196"/>
    <mergeCell ref="A197:E197"/>
    <mergeCell ref="F197:G197"/>
    <mergeCell ref="H197:J197"/>
    <mergeCell ref="B172:E172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C162:F162"/>
    <mergeCell ref="C163:F163"/>
    <mergeCell ref="H163:I164"/>
    <mergeCell ref="C164:F164"/>
    <mergeCell ref="C165:F165"/>
    <mergeCell ref="B166:E166"/>
    <mergeCell ref="A167:E167"/>
    <mergeCell ref="F167:G167"/>
    <mergeCell ref="A168:E168"/>
    <mergeCell ref="A169:E169"/>
    <mergeCell ref="F169:G169"/>
    <mergeCell ref="H169:J169"/>
    <mergeCell ref="B170:E170"/>
    <mergeCell ref="F170:G170"/>
    <mergeCell ref="H170:J170"/>
    <mergeCell ref="B171:E171"/>
    <mergeCell ref="F171:G171"/>
    <mergeCell ref="H171:J171"/>
    <mergeCell ref="F124:G124"/>
    <mergeCell ref="H124:J124"/>
    <mergeCell ref="B120:E120"/>
    <mergeCell ref="F120:G120"/>
    <mergeCell ref="H120:J120"/>
    <mergeCell ref="F121:G121"/>
    <mergeCell ref="H121:J121"/>
    <mergeCell ref="A132:J133"/>
    <mergeCell ref="E128:F128"/>
    <mergeCell ref="G128:I128"/>
    <mergeCell ref="H129:J129"/>
    <mergeCell ref="A130:E131"/>
    <mergeCell ref="F130:G131"/>
    <mergeCell ref="H130:J131"/>
    <mergeCell ref="F125:G125"/>
    <mergeCell ref="H125:J125"/>
    <mergeCell ref="F126:G126"/>
    <mergeCell ref="H126:J126"/>
    <mergeCell ref="F127:G127"/>
    <mergeCell ref="H127:J127"/>
    <mergeCell ref="H117:J117"/>
    <mergeCell ref="B118:E118"/>
    <mergeCell ref="F118:G118"/>
    <mergeCell ref="H118:J118"/>
    <mergeCell ref="B119:E119"/>
    <mergeCell ref="F119:G119"/>
    <mergeCell ref="H119:J119"/>
    <mergeCell ref="C113:F113"/>
    <mergeCell ref="A115:E115"/>
    <mergeCell ref="F115:G115"/>
    <mergeCell ref="A116:E116"/>
    <mergeCell ref="A117:E117"/>
    <mergeCell ref="F117:G117"/>
    <mergeCell ref="F122:G122"/>
    <mergeCell ref="H122:J122"/>
    <mergeCell ref="F123:G123"/>
    <mergeCell ref="H123:J123"/>
    <mergeCell ref="F98:G98"/>
    <mergeCell ref="H98:J98"/>
    <mergeCell ref="F99:G99"/>
    <mergeCell ref="H99:J99"/>
    <mergeCell ref="F100:G100"/>
    <mergeCell ref="H100:J100"/>
    <mergeCell ref="F95:G95"/>
    <mergeCell ref="H95:J95"/>
    <mergeCell ref="F96:G96"/>
    <mergeCell ref="H96:J96"/>
    <mergeCell ref="F97:G97"/>
    <mergeCell ref="H97:J97"/>
    <mergeCell ref="A105:J106"/>
    <mergeCell ref="C110:F110"/>
    <mergeCell ref="C111:F111"/>
    <mergeCell ref="H111:I112"/>
    <mergeCell ref="C112:F112"/>
    <mergeCell ref="E101:F101"/>
    <mergeCell ref="G101:I101"/>
    <mergeCell ref="H102:J102"/>
    <mergeCell ref="A103:E104"/>
    <mergeCell ref="F103:G104"/>
    <mergeCell ref="H103:J104"/>
    <mergeCell ref="C86:F86"/>
    <mergeCell ref="A88:E88"/>
    <mergeCell ref="F88:G88"/>
    <mergeCell ref="A89:E89"/>
    <mergeCell ref="A90:E90"/>
    <mergeCell ref="F90:G90"/>
    <mergeCell ref="A78:J79"/>
    <mergeCell ref="C83:F83"/>
    <mergeCell ref="C84:F84"/>
    <mergeCell ref="H84:I85"/>
    <mergeCell ref="C85:F85"/>
    <mergeCell ref="B93:E93"/>
    <mergeCell ref="F93:G93"/>
    <mergeCell ref="H93:J93"/>
    <mergeCell ref="F94:G94"/>
    <mergeCell ref="H94:J94"/>
    <mergeCell ref="H90:J90"/>
    <mergeCell ref="B91:E91"/>
    <mergeCell ref="F91:G91"/>
    <mergeCell ref="H91:J91"/>
    <mergeCell ref="B92:E92"/>
    <mergeCell ref="F92:G92"/>
    <mergeCell ref="H92:J92"/>
    <mergeCell ref="F70:G70"/>
    <mergeCell ref="H70:J70"/>
    <mergeCell ref="B66:E66"/>
    <mergeCell ref="F66:G66"/>
    <mergeCell ref="H66:J66"/>
    <mergeCell ref="F67:G67"/>
    <mergeCell ref="H67:J67"/>
    <mergeCell ref="E74:F74"/>
    <mergeCell ref="G74:I74"/>
    <mergeCell ref="H75:J75"/>
    <mergeCell ref="A76:E77"/>
    <mergeCell ref="F76:G77"/>
    <mergeCell ref="H76:J77"/>
    <mergeCell ref="F71:G71"/>
    <mergeCell ref="H71:J71"/>
    <mergeCell ref="F72:G72"/>
    <mergeCell ref="H72:J72"/>
    <mergeCell ref="F73:G73"/>
    <mergeCell ref="H73:J73"/>
    <mergeCell ref="H63:J63"/>
    <mergeCell ref="B64:E64"/>
    <mergeCell ref="F64:G64"/>
    <mergeCell ref="H64:J64"/>
    <mergeCell ref="B65:E65"/>
    <mergeCell ref="F65:G65"/>
    <mergeCell ref="H65:J65"/>
    <mergeCell ref="C59:F59"/>
    <mergeCell ref="A61:E61"/>
    <mergeCell ref="F61:G61"/>
    <mergeCell ref="A62:E62"/>
    <mergeCell ref="A63:E63"/>
    <mergeCell ref="F63:G63"/>
    <mergeCell ref="F68:G68"/>
    <mergeCell ref="H68:J68"/>
    <mergeCell ref="F69:G69"/>
    <mergeCell ref="H69:J69"/>
    <mergeCell ref="F44:G44"/>
    <mergeCell ref="H44:J44"/>
    <mergeCell ref="F45:G45"/>
    <mergeCell ref="H45:J45"/>
    <mergeCell ref="F46:G46"/>
    <mergeCell ref="H46:J46"/>
    <mergeCell ref="F41:G41"/>
    <mergeCell ref="H41:J41"/>
    <mergeCell ref="F42:G42"/>
    <mergeCell ref="H42:J42"/>
    <mergeCell ref="F43:G43"/>
    <mergeCell ref="H43:J43"/>
    <mergeCell ref="A51:J52"/>
    <mergeCell ref="C56:F56"/>
    <mergeCell ref="C57:F57"/>
    <mergeCell ref="H57:I58"/>
    <mergeCell ref="C58:F58"/>
    <mergeCell ref="E47:F47"/>
    <mergeCell ref="G47:I47"/>
    <mergeCell ref="H48:J48"/>
    <mergeCell ref="A49:E50"/>
    <mergeCell ref="F49:G50"/>
    <mergeCell ref="H49:J50"/>
    <mergeCell ref="C32:F32"/>
    <mergeCell ref="A34:E34"/>
    <mergeCell ref="F34:G34"/>
    <mergeCell ref="A35:E35"/>
    <mergeCell ref="A36:E36"/>
    <mergeCell ref="F36:G36"/>
    <mergeCell ref="A24:J25"/>
    <mergeCell ref="C29:F29"/>
    <mergeCell ref="C30:F30"/>
    <mergeCell ref="H30:I31"/>
    <mergeCell ref="C31:F31"/>
    <mergeCell ref="B39:E39"/>
    <mergeCell ref="F39:G39"/>
    <mergeCell ref="H39:J39"/>
    <mergeCell ref="F40:G40"/>
    <mergeCell ref="H40:J40"/>
    <mergeCell ref="H36:J36"/>
    <mergeCell ref="B37:E37"/>
    <mergeCell ref="F37:G37"/>
    <mergeCell ref="H37:J37"/>
    <mergeCell ref="B38:E38"/>
    <mergeCell ref="F38:G38"/>
    <mergeCell ref="H38:J38"/>
    <mergeCell ref="F16:G16"/>
    <mergeCell ref="H16:J16"/>
    <mergeCell ref="B12:E12"/>
    <mergeCell ref="F12:G12"/>
    <mergeCell ref="H12:J12"/>
    <mergeCell ref="F13:G13"/>
    <mergeCell ref="H13:J13"/>
    <mergeCell ref="E20:F20"/>
    <mergeCell ref="G20:I20"/>
    <mergeCell ref="H21:J21"/>
    <mergeCell ref="A22:E23"/>
    <mergeCell ref="F22:G23"/>
    <mergeCell ref="H22:J23"/>
    <mergeCell ref="F17:G17"/>
    <mergeCell ref="H17:J17"/>
    <mergeCell ref="F18:G18"/>
    <mergeCell ref="H18:J18"/>
    <mergeCell ref="F19:G19"/>
    <mergeCell ref="H19:J19"/>
    <mergeCell ref="C136:F136"/>
    <mergeCell ref="C137:F137"/>
    <mergeCell ref="H137:I138"/>
    <mergeCell ref="C138:F138"/>
    <mergeCell ref="C139:F139"/>
    <mergeCell ref="A141:E141"/>
    <mergeCell ref="F141:G141"/>
    <mergeCell ref="A142:E142"/>
    <mergeCell ref="A143:E143"/>
    <mergeCell ref="F143:G143"/>
    <mergeCell ref="H143:J143"/>
    <mergeCell ref="C2:F2"/>
    <mergeCell ref="C3:F3"/>
    <mergeCell ref="H3:I4"/>
    <mergeCell ref="C4:F4"/>
    <mergeCell ref="C5:F5"/>
    <mergeCell ref="H9:J9"/>
    <mergeCell ref="B10:E10"/>
    <mergeCell ref="F10:G10"/>
    <mergeCell ref="H10:J10"/>
    <mergeCell ref="B11:E11"/>
    <mergeCell ref="F11:G11"/>
    <mergeCell ref="H11:J11"/>
    <mergeCell ref="A7:E7"/>
    <mergeCell ref="F7:G7"/>
    <mergeCell ref="A8:E8"/>
    <mergeCell ref="A9:E9"/>
    <mergeCell ref="F9:G9"/>
    <mergeCell ref="F14:G14"/>
    <mergeCell ref="H14:J14"/>
    <mergeCell ref="F15:G15"/>
    <mergeCell ref="H15:J15"/>
    <mergeCell ref="A158:J159"/>
    <mergeCell ref="B140:E140"/>
    <mergeCell ref="F152:G152"/>
    <mergeCell ref="H152:J152"/>
    <mergeCell ref="F153:G153"/>
    <mergeCell ref="H153:J153"/>
    <mergeCell ref="E154:F154"/>
    <mergeCell ref="G154:I154"/>
    <mergeCell ref="H155:J155"/>
    <mergeCell ref="A156:E157"/>
    <mergeCell ref="F156:G157"/>
    <mergeCell ref="H156:J157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B144:E144"/>
    <mergeCell ref="F144:G144"/>
    <mergeCell ref="H144:J144"/>
    <mergeCell ref="B145:E145"/>
    <mergeCell ref="F145:G145"/>
    <mergeCell ref="H145:J145"/>
    <mergeCell ref="B146:E146"/>
    <mergeCell ref="F146:G146"/>
    <mergeCell ref="H146:J146"/>
    <mergeCell ref="A383:E383"/>
    <mergeCell ref="F383:G383"/>
    <mergeCell ref="H383:J383"/>
    <mergeCell ref="B384:E384"/>
    <mergeCell ref="F384:G384"/>
    <mergeCell ref="H384:J384"/>
    <mergeCell ref="B385:E385"/>
    <mergeCell ref="F385:G385"/>
    <mergeCell ref="H385:J385"/>
    <mergeCell ref="C376:F376"/>
    <mergeCell ref="C377:F377"/>
    <mergeCell ref="H377:I378"/>
    <mergeCell ref="C378:F378"/>
    <mergeCell ref="C379:F379"/>
    <mergeCell ref="B380:E380"/>
    <mergeCell ref="A381:E381"/>
    <mergeCell ref="F381:G381"/>
    <mergeCell ref="A382:E382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E394:F394"/>
    <mergeCell ref="G394:I394"/>
    <mergeCell ref="B386:E386"/>
    <mergeCell ref="F386:G386"/>
    <mergeCell ref="H386:J386"/>
    <mergeCell ref="F387:G387"/>
    <mergeCell ref="H387:J387"/>
    <mergeCell ref="F388:G388"/>
    <mergeCell ref="H388:J388"/>
    <mergeCell ref="F389:G389"/>
    <mergeCell ref="H389:J389"/>
    <mergeCell ref="C405:F405"/>
    <mergeCell ref="B406:E406"/>
    <mergeCell ref="A407:E407"/>
    <mergeCell ref="F407:G407"/>
    <mergeCell ref="A408:E408"/>
    <mergeCell ref="A409:E409"/>
    <mergeCell ref="F409:G409"/>
    <mergeCell ref="H409:J409"/>
    <mergeCell ref="B410:E410"/>
    <mergeCell ref="F410:G410"/>
    <mergeCell ref="H410:J410"/>
    <mergeCell ref="H395:J395"/>
    <mergeCell ref="A396:E397"/>
    <mergeCell ref="F396:G397"/>
    <mergeCell ref="H396:J397"/>
    <mergeCell ref="A398:J399"/>
    <mergeCell ref="C402:F402"/>
    <mergeCell ref="C403:F403"/>
    <mergeCell ref="H403:I404"/>
    <mergeCell ref="C404:F40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B411:E411"/>
    <mergeCell ref="F411:G411"/>
    <mergeCell ref="H411:J411"/>
    <mergeCell ref="B412:E412"/>
    <mergeCell ref="F412:G412"/>
    <mergeCell ref="H412:J412"/>
    <mergeCell ref="F413:G413"/>
    <mergeCell ref="H413:J413"/>
    <mergeCell ref="F414:G414"/>
    <mergeCell ref="H414:J414"/>
    <mergeCell ref="C431:F431"/>
    <mergeCell ref="B432:E432"/>
    <mergeCell ref="A433:E433"/>
    <mergeCell ref="F433:G433"/>
    <mergeCell ref="A434:E434"/>
    <mergeCell ref="A435:E435"/>
    <mergeCell ref="F435:G435"/>
    <mergeCell ref="H435:J435"/>
    <mergeCell ref="B436:E436"/>
    <mergeCell ref="F436:G436"/>
    <mergeCell ref="H436:J436"/>
    <mergeCell ref="E420:F420"/>
    <mergeCell ref="G420:I420"/>
    <mergeCell ref="H421:J421"/>
    <mergeCell ref="A422:E423"/>
    <mergeCell ref="F422:G423"/>
    <mergeCell ref="H422:J423"/>
    <mergeCell ref="A424:J425"/>
    <mergeCell ref="C428:F428"/>
    <mergeCell ref="C429:F429"/>
    <mergeCell ref="H429:I430"/>
    <mergeCell ref="C430:F43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B437:E437"/>
    <mergeCell ref="F437:G437"/>
    <mergeCell ref="H437:J437"/>
    <mergeCell ref="B438:E438"/>
    <mergeCell ref="F438:G438"/>
    <mergeCell ref="H438:J438"/>
    <mergeCell ref="F439:G439"/>
    <mergeCell ref="H439:J439"/>
    <mergeCell ref="F440:G440"/>
    <mergeCell ref="H440:J440"/>
    <mergeCell ref="C457:F457"/>
    <mergeCell ref="B458:E458"/>
    <mergeCell ref="A459:E459"/>
    <mergeCell ref="F459:G459"/>
    <mergeCell ref="A460:E460"/>
    <mergeCell ref="A461:E461"/>
    <mergeCell ref="F461:G461"/>
    <mergeCell ref="H461:J461"/>
    <mergeCell ref="B462:E462"/>
    <mergeCell ref="F462:G462"/>
    <mergeCell ref="H462:J462"/>
    <mergeCell ref="E446:F446"/>
    <mergeCell ref="G446:I446"/>
    <mergeCell ref="H447:J447"/>
    <mergeCell ref="A448:E449"/>
    <mergeCell ref="F448:G449"/>
    <mergeCell ref="H448:J449"/>
    <mergeCell ref="A450:J451"/>
    <mergeCell ref="C454:F454"/>
    <mergeCell ref="C455:F455"/>
    <mergeCell ref="H455:I456"/>
    <mergeCell ref="C456:F456"/>
    <mergeCell ref="F494:G494"/>
    <mergeCell ref="H494:J494"/>
    <mergeCell ref="F495:G495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B463:E463"/>
    <mergeCell ref="F463:G463"/>
    <mergeCell ref="H463:J463"/>
    <mergeCell ref="B464:E464"/>
    <mergeCell ref="F464:G464"/>
    <mergeCell ref="H464:J464"/>
    <mergeCell ref="F465:G465"/>
    <mergeCell ref="H465:J465"/>
    <mergeCell ref="F466:G466"/>
    <mergeCell ref="H466:J466"/>
    <mergeCell ref="C480:F480"/>
    <mergeCell ref="C481:F481"/>
    <mergeCell ref="H481:I482"/>
    <mergeCell ref="C482:F482"/>
    <mergeCell ref="C483:F483"/>
    <mergeCell ref="B484:E484"/>
    <mergeCell ref="A485:E485"/>
    <mergeCell ref="F485:G485"/>
    <mergeCell ref="A486:E486"/>
    <mergeCell ref="C509:F509"/>
    <mergeCell ref="B510:E510"/>
    <mergeCell ref="A511:E511"/>
    <mergeCell ref="F511:G511"/>
    <mergeCell ref="A512:E512"/>
    <mergeCell ref="A513:E513"/>
    <mergeCell ref="F513:G513"/>
    <mergeCell ref="H513:J513"/>
    <mergeCell ref="B514:E514"/>
    <mergeCell ref="F514:G514"/>
    <mergeCell ref="H514:J514"/>
    <mergeCell ref="E472:F472"/>
    <mergeCell ref="G472:I472"/>
    <mergeCell ref="H473:J473"/>
    <mergeCell ref="A474:E475"/>
    <mergeCell ref="F474:G475"/>
    <mergeCell ref="H474:J475"/>
    <mergeCell ref="A476:J477"/>
    <mergeCell ref="C506:F506"/>
    <mergeCell ref="C507:F507"/>
    <mergeCell ref="H507:I508"/>
    <mergeCell ref="C508:F508"/>
    <mergeCell ref="H489:J489"/>
    <mergeCell ref="B490:E490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B515:E515"/>
    <mergeCell ref="F515:G515"/>
    <mergeCell ref="H515:J515"/>
    <mergeCell ref="B516:E516"/>
    <mergeCell ref="F516:G516"/>
    <mergeCell ref="H516:J516"/>
    <mergeCell ref="F517:G517"/>
    <mergeCell ref="H517:J517"/>
    <mergeCell ref="F518:G518"/>
    <mergeCell ref="H518:J518"/>
    <mergeCell ref="C535:F535"/>
    <mergeCell ref="B536:E536"/>
    <mergeCell ref="A537:E537"/>
    <mergeCell ref="F537:G537"/>
    <mergeCell ref="A538:E538"/>
    <mergeCell ref="A539:E539"/>
    <mergeCell ref="F539:G539"/>
    <mergeCell ref="H539:J539"/>
    <mergeCell ref="B540:E540"/>
    <mergeCell ref="F540:G540"/>
    <mergeCell ref="H540:J540"/>
    <mergeCell ref="E524:F524"/>
    <mergeCell ref="G524:I524"/>
    <mergeCell ref="H525:J525"/>
    <mergeCell ref="A526:E527"/>
    <mergeCell ref="F526:G527"/>
    <mergeCell ref="H526:J527"/>
    <mergeCell ref="A528:J529"/>
    <mergeCell ref="C532:F532"/>
    <mergeCell ref="C533:F533"/>
    <mergeCell ref="H533:I534"/>
    <mergeCell ref="C534:F53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B541:E541"/>
    <mergeCell ref="F541:G541"/>
    <mergeCell ref="H541:J541"/>
    <mergeCell ref="B542:E542"/>
    <mergeCell ref="F542:G542"/>
    <mergeCell ref="H542:J542"/>
    <mergeCell ref="F543:G543"/>
    <mergeCell ref="H543:J543"/>
    <mergeCell ref="F544:G544"/>
    <mergeCell ref="H544:J544"/>
    <mergeCell ref="C561:F561"/>
    <mergeCell ref="B562:E562"/>
    <mergeCell ref="A563:E563"/>
    <mergeCell ref="F563:G563"/>
    <mergeCell ref="A564:E564"/>
    <mergeCell ref="A565:E565"/>
    <mergeCell ref="F565:G565"/>
    <mergeCell ref="H565:J565"/>
    <mergeCell ref="B566:E566"/>
    <mergeCell ref="F566:G566"/>
    <mergeCell ref="H566:J566"/>
    <mergeCell ref="E550:F550"/>
    <mergeCell ref="G550:I550"/>
    <mergeCell ref="H551:J551"/>
    <mergeCell ref="A552:E553"/>
    <mergeCell ref="F552:G553"/>
    <mergeCell ref="H552:J553"/>
    <mergeCell ref="A554:J555"/>
    <mergeCell ref="C558:F558"/>
    <mergeCell ref="C559:F559"/>
    <mergeCell ref="H559:I560"/>
    <mergeCell ref="C560:F56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B567:E567"/>
    <mergeCell ref="F567:G567"/>
    <mergeCell ref="H567:J567"/>
    <mergeCell ref="B568:E568"/>
    <mergeCell ref="F568:G568"/>
    <mergeCell ref="H568:J568"/>
    <mergeCell ref="F569:G569"/>
    <mergeCell ref="H569:J569"/>
    <mergeCell ref="F570:G570"/>
    <mergeCell ref="H570:J570"/>
    <mergeCell ref="C587:F587"/>
    <mergeCell ref="B588:E588"/>
    <mergeCell ref="A589:E589"/>
    <mergeCell ref="F589:G589"/>
    <mergeCell ref="A590:E590"/>
    <mergeCell ref="A591:E591"/>
    <mergeCell ref="F591:G591"/>
    <mergeCell ref="H591:J591"/>
    <mergeCell ref="B592:E592"/>
    <mergeCell ref="F592:G592"/>
    <mergeCell ref="H592:J592"/>
    <mergeCell ref="E576:F576"/>
    <mergeCell ref="G576:I576"/>
    <mergeCell ref="H577:J577"/>
    <mergeCell ref="A578:E579"/>
    <mergeCell ref="F578:G579"/>
    <mergeCell ref="H578:J579"/>
    <mergeCell ref="A580:J581"/>
    <mergeCell ref="C584:F584"/>
    <mergeCell ref="C585:F585"/>
    <mergeCell ref="H585:I586"/>
    <mergeCell ref="C586:F58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B593:E593"/>
    <mergeCell ref="F593:G593"/>
    <mergeCell ref="H593:J593"/>
    <mergeCell ref="B594:E594"/>
    <mergeCell ref="F594:G594"/>
    <mergeCell ref="H594:J594"/>
    <mergeCell ref="F595:G595"/>
    <mergeCell ref="H595:J595"/>
    <mergeCell ref="F596:G596"/>
    <mergeCell ref="H596:J596"/>
    <mergeCell ref="C613:F613"/>
    <mergeCell ref="B614:E614"/>
    <mergeCell ref="A615:E615"/>
    <mergeCell ref="F615:G615"/>
    <mergeCell ref="A616:E616"/>
    <mergeCell ref="A617:E617"/>
    <mergeCell ref="F617:G617"/>
    <mergeCell ref="H617:J617"/>
    <mergeCell ref="B618:E618"/>
    <mergeCell ref="F618:G618"/>
    <mergeCell ref="H618:J618"/>
    <mergeCell ref="E602:F602"/>
    <mergeCell ref="G602:I602"/>
    <mergeCell ref="H603:J603"/>
    <mergeCell ref="A604:E605"/>
    <mergeCell ref="F604:G605"/>
    <mergeCell ref="H604:J605"/>
    <mergeCell ref="A606:J607"/>
    <mergeCell ref="C610:F610"/>
    <mergeCell ref="C611:F611"/>
    <mergeCell ref="H611:I612"/>
    <mergeCell ref="C612:F61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B619:E619"/>
    <mergeCell ref="F619:G619"/>
    <mergeCell ref="H619:J619"/>
    <mergeCell ref="B620:E620"/>
    <mergeCell ref="F620:G620"/>
    <mergeCell ref="H620:J620"/>
    <mergeCell ref="F621:G621"/>
    <mergeCell ref="H621:J621"/>
    <mergeCell ref="F622:G622"/>
    <mergeCell ref="H622:J622"/>
    <mergeCell ref="H646:J646"/>
    <mergeCell ref="F647:G647"/>
    <mergeCell ref="H647:J647"/>
    <mergeCell ref="F648:G648"/>
    <mergeCell ref="H648:J648"/>
    <mergeCell ref="C639:F639"/>
    <mergeCell ref="B640:E640"/>
    <mergeCell ref="A641:E641"/>
    <mergeCell ref="F641:G641"/>
    <mergeCell ref="A642:E642"/>
    <mergeCell ref="A643:E643"/>
    <mergeCell ref="F643:G643"/>
    <mergeCell ref="H643:J643"/>
    <mergeCell ref="B644:E644"/>
    <mergeCell ref="F644:G644"/>
    <mergeCell ref="H644:J644"/>
    <mergeCell ref="E628:F628"/>
    <mergeCell ref="G628:I628"/>
    <mergeCell ref="H629:J629"/>
    <mergeCell ref="A630:E631"/>
    <mergeCell ref="F630:G631"/>
    <mergeCell ref="H630:J631"/>
    <mergeCell ref="A632:J633"/>
    <mergeCell ref="C636:F636"/>
    <mergeCell ref="C637:F637"/>
    <mergeCell ref="H637:I638"/>
    <mergeCell ref="C638:F638"/>
    <mergeCell ref="B645:E645"/>
    <mergeCell ref="F645:G645"/>
    <mergeCell ref="H645:J645"/>
    <mergeCell ref="B646:E646"/>
    <mergeCell ref="F646:G646"/>
    <mergeCell ref="A668:E668"/>
    <mergeCell ref="A669:E669"/>
    <mergeCell ref="F669:G669"/>
    <mergeCell ref="H669:J669"/>
    <mergeCell ref="B670:E670"/>
    <mergeCell ref="F670:G670"/>
    <mergeCell ref="H670:J670"/>
    <mergeCell ref="B671:E671"/>
    <mergeCell ref="F671:G671"/>
    <mergeCell ref="H671:J671"/>
    <mergeCell ref="B672:E672"/>
    <mergeCell ref="F672:G672"/>
    <mergeCell ref="H672:J672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6:G657"/>
    <mergeCell ref="H656:J657"/>
    <mergeCell ref="A658:J659"/>
    <mergeCell ref="A736:J737"/>
    <mergeCell ref="H733:J733"/>
    <mergeCell ref="E732:F732"/>
    <mergeCell ref="G732:I732"/>
    <mergeCell ref="A734:E735"/>
    <mergeCell ref="F734:G735"/>
    <mergeCell ref="H734:J735"/>
    <mergeCell ref="F728:G728"/>
    <mergeCell ref="H728:J728"/>
    <mergeCell ref="F729:G729"/>
    <mergeCell ref="H729:J729"/>
    <mergeCell ref="F730:G730"/>
    <mergeCell ref="H730:J730"/>
    <mergeCell ref="F731:G731"/>
    <mergeCell ref="H731:J731"/>
    <mergeCell ref="B723:E723"/>
    <mergeCell ref="F724:G724"/>
    <mergeCell ref="F726:G726"/>
    <mergeCell ref="H726:J726"/>
    <mergeCell ref="F727:G727"/>
    <mergeCell ref="H727:J727"/>
    <mergeCell ref="F723:G723"/>
    <mergeCell ref="H723:J723"/>
    <mergeCell ref="B724:E724"/>
    <mergeCell ref="H724:J724"/>
    <mergeCell ref="F725:G725"/>
    <mergeCell ref="H725:J725"/>
    <mergeCell ref="A487:E487"/>
    <mergeCell ref="F487:G487"/>
    <mergeCell ref="H487:J487"/>
    <mergeCell ref="B488:E488"/>
    <mergeCell ref="F488:G488"/>
    <mergeCell ref="H488:J488"/>
    <mergeCell ref="B489:E489"/>
    <mergeCell ref="F489:G489"/>
    <mergeCell ref="A502:J503"/>
    <mergeCell ref="C662:F662"/>
    <mergeCell ref="C663:F663"/>
    <mergeCell ref="H663:I664"/>
    <mergeCell ref="C664:F664"/>
    <mergeCell ref="C665:F665"/>
    <mergeCell ref="B666:E666"/>
    <mergeCell ref="A667:E667"/>
    <mergeCell ref="F667:G667"/>
    <mergeCell ref="H495:J495"/>
    <mergeCell ref="F496:G496"/>
    <mergeCell ref="H496:J496"/>
    <mergeCell ref="F497:G497"/>
    <mergeCell ref="H497:J497"/>
    <mergeCell ref="E498:F498"/>
    <mergeCell ref="G498:I498"/>
    <mergeCell ref="H499:J499"/>
    <mergeCell ref="A500:E501"/>
    <mergeCell ref="F500:G501"/>
    <mergeCell ref="H500:J501"/>
    <mergeCell ref="E654:F654"/>
    <mergeCell ref="G654:I654"/>
    <mergeCell ref="H655:J655"/>
    <mergeCell ref="A656:E657"/>
    <mergeCell ref="F678:G678"/>
    <mergeCell ref="H678:J678"/>
    <mergeCell ref="F679:G679"/>
    <mergeCell ref="H679:J679"/>
    <mergeCell ref="E680:F680"/>
    <mergeCell ref="G680:I680"/>
    <mergeCell ref="H681:J681"/>
    <mergeCell ref="A682:E683"/>
    <mergeCell ref="F682:G683"/>
    <mergeCell ref="H682:J683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A694:E694"/>
    <mergeCell ref="A695:E695"/>
    <mergeCell ref="F695:G695"/>
    <mergeCell ref="H695:J695"/>
    <mergeCell ref="B696:E696"/>
    <mergeCell ref="F696:G696"/>
    <mergeCell ref="H696:J696"/>
    <mergeCell ref="B697:E697"/>
    <mergeCell ref="F697:G697"/>
    <mergeCell ref="H697:J697"/>
    <mergeCell ref="A684:J685"/>
    <mergeCell ref="C688:F688"/>
    <mergeCell ref="C689:F689"/>
    <mergeCell ref="H689:I690"/>
    <mergeCell ref="C690:F690"/>
    <mergeCell ref="C691:F691"/>
    <mergeCell ref="B692:E692"/>
    <mergeCell ref="A693:E693"/>
    <mergeCell ref="F693:G693"/>
    <mergeCell ref="F702:G702"/>
    <mergeCell ref="H702:J702"/>
    <mergeCell ref="F703:G703"/>
    <mergeCell ref="H703:J703"/>
    <mergeCell ref="F704:G704"/>
    <mergeCell ref="H704:J704"/>
    <mergeCell ref="F705:G705"/>
    <mergeCell ref="H705:J705"/>
    <mergeCell ref="E706:F706"/>
    <mergeCell ref="G706:I706"/>
    <mergeCell ref="B698:E698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C717:F717"/>
    <mergeCell ref="B718:E718"/>
    <mergeCell ref="A719:E719"/>
    <mergeCell ref="F719:G719"/>
    <mergeCell ref="A720:E720"/>
    <mergeCell ref="A721:E721"/>
    <mergeCell ref="F721:G721"/>
    <mergeCell ref="H721:J721"/>
    <mergeCell ref="B722:E722"/>
    <mergeCell ref="F722:G722"/>
    <mergeCell ref="H722:J722"/>
    <mergeCell ref="H707:J707"/>
    <mergeCell ref="A708:E709"/>
    <mergeCell ref="F708:G709"/>
    <mergeCell ref="H708:J709"/>
    <mergeCell ref="A710:J711"/>
    <mergeCell ref="C714:F714"/>
    <mergeCell ref="C715:F715"/>
    <mergeCell ref="H715:I716"/>
    <mergeCell ref="C716:F716"/>
    <mergeCell ref="C740:F740"/>
    <mergeCell ref="C741:F741"/>
    <mergeCell ref="H741:I742"/>
    <mergeCell ref="C742:F742"/>
    <mergeCell ref="C743:F743"/>
    <mergeCell ref="B744:E744"/>
    <mergeCell ref="A745:E745"/>
    <mergeCell ref="F745:G745"/>
    <mergeCell ref="A746:E746"/>
    <mergeCell ref="A747:E747"/>
    <mergeCell ref="F747:G747"/>
    <mergeCell ref="H747:J747"/>
    <mergeCell ref="B748:E748"/>
    <mergeCell ref="F748:G748"/>
    <mergeCell ref="H748:J748"/>
    <mergeCell ref="B749:E749"/>
    <mergeCell ref="F749:G749"/>
    <mergeCell ref="H749:J749"/>
    <mergeCell ref="B750:E750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F756:G756"/>
    <mergeCell ref="H756:J756"/>
    <mergeCell ref="F757:G757"/>
    <mergeCell ref="H757:J757"/>
    <mergeCell ref="E758:F758"/>
    <mergeCell ref="G758:I758"/>
    <mergeCell ref="H759:J759"/>
    <mergeCell ref="A760:E761"/>
    <mergeCell ref="F760:G761"/>
    <mergeCell ref="H760:J761"/>
    <mergeCell ref="A762:J763"/>
    <mergeCell ref="C765:F765"/>
    <mergeCell ref="C766:F766"/>
    <mergeCell ref="H766:I767"/>
    <mergeCell ref="C767:F767"/>
    <mergeCell ref="C768:F768"/>
    <mergeCell ref="B769:E769"/>
    <mergeCell ref="A770:E770"/>
    <mergeCell ref="F770:G770"/>
    <mergeCell ref="A771:E771"/>
    <mergeCell ref="A772:E772"/>
    <mergeCell ref="F772:G772"/>
    <mergeCell ref="H772:J772"/>
    <mergeCell ref="B773:E773"/>
    <mergeCell ref="F773:G773"/>
    <mergeCell ref="H773:J773"/>
    <mergeCell ref="B774:E774"/>
    <mergeCell ref="F774:G774"/>
    <mergeCell ref="H774:J774"/>
    <mergeCell ref="B775:E775"/>
    <mergeCell ref="F775:G775"/>
    <mergeCell ref="H775:J775"/>
    <mergeCell ref="F776:G776"/>
    <mergeCell ref="H776:J776"/>
    <mergeCell ref="F777:G777"/>
    <mergeCell ref="H777:J777"/>
    <mergeCell ref="F778:G778"/>
    <mergeCell ref="H778:J778"/>
    <mergeCell ref="F779:G779"/>
    <mergeCell ref="H779:J779"/>
    <mergeCell ref="F780:G780"/>
    <mergeCell ref="H780:J780"/>
    <mergeCell ref="F781:G781"/>
    <mergeCell ref="H781:J781"/>
    <mergeCell ref="F782:G782"/>
    <mergeCell ref="H782:J782"/>
    <mergeCell ref="E783:F783"/>
    <mergeCell ref="G783:I783"/>
    <mergeCell ref="H784:J784"/>
    <mergeCell ref="A785:E786"/>
    <mergeCell ref="F785:G786"/>
    <mergeCell ref="H785:J786"/>
    <mergeCell ref="A787:J788"/>
    <mergeCell ref="C790:F790"/>
    <mergeCell ref="C791:F791"/>
    <mergeCell ref="H791:I792"/>
    <mergeCell ref="C792:F792"/>
    <mergeCell ref="C793:F793"/>
    <mergeCell ref="B794:E794"/>
    <mergeCell ref="A795:E795"/>
    <mergeCell ref="F795:G795"/>
    <mergeCell ref="A796:E796"/>
    <mergeCell ref="A797:E797"/>
    <mergeCell ref="F797:G797"/>
    <mergeCell ref="H797:J797"/>
    <mergeCell ref="B798:E798"/>
    <mergeCell ref="F798:G798"/>
    <mergeCell ref="H798:J798"/>
    <mergeCell ref="B799:E799"/>
    <mergeCell ref="F799:G799"/>
    <mergeCell ref="H799:J799"/>
    <mergeCell ref="B800:E800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E808:F808"/>
    <mergeCell ref="G808:I808"/>
    <mergeCell ref="H809:J809"/>
    <mergeCell ref="A810:E811"/>
    <mergeCell ref="F810:G811"/>
    <mergeCell ref="H810:J811"/>
    <mergeCell ref="A812:J813"/>
    <mergeCell ref="C815:F815"/>
    <mergeCell ref="C816:F816"/>
    <mergeCell ref="H816:I817"/>
    <mergeCell ref="C817:F817"/>
    <mergeCell ref="C818:F818"/>
    <mergeCell ref="B819:E819"/>
    <mergeCell ref="A820:E820"/>
    <mergeCell ref="F820:G820"/>
    <mergeCell ref="A821:E821"/>
    <mergeCell ref="A822:E822"/>
    <mergeCell ref="F822:G822"/>
    <mergeCell ref="H822:J822"/>
    <mergeCell ref="B823:E823"/>
    <mergeCell ref="F823:G823"/>
    <mergeCell ref="H823:J823"/>
    <mergeCell ref="B824:E824"/>
    <mergeCell ref="F824:G824"/>
    <mergeCell ref="H824:J824"/>
    <mergeCell ref="B825:E825"/>
    <mergeCell ref="F825:G825"/>
    <mergeCell ref="H825:J825"/>
    <mergeCell ref="F826:G826"/>
    <mergeCell ref="H826:J826"/>
    <mergeCell ref="F827:G827"/>
    <mergeCell ref="H827:J827"/>
    <mergeCell ref="F828:G828"/>
    <mergeCell ref="H828:J828"/>
    <mergeCell ref="F829:G829"/>
    <mergeCell ref="H829:J829"/>
    <mergeCell ref="F830:G830"/>
    <mergeCell ref="H830:J830"/>
    <mergeCell ref="F831:G831"/>
    <mergeCell ref="H831:J831"/>
    <mergeCell ref="F832:G832"/>
    <mergeCell ref="H832:J832"/>
    <mergeCell ref="E833:F833"/>
    <mergeCell ref="G833:I833"/>
    <mergeCell ref="H834:J834"/>
    <mergeCell ref="A835:E836"/>
    <mergeCell ref="F835:G836"/>
    <mergeCell ref="H835:J836"/>
    <mergeCell ref="A837:J838"/>
    <mergeCell ref="C840:F840"/>
    <mergeCell ref="C841:F841"/>
    <mergeCell ref="H841:I842"/>
    <mergeCell ref="C842:F842"/>
    <mergeCell ref="C843:F843"/>
    <mergeCell ref="B844:E844"/>
    <mergeCell ref="A845:E845"/>
    <mergeCell ref="F845:G845"/>
    <mergeCell ref="A846:E846"/>
    <mergeCell ref="A847:E847"/>
    <mergeCell ref="F847:G847"/>
    <mergeCell ref="H847:J847"/>
    <mergeCell ref="B848:E848"/>
    <mergeCell ref="F848:G848"/>
    <mergeCell ref="H848:J848"/>
    <mergeCell ref="B849:E849"/>
    <mergeCell ref="F849:G849"/>
    <mergeCell ref="H849:J849"/>
    <mergeCell ref="B850:E850"/>
    <mergeCell ref="F850:G850"/>
    <mergeCell ref="H850:J850"/>
    <mergeCell ref="F851:G851"/>
    <mergeCell ref="H851:J851"/>
    <mergeCell ref="F852:G852"/>
    <mergeCell ref="H852:J852"/>
    <mergeCell ref="F853:G853"/>
    <mergeCell ref="H853:J853"/>
    <mergeCell ref="F854:G854"/>
    <mergeCell ref="H854:J854"/>
    <mergeCell ref="F855:G855"/>
    <mergeCell ref="H855:J855"/>
    <mergeCell ref="F856:G856"/>
    <mergeCell ref="H856:J856"/>
    <mergeCell ref="F857:G857"/>
    <mergeCell ref="H857:J857"/>
    <mergeCell ref="E858:F858"/>
    <mergeCell ref="G858:I858"/>
    <mergeCell ref="H859:J859"/>
    <mergeCell ref="A860:E861"/>
    <mergeCell ref="F860:G861"/>
    <mergeCell ref="H860:J861"/>
    <mergeCell ref="A862:J863"/>
    <mergeCell ref="C865:F865"/>
    <mergeCell ref="C866:F866"/>
    <mergeCell ref="H866:I867"/>
    <mergeCell ref="C867:F867"/>
    <mergeCell ref="C868:F868"/>
    <mergeCell ref="B869:E869"/>
    <mergeCell ref="A870:E870"/>
    <mergeCell ref="F870:G870"/>
    <mergeCell ref="A871:E871"/>
    <mergeCell ref="A872:E872"/>
    <mergeCell ref="F872:G872"/>
    <mergeCell ref="H872:J872"/>
    <mergeCell ref="B873:E873"/>
    <mergeCell ref="F873:G873"/>
    <mergeCell ref="H873:J873"/>
    <mergeCell ref="B874:E874"/>
    <mergeCell ref="F874:G874"/>
    <mergeCell ref="H874:J874"/>
    <mergeCell ref="B875:E875"/>
    <mergeCell ref="F875:G875"/>
    <mergeCell ref="H875:J875"/>
    <mergeCell ref="F876:G876"/>
    <mergeCell ref="H876:J876"/>
    <mergeCell ref="F877:G877"/>
    <mergeCell ref="H877:J877"/>
    <mergeCell ref="F878:G878"/>
    <mergeCell ref="H878:J878"/>
    <mergeCell ref="F879:G879"/>
    <mergeCell ref="H879:J879"/>
    <mergeCell ref="F880:G880"/>
    <mergeCell ref="H880:J880"/>
    <mergeCell ref="F881:G881"/>
    <mergeCell ref="H881:J881"/>
    <mergeCell ref="F882:G882"/>
    <mergeCell ref="H882:J882"/>
    <mergeCell ref="E883:F883"/>
    <mergeCell ref="G883:I883"/>
    <mergeCell ref="H884:J884"/>
    <mergeCell ref="A885:E886"/>
    <mergeCell ref="F885:G886"/>
    <mergeCell ref="H885:J886"/>
    <mergeCell ref="A887:J888"/>
    <mergeCell ref="C890:F890"/>
    <mergeCell ref="C891:F891"/>
    <mergeCell ref="H891:I892"/>
    <mergeCell ref="C892:F892"/>
    <mergeCell ref="C893:F893"/>
    <mergeCell ref="B894:E894"/>
    <mergeCell ref="A895:E895"/>
    <mergeCell ref="F895:G895"/>
    <mergeCell ref="A896:E896"/>
    <mergeCell ref="A897:E897"/>
    <mergeCell ref="F897:G897"/>
    <mergeCell ref="H897:J897"/>
    <mergeCell ref="B898:E898"/>
    <mergeCell ref="F898:G898"/>
    <mergeCell ref="H898:J898"/>
    <mergeCell ref="B899:E899"/>
    <mergeCell ref="F899:G899"/>
    <mergeCell ref="H899:J899"/>
    <mergeCell ref="B900:E900"/>
    <mergeCell ref="F900:G900"/>
    <mergeCell ref="H900:J900"/>
    <mergeCell ref="F901:G901"/>
    <mergeCell ref="H901:J901"/>
    <mergeCell ref="F902:G902"/>
    <mergeCell ref="H902:J902"/>
    <mergeCell ref="F903:G903"/>
    <mergeCell ref="H903:J903"/>
    <mergeCell ref="F904:G904"/>
    <mergeCell ref="H904:J904"/>
    <mergeCell ref="F905:G905"/>
    <mergeCell ref="H905:J905"/>
    <mergeCell ref="F906:G906"/>
    <mergeCell ref="H906:J906"/>
    <mergeCell ref="F907:G907"/>
    <mergeCell ref="H907:J907"/>
    <mergeCell ref="E908:F908"/>
    <mergeCell ref="G908:I908"/>
    <mergeCell ref="H909:J909"/>
    <mergeCell ref="A910:E911"/>
    <mergeCell ref="F910:G911"/>
    <mergeCell ref="H910:J911"/>
    <mergeCell ref="A912:J913"/>
    <mergeCell ref="C915:F915"/>
    <mergeCell ref="C916:F916"/>
    <mergeCell ref="H916:I917"/>
    <mergeCell ref="C917:F917"/>
    <mergeCell ref="C918:F918"/>
    <mergeCell ref="B919:E919"/>
    <mergeCell ref="A920:E920"/>
    <mergeCell ref="F920:G920"/>
    <mergeCell ref="A921:E921"/>
    <mergeCell ref="A922:E922"/>
    <mergeCell ref="F922:G922"/>
    <mergeCell ref="H922:J922"/>
    <mergeCell ref="B923:E923"/>
    <mergeCell ref="F923:G923"/>
    <mergeCell ref="H923:J923"/>
    <mergeCell ref="B924:E924"/>
    <mergeCell ref="F924:G924"/>
    <mergeCell ref="H924:J924"/>
    <mergeCell ref="B925:E925"/>
    <mergeCell ref="F925:G925"/>
    <mergeCell ref="H925:J925"/>
    <mergeCell ref="F926:G926"/>
    <mergeCell ref="H926:J926"/>
    <mergeCell ref="F927:G927"/>
    <mergeCell ref="H927:J927"/>
    <mergeCell ref="F928:G928"/>
    <mergeCell ref="H928:J928"/>
    <mergeCell ref="F929:G929"/>
    <mergeCell ref="H929:J929"/>
    <mergeCell ref="F930:G930"/>
    <mergeCell ref="H930:J930"/>
    <mergeCell ref="F931:G931"/>
    <mergeCell ref="H931:J931"/>
    <mergeCell ref="F932:G932"/>
    <mergeCell ref="H932:J932"/>
    <mergeCell ref="E933:F933"/>
    <mergeCell ref="G933:I933"/>
    <mergeCell ref="H934:J934"/>
    <mergeCell ref="A935:E936"/>
    <mergeCell ref="F935:G936"/>
    <mergeCell ref="H935:J936"/>
    <mergeCell ref="A937:J938"/>
    <mergeCell ref="C940:F940"/>
    <mergeCell ref="C941:F941"/>
    <mergeCell ref="H941:I942"/>
    <mergeCell ref="C942:F942"/>
    <mergeCell ref="C943:F943"/>
    <mergeCell ref="B944:E944"/>
    <mergeCell ref="A945:E945"/>
    <mergeCell ref="F945:G945"/>
    <mergeCell ref="A946:E946"/>
    <mergeCell ref="A947:E947"/>
    <mergeCell ref="F947:G947"/>
    <mergeCell ref="H947:J947"/>
    <mergeCell ref="B948:E948"/>
    <mergeCell ref="F948:G948"/>
    <mergeCell ref="H948:J948"/>
    <mergeCell ref="B949:E949"/>
    <mergeCell ref="F949:G949"/>
    <mergeCell ref="H949:J949"/>
    <mergeCell ref="B950:E950"/>
    <mergeCell ref="F950:G950"/>
    <mergeCell ref="H950:J950"/>
    <mergeCell ref="F951:G951"/>
    <mergeCell ref="H951:J951"/>
    <mergeCell ref="F952:G952"/>
    <mergeCell ref="H952:J952"/>
    <mergeCell ref="F953:G953"/>
    <mergeCell ref="H953:J953"/>
    <mergeCell ref="F954:G954"/>
    <mergeCell ref="H954:J954"/>
    <mergeCell ref="F955:G955"/>
    <mergeCell ref="H955:J955"/>
    <mergeCell ref="F956:G956"/>
    <mergeCell ref="H956:J956"/>
    <mergeCell ref="F957:G957"/>
    <mergeCell ref="H957:J957"/>
    <mergeCell ref="E958:F958"/>
    <mergeCell ref="G958:I958"/>
    <mergeCell ref="H959:J959"/>
    <mergeCell ref="A960:E961"/>
    <mergeCell ref="F960:G961"/>
    <mergeCell ref="H960:J961"/>
    <mergeCell ref="A962:J963"/>
    <mergeCell ref="C965:F965"/>
    <mergeCell ref="C966:F966"/>
    <mergeCell ref="H966:I967"/>
    <mergeCell ref="C967:F967"/>
    <mergeCell ref="C968:F968"/>
    <mergeCell ref="B969:E969"/>
    <mergeCell ref="A970:E970"/>
    <mergeCell ref="F970:G970"/>
    <mergeCell ref="A971:E971"/>
    <mergeCell ref="A972:E972"/>
    <mergeCell ref="F972:G972"/>
    <mergeCell ref="H972:J972"/>
    <mergeCell ref="B973:E973"/>
    <mergeCell ref="F973:G973"/>
    <mergeCell ref="H973:J973"/>
    <mergeCell ref="B974:E974"/>
    <mergeCell ref="F974:G974"/>
    <mergeCell ref="H974:J974"/>
    <mergeCell ref="B975:E975"/>
    <mergeCell ref="F975:G975"/>
    <mergeCell ref="H975:J975"/>
    <mergeCell ref="F976:G976"/>
    <mergeCell ref="H976:J976"/>
    <mergeCell ref="F977:G977"/>
    <mergeCell ref="H977:J977"/>
    <mergeCell ref="F978:G978"/>
    <mergeCell ref="H978:J978"/>
    <mergeCell ref="F979:G979"/>
    <mergeCell ref="H979:J979"/>
    <mergeCell ref="F980:G980"/>
    <mergeCell ref="H980:J980"/>
    <mergeCell ref="F981:G981"/>
    <mergeCell ref="H981:J981"/>
    <mergeCell ref="F982:G982"/>
    <mergeCell ref="H982:J982"/>
    <mergeCell ref="E983:F983"/>
    <mergeCell ref="G983:I983"/>
    <mergeCell ref="H984:J984"/>
    <mergeCell ref="A985:E986"/>
    <mergeCell ref="F985:G986"/>
    <mergeCell ref="H985:J986"/>
    <mergeCell ref="A987:J988"/>
    <mergeCell ref="C990:F990"/>
    <mergeCell ref="C991:F991"/>
    <mergeCell ref="H991:I992"/>
    <mergeCell ref="C992:F992"/>
    <mergeCell ref="C993:F993"/>
    <mergeCell ref="B994:E994"/>
    <mergeCell ref="A995:E995"/>
    <mergeCell ref="F995:G995"/>
    <mergeCell ref="A996:E996"/>
    <mergeCell ref="A997:E997"/>
    <mergeCell ref="F997:G997"/>
    <mergeCell ref="H997:J997"/>
    <mergeCell ref="B998:E998"/>
    <mergeCell ref="F998:G998"/>
    <mergeCell ref="H998:J998"/>
    <mergeCell ref="B999:E999"/>
    <mergeCell ref="F999:G999"/>
    <mergeCell ref="H999:J999"/>
    <mergeCell ref="B1000:E1000"/>
    <mergeCell ref="F1000:G1000"/>
    <mergeCell ref="H1000:J1000"/>
    <mergeCell ref="F1001:G1001"/>
    <mergeCell ref="H1001:J1001"/>
    <mergeCell ref="F1002:G1002"/>
    <mergeCell ref="H1002:J1002"/>
    <mergeCell ref="F1003:G1003"/>
    <mergeCell ref="H1003:J1003"/>
    <mergeCell ref="F1004:G1004"/>
    <mergeCell ref="H1004:J1004"/>
    <mergeCell ref="F1005:G1005"/>
    <mergeCell ref="H1005:J1005"/>
    <mergeCell ref="F1006:G1006"/>
    <mergeCell ref="H1006:J1006"/>
    <mergeCell ref="F1007:G1007"/>
    <mergeCell ref="H1007:J1007"/>
    <mergeCell ref="E1008:F1008"/>
    <mergeCell ref="G1008:I1008"/>
    <mergeCell ref="H1009:J1009"/>
    <mergeCell ref="A1010:E1011"/>
    <mergeCell ref="F1010:G1011"/>
    <mergeCell ref="H1010:J1011"/>
    <mergeCell ref="A1012:J1013"/>
    <mergeCell ref="C1015:F1015"/>
    <mergeCell ref="C1016:F1016"/>
    <mergeCell ref="H1016:I1017"/>
    <mergeCell ref="C1017:F1017"/>
    <mergeCell ref="C1018:F1018"/>
    <mergeCell ref="B1019:E1019"/>
    <mergeCell ref="A1020:E1020"/>
    <mergeCell ref="F1020:G1020"/>
    <mergeCell ref="A1021:E1021"/>
    <mergeCell ref="A1022:E1022"/>
    <mergeCell ref="F1022:G1022"/>
    <mergeCell ref="H1022:J1022"/>
    <mergeCell ref="F1030:G1030"/>
    <mergeCell ref="H1030:J1030"/>
    <mergeCell ref="F1031:G1031"/>
    <mergeCell ref="H1031:J1031"/>
    <mergeCell ref="F1032:G1032"/>
    <mergeCell ref="H1032:J1032"/>
    <mergeCell ref="E1033:F1033"/>
    <mergeCell ref="G1033:I1033"/>
    <mergeCell ref="H1034:J1034"/>
    <mergeCell ref="A1035:E1036"/>
    <mergeCell ref="F1035:G1036"/>
    <mergeCell ref="H1035:J1036"/>
    <mergeCell ref="A1037:J1038"/>
    <mergeCell ref="B1023:E1023"/>
    <mergeCell ref="F1023:G1023"/>
    <mergeCell ref="H1023:J1023"/>
    <mergeCell ref="B1024:E1024"/>
    <mergeCell ref="F1024:G1024"/>
    <mergeCell ref="H1024:J1024"/>
    <mergeCell ref="B1025:E1025"/>
    <mergeCell ref="F1025:G1025"/>
    <mergeCell ref="H1025:J1025"/>
    <mergeCell ref="F1026:G1026"/>
    <mergeCell ref="H1026:J1026"/>
    <mergeCell ref="F1027:G1027"/>
    <mergeCell ref="H1027:J1027"/>
    <mergeCell ref="F1028:G1028"/>
    <mergeCell ref="H1028:J1028"/>
    <mergeCell ref="F1029:G1029"/>
    <mergeCell ref="H1029:J1029"/>
    <mergeCell ref="C1040:F1040"/>
    <mergeCell ref="C1041:F1041"/>
    <mergeCell ref="H1041:I1042"/>
    <mergeCell ref="C1042:F1042"/>
    <mergeCell ref="C1043:F1043"/>
    <mergeCell ref="B1044:E1044"/>
    <mergeCell ref="A1045:E1045"/>
    <mergeCell ref="F1045:G1045"/>
    <mergeCell ref="A1046:E1046"/>
    <mergeCell ref="A1047:E1047"/>
    <mergeCell ref="F1047:G1047"/>
    <mergeCell ref="H1047:J1047"/>
    <mergeCell ref="B1048:E1048"/>
    <mergeCell ref="F1048:G1048"/>
    <mergeCell ref="H1048:J1048"/>
    <mergeCell ref="B1049:E1049"/>
    <mergeCell ref="F1049:G1049"/>
    <mergeCell ref="H1049:J1049"/>
    <mergeCell ref="B1050:E1050"/>
    <mergeCell ref="F1050:G1050"/>
    <mergeCell ref="H1050:J1050"/>
    <mergeCell ref="F1051:G1051"/>
    <mergeCell ref="H1051:J1051"/>
    <mergeCell ref="F1052:G1052"/>
    <mergeCell ref="H1052:J1052"/>
    <mergeCell ref="F1053:G1053"/>
    <mergeCell ref="H1053:J1053"/>
    <mergeCell ref="F1054:G1054"/>
    <mergeCell ref="H1054:J1054"/>
    <mergeCell ref="F1055:G1055"/>
    <mergeCell ref="H1055:J1055"/>
    <mergeCell ref="F1056:G1056"/>
    <mergeCell ref="H1056:J1056"/>
    <mergeCell ref="F1057:G1057"/>
    <mergeCell ref="H1057:J1057"/>
    <mergeCell ref="E1058:F1058"/>
    <mergeCell ref="G1058:I1058"/>
    <mergeCell ref="H1059:J1059"/>
    <mergeCell ref="A1060:E1061"/>
    <mergeCell ref="F1060:G1061"/>
    <mergeCell ref="H1060:J1061"/>
    <mergeCell ref="A1062:J1063"/>
    <mergeCell ref="C1065:F1065"/>
    <mergeCell ref="C1066:F1066"/>
    <mergeCell ref="H1066:I1067"/>
    <mergeCell ref="C1067:F1067"/>
    <mergeCell ref="C1068:F1068"/>
    <mergeCell ref="B1069:E1069"/>
    <mergeCell ref="A1070:E1070"/>
    <mergeCell ref="F1070:G1070"/>
    <mergeCell ref="A1071:E1071"/>
    <mergeCell ref="A1072:E1072"/>
    <mergeCell ref="F1072:G1072"/>
    <mergeCell ref="H1072:J1072"/>
    <mergeCell ref="F1080:G1080"/>
    <mergeCell ref="H1080:J1080"/>
    <mergeCell ref="F1081:G1081"/>
    <mergeCell ref="H1081:J1081"/>
    <mergeCell ref="F1082:G1082"/>
    <mergeCell ref="H1082:J1082"/>
    <mergeCell ref="E1083:F1083"/>
    <mergeCell ref="G1083:I1083"/>
    <mergeCell ref="H1084:J1084"/>
    <mergeCell ref="A1085:E1086"/>
    <mergeCell ref="F1085:G1086"/>
    <mergeCell ref="H1085:J1086"/>
    <mergeCell ref="A1087:J1088"/>
    <mergeCell ref="B1073:E1073"/>
    <mergeCell ref="F1073:G1073"/>
    <mergeCell ref="H1073:J1073"/>
    <mergeCell ref="B1074:E1074"/>
    <mergeCell ref="F1074:G1074"/>
    <mergeCell ref="H1074:J1074"/>
    <mergeCell ref="B1075:E1075"/>
    <mergeCell ref="F1075:G1075"/>
    <mergeCell ref="H1075:J1075"/>
    <mergeCell ref="F1076:G1076"/>
    <mergeCell ref="H1076:J1076"/>
    <mergeCell ref="F1077:G1077"/>
    <mergeCell ref="H1077:J1077"/>
    <mergeCell ref="F1078:G1078"/>
    <mergeCell ref="H1078:J1078"/>
    <mergeCell ref="F1079:G1079"/>
    <mergeCell ref="H1079:J1079"/>
    <mergeCell ref="F1109:G1109"/>
    <mergeCell ref="H1109:J1109"/>
    <mergeCell ref="C1092:F1092"/>
    <mergeCell ref="C1093:F1093"/>
    <mergeCell ref="H1093:I1094"/>
    <mergeCell ref="C1094:F1094"/>
    <mergeCell ref="C1095:F1095"/>
    <mergeCell ref="B1096:E1096"/>
    <mergeCell ref="A1097:E1097"/>
    <mergeCell ref="F1097:G1097"/>
    <mergeCell ref="A1098:E1098"/>
    <mergeCell ref="A1099:E1099"/>
    <mergeCell ref="F1099:G1099"/>
    <mergeCell ref="H1099:J1099"/>
    <mergeCell ref="B1100:E1100"/>
    <mergeCell ref="F1100:G1100"/>
    <mergeCell ref="H1100:J1100"/>
    <mergeCell ref="B1101:E1101"/>
    <mergeCell ref="F1101:G1101"/>
    <mergeCell ref="H1101:J1101"/>
    <mergeCell ref="E1110:F1110"/>
    <mergeCell ref="G1110:I1110"/>
    <mergeCell ref="H1111:J1111"/>
    <mergeCell ref="A1112:E1113"/>
    <mergeCell ref="F1112:G1113"/>
    <mergeCell ref="H1112:J1113"/>
    <mergeCell ref="A1114:J1115"/>
    <mergeCell ref="H1098:J1098"/>
    <mergeCell ref="F1098:G1098"/>
    <mergeCell ref="C1117:F1117"/>
    <mergeCell ref="C1118:F1118"/>
    <mergeCell ref="H1118:I1119"/>
    <mergeCell ref="C1119:F1119"/>
    <mergeCell ref="C1120:F1120"/>
    <mergeCell ref="B1121:E1121"/>
    <mergeCell ref="A1122:E1122"/>
    <mergeCell ref="F1122:G1122"/>
    <mergeCell ref="B1102:E1102"/>
    <mergeCell ref="F1102:G1102"/>
    <mergeCell ref="H1102:J1102"/>
    <mergeCell ref="F1103:G1103"/>
    <mergeCell ref="H1103:J1103"/>
    <mergeCell ref="F1104:G1104"/>
    <mergeCell ref="H1104:J1104"/>
    <mergeCell ref="F1105:G1105"/>
    <mergeCell ref="H1105:J1105"/>
    <mergeCell ref="F1106:G1106"/>
    <mergeCell ref="H1106:J1106"/>
    <mergeCell ref="F1107:G1107"/>
    <mergeCell ref="H1107:J1107"/>
    <mergeCell ref="F1108:G1108"/>
    <mergeCell ref="H1108:J1108"/>
    <mergeCell ref="A1123:E1123"/>
    <mergeCell ref="F1123:G1123"/>
    <mergeCell ref="H1123:J1123"/>
    <mergeCell ref="A1124:E1124"/>
    <mergeCell ref="F1124:G1124"/>
    <mergeCell ref="H1124:J1124"/>
    <mergeCell ref="B1125:E1125"/>
    <mergeCell ref="F1125:G1125"/>
    <mergeCell ref="H1125:J1125"/>
    <mergeCell ref="B1126:E1126"/>
    <mergeCell ref="F1126:G1126"/>
    <mergeCell ref="H1126:J1126"/>
    <mergeCell ref="B1127:E1127"/>
    <mergeCell ref="F1127:G1127"/>
    <mergeCell ref="H1127:J1127"/>
    <mergeCell ref="F1128:G1128"/>
    <mergeCell ref="H1128:J1128"/>
    <mergeCell ref="F1129:G1129"/>
    <mergeCell ref="H1129:J1129"/>
    <mergeCell ref="F1130:G1130"/>
    <mergeCell ref="H1130:J1130"/>
    <mergeCell ref="F1131:G1131"/>
    <mergeCell ref="H1131:J1131"/>
    <mergeCell ref="F1132:G1132"/>
    <mergeCell ref="H1132:J1132"/>
    <mergeCell ref="F1133:G1133"/>
    <mergeCell ref="H1133:J1133"/>
    <mergeCell ref="F1134:G1134"/>
    <mergeCell ref="H1134:J1134"/>
    <mergeCell ref="E1135:F1135"/>
    <mergeCell ref="G1135:I1135"/>
    <mergeCell ref="H1136:J1136"/>
    <mergeCell ref="A1137:E1138"/>
    <mergeCell ref="F1137:G1138"/>
    <mergeCell ref="H1137:J1138"/>
    <mergeCell ref="A1139:J1140"/>
    <mergeCell ref="C1142:F1142"/>
    <mergeCell ref="C1143:F1143"/>
    <mergeCell ref="H1143:I1144"/>
    <mergeCell ref="C1144:F1144"/>
    <mergeCell ref="C1145:F1145"/>
    <mergeCell ref="B1146:E1146"/>
    <mergeCell ref="A1147:E1147"/>
    <mergeCell ref="F1147:G1147"/>
    <mergeCell ref="A1148:E1148"/>
    <mergeCell ref="F1148:G1148"/>
    <mergeCell ref="H1148:J1148"/>
    <mergeCell ref="A1149:E1149"/>
    <mergeCell ref="F1149:G1149"/>
    <mergeCell ref="H1149:J1149"/>
    <mergeCell ref="B1150:E1150"/>
    <mergeCell ref="F1150:G1150"/>
    <mergeCell ref="H1150:J1150"/>
    <mergeCell ref="F1159:G1159"/>
    <mergeCell ref="H1159:J1159"/>
    <mergeCell ref="E1160:F1160"/>
    <mergeCell ref="G1160:I1160"/>
    <mergeCell ref="H1161:J1161"/>
    <mergeCell ref="A1162:E1163"/>
    <mergeCell ref="F1162:G1163"/>
    <mergeCell ref="H1162:J1163"/>
    <mergeCell ref="A1164:J1165"/>
    <mergeCell ref="B1151:E1151"/>
    <mergeCell ref="F1151:G1151"/>
    <mergeCell ref="H1151:J1151"/>
    <mergeCell ref="B1152:E1152"/>
    <mergeCell ref="F1152:G1152"/>
    <mergeCell ref="H1152:J1152"/>
    <mergeCell ref="F1153:G1153"/>
    <mergeCell ref="H1153:J1153"/>
    <mergeCell ref="F1154:G1154"/>
    <mergeCell ref="H1154:J1154"/>
    <mergeCell ref="F1155:G1155"/>
    <mergeCell ref="H1155:J1155"/>
    <mergeCell ref="F1156:G1156"/>
    <mergeCell ref="H1156:J1156"/>
    <mergeCell ref="F1157:G1157"/>
    <mergeCell ref="H1157:J1157"/>
    <mergeCell ref="F1158:G1158"/>
    <mergeCell ref="H1158:J1158"/>
  </mergeCells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Interna Poblado</dc:creator>
  <cp:keywords/>
  <dc:description/>
  <cp:lastModifiedBy>Administración Rionegro</cp:lastModifiedBy>
  <cp:revision/>
  <dcterms:created xsi:type="dcterms:W3CDTF">2021-01-06T15:49:26Z</dcterms:created>
  <dcterms:modified xsi:type="dcterms:W3CDTF">2022-12-01T18:01:02Z</dcterms:modified>
  <cp:category/>
  <cp:contentStatus/>
</cp:coreProperties>
</file>