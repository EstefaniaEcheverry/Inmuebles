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db1\AC\Temp\"/>
    </mc:Choice>
  </mc:AlternateContent>
  <xr:revisionPtr revIDLastSave="27215" documentId="8_{8F75536B-9B75-4F55-B7C4-0BAD53A63055}" xr6:coauthVersionLast="47" xr6:coauthVersionMax="47" xr10:uidLastSave="{4278E5B9-5B16-4F08-AB88-80DE91BF7F3A}"/>
  <bookViews>
    <workbookView xWindow="-60" yWindow="-60" windowWidth="15480" windowHeight="11640" tabRatio="500" xr2:uid="{00000000-000D-0000-FFFF-FFFF00000000}"/>
  </bookViews>
  <sheets>
    <sheet name="INFORME EXTERNOS 2022" sheetId="1" r:id="rId1"/>
    <sheet name="INFORME INTERNAS Y ADMON 2022" sheetId="2" r:id="rId2"/>
    <sheet name="CAPTACIONES" sheetId="3" r:id="rId3"/>
    <sheet name="Hoja2" sheetId="5" r:id="rId4"/>
  </sheets>
  <calcPr calcId="191028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19" i="1" l="1"/>
  <c r="D1102" i="2"/>
  <c r="G833" i="1"/>
  <c r="G834" i="1"/>
  <c r="G835" i="1"/>
  <c r="G836" i="1"/>
  <c r="G837" i="1"/>
  <c r="G838" i="1"/>
  <c r="G832" i="1"/>
  <c r="G839" i="1" s="1"/>
  <c r="D935" i="1"/>
  <c r="G930" i="1"/>
  <c r="E930" i="1"/>
  <c r="M927" i="1"/>
  <c r="M930" i="1" s="1"/>
  <c r="G918" i="1"/>
  <c r="E918" i="1"/>
  <c r="M915" i="1"/>
  <c r="M918" i="1" s="1"/>
  <c r="G906" i="1"/>
  <c r="E906" i="1"/>
  <c r="M903" i="1"/>
  <c r="M906" i="1" s="1"/>
  <c r="G894" i="1"/>
  <c r="E894" i="1"/>
  <c r="M891" i="1"/>
  <c r="M894" i="1" s="1"/>
  <c r="E882" i="1"/>
  <c r="M879" i="1"/>
  <c r="G882" i="1"/>
  <c r="F1053" i="2"/>
  <c r="F1054" i="2"/>
  <c r="F1055" i="2"/>
  <c r="F1056" i="2"/>
  <c r="F1057" i="2"/>
  <c r="F1058" i="2"/>
  <c r="F1059" i="2"/>
  <c r="F1052" i="2"/>
  <c r="K863" i="1"/>
  <c r="M862" i="1"/>
  <c r="M861" i="1"/>
  <c r="M859" i="1"/>
  <c r="M858" i="1"/>
  <c r="M857" i="1"/>
  <c r="M856" i="1"/>
  <c r="M855" i="1"/>
  <c r="M854" i="1"/>
  <c r="M853" i="1"/>
  <c r="M863" i="1" s="1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08" i="2"/>
  <c r="F1009" i="2"/>
  <c r="F1010" i="2"/>
  <c r="F1011" i="2"/>
  <c r="F1012" i="2"/>
  <c r="F1013" i="2"/>
  <c r="F1014" i="2"/>
  <c r="F1015" i="2"/>
  <c r="F1016" i="2"/>
  <c r="F1017" i="2"/>
  <c r="F1018" i="2"/>
  <c r="F1007" i="2"/>
  <c r="F1023" i="2" s="1"/>
  <c r="F1065" i="2"/>
  <c r="F1096" i="2" s="1"/>
  <c r="D1096" i="2"/>
  <c r="M842" i="1"/>
  <c r="M847" i="1" s="1"/>
  <c r="G843" i="1"/>
  <c r="G844" i="1"/>
  <c r="G842" i="1"/>
  <c r="M820" i="1"/>
  <c r="M821" i="1"/>
  <c r="M818" i="1"/>
  <c r="M825" i="1" s="1"/>
  <c r="G819" i="1"/>
  <c r="G820" i="1"/>
  <c r="G821" i="1"/>
  <c r="G822" i="1"/>
  <c r="G823" i="1"/>
  <c r="G824" i="1"/>
  <c r="G825" i="1"/>
  <c r="G826" i="1"/>
  <c r="G827" i="1"/>
  <c r="G818" i="1"/>
  <c r="G829" i="1" s="1"/>
  <c r="M801" i="1"/>
  <c r="M813" i="1" s="1"/>
  <c r="G802" i="1"/>
  <c r="G803" i="1"/>
  <c r="G804" i="1"/>
  <c r="G812" i="1"/>
  <c r="G813" i="1"/>
  <c r="G805" i="1"/>
  <c r="G806" i="1"/>
  <c r="G807" i="1"/>
  <c r="G808" i="1"/>
  <c r="G809" i="1"/>
  <c r="G810" i="1"/>
  <c r="G811" i="1"/>
  <c r="G801" i="1"/>
  <c r="G815" i="1" s="1"/>
  <c r="M815" i="1" s="1"/>
  <c r="D1023" i="2"/>
  <c r="E863" i="1"/>
  <c r="E850" i="1"/>
  <c r="E839" i="1"/>
  <c r="E829" i="1"/>
  <c r="E815" i="1"/>
  <c r="J1115" i="3"/>
  <c r="J1177" i="3"/>
  <c r="F1033" i="2"/>
  <c r="F1034" i="2"/>
  <c r="F1035" i="2"/>
  <c r="F1036" i="2"/>
  <c r="F1037" i="2"/>
  <c r="F1038" i="2"/>
  <c r="F1039" i="2"/>
  <c r="F1040" i="2"/>
  <c r="F1041" i="2"/>
  <c r="F1042" i="2"/>
  <c r="F1043" i="2"/>
  <c r="F1032" i="2"/>
  <c r="F1049" i="2" s="1"/>
  <c r="D1049" i="2"/>
  <c r="D1062" i="2"/>
  <c r="J1165" i="3"/>
  <c r="J1135" i="3"/>
  <c r="J1153" i="3"/>
  <c r="C12" i="5"/>
  <c r="D997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61" i="2"/>
  <c r="F997" i="2" s="1"/>
  <c r="F936" i="2"/>
  <c r="F937" i="2"/>
  <c r="F938" i="2"/>
  <c r="F939" i="2"/>
  <c r="F940" i="2"/>
  <c r="F941" i="2"/>
  <c r="F942" i="2"/>
  <c r="F943" i="2"/>
  <c r="F935" i="2"/>
  <c r="F949" i="2" s="1"/>
  <c r="F918" i="2"/>
  <c r="F919" i="2"/>
  <c r="F920" i="2"/>
  <c r="F921" i="2"/>
  <c r="F922" i="2"/>
  <c r="F923" i="2"/>
  <c r="F924" i="2"/>
  <c r="F925" i="2"/>
  <c r="F926" i="2"/>
  <c r="F927" i="2"/>
  <c r="F917" i="2"/>
  <c r="F932" i="2" s="1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886" i="2"/>
  <c r="F914" i="2" s="1"/>
  <c r="G782" i="1"/>
  <c r="M783" i="1"/>
  <c r="M784" i="1"/>
  <c r="M785" i="1"/>
  <c r="M786" i="1"/>
  <c r="M787" i="1"/>
  <c r="M788" i="1"/>
  <c r="M782" i="1"/>
  <c r="M789" i="1" s="1"/>
  <c r="G771" i="1"/>
  <c r="G772" i="1"/>
  <c r="G773" i="1"/>
  <c r="G774" i="1"/>
  <c r="G775" i="1"/>
  <c r="G770" i="1"/>
  <c r="M730" i="1"/>
  <c r="M729" i="1"/>
  <c r="M741" i="1"/>
  <c r="M742" i="1"/>
  <c r="M743" i="1"/>
  <c r="M744" i="1"/>
  <c r="M740" i="1"/>
  <c r="M746" i="1" s="1"/>
  <c r="M728" i="1"/>
  <c r="M735" i="1" s="1"/>
  <c r="G729" i="1"/>
  <c r="G730" i="1"/>
  <c r="G731" i="1"/>
  <c r="G732" i="1"/>
  <c r="G733" i="1"/>
  <c r="G734" i="1"/>
  <c r="G735" i="1"/>
  <c r="G728" i="1"/>
  <c r="G750" i="1"/>
  <c r="G756" i="1"/>
  <c r="G757" i="1"/>
  <c r="G758" i="1"/>
  <c r="G759" i="1"/>
  <c r="G760" i="1"/>
  <c r="G761" i="1"/>
  <c r="G762" i="1"/>
  <c r="G763" i="1"/>
  <c r="G764" i="1"/>
  <c r="G755" i="1"/>
  <c r="J1016" i="3"/>
  <c r="G746" i="1"/>
  <c r="F952" i="2"/>
  <c r="D914" i="2"/>
  <c r="G741" i="1"/>
  <c r="G742" i="1"/>
  <c r="G743" i="1"/>
  <c r="G744" i="1"/>
  <c r="G745" i="1"/>
  <c r="G747" i="1"/>
  <c r="G748" i="1"/>
  <c r="G749" i="1"/>
  <c r="G740" i="1"/>
  <c r="G752" i="1" s="1"/>
  <c r="M752" i="1" s="1"/>
  <c r="J1060" i="3"/>
  <c r="E779" i="1"/>
  <c r="E767" i="1"/>
  <c r="J1080" i="3"/>
  <c r="J1070" i="3"/>
  <c r="J1043" i="3"/>
  <c r="D932" i="2"/>
  <c r="D949" i="2"/>
  <c r="E752" i="1"/>
  <c r="E737" i="1"/>
  <c r="G791" i="1"/>
  <c r="M791" i="1" s="1"/>
  <c r="E791" i="1"/>
  <c r="G779" i="1"/>
  <c r="G767" i="1"/>
  <c r="G737" i="1"/>
  <c r="M737" i="1" s="1"/>
  <c r="F853" i="2"/>
  <c r="F854" i="2"/>
  <c r="F871" i="2"/>
  <c r="F808" i="2"/>
  <c r="K719" i="1"/>
  <c r="G686" i="1"/>
  <c r="N716" i="1"/>
  <c r="N715" i="1"/>
  <c r="M658" i="1"/>
  <c r="M670" i="1" s="1"/>
  <c r="G692" i="1"/>
  <c r="D881" i="2"/>
  <c r="F850" i="2"/>
  <c r="F851" i="2"/>
  <c r="F852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2" i="2"/>
  <c r="F873" i="2"/>
  <c r="F874" i="2"/>
  <c r="F875" i="2"/>
  <c r="F876" i="2"/>
  <c r="F877" i="2"/>
  <c r="F878" i="2"/>
  <c r="F879" i="2"/>
  <c r="F880" i="2"/>
  <c r="F849" i="2"/>
  <c r="F823" i="2"/>
  <c r="F824" i="2"/>
  <c r="F825" i="2"/>
  <c r="F826" i="2"/>
  <c r="F827" i="2"/>
  <c r="F828" i="2"/>
  <c r="F829" i="2"/>
  <c r="F822" i="2"/>
  <c r="F835" i="2" s="1"/>
  <c r="F800" i="2"/>
  <c r="F801" i="2"/>
  <c r="F802" i="2"/>
  <c r="F803" i="2"/>
  <c r="F804" i="2"/>
  <c r="F805" i="2"/>
  <c r="F806" i="2"/>
  <c r="F807" i="2"/>
  <c r="F799" i="2"/>
  <c r="F812" i="2" s="1"/>
  <c r="D812" i="2"/>
  <c r="F789" i="2"/>
  <c r="F790" i="2"/>
  <c r="F778" i="2"/>
  <c r="F779" i="2"/>
  <c r="F780" i="2"/>
  <c r="F781" i="2"/>
  <c r="F782" i="2"/>
  <c r="F783" i="2"/>
  <c r="F784" i="2"/>
  <c r="F785" i="2"/>
  <c r="F786" i="2"/>
  <c r="F787" i="2"/>
  <c r="F788" i="2"/>
  <c r="F777" i="2"/>
  <c r="G719" i="1"/>
  <c r="E719" i="1"/>
  <c r="G697" i="1"/>
  <c r="M691" i="1"/>
  <c r="M690" i="1"/>
  <c r="M696" i="1" s="1"/>
  <c r="G699" i="1"/>
  <c r="G691" i="1"/>
  <c r="G693" i="1"/>
  <c r="G694" i="1"/>
  <c r="G695" i="1"/>
  <c r="G696" i="1"/>
  <c r="G690" i="1"/>
  <c r="G700" i="1" s="1"/>
  <c r="M700" i="1" s="1"/>
  <c r="E687" i="1"/>
  <c r="G677" i="1"/>
  <c r="G678" i="1"/>
  <c r="G679" i="1"/>
  <c r="G680" i="1"/>
  <c r="G681" i="1"/>
  <c r="G682" i="1"/>
  <c r="G683" i="1"/>
  <c r="G684" i="1"/>
  <c r="G685" i="1"/>
  <c r="G676" i="1"/>
  <c r="G687" i="1" s="1"/>
  <c r="D796" i="2"/>
  <c r="G659" i="1"/>
  <c r="G660" i="1"/>
  <c r="G661" i="1"/>
  <c r="G662" i="1"/>
  <c r="G663" i="1"/>
  <c r="G664" i="1"/>
  <c r="G665" i="1"/>
  <c r="G666" i="1"/>
  <c r="G670" i="1"/>
  <c r="G667" i="1"/>
  <c r="G668" i="1"/>
  <c r="G669" i="1"/>
  <c r="G658" i="1"/>
  <c r="G672" i="1" s="1"/>
  <c r="M672" i="1" s="1"/>
  <c r="D819" i="2"/>
  <c r="J921" i="3"/>
  <c r="J955" i="3"/>
  <c r="D835" i="2"/>
  <c r="D846" i="2"/>
  <c r="E672" i="1"/>
  <c r="J970" i="3"/>
  <c r="J927" i="3"/>
  <c r="J949" i="3"/>
  <c r="J895" i="3"/>
  <c r="E700" i="1"/>
  <c r="G709" i="1"/>
  <c r="E709" i="1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28" i="2"/>
  <c r="F771" i="2" s="1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07" i="2"/>
  <c r="F723" i="2" s="1"/>
  <c r="F693" i="2"/>
  <c r="F694" i="2"/>
  <c r="F695" i="2"/>
  <c r="F696" i="2"/>
  <c r="F697" i="2"/>
  <c r="F698" i="2"/>
  <c r="F699" i="2"/>
  <c r="F700" i="2"/>
  <c r="F701" i="2"/>
  <c r="F702" i="2"/>
  <c r="F703" i="2"/>
  <c r="F692" i="2"/>
  <c r="F704" i="2" s="1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70" i="2"/>
  <c r="E590" i="1"/>
  <c r="E625" i="1"/>
  <c r="M616" i="1"/>
  <c r="M617" i="1"/>
  <c r="M615" i="1"/>
  <c r="M614" i="1"/>
  <c r="G615" i="1"/>
  <c r="G616" i="1"/>
  <c r="G617" i="1"/>
  <c r="G618" i="1"/>
  <c r="G619" i="1"/>
  <c r="G620" i="1"/>
  <c r="G621" i="1"/>
  <c r="G622" i="1"/>
  <c r="G614" i="1"/>
  <c r="G625" i="1" s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593" i="1"/>
  <c r="E610" i="1"/>
  <c r="G610" i="1"/>
  <c r="M575" i="1"/>
  <c r="M574" i="1"/>
  <c r="M588" i="1" s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74" i="1"/>
  <c r="D771" i="2"/>
  <c r="J860" i="3"/>
  <c r="J805" i="3"/>
  <c r="G630" i="1"/>
  <c r="G631" i="1"/>
  <c r="G629" i="1"/>
  <c r="G635" i="1" s="1"/>
  <c r="M594" i="1"/>
  <c r="M595" i="1"/>
  <c r="M593" i="1"/>
  <c r="M608" i="1" s="1"/>
  <c r="J887" i="3"/>
  <c r="D723" i="2"/>
  <c r="D704" i="2"/>
  <c r="D689" i="2"/>
  <c r="D773" i="2" s="1"/>
  <c r="E645" i="1"/>
  <c r="E635" i="1"/>
  <c r="J871" i="3"/>
  <c r="N722" i="2"/>
  <c r="G557" i="1"/>
  <c r="G558" i="1"/>
  <c r="G556" i="1"/>
  <c r="G563" i="1" s="1"/>
  <c r="F614" i="2"/>
  <c r="F615" i="2"/>
  <c r="F616" i="2"/>
  <c r="F617" i="2"/>
  <c r="F618" i="2"/>
  <c r="F619" i="2"/>
  <c r="F620" i="2"/>
  <c r="F621" i="2"/>
  <c r="F622" i="2"/>
  <c r="F623" i="2"/>
  <c r="F624" i="2"/>
  <c r="F625" i="2"/>
  <c r="F613" i="2"/>
  <c r="F627" i="2" s="1"/>
  <c r="F598" i="2"/>
  <c r="F599" i="2"/>
  <c r="F600" i="2"/>
  <c r="F601" i="2"/>
  <c r="F602" i="2"/>
  <c r="F603" i="2"/>
  <c r="F604" i="2"/>
  <c r="F605" i="2"/>
  <c r="F606" i="2"/>
  <c r="F607" i="2"/>
  <c r="F608" i="2"/>
  <c r="F609" i="2"/>
  <c r="F597" i="2"/>
  <c r="F587" i="2"/>
  <c r="F588" i="2"/>
  <c r="F589" i="2"/>
  <c r="F590" i="2"/>
  <c r="F591" i="2"/>
  <c r="F586" i="2"/>
  <c r="F593" i="2" s="1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32" i="2"/>
  <c r="F664" i="2" s="1"/>
  <c r="G541" i="1"/>
  <c r="G542" i="1"/>
  <c r="G543" i="1"/>
  <c r="G544" i="1"/>
  <c r="G545" i="1"/>
  <c r="G546" i="1"/>
  <c r="G547" i="1"/>
  <c r="G548" i="1"/>
  <c r="G549" i="1"/>
  <c r="G550" i="1"/>
  <c r="G551" i="1"/>
  <c r="G540" i="1"/>
  <c r="G553" i="1" s="1"/>
  <c r="M541" i="1"/>
  <c r="M540" i="1"/>
  <c r="M545" i="1" s="1"/>
  <c r="G522" i="1"/>
  <c r="G521" i="1"/>
  <c r="G520" i="1"/>
  <c r="G519" i="1"/>
  <c r="G518" i="1"/>
  <c r="G517" i="1"/>
  <c r="D664" i="2"/>
  <c r="M518" i="1"/>
  <c r="M519" i="1"/>
  <c r="M520" i="1"/>
  <c r="M521" i="1"/>
  <c r="M517" i="1"/>
  <c r="M522" i="1" s="1"/>
  <c r="G523" i="1"/>
  <c r="M523" i="1" s="1"/>
  <c r="M527" i="1"/>
  <c r="M528" i="1"/>
  <c r="M526" i="1"/>
  <c r="M535" i="1" s="1"/>
  <c r="G527" i="1"/>
  <c r="G528" i="1"/>
  <c r="G529" i="1"/>
  <c r="G530" i="1"/>
  <c r="G531" i="1"/>
  <c r="G532" i="1"/>
  <c r="G533" i="1"/>
  <c r="G534" i="1"/>
  <c r="G535" i="1"/>
  <c r="G536" i="1"/>
  <c r="G526" i="1"/>
  <c r="G537" i="1" s="1"/>
  <c r="M537" i="1" s="1"/>
  <c r="E553" i="1"/>
  <c r="E537" i="1"/>
  <c r="E523" i="1"/>
  <c r="J742" i="3"/>
  <c r="D610" i="2"/>
  <c r="D627" i="2"/>
  <c r="D593" i="2"/>
  <c r="J715" i="3"/>
  <c r="E563" i="1"/>
  <c r="N628" i="2"/>
  <c r="N631" i="2" s="1"/>
  <c r="M497" i="1"/>
  <c r="M498" i="1"/>
  <c r="M499" i="1"/>
  <c r="M500" i="1"/>
  <c r="M501" i="1"/>
  <c r="M502" i="1"/>
  <c r="M496" i="1"/>
  <c r="M460" i="1"/>
  <c r="M461" i="1"/>
  <c r="F496" i="2"/>
  <c r="F497" i="2"/>
  <c r="F498" i="2"/>
  <c r="F499" i="2"/>
  <c r="F500" i="2"/>
  <c r="F501" i="2"/>
  <c r="F502" i="2"/>
  <c r="F503" i="2"/>
  <c r="F504" i="2"/>
  <c r="F505" i="2"/>
  <c r="F495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41" i="2"/>
  <c r="F574" i="2" s="1"/>
  <c r="E472" i="1"/>
  <c r="M459" i="1"/>
  <c r="M469" i="1" s="1"/>
  <c r="F511" i="2"/>
  <c r="F512" i="2"/>
  <c r="F513" i="2"/>
  <c r="F514" i="2"/>
  <c r="F515" i="2"/>
  <c r="F516" i="2"/>
  <c r="F517" i="2"/>
  <c r="F518" i="2"/>
  <c r="F519" i="2"/>
  <c r="F520" i="2"/>
  <c r="F510" i="2"/>
  <c r="F528" i="2" s="1"/>
  <c r="F478" i="2"/>
  <c r="F479" i="2"/>
  <c r="F480" i="2"/>
  <c r="F481" i="2"/>
  <c r="F482" i="2"/>
  <c r="F483" i="2"/>
  <c r="F484" i="2"/>
  <c r="F485" i="2"/>
  <c r="F486" i="2"/>
  <c r="F487" i="2"/>
  <c r="F477" i="2"/>
  <c r="F492" i="2" s="1"/>
  <c r="D574" i="2"/>
  <c r="D507" i="2"/>
  <c r="G468" i="1"/>
  <c r="G460" i="1"/>
  <c r="G467" i="1"/>
  <c r="G476" i="1"/>
  <c r="G477" i="1"/>
  <c r="G478" i="1"/>
  <c r="G479" i="1"/>
  <c r="G480" i="1"/>
  <c r="G481" i="1"/>
  <c r="G482" i="1"/>
  <c r="E486" i="1"/>
  <c r="G461" i="1"/>
  <c r="G462" i="1"/>
  <c r="G463" i="1"/>
  <c r="G464" i="1"/>
  <c r="G465" i="1"/>
  <c r="G466" i="1"/>
  <c r="G459" i="1"/>
  <c r="G472" i="1" s="1"/>
  <c r="M472" i="1" s="1"/>
  <c r="J652" i="3"/>
  <c r="J678" i="3"/>
  <c r="G475" i="1"/>
  <c r="G486" i="1" s="1"/>
  <c r="M477" i="1"/>
  <c r="M476" i="1"/>
  <c r="M475" i="1"/>
  <c r="M481" i="1" s="1"/>
  <c r="M439" i="1"/>
  <c r="M452" i="1" s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39" i="1"/>
  <c r="G456" i="1" s="1"/>
  <c r="D528" i="2"/>
  <c r="D492" i="2"/>
  <c r="J623" i="3"/>
  <c r="E456" i="1"/>
  <c r="E497" i="1"/>
  <c r="E498" i="1"/>
  <c r="E499" i="1" s="1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D463" i="2"/>
  <c r="E397" i="1"/>
  <c r="E385" i="1"/>
  <c r="E360" i="1"/>
  <c r="E346" i="1"/>
  <c r="G336" i="1"/>
  <c r="M403" i="1"/>
  <c r="M404" i="1"/>
  <c r="M405" i="1"/>
  <c r="M406" i="1"/>
  <c r="M407" i="1"/>
  <c r="M408" i="1"/>
  <c r="M409" i="1"/>
  <c r="M410" i="1"/>
  <c r="M332" i="1"/>
  <c r="M331" i="1"/>
  <c r="M330" i="1"/>
  <c r="M345" i="1" s="1"/>
  <c r="M402" i="1"/>
  <c r="M412" i="1" s="1"/>
  <c r="M390" i="1"/>
  <c r="M391" i="1"/>
  <c r="G331" i="1"/>
  <c r="G332" i="1"/>
  <c r="G333" i="1"/>
  <c r="G334" i="1"/>
  <c r="G335" i="1"/>
  <c r="G337" i="1"/>
  <c r="G338" i="1"/>
  <c r="G339" i="1"/>
  <c r="G340" i="1"/>
  <c r="G341" i="1"/>
  <c r="G342" i="1"/>
  <c r="G330" i="1"/>
  <c r="F420" i="2"/>
  <c r="F396" i="2"/>
  <c r="F397" i="2"/>
  <c r="F398" i="2"/>
  <c r="F399" i="2"/>
  <c r="F400" i="2"/>
  <c r="F401" i="2"/>
  <c r="F402" i="2"/>
  <c r="F403" i="2"/>
  <c r="F404" i="2"/>
  <c r="F405" i="2"/>
  <c r="F395" i="2"/>
  <c r="F408" i="2" s="1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53" i="2"/>
  <c r="F370" i="2" s="1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75" i="2"/>
  <c r="F392" i="2" s="1"/>
  <c r="G402" i="1"/>
  <c r="G373" i="1"/>
  <c r="G366" i="1"/>
  <c r="G367" i="1"/>
  <c r="G368" i="1"/>
  <c r="G369" i="1"/>
  <c r="G370" i="1"/>
  <c r="G371" i="1"/>
  <c r="G372" i="1"/>
  <c r="G374" i="1"/>
  <c r="G375" i="1"/>
  <c r="G376" i="1"/>
  <c r="G377" i="1"/>
  <c r="G378" i="1"/>
  <c r="G379" i="1"/>
  <c r="G380" i="1"/>
  <c r="G381" i="1"/>
  <c r="G383" i="1"/>
  <c r="G382" i="1"/>
  <c r="G365" i="1"/>
  <c r="M389" i="1"/>
  <c r="M395" i="1" s="1"/>
  <c r="G390" i="1"/>
  <c r="G391" i="1"/>
  <c r="G392" i="1"/>
  <c r="G389" i="1"/>
  <c r="D408" i="2"/>
  <c r="J595" i="3"/>
  <c r="J558" i="3"/>
  <c r="D370" i="2"/>
  <c r="D392" i="2"/>
  <c r="G356" i="1"/>
  <c r="G353" i="1"/>
  <c r="G354" i="1"/>
  <c r="G355" i="1"/>
  <c r="G352" i="1"/>
  <c r="G351" i="1"/>
  <c r="J533" i="3"/>
  <c r="J550" i="3"/>
  <c r="J515" i="3"/>
  <c r="D414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11" i="2"/>
  <c r="F348" i="2"/>
  <c r="F298" i="2"/>
  <c r="F299" i="2"/>
  <c r="F300" i="2"/>
  <c r="F301" i="2"/>
  <c r="F302" i="2"/>
  <c r="F303" i="2"/>
  <c r="F304" i="2"/>
  <c r="F305" i="2"/>
  <c r="F306" i="2"/>
  <c r="F297" i="2"/>
  <c r="G278" i="1"/>
  <c r="G358" i="1"/>
  <c r="G360" i="1" s="1"/>
  <c r="M360" i="1" s="1"/>
  <c r="B428" i="1"/>
  <c r="C428" i="1"/>
  <c r="D428" i="1"/>
  <c r="E412" i="1"/>
  <c r="G412" i="1"/>
  <c r="G397" i="1"/>
  <c r="M397" i="1" s="1"/>
  <c r="G385" i="1"/>
  <c r="M385" i="1" s="1"/>
  <c r="G346" i="1"/>
  <c r="J582" i="3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79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62" i="2"/>
  <c r="D293" i="2"/>
  <c r="G243" i="1"/>
  <c r="G257" i="1"/>
  <c r="G258" i="1"/>
  <c r="G259" i="1"/>
  <c r="G260" i="1"/>
  <c r="G261" i="1"/>
  <c r="G262" i="1"/>
  <c r="G263" i="1"/>
  <c r="G256" i="1"/>
  <c r="M235" i="1"/>
  <c r="M234" i="1"/>
  <c r="M287" i="1"/>
  <c r="G235" i="1"/>
  <c r="G236" i="1"/>
  <c r="G264" i="1"/>
  <c r="G237" i="1"/>
  <c r="G238" i="1"/>
  <c r="G239" i="1"/>
  <c r="G240" i="1"/>
  <c r="G241" i="1"/>
  <c r="G242" i="1"/>
  <c r="G244" i="1"/>
  <c r="G245" i="1"/>
  <c r="G246" i="1"/>
  <c r="G234" i="1"/>
  <c r="M289" i="1"/>
  <c r="M288" i="1"/>
  <c r="M293" i="1" s="1"/>
  <c r="G288" i="1"/>
  <c r="G289" i="1"/>
  <c r="G290" i="1"/>
  <c r="G287" i="1"/>
  <c r="G294" i="1" s="1"/>
  <c r="M294" i="1" s="1"/>
  <c r="G272" i="1"/>
  <c r="G273" i="1"/>
  <c r="G274" i="1"/>
  <c r="G275" i="1"/>
  <c r="G276" i="1"/>
  <c r="G277" i="1"/>
  <c r="G279" i="1"/>
  <c r="G280" i="1"/>
  <c r="G281" i="1"/>
  <c r="G282" i="1"/>
  <c r="G271" i="1"/>
  <c r="G283" i="1" s="1"/>
  <c r="K595" i="3"/>
  <c r="L595" i="3"/>
  <c r="K582" i="3"/>
  <c r="L582" i="3"/>
  <c r="K550" i="3"/>
  <c r="L550" i="3"/>
  <c r="K533" i="3"/>
  <c r="L533" i="3"/>
  <c r="K515" i="3"/>
  <c r="L515" i="3"/>
  <c r="E283" i="1"/>
  <c r="E266" i="1"/>
  <c r="E294" i="1"/>
  <c r="E251" i="1"/>
  <c r="K378" i="3"/>
  <c r="J378" i="3"/>
  <c r="D307" i="2"/>
  <c r="F307" i="2"/>
  <c r="F293" i="2"/>
  <c r="D275" i="2"/>
  <c r="F275" i="2"/>
  <c r="G155" i="1"/>
  <c r="M168" i="1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14" i="2"/>
  <c r="G166" i="1"/>
  <c r="G167" i="1"/>
  <c r="G168" i="1"/>
  <c r="G169" i="1"/>
  <c r="G170" i="1"/>
  <c r="G171" i="1"/>
  <c r="G172" i="1"/>
  <c r="G173" i="1"/>
  <c r="G174" i="1"/>
  <c r="G175" i="1"/>
  <c r="G165" i="1"/>
  <c r="G145" i="1"/>
  <c r="G146" i="1"/>
  <c r="G147" i="1"/>
  <c r="G148" i="1"/>
  <c r="G149" i="1"/>
  <c r="G150" i="1"/>
  <c r="G151" i="1"/>
  <c r="G152" i="1"/>
  <c r="G153" i="1"/>
  <c r="G154" i="1"/>
  <c r="G144" i="1"/>
  <c r="M167" i="1"/>
  <c r="M166" i="1"/>
  <c r="G189" i="1"/>
  <c r="G190" i="1"/>
  <c r="M165" i="1"/>
  <c r="M178" i="1" s="1"/>
  <c r="F186" i="2"/>
  <c r="G199" i="1"/>
  <c r="G200" i="1"/>
  <c r="G201" i="1"/>
  <c r="G202" i="1"/>
  <c r="G198" i="1"/>
  <c r="G203" i="1" s="1"/>
  <c r="G179" i="1"/>
  <c r="G160" i="1"/>
  <c r="F180" i="2"/>
  <c r="F181" i="2"/>
  <c r="F182" i="2"/>
  <c r="F183" i="2"/>
  <c r="F184" i="2"/>
  <c r="F185" i="2"/>
  <c r="F187" i="2"/>
  <c r="F188" i="2"/>
  <c r="F189" i="2"/>
  <c r="F190" i="2"/>
  <c r="F191" i="2"/>
  <c r="F192" i="2"/>
  <c r="F193" i="2"/>
  <c r="F179" i="2"/>
  <c r="F164" i="2"/>
  <c r="F165" i="2"/>
  <c r="F166" i="2"/>
  <c r="F167" i="2"/>
  <c r="F168" i="2"/>
  <c r="F169" i="2"/>
  <c r="F170" i="2"/>
  <c r="F171" i="2"/>
  <c r="F172" i="2"/>
  <c r="F173" i="2"/>
  <c r="F174" i="2"/>
  <c r="F163" i="2"/>
  <c r="F175" i="2" s="1"/>
  <c r="F199" i="2"/>
  <c r="F200" i="2"/>
  <c r="F201" i="2"/>
  <c r="F202" i="2"/>
  <c r="F203" i="2"/>
  <c r="F204" i="2"/>
  <c r="F205" i="2"/>
  <c r="F206" i="2"/>
  <c r="F207" i="2"/>
  <c r="F208" i="2"/>
  <c r="F209" i="2"/>
  <c r="F198" i="2"/>
  <c r="F210" i="2" s="1"/>
  <c r="G185" i="1"/>
  <c r="G186" i="1"/>
  <c r="G187" i="1"/>
  <c r="G188" i="1"/>
  <c r="G191" i="1"/>
  <c r="G192" i="1"/>
  <c r="G184" i="1"/>
  <c r="D318" i="1"/>
  <c r="C318" i="1"/>
  <c r="B318" i="1"/>
  <c r="A307" i="1"/>
  <c r="G302" i="1"/>
  <c r="M302" i="1" s="1"/>
  <c r="E302" i="1"/>
  <c r="M283" i="1"/>
  <c r="D226" i="1"/>
  <c r="C226" i="1"/>
  <c r="B226" i="1"/>
  <c r="E210" i="1"/>
  <c r="K485" i="3"/>
  <c r="J485" i="3"/>
  <c r="L485" i="3" s="1"/>
  <c r="K473" i="3"/>
  <c r="J473" i="3"/>
  <c r="L473" i="3" s="1"/>
  <c r="K464" i="3"/>
  <c r="J464" i="3"/>
  <c r="L464" i="3" s="1"/>
  <c r="K435" i="3"/>
  <c r="J435" i="3"/>
  <c r="L435" i="3" s="1"/>
  <c r="K406" i="3"/>
  <c r="J406" i="3"/>
  <c r="K292" i="3"/>
  <c r="K232" i="3"/>
  <c r="J292" i="3"/>
  <c r="E160" i="1"/>
  <c r="J321" i="3"/>
  <c r="E194" i="1"/>
  <c r="J232" i="3"/>
  <c r="K321" i="3"/>
  <c r="L321" i="3"/>
  <c r="E203" i="1"/>
  <c r="D210" i="2"/>
  <c r="E179" i="1"/>
  <c r="D253" i="2"/>
  <c r="F253" i="2"/>
  <c r="D194" i="2"/>
  <c r="F194" i="2"/>
  <c r="D175" i="2"/>
  <c r="G210" i="1"/>
  <c r="M210" i="1" s="1"/>
  <c r="K343" i="3"/>
  <c r="J343" i="3"/>
  <c r="L343" i="3" s="1"/>
  <c r="K331" i="3"/>
  <c r="J331" i="3"/>
  <c r="L331" i="3" s="1"/>
  <c r="L292" i="3"/>
  <c r="K263" i="3"/>
  <c r="J263" i="3"/>
  <c r="L263" i="3" s="1"/>
  <c r="L232" i="3"/>
  <c r="F148" i="2"/>
  <c r="F118" i="2"/>
  <c r="F117" i="2"/>
  <c r="F119" i="2" s="1"/>
  <c r="F147" i="2"/>
  <c r="F149" i="2"/>
  <c r="F150" i="2"/>
  <c r="F151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23" i="2"/>
  <c r="M93" i="1"/>
  <c r="M94" i="1"/>
  <c r="M92" i="1"/>
  <c r="M105" i="1" s="1"/>
  <c r="G93" i="1"/>
  <c r="G94" i="1"/>
  <c r="G95" i="1"/>
  <c r="G96" i="1"/>
  <c r="G97" i="1"/>
  <c r="G98" i="1"/>
  <c r="G99" i="1"/>
  <c r="G100" i="1"/>
  <c r="G101" i="1"/>
  <c r="G102" i="1"/>
  <c r="G103" i="1"/>
  <c r="G104" i="1"/>
  <c r="G92" i="1"/>
  <c r="G106" i="1" s="1"/>
  <c r="M106" i="1" s="1"/>
  <c r="M71" i="1"/>
  <c r="M86" i="1" s="1"/>
  <c r="G72" i="1"/>
  <c r="G73" i="1"/>
  <c r="G74" i="1"/>
  <c r="G75" i="1"/>
  <c r="G76" i="1"/>
  <c r="G77" i="1"/>
  <c r="G78" i="1"/>
  <c r="G79" i="1"/>
  <c r="G80" i="1"/>
  <c r="G81" i="1"/>
  <c r="G82" i="1"/>
  <c r="G83" i="1"/>
  <c r="G71" i="1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83" i="2"/>
  <c r="F97" i="2" s="1"/>
  <c r="F102" i="2"/>
  <c r="F103" i="2"/>
  <c r="F104" i="2"/>
  <c r="F105" i="2"/>
  <c r="F106" i="2"/>
  <c r="F107" i="2"/>
  <c r="F108" i="2"/>
  <c r="F109" i="2"/>
  <c r="F110" i="2"/>
  <c r="F111" i="2"/>
  <c r="F112" i="2"/>
  <c r="F101" i="2"/>
  <c r="J150" i="3"/>
  <c r="J140" i="3"/>
  <c r="J184" i="3"/>
  <c r="D136" i="1"/>
  <c r="B136" i="1"/>
  <c r="C136" i="1"/>
  <c r="J196" i="3"/>
  <c r="M203" i="1"/>
  <c r="M160" i="1"/>
  <c r="D113" i="2"/>
  <c r="E87" i="1"/>
  <c r="E106" i="1"/>
  <c r="E124" i="1"/>
  <c r="G124" i="1"/>
  <c r="M124" i="1" s="1"/>
  <c r="K196" i="3"/>
  <c r="L196" i="3"/>
  <c r="G111" i="1"/>
  <c r="K140" i="3"/>
  <c r="G119" i="1"/>
  <c r="M119" i="1" s="1"/>
  <c r="E119" i="1"/>
  <c r="D152" i="2"/>
  <c r="D119" i="2"/>
  <c r="F113" i="2"/>
  <c r="D97" i="2"/>
  <c r="K184" i="3"/>
  <c r="L184" i="3"/>
  <c r="D7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6" i="2"/>
  <c r="D27" i="2"/>
  <c r="F32" i="2"/>
  <c r="F33" i="2"/>
  <c r="F34" i="2"/>
  <c r="F35" i="2"/>
  <c r="F36" i="2"/>
  <c r="F37" i="2"/>
  <c r="F31" i="2"/>
  <c r="F41" i="2" s="1"/>
  <c r="M27" i="1"/>
  <c r="M26" i="1"/>
  <c r="M41" i="1" s="1"/>
  <c r="G27" i="1"/>
  <c r="G28" i="1"/>
  <c r="G29" i="1"/>
  <c r="G30" i="1"/>
  <c r="G31" i="1"/>
  <c r="G32" i="1"/>
  <c r="G33" i="1"/>
  <c r="G34" i="1"/>
  <c r="G35" i="1"/>
  <c r="G36" i="1"/>
  <c r="G37" i="1"/>
  <c r="G26" i="1"/>
  <c r="M5" i="1"/>
  <c r="M20" i="1" s="1"/>
  <c r="G6" i="1"/>
  <c r="G7" i="1"/>
  <c r="G8" i="1"/>
  <c r="G9" i="1"/>
  <c r="G10" i="1"/>
  <c r="G11" i="1"/>
  <c r="G12" i="1"/>
  <c r="G13" i="1"/>
  <c r="G14" i="1"/>
  <c r="G15" i="1"/>
  <c r="G16" i="1"/>
  <c r="G5" i="1"/>
  <c r="D41" i="2"/>
  <c r="D47" i="2"/>
  <c r="A54" i="1"/>
  <c r="D64" i="1"/>
  <c r="B64" i="1"/>
  <c r="E42" i="1"/>
  <c r="E21" i="1"/>
  <c r="G113" i="1"/>
  <c r="M113" i="1" s="1"/>
  <c r="E113" i="1"/>
  <c r="G49" i="1"/>
  <c r="M49" i="1" s="1"/>
  <c r="E49" i="1"/>
  <c r="E54" i="1" s="1"/>
  <c r="C60" i="1" s="1"/>
  <c r="C64" i="1" s="1"/>
  <c r="K160" i="3"/>
  <c r="J160" i="3"/>
  <c r="L160" i="3" s="1"/>
  <c r="K150" i="3"/>
  <c r="L150" i="3"/>
  <c r="L140" i="3"/>
  <c r="K110" i="3"/>
  <c r="J110" i="3"/>
  <c r="L110" i="3" s="1"/>
  <c r="K78" i="3"/>
  <c r="J78" i="3"/>
  <c r="L78" i="3" s="1"/>
  <c r="F61" i="2"/>
  <c r="F60" i="2"/>
  <c r="F59" i="2"/>
  <c r="F58" i="2"/>
  <c r="F57" i="2"/>
  <c r="F56" i="2"/>
  <c r="F55" i="2"/>
  <c r="F54" i="2"/>
  <c r="F53" i="2"/>
  <c r="F52" i="2"/>
  <c r="F51" i="2"/>
  <c r="F27" i="2"/>
  <c r="K69" i="3"/>
  <c r="J69" i="3"/>
  <c r="L69" i="3" s="1"/>
  <c r="K61" i="3"/>
  <c r="J61" i="3"/>
  <c r="L61" i="3" s="1"/>
  <c r="K32" i="3"/>
  <c r="J32" i="3"/>
  <c r="L32" i="3" s="1"/>
  <c r="F1062" i="2" l="1"/>
  <c r="M882" i="1"/>
  <c r="M829" i="1"/>
  <c r="G850" i="1"/>
  <c r="M850" i="1" s="1"/>
  <c r="D793" i="1"/>
  <c r="D999" i="2"/>
  <c r="D1002" i="2"/>
  <c r="D720" i="1"/>
  <c r="F796" i="2"/>
  <c r="D649" i="1"/>
  <c r="F689" i="2"/>
  <c r="M621" i="1"/>
  <c r="M625" i="1" s="1"/>
  <c r="M610" i="1"/>
  <c r="G590" i="1"/>
  <c r="M590" i="1" s="1"/>
  <c r="F610" i="2"/>
  <c r="E566" i="1"/>
  <c r="M553" i="1"/>
  <c r="F507" i="2"/>
  <c r="E507" i="1"/>
  <c r="M486" i="1"/>
  <c r="M456" i="1"/>
  <c r="E510" i="1"/>
  <c r="F463" i="2"/>
  <c r="C466" i="2"/>
  <c r="C469" i="2" s="1"/>
  <c r="E417" i="1"/>
  <c r="M346" i="1"/>
  <c r="E420" i="1"/>
  <c r="G266" i="1"/>
  <c r="M266" i="1" s="1"/>
  <c r="G251" i="1"/>
  <c r="M251" i="1" s="1"/>
  <c r="D348" i="2"/>
  <c r="E307" i="1"/>
  <c r="M179" i="1"/>
  <c r="E215" i="1"/>
  <c r="G194" i="1"/>
  <c r="M194" i="1" s="1"/>
  <c r="G87" i="1"/>
  <c r="M87" i="1" s="1"/>
  <c r="F152" i="2"/>
  <c r="E126" i="1"/>
  <c r="G21" i="1"/>
  <c r="M21" i="1" s="1"/>
  <c r="G42" i="1"/>
  <c r="M42" i="1" s="1"/>
  <c r="D8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tc={940D315A-354E-44E3-97F0-AAAEB6B8760D}</author>
    <author>tc={4825B2D2-5FA3-4081-9044-641A00710795}</author>
    <author>tc={AD2DA600-0DD1-4F5D-AD8C-ACDD2333F167}</author>
    <author>tc={9939C122-B640-4D14-9CE2-16801A14AB90}</author>
    <author>tc={D26E15D9-1F69-4843-B23F-3602A9DF01F4}</author>
  </authors>
  <commentList>
    <comment ref="D343" authorId="0" shapeId="0" xr:uid="{940D315A-354E-44E3-97F0-AAAEB6B876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prop arrienda a un familiar </t>
      </text>
    </comment>
    <comment ref="M523" authorId="1" shapeId="0" xr:uid="{4825B2D2-5FA3-4081-9044-641A0071079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 COMO SEÑIOR, COMO SI HUBIERA CUMPLIDO AUTORIZA ANDRES M</t>
      </text>
    </comment>
    <comment ref="M645" authorId="2" shapeId="0" xr:uid="{AD2DA600-0DD1-4F5D-AD8C-ACDD2333F16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 COMO SEÑIOR, COMO SI HUBIERA CUMPLIDO AUTORIZA ANDRES M</t>
      </text>
    </comment>
    <comment ref="D865" authorId="3" shapeId="0" xr:uid="{9939C122-B640-4D14-9CE2-16801A14AB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CTO 15435 correspondiente a Iguazu será tomado en cuenta para meta de la sede la Estrella SUMA $4,300,000, asesores karen y Mateo </t>
      </text>
    </comment>
    <comment ref="D868" authorId="4" shapeId="0" xr:uid="{D26E15D9-1F69-4843-B23F-3602A9DF01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META SEDE SABANETA DESCONTANDO EL NEGOCIO Q SUMA PARA LA ESTRELLA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tc={677145F5-D6D6-46A4-968A-097F7D5F4DC4}</author>
    <author>tc={FF3BD8EC-FC43-47AF-85EE-D8F6B5B75EDA}</author>
    <author>tc={7CF13E62-8F92-4E91-9343-A08C868AEDE5}</author>
    <author>tc={50892E55-DB85-4ADC-85FC-C51EFE8D3B97}</author>
    <author>tc={8B484010-810A-47BE-909F-CEEA30B38027}</author>
    <author>tc={E824D6E6-12A9-4B65-92CC-F10C3DDBC7E0}</author>
    <author>tc={4D033EB1-1AA7-4174-9931-56891AB5FD0D}</author>
    <author>tc={EDCDF8E5-8C87-4E7E-A3E6-2DBC3F2ECC63}</author>
    <author>tc={81FB0408-9E00-4E4A-8A19-6C260A3CC24E}</author>
    <author>tc={4A7677DC-0463-4D68-B6B2-4B532B3224A8}</author>
    <author>tc={B3913A59-31A1-443F-A654-C9ABD72D3763}</author>
    <author>tc={1C4C0488-70E9-48E5-9A3C-35351202EB54}</author>
    <author>Administración Sabaneta</author>
    <author>tc={F63103AF-8BB9-42A0-AE79-98ADA98D8A13}</author>
  </authors>
  <commentList>
    <comment ref="F7" authorId="0" shapeId="0" xr:uid="{677145F5-D6D6-46A4-968A-097F7D5F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F10" authorId="1" shapeId="0" xr:uid="{FF3BD8EC-FC43-47AF-85EE-D8F6B5B75E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F35" authorId="2" shapeId="0" xr:uid="{7CF13E62-8F92-4E91-9343-A08C868AED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E102" authorId="3" shapeId="0" xr:uid="{50892E55-DB85-4ADC-85FC-C51EFE8D3B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E183" authorId="4" shapeId="0" xr:uid="{8B484010-810A-47BE-909F-CEEA30B38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E185" authorId="5" shapeId="0" xr:uid="{E824D6E6-12A9-4B65-92CC-F10C3DDBC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POR PORTERO</t>
      </text>
    </comment>
    <comment ref="C369" authorId="6" shapeId="0" xr:uid="{4D033EB1-1AA7-4174-9931-56891AB5FD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prop arrienda a un familiar </t>
      </text>
    </comment>
    <comment ref="C372" authorId="7" shapeId="0" xr:uid="{EDCDF8E5-8C87-4E7E-A3E6-2DBC3F2ECC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NO CONTESTA</t>
      </text>
    </comment>
    <comment ref="C390" authorId="8" shapeId="0" xr:uid="{81FB0408-9E00-4E4A-8A19-6C260A3CC2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PROP ARRIENDA </t>
      </text>
    </comment>
    <comment ref="C411" authorId="9" shapeId="0" xr:uid="{4A7677DC-0463-4D68-B6B2-4B532B3224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LIQUIDO INTERNA EN LA SEDE LA ESTRELLA</t>
      </text>
    </comment>
    <comment ref="C462" authorId="10" shapeId="0" xr:uid="{B3913A59-31A1-443F-A654-C9ABD72D376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LIQUIDO INTERNA EN LA SEDE LA ESTRELLA</t>
      </text>
    </comment>
    <comment ref="E604" authorId="11" shapeId="0" xr:uid="{1C4C0488-70E9-48E5-9A3C-35351202EB54}">
      <text>
        <t>[Threaded comment]
Your version of Excel allows you to read this threaded comment; however, any edits to it will get removed if the file is opened in a newer version of Excel. Learn more: https://go.microsoft.com/fwlink/?linkid=870924
Comment:
    TIENE PORTERO POR CLIENTE PERO SOLO EN LA SEDE DE SABANETA ESTA AUTORIZADO BAJAR UN PUNTO CUANDO TIENE PORTERO.</t>
      </text>
    </comment>
    <comment ref="F714" authorId="12" shapeId="0" xr:uid="{E9BA6CE8-CF0C-4F46-9EEF-4BCD838BF363}">
      <text>
        <r>
          <rPr>
            <sz val="10"/>
            <color rgb="FF000000"/>
            <rFont val="Arial"/>
            <charset val="1"/>
          </rPr>
          <t xml:space="preserve">Administración Sabaneta:
</t>
        </r>
      </text>
    </comment>
    <comment ref="F881" authorId="13" shapeId="0" xr:uid="{F63103AF-8BB9-42A0-AE79-98ADA98D8A1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liquida sobre los 22 Días laborados (8 días, vacaciones)</t>
      </text>
    </comment>
  </commentList>
</comments>
</file>

<file path=xl/sharedStrings.xml><?xml version="1.0" encoding="utf-8"?>
<sst xmlns="http://schemas.openxmlformats.org/spreadsheetml/2006/main" count="11776" uniqueCount="2006">
  <si>
    <t>ENERO 2022</t>
  </si>
  <si>
    <t xml:space="preserve">JUAN CAMILO URREA							</t>
  </si>
  <si>
    <t>CONSIGNACIONES</t>
  </si>
  <si>
    <t>CONTRATO</t>
  </si>
  <si>
    <t xml:space="preserve">% PROPIETARIO </t>
  </si>
  <si>
    <t>INMUEBLE</t>
  </si>
  <si>
    <t>CANON</t>
  </si>
  <si>
    <t>%</t>
  </si>
  <si>
    <t xml:space="preserve">COMISION </t>
  </si>
  <si>
    <t>CONSIGNO</t>
  </si>
  <si>
    <t xml:space="preserve"> CANON</t>
  </si>
  <si>
    <t xml:space="preserve"> COMISION</t>
  </si>
  <si>
    <t>AMONTE 1607 1.650.000</t>
  </si>
  <si>
    <t>JUAN URREA</t>
  </si>
  <si>
    <t>FIORI VITA 1505</t>
  </si>
  <si>
    <t>MADEROS DEL CAMPO 1303 1.850.000</t>
  </si>
  <si>
    <t>CAMILO GALLEGO</t>
  </si>
  <si>
    <t>SABATTO 1107 - 1.800.000</t>
  </si>
  <si>
    <t xml:space="preserve">PORTADA </t>
  </si>
  <si>
    <t>CIUDAD DEL BOSQUE 1712 2.100.000</t>
  </si>
  <si>
    <t>MESSANTIA 1206 1.500.000</t>
  </si>
  <si>
    <t>PRESTIGE 2510 2.400.000</t>
  </si>
  <si>
    <t>ODONATA 814 2.100.000</t>
  </si>
  <si>
    <t>SABANA ALTA 1506 - 1.500.000</t>
  </si>
  <si>
    <t>MADEROS DEL CAMPO 1702 - 1.500.000</t>
  </si>
  <si>
    <t>BANGKOK 1105 - 2.100.000</t>
  </si>
  <si>
    <t>PRADOS DE SABANETA 101 - 1.400.000</t>
  </si>
  <si>
    <t>RIO MISTICO 1706 2.200.000</t>
  </si>
  <si>
    <t>DESISTIDO</t>
  </si>
  <si>
    <t>SABANA ALTA 1516 - 1.500.000</t>
  </si>
  <si>
    <t>MONTEFLOR 902 - 1.300.000</t>
  </si>
  <si>
    <t>MESSANTIA 1206 - 1500000</t>
  </si>
  <si>
    <t>TOTAL</t>
  </si>
  <si>
    <t>TOTAL--------------------------------------&gt;</t>
  </si>
  <si>
    <t>SABATTO 2406 SUBROGACION 1.650.000</t>
  </si>
  <si>
    <t>RIO MISTICO 2809 1.900.000</t>
  </si>
  <si>
    <t>MONTEFLOR 1204 1.300.000</t>
  </si>
  <si>
    <t>TORRE SAVANNAH APT 503 1.050.000</t>
  </si>
  <si>
    <t>SANTIVARI 1902 1.650.000</t>
  </si>
  <si>
    <t>PRIMEIRO 1903 1.550.000</t>
  </si>
  <si>
    <t>MONTEFLOR 2112 -  1.400.000</t>
  </si>
  <si>
    <t>SABANA ALTA 1602 - 1.800.000</t>
  </si>
  <si>
    <t>RIO MISTICO 2210 SUBROGACION - 1.550.000</t>
  </si>
  <si>
    <t>SALTAMONTES 1302 2.500.000</t>
  </si>
  <si>
    <t>MADEROS DEL CAMPO 2 207 2.100.000</t>
  </si>
  <si>
    <t>MOSTAZA 1007 - 1.450.000</t>
  </si>
  <si>
    <t>VILLA ROMERA 1307</t>
  </si>
  <si>
    <t>EN FIRMAS</t>
  </si>
  <si>
    <t>MADEROS DEL CAMPO 2 207 - 2.000.0000</t>
  </si>
  <si>
    <t>PORTADA</t>
  </si>
  <si>
    <t>TOTAL FIRMADO</t>
  </si>
  <si>
    <t xml:space="preserve">TOTAL  APROBADO EN PROCESO DE FIRMAS </t>
  </si>
  <si>
    <t>TOTAL EN ESTUDIO</t>
  </si>
  <si>
    <t>SECTOR</t>
  </si>
  <si>
    <t>CAPTACIONES</t>
  </si>
  <si>
    <t>ARRIENDOS ($)</t>
  </si>
  <si>
    <t xml:space="preserve">TOTAL INMUEBLES ARRENDADOS </t>
  </si>
  <si>
    <t>SABANETA</t>
  </si>
  <si>
    <t>OTRAS ZONAS</t>
  </si>
  <si>
    <t xml:space="preserve">TOTAL </t>
  </si>
  <si>
    <t>FEBRERO 2022</t>
  </si>
  <si>
    <t>20+3</t>
  </si>
  <si>
    <t>SALTAMONTES 1001 2.000.000</t>
  </si>
  <si>
    <t>ACUARELAS DE SAN DIEGO 609 1'500.000</t>
  </si>
  <si>
    <t>VEGAS PLAZA 1514 1.400.000</t>
  </si>
  <si>
    <t>BALUARTE 1202 3.500.000</t>
  </si>
  <si>
    <t>BRAYAN AGUDELO</t>
  </si>
  <si>
    <t>VIVARE 502 1.950.000</t>
  </si>
  <si>
    <t>LISBOA 2501 1.500.000</t>
  </si>
  <si>
    <t>ARCOIRIS CASA 19 1.450.000</t>
  </si>
  <si>
    <t>INDIGO 1211 1.600.000</t>
  </si>
  <si>
    <t>MOSTAZA 411 1.720.000</t>
  </si>
  <si>
    <t xml:space="preserve"> </t>
  </si>
  <si>
    <t>SABATTO 1602 1.850.000</t>
  </si>
  <si>
    <t>MONTEFLOR 2513 1.400.000</t>
  </si>
  <si>
    <t>RIO SECRETO 515 1.900.000</t>
  </si>
  <si>
    <t>CIUDAD DEL BOSQUE 1304 2.000.000</t>
  </si>
  <si>
    <t>CL 77 SUR 29 31 3.500.000</t>
  </si>
  <si>
    <t>MADEROS DEL CAMPO 2205 2.400.000</t>
  </si>
  <si>
    <t>NEGADOS</t>
  </si>
  <si>
    <t>ALONDRA 1103 1.800.000</t>
  </si>
  <si>
    <t>PROP INFORMA QUE DECIDIO VIVIR EN EL APTO</t>
  </si>
  <si>
    <t>VISTA DEL VALLE 1803 1.400.000</t>
  </si>
  <si>
    <t>MARIA PAULA</t>
  </si>
  <si>
    <t>INQUILINO DESISTIO YA QUE SE VAN DE LA CIUDAD POR TEMAS LABORALES</t>
  </si>
  <si>
    <t>AMONTE 2005  1.900.000</t>
  </si>
  <si>
    <t>MARLON RODRIGUEZ</t>
  </si>
  <si>
    <t>CYPRUS 1414 1.820.000</t>
  </si>
  <si>
    <t>VILLA ROMERA 1307 1.000.000</t>
  </si>
  <si>
    <t>EL ALCAZAR 222 1.500.000</t>
  </si>
  <si>
    <t>INDIGO 616 - 1.300.000</t>
  </si>
  <si>
    <t>AIRES DEL BOSQUE 703 1.000.000</t>
  </si>
  <si>
    <t>MONTEAZUL 2201 1.300.000</t>
  </si>
  <si>
    <t>MADEROS DEL CAMPO 912 1.700.000</t>
  </si>
  <si>
    <t>RINCON DE LA DOCTORA  CSA 28 2.650.000</t>
  </si>
  <si>
    <t>MOCACCINO 2203 3.100.000</t>
  </si>
  <si>
    <t>MADEROS DEL CAMPO 1801 1.750.000</t>
  </si>
  <si>
    <t>MOCACCINO 805 2.300.000</t>
  </si>
  <si>
    <t>DUBLING 1905 2.100.000</t>
  </si>
  <si>
    <t>MISONI 703 1.450.000</t>
  </si>
  <si>
    <t>DESISTIERON HAN SALIDO NEGADO 4 PERSONAS</t>
  </si>
  <si>
    <t xml:space="preserve">SANTIAGO </t>
  </si>
  <si>
    <t>2+2</t>
  </si>
  <si>
    <t>BALCONES DE HOLANDA 406 1.450.000</t>
  </si>
  <si>
    <t>OK</t>
  </si>
  <si>
    <t>CARRIQUI 602 1.850.000</t>
  </si>
  <si>
    <t>CYPRUS 2209 1.500.000</t>
  </si>
  <si>
    <t>SANTIAGO LOPERA</t>
  </si>
  <si>
    <t>MARZO 2022</t>
  </si>
  <si>
    <t>CARRIQUI 210 3.000.000</t>
  </si>
  <si>
    <t>CYPRUS 1816  1.900.000</t>
  </si>
  <si>
    <t>BULEVAR ALCAZAR 2102 2.300.000</t>
  </si>
  <si>
    <t>TORRES DE MAYORCA 2209 1.600.000</t>
  </si>
  <si>
    <t>AMONTE 822 1.800.000</t>
  </si>
  <si>
    <t>ODONATA 1407 2.100.000</t>
  </si>
  <si>
    <t>JUAN  URREA</t>
  </si>
  <si>
    <t>FIDELENA PARK  2802 3.500.000</t>
  </si>
  <si>
    <t>ODONATA 811 2.500.000</t>
  </si>
  <si>
    <t>MONTEAZUL 1810 2.200.000</t>
  </si>
  <si>
    <t>RIO SECRETO 2010 1.780.000</t>
  </si>
  <si>
    <t>MONTANA 1207 1.400.000</t>
  </si>
  <si>
    <t>TERRA SANTA 912 1.300.000</t>
  </si>
  <si>
    <t>ENTREAMIGOS 402 1.200.000</t>
  </si>
  <si>
    <t>INQUILINO DESISTE TEMA PERSONAL</t>
  </si>
  <si>
    <t>MONTE AZUL 1810 2.200.000</t>
  </si>
  <si>
    <t>DESISTIO INFORMA TEMAS PERSONALES</t>
  </si>
  <si>
    <t>RINCON DE LA DOCTORA CASA 9 4.000.000</t>
  </si>
  <si>
    <t>DESISTIERON PORQUE SE SEPARARON</t>
  </si>
  <si>
    <t>SABATTO 906 1.850.000</t>
  </si>
  <si>
    <t>DESISITO DECIDIO QUEDARSE EN DONDE ESTA</t>
  </si>
  <si>
    <t>20+4</t>
  </si>
  <si>
    <t>MADEROS DEL CAMPO 2205  2.500.000</t>
  </si>
  <si>
    <t>REGATTA 613 	$2,600,000</t>
  </si>
  <si>
    <t xml:space="preserve">FIDELENA PARK  2802 3.500.000	</t>
  </si>
  <si>
    <t>CYPRUS 1210 1.800.000</t>
  </si>
  <si>
    <t xml:space="preserve">	LA VEGA 809  2.000.000	</t>
  </si>
  <si>
    <t>MONTE AZUL 1207 1.350.000</t>
  </si>
  <si>
    <t>BRASILIA 301 1.500.000</t>
  </si>
  <si>
    <t>MONTEAZUL 1013 1.400.000</t>
  </si>
  <si>
    <t>RIO SECRETO  604 1.700.000</t>
  </si>
  <si>
    <t>EMPALME SERRANA 1802 1.400.000</t>
  </si>
  <si>
    <t>CIGARRAS 610 1.650.000</t>
  </si>
  <si>
    <t>INDIGO 902 1.500.000</t>
  </si>
  <si>
    <t>MADEROS DEL CAMPO 2503 2.500.000</t>
  </si>
  <si>
    <t>MANZANA ONCE 1007 1.900.000</t>
  </si>
  <si>
    <t>VISTA APATAMIRADOR 1701 3.400.000</t>
  </si>
  <si>
    <t>CLIENTE DESISTIO YA QUE PROP, TENIA UNA DEUDA DE 17 MILLONES EN ADMON Y NO DABA SOLUCION</t>
  </si>
  <si>
    <t>CIPRIANO 401 1.250.000</t>
  </si>
  <si>
    <t>ERA UNA REUBICACION POR MAL HABITO DE PAGO DEBIA HACER UN ESTUDIO NUEVO Y  NO LO QUIZO HACER</t>
  </si>
  <si>
    <t>SE UBICO EN ENVIGADO</t>
  </si>
  <si>
    <t>21+3</t>
  </si>
  <si>
    <t>CATLEYA  904 2.500.000</t>
  </si>
  <si>
    <t>AIRES DEL CAMPO 528 1.250.000</t>
  </si>
  <si>
    <t>SANTIAGO</t>
  </si>
  <si>
    <t>PARQUES DEL SOL 602 1.200.000</t>
  </si>
  <si>
    <t>VILLAS DE LAGUITO 162 1.700.000</t>
  </si>
  <si>
    <t>AIRES DEL CAMPO 1423 1.250.000</t>
  </si>
  <si>
    <t>PARQUES DEL SOL 205 1.200.000</t>
  </si>
  <si>
    <t>JUAN PABLO VILLA</t>
  </si>
  <si>
    <t>SUBROGACION INDIGO 1006 1.400.000</t>
  </si>
  <si>
    <t>LA VEGA 809  2.000.000</t>
  </si>
  <si>
    <t>JACARANDAS 217 4.500.000</t>
  </si>
  <si>
    <t>CATLEYA  2204 2.300.000</t>
  </si>
  <si>
    <t>ESTEFANIA MARZO 2022</t>
  </si>
  <si>
    <t>CANELA 1510 1.700.000</t>
  </si>
  <si>
    <t>ESTEFANIA</t>
  </si>
  <si>
    <t>EMPALME MISONI 1104 1.400.000</t>
  </si>
  <si>
    <t>TOWERS 1611 1.700.000</t>
  </si>
  <si>
    <t>CIUDAD DEL BOSQUE 1204 1.850.000</t>
  </si>
  <si>
    <t>TOWER 2210 1.200.000</t>
  </si>
  <si>
    <t>TERRA SANTA 1508 1.300.000</t>
  </si>
  <si>
    <t>NATURA 717 1.730.000</t>
  </si>
  <si>
    <t>ABRIL 2022</t>
  </si>
  <si>
    <t>AMONTE 2213 1.950.000</t>
  </si>
  <si>
    <t xml:space="preserve">OK        13764	</t>
  </si>
  <si>
    <t xml:space="preserve">VISTA 502 2.700.000	</t>
  </si>
  <si>
    <t>LA VEGA 802 2.000.000</t>
  </si>
  <si>
    <t>OK        13771</t>
  </si>
  <si>
    <t xml:space="preserve">TORRE ALFA 204 1.150.000	</t>
  </si>
  <si>
    <t>SUB CANTOLUNA 1008 1.800.000</t>
  </si>
  <si>
    <t xml:space="preserve">el 1 </t>
  </si>
  <si>
    <t>BANGKOK 2306 2.850.000</t>
  </si>
  <si>
    <t>AMONTE 1602 1.900.000</t>
  </si>
  <si>
    <t>EDF SALDARRIAGA 403  1.100.000</t>
  </si>
  <si>
    <t>el 2</t>
  </si>
  <si>
    <t>SABANA ALTA 412 2.050,000</t>
  </si>
  <si>
    <t>PRESTIGE 1702 3.500,000</t>
  </si>
  <si>
    <t>el 29</t>
  </si>
  <si>
    <t>LOMA LINDA 2106 1.800.000</t>
  </si>
  <si>
    <t>LOMA LINDA 401 1.500.000</t>
  </si>
  <si>
    <t>EL 29</t>
  </si>
  <si>
    <t>VIVARE 312 1.800.000</t>
  </si>
  <si>
    <t>LIVING 2308 1.950.000</t>
  </si>
  <si>
    <t>AMONTE 1007 1.700.000</t>
  </si>
  <si>
    <t>DESISTE QUE PORQUE LA MAMA TIENE PROBLEMAS DE CRISIS EXISTENCIAL</t>
  </si>
  <si>
    <t>LEMMON  1602  1.700.000</t>
  </si>
  <si>
    <t>INQUILINA SE VA DIRECTO ALGO MAS ECONOMICO</t>
  </si>
  <si>
    <t>BALUARTE 1004 2.900.000</t>
  </si>
  <si>
    <t>INQUILINO INFORMA NECESITA ALGO MAS GRANDE POR LA MAMA Y SE LE CONSIGUE PRESTIGE</t>
  </si>
  <si>
    <t>INQUILINO DESISTE POR QE ES INTERNO</t>
  </si>
  <si>
    <t>15+5</t>
  </si>
  <si>
    <t>BALCONES DE FIDELENA 803 1.650.000</t>
  </si>
  <si>
    <t>CANELA 810 1.800.000</t>
  </si>
  <si>
    <t>LYRA 2101 1.900.000</t>
  </si>
  <si>
    <t>LISBOA 1303 1.700.000</t>
  </si>
  <si>
    <t>CAMILO</t>
  </si>
  <si>
    <t>CYPRUS 908 1.750.000</t>
  </si>
  <si>
    <t>EL 2</t>
  </si>
  <si>
    <t>VENTUM 2208 2.300.000</t>
  </si>
  <si>
    <t>MARAT  104 1.230.000</t>
  </si>
  <si>
    <t>el 02</t>
  </si>
  <si>
    <t>MONTEFLOR 2006 1.650.000</t>
  </si>
  <si>
    <t xml:space="preserve">el 28 </t>
  </si>
  <si>
    <t>LIVING 2210 2.150.000</t>
  </si>
  <si>
    <t>SERRANA 2106 1.600.000</t>
  </si>
  <si>
    <t>22+3</t>
  </si>
  <si>
    <t>MOCACCINO 1605 2.400.000</t>
  </si>
  <si>
    <t>RIO SECRETO 2304 1.800.000</t>
  </si>
  <si>
    <t>MONTEFLOR 301 1.600.000</t>
  </si>
  <si>
    <t>ARAMUS 1706 1.650.000</t>
  </si>
  <si>
    <t>PARQUES DEL SOL 1702  1.100.000</t>
  </si>
  <si>
    <t>AIRES DEL CAMPO 1420 1.300.000</t>
  </si>
  <si>
    <t>AIRES DEL BOSQUE 2016 1.300.000</t>
  </si>
  <si>
    <t>PARQUES DEL SOL 1105  1.200.000</t>
  </si>
  <si>
    <t>EL 1</t>
  </si>
  <si>
    <t>MONTEFLOR 1510 1.600.000</t>
  </si>
  <si>
    <t>VISTA 502 2.700.000</t>
  </si>
  <si>
    <t>TORRE ALFA 204 1.150.000</t>
  </si>
  <si>
    <t>TORRE SACRAMENTO 1406 1.300.000</t>
  </si>
  <si>
    <t xml:space="preserve">ESTEFANIA </t>
  </si>
  <si>
    <t>13+1</t>
  </si>
  <si>
    <t>MOSTAZA 408 1.650.000</t>
  </si>
  <si>
    <t>OK   13691</t>
  </si>
  <si>
    <t xml:space="preserve">	BANGKOK 2306 2.850.000	</t>
  </si>
  <si>
    <t>MISONI 906 1.600.000</t>
  </si>
  <si>
    <t xml:space="preserve">OK   13727	</t>
  </si>
  <si>
    <t xml:space="preserve">CANELA 810 1.800.000	</t>
  </si>
  <si>
    <t>RIO BAMBA 601 1.100.000</t>
  </si>
  <si>
    <t>OK   13711</t>
  </si>
  <si>
    <t xml:space="preserve">	VENTUM 2208 2.300.000	</t>
  </si>
  <si>
    <t>BETANIA 902 1.200.000</t>
  </si>
  <si>
    <t>ALEJANDRO BEDOYA</t>
  </si>
  <si>
    <t>INQUILINO DESISTE YA QUE DE LA OTRA INMOBILIARIA NO LE DIO SALID</t>
  </si>
  <si>
    <t>PALO SANTO 1.300.000</t>
  </si>
  <si>
    <t>PROP AUMENTO CANON Y INQUJILINO SOBREPASA EL VALOR</t>
  </si>
  <si>
    <t>CANTOLUNA 1008 1.800.000</t>
  </si>
  <si>
    <t>MAYO 2022</t>
  </si>
  <si>
    <t>AMONTE 2604-2000.000</t>
  </si>
  <si>
    <t>CALLE 63 N° 44-74 AP 202</t>
  </si>
  <si>
    <t>PALO SANTO 1702 -1.450.000</t>
  </si>
  <si>
    <t>ESTEFANIA SERNA</t>
  </si>
  <si>
    <t>PALO SANTO 1701 -1.450.000</t>
  </si>
  <si>
    <t>SABANA ALTA 1112 -2.000.000</t>
  </si>
  <si>
    <t>VIVARE 1407- 2.250.000</t>
  </si>
  <si>
    <t>MANTIS 1103- 3.100.000</t>
  </si>
  <si>
    <t>LA VEGA 120 - 1750.000</t>
  </si>
  <si>
    <t>VERONA 901</t>
  </si>
  <si>
    <t>VENTUM 1706- 1.900.000</t>
  </si>
  <si>
    <t>CARRIQUI 203 1.750.000</t>
  </si>
  <si>
    <t>GAUDI-2.200.000</t>
  </si>
  <si>
    <t>VIVARE 1004-2.650.000</t>
  </si>
  <si>
    <t>BALUARTE 1004- 2.900.000</t>
  </si>
  <si>
    <t>ALCAZARES 503 -1.500.000</t>
  </si>
  <si>
    <t>DESISITIO</t>
  </si>
  <si>
    <t>ODONATA 607-1,850.000</t>
  </si>
  <si>
    <t>NEGADO</t>
  </si>
  <si>
    <t>SALTAMONTES 1904-2.500.000</t>
  </si>
  <si>
    <t>LISBOA 702-1.700.000</t>
  </si>
  <si>
    <t>FUENTE CLARA 313 -1.800.000</t>
  </si>
  <si>
    <t>10+3</t>
  </si>
  <si>
    <t>KORE-1911 -1900.000</t>
  </si>
  <si>
    <t>SABATTO 2105- 1550.000</t>
  </si>
  <si>
    <t>ALAMEDA 2314-2.700.000</t>
  </si>
  <si>
    <t>PUERTA DE MAYORCA- 1.900.000</t>
  </si>
  <si>
    <t>BALUARTE -4200.000</t>
  </si>
  <si>
    <t>PUERTA MAYORCA 2002-1950.000</t>
  </si>
  <si>
    <t>+</t>
  </si>
  <si>
    <t>PARQUES DEL SOL 510- 1.200.000</t>
  </si>
  <si>
    <t>MONTE FLOR 606-1.700.000</t>
  </si>
  <si>
    <t>PARQUES DEL SOL 1001- 1.200.000</t>
  </si>
  <si>
    <t>PARQUES DEL SOL 9603 1.000.000</t>
  </si>
  <si>
    <t>LOMA LINDA 1808-1.800.000</t>
  </si>
  <si>
    <t>ALEJANDRO ESTRELLA</t>
  </si>
  <si>
    <t>BAMBU 615 -</t>
  </si>
  <si>
    <t>PARQUES DEL SOL 710-1200000</t>
  </si>
  <si>
    <t>AIRES DEL BOSQUE 516-</t>
  </si>
  <si>
    <t> 14099</t>
  </si>
  <si>
    <t>CENTURY  2104-1.200.000</t>
  </si>
  <si>
    <t>JULIAN SOLIS</t>
  </si>
  <si>
    <t>COLIBRI 1406  -1.600.000</t>
  </si>
  <si>
    <t>22+4</t>
  </si>
  <si>
    <t>MONTEFLOR  1413- 1700.000</t>
  </si>
  <si>
    <t>BOUNAROTI 802</t>
  </si>
  <si>
    <t>EDISON</t>
  </si>
  <si>
    <t>CARRERA 43A N°69SUR 25</t>
  </si>
  <si>
    <t>PARQUES DEL SOL 801-1.300.000</t>
  </si>
  <si>
    <t xml:space="preserve"> EDIFICIO MANHATTAN  704-1.000.000</t>
  </si>
  <si>
    <t>PARQUES DEL SOL 701- 1300.000</t>
  </si>
  <si>
    <t>CARRERA 46D # 78 SUR-28 -1.900.000</t>
  </si>
  <si>
    <t> 13936</t>
  </si>
  <si>
    <t>MONTEFLOR 1911-1700.000</t>
  </si>
  <si>
    <t>9+2</t>
  </si>
  <si>
    <t>TOWERS 807</t>
  </si>
  <si>
    <t> 14109</t>
  </si>
  <si>
    <t>CANTO LUNA LOCAA-2.600.000</t>
  </si>
  <si>
    <t>PARQUES DEL SOL 610- 1.200.000</t>
  </si>
  <si>
    <t>TOWERS 1201-1.800.000</t>
  </si>
  <si>
    <t>KAMELOT -1.900.000</t>
  </si>
  <si>
    <t>AMONTE 1504- 1850.000</t>
  </si>
  <si>
    <t>BAMBU 615 -1.200.000</t>
  </si>
  <si>
    <t>AIRES DEL BOSQUE 516</t>
  </si>
  <si>
    <t>JUNIO 2022</t>
  </si>
  <si>
    <t>3+20</t>
  </si>
  <si>
    <t>MANANTIALES 712 -1.650.000</t>
  </si>
  <si>
    <t>CENTURY 1704- 1450.000</t>
  </si>
  <si>
    <t>AMONTE 1709- 2.000.000</t>
  </si>
  <si>
    <t>CYPRUS 515-2.500.000</t>
  </si>
  <si>
    <t>RIO SECRETO 1308-2.400.000</t>
  </si>
  <si>
    <t>MATEO URIBE</t>
  </si>
  <si>
    <t>BANGKOK 1805  2.500.000</t>
  </si>
  <si>
    <t>MADEROS DEL CAMPO 2307-1,800.000</t>
  </si>
  <si>
    <t>PORTAA</t>
  </si>
  <si>
    <t>RIO SECRETO 2405-2.500.000</t>
  </si>
  <si>
    <t>RIO MISTICO 601 - 1.900.000</t>
  </si>
  <si>
    <t>VEGAS PLAZA 1.100.000$</t>
  </si>
  <si>
    <t>MANANTIALES DE SAN JOSE  1814-  1,900,000</t>
  </si>
  <si>
    <t>VIVARE 1412-1.900-000</t>
  </si>
  <si>
    <t>VALPARAISO 1109-2.000.000</t>
  </si>
  <si>
    <t>CARRIQUI 204-2.400.000</t>
  </si>
  <si>
    <t>MESSANTIA  1404- 1.500.000</t>
  </si>
  <si>
    <t>VIVARE 1303- 2.100.000</t>
  </si>
  <si>
    <t>PEND UBICAR</t>
  </si>
  <si>
    <t>MOCACCINO 2204-3.300.000</t>
  </si>
  <si>
    <t xml:space="preserve">SANTIAGO LOPERA ARANGO					</t>
  </si>
  <si>
    <t>3+23</t>
  </si>
  <si>
    <t>PARQUES DEL SOL1501- 1.150.000</t>
  </si>
  <si>
    <t>MARAT PLUS 102- 2800.000</t>
  </si>
  <si>
    <t>CARRERA 67 N° 51 A SUR - 7 INT 301</t>
  </si>
  <si>
    <t xml:space="preserve">MAZZARO 1210- 1.200.000 </t>
  </si>
  <si>
    <t>CARRERA 67 N° 51 A SUR - 7 INT 201</t>
  </si>
  <si>
    <t xml:space="preserve">CATLEYA 2204- </t>
  </si>
  <si>
    <t>PORTAL DEL CARMELO 1503- 1,650,000</t>
  </si>
  <si>
    <t>LA VEGA 110-1.900.000</t>
  </si>
  <si>
    <t>LYRA 1403-1.800.000</t>
  </si>
  <si>
    <t>RIO SECRETO 703- 1.750.000</t>
  </si>
  <si>
    <t> 14293</t>
  </si>
  <si>
    <t>VISTA APARTAMIRADOR 4.000.000</t>
  </si>
  <si>
    <t>MONTANA 1.800,000</t>
  </si>
  <si>
    <t xml:space="preserve">EN FIRMAS </t>
  </si>
  <si>
    <t>AIRES DEL BOSQUE  1512-1.350.000</t>
  </si>
  <si>
    <t>MONTEFLOR 1617-1,700.000</t>
  </si>
  <si>
    <t>ESTUDIO</t>
  </si>
  <si>
    <t>MONTEFLOR 2310- 1.800.000</t>
  </si>
  <si>
    <t xml:space="preserve">MATEO	URIBE					</t>
  </si>
  <si>
    <t>MANANTIALES 712  -1.650.000</t>
  </si>
  <si>
    <t>CATLEYA 1703 -1.800.000</t>
  </si>
  <si>
    <t>MANANTIALES DE SAN JOSE 1814</t>
  </si>
  <si>
    <t>ALIDAS CALLE 64 SUR N° 46 A 12  2.300.000</t>
  </si>
  <si>
    <t>PARIS 1501 2.200.000</t>
  </si>
  <si>
    <t>VIVARE 1508-2.250.000</t>
  </si>
  <si>
    <t>MOCACCINO 2204- 3.300.000</t>
  </si>
  <si>
    <t>BRYAN AGUDELO</t>
  </si>
  <si>
    <t>RIO SECRETO 2605- 2.500.000</t>
  </si>
  <si>
    <t>MANANTIALES 1714-1.900.000</t>
  </si>
  <si>
    <t>PRESTIGE 2.800000</t>
  </si>
  <si>
    <t xml:space="preserve">PORTADA				</t>
  </si>
  <si>
    <t>MATTIZ 604  1.700.000</t>
  </si>
  <si>
    <t>MAZZARO 1210- 1.200.000</t>
  </si>
  <si>
    <t>JULIO 2022</t>
  </si>
  <si>
    <t xml:space="preserve">JUAN URREA </t>
  </si>
  <si>
    <t>11+3</t>
  </si>
  <si>
    <t>MANTIS 510 -2000.000</t>
  </si>
  <si>
    <t>JUAN</t>
  </si>
  <si>
    <t>VIVARE 1002 2.300.000</t>
  </si>
  <si>
    <t>LOMA LINDA 2007-1800.000</t>
  </si>
  <si>
    <t>CIUDADELA VILLA DEL BOSQUE 927 - 1.100.000</t>
  </si>
  <si>
    <t>CATTLEYA 1305-2500.000</t>
  </si>
  <si>
    <t>VIVARE 1812-2.300.000</t>
  </si>
  <si>
    <t>SEVILLA 401- 1.100.000</t>
  </si>
  <si>
    <t>AIRES DEL CAMPO 1523-1.450.000</t>
  </si>
  <si>
    <t>VIVARE 212-2.000.000</t>
  </si>
  <si>
    <t>MARAT 203-3.000.000</t>
  </si>
  <si>
    <t>ODONATA 1410-3.400.000</t>
  </si>
  <si>
    <t xml:space="preserve">SANTIAGO LOPERA </t>
  </si>
  <si>
    <t>MONTANA 901- 1.800.000</t>
  </si>
  <si>
    <t>RIO SECRETO 403- 1,850.000</t>
  </si>
  <si>
    <t>LOMA LINDA 407 1.700.000</t>
  </si>
  <si>
    <t>VILLA ROMERA 2417 1.100.000</t>
  </si>
  <si>
    <t>MATEO</t>
  </si>
  <si>
    <t>CATTLEYA 1203- 1.900.000</t>
  </si>
  <si>
    <t>VILLA ROMERA  423-1.150.000</t>
  </si>
  <si>
    <t>KORE 401-1.400.000</t>
  </si>
  <si>
    <t>CATTLEYA 1503-2.000.000</t>
  </si>
  <si>
    <t>SELVATICA 910- 2.000.000</t>
  </si>
  <si>
    <t xml:space="preserve">14478
</t>
  </si>
  <si>
    <t>MANANTIALES 1516 2000.000</t>
  </si>
  <si>
    <t>MANANTIALES 1714 -1.900.000</t>
  </si>
  <si>
    <t>VALPARAISO 1107-2000.000</t>
  </si>
  <si>
    <t>MISSONI 1802- 1.800.000</t>
  </si>
  <si>
    <t>SELVATICA1008-1.950.000</t>
  </si>
  <si>
    <t>CARRERA 45 67 SUR -88 AP 203 ALPES 1.350.000</t>
  </si>
  <si>
    <t>JUAN VILLA ENVIGADO</t>
  </si>
  <si>
    <t>RIO MISTICO 2307-2.300.000</t>
  </si>
  <si>
    <t>VILLA ROMERA 821- 1.200.000</t>
  </si>
  <si>
    <t>SELVATICA 1104 - 2.000.000</t>
  </si>
  <si>
    <t>LISBOA 612  -  1.700.000</t>
  </si>
  <si>
    <t xml:space="preserve">14448
</t>
  </si>
  <si>
    <t>SABANA ALTA 1602-  1.800.000 SUB</t>
  </si>
  <si>
    <t>SABATTO 1901- 1,600,000</t>
  </si>
  <si>
    <t>VIGO  508-1.500.000</t>
  </si>
  <si>
    <t xml:space="preserve">PROP DESISTE </t>
  </si>
  <si>
    <t>VIGO 1915-1.500.000-EMPALME</t>
  </si>
  <si>
    <t>AGOSTO 2022</t>
  </si>
  <si>
    <t>3+21</t>
  </si>
  <si>
    <t>VIGO 1908</t>
  </si>
  <si>
    <t>ALTOS DE VALPARAISO 1506- 1.900.000</t>
  </si>
  <si>
    <t>SANTIVARY 1108</t>
  </si>
  <si>
    <t>QUINTAS DE LA QUINTA CASA 107</t>
  </si>
  <si>
    <t>JARDINES DE SAN REMO 2808</t>
  </si>
  <si>
    <t>LIVING 2210</t>
  </si>
  <si>
    <t>VIÑA DE SAN REMO 1407-</t>
  </si>
  <si>
    <t>SABANA ALTA 505</t>
  </si>
  <si>
    <t>ODONATA 414-</t>
  </si>
  <si>
    <t>AMONTE 1010.-</t>
  </si>
  <si>
    <t xml:space="preserve">MADEROS DEL CAMPO 902 </t>
  </si>
  <si>
    <t>RIO MISTICO 2602</t>
  </si>
  <si>
    <t>RIO SECRETO 1504</t>
  </si>
  <si>
    <t xml:space="preserve">SABANA ALTA 401 </t>
  </si>
  <si>
    <t> 14695</t>
  </si>
  <si>
    <t>VIGO 1606</t>
  </si>
  <si>
    <t>CANELA 1501</t>
  </si>
  <si>
    <t>MANTIS 403</t>
  </si>
  <si>
    <t>KAMELOT 1303- 3.300.000</t>
  </si>
  <si>
    <t> 14650</t>
  </si>
  <si>
    <t>VISTA APARTAMIRADOR 2103</t>
  </si>
  <si>
    <t>MONTEFLOR 1619-1.800.000</t>
  </si>
  <si>
    <t>MONTEFLOR 1219</t>
  </si>
  <si>
    <t>CATTLEYA 902</t>
  </si>
  <si>
    <t>MONTEFLOR 604</t>
  </si>
  <si>
    <t>CATTLEYA 2201-2.700.000</t>
  </si>
  <si>
    <t>CYPRUS 1214- SUBROGACION 1.900.000 INCIIO 1</t>
  </si>
  <si>
    <t>MONTEFLOR 911</t>
  </si>
  <si>
    <t>VILLA ROMERA 1618-1.300.000</t>
  </si>
  <si>
    <t>MONTEFLOR 1220 - 1.700.000</t>
  </si>
  <si>
    <t>PARQUES DE SAN REMO 1808- 1.800.000</t>
  </si>
  <si>
    <t>AIRES DEL CAMPO 716-1500.000</t>
  </si>
  <si>
    <t>CATTLEYA 2406-1.900.000   INICIO 29</t>
  </si>
  <si>
    <t>CATTLEYA 2106- 2.000.000- INICIO 26</t>
  </si>
  <si>
    <t>BIANCO 2002- 2.600.000</t>
  </si>
  <si>
    <t>CATTLEYA 502 - 2.500.000</t>
  </si>
  <si>
    <t>RIO SECERTO 2713- 2.500.000</t>
  </si>
  <si>
    <t>MARAT 404-CLIENTE POR PORTERO</t>
  </si>
  <si>
    <t> 14798</t>
  </si>
  <si>
    <t>RIO SECRETO 1418</t>
  </si>
  <si>
    <t>BUONAROTTI 602-</t>
  </si>
  <si>
    <t xml:space="preserve">EDISSON </t>
  </si>
  <si>
    <t>PIEMONTE 102</t>
  </si>
  <si>
    <t>CANTO LUNA 1602-</t>
  </si>
  <si>
    <t>BOSQUE DE SAUCES 1917</t>
  </si>
  <si>
    <t>MOSTAZA 1209-1.750.000 SUBORGACION</t>
  </si>
  <si>
    <t>RIO SECRETO 701- 2.300.000</t>
  </si>
  <si>
    <t>SELVATICA 1003 - 1.650.000</t>
  </si>
  <si>
    <t>SELVATICA 1311- 2000000</t>
  </si>
  <si>
    <t>MOSTAZA 1212- 2.080.000- INICIO 1 SEPT</t>
  </si>
  <si>
    <t>ALEJANDRO RUDA</t>
  </si>
  <si>
    <t>3+1</t>
  </si>
  <si>
    <t>CATTLEYA 2202-2.700.000</t>
  </si>
  <si>
    <t> 14654</t>
  </si>
  <si>
    <t>VIGO 1915-1500000 SUBORGACION</t>
  </si>
  <si>
    <t>SEPTIEMBRE 2022</t>
  </si>
  <si>
    <t>3+25</t>
  </si>
  <si>
    <t>MONTECARMELO 701</t>
  </si>
  <si>
    <t>VIVARE 1012-2.100.000</t>
  </si>
  <si>
    <t>PARIS 2008</t>
  </si>
  <si>
    <t>PARIS 2108 2.100.000- INICIO 30 SEPT</t>
  </si>
  <si>
    <t>VIVARE 807  -  2.200.000 INICIO 26 SEPT</t>
  </si>
  <si>
    <t>KAMELOT 1303</t>
  </si>
  <si>
    <t>CENTRAL PARK 1001 - 2.300.000</t>
  </si>
  <si>
    <t>MAXIMILIANO</t>
  </si>
  <si>
    <t>VIVARE 1507- 2.500.000</t>
  </si>
  <si>
    <t>ALONDRA 810-3.100.000</t>
  </si>
  <si>
    <t>PARIS 2308- 2.000.000</t>
  </si>
  <si>
    <t>LA VEGA 124. 2.100.000</t>
  </si>
  <si>
    <t>CARRIQUI 409-2.100.000</t>
  </si>
  <si>
    <t> 15089</t>
  </si>
  <si>
    <t>VIVARE 1108-2.400.000</t>
  </si>
  <si>
    <t>EN ESTUDIO</t>
  </si>
  <si>
    <t>DUBLIN 1405- 2.000.000</t>
  </si>
  <si>
    <t>MONTEFLOR 2015</t>
  </si>
  <si>
    <t>BIANCO 2202</t>
  </si>
  <si>
    <t>SELVATICA 213</t>
  </si>
  <si>
    <t>VEGAS PLAZA 2124- 1.650.000</t>
  </si>
  <si>
    <t>CARLOS VALLEJO</t>
  </si>
  <si>
    <t>VILLA ROMERA 912</t>
  </si>
  <si>
    <t>VILLA ROMERA 2309</t>
  </si>
  <si>
    <t>ELIZABETH</t>
  </si>
  <si>
    <t xml:space="preserve"> VEGAS CALLE 73 SUR N°46E 37 INTERIOR 201</t>
  </si>
  <si>
    <t>VILLA ROMERA 1018- 1.200.000</t>
  </si>
  <si>
    <t>LISBOA 3211 1.650.000</t>
  </si>
  <si>
    <t>VILLA ROMERA 413- 1.300.000</t>
  </si>
  <si>
    <t>SABATTO 803- 2.100.000</t>
  </si>
  <si>
    <t>3+14</t>
  </si>
  <si>
    <t xml:space="preserve">JUAN </t>
  </si>
  <si>
    <t>BIANCO 2101</t>
  </si>
  <si>
    <t>AIRES DEL CAMPO 1213-1.350000</t>
  </si>
  <si>
    <t>TOWERS 2210</t>
  </si>
  <si>
    <t xml:space="preserve">SANTIVARI 701 </t>
  </si>
  <si>
    <t>LYRA 2606</t>
  </si>
  <si>
    <t>MOSTAZA 506- 2.300.000</t>
  </si>
  <si>
    <t>RIO SECRETO 2018 - 2300000</t>
  </si>
  <si>
    <t>RIO SECRETO 1912-2.000.000</t>
  </si>
  <si>
    <t>SEBASTIAN RUIZ</t>
  </si>
  <si>
    <t>TORRE PRAGA 802 1.400.000</t>
  </si>
  <si>
    <t>VILLA ROMERA 9902- 950.000</t>
  </si>
  <si>
    <t>VILLA ROMERA 1307- SUBORGACION 1.200.000</t>
  </si>
  <si>
    <t>OCTUBRE  2022</t>
  </si>
  <si>
    <t>AMONTE 1308- 2.250.000</t>
  </si>
  <si>
    <t>KAMELOT 1802- 2.350.000</t>
  </si>
  <si>
    <t>AIRES DEL BOSQUE 2611</t>
  </si>
  <si>
    <t>CANTOLUNA 1403- 2.200.000</t>
  </si>
  <si>
    <t>AMONTE 2717- 2.500.000</t>
  </si>
  <si>
    <t>CORTIJO DE SAN JOSE CASA 86 -6.000.000</t>
  </si>
  <si>
    <t>RINCON DE LA DOCTORA-5.500.000</t>
  </si>
  <si>
    <t>RINCON DE LA DOCTORA CASA 4 -5.300.000</t>
  </si>
  <si>
    <t xml:space="preserve">VENTUM 2008-2.500.000 </t>
  </si>
  <si>
    <t>SALTAMONTES 1206-3.400.000</t>
  </si>
  <si>
    <t> 15155</t>
  </si>
  <si>
    <t>AIRES DEL CAMPO 2613-1.450.000</t>
  </si>
  <si>
    <t>MONTEFLOR 810- 1.800.000</t>
  </si>
  <si>
    <t>MONTEFLOR 2613-1.700.000</t>
  </si>
  <si>
    <t>CATTLEYA 1401- 2.600.000</t>
  </si>
  <si>
    <t> 15164</t>
  </si>
  <si>
    <t>LOMA LINDA 2301-2.100.000</t>
  </si>
  <si>
    <t>EIDER</t>
  </si>
  <si>
    <t>PARIS 507-2.550.000</t>
  </si>
  <si>
    <t>MONTEFLOR 303- 2.000.000</t>
  </si>
  <si>
    <t>MONTEFLOR 1306- 1,800,000</t>
  </si>
  <si>
    <t>AIRES DEL CAMPO 2014-1.500.000</t>
  </si>
  <si>
    <t>VISTA DEL VALLE 2204- 1.600.000</t>
  </si>
  <si>
    <t>AIRES DEL CAMPO 1420- 1350000</t>
  </si>
  <si>
    <t>MONTEFLOR 2207- 1.700.000</t>
  </si>
  <si>
    <t>LOMA LINDA 306- 1.900.000</t>
  </si>
  <si>
    <t>RIO MISTICO 2603 -  2.200.000</t>
  </si>
  <si>
    <t>ALAIA MANTRA 1605-2.500.000</t>
  </si>
  <si>
    <t>VEGAS PLAZA 3206-1.700.000</t>
  </si>
  <si>
    <t>RIO SECRETO 1510-2.000.000</t>
  </si>
  <si>
    <t>RIO SECRETO 1912- 2.300.000</t>
  </si>
  <si>
    <t>VENTUM 2208-2.500.000- EMPALME</t>
  </si>
  <si>
    <t>PARIS 2305- 2.800.000</t>
  </si>
  <si>
    <t>VILLA ROMERA 2232-1.200.000</t>
  </si>
  <si>
    <t>SEBASTIAN</t>
  </si>
  <si>
    <t>AIRES DEL BOSQUE 2611-1.300.000</t>
  </si>
  <si>
    <t>VILLA ROMERA 2123-1.250.000</t>
  </si>
  <si>
    <t>HUGO</t>
  </si>
  <si>
    <t xml:space="preserve">SALDARRIAGA  403-1.200.000 SUBROGACION </t>
  </si>
  <si>
    <t>NOVIEMBRE 2022</t>
  </si>
  <si>
    <t>CANTOLUNA  1702</t>
  </si>
  <si>
    <t>IGUAZU LA ESTRELLA - 4300000</t>
  </si>
  <si>
    <t>RIO MISTICO 1308- 2.400.000</t>
  </si>
  <si>
    <t>MARAT 203- 2.800.000</t>
  </si>
  <si>
    <t>SALTAMONTES 505- 2.000.000</t>
  </si>
  <si>
    <t>AIRES DEL CAMPO 1820 -1,500.000</t>
  </si>
  <si>
    <t>AMONTE 2014</t>
  </si>
  <si>
    <t>CANELA 1206- 2.500.000</t>
  </si>
  <si>
    <t>LA VEGA 105  2.700.000</t>
  </si>
  <si>
    <t> 15508</t>
  </si>
  <si>
    <t xml:space="preserve">AMONTE 2711  </t>
  </si>
  <si>
    <t xml:space="preserve">KORE 616 -2.100.000 EMPALME </t>
  </si>
  <si>
    <t>BALCONES DE LA HOLANDA 1903 - 1.600.000</t>
  </si>
  <si>
    <t>EMPALME OK</t>
  </si>
  <si>
    <t>BANGKOK 1702- 2.900.000 PARA DICIEMBRE</t>
  </si>
  <si>
    <t>BANGKOK 2502-3.000.000</t>
  </si>
  <si>
    <t>VILLA ROMERA 515- 1.200.000</t>
  </si>
  <si>
    <t>PASEO SAN FRANCISCO 303- 1.800.000</t>
  </si>
  <si>
    <t>PARIS 1605-2.500.000</t>
  </si>
  <si>
    <t>MONTEFLOR 1502- 1.800.000</t>
  </si>
  <si>
    <t>IVON</t>
  </si>
  <si>
    <t> CL 119 64 D 11 AP 201</t>
  </si>
  <si>
    <t>AIRES DEL CAMPO 9615 1.350.00</t>
  </si>
  <si>
    <t>CL 119 64 D 11 AP 301</t>
  </si>
  <si>
    <t>FUENTE CLARA 712 1.800.000 EMPALME</t>
  </si>
  <si>
    <t>CIGARRAS 1408- 2.600.000- EMPALME</t>
  </si>
  <si>
    <t>VILLA ROMERA 2118- 1.300.000</t>
  </si>
  <si>
    <t>MONTEFLOR 1915 - 1.900.000</t>
  </si>
  <si>
    <t>MONTEFLOR 1812-1.900.000</t>
  </si>
  <si>
    <t>MONTEFLOR 1215- 1.800.000</t>
  </si>
  <si>
    <t>MISONNI 1308  2.150.000</t>
  </si>
  <si>
    <t>PARIS 1505 - 2.700.000</t>
  </si>
  <si>
    <t>RIO SECRETO 504 2.200.000</t>
  </si>
  <si>
    <t>ED EMANUEL 701- 1,700,000</t>
  </si>
  <si>
    <t>RIO SECRETO 2703 -2000000</t>
  </si>
  <si>
    <t xml:space="preserve">15529
</t>
  </si>
  <si>
    <t>VILLA ROMERA 2507- 1.200.000</t>
  </si>
  <si>
    <t>VILLA ROMERA 1214- 1.200.000</t>
  </si>
  <si>
    <t>SEBASTIAN ECHAVARRIA</t>
  </si>
  <si>
    <t>COLIBRI 1406- 1.900.000</t>
  </si>
  <si>
    <t>MADEROS DEL CAMPO 307- 2.900.000</t>
  </si>
  <si>
    <t xml:space="preserve">FIRMAS </t>
  </si>
  <si>
    <t>DICIEMBRE 2022</t>
  </si>
  <si>
    <t>BANGKOK 2506-3.000.000</t>
  </si>
  <si>
    <t>MONTEFLOR 416 1.900.000</t>
  </si>
  <si>
    <t>MONTEFLOR 1618  1.900.000</t>
  </si>
  <si>
    <t>PRIMEIRO 1702 - 1,900.000</t>
  </si>
  <si>
    <t xml:space="preserve">CATTLEYA 704 </t>
  </si>
  <si>
    <t>BALCONES DE SANTA ANA  1.100.000</t>
  </si>
  <si>
    <t>ENERO 2022 - MONICA MEDRANO</t>
  </si>
  <si>
    <t>PROPIETARIO</t>
  </si>
  <si>
    <t>MONICA</t>
  </si>
  <si>
    <t>MOSTAZA 1007 1.450.000</t>
  </si>
  <si>
    <t>inquilina queria iniciar despues del 24 prop firmo con otra inmobiliaria</t>
  </si>
  <si>
    <t>PASEO DE SAN FRANCISCO 1903 - 1.500.000</t>
  </si>
  <si>
    <t>La hija de la inquilina va y dice que no le gusta el tamaño de la habitación, desiste del negocio, se le muestran varias opciones y la hija nunca le gusta nada.</t>
  </si>
  <si>
    <t>Propietaria dice que solo puede iniciar el 1 de febrero, el inquilino acepta y luego llama desistiendo del proceso.</t>
  </si>
  <si>
    <t>Inquilina solo quiere a 6 meses y rpopietario no acepta</t>
  </si>
  <si>
    <t>TOTAL-----------------------------------&gt;</t>
  </si>
  <si>
    <t>ENERO 2022 - EIDER LONDOÑO</t>
  </si>
  <si>
    <t xml:space="preserve">MADEROS DEL CAMPO 1303 </t>
  </si>
  <si>
    <t>Cliente desiste del proceso porque a la esposa no le gusto el sector</t>
  </si>
  <si>
    <t>El inquilino desiste del negocio</t>
  </si>
  <si>
    <t>Le solicitan deudor y no lo presenta, no lo aseguran solo</t>
  </si>
  <si>
    <t>ENERO 2022 - PORTADA</t>
  </si>
  <si>
    <t xml:space="preserve">CONSOLIDADO SABANETA ENERO 2022- CATHERINE DIAZ </t>
  </si>
  <si>
    <t>VERÓNICA</t>
  </si>
  <si>
    <t>FACTURADO</t>
  </si>
  <si>
    <t>VERONICA</t>
  </si>
  <si>
    <t>TORRE SAVANNAH APT 503  1.050.000</t>
  </si>
  <si>
    <t>SANTIVARI 1902  1.650.000</t>
  </si>
  <si>
    <t>SABATTO 1107 1.800.000</t>
  </si>
  <si>
    <t>TOTAL A PAGAR ----&gt;</t>
  </si>
  <si>
    <t>FEBRERO 2022 - MONICA MEDRANO</t>
  </si>
  <si>
    <t>RINCON DE LA DOCTORA 2.650.000</t>
  </si>
  <si>
    <t>FEBRERO 2022 - EIDER LONDOÑO</t>
  </si>
  <si>
    <t>FEBRERO 2022 - KAREN</t>
  </si>
  <si>
    <t>KAREN</t>
  </si>
  <si>
    <t xml:space="preserve">CONSOLIDADO SABANETA FEBRERO 2022- CATHERINE DIAZ </t>
  </si>
  <si>
    <t>CATHERINE</t>
  </si>
  <si>
    <t>MARZO 2022 - MONICA MEDRANO</t>
  </si>
  <si>
    <t>MARZO 2022 - EIDER LONDOÑO</t>
  </si>
  <si>
    <t>MARZO 2022 - KAREN</t>
  </si>
  <si>
    <t xml:space="preserve">CONSOLIDADO SABANETA MARZO 2022- CATHERINE DIAZ </t>
  </si>
  <si>
    <t>ABRIL 2022 - MONICA MEDRANO</t>
  </si>
  <si>
    <t>EDF SALDARRIAGA 403  1.150.000</t>
  </si>
  <si>
    <t>ABRIL 2022 - EIDER LONDOÑO</t>
  </si>
  <si>
    <t>ABRIL 2022 - KAREN</t>
  </si>
  <si>
    <t>MAYO 2022 - MONICA MEDRANO</t>
  </si>
  <si>
    <t>COMISION</t>
  </si>
  <si>
    <t>P</t>
  </si>
  <si>
    <t>ADMON</t>
  </si>
  <si>
    <t>INV</t>
  </si>
  <si>
    <t>KORE-1911</t>
  </si>
  <si>
    <t>SABATTO 2105</t>
  </si>
  <si>
    <t> 13973</t>
  </si>
  <si>
    <t>ALAMEDA 2314</t>
  </si>
  <si>
    <t>VENTUM 1706</t>
  </si>
  <si>
    <t>MANTIS 1103</t>
  </si>
  <si>
    <t> 14002</t>
  </si>
  <si>
    <t>LA VEGA 120          CLIENTE PORTERO</t>
  </si>
  <si>
    <t xml:space="preserve">CARRIQUI 203 </t>
  </si>
  <si>
    <t xml:space="preserve">GAUDI 1101                             </t>
  </si>
  <si>
    <t>VIVARE 1004</t>
  </si>
  <si>
    <t>SABANA ALTA 1112</t>
  </si>
  <si>
    <t xml:space="preserve">COLIBRI 1406 </t>
  </si>
  <si>
    <t> 14022</t>
  </si>
  <si>
    <t>MONTEFLOR  1413</t>
  </si>
  <si>
    <t>BOUNAROTI 802               INICIA JUNIO 1</t>
  </si>
  <si>
    <t>N/A</t>
  </si>
  <si>
    <t>CANTO LUNA LOCAL</t>
  </si>
  <si>
    <t xml:space="preserve">PEND DE UBICAR </t>
  </si>
  <si>
    <t>BALUARTE 2802 4.200.000</t>
  </si>
  <si>
    <t xml:space="preserve">DESISTE </t>
  </si>
  <si>
    <t>BALUARTE 1004 2.500.000</t>
  </si>
  <si>
    <t>MAYO 2022 - KAREN CASTRO</t>
  </si>
  <si>
    <t>AMONTE 2604</t>
  </si>
  <si>
    <t xml:space="preserve">PALO SANTO 1702 </t>
  </si>
  <si>
    <t xml:space="preserve">PALO SANTO 1701 </t>
  </si>
  <si>
    <t>VIVARE 1407-           INICIO 1 JUNIO</t>
  </si>
  <si>
    <t>LISBOA 702</t>
  </si>
  <si>
    <t xml:space="preserve">FUENTE CLARA 313 </t>
  </si>
  <si>
    <t>PARQUES DEL SOL 510</t>
  </si>
  <si>
    <t>MONTE FLOR 606</t>
  </si>
  <si>
    <t>PARQUES DEL SOL 1001</t>
  </si>
  <si>
    <t xml:space="preserve">PARQUES DEL SOL 9603 </t>
  </si>
  <si>
    <t>LOMA LINDA 1808</t>
  </si>
  <si>
    <t xml:space="preserve">BAMBU 615 </t>
  </si>
  <si>
    <t xml:space="preserve">PARQUES DEL SOL 710 </t>
  </si>
  <si>
    <t xml:space="preserve">CENTURY  2104       </t>
  </si>
  <si>
    <t xml:space="preserve">ALONDRA 506-1.400.000 </t>
  </si>
  <si>
    <t>MAYO 2022 - EIDER LONDOÑO</t>
  </si>
  <si>
    <t>BALUARTE 1404</t>
  </si>
  <si>
    <t>PUERTA DE MAYORCA</t>
  </si>
  <si>
    <t xml:space="preserve">CARRERA 43A N°69SUR 25  </t>
  </si>
  <si>
    <t xml:space="preserve">PARQUES DEL SOL 801 </t>
  </si>
  <si>
    <t xml:space="preserve"> EDIFICIO MANHATTAN  704</t>
  </si>
  <si>
    <t>PARQUES DEL SOL 610</t>
  </si>
  <si>
    <t>TOWERS 1201</t>
  </si>
  <si>
    <t>ALCAZARES 503                 INICIO 1  JUNIO</t>
  </si>
  <si>
    <t>PARQUES DEL SOL 701    INICIO 1  JUNIO</t>
  </si>
  <si>
    <t>KAMELOT 1805                   NO DESOC.</t>
  </si>
  <si>
    <t xml:space="preserve">CARRERA 46D # 78 SUR-28 </t>
  </si>
  <si>
    <t>Manantiales de San José 712-1600.000</t>
  </si>
  <si>
    <t>MAYO 2022 - LUISA QUINTERO</t>
  </si>
  <si>
    <t>MONTEFLOR 1911</t>
  </si>
  <si>
    <t>MAYO 2022 - JENIFFER ARANGO</t>
  </si>
  <si>
    <t>LA VEGA 120 -cliente portero</t>
  </si>
  <si>
    <t>GAUDI 1101</t>
  </si>
  <si>
    <t>CANTO LUNA 2.600.000</t>
  </si>
  <si>
    <t>BALUARTE 1404- 2.900.000</t>
  </si>
  <si>
    <t>KAMELOT 1805 -1.900.000</t>
  </si>
  <si>
    <t>JUNIO 2022 - MONICA MEDRANO</t>
  </si>
  <si>
    <t>VALPARAISO 1109</t>
  </si>
  <si>
    <t>VIVARE 1412</t>
  </si>
  <si>
    <t>CARRIQUI 204</t>
  </si>
  <si>
    <t>PORTAL DEL CARMELO 1503</t>
  </si>
  <si>
    <t>LA VEGA 110</t>
  </si>
  <si>
    <t>LYRA 1403</t>
  </si>
  <si>
    <t xml:space="preserve">VISTA APARTAMIRADOR </t>
  </si>
  <si>
    <t>RIO SECRETO 703</t>
  </si>
  <si>
    <t>RIO SECRETO 2605</t>
  </si>
  <si>
    <t>pend  ubicar</t>
  </si>
  <si>
    <t>AMATISTA 2401-3800.000</t>
  </si>
  <si>
    <t>JUNIO 2022 - KAREN CASTRO</t>
  </si>
  <si>
    <t>ROMAZZINO 1704-1350000</t>
  </si>
  <si>
    <t xml:space="preserve">RIO MISTICO 601 </t>
  </si>
  <si>
    <t>VEGAS PLAZA 1027</t>
  </si>
  <si>
    <t>CATLEYA 2204- 2.500.000   1 JULIO</t>
  </si>
  <si>
    <t xml:space="preserve">14209
</t>
  </si>
  <si>
    <t>PARIS 2.200.000</t>
  </si>
  <si>
    <t>ALIDAS CALLE 64 SUR N° 46 A 12 2.300.000</t>
  </si>
  <si>
    <t>VIVARE 1508-2.250.000  29 JUNIO</t>
  </si>
  <si>
    <t>JUNIO 2022 - EIDER LONDOÑO</t>
  </si>
  <si>
    <t>AMONTE 1504- PORTERO X CLIENTE</t>
  </si>
  <si>
    <t>CENTURY 1704</t>
  </si>
  <si>
    <t>CYPRUS 515</t>
  </si>
  <si>
    <t>AMONTE 1709</t>
  </si>
  <si>
    <t>RIO SECRETO 1308</t>
  </si>
  <si>
    <t xml:space="preserve">BANGKOK 1805 </t>
  </si>
  <si>
    <t>MADEROS DEL CAMPO</t>
  </si>
  <si>
    <t>RIO SECRETO 2405</t>
  </si>
  <si>
    <t>PARQUES DEL SOL1501</t>
  </si>
  <si>
    <t> 14308</t>
  </si>
  <si>
    <t>MESSANTIA  1404</t>
  </si>
  <si>
    <t xml:space="preserve">MANANTIALES 712 </t>
  </si>
  <si>
    <t>RIO SECRETO 403- 1.900.000</t>
  </si>
  <si>
    <t>pend ubicar</t>
  </si>
  <si>
    <t>VIVARE 1303- 2.300.000</t>
  </si>
  <si>
    <t>JUNIO 2022 -LUISA QUINTERO</t>
  </si>
  <si>
    <t>FUENTE CLARA 1209-1.900.000-SUBORGACION</t>
  </si>
  <si>
    <t>JUNIO 2022 -JENIFFER ARANGO</t>
  </si>
  <si>
    <t>VIVARE 1412-1.900-000- inicio 25 julio</t>
  </si>
  <si>
    <t>LA VEGA 110-1.900.000 inicia 25</t>
  </si>
  <si>
    <t>LYRA 1403-1.900.000 inicia 29</t>
  </si>
  <si>
    <t>MATTIZ 604  1.700.000-inicio 1 julio</t>
  </si>
  <si>
    <t xml:space="preserve">BANGKOK 1805  2.500.000- INICIO 1 JULIO </t>
  </si>
  <si>
    <t>MADEROS DEL CAMPO-1,800.000</t>
  </si>
  <si>
    <t>FUENTE CLARA 1209-1.800.000-SUBORGACION</t>
  </si>
  <si>
    <t>JULIO 2022 - EIDER LONDOÑO</t>
  </si>
  <si>
    <t>AIRES DEL CAMPO 1523-</t>
  </si>
  <si>
    <t>JULIO 2022 - MONICA MEDRANO</t>
  </si>
  <si>
    <t>MISSONI 1802- 1.800.000- portero por cliente</t>
  </si>
  <si>
    <t>JULIO 2022 - KAREN CASTRO</t>
  </si>
  <si>
    <t>VILLA ROMERA 2417 1.100.000- 4AGOSTO</t>
  </si>
  <si>
    <t>AGOSTO 2022 - EIDER LONDOÑO</t>
  </si>
  <si>
    <t>AR</t>
  </si>
  <si>
    <t>CYPRUS 1214</t>
  </si>
  <si>
    <t>CATTLEYA 2202</t>
  </si>
  <si>
    <t>VILLA ROMERA 2309- 1.200.000</t>
  </si>
  <si>
    <t>AGOSTO 2022 -MONICA MEDRANO</t>
  </si>
  <si>
    <t>ODONATA 414</t>
  </si>
  <si>
    <t>AMONTE 1010.</t>
  </si>
  <si>
    <t xml:space="preserve">MADEROS DEL CAMPO 902  </t>
  </si>
  <si>
    <t>SABANA ALTA 401</t>
  </si>
  <si>
    <t>VILLA ROMERA 1618</t>
  </si>
  <si>
    <t xml:space="preserve">MONTEFLOR 1220 </t>
  </si>
  <si>
    <t>PARQUES DE SAN REMO 1808</t>
  </si>
  <si>
    <t>ALTOS DE VALPARAISO 1506</t>
  </si>
  <si>
    <t>AIRES DEL CAMPO 716</t>
  </si>
  <si>
    <t>MONTEFLOR 1619</t>
  </si>
  <si>
    <t>AGOSTO 2022 -KAREN CASTRO</t>
  </si>
  <si>
    <t xml:space="preserve">CANELA 1501- </t>
  </si>
  <si>
    <t>MOSTAZA 1209</t>
  </si>
  <si>
    <t>RIO SECRETO 701</t>
  </si>
  <si>
    <t xml:space="preserve">SELVATICA 1003 </t>
  </si>
  <si>
    <t>SELVATICA 1311</t>
  </si>
  <si>
    <t>MOSTAZA 1212</t>
  </si>
  <si>
    <t>CATTLEYA 2406</t>
  </si>
  <si>
    <t>CATTLEYA 2106</t>
  </si>
  <si>
    <t>BIANCO 2002</t>
  </si>
  <si>
    <t>CATTLEYA 502</t>
  </si>
  <si>
    <t>RIO SECERTO 2713</t>
  </si>
  <si>
    <t>LIVING 2210-2.200.000</t>
  </si>
  <si>
    <t>AGOSTO 2022 -JENIFFER ARANGO</t>
  </si>
  <si>
    <t>VIÑA DE SAN REMO 1407</t>
  </si>
  <si>
    <t>MARAT 404</t>
  </si>
  <si>
    <t>BUONAROTTI 602</t>
  </si>
  <si>
    <t>MONTEFLOR 1219-</t>
  </si>
  <si>
    <t xml:space="preserve">CYPRUS 1214- </t>
  </si>
  <si>
    <t>CATTLEYA 902 -</t>
  </si>
  <si>
    <t> 14836</t>
  </si>
  <si>
    <t>VIGO 1915</t>
  </si>
  <si>
    <t>SEPT  2022 - EIDER LONDOÑO</t>
  </si>
  <si>
    <t>VIVARE 1507- 2.500.000 INCIIO 30</t>
  </si>
  <si>
    <t>AIRES DEL CAMPO 1213  INICIO 1 OCT</t>
  </si>
  <si>
    <t>DESISTE</t>
  </si>
  <si>
    <t>AIRES DEL CAMPO 1213 1.350.000</t>
  </si>
  <si>
    <t>MONTEFLOR 405-1.700.000</t>
  </si>
  <si>
    <t>VIVARE 1507- 2.300.000</t>
  </si>
  <si>
    <t>SEPT  2022 -MONICA MEDRANO</t>
  </si>
  <si>
    <t xml:space="preserve">ALONDRA 810-3.100.000  INCIIO 1 OCT </t>
  </si>
  <si>
    <t xml:space="preserve">LA VEGA 124. 2.100.000 INICIO 03 OCT </t>
  </si>
  <si>
    <t>SALDARRIAGA 403 SUBROGACION</t>
  </si>
  <si>
    <t>SALTAMONTES 808-2.150.000</t>
  </si>
  <si>
    <t>SABATTO 803-1.900.000</t>
  </si>
  <si>
    <t>PEND DE UBICAR</t>
  </si>
  <si>
    <t>VIVARE 1308 - 2300000</t>
  </si>
  <si>
    <t>ALCAZAR DEL POMAR 110  - 5000000</t>
  </si>
  <si>
    <t>SELVATICA 604  -  1950000</t>
  </si>
  <si>
    <t>AIRES DEL CAMPO 2014 -  1600000</t>
  </si>
  <si>
    <t>SEPT  2022 -KAREN CASTRO</t>
  </si>
  <si>
    <t>SALTAMONTES 1206 -2.150.000</t>
  </si>
  <si>
    <t>FIDELENA PARK -2.500.000</t>
  </si>
  <si>
    <t>VIVARE 1507- 2.400.000</t>
  </si>
  <si>
    <t>SEPT  2022 -PORTADA</t>
  </si>
  <si>
    <t>SEPT  2022 -JENIFFER ARANGO</t>
  </si>
  <si>
    <t>AIRES DEL CAMPO 1213-1.350,000</t>
  </si>
  <si>
    <t>OCTUBRE 2022</t>
  </si>
  <si>
    <t>OCT   2022 - EIDER LONDOÑO</t>
  </si>
  <si>
    <t>INICIO 3 NOV</t>
  </si>
  <si>
    <t>INICIO 26 OCT</t>
  </si>
  <si>
    <t>INICIO 03 NOV</t>
  </si>
  <si>
    <t>LOCAL CANTOLUNA- 2.850.000</t>
  </si>
  <si>
    <t>PARA NOVIEMBRE</t>
  </si>
  <si>
    <t>CANTOLUNA 1702 -2.000.000 -EMPALME</t>
  </si>
  <si>
    <t>INICIO 1 NOV</t>
  </si>
  <si>
    <t>VILLA ROMERA 515 1.200.000</t>
  </si>
  <si>
    <t>VILLA ROMERA 1007-1.100.000</t>
  </si>
  <si>
    <t>DESISTIO</t>
  </si>
  <si>
    <t>AIRES DEL BOSQUE  2611- 1,300.000</t>
  </si>
  <si>
    <t>VILLA ROMERA 2123-1.200.000</t>
  </si>
  <si>
    <t>MONTEFLOR 2521-1.800.000</t>
  </si>
  <si>
    <t>KAMELOT 1004-2.800.000</t>
  </si>
  <si>
    <t>MOCCA 806-1.500.000</t>
  </si>
  <si>
    <t>ODONATA 412-2.700.000</t>
  </si>
  <si>
    <t>MANTIS 1208-3.300.000</t>
  </si>
  <si>
    <t>OCT  2022 -MONICA MEDRANO</t>
  </si>
  <si>
    <t>AIRES DEL CAMPO 1420- 1350000-  EMPALME</t>
  </si>
  <si>
    <t>INCIIO 1 NOV</t>
  </si>
  <si>
    <t>MONTEFLOR 2207- 1.750.000</t>
  </si>
  <si>
    <t xml:space="preserve">INICIO 26 OCT </t>
  </si>
  <si>
    <t xml:space="preserve">INICIO 28 OCT </t>
  </si>
  <si>
    <t xml:space="preserve">FUENTE CLARA  712-1.800-000- EMPALME </t>
  </si>
  <si>
    <t>CIGARRAS 1408- 2.600.000-EMPALME</t>
  </si>
  <si>
    <t>OCT  2022 - KAREN CASTRO</t>
  </si>
  <si>
    <t>INICIO 25 OCT</t>
  </si>
  <si>
    <t>KAMELOT 1004-2.900.000</t>
  </si>
  <si>
    <t>MONTEFLOR 1405-1.900.000</t>
  </si>
  <si>
    <t>CATTLEYA-803- 2.100.000</t>
  </si>
  <si>
    <t>OCT  2022 -PORTADA</t>
  </si>
  <si>
    <t>PASEO SAN FRANCISCO 1808</t>
  </si>
  <si>
    <t>OCT  2022 -Jeniffer Arango</t>
  </si>
  <si>
    <t>NOV   2022 - EIDER LONDOÑO</t>
  </si>
  <si>
    <t xml:space="preserve">RIO SECRETO 504 2.200.000 INICIA 05 DIC </t>
  </si>
  <si>
    <t>MIRADOR DE SABANETA 101 900.000$</t>
  </si>
  <si>
    <t>BANGKOK 2502-3.000.000 PARA DICIEMBRE</t>
  </si>
  <si>
    <t>MANANTIALES DE SAN JOSE 1313 2-500.000</t>
  </si>
  <si>
    <t xml:space="preserve">pend reubicar </t>
  </si>
  <si>
    <t>RINCON DE LA DOCTORA CASA 46  5.500.000</t>
  </si>
  <si>
    <t>MESSANTIA 3415- 2.500.000</t>
  </si>
  <si>
    <t>MANTIS 704- 3.500.000</t>
  </si>
  <si>
    <t>VEGAS PLAZA 2018-1.600.000</t>
  </si>
  <si>
    <t>NOV   2022 - MONICA MEDRANO</t>
  </si>
  <si>
    <t>CANELA 1205- 2.500.000</t>
  </si>
  <si>
    <t>ARAMUS 3.700.000</t>
  </si>
  <si>
    <t>INQ DESISTE</t>
  </si>
  <si>
    <t>PARIS 1605 -2.700.000</t>
  </si>
  <si>
    <t>MARAT 1302- 3.500.000</t>
  </si>
  <si>
    <t>CATTLEYA 1603 2.200.000-ojo colocacion</t>
  </si>
  <si>
    <t>NOV   2022 - KAREN CASTRO</t>
  </si>
  <si>
    <t>BALCONES DE LA HOLANDA 1903 - INCIO 1-12</t>
  </si>
  <si>
    <t>RIO SECRETO 2703 -  INCIO 1-12</t>
  </si>
  <si>
    <t>PARIS 1605-2.700.000 INICIO 5 12</t>
  </si>
  <si>
    <t>MADEROS DEL CAMPO 307- 2.900.000  INCIO 1-12</t>
  </si>
  <si>
    <t>RIO SECRETO 2703 -2000000 INCIO 1-12</t>
  </si>
  <si>
    <t>PARIS 1605-2.700.000  INCIO 5-12</t>
  </si>
  <si>
    <t>TOTAL FIRMADO NOV</t>
  </si>
  <si>
    <t>FIRMAS DICIEMBRE</t>
  </si>
  <si>
    <t xml:space="preserve">OBSERVACION </t>
  </si>
  <si>
    <t xml:space="preserve">El ctto 15435 correspondiente a Iguazu sera tomado en cuenta para meta de la sede la Estrella </t>
  </si>
  <si>
    <t>DIC 2022 - EIDER LONDOÑO</t>
  </si>
  <si>
    <t>DIC 2022 - KAREN</t>
  </si>
  <si>
    <t>DIC 2022 - MONICA</t>
  </si>
  <si>
    <t>DIC 2022 - PORTADA</t>
  </si>
  <si>
    <t>JUAN CAMILO URREA  -  ENERO 2022</t>
  </si>
  <si>
    <t xml:space="preserve">FECHA </t>
  </si>
  <si>
    <t>TIPO</t>
  </si>
  <si>
    <t>APTO</t>
  </si>
  <si>
    <t xml:space="preserve">SECTOR </t>
  </si>
  <si>
    <t>VALOR</t>
  </si>
  <si>
    <t xml:space="preserve">PORTERO O DIRECTO </t>
  </si>
  <si>
    <t xml:space="preserve">AVISOS </t>
  </si>
  <si>
    <t xml:space="preserve">FOTOS </t>
  </si>
  <si>
    <t>CT ARRIENDO</t>
  </si>
  <si>
    <t>CT VENTA</t>
  </si>
  <si>
    <t>ASESOR</t>
  </si>
  <si>
    <t>30/12/2021</t>
  </si>
  <si>
    <t xml:space="preserve">APARTAMENTO  </t>
  </si>
  <si>
    <t>CARRIQUI 304</t>
  </si>
  <si>
    <t xml:space="preserve">SABANETA </t>
  </si>
  <si>
    <t>PORTERO</t>
  </si>
  <si>
    <t xml:space="preserve">SI </t>
  </si>
  <si>
    <t>BANGKOK 1105</t>
  </si>
  <si>
    <t>SABANA ALTA 1506</t>
  </si>
  <si>
    <t>DIRECTO</t>
  </si>
  <si>
    <t>SELVATICA 310</t>
  </si>
  <si>
    <t>RUISEÑOR 601</t>
  </si>
  <si>
    <t>MONTEFLOR 902</t>
  </si>
  <si>
    <t>13/01/2022</t>
  </si>
  <si>
    <t>PASEO DE SAN FRANCISCO 1903</t>
  </si>
  <si>
    <t>14/01/2022</t>
  </si>
  <si>
    <t>NATURA 1418</t>
  </si>
  <si>
    <t>15/01/2022</t>
  </si>
  <si>
    <t>AIRES DEL CAMPO 423</t>
  </si>
  <si>
    <t>CARRIQUI 704</t>
  </si>
  <si>
    <t>MARAT PLUS 701</t>
  </si>
  <si>
    <t>MARAT PLUS 402</t>
  </si>
  <si>
    <t>17/02/2022</t>
  </si>
  <si>
    <t>ODONATA 814</t>
  </si>
  <si>
    <t>17/01/2022</t>
  </si>
  <si>
    <t>EDIFICIO CALLE 3</t>
  </si>
  <si>
    <t>POBLADO</t>
  </si>
  <si>
    <t>EDIFICIO PRADOS DE SABANETA 101</t>
  </si>
  <si>
    <t>19/01/2022</t>
  </si>
  <si>
    <t>SALTAMONTES 1004</t>
  </si>
  <si>
    <t>20/01/2022</t>
  </si>
  <si>
    <t>SALTAMONTES 1001</t>
  </si>
  <si>
    <t>NO</t>
  </si>
  <si>
    <t>PRESTIGE 806</t>
  </si>
  <si>
    <t>25/01/2022</t>
  </si>
  <si>
    <t>VIVARE 502</t>
  </si>
  <si>
    <t>OFICINA</t>
  </si>
  <si>
    <t xml:space="preserve">EDF PANALPINA OF 804 </t>
  </si>
  <si>
    <t>TORRES DE LA PLAYA 501</t>
  </si>
  <si>
    <t>MEDELLIN</t>
  </si>
  <si>
    <t>VENTAS</t>
  </si>
  <si>
    <t>LOS ANDES 909</t>
  </si>
  <si>
    <t>SURAMERICA</t>
  </si>
  <si>
    <t>18/01/2021</t>
  </si>
  <si>
    <t>MESSANTIA 2315</t>
  </si>
  <si>
    <t>CAMILO GALLEGO - ENERO 2022</t>
  </si>
  <si>
    <t>28/12/2021</t>
  </si>
  <si>
    <t>MADEROS DEL CAMPO 2 207</t>
  </si>
  <si>
    <t>MONTEFLOR 1410</t>
  </si>
  <si>
    <t>PRIMEIRO 1903</t>
  </si>
  <si>
    <t>SAVANNAH 503</t>
  </si>
  <si>
    <t>LOS ALCAZARES 222</t>
  </si>
  <si>
    <t>LAURELES</t>
  </si>
  <si>
    <t>MOCCA 1106</t>
  </si>
  <si>
    <t>INDIGO 616</t>
  </si>
  <si>
    <t>CASA</t>
  </si>
  <si>
    <t>MOTECARMELO 5</t>
  </si>
  <si>
    <t>ABEDULES 111</t>
  </si>
  <si>
    <t>CALLE 48A 66B SUR-33 PISO 3</t>
  </si>
  <si>
    <t>18/01/2022</t>
  </si>
  <si>
    <t>RIO SECRETO 1201</t>
  </si>
  <si>
    <t>RIO MISTICO 1011</t>
  </si>
  <si>
    <t>MADEROS DEL CAMPO II 1503</t>
  </si>
  <si>
    <t>CANTOLUNA 2008</t>
  </si>
  <si>
    <t>ALAMEDA 1613</t>
  </si>
  <si>
    <t>RINCON DE LA DOCTORA 28</t>
  </si>
  <si>
    <t>24/01/2022</t>
  </si>
  <si>
    <t>APARTAESTUDIO</t>
  </si>
  <si>
    <t>MONTEAZUL 2613</t>
  </si>
  <si>
    <t>PAN AZUCAR</t>
  </si>
  <si>
    <t>KAMELOT 701</t>
  </si>
  <si>
    <t>JARDINES DE SAN REMO 1201</t>
  </si>
  <si>
    <t>PARQUE DEL SOL 1205</t>
  </si>
  <si>
    <t xml:space="preserve">apARTAMENTO  </t>
  </si>
  <si>
    <t>MADEROS DEL CAMPO 2  1503</t>
  </si>
  <si>
    <t>19/01/2021</t>
  </si>
  <si>
    <t>MONTECARMELO 5</t>
  </si>
  <si>
    <t>PORTADA -  ENERO 2022</t>
  </si>
  <si>
    <t>24/1/2022</t>
  </si>
  <si>
    <t>MADEROS DEL CAMPO #2 1702</t>
  </si>
  <si>
    <t>SAN JOSE</t>
  </si>
  <si>
    <t>SI</t>
  </si>
  <si>
    <t>VEGAS PLAZA 1514</t>
  </si>
  <si>
    <t>HOLANDA</t>
  </si>
  <si>
    <t>SANTIAGO-  ENERO 2022</t>
  </si>
  <si>
    <t>VISTA  APARTAMIRADOR 2102</t>
  </si>
  <si>
    <t>LAS LOMITAS</t>
  </si>
  <si>
    <t>ALAIAMANTRA 1101</t>
  </si>
  <si>
    <t>JUAN CAMILO URREA  -  FEBRERO 2022</t>
  </si>
  <si>
    <t>26/01/2022</t>
  </si>
  <si>
    <t>LOCAL</t>
  </si>
  <si>
    <t>GAUDI 106</t>
  </si>
  <si>
    <t>CALLE LARGA</t>
  </si>
  <si>
    <t>27/01/2022</t>
  </si>
  <si>
    <t>SELVATICA 9714</t>
  </si>
  <si>
    <t>AVES MARIA</t>
  </si>
  <si>
    <t>MONTEFLOR 2002</t>
  </si>
  <si>
    <t>MONTEFLOR 2614</t>
  </si>
  <si>
    <t>RIO SECRETO 515</t>
  </si>
  <si>
    <t>PRADOS SABANETA</t>
  </si>
  <si>
    <t>ALONDRA 1103</t>
  </si>
  <si>
    <t>VIVARE 505</t>
  </si>
  <si>
    <t>14/02/2022</t>
  </si>
  <si>
    <t>ACUARELAS DE SAN DIEGO 609</t>
  </si>
  <si>
    <t>LOMA DEL INIDIO</t>
  </si>
  <si>
    <t>BOSQUES DE SAN DIEGO 2 306</t>
  </si>
  <si>
    <t>MONTEFLOR 2513</t>
  </si>
  <si>
    <t>MOSTAZA 411</t>
  </si>
  <si>
    <t>16/02/2022</t>
  </si>
  <si>
    <t>CLLL 79 SUR 59 59 101</t>
  </si>
  <si>
    <t>ESTRELLA</t>
  </si>
  <si>
    <t xml:space="preserve">CL 69SUR 43A 15 </t>
  </si>
  <si>
    <t>SAN JOAQUIN</t>
  </si>
  <si>
    <t>MONTEFLOR 1602</t>
  </si>
  <si>
    <t>18/02/2022</t>
  </si>
  <si>
    <t>SALTAMONTES 306</t>
  </si>
  <si>
    <t>EDF MARIA CLARA 501</t>
  </si>
  <si>
    <t>19/02/2022</t>
  </si>
  <si>
    <t xml:space="preserve">ARCOIRIS CASA 7 </t>
  </si>
  <si>
    <t>22/02/2022</t>
  </si>
  <si>
    <t>ODONATA 9606</t>
  </si>
  <si>
    <t>23/02/2022</t>
  </si>
  <si>
    <t>MONTEFLOR 1823</t>
  </si>
  <si>
    <t>24/02/2022</t>
  </si>
  <si>
    <t>CARRIQUI 210</t>
  </si>
  <si>
    <t>SALTAMMONTES 1001</t>
  </si>
  <si>
    <t>410.000.000</t>
  </si>
  <si>
    <t>ENVIADA</t>
  </si>
  <si>
    <t>SOL DE PLATA 103</t>
  </si>
  <si>
    <t>ENVIGADO</t>
  </si>
  <si>
    <t>GORRION 404</t>
  </si>
  <si>
    <t>BAJO MONTE 1002</t>
  </si>
  <si>
    <t>CL 79SUR 59 59</t>
  </si>
  <si>
    <t>CAMILO GALLEGO - FEBRERO 2022</t>
  </si>
  <si>
    <t>MAZZARO 1417</t>
  </si>
  <si>
    <t>V, SAN JOSE</t>
  </si>
  <si>
    <t>31/01/2022</t>
  </si>
  <si>
    <t>INDIGO 1211</t>
  </si>
  <si>
    <t>CARMELO</t>
  </si>
  <si>
    <t>CYPRUS 1414</t>
  </si>
  <si>
    <t>PARQUE RESIDENCIAL LA VEGA 809</t>
  </si>
  <si>
    <t>SABATTO 1602</t>
  </si>
  <si>
    <t>AMATISTA 1006</t>
  </si>
  <si>
    <t>DUBLING 1905</t>
  </si>
  <si>
    <t>LISBOA 2903</t>
  </si>
  <si>
    <t>ALAMEDA 802</t>
  </si>
  <si>
    <t>FLORES DE MAYORCA 902</t>
  </si>
  <si>
    <t>SAN BASILIO 1425</t>
  </si>
  <si>
    <t>EDF ACIC 304</t>
  </si>
  <si>
    <t>VIVARE 1904</t>
  </si>
  <si>
    <t>VILLA ROMERA 1511</t>
  </si>
  <si>
    <t>MONTEFLOR 1117</t>
  </si>
  <si>
    <t>CYPRUS 416</t>
  </si>
  <si>
    <t>EDF CIPRANO 401</t>
  </si>
  <si>
    <t>25/02/2022</t>
  </si>
  <si>
    <t>LISBOA 3011</t>
  </si>
  <si>
    <t>COLINAS DEL POBLADO 702</t>
  </si>
  <si>
    <t>COLINAS DEL POBLADO 703</t>
  </si>
  <si>
    <t>SANTIVARY 1304</t>
  </si>
  <si>
    <t>345.000.000</t>
  </si>
  <si>
    <t>SANTORINI 401</t>
  </si>
  <si>
    <t>385.000.000</t>
  </si>
  <si>
    <t>31/01/2021</t>
  </si>
  <si>
    <t>INDIGO 1106</t>
  </si>
  <si>
    <t>28/01/2022</t>
  </si>
  <si>
    <t>VISTA APARTAMIRADOR 2602</t>
  </si>
  <si>
    <t>PORTADA -  FEBRERO 2022</t>
  </si>
  <si>
    <t>BALCONES DE HOLANDA 406</t>
  </si>
  <si>
    <t>AIRES DEL BOSQUE 703</t>
  </si>
  <si>
    <t xml:space="preserve">V.SAN JOSE </t>
  </si>
  <si>
    <t>ARCOIRIS CASA 19</t>
  </si>
  <si>
    <t>PRADOS</t>
  </si>
  <si>
    <t>ARAMUS 1805</t>
  </si>
  <si>
    <t>DOCTORA</t>
  </si>
  <si>
    <t>LISBOA 2501</t>
  </si>
  <si>
    <t>CATHE</t>
  </si>
  <si>
    <t>CLL 77 SUR 29 31</t>
  </si>
  <si>
    <t>SANTIAGO-  FEBRERO 2022</t>
  </si>
  <si>
    <t>BODEGA</t>
  </si>
  <si>
    <t xml:space="preserve">CR 47C 77 SUR 35 </t>
  </si>
  <si>
    <t>EL CARMELO</t>
  </si>
  <si>
    <t>29/01/2022</t>
  </si>
  <si>
    <t>MONTEFLOR 1808</t>
  </si>
  <si>
    <t xml:space="preserve">TORRES DE LAS FLORES 502 </t>
  </si>
  <si>
    <t>ALTO DE LAS FLORES</t>
  </si>
  <si>
    <t>ARAMUS 810</t>
  </si>
  <si>
    <t>LA DOCTORA</t>
  </si>
  <si>
    <t>BRAYAN -  FEBRERO 2022</t>
  </si>
  <si>
    <t>BALUARTE 1202(NUEVA)</t>
  </si>
  <si>
    <t xml:space="preserve">PORTERO </t>
  </si>
  <si>
    <t>MONICA(BRAYAN)</t>
  </si>
  <si>
    <t>KIWI 1707(DESDE AGOSTO)</t>
  </si>
  <si>
    <t>ITAGUI</t>
  </si>
  <si>
    <t>MOCACCINO 2203(NUEVA)</t>
  </si>
  <si>
    <t>BALUARTE 1203(NUEVA)</t>
  </si>
  <si>
    <t>TRAMONTANA 802 (NUEVA)</t>
  </si>
  <si>
    <t>ESMERALDAL</t>
  </si>
  <si>
    <t>PARK 43 202</t>
  </si>
  <si>
    <t>PARK 43 204</t>
  </si>
  <si>
    <t>PARK 43 205</t>
  </si>
  <si>
    <t>PARK 43 206</t>
  </si>
  <si>
    <t>MOCACCINO 1802</t>
  </si>
  <si>
    <t>MOCACCINO 805</t>
  </si>
  <si>
    <t>BALCONES DE HOLANDA 903</t>
  </si>
  <si>
    <t>CIUDAD DEL BOSQUE 1304</t>
  </si>
  <si>
    <t>TORRES DE LA PROVINCIA 2103</t>
  </si>
  <si>
    <t>MADEROS DEL CAMPO 2205</t>
  </si>
  <si>
    <t>NATURA 1117</t>
  </si>
  <si>
    <t>AVIVA 1444</t>
  </si>
  <si>
    <t xml:space="preserve">  </t>
  </si>
  <si>
    <t>EL ROSAL 801</t>
  </si>
  <si>
    <t>CALASANZ</t>
  </si>
  <si>
    <t>CIUDAD DEL BOSQUE 701</t>
  </si>
  <si>
    <t>CATTLEYA 904</t>
  </si>
  <si>
    <t>SANTIAGO LOPERA-  FEBRERO 2022</t>
  </si>
  <si>
    <t>15/02/2022</t>
  </si>
  <si>
    <t>AMATISTA 2501</t>
  </si>
  <si>
    <t>MONTEFLOR 2309</t>
  </si>
  <si>
    <t>PARQUES DEL SOL 602</t>
  </si>
  <si>
    <t>AMATISTA 408</t>
  </si>
  <si>
    <t>AIRES DEL CAMPO 1723</t>
  </si>
  <si>
    <t>21/02/2022</t>
  </si>
  <si>
    <t>AMONTE 903</t>
  </si>
  <si>
    <t>CLL 47C 79A 15</t>
  </si>
  <si>
    <t>JUAN CAMILO URREA  -  MARZO 2022</t>
  </si>
  <si>
    <t>APARTAMENTO</t>
  </si>
  <si>
    <t>RIO SECRETO 2010</t>
  </si>
  <si>
    <t>ALAMEDA 1810</t>
  </si>
  <si>
    <t>CLL 53 52 26 APTO 101</t>
  </si>
  <si>
    <t xml:space="preserve"> ROSAL DE MIRAFLORES 1301</t>
  </si>
  <si>
    <t>BUENOS AIRES</t>
  </si>
  <si>
    <t>AIRES DEL CAMPO 421</t>
  </si>
  <si>
    <t>KORE 2312</t>
  </si>
  <si>
    <t>ENTREAMIGOS DE LA DOCTORA 402</t>
  </si>
  <si>
    <t>VIGO 1605</t>
  </si>
  <si>
    <t>CYPRUS 1816</t>
  </si>
  <si>
    <t>ODONATA 1407</t>
  </si>
  <si>
    <t>VISTA APARTAMIRADOR 502</t>
  </si>
  <si>
    <t>RIOSECRETO 1117</t>
  </si>
  <si>
    <t>ODONATA 811</t>
  </si>
  <si>
    <t>BULEVAR ALCAZAR 2102</t>
  </si>
  <si>
    <t>MARAT PLUS 905</t>
  </si>
  <si>
    <t>TORRE SACRAMENTO 1003</t>
  </si>
  <si>
    <t>ALTOS DE VALPARAISO 1303</t>
  </si>
  <si>
    <t>AMONTE 822</t>
  </si>
  <si>
    <t>MONTANA 1207</t>
  </si>
  <si>
    <t>AMONTE 2213</t>
  </si>
  <si>
    <t>BANGKOK 1405</t>
  </si>
  <si>
    <t>CAMILO GALLEGO - MARZO 2022</t>
  </si>
  <si>
    <t>SABATTO 906</t>
  </si>
  <si>
    <t>REGATTA 613</t>
  </si>
  <si>
    <t>MADEROS DEL CAMPO 2 2012</t>
  </si>
  <si>
    <t>SABATTO 707</t>
  </si>
  <si>
    <t>BRASILIA 80 301</t>
  </si>
  <si>
    <t>COLORES</t>
  </si>
  <si>
    <t>INDIGO 116</t>
  </si>
  <si>
    <t>FIDELENA PARK 2802</t>
  </si>
  <si>
    <t>VALLE SUR 1502</t>
  </si>
  <si>
    <t>PARIS 1404</t>
  </si>
  <si>
    <t>MANZANA ONCE 1007</t>
  </si>
  <si>
    <t>CURAZAO 1340</t>
  </si>
  <si>
    <t>BELLO</t>
  </si>
  <si>
    <t>MONTEAZUL 1013</t>
  </si>
  <si>
    <t>MONTEAZUL 1207</t>
  </si>
  <si>
    <t>MONTEFLOR 2006</t>
  </si>
  <si>
    <t>MONTEAZUL 2502</t>
  </si>
  <si>
    <t>CIGARRAS 1704</t>
  </si>
  <si>
    <t>MADEROS DEL CAMPO 2503</t>
  </si>
  <si>
    <t>CR 45 75SUR 121</t>
  </si>
  <si>
    <t>DUBLIN 1302</t>
  </si>
  <si>
    <t>AMATISTA 2302</t>
  </si>
  <si>
    <t>ESTEFANIA SERNA-  MARZO 2022</t>
  </si>
  <si>
    <t>TOWERS 77  1611</t>
  </si>
  <si>
    <t>TOWERS 77 2210</t>
  </si>
  <si>
    <t>MONTEAZUL 1909</t>
  </si>
  <si>
    <t xml:space="preserve">CANELA 1510 </t>
  </si>
  <si>
    <t>MAZZARO 812</t>
  </si>
  <si>
    <t>CATTLEYA 706</t>
  </si>
  <si>
    <t>77 TOWERS 1010</t>
  </si>
  <si>
    <t xml:space="preserve">CALLE 56SUR 39 26 </t>
  </si>
  <si>
    <t>CR 47C 78C SUR 46</t>
  </si>
  <si>
    <t>CATTLEYA 606</t>
  </si>
  <si>
    <t xml:space="preserve">VILLA ROMERA 1506 </t>
  </si>
  <si>
    <t>MARAT PLUS 804</t>
  </si>
  <si>
    <t>77 TOWERS 1512</t>
  </si>
  <si>
    <t>MISONNI 1901</t>
  </si>
  <si>
    <t>CR 46 B 75 SUR 61</t>
  </si>
  <si>
    <t>RIOBAMBA 601</t>
  </si>
  <si>
    <t>BANGKOK 2306</t>
  </si>
  <si>
    <t>CALLE 70 SUR 46 148</t>
  </si>
  <si>
    <t>SALAMANCA 202</t>
  </si>
  <si>
    <t>ALMIRANTE</t>
  </si>
  <si>
    <t>MESSANTIA 3414</t>
  </si>
  <si>
    <t>SANTIVARY 612</t>
  </si>
  <si>
    <t>SANTIAGO LOPERA-  MARZO 2022</t>
  </si>
  <si>
    <t>AIRES DEL CAMPO 528</t>
  </si>
  <si>
    <t>COLIBRI 1406</t>
  </si>
  <si>
    <t>PARQUES DEL SOL 208</t>
  </si>
  <si>
    <t>PARQUES DEL SOL 9902</t>
  </si>
  <si>
    <t>VENTUM 904</t>
  </si>
  <si>
    <t>AIRES DEL CAMPO 1423</t>
  </si>
  <si>
    <t>PORTERO¿</t>
  </si>
  <si>
    <t>TORRE PRAGA 101</t>
  </si>
  <si>
    <t>390000+IVA</t>
  </si>
  <si>
    <t>TORRE PRAGA 102</t>
  </si>
  <si>
    <t>1900000+IVA</t>
  </si>
  <si>
    <t>TORRE PRAGA 103</t>
  </si>
  <si>
    <t>1000000+IVA</t>
  </si>
  <si>
    <t>PARQUES DEL SOL 809</t>
  </si>
  <si>
    <t>PARQUES DEL SOL 9708</t>
  </si>
  <si>
    <t xml:space="preserve">CR 43 64A 47 </t>
  </si>
  <si>
    <t>BULEVAR ALCAZAR</t>
  </si>
  <si>
    <t>BAMBU 1509</t>
  </si>
  <si>
    <t>CR 45 75 SUR 211</t>
  </si>
  <si>
    <t>CALLE 63A 39A 133</t>
  </si>
  <si>
    <t>MONTEFLOR 301</t>
  </si>
  <si>
    <t>MONTEFLOR 1406</t>
  </si>
  <si>
    <t>PARQUES DEL SOL 103</t>
  </si>
  <si>
    <t>MOCACCINO 1804</t>
  </si>
  <si>
    <t>AIRES DEL CAMPO 1420</t>
  </si>
  <si>
    <t>ALAMEDA 612</t>
  </si>
  <si>
    <t>KORE 2816</t>
  </si>
  <si>
    <t>PORTAL DE SAN JOAQUIN 401</t>
  </si>
  <si>
    <t>BRAYAN -  MARZO 2022</t>
  </si>
  <si>
    <t>CATTLEYA 2204</t>
  </si>
  <si>
    <t>MOCACCINO 1605</t>
  </si>
  <si>
    <t>CIUDAD DEL BOSQUE 1204</t>
  </si>
  <si>
    <t>PORTADA -  MARZO 2022</t>
  </si>
  <si>
    <t>MISSONI 1104</t>
  </si>
  <si>
    <t xml:space="preserve">RIO SECRETO 604 </t>
  </si>
  <si>
    <t>TORRES MAYORCA 2209</t>
  </si>
  <si>
    <t xml:space="preserve">CYPRUS 1210 </t>
  </si>
  <si>
    <t>MONTEAZUL 1810</t>
  </si>
  <si>
    <t>INDIGO 902</t>
  </si>
  <si>
    <t>INDIGO 1006</t>
  </si>
  <si>
    <t>JUAN CAMILO URREA  -  ABRIL 2022</t>
  </si>
  <si>
    <t>ODONATA 1410</t>
  </si>
  <si>
    <t>TORRE ALFA 204</t>
  </si>
  <si>
    <t>AMONTE 1602</t>
  </si>
  <si>
    <t>CARRIQUI 1308</t>
  </si>
  <si>
    <t>LIVING 2308</t>
  </si>
  <si>
    <t>PORTON DE SIMON BOLIVAR 202</t>
  </si>
  <si>
    <t>ODONATA 201</t>
  </si>
  <si>
    <t>AIRES DEL BOSQUE 2016</t>
  </si>
  <si>
    <t>EDF SALDARRIAGA 403</t>
  </si>
  <si>
    <t>MARAT PLUS 1403</t>
  </si>
  <si>
    <t>MONTANA 405</t>
  </si>
  <si>
    <t>ALTOS DE VALPARAISO 12034</t>
  </si>
  <si>
    <t>SABANA ALTA 412</t>
  </si>
  <si>
    <t>NATURA 1217</t>
  </si>
  <si>
    <t>TORRE SACRAMENTO 1403</t>
  </si>
  <si>
    <t>PRESTIGE 1702</t>
  </si>
  <si>
    <t xml:space="preserve">LOMA LINDA 2106 </t>
  </si>
  <si>
    <t>VIVARE 312</t>
  </si>
  <si>
    <t>MADEROS DEL CAMPO ETAPA 1 APTO 1905</t>
  </si>
  <si>
    <t>ODONATA 9605</t>
  </si>
  <si>
    <t>ENTREAMIGOS 402</t>
  </si>
  <si>
    <t>CL 63 44 78 APTO 202</t>
  </si>
  <si>
    <t>CAMILO GALLEGO - ABRIL 2022</t>
  </si>
  <si>
    <t>LISBOA 1303</t>
  </si>
  <si>
    <t>ODONATA 708</t>
  </si>
  <si>
    <t>FLORES DEL CAMPO 834</t>
  </si>
  <si>
    <t>MONTEAZUL 813</t>
  </si>
  <si>
    <t>PARIS 1601</t>
  </si>
  <si>
    <t>CYPRUS 901</t>
  </si>
  <si>
    <t>PUERTO MADERA 2067</t>
  </si>
  <si>
    <t>MONTEAZUL 2011</t>
  </si>
  <si>
    <t>no se cuenta</t>
  </si>
  <si>
    <t>PRIMEIRO  704</t>
  </si>
  <si>
    <t>PORTAL DEL CARMELO 1504</t>
  </si>
  <si>
    <t>MARAT PLUS 104</t>
  </si>
  <si>
    <t>AMATISTA 1001</t>
  </si>
  <si>
    <t>SERRANA 2106</t>
  </si>
  <si>
    <t>LISBOA 909</t>
  </si>
  <si>
    <t>MADEROS DEL CAMPO 612</t>
  </si>
  <si>
    <t>INDIGO1405</t>
  </si>
  <si>
    <t>VILLA ROMERA 1022</t>
  </si>
  <si>
    <t>MANZANILLO 905</t>
  </si>
  <si>
    <t>RIONEGRO</t>
  </si>
  <si>
    <t>CARRIQUI 504</t>
  </si>
  <si>
    <t>ESTEFANIA SERNA-  ABRIL 2022</t>
  </si>
  <si>
    <t>CR 46A 74 SUR 62</t>
  </si>
  <si>
    <t>CR 46A 74 SUR 54 APTO 601</t>
  </si>
  <si>
    <t>VENTUM 2208</t>
  </si>
  <si>
    <t>CANELA 810</t>
  </si>
  <si>
    <t>MISONI 906</t>
  </si>
  <si>
    <t>CLL 78 SUR 40 70 201</t>
  </si>
  <si>
    <t>CLL 78 SUR 40 70 301</t>
  </si>
  <si>
    <t>77 TOWERS 807</t>
  </si>
  <si>
    <t>CLL 62 SUR 46 13</t>
  </si>
  <si>
    <t>LAUREL 301</t>
  </si>
  <si>
    <t>CLL 62 SUR 46 15</t>
  </si>
  <si>
    <t>PALO SANTO 1702</t>
  </si>
  <si>
    <t>PARK 43 1003</t>
  </si>
  <si>
    <t>SANTIAGO LOPERA-  ABRIL 2022</t>
  </si>
  <si>
    <t>MONTEFLOR 1901</t>
  </si>
  <si>
    <t>RIO SECRETO 2304</t>
  </si>
  <si>
    <t>TERRAGRANDE CASA 10</t>
  </si>
  <si>
    <t>LLANOGRANDE</t>
  </si>
  <si>
    <t>VISTA APARTAMIRADOR 302</t>
  </si>
  <si>
    <t>ALTOS DE MARIA 401</t>
  </si>
  <si>
    <t>MONTEFLOR 1510</t>
  </si>
  <si>
    <t>ARAMUS CASA 9</t>
  </si>
  <si>
    <t>MONTEFLOR 606</t>
  </si>
  <si>
    <t>MONTEFLOR 2117</t>
  </si>
  <si>
    <t>MONTEFLOR 2019</t>
  </si>
  <si>
    <t>MONTEFLOR 1512</t>
  </si>
  <si>
    <t>MAZARO 116</t>
  </si>
  <si>
    <t>VILLA ROMERA 115</t>
  </si>
  <si>
    <t>PARQUES DEL SOL 1105</t>
  </si>
  <si>
    <t>ARAMUS 1009</t>
  </si>
  <si>
    <t>MONTEFLOR 818</t>
  </si>
  <si>
    <t>VISTA APARTAMIRADOR 1402</t>
  </si>
  <si>
    <t xml:space="preserve">LYRA </t>
  </si>
  <si>
    <t>ARAMUS 1706</t>
  </si>
  <si>
    <t xml:space="preserve">PARQUES DEL SOL 1705 </t>
  </si>
  <si>
    <t>CR 43A 69 SUR 25</t>
  </si>
  <si>
    <t>ENVIADO</t>
  </si>
  <si>
    <t>AIRES DEL CAMPO 719</t>
  </si>
  <si>
    <t>MONTEFLOR 302</t>
  </si>
  <si>
    <t>BRAYAN -  ABRIL 2022</t>
  </si>
  <si>
    <t>BALUARTE 2802</t>
  </si>
  <si>
    <t>PORTADA -  ABRIL 2022</t>
  </si>
  <si>
    <t>JUAN CAMILO URREA -  MAYO  2022</t>
  </si>
  <si>
    <t>CARRIQUI 1004</t>
  </si>
  <si>
    <t>16-05-2022</t>
  </si>
  <si>
    <t>MONTECARMELO 803</t>
  </si>
  <si>
    <t>23-05-2022</t>
  </si>
  <si>
    <t>PRESTIGE 612</t>
  </si>
  <si>
    <t>CAÑAVERALEJO</t>
  </si>
  <si>
    <t>27-04-2022</t>
  </si>
  <si>
    <t>POBLADO DE SAN DIEGO 909</t>
  </si>
  <si>
    <t>SAN JULIAN</t>
  </si>
  <si>
    <t>VIVARE 1509</t>
  </si>
  <si>
    <t>PRADOS DE S</t>
  </si>
  <si>
    <t>PAN DE AZUCAR</t>
  </si>
  <si>
    <t>30-04-2022</t>
  </si>
  <si>
    <t>SALTAMONTES 602</t>
  </si>
  <si>
    <t>VIVARE 1601</t>
  </si>
  <si>
    <t>EDIFICIO CANTO 9902- PEND LLAVES -10 MAYO</t>
  </si>
  <si>
    <t>SAN ANTONIO DE P</t>
  </si>
  <si>
    <t>AMONTE 2314</t>
  </si>
  <si>
    <t>CORTIJO DE SAN JOSE CASA 27</t>
  </si>
  <si>
    <t>TORRE VERONA 901</t>
  </si>
  <si>
    <t>PARQUE</t>
  </si>
  <si>
    <t>14-05-2022</t>
  </si>
  <si>
    <t>ODONATA 607</t>
  </si>
  <si>
    <t>17-05-2022</t>
  </si>
  <si>
    <t>VIVARE 1809</t>
  </si>
  <si>
    <t>ARANGO</t>
  </si>
  <si>
    <t>PRESTIGE 510</t>
  </si>
  <si>
    <t>18-05-2022</t>
  </si>
  <si>
    <t>MOSTAZA 511</t>
  </si>
  <si>
    <t>RESTREPO NARANJO</t>
  </si>
  <si>
    <t>CANTO LUNA 1101</t>
  </si>
  <si>
    <t xml:space="preserve"> CALLE LARGA</t>
  </si>
  <si>
    <t>20-05-2022</t>
  </si>
  <si>
    <t>SABANA ALTA 304</t>
  </si>
  <si>
    <t>VIVARE 1407</t>
  </si>
  <si>
    <t>LOS ALCAZARES 503</t>
  </si>
  <si>
    <t>ok</t>
  </si>
  <si>
    <t>25-05-2022</t>
  </si>
  <si>
    <t>CAMILO GALLEGO -  MAYO  2022</t>
  </si>
  <si>
    <t>29-04-2022</t>
  </si>
  <si>
    <t>CIUDAD DEL BOSQUE 1804</t>
  </si>
  <si>
    <t>BANGKOK 2102</t>
  </si>
  <si>
    <t>670.000.000</t>
  </si>
  <si>
    <t>ALAIA MANTRA 205</t>
  </si>
  <si>
    <t>PUERTA MAYORCA 2002</t>
  </si>
  <si>
    <t>MAYORCA</t>
  </si>
  <si>
    <t>CIUDAD DEL BOSQUE 2409</t>
  </si>
  <si>
    <t>KORE 1911</t>
  </si>
  <si>
    <t xml:space="preserve">ALAMEDA 2314 </t>
  </si>
  <si>
    <t>INDIGO 1510</t>
  </si>
  <si>
    <t>AMATISTA 1102</t>
  </si>
  <si>
    <t>13-05-2022</t>
  </si>
  <si>
    <t>CARRIQUI 203</t>
  </si>
  <si>
    <t>MARAT 602</t>
  </si>
  <si>
    <t>FUENTE CLARA 313</t>
  </si>
  <si>
    <t>STEFANIA SERNA  -  MAYO  2022</t>
  </si>
  <si>
    <t>#</t>
  </si>
  <si>
    <t>SALTAMONTES 203</t>
  </si>
  <si>
    <t xml:space="preserve">CHAGUALO MARINILLA </t>
  </si>
  <si>
    <t>CHAGUALO</t>
  </si>
  <si>
    <t>MOCACCINO 903</t>
  </si>
  <si>
    <t>77 TOWERS APTO 807</t>
  </si>
  <si>
    <t>PARQUE DEL SOL 610</t>
  </si>
  <si>
    <t>INMACULADA</t>
  </si>
  <si>
    <t>VISTA DEL VALLE 1003</t>
  </si>
  <si>
    <t>AIRES DEL CAMPO 1716</t>
  </si>
  <si>
    <t>SAN JOES</t>
  </si>
  <si>
    <t>CARRERA 46B # 74SUR-19 APTO 101</t>
  </si>
  <si>
    <t>ENTREAMIGOS</t>
  </si>
  <si>
    <t>77 TOWERS APTO 1201</t>
  </si>
  <si>
    <t>19-05-2022</t>
  </si>
  <si>
    <t xml:space="preserve">LOCAL </t>
  </si>
  <si>
    <t>CALLE 79ASUR # 46-42</t>
  </si>
  <si>
    <t>CANELA 408</t>
  </si>
  <si>
    <t>SANTIAGO LOPERA -  MAYO  2022</t>
  </si>
  <si>
    <t>27-4-2022</t>
  </si>
  <si>
    <t>APARTAMIRADOR 2403</t>
  </si>
  <si>
    <t>SELVATICA 1104</t>
  </si>
  <si>
    <t>PARQUES DEL SOL 310</t>
  </si>
  <si>
    <t>PARQUES DEL SOL 609</t>
  </si>
  <si>
    <t>BALUARTE APTO 1207</t>
  </si>
  <si>
    <t>LA INMACULADA</t>
  </si>
  <si>
    <t>MOCACCINO 1002</t>
  </si>
  <si>
    <t>MONTEFLOR 2218</t>
  </si>
  <si>
    <t>MONTEFLOR 2323</t>
  </si>
  <si>
    <t>28-04-2022</t>
  </si>
  <si>
    <t>PARQUES DEL SOL 9603</t>
  </si>
  <si>
    <t>MONTEFLOR 1413</t>
  </si>
  <si>
    <t>PARQUES DEL SOL 710</t>
  </si>
  <si>
    <t>PARQUE DEL SOL 1501</t>
  </si>
  <si>
    <t>POTERO</t>
  </si>
  <si>
    <t>PARQUE DEL SOL 9707</t>
  </si>
  <si>
    <t>PARQUES DEL SOL 801</t>
  </si>
  <si>
    <t>SABAOT 505</t>
  </si>
  <si>
    <t>LAS MARGARITAS</t>
  </si>
  <si>
    <t>CASTAÑO CIRO 302</t>
  </si>
  <si>
    <t>CARRERA 46D # 78SUR-28</t>
  </si>
  <si>
    <t>LA PRADERA</t>
  </si>
  <si>
    <t>PARQUE DEL SOL 9810</t>
  </si>
  <si>
    <t>MONTEFLOR 1302</t>
  </si>
  <si>
    <t>MONTEFLOR 2216</t>
  </si>
  <si>
    <t>AIRES DEL CAMPO 1728</t>
  </si>
  <si>
    <t>MONTEFLOR 806</t>
  </si>
  <si>
    <t>AMATISTA 2006</t>
  </si>
  <si>
    <t>PORTADA-  MAYO  2022</t>
  </si>
  <si>
    <t>CANTO LUNA 101</t>
  </si>
  <si>
    <t>LA VEGA 120</t>
  </si>
  <si>
    <t>BAMBU  615</t>
  </si>
  <si>
    <t>MANHATAN 702</t>
  </si>
  <si>
    <t>TRAPICHE</t>
  </si>
  <si>
    <t>SABATO 2105</t>
  </si>
  <si>
    <t>JUAN CAMILO URREA -  JUNIO 2022</t>
  </si>
  <si>
    <t>31-05-2022</t>
  </si>
  <si>
    <t>CATALUÑA 126</t>
  </si>
  <si>
    <t>JEREZ DE ASTURIAS 103</t>
  </si>
  <si>
    <t>ALCAZARES</t>
  </si>
  <si>
    <t>JEREZ DE ASTURIAS 106</t>
  </si>
  <si>
    <t>28-05-2022</t>
  </si>
  <si>
    <t>CARRERA 43A # 65SUR-107</t>
  </si>
  <si>
    <t>LA BARQUERELA</t>
  </si>
  <si>
    <t>MANANTIALES 712</t>
  </si>
  <si>
    <t>AMONTE 723</t>
  </si>
  <si>
    <t>96-06-2022</t>
  </si>
  <si>
    <t>MONTEAZUL 2008</t>
  </si>
  <si>
    <t>LOMA LINDA 1410</t>
  </si>
  <si>
    <t>ALTOS DE VALPARAISO 1109</t>
  </si>
  <si>
    <t>PRADOS DE SABANETA</t>
  </si>
  <si>
    <t>13-06-2022</t>
  </si>
  <si>
    <t>VIVARE 1002</t>
  </si>
  <si>
    <t>MESSANTIA 1404</t>
  </si>
  <si>
    <t>MONTANA 1808</t>
  </si>
  <si>
    <t>15-06-2022</t>
  </si>
  <si>
    <t>BANGKOK 1805</t>
  </si>
  <si>
    <t>16-06-2022</t>
  </si>
  <si>
    <t>VIVARE 1303</t>
  </si>
  <si>
    <t>17-06-2022</t>
  </si>
  <si>
    <t>BANGKOK1504</t>
  </si>
  <si>
    <t>VIVARE 801</t>
  </si>
  <si>
    <t>SANTIAGO LOPERA -  JUNIO  2022</t>
  </si>
  <si>
    <t>SAN MATEO 203</t>
  </si>
  <si>
    <t>21-06-2022</t>
  </si>
  <si>
    <t>490.000.000</t>
  </si>
  <si>
    <t>AIRES DEL CAMPO 1614</t>
  </si>
  <si>
    <t>PARQUES DEL SOL 701</t>
  </si>
  <si>
    <t>MONTEFLOR 2209</t>
  </si>
  <si>
    <t>CARRERA 67 # 51ASUR-07 APTO 201</t>
  </si>
  <si>
    <t>BARICHARA</t>
  </si>
  <si>
    <t>03-06 2022</t>
  </si>
  <si>
    <t>CARRERA 67 # 51ASUR-07 APTO 301</t>
  </si>
  <si>
    <t xml:space="preserve">CALLE 69 # 43A-06 </t>
  </si>
  <si>
    <t>ALTOS DE MADERO 305</t>
  </si>
  <si>
    <t>MONTEFLOR ACACIA1307</t>
  </si>
  <si>
    <t>AIRES DEL BOSQUE 1512</t>
  </si>
  <si>
    <t>CATLEYA 1307</t>
  </si>
  <si>
    <t>MONTEFLOR 2310</t>
  </si>
  <si>
    <t>CARRERA 38 # 75SUR-57 APTO 302</t>
  </si>
  <si>
    <t>MARAT PLUS 102</t>
  </si>
  <si>
    <t>2.800.000</t>
  </si>
  <si>
    <t>1.750.000|</t>
  </si>
  <si>
    <t>CATLEYA 2106</t>
  </si>
  <si>
    <t>22-06-2022</t>
  </si>
  <si>
    <t>BAJOMONTE 801</t>
  </si>
  <si>
    <t>23-06-2022</t>
  </si>
  <si>
    <t>VISTA APARTAMIRADOR 2201</t>
  </si>
  <si>
    <t>AMATISTA 2401</t>
  </si>
  <si>
    <t>25-06-2022</t>
  </si>
  <si>
    <t>MONTANA 901</t>
  </si>
  <si>
    <t>MATEO URIBE -  JUNIO  2022</t>
  </si>
  <si>
    <t>MANANTIALES 1814</t>
  </si>
  <si>
    <t>ARAMUS STYLE 1409</t>
  </si>
  <si>
    <t>CALLE 56SUR # 39-54</t>
  </si>
  <si>
    <t>CALLE 69SUR # 46-34 APTO 301</t>
  </si>
  <si>
    <t>CALLE DEL BANCO</t>
  </si>
  <si>
    <t>RUISEÑOR 610</t>
  </si>
  <si>
    <t>PORTAL DEL CARMELO 1010</t>
  </si>
  <si>
    <t>LA DOCOTIRA</t>
  </si>
  <si>
    <t>CALLE 64SUR # 46A-12</t>
  </si>
  <si>
    <t>ALIADAS</t>
  </si>
  <si>
    <t>RIO SECRETO 413</t>
  </si>
  <si>
    <t>PARIS 1501</t>
  </si>
  <si>
    <t>16_06_2022</t>
  </si>
  <si>
    <t>RIO SECRETO 403</t>
  </si>
  <si>
    <t>MARIA AUXILIADORA</t>
  </si>
  <si>
    <t>MANANTIALES DE SAN JOSE 1714</t>
  </si>
  <si>
    <t>MANANTIALES DE SAN JOSE 1516</t>
  </si>
  <si>
    <t>VIVARE 1508</t>
  </si>
  <si>
    <t>PRESTIGE 2609</t>
  </si>
  <si>
    <t>CATTLEYA 906</t>
  </si>
  <si>
    <t>24-06-2022</t>
  </si>
  <si>
    <t>VIVARE 106</t>
  </si>
  <si>
    <t>RIO SECRETO 1912</t>
  </si>
  <si>
    <t>ESTEFANIA SERNA -  JUNIO  2022</t>
  </si>
  <si>
    <t>ALTOS DE LAS FLORES 501</t>
  </si>
  <si>
    <t>LOMA DEL BARRO</t>
  </si>
  <si>
    <t>PORTADA -  JUNIO  2022</t>
  </si>
  <si>
    <t>RIO MISTICO 601</t>
  </si>
  <si>
    <t>MARAT 402</t>
  </si>
  <si>
    <t>BULEVAR DEL ALCAZAR 1408</t>
  </si>
  <si>
    <t>JUAN CAMILO URREA -  JULIO 2022</t>
  </si>
  <si>
    <t>77 TOWERS APTO 1902</t>
  </si>
  <si>
    <t>16-07-2022</t>
  </si>
  <si>
    <t>LA VEGA 1003</t>
  </si>
  <si>
    <t>22-07-2022</t>
  </si>
  <si>
    <t>MARAT PLUS 802</t>
  </si>
  <si>
    <t>VIVARE 1812</t>
  </si>
  <si>
    <t>MANTIS 510</t>
  </si>
  <si>
    <t>CIUDADELA VILLA DEL BOSQUE 917</t>
  </si>
  <si>
    <t>EL VERGEL</t>
  </si>
  <si>
    <t>VIVARE 212</t>
  </si>
  <si>
    <t>14-07-2022</t>
  </si>
  <si>
    <t>ALTOS DE VALPARAISO 909</t>
  </si>
  <si>
    <t>AIRES DEL CAMPO 1523</t>
  </si>
  <si>
    <t>21-07-2022</t>
  </si>
  <si>
    <t>APTOI</t>
  </si>
  <si>
    <t>AMONTE 2013</t>
  </si>
  <si>
    <t>MARAT 203</t>
  </si>
  <si>
    <t>AVES MARAI</t>
  </si>
  <si>
    <t>SANTIAGO LOPERA -  JULIO 2022</t>
  </si>
  <si>
    <t>18-07-2022</t>
  </si>
  <si>
    <t>MARAT 803</t>
  </si>
  <si>
    <t>CALLE 78CSUR # 46-79</t>
  </si>
  <si>
    <t>29-06-2022</t>
  </si>
  <si>
    <t>CATTLEYA 1203</t>
  </si>
  <si>
    <t>CATTLEYA 1305</t>
  </si>
  <si>
    <t>07_07_2022</t>
  </si>
  <si>
    <t>ALAMEDA 2413</t>
  </si>
  <si>
    <t>AIRES DEL CAMPO 2021</t>
  </si>
  <si>
    <t>VILLA ROMERA 423</t>
  </si>
  <si>
    <t>MARIA AUX</t>
  </si>
  <si>
    <t>PARQUES DEL SOL 9805</t>
  </si>
  <si>
    <t>PARQUES DEL SOL 110</t>
  </si>
  <si>
    <t>CATTLEYA 1704</t>
  </si>
  <si>
    <t>CATTLEYA 1503</t>
  </si>
  <si>
    <t>15-07-2022</t>
  </si>
  <si>
    <t>AIRES DEL CAMPO 916</t>
  </si>
  <si>
    <t>ALTOS DE VALPARAISO 203</t>
  </si>
  <si>
    <t>VIÑA DE SAN REMO 301</t>
  </si>
  <si>
    <t>MALL VILLA SAN REMO 104</t>
  </si>
  <si>
    <t>ODONATA 1402</t>
  </si>
  <si>
    <t>25-07-2022</t>
  </si>
  <si>
    <t>MONTEFLOR ACACIA 2403</t>
  </si>
  <si>
    <t>ONIX 601</t>
  </si>
  <si>
    <t>BARQUEREÑA</t>
  </si>
  <si>
    <t>MATEO URIBE -  JULIO 2022</t>
  </si>
  <si>
    <t>LOMA LINDA 602</t>
  </si>
  <si>
    <t>19-07-2022</t>
  </si>
  <si>
    <t>MONTEAZUL 1203</t>
  </si>
  <si>
    <t>CARRERA 32 N° 62SUR-26 APTO 110</t>
  </si>
  <si>
    <t>VALPARAISO 1107</t>
  </si>
  <si>
    <t>CALLE 30 # 89A-19</t>
  </si>
  <si>
    <t>BELEN LOS ALPES</t>
  </si>
  <si>
    <t>KORE 401</t>
  </si>
  <si>
    <t>VILLA ROMERA 2209</t>
  </si>
  <si>
    <t>SABANA ALTA 1604</t>
  </si>
  <si>
    <t>VILLA ROMERA 821</t>
  </si>
  <si>
    <t>MISSONI APARTASUITES 1802</t>
  </si>
  <si>
    <t>SAN SILVESTRE 405</t>
  </si>
  <si>
    <t>LA CUENCA</t>
  </si>
  <si>
    <t>SELVATICA 1008</t>
  </si>
  <si>
    <t>VILLA ROMERA 2417</t>
  </si>
  <si>
    <t>SELVATICA 910</t>
  </si>
  <si>
    <t>SARATOGA 303</t>
  </si>
  <si>
    <t>BOSTON</t>
  </si>
  <si>
    <t>EL PEDRERO</t>
  </si>
  <si>
    <t>MONTEAZUL 1905</t>
  </si>
  <si>
    <t>SELVATICA 203</t>
  </si>
  <si>
    <t>ONUX 501</t>
  </si>
  <si>
    <t>PORTADA -  JULIO 2022</t>
  </si>
  <si>
    <t>CR 46 B 75 SUR 14 AP 401 EDIFICIO SEVILLA</t>
  </si>
  <si>
    <t>JUAN CAMILO URREA -  AGOSTO  2022</t>
  </si>
  <si>
    <t>29-07-2022</t>
  </si>
  <si>
    <t>ED LA CEIBA 402</t>
  </si>
  <si>
    <t xml:space="preserve">DIRECTO </t>
  </si>
  <si>
    <t>30-07-2022</t>
  </si>
  <si>
    <t>RUISEÑOR 201</t>
  </si>
  <si>
    <t>MARAT PLUS 202</t>
  </si>
  <si>
    <t>MONTANA 1704-</t>
  </si>
  <si>
    <t>AMONTE 1010</t>
  </si>
  <si>
    <t>PUERTA MAYORCA 1701</t>
  </si>
  <si>
    <t>RESTEPO NARANJO</t>
  </si>
  <si>
    <t>ODONATA 302</t>
  </si>
  <si>
    <t>02-08-2'022</t>
  </si>
  <si>
    <t>MADEROS DEL CAMPO 2808</t>
  </si>
  <si>
    <t>MADEROS DEL CAMPO 902</t>
  </si>
  <si>
    <t>LA VEGA418</t>
  </si>
  <si>
    <t>VEGAS DE GUADARRAMA 120</t>
  </si>
  <si>
    <t>ODONATA 515</t>
  </si>
  <si>
    <t>18-08-2022</t>
  </si>
  <si>
    <t>VIÑAS DE SAN REMO 1407</t>
  </si>
  <si>
    <t> AMONTE APTO 1921</t>
  </si>
  <si>
    <t>PRIMEIRO APTO 2202</t>
  </si>
  <si>
    <t> ED TORRE TOLEDO APTO 302</t>
  </si>
  <si>
    <t>AIRES DEL BOSQUE APTO 2611</t>
  </si>
  <si>
    <t>24-08-2022</t>
  </si>
  <si>
    <t>LA ESTRELLA</t>
  </si>
  <si>
    <t>24_08_2022</t>
  </si>
  <si>
    <t> AMONTE APTO 1816</t>
  </si>
  <si>
    <t> SABANA ALTA APTO 401</t>
  </si>
  <si>
    <t>25-08-2022</t>
  </si>
  <si>
    <t>SANTIAGO LOPERA -  AGOSTO  2022</t>
  </si>
  <si>
    <t>AIRES DEL CAMPO 1724</t>
  </si>
  <si>
    <t>PARQUES DEL SOL 9709</t>
  </si>
  <si>
    <t>MOCCACINO 2304</t>
  </si>
  <si>
    <t>27-07-2022</t>
  </si>
  <si>
    <t>AIRES DEL CAMPO 1821</t>
  </si>
  <si>
    <t>MONTEFLOR 1323</t>
  </si>
  <si>
    <t>MONTEFLOR 1220</t>
  </si>
  <si>
    <t>VILLA ROMERA 413</t>
  </si>
  <si>
    <t>PARQUES DEL SOL 1810</t>
  </si>
  <si>
    <t>PARQUES DEL SOL 805</t>
  </si>
  <si>
    <t>FUENTE CLARA 803</t>
  </si>
  <si>
    <t>AIRES DEL CAMPO 1419</t>
  </si>
  <si>
    <t>19-08-2022</t>
  </si>
  <si>
    <t>AIRES DEL CAMPO APTO 716</t>
  </si>
  <si>
    <t>CALLE 73 #46-37</t>
  </si>
  <si>
    <t>CASA ROCIO DE LA MAÑANA 51</t>
  </si>
  <si>
    <t>FIORY 2502</t>
  </si>
  <si>
    <t>MATEO URIBE -  AGOSTO  2022</t>
  </si>
  <si>
    <t>SELVATICA 1003</t>
  </si>
  <si>
    <t>SELVATICA 604</t>
  </si>
  <si>
    <t>RIO SECRETO APTO 2713</t>
  </si>
  <si>
    <t>06-'8-2022</t>
  </si>
  <si>
    <t>CALLEN 23D # 85A-51 PRIMER PSIO</t>
  </si>
  <si>
    <t>FONTIBON</t>
  </si>
  <si>
    <t>PRIMEIRO 403</t>
  </si>
  <si>
    <t>PRIMIRO 607</t>
  </si>
  <si>
    <t>ARAMUS STYLE 2708</t>
  </si>
  <si>
    <t>VIVARE 1011</t>
  </si>
  <si>
    <t>MOLINOS DE ZUÑIGA 602</t>
  </si>
  <si>
    <t>ZUÑIGA</t>
  </si>
  <si>
    <t>BOSQUES DE SAUCES 1917</t>
  </si>
  <si>
    <t>LA TABLAZA</t>
  </si>
  <si>
    <t>16-02-2022</t>
  </si>
  <si>
    <t xml:space="preserve"> RIO SECRETO APTO 1418</t>
  </si>
  <si>
    <t>16-08-2022</t>
  </si>
  <si>
    <t xml:space="preserve"> MOSTAZA APTO 1212	</t>
  </si>
  <si>
    <t xml:space="preserve"> PRIMEIRO APTO 1401</t>
  </si>
  <si>
    <t> RIO SECRETO APTO 2713</t>
  </si>
  <si>
    <t>20-08-2022</t>
  </si>
  <si>
    <t>MARAT APTO 1001</t>
  </si>
  <si>
    <t>SELVATICA APTO 9708</t>
  </si>
  <si>
    <t>SABATTO APTO 2004</t>
  </si>
  <si>
    <t>SELVATICA APTO 505</t>
  </si>
  <si>
    <t>ALEJANDRO RUDA-  AGOSTO  2022</t>
  </si>
  <si>
    <t>CARRERA 43B#61SUR-25 CASA 201</t>
  </si>
  <si>
    <t>SCALA 1707</t>
  </si>
  <si>
    <t>ALAIA MANTRA 1805</t>
  </si>
  <si>
    <t> CENTRO COMERCIAL LA GRAN MANZANA</t>
  </si>
  <si>
    <t>PORTADA -  AGOSTO  2022</t>
  </si>
  <si>
    <t>SANTIVARI 1108</t>
  </si>
  <si>
    <t>LIVING 2210-SUBROGACION</t>
  </si>
  <si>
    <t xml:space="preserve">VIGO 1606- EMPALME </t>
  </si>
  <si>
    <t>APARTAVISTAMIRADOR 502-SUBROGACION</t>
  </si>
  <si>
    <t>13-08-2022</t>
  </si>
  <si>
    <t>CYPRUS</t>
  </si>
  <si>
    <t xml:space="preserve">VILLA ROMERA </t>
  </si>
  <si>
    <t xml:space="preserve">CANTO LUNA 1602 </t>
  </si>
  <si>
    <t>JUAN CAMILO URREA -  SEPTIEMBRE  2022</t>
  </si>
  <si>
    <t>PRIMEIRO APTO 1903</t>
  </si>
  <si>
    <t>SABANA ALTA APTO 304</t>
  </si>
  <si>
    <t> MANTIS APTO 1401</t>
  </si>
  <si>
    <t>MONTECARMELO APTO 701</t>
  </si>
  <si>
    <t xml:space="preserve">EIDER </t>
  </si>
  <si>
    <t>PRESTIGE APTO 604</t>
  </si>
  <si>
    <t>VIVARE APTO 807</t>
  </si>
  <si>
    <t>2.200.000</t>
  </si>
  <si>
    <t>ALCAZAR DEL POMAR CASA 110</t>
  </si>
  <si>
    <t>AMATISTA 2004</t>
  </si>
  <si>
    <t xml:space="preserve"> PARIS APTO 2008</t>
  </si>
  <si>
    <t>PARIS APTO 2108</t>
  </si>
  <si>
    <t>PARIS APTO 2308</t>
  </si>
  <si>
    <t>AMATISTA APTO 1202</t>
  </si>
  <si>
    <t>AMONTE 901</t>
  </si>
  <si>
    <t>MOLINOS DEL SOL,</t>
  </si>
  <si>
    <t xml:space="preserve">VIAVRE 1308 </t>
  </si>
  <si>
    <t>$2.400.000</t>
  </si>
  <si>
    <t>AMONTE 1422</t>
  </si>
  <si>
    <t>$2.300.000</t>
  </si>
  <si>
    <t xml:space="preserve">VIVARE 1012 </t>
  </si>
  <si>
    <t>$2.100.000</t>
  </si>
  <si>
    <t>ALCAZAR DEL POMAR</t>
  </si>
  <si>
    <t>$6.000.000</t>
  </si>
  <si>
    <t>BALCONES DE FIDELENA 504</t>
  </si>
  <si>
    <t>$2.500.000</t>
  </si>
  <si>
    <t>PORTAL DEL PARQUE</t>
  </si>
  <si>
    <t>$1.800.000</t>
  </si>
  <si>
    <t>14-09-2022</t>
  </si>
  <si>
    <t>PARIS APTO 2005</t>
  </si>
  <si>
    <t>15-09-2022</t>
  </si>
  <si>
    <t>SALTAMONTES APTO 1206</t>
  </si>
  <si>
    <t>19-09-2022</t>
  </si>
  <si>
    <t>AMONTE 1821</t>
  </si>
  <si>
    <t>20-09-2022</t>
  </si>
  <si>
    <t>VIVARE APTO 1507</t>
  </si>
  <si>
    <t>CARRIQUI APTO 409</t>
  </si>
  <si>
    <t xml:space="preserve"> RINCÓN DE LA DOCTORA CASA 4</t>
  </si>
  <si>
    <t>22-09-2022</t>
  </si>
  <si>
    <t>DUBLÍN APTO 1405</t>
  </si>
  <si>
    <t>23-09-2022</t>
  </si>
  <si>
    <t> VIVARE APTO 1108</t>
  </si>
  <si>
    <t>SANTIAGO LOPERA -  SEPTIEMBRE  2022</t>
  </si>
  <si>
    <t>FIDELENA PARK APTO 2501</t>
  </si>
  <si>
    <t>CATTLEYA APTO 2206</t>
  </si>
  <si>
    <t>CATTLEYA APTO 2401</t>
  </si>
  <si>
    <t>29-08-2022</t>
  </si>
  <si>
    <t xml:space="preserve">TORRES DE LA PROVINCIA 703 </t>
  </si>
  <si>
    <t>AIRES DEL CAMPO 1520</t>
  </si>
  <si>
    <t>AIRES DEL CAMPO 2014</t>
  </si>
  <si>
    <t>MONTEFLOR ACACIA APTO 2015</t>
  </si>
  <si>
    <t>31-08-2022</t>
  </si>
  <si>
    <t>AIRES DEL CAMPO APTO 726</t>
  </si>
  <si>
    <t>MONTEFLOR ACACIA APTO 911</t>
  </si>
  <si>
    <t>MONTEFLOR ACACIA APTO 405</t>
  </si>
  <si>
    <t>CARRERA 50 #92-80 APTO</t>
  </si>
  <si>
    <t>ARANJUEZ</t>
  </si>
  <si>
    <t> BIANCO APTO 2202</t>
  </si>
  <si>
    <t>MONTEFLOR 1909</t>
  </si>
  <si>
    <t xml:space="preserve">MONTEFLOR 1108 </t>
  </si>
  <si>
    <t>$1.900.000</t>
  </si>
  <si>
    <t>CATTLEYA 703</t>
  </si>
  <si>
    <t xml:space="preserve">VILLA ROMERA 912 </t>
  </si>
  <si>
    <t xml:space="preserve">MARIA AUXILIADORA </t>
  </si>
  <si>
    <t>$1.300.000</t>
  </si>
  <si>
    <t>13-09-2022</t>
  </si>
  <si>
    <t>AIRES CAMPO 2614</t>
  </si>
  <si>
    <t>$1.600.000</t>
  </si>
  <si>
    <t> LISBOA APTO 3211</t>
  </si>
  <si>
    <t>AIRES DEL CAMPO APTO 1717</t>
  </si>
  <si>
    <t> AIRES DEL CAMPO APTO 2118</t>
  </si>
  <si>
    <t> VILLA ROMERA APTO 323</t>
  </si>
  <si>
    <t>MATEO URIBE -  SEPTIEMBRE  2022</t>
  </si>
  <si>
    <t>MAZZARO APTO 1816</t>
  </si>
  <si>
    <t>BALUARTE APTO 2707</t>
  </si>
  <si>
    <t>CANELA APTO 1206</t>
  </si>
  <si>
    <t>MOSTAZA 506</t>
  </si>
  <si>
    <t>BIANCO 2104</t>
  </si>
  <si>
    <t>SELVATICA APTO 311</t>
  </si>
  <si>
    <t>30-08-2022</t>
  </si>
  <si>
    <t>SELVATICA APTO 203</t>
  </si>
  <si>
    <t>LYRA 2602</t>
  </si>
  <si>
    <t>FIDELENA PARK 2004</t>
  </si>
  <si>
    <t>FIDELENA</t>
  </si>
  <si>
    <t>MONTEAZUL 1711</t>
  </si>
  <si>
    <t>$2.200.000</t>
  </si>
  <si>
    <t>VILLA ROMERA APTO 1018</t>
  </si>
  <si>
    <t>CRA. 45 #77 SUR 35, </t>
  </si>
  <si>
    <t xml:space="preserve"> KANDALA APTO 611</t>
  </si>
  <si>
    <t>ASDESILLA</t>
  </si>
  <si>
    <t>21-09-2022</t>
  </si>
  <si>
    <t>VILLA ROMERA APTO 1622</t>
  </si>
  <si>
    <t> RIO SECRETO APTO 2017</t>
  </si>
  <si>
    <t>VILLA ROMERA APTO 918</t>
  </si>
  <si>
    <t>SEBASTIAN RUIZ -  SEPTIEMBRE  2022</t>
  </si>
  <si>
    <t>CANTOLUNA LOCAL 102</t>
  </si>
  <si>
    <t>DIRECT</t>
  </si>
  <si>
    <t>PORTADA -  SEPTIEMBRE  2022</t>
  </si>
  <si>
    <t>ALONDRA 810</t>
  </si>
  <si>
    <t>SABATTO LIVING 803</t>
  </si>
  <si>
    <t>ALAMEDA APTO 902</t>
  </si>
  <si>
    <t>LA VEGA</t>
  </si>
  <si>
    <t>ALAIA MANTRA 1605</t>
  </si>
  <si>
    <t>JUAN URREA OCTUBRE   2022</t>
  </si>
  <si>
    <t>30-09-2022</t>
  </si>
  <si>
    <t>RINCON DE LA DOCTORA CASA 46</t>
  </si>
  <si>
    <t>VENTUM APTO 2008</t>
  </si>
  <si>
    <t>AMONTE APTO 1308</t>
  </si>
  <si>
    <t xml:space="preserve">APTO </t>
  </si>
  <si>
    <t>KAMELOT APTO 1004</t>
  </si>
  <si>
    <t> RUISEÑOR APTO 402</t>
  </si>
  <si>
    <t>CORTIJO DE SAN JOSE CASA 86</t>
  </si>
  <si>
    <t> ALAMEDA APTO 710</t>
  </si>
  <si>
    <t>CORTIJO DE SAN JOSE CASA 61</t>
  </si>
  <si>
    <t>KAMELOT APTO 1802</t>
  </si>
  <si>
    <t>MESSANTIA APTO 3516</t>
  </si>
  <si>
    <t> ALAMEDA APTO 1114</t>
  </si>
  <si>
    <t>IGUAZU (ITAGUI) CASA 153</t>
  </si>
  <si>
    <t>21-10-2022</t>
  </si>
  <si>
    <t>BALUARTE APTO 1001</t>
  </si>
  <si>
    <t>CANTOLUNA APTO 1403</t>
  </si>
  <si>
    <t>LIVING APTO 1406</t>
  </si>
  <si>
    <t>MESSANTIA APTO 3415</t>
  </si>
  <si>
    <t xml:space="preserve">AVES MARIA </t>
  </si>
  <si>
    <t>AMONTE APTO 2717</t>
  </si>
  <si>
    <t>AMONTE APTO 2014</t>
  </si>
  <si>
    <t>24-10-2022</t>
  </si>
  <si>
    <t>26-10-2022</t>
  </si>
  <si>
    <t>CYPRUS APTO 1412</t>
  </si>
  <si>
    <t>SANTIAGO OCTUBRE   2022</t>
  </si>
  <si>
    <t>VILLA ROMERA APTO 515</t>
  </si>
  <si>
    <t>LISBOA APTO 1101</t>
  </si>
  <si>
    <t>CATTLEYA APTO 1401</t>
  </si>
  <si>
    <t>CATTLEYA APTO 1603</t>
  </si>
  <si>
    <t> MADERA NATIVA 2804</t>
  </si>
  <si>
    <t>MADERA NATIVA APTO 2603</t>
  </si>
  <si>
    <t> LOMA LINDA APTO 1402</t>
  </si>
  <si>
    <t>MONTEFLOR APTO 2613</t>
  </si>
  <si>
    <t> LOMA LINDA APTO 306</t>
  </si>
  <si>
    <t>ODONNATA APTO 412</t>
  </si>
  <si>
    <t>VISTA APARTA MIRADOR APTO 601</t>
  </si>
  <si>
    <t>PARQUES DEL SOL APTO 1309</t>
  </si>
  <si>
    <t>MONTEFLOR ACACIA APTO 2521</t>
  </si>
  <si>
    <t>AIRES DEL CAMPO APTO 1626</t>
  </si>
  <si>
    <t>AIRES DEL CAMPO APTO 1618</t>
  </si>
  <si>
    <t>AIRES DEL CAMPO APTO 1714</t>
  </si>
  <si>
    <t>22-10-2022</t>
  </si>
  <si>
    <t>AIRES DEL CAMPO APTO 1726</t>
  </si>
  <si>
    <t xml:space="preserve"> VILLA ROMERA APTO 319</t>
  </si>
  <si>
    <t>AIRES DEL CAMPO APTO 9616</t>
  </si>
  <si>
    <t>MONTEFLOR ABEDUL APTO 810</t>
  </si>
  <si>
    <t>CATTLEYA APTO 803</t>
  </si>
  <si>
    <t>PARIS APTO 507</t>
  </si>
  <si>
    <t xml:space="preserve">PARIS APTO 2305	</t>
  </si>
  <si>
    <t>MATEO OCTUBRE   2022</t>
  </si>
  <si>
    <t> RIO SECRETO APTO 1510</t>
  </si>
  <si>
    <t>VISTA DEL VALLE APTO 1301</t>
  </si>
  <si>
    <t> VEGAS PLAZA APTO 3206</t>
  </si>
  <si>
    <t>HOLANADA</t>
  </si>
  <si>
    <t> SELVATICAS APTO 705</t>
  </si>
  <si>
    <t>VEGAS PLAZA APTO 9802</t>
  </si>
  <si>
    <t xml:space="preserve"> SELVATICA APTO 705</t>
  </si>
  <si>
    <t>RIO SECRETO APTO 404</t>
  </si>
  <si>
    <t>PARIS APTO 1505</t>
  </si>
  <si>
    <t>PARIS APTO 2407</t>
  </si>
  <si>
    <t>MOSTAZA APTO 810</t>
  </si>
  <si>
    <t> PARIS APTO 506</t>
  </si>
  <si>
    <t>MONTEFLOR APTO 303</t>
  </si>
  <si>
    <t>25-10-2022</t>
  </si>
  <si>
    <t>VILLA ROMERA APTO 2118</t>
  </si>
  <si>
    <t>SEBASTIAN OCTUBRE   2022</t>
  </si>
  <si>
    <t>TORRE PRAGA APTO 802</t>
  </si>
  <si>
    <t>TORRE MOCCA 806</t>
  </si>
  <si>
    <t>VILLA ROMERA ETAPA 3 APTO 2232</t>
  </si>
  <si>
    <t>EIDER OCTUBRE   2022</t>
  </si>
  <si>
    <t>MANTIS APTO 1208</t>
  </si>
  <si>
    <t>PORTADA OCTUBRE   2022</t>
  </si>
  <si>
    <t>10-10-222</t>
  </si>
  <si>
    <t>PARIS APTO 2305</t>
  </si>
  <si>
    <t>DUBLÍN APTO 1401</t>
  </si>
  <si>
    <t>JUAN URREA NOVIEMBRE  2022</t>
  </si>
  <si>
    <t>LA VEGA APTO 105</t>
  </si>
  <si>
    <t xml:space="preserve">SAN JOSE </t>
  </si>
  <si>
    <t>MANTIS APTO 704</t>
  </si>
  <si>
    <t>RUISEÑOR APTO 310</t>
  </si>
  <si>
    <t>SALTAMONTES APTO 505</t>
  </si>
  <si>
    <t>AMONTE APTO 1022</t>
  </si>
  <si>
    <t>AMONTE APTO 2711</t>
  </si>
  <si>
    <t>MARAT PLUS APTO 303</t>
  </si>
  <si>
    <t>MARAT PLUS APTO 203</t>
  </si>
  <si>
    <t> DUBLIN APTO 1905</t>
  </si>
  <si>
    <t>16-11-2022</t>
  </si>
  <si>
    <t>KAMELOT APTO 1202</t>
  </si>
  <si>
    <t>MANTIS APTO 1310</t>
  </si>
  <si>
    <t> VEGAS DE GUADARRAMA CASA 106</t>
  </si>
  <si>
    <t>EL TRAPICHE</t>
  </si>
  <si>
    <t>17-11-2022</t>
  </si>
  <si>
    <t>CATALUÑA CASA 126</t>
  </si>
  <si>
    <t>23-11-2022</t>
  </si>
  <si>
    <t>SABANA ALTA APTO 1012</t>
  </si>
  <si>
    <t>JARDINES DE SAN REMO APTO 1708</t>
  </si>
  <si>
    <t> SABANA ALTA APTO 1302</t>
  </si>
  <si>
    <t>24-11-2022</t>
  </si>
  <si>
    <t> AMATISTA APTO 1001</t>
  </si>
  <si>
    <t>BANGKOK APTO 2506</t>
  </si>
  <si>
    <t>VIÑA DE SAN REMO APTO 1506</t>
  </si>
  <si>
    <t>SANTIAGO NOVIEMBRE  2022</t>
  </si>
  <si>
    <t>28-10-2022</t>
  </si>
  <si>
    <t>AIRES DEL CAMPO APTO 9615</t>
  </si>
  <si>
    <t>VISTA DEL VALLE APTO 1604</t>
  </si>
  <si>
    <t>CALLE 119 #64D-11  EDIFICIO APTO 101</t>
  </si>
  <si>
    <t>BOYACA LAS BRISAS</t>
  </si>
  <si>
    <t>CALLE 119 #64D-11 EDIFICIO APTO 201</t>
  </si>
  <si>
    <t>CALLE 119 #64D-11 EDIFICIO APTO 301</t>
  </si>
  <si>
    <t>MONTEFLOR APTO 1215</t>
  </si>
  <si>
    <t>MONTEFLOR APTO 401</t>
  </si>
  <si>
    <t>MONTEFLOR APTO 1618</t>
  </si>
  <si>
    <t>AIRES DEL CAMPO APTO 1820</t>
  </si>
  <si>
    <t>MONTEFLOR ACACIA APTO 1915</t>
  </si>
  <si>
    <t>AIRES DEL CAMPO APTO 1118</t>
  </si>
  <si>
    <t>MONTEFLOR APTO 1812</t>
  </si>
  <si>
    <t>AIRES DEL CAPO APTO 1119</t>
  </si>
  <si>
    <t>AIRES DEL CAMPO APTO 216</t>
  </si>
  <si>
    <t>CATTLEYA APTO 501</t>
  </si>
  <si>
    <t>PARIS 1605</t>
  </si>
  <si>
    <t>MATEO NOVIEMBRE  2022</t>
  </si>
  <si>
    <t>VEGAS PLAZA APTO 1618</t>
  </si>
  <si>
    <t>MANANTIALES DE SAN JOSE APTO 1313</t>
  </si>
  <si>
    <t> VEGAS PLAZA APTO 2018</t>
  </si>
  <si>
    <t>VEGAS PLAZA APTO 2113</t>
  </si>
  <si>
    <t>ALABAMA CASA 68</t>
  </si>
  <si>
    <t>LA ESTRELLLA</t>
  </si>
  <si>
    <t>MARAT APTO 1302</t>
  </si>
  <si>
    <t>PARIS APTO 1203</t>
  </si>
  <si>
    <t>CENTURY TOWER</t>
  </si>
  <si>
    <t>MISONI APTO 706</t>
  </si>
  <si>
    <t>RIO SECRETO APTO 1501</t>
  </si>
  <si>
    <t>RIO SECRETO APTO 2703</t>
  </si>
  <si>
    <t>25-11-2022</t>
  </si>
  <si>
    <t> LISBOA APTO 710</t>
  </si>
  <si>
    <t> PARIS APTO 1808</t>
  </si>
  <si>
    <t>26-11-2022</t>
  </si>
  <si>
    <t>RIO SECRETO APTO 707</t>
  </si>
  <si>
    <t>SEBASTIAN NOVIEMBRE  2022</t>
  </si>
  <si>
    <t>SELVÁTICA APTO 9808</t>
  </si>
  <si>
    <t>CALLE 67 SUR #43A -70</t>
  </si>
  <si>
    <t> EDIFICIO EMANUEL APTO 701</t>
  </si>
  <si>
    <t>VILLA ROMERA ETAPA 3 APTO 613</t>
  </si>
  <si>
    <t>19-11-2022</t>
  </si>
  <si>
    <t>MONTEFLOR ABEDUS APTO 1514</t>
  </si>
  <si>
    <t>LLANO AZUL CASA 228</t>
  </si>
  <si>
    <t>GIRARDOTA</t>
  </si>
  <si>
    <t>22-11-2022</t>
  </si>
  <si>
    <t>CUIDAD DEL BOSQUE APTO 1007</t>
  </si>
  <si>
    <t>PORTADA NOVIEMBRE  2022</t>
  </si>
  <si>
    <t>MISONI APTO 1803</t>
  </si>
  <si>
    <t>PASEO DE SAN FRANCISCO APTO 303</t>
  </si>
  <si>
    <t>MIRADOR DE SABANETA APTO 101</t>
  </si>
  <si>
    <t>2507 URBANIZACION VILLA ROMERA PH </t>
  </si>
  <si>
    <t>1406 TORRE COLIBRI PH</t>
  </si>
  <si>
    <t> 202 EDIFICIO BALCONES DE SANTA ANA</t>
  </si>
  <si>
    <t> 2805 CONJUNTO DE USO MIXTO RIO MISTICO</t>
  </si>
  <si>
    <t>1903 TO 1 URB BALCONES DE LA HOLANDA</t>
  </si>
  <si>
    <t>LA HOLANDA</t>
  </si>
  <si>
    <t> 2508 URB MADEROS DEL CAMPO </t>
  </si>
  <si>
    <t>DICIEMBRE  2022</t>
  </si>
  <si>
    <t>JUAN URREA DICIEMBRE   2022</t>
  </si>
  <si>
    <t>29-11-2022</t>
  </si>
  <si>
    <t>BASALTO APTO 205</t>
  </si>
  <si>
    <t>SAN GERMAN</t>
  </si>
  <si>
    <t>EDIFICIO PORTAL DEL PARQUE APTO 602</t>
  </si>
  <si>
    <t>SANTA ANA</t>
  </si>
  <si>
    <t>SANTIAGO DICIEMBRE   2022</t>
  </si>
  <si>
    <t>MONTEFLOR AZALEA APTO 416</t>
  </si>
  <si>
    <t>MONTEFLOR APTO 809</t>
  </si>
  <si>
    <t>AIRES DEL CAMPO APTO 913</t>
  </si>
  <si>
    <t>CATTLEYA APTO 704</t>
  </si>
  <si>
    <t>VISTA APARTA MIRADOR APTO 2403</t>
  </si>
  <si>
    <t>MATEO DICIEMBRE   2022</t>
  </si>
  <si>
    <t>ARAMUS STYLE APTO 1006</t>
  </si>
  <si>
    <t>portero</t>
  </si>
  <si>
    <t>SEBASTIAN DICIEMBRE   2022</t>
  </si>
  <si>
    <t>PORTADA DICIEMBRE   2022</t>
  </si>
  <si>
    <t>MAZZARO APTO 2120</t>
  </si>
  <si>
    <t xml:space="preserve">PLAN CELULAR SEDE SABANETA </t>
  </si>
  <si>
    <t>OPERADOR</t>
  </si>
  <si>
    <t xml:space="preserve">VALOR </t>
  </si>
  <si>
    <t>TIGO</t>
  </si>
  <si>
    <t>MONICA MEDRANO</t>
  </si>
  <si>
    <t>KAREN CASTRO</t>
  </si>
  <si>
    <t>EIDER LONDOÑO</t>
  </si>
  <si>
    <t>JUAN CAMILO URREA</t>
  </si>
  <si>
    <t>CLARO</t>
  </si>
  <si>
    <t xml:space="preserve">JENIFFER ARANGO </t>
  </si>
  <si>
    <t>Asistencia fiesta el libertador</t>
  </si>
  <si>
    <t>Nombre correo completo</t>
  </si>
  <si>
    <t xml:space="preserve">Número de cedula </t>
  </si>
  <si>
    <t xml:space="preserve">Correo electrónico </t>
  </si>
  <si>
    <t xml:space="preserve">Número de celular </t>
  </si>
  <si>
    <t>Eider Fabian Londoño Maldonado</t>
  </si>
  <si>
    <t xml:space="preserve"> eiderlond@hotmail.com</t>
  </si>
  <si>
    <t>casa 16</t>
  </si>
  <si>
    <t>Monica Patricia Medrano Salcedo</t>
  </si>
  <si>
    <t>monica.p81@hotmail.com</t>
  </si>
  <si>
    <t>312 7671629</t>
  </si>
  <si>
    <t>Karen Dayana Castro Marin</t>
  </si>
  <si>
    <t>karendcastro@hotmail.com</t>
  </si>
  <si>
    <t>300 3170505</t>
  </si>
  <si>
    <t>Santiago Lopera Arango</t>
  </si>
  <si>
    <t>santiagoloperarango06112002@gmail.com</t>
  </si>
  <si>
    <t>323 3453255</t>
  </si>
  <si>
    <t>Mateo Uribe Valencia</t>
  </si>
  <si>
    <t>mateouribe64@gmail.com</t>
  </si>
  <si>
    <t>301 3603564</t>
  </si>
  <si>
    <t>Sebastian Ruiz Pacheco</t>
  </si>
  <si>
    <t>pacherast@hotmail.com</t>
  </si>
  <si>
    <t>310 2126108</t>
  </si>
  <si>
    <t>Juan Camilo Urrea Zuluaga</t>
  </si>
  <si>
    <t>juanurrea64@gmail.com</t>
  </si>
  <si>
    <t>310 5045002</t>
  </si>
  <si>
    <t>Jeniffer Arango Rios</t>
  </si>
  <si>
    <t>levanach@hotmail.com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</si>
</sst>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164" formatCode="[$ $]#,##0"/>
    <numFmt numFmtId="165" formatCode="#,##0;[Red]#,##0"/>
    <numFmt numFmtId="166" formatCode="dd/mm/yyyy"/>
    <numFmt numFmtId="167" formatCode="[$$-240A]#,##0"/>
    <numFmt numFmtId="168" formatCode="[$-240A]dd/mm/yyyy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0.0%"/>
  </numFmts>
  <fonts count="68"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36"/>
      <name val="Arial"/>
      <charset val="1"/>
    </font>
    <font>
      <sz val="8"/>
      <color rgb="FF000000"/>
      <name val="Arial"/>
      <charset val="1"/>
    </font>
    <font>
      <sz val="14"/>
      <name val="Arial"/>
      <charset val="1"/>
    </font>
    <font>
      <sz val="12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1"/>
      <color rgb="FF000000"/>
      <name val="Arial"/>
      <charset val="1"/>
    </font>
    <font>
      <b/>
      <sz val="24"/>
      <color rgb="FFFFFFFF"/>
      <name val="Calibri"/>
    </font>
    <font>
      <sz val="11"/>
      <name val="Calibri"/>
    </font>
    <font>
      <b/>
      <sz val="14"/>
      <name val="Calibri"/>
    </font>
    <font>
      <b/>
      <sz val="14"/>
      <color rgb="FF000000"/>
      <name val="Calibri"/>
    </font>
    <font>
      <b/>
      <sz val="11"/>
      <name val="Calibri"/>
    </font>
    <font>
      <sz val="10"/>
      <color rgb="FFFF0000"/>
      <name val="Arial"/>
      <charset val="1"/>
    </font>
    <font>
      <b/>
      <sz val="24"/>
      <color rgb="FF000000"/>
      <name val="Calibri"/>
    </font>
    <font>
      <b/>
      <sz val="14"/>
      <color rgb="FF000000"/>
      <name val="Arial"/>
      <charset val="1"/>
    </font>
    <font>
      <b/>
      <sz val="36"/>
      <color rgb="FF000000"/>
      <name val="Arial"/>
      <charset val="1"/>
    </font>
    <font>
      <b/>
      <sz val="18"/>
      <color rgb="FF000000"/>
      <name val="Arial"/>
      <charset val="1"/>
    </font>
    <font>
      <b/>
      <sz val="16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name val="Arial"/>
    </font>
    <font>
      <b/>
      <sz val="10"/>
      <color rgb="FF000000"/>
      <name val="Arial"/>
    </font>
    <font>
      <b/>
      <sz val="48"/>
      <color rgb="FF00000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2"/>
      <color rgb="FF000000"/>
      <name val="Arial"/>
      <charset val="1"/>
    </font>
    <font>
      <b/>
      <sz val="11"/>
      <color rgb="FFFF0000"/>
      <name val="Arial"/>
      <charset val="1"/>
    </font>
    <font>
      <b/>
      <sz val="11"/>
      <color rgb="FFFF0000"/>
      <name val="Calibri"/>
    </font>
    <font>
      <b/>
      <sz val="12"/>
      <name val="Arial"/>
      <charset val="1"/>
    </font>
    <font>
      <b/>
      <sz val="12"/>
      <color rgb="FF000000"/>
      <name val="Calibri"/>
    </font>
    <font>
      <b/>
      <sz val="10"/>
      <color rgb="FFFF0000"/>
      <name val="Arial"/>
    </font>
    <font>
      <b/>
      <sz val="12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Arial"/>
    </font>
    <font>
      <sz val="48"/>
      <color rgb="FF000000"/>
      <name val="Arial"/>
      <charset val="1"/>
    </font>
    <font>
      <sz val="28"/>
      <color rgb="FF000000"/>
      <name val="Arial"/>
      <charset val="1"/>
    </font>
    <font>
      <sz val="36"/>
      <color rgb="FF000000"/>
      <name val="Arial"/>
      <charset val="1"/>
    </font>
    <font>
      <b/>
      <sz val="11"/>
      <color rgb="FFFF0000"/>
      <name val="Arial"/>
    </font>
    <font>
      <b/>
      <sz val="11"/>
      <name val="Arial"/>
    </font>
    <font>
      <b/>
      <sz val="14"/>
      <name val="Arial"/>
      <charset val="1"/>
    </font>
    <font>
      <b/>
      <sz val="11"/>
      <color rgb="FF333333"/>
      <name val="Arial"/>
    </font>
    <font>
      <b/>
      <sz val="12"/>
      <color rgb="FF333333"/>
      <name val="Arial"/>
    </font>
    <font>
      <b/>
      <sz val="12"/>
      <color rgb="FFFF0000"/>
      <name val="Arial"/>
      <charset val="1"/>
    </font>
    <font>
      <b/>
      <sz val="12"/>
      <name val="Arial"/>
    </font>
    <font>
      <b/>
      <sz val="12"/>
      <color rgb="FFFF0000"/>
      <name val="Arial"/>
    </font>
    <font>
      <b/>
      <sz val="12"/>
      <color rgb="FF000000"/>
      <name val="Arial"/>
    </font>
    <font>
      <b/>
      <sz val="11"/>
      <color rgb="FF444444"/>
      <name val="Calibri"/>
      <family val="2"/>
      <charset val="1"/>
    </font>
    <font>
      <b/>
      <sz val="14"/>
      <name val="Arial"/>
    </font>
    <font>
      <sz val="11"/>
      <color rgb="FF444444"/>
      <name val="Calibri"/>
      <family val="2"/>
      <charset val="1"/>
    </font>
    <font>
      <sz val="12"/>
      <color rgb="FF000000"/>
      <name val="Calibri"/>
      <charset val="1"/>
    </font>
    <font>
      <sz val="12"/>
      <color rgb="FF000000"/>
      <name val="Arial"/>
      <charset val="1"/>
    </font>
    <font>
      <sz val="11"/>
      <color rgb="FF000000"/>
      <name val="Helvetica Neue"/>
      <charset val="1"/>
    </font>
    <font>
      <sz val="11"/>
      <color rgb="FF201F1E"/>
      <name val="Segoe UI"/>
      <charset val="1"/>
    </font>
    <font>
      <b/>
      <sz val="11"/>
      <color rgb="FF201F1E"/>
      <name val="Segoe UI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2"/>
      <color rgb="FF000000"/>
      <name val="Arial"/>
    </font>
    <font>
      <sz val="12"/>
      <name val="Arial"/>
    </font>
    <font>
      <b/>
      <sz val="14"/>
      <color rgb="FFFF0000"/>
      <name val="Arial"/>
      <charset val="1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Helvetica Neue"/>
    </font>
    <font>
      <u/>
      <sz val="10"/>
      <color theme="10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4F4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0CECE"/>
      </patternFill>
    </fill>
    <fill>
      <patternFill patternType="solid">
        <fgColor rgb="FFD9D9D9"/>
        <bgColor rgb="FFD9D2E9"/>
      </patternFill>
    </fill>
    <fill>
      <patternFill patternType="solid">
        <fgColor rgb="FF4A86E8"/>
        <bgColor rgb="FF5B9BD5"/>
      </patternFill>
    </fill>
    <fill>
      <patternFill patternType="solid">
        <fgColor rgb="FFCC0000"/>
        <bgColor rgb="FFFF0000"/>
      </patternFill>
    </fill>
    <fill>
      <patternFill patternType="solid">
        <fgColor rgb="FF92D050"/>
        <bgColor rgb="FFB7E1CD"/>
      </patternFill>
    </fill>
    <fill>
      <patternFill patternType="solid">
        <fgColor rgb="FFD9D2E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9F9F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EAAAA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DDDDDD"/>
      </top>
      <bottom style="thin">
        <color auto="1"/>
      </bottom>
      <diagonal/>
    </border>
  </borders>
  <cellStyleXfs count="2">
    <xf numFmtId="0" fontId="0" fillId="0" borderId="0"/>
    <xf numFmtId="0" fontId="67" fillId="0" borderId="0" applyNumberFormat="0" applyFill="0" applyBorder="0" applyAlignment="0" applyProtection="0"/>
  </cellStyleXfs>
  <cellXfs count="1114">
    <xf numFmtId="0" fontId="0" fillId="0" borderId="0" xfId="0"/>
    <xf numFmtId="0" fontId="0" fillId="2" borderId="0" xfId="0" applyFill="1"/>
    <xf numFmtId="3" fontId="1" fillId="4" borderId="4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165" fontId="1" fillId="2" borderId="4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/>
    </xf>
    <xf numFmtId="0" fontId="12" fillId="2" borderId="6" xfId="0" applyFont="1" applyFill="1" applyBorder="1"/>
    <xf numFmtId="0" fontId="2" fillId="2" borderId="0" xfId="0" applyFont="1" applyFill="1"/>
    <xf numFmtId="168" fontId="2" fillId="12" borderId="1" xfId="0" applyNumberFormat="1" applyFont="1" applyFill="1" applyBorder="1" applyAlignment="1">
      <alignment horizontal="right"/>
    </xf>
    <xf numFmtId="0" fontId="12" fillId="12" borderId="4" xfId="0" applyFont="1" applyFill="1" applyBorder="1" applyAlignment="1">
      <alignment horizontal="center"/>
    </xf>
    <xf numFmtId="0" fontId="2" fillId="12" borderId="1" xfId="0" applyFont="1" applyFill="1" applyBorder="1"/>
    <xf numFmtId="167" fontId="12" fillId="12" borderId="4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1" fillId="10" borderId="10" xfId="0" applyFont="1" applyFill="1" applyBorder="1" applyAlignment="1">
      <alignment horizontal="center"/>
    </xf>
    <xf numFmtId="0" fontId="2" fillId="12" borderId="10" xfId="0" applyFont="1" applyFill="1" applyBorder="1"/>
    <xf numFmtId="3" fontId="0" fillId="5" borderId="4" xfId="0" applyNumberFormat="1" applyFill="1" applyBorder="1" applyAlignment="1">
      <alignment horizontal="center"/>
    </xf>
    <xf numFmtId="165" fontId="2" fillId="2" borderId="4" xfId="0" applyNumberFormat="1" applyFont="1" applyFill="1" applyBorder="1"/>
    <xf numFmtId="0" fontId="12" fillId="2" borderId="0" xfId="0" applyFont="1" applyFill="1"/>
    <xf numFmtId="0" fontId="1" fillId="11" borderId="10" xfId="0" applyFont="1" applyFill="1" applyBorder="1" applyAlignment="1">
      <alignment horizontal="center"/>
    </xf>
    <xf numFmtId="3" fontId="12" fillId="11" borderId="10" xfId="0" applyNumberFormat="1" applyFont="1" applyFill="1" applyBorder="1"/>
    <xf numFmtId="0" fontId="12" fillId="12" borderId="0" xfId="0" applyFont="1" applyFill="1"/>
    <xf numFmtId="3" fontId="9" fillId="12" borderId="0" xfId="0" applyNumberFormat="1" applyFont="1" applyFill="1" applyAlignment="1">
      <alignment horizontal="right"/>
    </xf>
    <xf numFmtId="9" fontId="12" fillId="12" borderId="0" xfId="0" applyNumberFormat="1" applyFont="1" applyFill="1"/>
    <xf numFmtId="0" fontId="1" fillId="12" borderId="10" xfId="0" applyFont="1" applyFill="1" applyBorder="1" applyAlignment="1">
      <alignment horizontal="center"/>
    </xf>
    <xf numFmtId="9" fontId="0" fillId="12" borderId="10" xfId="0" applyNumberFormat="1" applyFill="1" applyBorder="1" applyAlignment="1">
      <alignment horizontal="center"/>
    </xf>
    <xf numFmtId="9" fontId="2" fillId="12" borderId="10" xfId="0" applyNumberFormat="1" applyFont="1" applyFill="1" applyBorder="1" applyAlignment="1">
      <alignment horizontal="center"/>
    </xf>
    <xf numFmtId="3" fontId="2" fillId="12" borderId="10" xfId="0" applyNumberFormat="1" applyFont="1" applyFill="1" applyBorder="1"/>
    <xf numFmtId="0" fontId="0" fillId="12" borderId="10" xfId="0" applyFill="1" applyBorder="1" applyAlignment="1">
      <alignment wrapText="1"/>
    </xf>
    <xf numFmtId="9" fontId="2" fillId="12" borderId="10" xfId="0" applyNumberFormat="1" applyFont="1" applyFill="1" applyBorder="1"/>
    <xf numFmtId="0" fontId="12" fillId="12" borderId="3" xfId="0" applyFont="1" applyFill="1" applyBorder="1" applyAlignment="1">
      <alignment horizontal="center"/>
    </xf>
    <xf numFmtId="0" fontId="0" fillId="12" borderId="0" xfId="0" applyFill="1"/>
    <xf numFmtId="0" fontId="12" fillId="0" borderId="10" xfId="0" applyFont="1" applyBorder="1"/>
    <xf numFmtId="0" fontId="12" fillId="9" borderId="10" xfId="0" applyFont="1" applyFill="1" applyBorder="1"/>
    <xf numFmtId="3" fontId="9" fillId="9" borderId="10" xfId="0" applyNumberFormat="1" applyFont="1" applyFill="1" applyBorder="1" applyAlignment="1">
      <alignment horizontal="right"/>
    </xf>
    <xf numFmtId="0" fontId="2" fillId="12" borderId="0" xfId="0" applyFont="1" applyFill="1"/>
    <xf numFmtId="167" fontId="12" fillId="12" borderId="3" xfId="0" applyNumberFormat="1" applyFont="1" applyFill="1" applyBorder="1" applyAlignment="1">
      <alignment horizontal="center"/>
    </xf>
    <xf numFmtId="0" fontId="2" fillId="11" borderId="13" xfId="0" applyFont="1" applyFill="1" applyBorder="1" applyAlignment="1">
      <alignment horizontal="left"/>
    </xf>
    <xf numFmtId="0" fontId="5" fillId="11" borderId="11" xfId="0" applyFont="1" applyFill="1" applyBorder="1" applyAlignment="1">
      <alignment horizontal="left" wrapText="1"/>
    </xf>
    <xf numFmtId="0" fontId="10" fillId="2" borderId="10" xfId="0" applyFont="1" applyFill="1" applyBorder="1" applyAlignment="1">
      <alignment horizontal="center"/>
    </xf>
    <xf numFmtId="9" fontId="8" fillId="2" borderId="10" xfId="0" applyNumberFormat="1" applyFont="1" applyFill="1" applyBorder="1" applyAlignment="1">
      <alignment horizontal="center"/>
    </xf>
    <xf numFmtId="3" fontId="12" fillId="2" borderId="10" xfId="0" applyNumberFormat="1" applyFont="1" applyFill="1" applyBorder="1"/>
    <xf numFmtId="0" fontId="12" fillId="0" borderId="7" xfId="0" applyFont="1" applyBorder="1"/>
    <xf numFmtId="0" fontId="12" fillId="9" borderId="7" xfId="0" applyFont="1" applyFill="1" applyBorder="1"/>
    <xf numFmtId="9" fontId="12" fillId="9" borderId="7" xfId="0" applyNumberFormat="1" applyFont="1" applyFill="1" applyBorder="1"/>
    <xf numFmtId="167" fontId="12" fillId="13" borderId="4" xfId="0" applyNumberFormat="1" applyFont="1" applyFill="1" applyBorder="1" applyAlignment="1">
      <alignment horizontal="center"/>
    </xf>
    <xf numFmtId="0" fontId="12" fillId="13" borderId="4" xfId="0" applyFont="1" applyFill="1" applyBorder="1" applyAlignment="1">
      <alignment horizontal="center"/>
    </xf>
    <xf numFmtId="168" fontId="2" fillId="13" borderId="1" xfId="0" applyNumberFormat="1" applyFont="1" applyFill="1" applyBorder="1" applyAlignment="1">
      <alignment horizontal="right"/>
    </xf>
    <xf numFmtId="0" fontId="2" fillId="13" borderId="1" xfId="0" applyFont="1" applyFill="1" applyBorder="1"/>
    <xf numFmtId="0" fontId="12" fillId="12" borderId="10" xfId="0" applyFont="1" applyFill="1" applyBorder="1" applyAlignment="1">
      <alignment horizontal="center"/>
    </xf>
    <xf numFmtId="167" fontId="12" fillId="12" borderId="10" xfId="0" applyNumberFormat="1" applyFont="1" applyFill="1" applyBorder="1" applyAlignment="1">
      <alignment horizontal="center"/>
    </xf>
    <xf numFmtId="0" fontId="2" fillId="12" borderId="9" xfId="0" applyFont="1" applyFill="1" applyBorder="1"/>
    <xf numFmtId="0" fontId="0" fillId="2" borderId="10" xfId="0" applyFill="1" applyBorder="1"/>
    <xf numFmtId="168" fontId="2" fillId="12" borderId="11" xfId="0" applyNumberFormat="1" applyFont="1" applyFill="1" applyBorder="1" applyAlignment="1">
      <alignment horizontal="right"/>
    </xf>
    <xf numFmtId="0" fontId="10" fillId="10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2" fillId="0" borderId="14" xfId="0" applyFont="1" applyBorder="1"/>
    <xf numFmtId="0" fontId="12" fillId="9" borderId="14" xfId="0" applyFont="1" applyFill="1" applyBorder="1"/>
    <xf numFmtId="3" fontId="9" fillId="9" borderId="7" xfId="0" applyNumberFormat="1" applyFont="1" applyFill="1" applyBorder="1" applyAlignment="1">
      <alignment horizontal="right"/>
    </xf>
    <xf numFmtId="0" fontId="0" fillId="11" borderId="11" xfId="0" applyFill="1" applyBorder="1" applyAlignment="1">
      <alignment wrapText="1"/>
    </xf>
    <xf numFmtId="168" fontId="2" fillId="12" borderId="12" xfId="0" applyNumberFormat="1" applyFont="1" applyFill="1" applyBorder="1" applyAlignment="1">
      <alignment horizontal="right"/>
    </xf>
    <xf numFmtId="0" fontId="12" fillId="12" borderId="12" xfId="0" applyFont="1" applyFill="1" applyBorder="1" applyAlignment="1">
      <alignment horizontal="center"/>
    </xf>
    <xf numFmtId="168" fontId="2" fillId="13" borderId="10" xfId="0" applyNumberFormat="1" applyFont="1" applyFill="1" applyBorder="1" applyAlignment="1">
      <alignment horizontal="right"/>
    </xf>
    <xf numFmtId="0" fontId="12" fillId="13" borderId="10" xfId="0" applyFont="1" applyFill="1" applyBorder="1" applyAlignment="1">
      <alignment horizontal="center"/>
    </xf>
    <xf numFmtId="0" fontId="2" fillId="13" borderId="10" xfId="0" applyFont="1" applyFill="1" applyBorder="1"/>
    <xf numFmtId="167" fontId="12" fillId="13" borderId="10" xfId="0" applyNumberFormat="1" applyFont="1" applyFill="1" applyBorder="1" applyAlignment="1">
      <alignment horizontal="center"/>
    </xf>
    <xf numFmtId="168" fontId="2" fillId="13" borderId="12" xfId="0" applyNumberFormat="1" applyFont="1" applyFill="1" applyBorder="1" applyAlignment="1">
      <alignment horizontal="right"/>
    </xf>
    <xf numFmtId="0" fontId="12" fillId="13" borderId="12" xfId="0" applyFont="1" applyFill="1" applyBorder="1" applyAlignment="1">
      <alignment horizontal="center"/>
    </xf>
    <xf numFmtId="0" fontId="2" fillId="13" borderId="12" xfId="0" applyFont="1" applyFill="1" applyBorder="1"/>
    <xf numFmtId="0" fontId="12" fillId="12" borderId="13" xfId="0" applyFont="1" applyFill="1" applyBorder="1" applyAlignment="1">
      <alignment horizontal="center"/>
    </xf>
    <xf numFmtId="0" fontId="12" fillId="12" borderId="21" xfId="0" applyFont="1" applyFill="1" applyBorder="1" applyAlignment="1">
      <alignment horizontal="center"/>
    </xf>
    <xf numFmtId="0" fontId="2" fillId="12" borderId="21" xfId="0" applyFont="1" applyFill="1" applyBorder="1"/>
    <xf numFmtId="167" fontId="12" fillId="12" borderId="21" xfId="0" applyNumberFormat="1" applyFont="1" applyFill="1" applyBorder="1" applyAlignment="1">
      <alignment horizontal="center"/>
    </xf>
    <xf numFmtId="165" fontId="10" fillId="9" borderId="7" xfId="0" applyNumberFormat="1" applyFont="1" applyFill="1" applyBorder="1" applyAlignment="1">
      <alignment horizontal="center"/>
    </xf>
    <xf numFmtId="9" fontId="8" fillId="11" borderId="10" xfId="0" applyNumberFormat="1" applyFont="1" applyFill="1" applyBorder="1" applyAlignment="1">
      <alignment horizontal="center"/>
    </xf>
    <xf numFmtId="9" fontId="12" fillId="2" borderId="11" xfId="0" applyNumberFormat="1" applyFont="1" applyFill="1" applyBorder="1" applyAlignment="1">
      <alignment horizontal="center"/>
    </xf>
    <xf numFmtId="9" fontId="13" fillId="8" borderId="15" xfId="0" applyNumberFormat="1" applyFont="1" applyFill="1" applyBorder="1"/>
    <xf numFmtId="0" fontId="10" fillId="11" borderId="14" xfId="0" applyFont="1" applyFill="1" applyBorder="1" applyAlignment="1">
      <alignment horizontal="center"/>
    </xf>
    <xf numFmtId="3" fontId="12" fillId="11" borderId="14" xfId="0" applyNumberFormat="1" applyFont="1" applyFill="1" applyBorder="1"/>
    <xf numFmtId="9" fontId="12" fillId="11" borderId="14" xfId="0" applyNumberFormat="1" applyFont="1" applyFill="1" applyBorder="1" applyAlignment="1">
      <alignment horizontal="center"/>
    </xf>
    <xf numFmtId="165" fontId="12" fillId="11" borderId="14" xfId="0" applyNumberFormat="1" applyFont="1" applyFill="1" applyBorder="1"/>
    <xf numFmtId="9" fontId="12" fillId="9" borderId="11" xfId="0" applyNumberFormat="1" applyFont="1" applyFill="1" applyBorder="1"/>
    <xf numFmtId="9" fontId="12" fillId="11" borderId="11" xfId="0" applyNumberFormat="1" applyFont="1" applyFill="1" applyBorder="1" applyAlignment="1">
      <alignment horizontal="center"/>
    </xf>
    <xf numFmtId="0" fontId="0" fillId="11" borderId="10" xfId="0" applyFill="1" applyBorder="1"/>
    <xf numFmtId="0" fontId="10" fillId="14" borderId="10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left"/>
    </xf>
    <xf numFmtId="0" fontId="1" fillId="11" borderId="11" xfId="0" applyFont="1" applyFill="1" applyBorder="1" applyAlignment="1">
      <alignment horizontal="center"/>
    </xf>
    <xf numFmtId="0" fontId="0" fillId="11" borderId="18" xfId="0" applyFill="1" applyBorder="1" applyAlignment="1">
      <alignment wrapText="1"/>
    </xf>
    <xf numFmtId="0" fontId="0" fillId="11" borderId="14" xfId="0" applyFill="1" applyBorder="1"/>
    <xf numFmtId="9" fontId="12" fillId="11" borderId="18" xfId="0" applyNumberFormat="1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167" fontId="12" fillId="13" borderId="12" xfId="0" applyNumberFormat="1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166" fontId="14" fillId="15" borderId="7" xfId="0" applyNumberFormat="1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/>
    </xf>
    <xf numFmtId="167" fontId="14" fillId="15" borderId="4" xfId="0" applyNumberFormat="1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166" fontId="14" fillId="15" borderId="1" xfId="0" applyNumberFormat="1" applyFont="1" applyFill="1" applyBorder="1" applyAlignment="1">
      <alignment horizontal="center"/>
    </xf>
    <xf numFmtId="167" fontId="14" fillId="15" borderId="1" xfId="0" applyNumberFormat="1" applyFont="1" applyFill="1" applyBorder="1" applyAlignment="1">
      <alignment horizontal="center"/>
    </xf>
    <xf numFmtId="0" fontId="20" fillId="15" borderId="10" xfId="0" applyFont="1" applyFill="1" applyBorder="1" applyAlignment="1">
      <alignment horizontal="center"/>
    </xf>
    <xf numFmtId="165" fontId="20" fillId="15" borderId="10" xfId="0" applyNumberFormat="1" applyFont="1" applyFill="1" applyBorder="1" applyAlignment="1">
      <alignment horizontal="center"/>
    </xf>
    <xf numFmtId="0" fontId="18" fillId="15" borderId="12" xfId="0" applyFont="1" applyFill="1" applyBorder="1" applyAlignment="1">
      <alignment horizontal="center"/>
    </xf>
    <xf numFmtId="0" fontId="18" fillId="15" borderId="3" xfId="0" applyFont="1" applyFill="1" applyBorder="1" applyAlignment="1">
      <alignment horizontal="center"/>
    </xf>
    <xf numFmtId="0" fontId="18" fillId="15" borderId="0" xfId="0" applyFont="1" applyFill="1" applyAlignment="1">
      <alignment horizontal="center"/>
    </xf>
    <xf numFmtId="0" fontId="18" fillId="15" borderId="9" xfId="0" applyFont="1" applyFill="1" applyBorder="1" applyAlignment="1">
      <alignment horizontal="center"/>
    </xf>
    <xf numFmtId="0" fontId="21" fillId="15" borderId="14" xfId="0" applyFont="1" applyFill="1" applyBorder="1" applyAlignment="1">
      <alignment horizontal="center"/>
    </xf>
    <xf numFmtId="165" fontId="21" fillId="15" borderId="14" xfId="0" applyNumberFormat="1" applyFont="1" applyFill="1" applyBorder="1" applyAlignment="1">
      <alignment horizontal="center"/>
    </xf>
    <xf numFmtId="0" fontId="20" fillId="15" borderId="14" xfId="0" applyFont="1" applyFill="1" applyBorder="1" applyAlignment="1">
      <alignment horizontal="center"/>
    </xf>
    <xf numFmtId="165" fontId="20" fillId="15" borderId="14" xfId="0" applyNumberFormat="1" applyFont="1" applyFill="1" applyBorder="1" applyAlignment="1">
      <alignment horizontal="center"/>
    </xf>
    <xf numFmtId="165" fontId="20" fillId="15" borderId="18" xfId="0" applyNumberFormat="1" applyFont="1" applyFill="1" applyBorder="1" applyAlignment="1">
      <alignment horizontal="center"/>
    </xf>
    <xf numFmtId="165" fontId="21" fillId="15" borderId="21" xfId="0" applyNumberFormat="1" applyFont="1" applyFill="1" applyBorder="1" applyAlignment="1">
      <alignment horizontal="center"/>
    </xf>
    <xf numFmtId="9" fontId="12" fillId="11" borderId="10" xfId="0" applyNumberFormat="1" applyFont="1" applyFill="1" applyBorder="1" applyAlignment="1">
      <alignment horizontal="center"/>
    </xf>
    <xf numFmtId="165" fontId="12" fillId="11" borderId="10" xfId="0" applyNumberFormat="1" applyFont="1" applyFill="1" applyBorder="1"/>
    <xf numFmtId="0" fontId="0" fillId="12" borderId="10" xfId="0" applyFill="1" applyBorder="1"/>
    <xf numFmtId="0" fontId="2" fillId="0" borderId="0" xfId="0" applyFont="1"/>
    <xf numFmtId="0" fontId="16" fillId="12" borderId="0" xfId="0" applyFont="1" applyFill="1"/>
    <xf numFmtId="0" fontId="22" fillId="12" borderId="0" xfId="0" applyFont="1" applyFill="1" applyAlignment="1">
      <alignment horizontal="right"/>
    </xf>
    <xf numFmtId="3" fontId="22" fillId="12" borderId="0" xfId="0" applyNumberFormat="1" applyFont="1" applyFill="1" applyAlignment="1">
      <alignment horizontal="right"/>
    </xf>
    <xf numFmtId="0" fontId="22" fillId="12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3" fontId="16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right"/>
    </xf>
    <xf numFmtId="3" fontId="1" fillId="12" borderId="0" xfId="0" applyNumberFormat="1" applyFont="1" applyFill="1" applyAlignment="1">
      <alignment horizontal="right"/>
    </xf>
    <xf numFmtId="0" fontId="1" fillId="12" borderId="0" xfId="0" applyFont="1" applyFill="1" applyAlignment="1">
      <alignment horizontal="center"/>
    </xf>
    <xf numFmtId="3" fontId="3" fillId="12" borderId="0" xfId="0" applyNumberFormat="1" applyFont="1" applyFill="1" applyAlignment="1">
      <alignment horizontal="right"/>
    </xf>
    <xf numFmtId="0" fontId="2" fillId="12" borderId="10" xfId="0" applyFont="1" applyFill="1" applyBorder="1" applyAlignment="1">
      <alignment horizontal="left"/>
    </xf>
    <xf numFmtId="0" fontId="23" fillId="10" borderId="10" xfId="0" applyFont="1" applyFill="1" applyBorder="1" applyAlignment="1">
      <alignment horizontal="center"/>
    </xf>
    <xf numFmtId="0" fontId="23" fillId="11" borderId="10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168" fontId="2" fillId="12" borderId="10" xfId="0" applyNumberFormat="1" applyFont="1" applyFill="1" applyBorder="1" applyAlignment="1">
      <alignment horizontal="right"/>
    </xf>
    <xf numFmtId="166" fontId="14" fillId="15" borderId="22" xfId="0" applyNumberFormat="1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167" fontId="14" fillId="15" borderId="3" xfId="0" applyNumberFormat="1" applyFont="1" applyFill="1" applyBorder="1" applyAlignment="1">
      <alignment horizontal="center"/>
    </xf>
    <xf numFmtId="165" fontId="2" fillId="2" borderId="0" xfId="0" applyNumberFormat="1" applyFont="1" applyFill="1"/>
    <xf numFmtId="0" fontId="4" fillId="12" borderId="0" xfId="0" applyFont="1" applyFill="1" applyAlignment="1">
      <alignment horizontal="center"/>
    </xf>
    <xf numFmtId="165" fontId="18" fillId="12" borderId="0" xfId="0" applyNumberFormat="1" applyFont="1" applyFill="1" applyAlignment="1">
      <alignment horizontal="center"/>
    </xf>
    <xf numFmtId="165" fontId="2" fillId="12" borderId="0" xfId="0" applyNumberFormat="1" applyFont="1" applyFill="1"/>
    <xf numFmtId="0" fontId="26" fillId="12" borderId="0" xfId="0" applyFont="1" applyFill="1" applyAlignment="1">
      <alignment horizontal="center"/>
    </xf>
    <xf numFmtId="0" fontId="27" fillId="12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165" fontId="1" fillId="2" borderId="10" xfId="0" applyNumberFormat="1" applyFont="1" applyFill="1" applyBorder="1" applyAlignment="1">
      <alignment horizontal="right"/>
    </xf>
    <xf numFmtId="165" fontId="2" fillId="2" borderId="10" xfId="0" applyNumberFormat="1" applyFont="1" applyFill="1" applyBorder="1"/>
    <xf numFmtId="0" fontId="18" fillId="15" borderId="10" xfId="0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right"/>
    </xf>
    <xf numFmtId="0" fontId="1" fillId="4" borderId="10" xfId="0" applyFont="1" applyFill="1" applyBorder="1" applyAlignment="1">
      <alignment horizontal="center"/>
    </xf>
    <xf numFmtId="3" fontId="3" fillId="4" borderId="10" xfId="0" applyNumberFormat="1" applyFont="1" applyFill="1" applyBorder="1" applyAlignment="1">
      <alignment horizontal="right"/>
    </xf>
    <xf numFmtId="3" fontId="0" fillId="5" borderId="10" xfId="0" applyNumberFormat="1" applyFill="1" applyBorder="1" applyAlignment="1">
      <alignment horizontal="center"/>
    </xf>
    <xf numFmtId="0" fontId="0" fillId="12" borderId="0" xfId="0" applyFill="1" applyAlignment="1">
      <alignment horizontal="center"/>
    </xf>
    <xf numFmtId="3" fontId="0" fillId="12" borderId="0" xfId="0" applyNumberFormat="1" applyFill="1" applyAlignment="1">
      <alignment horizontal="center"/>
    </xf>
    <xf numFmtId="0" fontId="10" fillId="14" borderId="12" xfId="0" applyFont="1" applyFill="1" applyBorder="1" applyAlignment="1">
      <alignment horizontal="center"/>
    </xf>
    <xf numFmtId="9" fontId="10" fillId="14" borderId="10" xfId="0" applyNumberFormat="1" applyFont="1" applyFill="1" applyBorder="1" applyAlignment="1">
      <alignment horizontal="center"/>
    </xf>
    <xf numFmtId="0" fontId="1" fillId="14" borderId="10" xfId="0" applyFont="1" applyFill="1" applyBorder="1" applyAlignment="1">
      <alignment horizontal="left"/>
    </xf>
    <xf numFmtId="3" fontId="15" fillId="14" borderId="10" xfId="0" applyNumberFormat="1" applyFont="1" applyFill="1" applyBorder="1"/>
    <xf numFmtId="9" fontId="15" fillId="14" borderId="10" xfId="0" applyNumberFormat="1" applyFont="1" applyFill="1" applyBorder="1" applyAlignment="1">
      <alignment horizontal="center"/>
    </xf>
    <xf numFmtId="165" fontId="15" fillId="14" borderId="10" xfId="0" applyNumberFormat="1" applyFont="1" applyFill="1" applyBorder="1"/>
    <xf numFmtId="0" fontId="10" fillId="12" borderId="10" xfId="0" applyFont="1" applyFill="1" applyBorder="1"/>
    <xf numFmtId="0" fontId="3" fillId="12" borderId="0" xfId="0" applyFont="1" applyFill="1"/>
    <xf numFmtId="9" fontId="30" fillId="14" borderId="10" xfId="0" applyNumberFormat="1" applyFont="1" applyFill="1" applyBorder="1" applyAlignment="1">
      <alignment horizontal="center"/>
    </xf>
    <xf numFmtId="9" fontId="31" fillId="14" borderId="10" xfId="0" applyNumberFormat="1" applyFont="1" applyFill="1" applyBorder="1" applyAlignment="1">
      <alignment horizontal="center"/>
    </xf>
    <xf numFmtId="9" fontId="10" fillId="14" borderId="12" xfId="0" applyNumberFormat="1" applyFont="1" applyFill="1" applyBorder="1" applyAlignment="1">
      <alignment horizontal="center"/>
    </xf>
    <xf numFmtId="0" fontId="1" fillId="14" borderId="12" xfId="0" applyFont="1" applyFill="1" applyBorder="1" applyAlignment="1">
      <alignment horizontal="left"/>
    </xf>
    <xf numFmtId="3" fontId="15" fillId="14" borderId="12" xfId="0" applyNumberFormat="1" applyFont="1" applyFill="1" applyBorder="1"/>
    <xf numFmtId="9" fontId="15" fillId="14" borderId="12" xfId="0" applyNumberFormat="1" applyFont="1" applyFill="1" applyBorder="1" applyAlignment="1">
      <alignment horizontal="center"/>
    </xf>
    <xf numFmtId="165" fontId="15" fillId="14" borderId="12" xfId="0" applyNumberFormat="1" applyFont="1" applyFill="1" applyBorder="1"/>
    <xf numFmtId="0" fontId="24" fillId="10" borderId="10" xfId="0" applyFont="1" applyFill="1" applyBorder="1" applyAlignment="1">
      <alignment horizontal="center"/>
    </xf>
    <xf numFmtId="3" fontId="32" fillId="4" borderId="4" xfId="0" applyNumberFormat="1" applyFont="1" applyFill="1" applyBorder="1" applyAlignment="1">
      <alignment horizontal="right"/>
    </xf>
    <xf numFmtId="0" fontId="32" fillId="4" borderId="6" xfId="0" applyFont="1" applyFill="1" applyBorder="1" applyAlignment="1">
      <alignment horizontal="center"/>
    </xf>
    <xf numFmtId="3" fontId="29" fillId="4" borderId="7" xfId="0" applyNumberFormat="1" applyFont="1" applyFill="1" applyBorder="1" applyAlignment="1">
      <alignment horizontal="right"/>
    </xf>
    <xf numFmtId="0" fontId="33" fillId="2" borderId="10" xfId="0" applyFont="1" applyFill="1" applyBorder="1"/>
    <xf numFmtId="6" fontId="33" fillId="2" borderId="10" xfId="0" applyNumberFormat="1" applyFont="1" applyFill="1" applyBorder="1"/>
    <xf numFmtId="3" fontId="29" fillId="5" borderId="4" xfId="0" applyNumberFormat="1" applyFont="1" applyFill="1" applyBorder="1" applyAlignment="1">
      <alignment horizontal="center"/>
    </xf>
    <xf numFmtId="9" fontId="22" fillId="10" borderId="10" xfId="0" applyNumberFormat="1" applyFont="1" applyFill="1" applyBorder="1" applyAlignment="1">
      <alignment horizontal="center"/>
    </xf>
    <xf numFmtId="9" fontId="3" fillId="10" borderId="10" xfId="0" applyNumberFormat="1" applyFont="1" applyFill="1" applyBorder="1" applyAlignment="1">
      <alignment horizontal="center"/>
    </xf>
    <xf numFmtId="9" fontId="3" fillId="10" borderId="12" xfId="0" applyNumberFormat="1" applyFont="1" applyFill="1" applyBorder="1" applyAlignment="1">
      <alignment horizontal="center"/>
    </xf>
    <xf numFmtId="9" fontId="3" fillId="10" borderId="14" xfId="0" applyNumberFormat="1" applyFont="1" applyFill="1" applyBorder="1" applyAlignment="1">
      <alignment horizontal="center"/>
    </xf>
    <xf numFmtId="9" fontId="22" fillId="10" borderId="14" xfId="0" applyNumberFormat="1" applyFont="1" applyFill="1" applyBorder="1" applyAlignment="1">
      <alignment horizontal="center"/>
    </xf>
    <xf numFmtId="9" fontId="1" fillId="10" borderId="10" xfId="0" applyNumberFormat="1" applyFont="1" applyFill="1" applyBorder="1" applyAlignment="1">
      <alignment horizontal="center"/>
    </xf>
    <xf numFmtId="9" fontId="1" fillId="10" borderId="12" xfId="0" applyNumberFormat="1" applyFont="1" applyFill="1" applyBorder="1" applyAlignment="1">
      <alignment horizontal="center"/>
    </xf>
    <xf numFmtId="9" fontId="1" fillId="10" borderId="14" xfId="0" applyNumberFormat="1" applyFont="1" applyFill="1" applyBorder="1" applyAlignment="1">
      <alignment horizontal="center"/>
    </xf>
    <xf numFmtId="9" fontId="34" fillId="10" borderId="10" xfId="0" applyNumberFormat="1" applyFont="1" applyFill="1" applyBorder="1" applyAlignment="1">
      <alignment horizontal="center"/>
    </xf>
    <xf numFmtId="0" fontId="29" fillId="2" borderId="10" xfId="0" applyFont="1" applyFill="1" applyBorder="1"/>
    <xf numFmtId="6" fontId="29" fillId="2" borderId="10" xfId="0" applyNumberFormat="1" applyFont="1" applyFill="1" applyBorder="1"/>
    <xf numFmtId="3" fontId="29" fillId="4" borderId="1" xfId="0" applyNumberFormat="1" applyFont="1" applyFill="1" applyBorder="1" applyAlignment="1">
      <alignment horizontal="right"/>
    </xf>
    <xf numFmtId="9" fontId="24" fillId="10" borderId="10" xfId="0" applyNumberFormat="1" applyFont="1" applyFill="1" applyBorder="1" applyAlignment="1">
      <alignment horizontal="center"/>
    </xf>
    <xf numFmtId="0" fontId="23" fillId="10" borderId="10" xfId="0" applyFont="1" applyFill="1" applyBorder="1" applyAlignment="1">
      <alignment horizontal="left"/>
    </xf>
    <xf numFmtId="3" fontId="23" fillId="10" borderId="10" xfId="0" applyNumberFormat="1" applyFont="1" applyFill="1" applyBorder="1"/>
    <xf numFmtId="0" fontId="3" fillId="10" borderId="10" xfId="0" applyFont="1" applyFill="1" applyBorder="1"/>
    <xf numFmtId="3" fontId="1" fillId="10" borderId="10" xfId="0" applyNumberFormat="1" applyFont="1" applyFill="1" applyBorder="1"/>
    <xf numFmtId="9" fontId="31" fillId="10" borderId="10" xfId="0" applyNumberFormat="1" applyFont="1" applyFill="1" applyBorder="1" applyAlignment="1">
      <alignment horizontal="center"/>
    </xf>
    <xf numFmtId="9" fontId="15" fillId="10" borderId="10" xfId="0" applyNumberFormat="1" applyFont="1" applyFill="1" applyBorder="1" applyAlignment="1">
      <alignment horizontal="center"/>
    </xf>
    <xf numFmtId="165" fontId="15" fillId="10" borderId="10" xfId="0" applyNumberFormat="1" applyFont="1" applyFill="1" applyBorder="1"/>
    <xf numFmtId="3" fontId="32" fillId="9" borderId="7" xfId="0" applyNumberFormat="1" applyFont="1" applyFill="1" applyBorder="1" applyAlignment="1">
      <alignment horizontal="right"/>
    </xf>
    <xf numFmtId="0" fontId="35" fillId="9" borderId="14" xfId="0" applyFont="1" applyFill="1" applyBorder="1"/>
    <xf numFmtId="9" fontId="35" fillId="9" borderId="15" xfId="0" applyNumberFormat="1" applyFont="1" applyFill="1" applyBorder="1"/>
    <xf numFmtId="0" fontId="24" fillId="10" borderId="10" xfId="0" applyFont="1" applyFill="1" applyBorder="1" applyAlignment="1">
      <alignment horizontal="left"/>
    </xf>
    <xf numFmtId="0" fontId="3" fillId="10" borderId="12" xfId="0" applyFont="1" applyFill="1" applyBorder="1"/>
    <xf numFmtId="3" fontId="1" fillId="10" borderId="12" xfId="0" applyNumberFormat="1" applyFont="1" applyFill="1" applyBorder="1"/>
    <xf numFmtId="0" fontId="1" fillId="10" borderId="10" xfId="0" applyFont="1" applyFill="1" applyBorder="1" applyAlignment="1">
      <alignment horizontal="left"/>
    </xf>
    <xf numFmtId="0" fontId="1" fillId="10" borderId="14" xfId="0" applyFont="1" applyFill="1" applyBorder="1" applyAlignment="1">
      <alignment horizontal="left"/>
    </xf>
    <xf numFmtId="3" fontId="1" fillId="10" borderId="14" xfId="0" applyNumberFormat="1" applyFont="1" applyFill="1" applyBorder="1"/>
    <xf numFmtId="0" fontId="1" fillId="10" borderId="13" xfId="0" applyFont="1" applyFill="1" applyBorder="1" applyAlignment="1">
      <alignment horizontal="left"/>
    </xf>
    <xf numFmtId="0" fontId="3" fillId="10" borderId="13" xfId="0" applyFont="1" applyFill="1" applyBorder="1"/>
    <xf numFmtId="165" fontId="35" fillId="13" borderId="10" xfId="0" applyNumberFormat="1" applyFont="1" applyFill="1" applyBorder="1"/>
    <xf numFmtId="9" fontId="23" fillId="10" borderId="10" xfId="0" applyNumberFormat="1" applyFont="1" applyFill="1" applyBorder="1" applyAlignment="1">
      <alignment horizontal="center"/>
    </xf>
    <xf numFmtId="0" fontId="24" fillId="10" borderId="10" xfId="0" applyFont="1" applyFill="1" applyBorder="1" applyAlignment="1">
      <alignment wrapText="1"/>
    </xf>
    <xf numFmtId="0" fontId="24" fillId="10" borderId="13" xfId="0" applyFont="1" applyFill="1" applyBorder="1" applyAlignment="1">
      <alignment horizontal="center" vertical="center"/>
    </xf>
    <xf numFmtId="9" fontId="24" fillId="10" borderId="10" xfId="0" applyNumberFormat="1" applyFont="1" applyFill="1" applyBorder="1"/>
    <xf numFmtId="6" fontId="24" fillId="10" borderId="10" xfId="0" applyNumberFormat="1" applyFont="1" applyFill="1" applyBorder="1"/>
    <xf numFmtId="0" fontId="36" fillId="2" borderId="13" xfId="0" applyFont="1" applyFill="1" applyBorder="1"/>
    <xf numFmtId="0" fontId="36" fillId="2" borderId="10" xfId="0" applyFont="1" applyFill="1" applyBorder="1"/>
    <xf numFmtId="165" fontId="24" fillId="10" borderId="10" xfId="0" applyNumberFormat="1" applyFont="1" applyFill="1" applyBorder="1"/>
    <xf numFmtId="0" fontId="24" fillId="10" borderId="10" xfId="0" applyFont="1" applyFill="1" applyBorder="1"/>
    <xf numFmtId="9" fontId="24" fillId="11" borderId="10" xfId="0" applyNumberFormat="1" applyFont="1" applyFill="1" applyBorder="1" applyAlignment="1">
      <alignment horizontal="center"/>
    </xf>
    <xf numFmtId="0" fontId="24" fillId="11" borderId="10" xfId="0" applyFont="1" applyFill="1" applyBorder="1"/>
    <xf numFmtId="3" fontId="23" fillId="11" borderId="10" xfId="0" applyNumberFormat="1" applyFont="1" applyFill="1" applyBorder="1"/>
    <xf numFmtId="9" fontId="23" fillId="11" borderId="10" xfId="0" applyNumberFormat="1" applyFont="1" applyFill="1" applyBorder="1" applyAlignment="1">
      <alignment horizontal="center"/>
    </xf>
    <xf numFmtId="0" fontId="24" fillId="11" borderId="10" xfId="0" applyFont="1" applyFill="1" applyBorder="1" applyAlignment="1">
      <alignment wrapText="1"/>
    </xf>
    <xf numFmtId="0" fontId="3" fillId="2" borderId="0" xfId="0" applyFont="1" applyFill="1"/>
    <xf numFmtId="0" fontId="3" fillId="2" borderId="10" xfId="0" applyFont="1" applyFill="1" applyBorder="1"/>
    <xf numFmtId="0" fontId="3" fillId="10" borderId="10" xfId="0" applyFont="1" applyFill="1" applyBorder="1" applyAlignment="1">
      <alignment wrapText="1"/>
    </xf>
    <xf numFmtId="0" fontId="3" fillId="10" borderId="14" xfId="0" applyFont="1" applyFill="1" applyBorder="1" applyAlignment="1">
      <alignment wrapText="1"/>
    </xf>
    <xf numFmtId="0" fontId="3" fillId="11" borderId="14" xfId="0" applyFont="1" applyFill="1" applyBorder="1"/>
    <xf numFmtId="9" fontId="3" fillId="11" borderId="10" xfId="0" applyNumberFormat="1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3" fontId="1" fillId="11" borderId="10" xfId="0" applyNumberFormat="1" applyFont="1" applyFill="1" applyBorder="1"/>
    <xf numFmtId="9" fontId="1" fillId="11" borderId="10" xfId="0" applyNumberFormat="1" applyFont="1" applyFill="1" applyBorder="1"/>
    <xf numFmtId="0" fontId="3" fillId="11" borderId="10" xfId="0" applyFont="1" applyFill="1" applyBorder="1" applyAlignment="1">
      <alignment wrapText="1"/>
    </xf>
    <xf numFmtId="9" fontId="3" fillId="11" borderId="14" xfId="0" applyNumberFormat="1" applyFont="1" applyFill="1" applyBorder="1" applyAlignment="1">
      <alignment horizontal="center"/>
    </xf>
    <xf numFmtId="0" fontId="3" fillId="11" borderId="10" xfId="0" applyFont="1" applyFill="1" applyBorder="1"/>
    <xf numFmtId="3" fontId="1" fillId="11" borderId="13" xfId="0" applyNumberFormat="1" applyFont="1" applyFill="1" applyBorder="1"/>
    <xf numFmtId="9" fontId="1" fillId="11" borderId="10" xfId="0" applyNumberFormat="1" applyFont="1" applyFill="1" applyBorder="1" applyAlignment="1">
      <alignment horizontal="center"/>
    </xf>
    <xf numFmtId="0" fontId="1" fillId="11" borderId="13" xfId="0" applyFont="1" applyFill="1" applyBorder="1" applyAlignment="1">
      <alignment horizontal="left"/>
    </xf>
    <xf numFmtId="9" fontId="37" fillId="10" borderId="10" xfId="0" applyNumberFormat="1" applyFont="1" applyFill="1" applyBorder="1" applyAlignment="1">
      <alignment horizontal="center"/>
    </xf>
    <xf numFmtId="0" fontId="3" fillId="10" borderId="14" xfId="0" applyFont="1" applyFill="1" applyBorder="1"/>
    <xf numFmtId="0" fontId="10" fillId="12" borderId="12" xfId="0" applyFont="1" applyFill="1" applyBorder="1"/>
    <xf numFmtId="9" fontId="10" fillId="10" borderId="10" xfId="0" applyNumberFormat="1" applyFont="1" applyFill="1" applyBorder="1" applyAlignment="1">
      <alignment horizontal="center"/>
    </xf>
    <xf numFmtId="3" fontId="15" fillId="10" borderId="10" xfId="0" applyNumberFormat="1" applyFont="1" applyFill="1" applyBorder="1"/>
    <xf numFmtId="0" fontId="3" fillId="10" borderId="10" xfId="0" applyFont="1" applyFill="1" applyBorder="1" applyAlignment="1">
      <alignment horizontal="left"/>
    </xf>
    <xf numFmtId="3" fontId="37" fillId="10" borderId="10" xfId="0" applyNumberFormat="1" applyFont="1" applyFill="1" applyBorder="1"/>
    <xf numFmtId="165" fontId="37" fillId="10" borderId="10" xfId="0" applyNumberFormat="1" applyFont="1" applyFill="1" applyBorder="1"/>
    <xf numFmtId="0" fontId="3" fillId="12" borderId="10" xfId="0" applyFont="1" applyFill="1" applyBorder="1"/>
    <xf numFmtId="0" fontId="3" fillId="12" borderId="12" xfId="0" applyFont="1" applyFill="1" applyBorder="1"/>
    <xf numFmtId="9" fontId="31" fillId="12" borderId="10" xfId="0" applyNumberFormat="1" applyFont="1" applyFill="1" applyBorder="1" applyAlignment="1">
      <alignment horizontal="center"/>
    </xf>
    <xf numFmtId="9" fontId="37" fillId="12" borderId="10" xfId="0" applyNumberFormat="1" applyFont="1" applyFill="1" applyBorder="1" applyAlignment="1">
      <alignment horizontal="center"/>
    </xf>
    <xf numFmtId="165" fontId="37" fillId="12" borderId="10" xfId="0" applyNumberFormat="1" applyFont="1" applyFill="1" applyBorder="1"/>
    <xf numFmtId="9" fontId="15" fillId="12" borderId="10" xfId="0" applyNumberFormat="1" applyFont="1" applyFill="1" applyBorder="1" applyAlignment="1">
      <alignment horizontal="center"/>
    </xf>
    <xf numFmtId="165" fontId="15" fillId="12" borderId="10" xfId="0" applyNumberFormat="1" applyFont="1" applyFill="1" applyBorder="1"/>
    <xf numFmtId="3" fontId="3" fillId="4" borderId="7" xfId="0" applyNumberFormat="1" applyFont="1" applyFill="1" applyBorder="1" applyAlignment="1">
      <alignment horizontal="right"/>
    </xf>
    <xf numFmtId="168" fontId="2" fillId="13" borderId="7" xfId="0" applyNumberFormat="1" applyFont="1" applyFill="1" applyBorder="1" applyAlignment="1">
      <alignment horizontal="right"/>
    </xf>
    <xf numFmtId="0" fontId="2" fillId="13" borderId="7" xfId="0" applyFont="1" applyFill="1" applyBorder="1"/>
    <xf numFmtId="0" fontId="12" fillId="13" borderId="6" xfId="0" applyFont="1" applyFill="1" applyBorder="1" applyAlignment="1">
      <alignment horizontal="center"/>
    </xf>
    <xf numFmtId="0" fontId="12" fillId="13" borderId="0" xfId="0" applyFont="1" applyFill="1" applyAlignment="1">
      <alignment horizontal="center"/>
    </xf>
    <xf numFmtId="0" fontId="20" fillId="15" borderId="12" xfId="0" applyFont="1" applyFill="1" applyBorder="1" applyAlignment="1">
      <alignment horizontal="center"/>
    </xf>
    <xf numFmtId="165" fontId="20" fillId="15" borderId="12" xfId="0" applyNumberFormat="1" applyFont="1" applyFill="1" applyBorder="1" applyAlignment="1">
      <alignment horizontal="center"/>
    </xf>
    <xf numFmtId="9" fontId="38" fillId="10" borderId="10" xfId="0" applyNumberFormat="1" applyFont="1" applyFill="1" applyBorder="1" applyAlignment="1">
      <alignment horizontal="center"/>
    </xf>
    <xf numFmtId="165" fontId="38" fillId="10" borderId="10" xfId="0" applyNumberFormat="1" applyFont="1" applyFill="1" applyBorder="1"/>
    <xf numFmtId="0" fontId="38" fillId="10" borderId="10" xfId="0" applyFont="1" applyFill="1" applyBorder="1"/>
    <xf numFmtId="3" fontId="3" fillId="10" borderId="10" xfId="0" applyNumberFormat="1" applyFont="1" applyFill="1" applyBorder="1"/>
    <xf numFmtId="9" fontId="3" fillId="10" borderId="10" xfId="0" applyNumberFormat="1" applyFont="1" applyFill="1" applyBorder="1"/>
    <xf numFmtId="9" fontId="1" fillId="10" borderId="10" xfId="0" applyNumberFormat="1" applyFont="1" applyFill="1" applyBorder="1"/>
    <xf numFmtId="0" fontId="24" fillId="11" borderId="10" xfId="0" applyFont="1" applyFill="1" applyBorder="1" applyAlignment="1">
      <alignment horizontal="center"/>
    </xf>
    <xf numFmtId="3" fontId="24" fillId="11" borderId="10" xfId="0" applyNumberFormat="1" applyFont="1" applyFill="1" applyBorder="1"/>
    <xf numFmtId="0" fontId="3" fillId="11" borderId="10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left"/>
    </xf>
    <xf numFmtId="3" fontId="3" fillId="11" borderId="10" xfId="0" applyNumberFormat="1" applyFont="1" applyFill="1" applyBorder="1"/>
    <xf numFmtId="9" fontId="3" fillId="11" borderId="10" xfId="0" applyNumberFormat="1" applyFont="1" applyFill="1" applyBorder="1"/>
    <xf numFmtId="0" fontId="10" fillId="10" borderId="10" xfId="0" applyFont="1" applyFill="1" applyBorder="1"/>
    <xf numFmtId="0" fontId="24" fillId="11" borderId="10" xfId="0" applyFont="1" applyFill="1" applyBorder="1" applyAlignment="1">
      <alignment horizontal="left"/>
    </xf>
    <xf numFmtId="9" fontId="24" fillId="11" borderId="10" xfId="0" applyNumberFormat="1" applyFont="1" applyFill="1" applyBorder="1"/>
    <xf numFmtId="0" fontId="4" fillId="12" borderId="0" xfId="0" applyFont="1" applyFill="1"/>
    <xf numFmtId="0" fontId="4" fillId="12" borderId="6" xfId="0" applyFont="1" applyFill="1" applyBorder="1"/>
    <xf numFmtId="0" fontId="3" fillId="10" borderId="10" xfId="0" applyFont="1" applyFill="1" applyBorder="1" applyAlignment="1">
      <alignment horizontal="center" wrapText="1"/>
    </xf>
    <xf numFmtId="0" fontId="3" fillId="10" borderId="0" xfId="0" applyFont="1" applyFill="1" applyAlignment="1">
      <alignment vertical="center"/>
    </xf>
    <xf numFmtId="9" fontId="24" fillId="10" borderId="10" xfId="0" applyNumberFormat="1" applyFont="1" applyFill="1" applyBorder="1" applyAlignment="1">
      <alignment vertical="center"/>
    </xf>
    <xf numFmtId="9" fontId="42" fillId="10" borderId="10" xfId="0" applyNumberFormat="1" applyFont="1" applyFill="1" applyBorder="1" applyAlignment="1">
      <alignment horizontal="center"/>
    </xf>
    <xf numFmtId="9" fontId="13" fillId="8" borderId="10" xfId="0" applyNumberFormat="1" applyFont="1" applyFill="1" applyBorder="1"/>
    <xf numFmtId="0" fontId="21" fillId="15" borderId="21" xfId="0" applyFont="1" applyFill="1" applyBorder="1" applyAlignment="1">
      <alignment horizontal="center"/>
    </xf>
    <xf numFmtId="0" fontId="40" fillId="2" borderId="18" xfId="0" applyFont="1" applyFill="1" applyBorder="1" applyAlignment="1">
      <alignment horizontal="center"/>
    </xf>
    <xf numFmtId="0" fontId="0" fillId="2" borderId="13" xfId="0" applyFill="1" applyBorder="1"/>
    <xf numFmtId="0" fontId="1" fillId="12" borderId="10" xfId="0" applyFont="1" applyFill="1" applyBorder="1"/>
    <xf numFmtId="0" fontId="43" fillId="10" borderId="10" xfId="0" applyFont="1" applyFill="1" applyBorder="1" applyAlignment="1">
      <alignment horizontal="center"/>
    </xf>
    <xf numFmtId="0" fontId="43" fillId="10" borderId="10" xfId="0" applyFont="1" applyFill="1" applyBorder="1" applyAlignment="1">
      <alignment horizontal="left"/>
    </xf>
    <xf numFmtId="3" fontId="43" fillId="10" borderId="10" xfId="0" applyNumberFormat="1" applyFont="1" applyFill="1" applyBorder="1"/>
    <xf numFmtId="0" fontId="38" fillId="10" borderId="10" xfId="0" applyFont="1" applyFill="1" applyBorder="1" applyAlignment="1">
      <alignment horizontal="left"/>
    </xf>
    <xf numFmtId="0" fontId="9" fillId="10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left"/>
    </xf>
    <xf numFmtId="3" fontId="9" fillId="10" borderId="10" xfId="0" applyNumberFormat="1" applyFont="1" applyFill="1" applyBorder="1"/>
    <xf numFmtId="9" fontId="30" fillId="10" borderId="10" xfId="0" applyNumberFormat="1" applyFont="1" applyFill="1" applyBorder="1" applyAlignment="1">
      <alignment horizontal="center"/>
    </xf>
    <xf numFmtId="0" fontId="10" fillId="10" borderId="10" xfId="0" applyFont="1" applyFill="1" applyBorder="1" applyAlignment="1">
      <alignment horizontal="left"/>
    </xf>
    <xf numFmtId="3" fontId="10" fillId="10" borderId="10" xfId="0" applyNumberFormat="1" applyFont="1" applyFill="1" applyBorder="1"/>
    <xf numFmtId="3" fontId="44" fillId="9" borderId="10" xfId="0" applyNumberFormat="1" applyFont="1" applyFill="1" applyBorder="1" applyAlignment="1">
      <alignment horizontal="right"/>
    </xf>
    <xf numFmtId="9" fontId="13" fillId="9" borderId="10" xfId="0" applyNumberFormat="1" applyFont="1" applyFill="1" applyBorder="1"/>
    <xf numFmtId="165" fontId="13" fillId="13" borderId="10" xfId="0" applyNumberFormat="1" applyFont="1" applyFill="1" applyBorder="1"/>
    <xf numFmtId="0" fontId="13" fillId="9" borderId="10" xfId="0" applyFont="1" applyFill="1" applyBorder="1"/>
    <xf numFmtId="0" fontId="15" fillId="0" borderId="10" xfId="0" applyFont="1" applyBorder="1"/>
    <xf numFmtId="165" fontId="18" fillId="9" borderId="10" xfId="0" applyNumberFormat="1" applyFont="1" applyFill="1" applyBorder="1" applyAlignment="1">
      <alignment horizontal="center"/>
    </xf>
    <xf numFmtId="0" fontId="0" fillId="2" borderId="10" xfId="0" applyFill="1" applyBorder="1" applyAlignment="1">
      <alignment wrapText="1"/>
    </xf>
    <xf numFmtId="3" fontId="29" fillId="2" borderId="10" xfId="0" applyNumberFormat="1" applyFont="1" applyFill="1" applyBorder="1"/>
    <xf numFmtId="9" fontId="3" fillId="2" borderId="10" xfId="0" applyNumberFormat="1" applyFont="1" applyFill="1" applyBorder="1" applyAlignment="1">
      <alignment vertical="center"/>
    </xf>
    <xf numFmtId="3" fontId="3" fillId="2" borderId="10" xfId="0" applyNumberFormat="1" applyFont="1" applyFill="1" applyBorder="1"/>
    <xf numFmtId="9" fontId="15" fillId="2" borderId="11" xfId="0" applyNumberFormat="1" applyFont="1" applyFill="1" applyBorder="1" applyAlignment="1">
      <alignment horizontal="center"/>
    </xf>
    <xf numFmtId="9" fontId="43" fillId="12" borderId="10" xfId="0" applyNumberFormat="1" applyFont="1" applyFill="1" applyBorder="1" applyAlignment="1">
      <alignment horizontal="center"/>
    </xf>
    <xf numFmtId="165" fontId="43" fillId="12" borderId="10" xfId="0" applyNumberFormat="1" applyFont="1" applyFill="1" applyBorder="1"/>
    <xf numFmtId="9" fontId="42" fillId="12" borderId="10" xfId="0" applyNumberFormat="1" applyFont="1" applyFill="1" applyBorder="1" applyAlignment="1">
      <alignment horizontal="center"/>
    </xf>
    <xf numFmtId="0" fontId="38" fillId="10" borderId="10" xfId="0" applyFont="1" applyFill="1" applyBorder="1" applyAlignment="1">
      <alignment horizontal="center"/>
    </xf>
    <xf numFmtId="3" fontId="38" fillId="10" borderId="10" xfId="0" applyNumberFormat="1" applyFont="1" applyFill="1" applyBorder="1"/>
    <xf numFmtId="9" fontId="13" fillId="13" borderId="11" xfId="0" applyNumberFormat="1" applyFont="1" applyFill="1" applyBorder="1"/>
    <xf numFmtId="165" fontId="18" fillId="13" borderId="10" xfId="0" applyNumberFormat="1" applyFont="1" applyFill="1" applyBorder="1"/>
    <xf numFmtId="165" fontId="18" fillId="2" borderId="10" xfId="0" applyNumberFormat="1" applyFont="1" applyFill="1" applyBorder="1"/>
    <xf numFmtId="3" fontId="24" fillId="10" borderId="10" xfId="0" applyNumberFormat="1" applyFont="1" applyFill="1" applyBorder="1"/>
    <xf numFmtId="0" fontId="1" fillId="4" borderId="0" xfId="0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3" fontId="1" fillId="4" borderId="14" xfId="0" applyNumberFormat="1" applyFont="1" applyFill="1" applyBorder="1" applyAlignment="1">
      <alignment horizontal="right"/>
    </xf>
    <xf numFmtId="0" fontId="1" fillId="4" borderId="14" xfId="0" applyFont="1" applyFill="1" applyBorder="1" applyAlignment="1">
      <alignment horizontal="center"/>
    </xf>
    <xf numFmtId="3" fontId="3" fillId="4" borderId="14" xfId="0" applyNumberFormat="1" applyFont="1" applyFill="1" applyBorder="1" applyAlignment="1">
      <alignment horizontal="right"/>
    </xf>
    <xf numFmtId="0" fontId="0" fillId="2" borderId="14" xfId="0" applyFill="1" applyBorder="1" applyAlignment="1">
      <alignment horizontal="center"/>
    </xf>
    <xf numFmtId="0" fontId="14" fillId="15" borderId="7" xfId="0" applyFont="1" applyFill="1" applyBorder="1" applyAlignment="1">
      <alignment horizontal="center"/>
    </xf>
    <xf numFmtId="166" fontId="14" fillId="15" borderId="9" xfId="0" applyNumberFormat="1" applyFont="1" applyFill="1" applyBorder="1" applyAlignment="1">
      <alignment horizontal="center"/>
    </xf>
    <xf numFmtId="0" fontId="14" fillId="15" borderId="9" xfId="0" applyFont="1" applyFill="1" applyBorder="1" applyAlignment="1">
      <alignment horizontal="center"/>
    </xf>
    <xf numFmtId="167" fontId="14" fillId="15" borderId="9" xfId="0" applyNumberFormat="1" applyFont="1" applyFill="1" applyBorder="1" applyAlignment="1">
      <alignment horizontal="center"/>
    </xf>
    <xf numFmtId="168" fontId="2" fillId="16" borderId="10" xfId="0" applyNumberFormat="1" applyFont="1" applyFill="1" applyBorder="1" applyAlignment="1">
      <alignment horizontal="right"/>
    </xf>
    <xf numFmtId="0" fontId="12" fillId="16" borderId="10" xfId="0" applyFont="1" applyFill="1" applyBorder="1" applyAlignment="1">
      <alignment horizontal="center"/>
    </xf>
    <xf numFmtId="0" fontId="2" fillId="16" borderId="10" xfId="0" applyFont="1" applyFill="1" applyBorder="1"/>
    <xf numFmtId="167" fontId="12" fillId="16" borderId="10" xfId="0" applyNumberFormat="1" applyFont="1" applyFill="1" applyBorder="1" applyAlignment="1">
      <alignment horizontal="center"/>
    </xf>
    <xf numFmtId="0" fontId="14" fillId="15" borderId="14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left"/>
    </xf>
    <xf numFmtId="9" fontId="3" fillId="12" borderId="10" xfId="0" applyNumberFormat="1" applyFont="1" applyFill="1" applyBorder="1" applyAlignment="1">
      <alignment horizontal="center"/>
    </xf>
    <xf numFmtId="3" fontId="1" fillId="12" borderId="10" xfId="0" applyNumberFormat="1" applyFont="1" applyFill="1" applyBorder="1"/>
    <xf numFmtId="9" fontId="1" fillId="12" borderId="10" xfId="0" applyNumberFormat="1" applyFont="1" applyFill="1" applyBorder="1" applyAlignment="1">
      <alignment horizontal="center"/>
    </xf>
    <xf numFmtId="0" fontId="3" fillId="12" borderId="10" xfId="0" applyFont="1" applyFill="1" applyBorder="1" applyAlignment="1">
      <alignment wrapText="1"/>
    </xf>
    <xf numFmtId="0" fontId="3" fillId="12" borderId="10" xfId="0" applyFont="1" applyFill="1" applyBorder="1" applyAlignment="1">
      <alignment horizontal="center"/>
    </xf>
    <xf numFmtId="3" fontId="3" fillId="12" borderId="10" xfId="0" applyNumberFormat="1" applyFont="1" applyFill="1" applyBorder="1"/>
    <xf numFmtId="9" fontId="22" fillId="12" borderId="10" xfId="0" applyNumberFormat="1" applyFont="1" applyFill="1" applyBorder="1" applyAlignment="1">
      <alignment horizontal="center"/>
    </xf>
    <xf numFmtId="9" fontId="1" fillId="12" borderId="10" xfId="0" applyNumberFormat="1" applyFont="1" applyFill="1" applyBorder="1"/>
    <xf numFmtId="9" fontId="38" fillId="12" borderId="10" xfId="0" applyNumberFormat="1" applyFont="1" applyFill="1" applyBorder="1" applyAlignment="1">
      <alignment horizontal="center"/>
    </xf>
    <xf numFmtId="0" fontId="1" fillId="12" borderId="13" xfId="0" applyFont="1" applyFill="1" applyBorder="1" applyAlignment="1">
      <alignment horizontal="left"/>
    </xf>
    <xf numFmtId="0" fontId="1" fillId="12" borderId="11" xfId="0" applyFont="1" applyFill="1" applyBorder="1" applyAlignment="1">
      <alignment horizontal="center"/>
    </xf>
    <xf numFmtId="9" fontId="3" fillId="12" borderId="14" xfId="0" applyNumberFormat="1" applyFont="1" applyFill="1" applyBorder="1" applyAlignment="1">
      <alignment horizontal="center"/>
    </xf>
    <xf numFmtId="3" fontId="1" fillId="12" borderId="13" xfId="0" applyNumberFormat="1" applyFont="1" applyFill="1" applyBorder="1"/>
    <xf numFmtId="0" fontId="1" fillId="12" borderId="18" xfId="0" applyFont="1" applyFill="1" applyBorder="1" applyAlignment="1">
      <alignment horizontal="center"/>
    </xf>
    <xf numFmtId="0" fontId="3" fillId="12" borderId="14" xfId="0" applyFont="1" applyFill="1" applyBorder="1"/>
    <xf numFmtId="3" fontId="1" fillId="12" borderId="0" xfId="0" applyNumberFormat="1" applyFont="1" applyFill="1"/>
    <xf numFmtId="9" fontId="1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wrapText="1"/>
    </xf>
    <xf numFmtId="0" fontId="22" fillId="12" borderId="0" xfId="0" applyFont="1" applyFill="1"/>
    <xf numFmtId="9" fontId="1" fillId="10" borderId="10" xfId="0" applyNumberFormat="1" applyFont="1" applyFill="1" applyBorder="1" applyAlignment="1">
      <alignment horizontal="center" vertical="center"/>
    </xf>
    <xf numFmtId="9" fontId="3" fillId="10" borderId="10" xfId="0" applyNumberFormat="1" applyFont="1" applyFill="1" applyBorder="1" applyAlignment="1">
      <alignment horizontal="center" vertical="center"/>
    </xf>
    <xf numFmtId="9" fontId="22" fillId="10" borderId="10" xfId="0" applyNumberFormat="1" applyFont="1" applyFill="1" applyBorder="1" applyAlignment="1">
      <alignment horizontal="center" vertical="center"/>
    </xf>
    <xf numFmtId="166" fontId="14" fillId="15" borderId="0" xfId="0" applyNumberFormat="1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167" fontId="14" fillId="15" borderId="0" xfId="0" applyNumberFormat="1" applyFont="1" applyFill="1" applyAlignment="1">
      <alignment horizontal="center"/>
    </xf>
    <xf numFmtId="0" fontId="3" fillId="10" borderId="0" xfId="0" applyFont="1" applyFill="1"/>
    <xf numFmtId="0" fontId="1" fillId="10" borderId="18" xfId="0" applyFont="1" applyFill="1" applyBorder="1" applyAlignment="1">
      <alignment horizontal="center"/>
    </xf>
    <xf numFmtId="3" fontId="1" fillId="10" borderId="0" xfId="0" applyNumberFormat="1" applyFont="1" applyFill="1"/>
    <xf numFmtId="9" fontId="1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wrapText="1"/>
    </xf>
    <xf numFmtId="0" fontId="3" fillId="10" borderId="11" xfId="0" applyFont="1" applyFill="1" applyBorder="1"/>
    <xf numFmtId="0" fontId="10" fillId="2" borderId="10" xfId="0" applyFont="1" applyFill="1" applyBorder="1"/>
    <xf numFmtId="0" fontId="3" fillId="2" borderId="14" xfId="0" applyFont="1" applyFill="1" applyBorder="1"/>
    <xf numFmtId="0" fontId="3" fillId="2" borderId="10" xfId="0" applyFont="1" applyFill="1" applyBorder="1" applyAlignment="1">
      <alignment wrapText="1"/>
    </xf>
    <xf numFmtId="9" fontId="3" fillId="2" borderId="10" xfId="0" applyNumberFormat="1" applyFont="1" applyFill="1" applyBorder="1"/>
    <xf numFmtId="3" fontId="18" fillId="5" borderId="4" xfId="0" applyNumberFormat="1" applyFont="1" applyFill="1" applyBorder="1" applyAlignment="1">
      <alignment horizontal="center"/>
    </xf>
    <xf numFmtId="0" fontId="30" fillId="12" borderId="10" xfId="0" applyFont="1" applyFill="1" applyBorder="1"/>
    <xf numFmtId="0" fontId="16" fillId="12" borderId="10" xfId="0" applyFont="1" applyFill="1" applyBorder="1"/>
    <xf numFmtId="0" fontId="0" fillId="10" borderId="0" xfId="0" applyFill="1"/>
    <xf numFmtId="0" fontId="22" fillId="2" borderId="10" xfId="0" applyFont="1" applyFill="1" applyBorder="1"/>
    <xf numFmtId="168" fontId="1" fillId="12" borderId="10" xfId="0" applyNumberFormat="1" applyFont="1" applyFill="1" applyBorder="1" applyAlignment="1">
      <alignment horizontal="right"/>
    </xf>
    <xf numFmtId="0" fontId="15" fillId="12" borderId="10" xfId="0" applyFont="1" applyFill="1" applyBorder="1" applyAlignment="1">
      <alignment horizontal="center"/>
    </xf>
    <xf numFmtId="167" fontId="15" fillId="12" borderId="10" xfId="0" applyNumberFormat="1" applyFont="1" applyFill="1" applyBorder="1" applyAlignment="1">
      <alignment horizontal="center"/>
    </xf>
    <xf numFmtId="168" fontId="1" fillId="16" borderId="10" xfId="0" applyNumberFormat="1" applyFont="1" applyFill="1" applyBorder="1" applyAlignment="1">
      <alignment horizontal="right"/>
    </xf>
    <xf numFmtId="0" fontId="15" fillId="16" borderId="10" xfId="0" applyFont="1" applyFill="1" applyBorder="1" applyAlignment="1">
      <alignment horizontal="center"/>
    </xf>
    <xf numFmtId="0" fontId="1" fillId="16" borderId="10" xfId="0" applyFont="1" applyFill="1" applyBorder="1"/>
    <xf numFmtId="167" fontId="15" fillId="16" borderId="10" xfId="0" applyNumberFormat="1" applyFont="1" applyFill="1" applyBorder="1" applyAlignment="1">
      <alignment horizontal="center"/>
    </xf>
    <xf numFmtId="168" fontId="1" fillId="10" borderId="10" xfId="0" applyNumberFormat="1" applyFont="1" applyFill="1" applyBorder="1" applyAlignment="1">
      <alignment horizontal="right"/>
    </xf>
    <xf numFmtId="0" fontId="15" fillId="10" borderId="10" xfId="0" applyFont="1" applyFill="1" applyBorder="1" applyAlignment="1">
      <alignment horizontal="center"/>
    </xf>
    <xf numFmtId="0" fontId="1" fillId="10" borderId="10" xfId="0" applyFont="1" applyFill="1" applyBorder="1"/>
    <xf numFmtId="167" fontId="15" fillId="10" borderId="10" xfId="0" applyNumberFormat="1" applyFont="1" applyFill="1" applyBorder="1" applyAlignment="1">
      <alignment horizontal="center"/>
    </xf>
    <xf numFmtId="168" fontId="1" fillId="17" borderId="10" xfId="0" applyNumberFormat="1" applyFont="1" applyFill="1" applyBorder="1" applyAlignment="1">
      <alignment horizontal="right"/>
    </xf>
    <xf numFmtId="0" fontId="15" fillId="17" borderId="10" xfId="0" applyFont="1" applyFill="1" applyBorder="1" applyAlignment="1">
      <alignment horizontal="center"/>
    </xf>
    <xf numFmtId="0" fontId="1" fillId="17" borderId="10" xfId="0" applyFont="1" applyFill="1" applyBorder="1"/>
    <xf numFmtId="167" fontId="15" fillId="17" borderId="10" xfId="0" applyNumberFormat="1" applyFont="1" applyFill="1" applyBorder="1" applyAlignment="1">
      <alignment horizontal="center"/>
    </xf>
    <xf numFmtId="0" fontId="22" fillId="12" borderId="13" xfId="0" applyFont="1" applyFill="1" applyBorder="1"/>
    <xf numFmtId="0" fontId="0" fillId="12" borderId="13" xfId="0" applyFill="1" applyBorder="1"/>
    <xf numFmtId="168" fontId="2" fillId="19" borderId="10" xfId="0" applyNumberFormat="1" applyFont="1" applyFill="1" applyBorder="1" applyAlignment="1">
      <alignment horizontal="right"/>
    </xf>
    <xf numFmtId="0" fontId="12" fillId="19" borderId="10" xfId="0" applyFont="1" applyFill="1" applyBorder="1" applyAlignment="1">
      <alignment horizontal="center"/>
    </xf>
    <xf numFmtId="0" fontId="2" fillId="19" borderId="10" xfId="0" applyFont="1" applyFill="1" applyBorder="1"/>
    <xf numFmtId="167" fontId="12" fillId="19" borderId="10" xfId="0" applyNumberFormat="1" applyFont="1" applyFill="1" applyBorder="1" applyAlignment="1">
      <alignment horizontal="center"/>
    </xf>
    <xf numFmtId="0" fontId="22" fillId="10" borderId="10" xfId="0" applyFont="1" applyFill="1" applyBorder="1"/>
    <xf numFmtId="0" fontId="22" fillId="12" borderId="10" xfId="0" applyFont="1" applyFill="1" applyBorder="1"/>
    <xf numFmtId="9" fontId="3" fillId="11" borderId="10" xfId="0" applyNumberFormat="1" applyFont="1" applyFill="1" applyBorder="1" applyAlignment="1">
      <alignment horizontal="center" vertical="center"/>
    </xf>
    <xf numFmtId="168" fontId="2" fillId="20" borderId="10" xfId="0" applyNumberFormat="1" applyFont="1" applyFill="1" applyBorder="1" applyAlignment="1">
      <alignment horizontal="right"/>
    </xf>
    <xf numFmtId="0" fontId="12" fillId="20" borderId="10" xfId="0" applyFont="1" applyFill="1" applyBorder="1" applyAlignment="1">
      <alignment horizontal="center"/>
    </xf>
    <xf numFmtId="0" fontId="2" fillId="20" borderId="10" xfId="0" applyFont="1" applyFill="1" applyBorder="1"/>
    <xf numFmtId="167" fontId="12" fillId="20" borderId="10" xfId="0" applyNumberFormat="1" applyFont="1" applyFill="1" applyBorder="1" applyAlignment="1">
      <alignment horizontal="center"/>
    </xf>
    <xf numFmtId="0" fontId="0" fillId="20" borderId="0" xfId="0" applyFill="1"/>
    <xf numFmtId="0" fontId="12" fillId="10" borderId="10" xfId="0" applyFont="1" applyFill="1" applyBorder="1" applyAlignment="1">
      <alignment horizontal="center"/>
    </xf>
    <xf numFmtId="9" fontId="3" fillId="12" borderId="10" xfId="0" applyNumberFormat="1" applyFont="1" applyFill="1" applyBorder="1" applyAlignment="1">
      <alignment horizontal="center" vertical="center"/>
    </xf>
    <xf numFmtId="0" fontId="3" fillId="12" borderId="13" xfId="0" applyFont="1" applyFill="1" applyBorder="1"/>
    <xf numFmtId="9" fontId="37" fillId="12" borderId="11" xfId="0" applyNumberFormat="1" applyFont="1" applyFill="1" applyBorder="1" applyAlignment="1">
      <alignment horizontal="center"/>
    </xf>
    <xf numFmtId="0" fontId="29" fillId="12" borderId="10" xfId="0" applyFont="1" applyFill="1" applyBorder="1"/>
    <xf numFmtId="10" fontId="37" fillId="12" borderId="11" xfId="0" applyNumberFormat="1" applyFont="1" applyFill="1" applyBorder="1" applyAlignment="1">
      <alignment horizontal="center"/>
    </xf>
    <xf numFmtId="169" fontId="15" fillId="12" borderId="10" xfId="0" applyNumberFormat="1" applyFont="1" applyFill="1" applyBorder="1"/>
    <xf numFmtId="9" fontId="22" fillId="11" borderId="10" xfId="0" applyNumberFormat="1" applyFont="1" applyFill="1" applyBorder="1" applyAlignment="1">
      <alignment horizontal="center"/>
    </xf>
    <xf numFmtId="3" fontId="3" fillId="5" borderId="4" xfId="0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right"/>
    </xf>
    <xf numFmtId="165" fontId="1" fillId="2" borderId="10" xfId="0" applyNumberFormat="1" applyFont="1" applyFill="1" applyBorder="1"/>
    <xf numFmtId="0" fontId="18" fillId="15" borderId="23" xfId="0" applyFont="1" applyFill="1" applyBorder="1" applyAlignment="1">
      <alignment horizontal="center"/>
    </xf>
    <xf numFmtId="0" fontId="23" fillId="12" borderId="10" xfId="0" applyFont="1" applyFill="1" applyBorder="1" applyAlignment="1">
      <alignment horizontal="center"/>
    </xf>
    <xf numFmtId="0" fontId="24" fillId="12" borderId="10" xfId="0" applyFont="1" applyFill="1" applyBorder="1"/>
    <xf numFmtId="3" fontId="23" fillId="12" borderId="10" xfId="0" applyNumberFormat="1" applyFont="1" applyFill="1" applyBorder="1"/>
    <xf numFmtId="9" fontId="24" fillId="12" borderId="10" xfId="0" applyNumberFormat="1" applyFont="1" applyFill="1" applyBorder="1" applyAlignment="1">
      <alignment horizontal="center"/>
    </xf>
    <xf numFmtId="165" fontId="43" fillId="12" borderId="11" xfId="0" applyNumberFormat="1" applyFont="1" applyFill="1" applyBorder="1"/>
    <xf numFmtId="165" fontId="20" fillId="15" borderId="16" xfId="0" applyNumberFormat="1" applyFont="1" applyFill="1" applyBorder="1" applyAlignment="1">
      <alignment horizontal="center"/>
    </xf>
    <xf numFmtId="0" fontId="0" fillId="12" borderId="12" xfId="0" applyFill="1" applyBorder="1"/>
    <xf numFmtId="9" fontId="38" fillId="11" borderId="10" xfId="0" applyNumberFormat="1" applyFont="1" applyFill="1" applyBorder="1" applyAlignment="1">
      <alignment horizontal="center"/>
    </xf>
    <xf numFmtId="165" fontId="43" fillId="11" borderId="10" xfId="0" applyNumberFormat="1" applyFont="1" applyFill="1" applyBorder="1"/>
    <xf numFmtId="0" fontId="18" fillId="12" borderId="10" xfId="0" applyFont="1" applyFill="1" applyBorder="1" applyAlignment="1">
      <alignment horizontal="center"/>
    </xf>
    <xf numFmtId="0" fontId="22" fillId="12" borderId="17" xfId="0" applyFont="1" applyFill="1" applyBorder="1"/>
    <xf numFmtId="0" fontId="0" fillId="2" borderId="14" xfId="0" applyFill="1" applyBorder="1"/>
    <xf numFmtId="0" fontId="0" fillId="10" borderId="10" xfId="0" applyFill="1" applyBorder="1"/>
    <xf numFmtId="3" fontId="23" fillId="12" borderId="10" xfId="0" applyNumberFormat="1" applyFont="1" applyFill="1" applyBorder="1" applyAlignment="1">
      <alignment horizontal="right"/>
    </xf>
    <xf numFmtId="3" fontId="23" fillId="12" borderId="12" xfId="0" applyNumberFormat="1" applyFont="1" applyFill="1" applyBorder="1" applyAlignment="1">
      <alignment horizontal="right"/>
    </xf>
    <xf numFmtId="0" fontId="3" fillId="10" borderId="11" xfId="0" applyFont="1" applyFill="1" applyBorder="1" applyAlignment="1">
      <alignment horizontal="left"/>
    </xf>
    <xf numFmtId="170" fontId="23" fillId="12" borderId="10" xfId="0" applyNumberFormat="1" applyFont="1" applyFill="1" applyBorder="1"/>
    <xf numFmtId="170" fontId="0" fillId="10" borderId="10" xfId="0" applyNumberFormat="1" applyFill="1" applyBorder="1"/>
    <xf numFmtId="0" fontId="3" fillId="11" borderId="14" xfId="0" applyFont="1" applyFill="1" applyBorder="1" applyAlignment="1">
      <alignment horizontal="left"/>
    </xf>
    <xf numFmtId="0" fontId="0" fillId="18" borderId="10" xfId="0" applyFill="1" applyBorder="1"/>
    <xf numFmtId="0" fontId="45" fillId="10" borderId="10" xfId="0" applyFont="1" applyFill="1" applyBorder="1"/>
    <xf numFmtId="9" fontId="22" fillId="10" borderId="13" xfId="0" applyNumberFormat="1" applyFont="1" applyFill="1" applyBorder="1" applyAlignment="1">
      <alignment horizontal="center"/>
    </xf>
    <xf numFmtId="9" fontId="3" fillId="10" borderId="13" xfId="0" applyNumberFormat="1" applyFont="1" applyFill="1" applyBorder="1" applyAlignment="1">
      <alignment horizontal="center"/>
    </xf>
    <xf numFmtId="3" fontId="1" fillId="10" borderId="18" xfId="0" applyNumberFormat="1" applyFont="1" applyFill="1" applyBorder="1"/>
    <xf numFmtId="0" fontId="45" fillId="10" borderId="11" xfId="0" applyFont="1" applyFill="1" applyBorder="1"/>
    <xf numFmtId="9" fontId="24" fillId="12" borderId="14" xfId="0" applyNumberFormat="1" applyFont="1" applyFill="1" applyBorder="1" applyAlignment="1">
      <alignment horizontal="center"/>
    </xf>
    <xf numFmtId="3" fontId="23" fillId="18" borderId="10" xfId="0" applyNumberFormat="1" applyFont="1" applyFill="1" applyBorder="1"/>
    <xf numFmtId="3" fontId="23" fillId="12" borderId="12" xfId="0" applyNumberFormat="1" applyFont="1" applyFill="1" applyBorder="1" applyAlignment="1">
      <alignment horizontal="left"/>
    </xf>
    <xf numFmtId="0" fontId="0" fillId="12" borderId="11" xfId="0" applyFill="1" applyBorder="1"/>
    <xf numFmtId="0" fontId="0" fillId="12" borderId="16" xfId="0" applyFill="1" applyBorder="1"/>
    <xf numFmtId="0" fontId="0" fillId="24" borderId="10" xfId="0" applyFill="1" applyBorder="1"/>
    <xf numFmtId="9" fontId="24" fillId="12" borderId="11" xfId="0" applyNumberFormat="1" applyFont="1" applyFill="1" applyBorder="1" applyAlignment="1">
      <alignment horizontal="left"/>
    </xf>
    <xf numFmtId="165" fontId="1" fillId="2" borderId="12" xfId="0" applyNumberFormat="1" applyFont="1" applyFill="1" applyBorder="1"/>
    <xf numFmtId="9" fontId="3" fillId="18" borderId="14" xfId="0" applyNumberFormat="1" applyFont="1" applyFill="1" applyBorder="1" applyAlignment="1">
      <alignment horizontal="center"/>
    </xf>
    <xf numFmtId="0" fontId="23" fillId="11" borderId="11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left"/>
    </xf>
    <xf numFmtId="9" fontId="3" fillId="10" borderId="21" xfId="0" applyNumberFormat="1" applyFont="1" applyFill="1" applyBorder="1" applyAlignment="1">
      <alignment horizontal="center"/>
    </xf>
    <xf numFmtId="0" fontId="24" fillId="10" borderId="12" xfId="0" applyFont="1" applyFill="1" applyBorder="1"/>
    <xf numFmtId="0" fontId="0" fillId="10" borderId="12" xfId="0" applyFill="1" applyBorder="1"/>
    <xf numFmtId="9" fontId="38" fillId="12" borderId="24" xfId="0" applyNumberFormat="1" applyFont="1" applyFill="1" applyBorder="1" applyAlignment="1">
      <alignment horizontal="center"/>
    </xf>
    <xf numFmtId="0" fontId="3" fillId="10" borderId="18" xfId="0" applyFont="1" applyFill="1" applyBorder="1"/>
    <xf numFmtId="0" fontId="3" fillId="10" borderId="12" xfId="0" applyFont="1" applyFill="1" applyBorder="1" applyAlignment="1">
      <alignment wrapText="1"/>
    </xf>
    <xf numFmtId="0" fontId="23" fillId="10" borderId="16" xfId="0" applyFont="1" applyFill="1" applyBorder="1" applyAlignment="1">
      <alignment horizontal="right"/>
    </xf>
    <xf numFmtId="0" fontId="0" fillId="12" borderId="14" xfId="0" applyFill="1" applyBorder="1"/>
    <xf numFmtId="170" fontId="0" fillId="18" borderId="10" xfId="0" applyNumberFormat="1" applyFill="1" applyBorder="1"/>
    <xf numFmtId="0" fontId="45" fillId="10" borderId="12" xfId="0" applyFont="1" applyFill="1" applyBorder="1"/>
    <xf numFmtId="0" fontId="3" fillId="10" borderId="16" xfId="0" applyFont="1" applyFill="1" applyBorder="1"/>
    <xf numFmtId="0" fontId="0" fillId="10" borderId="14" xfId="0" applyFill="1" applyBorder="1"/>
    <xf numFmtId="0" fontId="23" fillId="11" borderId="21" xfId="0" applyFont="1" applyFill="1" applyBorder="1" applyAlignment="1">
      <alignment horizontal="center"/>
    </xf>
    <xf numFmtId="9" fontId="24" fillId="11" borderId="21" xfId="0" applyNumberFormat="1" applyFont="1" applyFill="1" applyBorder="1" applyAlignment="1">
      <alignment horizontal="center"/>
    </xf>
    <xf numFmtId="3" fontId="23" fillId="11" borderId="21" xfId="0" applyNumberFormat="1" applyFont="1" applyFill="1" applyBorder="1"/>
    <xf numFmtId="9" fontId="38" fillId="11" borderId="21" xfId="0" applyNumberFormat="1" applyFont="1" applyFill="1" applyBorder="1" applyAlignment="1">
      <alignment horizontal="center"/>
    </xf>
    <xf numFmtId="165" fontId="43" fillId="11" borderId="23" xfId="0" applyNumberFormat="1" applyFont="1" applyFill="1" applyBorder="1"/>
    <xf numFmtId="0" fontId="45" fillId="10" borderId="12" xfId="0" applyFont="1" applyFill="1" applyBorder="1" applyAlignment="1">
      <alignment horizontal="right"/>
    </xf>
    <xf numFmtId="14" fontId="0" fillId="2" borderId="0" xfId="0" applyNumberFormat="1" applyFill="1"/>
    <xf numFmtId="0" fontId="3" fillId="11" borderId="13" xfId="0" applyFont="1" applyFill="1" applyBorder="1" applyAlignment="1">
      <alignment horizontal="left"/>
    </xf>
    <xf numFmtId="0" fontId="18" fillId="12" borderId="23" xfId="0" applyFont="1" applyFill="1" applyBorder="1" applyAlignment="1">
      <alignment horizontal="center"/>
    </xf>
    <xf numFmtId="0" fontId="18" fillId="12" borderId="23" xfId="0" applyFont="1" applyFill="1" applyBorder="1"/>
    <xf numFmtId="0" fontId="25" fillId="12" borderId="21" xfId="0" applyFont="1" applyFill="1" applyBorder="1"/>
    <xf numFmtId="0" fontId="25" fillId="12" borderId="23" xfId="0" applyFont="1" applyFill="1" applyBorder="1"/>
    <xf numFmtId="0" fontId="0" fillId="2" borderId="10" xfId="0" applyFill="1" applyBorder="1" applyAlignment="1">
      <alignment horizontal="center"/>
    </xf>
    <xf numFmtId="0" fontId="3" fillId="18" borderId="10" xfId="0" applyFont="1" applyFill="1" applyBorder="1"/>
    <xf numFmtId="0" fontId="0" fillId="12" borderId="13" xfId="0" applyFill="1" applyBorder="1" applyAlignment="1">
      <alignment wrapText="1"/>
    </xf>
    <xf numFmtId="9" fontId="3" fillId="10" borderId="24" xfId="0" applyNumberFormat="1" applyFont="1" applyFill="1" applyBorder="1" applyAlignment="1">
      <alignment horizontal="center"/>
    </xf>
    <xf numFmtId="0" fontId="0" fillId="10" borderId="21" xfId="0" applyFill="1" applyBorder="1"/>
    <xf numFmtId="0" fontId="23" fillId="10" borderId="10" xfId="0" applyFont="1" applyFill="1" applyBorder="1" applyAlignment="1">
      <alignment horizontal="right"/>
    </xf>
    <xf numFmtId="0" fontId="0" fillId="11" borderId="21" xfId="0" applyFill="1" applyBorder="1"/>
    <xf numFmtId="168" fontId="2" fillId="25" borderId="10" xfId="0" applyNumberFormat="1" applyFont="1" applyFill="1" applyBorder="1" applyAlignment="1">
      <alignment horizontal="right"/>
    </xf>
    <xf numFmtId="0" fontId="12" fillId="25" borderId="10" xfId="0" applyFont="1" applyFill="1" applyBorder="1" applyAlignment="1">
      <alignment horizontal="center"/>
    </xf>
    <xf numFmtId="0" fontId="2" fillId="25" borderId="10" xfId="0" applyFont="1" applyFill="1" applyBorder="1"/>
    <xf numFmtId="167" fontId="12" fillId="25" borderId="10" xfId="0" applyNumberFormat="1" applyFont="1" applyFill="1" applyBorder="1" applyAlignment="1">
      <alignment horizontal="center"/>
    </xf>
    <xf numFmtId="0" fontId="2" fillId="12" borderId="12" xfId="0" applyFont="1" applyFill="1" applyBorder="1"/>
    <xf numFmtId="167" fontId="12" fillId="12" borderId="12" xfId="0" applyNumberFormat="1" applyFont="1" applyFill="1" applyBorder="1" applyAlignment="1">
      <alignment horizontal="center"/>
    </xf>
    <xf numFmtId="0" fontId="3" fillId="10" borderId="24" xfId="0" applyFont="1" applyFill="1" applyBorder="1"/>
    <xf numFmtId="0" fontId="23" fillId="21" borderId="10" xfId="0" applyFont="1" applyFill="1" applyBorder="1" applyAlignment="1">
      <alignment horizontal="center"/>
    </xf>
    <xf numFmtId="9" fontId="3" fillId="21" borderId="10" xfId="0" applyNumberFormat="1" applyFont="1" applyFill="1" applyBorder="1" applyAlignment="1">
      <alignment horizontal="center"/>
    </xf>
    <xf numFmtId="0" fontId="0" fillId="21" borderId="10" xfId="0" applyFill="1" applyBorder="1"/>
    <xf numFmtId="3" fontId="0" fillId="21" borderId="10" xfId="0" applyNumberFormat="1" applyFill="1" applyBorder="1"/>
    <xf numFmtId="0" fontId="0" fillId="24" borderId="12" xfId="0" applyFill="1" applyBorder="1"/>
    <xf numFmtId="0" fontId="1" fillId="18" borderId="11" xfId="0" applyFont="1" applyFill="1" applyBorder="1" applyAlignment="1">
      <alignment horizontal="center"/>
    </xf>
    <xf numFmtId="9" fontId="42" fillId="12" borderId="24" xfId="0" applyNumberFormat="1" applyFont="1" applyFill="1" applyBorder="1" applyAlignment="1">
      <alignment horizontal="center"/>
    </xf>
    <xf numFmtId="3" fontId="23" fillId="11" borderId="12" xfId="0" applyNumberFormat="1" applyFont="1" applyFill="1" applyBorder="1" applyAlignment="1">
      <alignment horizontal="left"/>
    </xf>
    <xf numFmtId="0" fontId="8" fillId="10" borderId="0" xfId="0" applyFont="1" applyFill="1"/>
    <xf numFmtId="170" fontId="0" fillId="10" borderId="12" xfId="0" applyNumberFormat="1" applyFill="1" applyBorder="1"/>
    <xf numFmtId="0" fontId="1" fillId="11" borderId="14" xfId="0" applyFont="1" applyFill="1" applyBorder="1" applyAlignment="1">
      <alignment horizontal="center"/>
    </xf>
    <xf numFmtId="3" fontId="1" fillId="11" borderId="14" xfId="0" applyNumberFormat="1" applyFont="1" applyFill="1" applyBorder="1"/>
    <xf numFmtId="9" fontId="1" fillId="23" borderId="14" xfId="0" applyNumberFormat="1" applyFont="1" applyFill="1" applyBorder="1" applyAlignment="1">
      <alignment horizontal="center"/>
    </xf>
    <xf numFmtId="3" fontId="1" fillId="23" borderId="14" xfId="0" applyNumberFormat="1" applyFont="1" applyFill="1" applyBorder="1"/>
    <xf numFmtId="0" fontId="3" fillId="23" borderId="14" xfId="0" applyFont="1" applyFill="1" applyBorder="1" applyAlignment="1">
      <alignment wrapText="1"/>
    </xf>
    <xf numFmtId="0" fontId="0" fillId="11" borderId="12" xfId="0" applyFill="1" applyBorder="1"/>
    <xf numFmtId="9" fontId="22" fillId="10" borderId="12" xfId="0" applyNumberFormat="1" applyFont="1" applyFill="1" applyBorder="1" applyAlignment="1">
      <alignment horizontal="center"/>
    </xf>
    <xf numFmtId="170" fontId="3" fillId="10" borderId="10" xfId="0" applyNumberFormat="1" applyFont="1" applyFill="1" applyBorder="1"/>
    <xf numFmtId="170" fontId="0" fillId="12" borderId="10" xfId="0" applyNumberFormat="1" applyFill="1" applyBorder="1"/>
    <xf numFmtId="0" fontId="24" fillId="10" borderId="24" xfId="0" applyFont="1" applyFill="1" applyBorder="1"/>
    <xf numFmtId="0" fontId="45" fillId="10" borderId="14" xfId="0" applyFont="1" applyFill="1" applyBorder="1"/>
    <xf numFmtId="0" fontId="25" fillId="12" borderId="10" xfId="0" applyFont="1" applyFill="1" applyBorder="1"/>
    <xf numFmtId="0" fontId="45" fillId="12" borderId="10" xfId="0" applyFont="1" applyFill="1" applyBorder="1" applyAlignment="1">
      <alignment horizontal="right"/>
    </xf>
    <xf numFmtId="9" fontId="1" fillId="10" borderId="21" xfId="0" applyNumberFormat="1" applyFont="1" applyFill="1" applyBorder="1" applyAlignment="1">
      <alignment horizontal="center"/>
    </xf>
    <xf numFmtId="3" fontId="1" fillId="10" borderId="23" xfId="0" applyNumberFormat="1" applyFont="1" applyFill="1" applyBorder="1"/>
    <xf numFmtId="0" fontId="22" fillId="12" borderId="24" xfId="0" applyFont="1" applyFill="1" applyBorder="1"/>
    <xf numFmtId="0" fontId="23" fillId="12" borderId="12" xfId="0" applyFont="1" applyFill="1" applyBorder="1" applyAlignment="1">
      <alignment horizontal="center"/>
    </xf>
    <xf numFmtId="9" fontId="24" fillId="12" borderId="12" xfId="0" applyNumberFormat="1" applyFont="1" applyFill="1" applyBorder="1" applyAlignment="1">
      <alignment horizontal="center"/>
    </xf>
    <xf numFmtId="0" fontId="3" fillId="12" borderId="12" xfId="0" applyFont="1" applyFill="1" applyBorder="1" applyAlignment="1">
      <alignment horizontal="left"/>
    </xf>
    <xf numFmtId="170" fontId="23" fillId="12" borderId="12" xfId="0" applyNumberFormat="1" applyFont="1" applyFill="1" applyBorder="1"/>
    <xf numFmtId="9" fontId="38" fillId="12" borderId="12" xfId="0" applyNumberFormat="1" applyFont="1" applyFill="1" applyBorder="1" applyAlignment="1">
      <alignment horizontal="center"/>
    </xf>
    <xf numFmtId="165" fontId="43" fillId="12" borderId="16" xfId="0" applyNumberFormat="1" applyFont="1" applyFill="1" applyBorder="1"/>
    <xf numFmtId="3" fontId="0" fillId="2" borderId="10" xfId="0" applyNumberFormat="1" applyFill="1" applyBorder="1"/>
    <xf numFmtId="0" fontId="45" fillId="12" borderId="11" xfId="0" applyFont="1" applyFill="1" applyBorder="1"/>
    <xf numFmtId="9" fontId="22" fillId="12" borderId="13" xfId="0" applyNumberFormat="1" applyFont="1" applyFill="1" applyBorder="1" applyAlignment="1">
      <alignment horizontal="center"/>
    </xf>
    <xf numFmtId="170" fontId="3" fillId="12" borderId="10" xfId="0" applyNumberFormat="1" applyFont="1" applyFill="1" applyBorder="1"/>
    <xf numFmtId="0" fontId="45" fillId="12" borderId="10" xfId="0" applyFont="1" applyFill="1" applyBorder="1"/>
    <xf numFmtId="0" fontId="8" fillId="12" borderId="0" xfId="0" applyFont="1" applyFill="1"/>
    <xf numFmtId="0" fontId="45" fillId="12" borderId="12" xfId="0" applyFont="1" applyFill="1" applyBorder="1"/>
    <xf numFmtId="9" fontId="3" fillId="12" borderId="12" xfId="0" applyNumberFormat="1" applyFont="1" applyFill="1" applyBorder="1" applyAlignment="1">
      <alignment horizontal="center"/>
    </xf>
    <xf numFmtId="0" fontId="23" fillId="12" borderId="10" xfId="0" applyFont="1" applyFill="1" applyBorder="1" applyAlignment="1">
      <alignment horizontal="right"/>
    </xf>
    <xf numFmtId="0" fontId="45" fillId="12" borderId="12" xfId="0" applyFont="1" applyFill="1" applyBorder="1" applyAlignment="1">
      <alignment horizontal="right"/>
    </xf>
    <xf numFmtId="0" fontId="3" fillId="12" borderId="13" xfId="0" applyFont="1" applyFill="1" applyBorder="1" applyAlignment="1">
      <alignment horizontal="left"/>
    </xf>
    <xf numFmtId="0" fontId="24" fillId="12" borderId="13" xfId="0" applyFont="1" applyFill="1" applyBorder="1"/>
    <xf numFmtId="0" fontId="3" fillId="12" borderId="24" xfId="0" applyFont="1" applyFill="1" applyBorder="1"/>
    <xf numFmtId="170" fontId="3" fillId="12" borderId="12" xfId="0" applyNumberFormat="1" applyFont="1" applyFill="1" applyBorder="1"/>
    <xf numFmtId="3" fontId="23" fillId="11" borderId="16" xfId="0" applyNumberFormat="1" applyFont="1" applyFill="1" applyBorder="1" applyAlignment="1">
      <alignment horizontal="left"/>
    </xf>
    <xf numFmtId="0" fontId="0" fillId="11" borderId="11" xfId="0" applyFill="1" applyBorder="1"/>
    <xf numFmtId="0" fontId="0" fillId="11" borderId="16" xfId="0" applyFill="1" applyBorder="1"/>
    <xf numFmtId="0" fontId="29" fillId="10" borderId="13" xfId="0" applyFont="1" applyFill="1" applyBorder="1"/>
    <xf numFmtId="9" fontId="49" fillId="12" borderId="13" xfId="0" applyNumberFormat="1" applyFont="1" applyFill="1" applyBorder="1" applyAlignment="1">
      <alignment horizontal="center"/>
    </xf>
    <xf numFmtId="3" fontId="48" fillId="12" borderId="10" xfId="0" applyNumberFormat="1" applyFont="1" applyFill="1" applyBorder="1" applyAlignment="1">
      <alignment horizontal="right"/>
    </xf>
    <xf numFmtId="0" fontId="29" fillId="12" borderId="16" xfId="0" applyFont="1" applyFill="1" applyBorder="1"/>
    <xf numFmtId="9" fontId="50" fillId="12" borderId="13" xfId="0" applyNumberFormat="1" applyFont="1" applyFill="1" applyBorder="1" applyAlignment="1">
      <alignment horizontal="center"/>
    </xf>
    <xf numFmtId="0" fontId="29" fillId="12" borderId="11" xfId="0" applyFont="1" applyFill="1" applyBorder="1"/>
    <xf numFmtId="0" fontId="29" fillId="11" borderId="10" xfId="0" applyFont="1" applyFill="1" applyBorder="1"/>
    <xf numFmtId="0" fontId="29" fillId="12" borderId="12" xfId="0" applyFont="1" applyFill="1" applyBorder="1"/>
    <xf numFmtId="9" fontId="49" fillId="12" borderId="10" xfId="0" applyNumberFormat="1" applyFont="1" applyFill="1" applyBorder="1" applyAlignment="1">
      <alignment horizontal="center"/>
    </xf>
    <xf numFmtId="0" fontId="29" fillId="21" borderId="10" xfId="0" applyFont="1" applyFill="1" applyBorder="1"/>
    <xf numFmtId="170" fontId="29" fillId="21" borderId="10" xfId="0" applyNumberFormat="1" applyFont="1" applyFill="1" applyBorder="1"/>
    <xf numFmtId="9" fontId="50" fillId="12" borderId="10" xfId="0" applyNumberFormat="1" applyFont="1" applyFill="1" applyBorder="1" applyAlignment="1">
      <alignment horizontal="center"/>
    </xf>
    <xf numFmtId="0" fontId="48" fillId="11" borderId="10" xfId="0" applyFont="1" applyFill="1" applyBorder="1" applyAlignment="1">
      <alignment horizontal="center"/>
    </xf>
    <xf numFmtId="9" fontId="50" fillId="11" borderId="10" xfId="0" applyNumberFormat="1" applyFont="1" applyFill="1" applyBorder="1" applyAlignment="1">
      <alignment horizontal="center"/>
    </xf>
    <xf numFmtId="0" fontId="29" fillId="11" borderId="10" xfId="0" applyFont="1" applyFill="1" applyBorder="1" applyAlignment="1">
      <alignment horizontal="left"/>
    </xf>
    <xf numFmtId="170" fontId="29" fillId="11" borderId="10" xfId="0" applyNumberFormat="1" applyFont="1" applyFill="1" applyBorder="1"/>
    <xf numFmtId="165" fontId="48" fillId="11" borderId="10" xfId="0" applyNumberFormat="1" applyFont="1" applyFill="1" applyBorder="1"/>
    <xf numFmtId="0" fontId="48" fillId="12" borderId="14" xfId="0" applyFont="1" applyFill="1" applyBorder="1" applyAlignment="1">
      <alignment horizontal="center"/>
    </xf>
    <xf numFmtId="9" fontId="50" fillId="12" borderId="14" xfId="0" applyNumberFormat="1" applyFont="1" applyFill="1" applyBorder="1" applyAlignment="1">
      <alignment horizontal="center"/>
    </xf>
    <xf numFmtId="0" fontId="29" fillId="12" borderId="14" xfId="0" applyFont="1" applyFill="1" applyBorder="1" applyAlignment="1">
      <alignment horizontal="left"/>
    </xf>
    <xf numFmtId="170" fontId="48" fillId="12" borderId="14" xfId="0" applyNumberFormat="1" applyFont="1" applyFill="1" applyBorder="1"/>
    <xf numFmtId="165" fontId="48" fillId="10" borderId="14" xfId="0" applyNumberFormat="1" applyFont="1" applyFill="1" applyBorder="1"/>
    <xf numFmtId="0" fontId="29" fillId="12" borderId="14" xfId="0" applyFont="1" applyFill="1" applyBorder="1"/>
    <xf numFmtId="0" fontId="29" fillId="12" borderId="18" xfId="0" applyFont="1" applyFill="1" applyBorder="1"/>
    <xf numFmtId="3" fontId="23" fillId="12" borderId="13" xfId="0" applyNumberFormat="1" applyFont="1" applyFill="1" applyBorder="1"/>
    <xf numFmtId="3" fontId="23" fillId="12" borderId="12" xfId="0" applyNumberFormat="1" applyFont="1" applyFill="1" applyBorder="1"/>
    <xf numFmtId="3" fontId="0" fillId="12" borderId="10" xfId="0" applyNumberFormat="1" applyFill="1" applyBorder="1"/>
    <xf numFmtId="0" fontId="46" fillId="12" borderId="11" xfId="0" applyFont="1" applyFill="1" applyBorder="1"/>
    <xf numFmtId="9" fontId="47" fillId="12" borderId="13" xfId="0" applyNumberFormat="1" applyFont="1" applyFill="1" applyBorder="1" applyAlignment="1">
      <alignment horizontal="center"/>
    </xf>
    <xf numFmtId="0" fontId="29" fillId="12" borderId="13" xfId="0" applyFont="1" applyFill="1" applyBorder="1"/>
    <xf numFmtId="3" fontId="48" fillId="12" borderId="13" xfId="0" applyNumberFormat="1" applyFont="1" applyFill="1" applyBorder="1"/>
    <xf numFmtId="0" fontId="46" fillId="12" borderId="10" xfId="0" applyFont="1" applyFill="1" applyBorder="1"/>
    <xf numFmtId="9" fontId="29" fillId="12" borderId="10" xfId="0" applyNumberFormat="1" applyFont="1" applyFill="1" applyBorder="1" applyAlignment="1">
      <alignment horizontal="center"/>
    </xf>
    <xf numFmtId="0" fontId="29" fillId="12" borderId="0" xfId="0" applyFont="1" applyFill="1"/>
    <xf numFmtId="9" fontId="47" fillId="12" borderId="10" xfId="0" applyNumberFormat="1" applyFont="1" applyFill="1" applyBorder="1" applyAlignment="1">
      <alignment horizontal="center"/>
    </xf>
    <xf numFmtId="0" fontId="46" fillId="12" borderId="12" xfId="0" applyFont="1" applyFill="1" applyBorder="1"/>
    <xf numFmtId="9" fontId="29" fillId="12" borderId="12" xfId="0" applyNumberFormat="1" applyFont="1" applyFill="1" applyBorder="1" applyAlignment="1">
      <alignment horizontal="center"/>
    </xf>
    <xf numFmtId="3" fontId="50" fillId="12" borderId="13" xfId="0" applyNumberFormat="1" applyFont="1" applyFill="1" applyBorder="1"/>
    <xf numFmtId="165" fontId="43" fillId="10" borderId="11" xfId="0" applyNumberFormat="1" applyFont="1" applyFill="1" applyBorder="1"/>
    <xf numFmtId="9" fontId="47" fillId="12" borderId="12" xfId="0" applyNumberFormat="1" applyFont="1" applyFill="1" applyBorder="1" applyAlignment="1">
      <alignment horizontal="center"/>
    </xf>
    <xf numFmtId="0" fontId="50" fillId="21" borderId="14" xfId="0" applyFont="1" applyFill="1" applyBorder="1"/>
    <xf numFmtId="9" fontId="29" fillId="21" borderId="14" xfId="0" applyNumberFormat="1" applyFont="1" applyFill="1" applyBorder="1" applyAlignment="1">
      <alignment horizontal="center"/>
    </xf>
    <xf numFmtId="171" fontId="42" fillId="12" borderId="13" xfId="0" applyNumberFormat="1" applyFont="1" applyFill="1" applyBorder="1" applyAlignment="1">
      <alignment horizontal="center"/>
    </xf>
    <xf numFmtId="0" fontId="0" fillId="12" borderId="17" xfId="0" applyFill="1" applyBorder="1"/>
    <xf numFmtId="0" fontId="45" fillId="12" borderId="11" xfId="0" applyFont="1" applyFill="1" applyBorder="1" applyAlignment="1">
      <alignment horizontal="right"/>
    </xf>
    <xf numFmtId="3" fontId="3" fillId="10" borderId="18" xfId="0" applyNumberFormat="1" applyFont="1" applyFill="1" applyBorder="1"/>
    <xf numFmtId="0" fontId="8" fillId="0" borderId="0" xfId="0" applyFont="1"/>
    <xf numFmtId="0" fontId="8" fillId="10" borderId="10" xfId="0" applyFont="1" applyFill="1" applyBorder="1"/>
    <xf numFmtId="0" fontId="45" fillId="10" borderId="10" xfId="0" applyFont="1" applyFill="1" applyBorder="1" applyAlignment="1">
      <alignment horizontal="right"/>
    </xf>
    <xf numFmtId="0" fontId="8" fillId="10" borderId="0" xfId="0" applyFont="1" applyFill="1" applyAlignment="1">
      <alignment horizontal="right"/>
    </xf>
    <xf numFmtId="3" fontId="29" fillId="11" borderId="4" xfId="0" applyNumberFormat="1" applyFont="1" applyFill="1" applyBorder="1" applyAlignment="1">
      <alignment horizontal="center"/>
    </xf>
    <xf numFmtId="0" fontId="3" fillId="12" borderId="18" xfId="0" applyFont="1" applyFill="1" applyBorder="1"/>
    <xf numFmtId="3" fontId="32" fillId="11" borderId="14" xfId="0" applyNumberFormat="1" applyFont="1" applyFill="1" applyBorder="1" applyAlignment="1">
      <alignment horizontal="right"/>
    </xf>
    <xf numFmtId="3" fontId="32" fillId="11" borderId="4" xfId="0" applyNumberFormat="1" applyFont="1" applyFill="1" applyBorder="1" applyAlignment="1">
      <alignment horizontal="right"/>
    </xf>
    <xf numFmtId="3" fontId="32" fillId="11" borderId="10" xfId="0" applyNumberFormat="1" applyFont="1" applyFill="1" applyBorder="1" applyAlignment="1">
      <alignment horizontal="right"/>
    </xf>
    <xf numFmtId="165" fontId="32" fillId="11" borderId="10" xfId="0" applyNumberFormat="1" applyFont="1" applyFill="1" applyBorder="1" applyAlignment="1">
      <alignment horizontal="right"/>
    </xf>
    <xf numFmtId="0" fontId="25" fillId="2" borderId="10" xfId="0" applyFont="1" applyFill="1" applyBorder="1" applyAlignment="1">
      <alignment horizontal="center"/>
    </xf>
    <xf numFmtId="171" fontId="38" fillId="12" borderId="13" xfId="0" applyNumberFormat="1" applyFont="1" applyFill="1" applyBorder="1" applyAlignment="1">
      <alignment horizontal="center"/>
    </xf>
    <xf numFmtId="0" fontId="0" fillId="11" borderId="17" xfId="0" applyFill="1" applyBorder="1"/>
    <xf numFmtId="165" fontId="1" fillId="12" borderId="10" xfId="0" applyNumberFormat="1" applyFont="1" applyFill="1" applyBorder="1" applyAlignment="1">
      <alignment horizontal="right"/>
    </xf>
    <xf numFmtId="165" fontId="1" fillId="12" borderId="10" xfId="0" applyNumberFormat="1" applyFont="1" applyFill="1" applyBorder="1"/>
    <xf numFmtId="165" fontId="1" fillId="12" borderId="12" xfId="0" applyNumberFormat="1" applyFont="1" applyFill="1" applyBorder="1"/>
    <xf numFmtId="0" fontId="45" fillId="12" borderId="13" xfId="0" applyFont="1" applyFill="1" applyBorder="1"/>
    <xf numFmtId="0" fontId="3" fillId="12" borderId="11" xfId="0" applyFont="1" applyFill="1" applyBorder="1"/>
    <xf numFmtId="9" fontId="3" fillId="12" borderId="13" xfId="0" applyNumberFormat="1" applyFont="1" applyFill="1" applyBorder="1" applyAlignment="1">
      <alignment horizontal="center"/>
    </xf>
    <xf numFmtId="0" fontId="3" fillId="12" borderId="11" xfId="0" applyFont="1" applyFill="1" applyBorder="1" applyAlignment="1">
      <alignment horizontal="left"/>
    </xf>
    <xf numFmtId="9" fontId="1" fillId="12" borderId="12" xfId="0" applyNumberFormat="1" applyFont="1" applyFill="1" applyBorder="1" applyAlignment="1">
      <alignment horizontal="center"/>
    </xf>
    <xf numFmtId="0" fontId="3" fillId="12" borderId="12" xfId="0" applyFont="1" applyFill="1" applyBorder="1" applyAlignment="1">
      <alignment wrapText="1"/>
    </xf>
    <xf numFmtId="0" fontId="8" fillId="0" borderId="10" xfId="0" applyFont="1" applyBorder="1"/>
    <xf numFmtId="9" fontId="3" fillId="12" borderId="17" xfId="0" applyNumberFormat="1" applyFont="1" applyFill="1" applyBorder="1" applyAlignment="1">
      <alignment horizontal="center"/>
    </xf>
    <xf numFmtId="9" fontId="3" fillId="12" borderId="25" xfId="0" applyNumberFormat="1" applyFont="1" applyFill="1" applyBorder="1" applyAlignment="1">
      <alignment horizontal="center"/>
    </xf>
    <xf numFmtId="0" fontId="45" fillId="12" borderId="14" xfId="0" applyFont="1" applyFill="1" applyBorder="1"/>
    <xf numFmtId="3" fontId="23" fillId="12" borderId="10" xfId="0" applyNumberFormat="1" applyFont="1" applyFill="1" applyBorder="1" applyAlignment="1">
      <alignment horizontal="left"/>
    </xf>
    <xf numFmtId="0" fontId="23" fillId="12" borderId="13" xfId="0" applyFont="1" applyFill="1" applyBorder="1" applyAlignment="1">
      <alignment horizontal="right"/>
    </xf>
    <xf numFmtId="9" fontId="38" fillId="12" borderId="13" xfId="0" applyNumberFormat="1" applyFont="1" applyFill="1" applyBorder="1" applyAlignment="1">
      <alignment horizontal="center"/>
    </xf>
    <xf numFmtId="9" fontId="3" fillId="18" borderId="10" xfId="0" applyNumberFormat="1" applyFont="1" applyFill="1" applyBorder="1" applyAlignment="1">
      <alignment horizontal="center"/>
    </xf>
    <xf numFmtId="14" fontId="0" fillId="2" borderId="10" xfId="0" applyNumberFormat="1" applyFill="1" applyBorder="1" applyAlignment="1">
      <alignment horizontal="left"/>
    </xf>
    <xf numFmtId="0" fontId="0" fillId="25" borderId="10" xfId="0" applyFill="1" applyBorder="1"/>
    <xf numFmtId="168" fontId="2" fillId="12" borderId="14" xfId="0" applyNumberFormat="1" applyFont="1" applyFill="1" applyBorder="1" applyAlignment="1">
      <alignment horizontal="right"/>
    </xf>
    <xf numFmtId="0" fontId="12" fillId="12" borderId="14" xfId="0" applyFont="1" applyFill="1" applyBorder="1" applyAlignment="1">
      <alignment horizontal="center"/>
    </xf>
    <xf numFmtId="0" fontId="2" fillId="12" borderId="14" xfId="0" applyFont="1" applyFill="1" applyBorder="1"/>
    <xf numFmtId="167" fontId="12" fillId="12" borderId="14" xfId="0" applyNumberFormat="1" applyFont="1" applyFill="1" applyBorder="1" applyAlignment="1">
      <alignment horizontal="center"/>
    </xf>
    <xf numFmtId="0" fontId="45" fillId="11" borderId="10" xfId="0" applyFont="1" applyFill="1" applyBorder="1" applyAlignment="1">
      <alignment horizontal="center"/>
    </xf>
    <xf numFmtId="9" fontId="3" fillId="11" borderId="13" xfId="0" applyNumberFormat="1" applyFont="1" applyFill="1" applyBorder="1" applyAlignment="1">
      <alignment horizontal="center"/>
    </xf>
    <xf numFmtId="3" fontId="23" fillId="12" borderId="14" xfId="0" applyNumberFormat="1" applyFont="1" applyFill="1" applyBorder="1" applyAlignment="1">
      <alignment horizontal="right"/>
    </xf>
    <xf numFmtId="3" fontId="23" fillId="11" borderId="14" xfId="0" applyNumberFormat="1" applyFont="1" applyFill="1" applyBorder="1" applyAlignment="1">
      <alignment horizontal="left"/>
    </xf>
    <xf numFmtId="9" fontId="1" fillId="12" borderId="13" xfId="0" applyNumberFormat="1" applyFont="1" applyFill="1" applyBorder="1" applyAlignment="1">
      <alignment horizontal="center"/>
    </xf>
    <xf numFmtId="0" fontId="23" fillId="11" borderId="14" xfId="0" applyFont="1" applyFill="1" applyBorder="1" applyAlignment="1">
      <alignment horizontal="right"/>
    </xf>
    <xf numFmtId="3" fontId="23" fillId="11" borderId="14" xfId="0" applyNumberFormat="1" applyFont="1" applyFill="1" applyBorder="1"/>
    <xf numFmtId="3" fontId="32" fillId="11" borderId="10" xfId="0" applyNumberFormat="1" applyFont="1" applyFill="1" applyBorder="1"/>
    <xf numFmtId="170" fontId="18" fillId="11" borderId="10" xfId="0" applyNumberFormat="1" applyFont="1" applyFill="1" applyBorder="1"/>
    <xf numFmtId="170" fontId="0" fillId="11" borderId="10" xfId="0" applyNumberFormat="1" applyFill="1" applyBorder="1"/>
    <xf numFmtId="9" fontId="1" fillId="11" borderId="13" xfId="0" applyNumberFormat="1" applyFont="1" applyFill="1" applyBorder="1" applyAlignment="1">
      <alignment horizontal="center"/>
    </xf>
    <xf numFmtId="170" fontId="0" fillId="12" borderId="13" xfId="0" applyNumberFormat="1" applyFill="1" applyBorder="1"/>
    <xf numFmtId="3" fontId="3" fillId="12" borderId="14" xfId="0" applyNumberFormat="1" applyFont="1" applyFill="1" applyBorder="1"/>
    <xf numFmtId="9" fontId="3" fillId="12" borderId="14" xfId="0" applyNumberFormat="1" applyFont="1" applyFill="1" applyBorder="1" applyAlignment="1">
      <alignment horizontal="center" vertical="center"/>
    </xf>
    <xf numFmtId="0" fontId="45" fillId="11" borderId="17" xfId="0" applyFont="1" applyFill="1" applyBorder="1" applyAlignment="1">
      <alignment horizontal="center"/>
    </xf>
    <xf numFmtId="9" fontId="1" fillId="11" borderId="14" xfId="0" applyNumberFormat="1" applyFont="1" applyFill="1" applyBorder="1" applyAlignment="1">
      <alignment horizontal="center"/>
    </xf>
    <xf numFmtId="3" fontId="23" fillId="18" borderId="10" xfId="0" applyNumberFormat="1" applyFont="1" applyFill="1" applyBorder="1" applyAlignment="1">
      <alignment horizontal="left"/>
    </xf>
    <xf numFmtId="3" fontId="23" fillId="18" borderId="14" xfId="0" applyNumberFormat="1" applyFont="1" applyFill="1" applyBorder="1" applyAlignment="1">
      <alignment horizontal="left"/>
    </xf>
    <xf numFmtId="9" fontId="38" fillId="12" borderId="17" xfId="0" applyNumberFormat="1" applyFont="1" applyFill="1" applyBorder="1" applyAlignment="1">
      <alignment horizontal="center"/>
    </xf>
    <xf numFmtId="3" fontId="23" fillId="12" borderId="14" xfId="0" applyNumberFormat="1" applyFont="1" applyFill="1" applyBorder="1"/>
    <xf numFmtId="0" fontId="10" fillId="11" borderId="10" xfId="0" applyFont="1" applyFill="1" applyBorder="1"/>
    <xf numFmtId="9" fontId="3" fillId="11" borderId="17" xfId="0" applyNumberFormat="1" applyFont="1" applyFill="1" applyBorder="1" applyAlignment="1">
      <alignment horizontal="center"/>
    </xf>
    <xf numFmtId="0" fontId="8" fillId="18" borderId="10" xfId="0" applyFont="1" applyFill="1" applyBorder="1"/>
    <xf numFmtId="0" fontId="8" fillId="11" borderId="14" xfId="0" applyFont="1" applyFill="1" applyBorder="1"/>
    <xf numFmtId="170" fontId="0" fillId="11" borderId="14" xfId="0" applyNumberFormat="1" applyFill="1" applyBorder="1"/>
    <xf numFmtId="170" fontId="29" fillId="12" borderId="10" xfId="0" applyNumberFormat="1" applyFont="1" applyFill="1" applyBorder="1"/>
    <xf numFmtId="0" fontId="45" fillId="11" borderId="13" xfId="0" applyFont="1" applyFill="1" applyBorder="1" applyAlignment="1">
      <alignment horizontal="center"/>
    </xf>
    <xf numFmtId="0" fontId="3" fillId="11" borderId="13" xfId="0" applyFont="1" applyFill="1" applyBorder="1"/>
    <xf numFmtId="0" fontId="3" fillId="12" borderId="14" xfId="0" applyFont="1" applyFill="1" applyBorder="1" applyAlignment="1">
      <alignment wrapText="1"/>
    </xf>
    <xf numFmtId="3" fontId="1" fillId="12" borderId="11" xfId="0" applyNumberFormat="1" applyFont="1" applyFill="1" applyBorder="1"/>
    <xf numFmtId="3" fontId="1" fillId="12" borderId="16" xfId="0" applyNumberFormat="1" applyFont="1" applyFill="1" applyBorder="1"/>
    <xf numFmtId="3" fontId="1" fillId="11" borderId="27" xfId="0" applyNumberFormat="1" applyFont="1" applyFill="1" applyBorder="1"/>
    <xf numFmtId="3" fontId="1" fillId="11" borderId="19" xfId="0" applyNumberFormat="1" applyFont="1" applyFill="1" applyBorder="1"/>
    <xf numFmtId="0" fontId="3" fillId="12" borderId="13" xfId="0" applyFont="1" applyFill="1" applyBorder="1" applyAlignment="1">
      <alignment wrapText="1"/>
    </xf>
    <xf numFmtId="0" fontId="25" fillId="2" borderId="10" xfId="0" applyFont="1" applyFill="1" applyBorder="1" applyAlignment="1">
      <alignment horizontal="left" vertical="center"/>
    </xf>
    <xf numFmtId="0" fontId="8" fillId="11" borderId="10" xfId="0" applyFont="1" applyFill="1" applyBorder="1"/>
    <xf numFmtId="3" fontId="1" fillId="11" borderId="11" xfId="0" applyNumberFormat="1" applyFont="1" applyFill="1" applyBorder="1"/>
    <xf numFmtId="0" fontId="51" fillId="12" borderId="10" xfId="0" applyFont="1" applyFill="1" applyBorder="1"/>
    <xf numFmtId="0" fontId="23" fillId="12" borderId="14" xfId="0" applyFont="1" applyFill="1" applyBorder="1" applyAlignment="1">
      <alignment horizontal="right"/>
    </xf>
    <xf numFmtId="9" fontId="22" fillId="12" borderId="14" xfId="0" applyNumberFormat="1" applyFont="1" applyFill="1" applyBorder="1" applyAlignment="1">
      <alignment horizontal="center"/>
    </xf>
    <xf numFmtId="0" fontId="8" fillId="12" borderId="10" xfId="0" applyFont="1" applyFill="1" applyBorder="1"/>
    <xf numFmtId="0" fontId="8" fillId="12" borderId="10" xfId="0" applyFont="1" applyFill="1" applyBorder="1" applyAlignment="1">
      <alignment horizontal="right"/>
    </xf>
    <xf numFmtId="0" fontId="8" fillId="12" borderId="12" xfId="0" applyFont="1" applyFill="1" applyBorder="1"/>
    <xf numFmtId="9" fontId="22" fillId="12" borderId="12" xfId="0" applyNumberFormat="1" applyFont="1" applyFill="1" applyBorder="1" applyAlignment="1">
      <alignment horizontal="center"/>
    </xf>
    <xf numFmtId="0" fontId="3" fillId="12" borderId="10" xfId="0" applyFont="1" applyFill="1" applyBorder="1" applyAlignment="1">
      <alignment horizontal="right"/>
    </xf>
    <xf numFmtId="9" fontId="3" fillId="12" borderId="24" xfId="0" applyNumberFormat="1" applyFont="1" applyFill="1" applyBorder="1" applyAlignment="1">
      <alignment horizontal="center"/>
    </xf>
    <xf numFmtId="9" fontId="42" fillId="12" borderId="13" xfId="0" applyNumberFormat="1" applyFont="1" applyFill="1" applyBorder="1" applyAlignment="1">
      <alignment horizontal="center"/>
    </xf>
    <xf numFmtId="3" fontId="52" fillId="12" borderId="10" xfId="0" applyNumberFormat="1" applyFont="1" applyFill="1" applyBorder="1"/>
    <xf numFmtId="0" fontId="8" fillId="12" borderId="13" xfId="0" applyFont="1" applyFill="1" applyBorder="1"/>
    <xf numFmtId="165" fontId="32" fillId="12" borderId="10" xfId="0" applyNumberFormat="1" applyFont="1" applyFill="1" applyBorder="1" applyAlignment="1">
      <alignment horizontal="right"/>
    </xf>
    <xf numFmtId="6" fontId="3" fillId="12" borderId="10" xfId="0" applyNumberFormat="1" applyFont="1" applyFill="1" applyBorder="1"/>
    <xf numFmtId="6" fontId="0" fillId="12" borderId="10" xfId="0" applyNumberFormat="1" applyFill="1" applyBorder="1"/>
    <xf numFmtId="0" fontId="53" fillId="0" borderId="0" xfId="0" applyFont="1"/>
    <xf numFmtId="0" fontId="25" fillId="2" borderId="0" xfId="0" applyFont="1" applyFill="1" applyAlignment="1">
      <alignment horizontal="left" vertical="center"/>
    </xf>
    <xf numFmtId="0" fontId="53" fillId="0" borderId="10" xfId="0" applyFont="1" applyBorder="1"/>
    <xf numFmtId="0" fontId="45" fillId="12" borderId="17" xfId="0" applyFont="1" applyFill="1" applyBorder="1"/>
    <xf numFmtId="170" fontId="0" fillId="12" borderId="14" xfId="0" applyNumberFormat="1" applyFill="1" applyBorder="1"/>
    <xf numFmtId="9" fontId="1" fillId="12" borderId="14" xfId="0" applyNumberFormat="1" applyFont="1" applyFill="1" applyBorder="1" applyAlignment="1">
      <alignment horizontal="center"/>
    </xf>
    <xf numFmtId="3" fontId="1" fillId="12" borderId="14" xfId="0" applyNumberFormat="1" applyFont="1" applyFill="1" applyBorder="1"/>
    <xf numFmtId="170" fontId="0" fillId="12" borderId="12" xfId="0" applyNumberFormat="1" applyFill="1" applyBorder="1"/>
    <xf numFmtId="0" fontId="23" fillId="12" borderId="12" xfId="0" applyFont="1" applyFill="1" applyBorder="1" applyAlignment="1">
      <alignment horizontal="right"/>
    </xf>
    <xf numFmtId="165" fontId="1" fillId="12" borderId="0" xfId="0" applyNumberFormat="1" applyFont="1" applyFill="1" applyAlignment="1">
      <alignment horizontal="right"/>
    </xf>
    <xf numFmtId="0" fontId="35" fillId="11" borderId="10" xfId="0" applyFont="1" applyFill="1" applyBorder="1" applyAlignment="1">
      <alignment horizontal="center"/>
    </xf>
    <xf numFmtId="165" fontId="1" fillId="2" borderId="14" xfId="0" applyNumberFormat="1" applyFont="1" applyFill="1" applyBorder="1" applyAlignment="1">
      <alignment horizontal="right"/>
    </xf>
    <xf numFmtId="0" fontId="8" fillId="10" borderId="10" xfId="0" applyFont="1" applyFill="1" applyBorder="1" applyAlignment="1">
      <alignment horizontal="right"/>
    </xf>
    <xf numFmtId="0" fontId="12" fillId="19" borderId="10" xfId="0" applyFont="1" applyFill="1" applyBorder="1" applyAlignment="1">
      <alignment horizontal="left"/>
    </xf>
    <xf numFmtId="0" fontId="54" fillId="0" borderId="0" xfId="0" applyFont="1"/>
    <xf numFmtId="0" fontId="20" fillId="15" borderId="21" xfId="0" applyFont="1" applyFill="1" applyBorder="1" applyAlignment="1">
      <alignment horizontal="center"/>
    </xf>
    <xf numFmtId="165" fontId="20" fillId="15" borderId="21" xfId="0" applyNumberFormat="1" applyFont="1" applyFill="1" applyBorder="1" applyAlignment="1">
      <alignment horizontal="center"/>
    </xf>
    <xf numFmtId="0" fontId="0" fillId="24" borderId="21" xfId="0" applyFill="1" applyBorder="1"/>
    <xf numFmtId="0" fontId="3" fillId="11" borderId="17" xfId="0" applyFont="1" applyFill="1" applyBorder="1"/>
    <xf numFmtId="9" fontId="38" fillId="11" borderId="14" xfId="0" applyNumberFormat="1" applyFont="1" applyFill="1" applyBorder="1" applyAlignment="1">
      <alignment horizontal="center"/>
    </xf>
    <xf numFmtId="3" fontId="23" fillId="11" borderId="14" xfId="0" applyNumberFormat="1" applyFont="1" applyFill="1" applyBorder="1" applyAlignment="1">
      <alignment horizontal="right"/>
    </xf>
    <xf numFmtId="170" fontId="3" fillId="12" borderId="10" xfId="0" applyNumberFormat="1" applyFont="1" applyFill="1" applyBorder="1" applyAlignment="1">
      <alignment wrapText="1"/>
    </xf>
    <xf numFmtId="170" fontId="0" fillId="2" borderId="10" xfId="0" applyNumberFormat="1" applyFill="1" applyBorder="1"/>
    <xf numFmtId="3" fontId="0" fillId="12" borderId="11" xfId="0" applyNumberFormat="1" applyFill="1" applyBorder="1"/>
    <xf numFmtId="3" fontId="23" fillId="11" borderId="10" xfId="0" applyNumberFormat="1" applyFont="1" applyFill="1" applyBorder="1" applyAlignment="1">
      <alignment horizontal="left"/>
    </xf>
    <xf numFmtId="170" fontId="29" fillId="18" borderId="10" xfId="0" applyNumberFormat="1" applyFont="1" applyFill="1" applyBorder="1"/>
    <xf numFmtId="3" fontId="23" fillId="18" borderId="10" xfId="0" applyNumberFormat="1" applyFont="1" applyFill="1" applyBorder="1" applyAlignment="1">
      <alignment horizontal="right"/>
    </xf>
    <xf numFmtId="0" fontId="0" fillId="12" borderId="10" xfId="0" applyFill="1" applyBorder="1" applyAlignment="1">
      <alignment horizontal="right"/>
    </xf>
    <xf numFmtId="170" fontId="0" fillId="12" borderId="11" xfId="0" applyNumberFormat="1" applyFill="1" applyBorder="1"/>
    <xf numFmtId="170" fontId="0" fillId="11" borderId="11" xfId="0" applyNumberFormat="1" applyFill="1" applyBorder="1"/>
    <xf numFmtId="0" fontId="0" fillId="12" borderId="18" xfId="0" applyFill="1" applyBorder="1"/>
    <xf numFmtId="0" fontId="0" fillId="2" borderId="11" xfId="0" applyFill="1" applyBorder="1"/>
    <xf numFmtId="170" fontId="29" fillId="11" borderId="11" xfId="0" applyNumberFormat="1" applyFont="1" applyFill="1" applyBorder="1"/>
    <xf numFmtId="0" fontId="3" fillId="12" borderId="24" xfId="0" applyFont="1" applyFill="1" applyBorder="1" applyAlignment="1">
      <alignment wrapText="1"/>
    </xf>
    <xf numFmtId="0" fontId="0" fillId="2" borderId="12" xfId="0" applyFill="1" applyBorder="1"/>
    <xf numFmtId="165" fontId="18" fillId="11" borderId="10" xfId="0" applyNumberFormat="1" applyFont="1" applyFill="1" applyBorder="1" applyAlignment="1">
      <alignment horizontal="center"/>
    </xf>
    <xf numFmtId="0" fontId="0" fillId="21" borderId="12" xfId="0" applyFill="1" applyBorder="1"/>
    <xf numFmtId="0" fontId="15" fillId="11" borderId="14" xfId="0" applyFont="1" applyFill="1" applyBorder="1" applyAlignment="1">
      <alignment horizontal="center"/>
    </xf>
    <xf numFmtId="3" fontId="23" fillId="12" borderId="24" xfId="0" applyNumberFormat="1" applyFont="1" applyFill="1" applyBorder="1" applyAlignment="1">
      <alignment horizontal="left"/>
    </xf>
    <xf numFmtId="9" fontId="3" fillId="18" borderId="12" xfId="0" applyNumberFormat="1" applyFont="1" applyFill="1" applyBorder="1" applyAlignment="1">
      <alignment horizontal="center"/>
    </xf>
    <xf numFmtId="170" fontId="55" fillId="11" borderId="10" xfId="0" applyNumberFormat="1" applyFont="1" applyFill="1" applyBorder="1"/>
    <xf numFmtId="170" fontId="0" fillId="12" borderId="24" xfId="0" applyNumberFormat="1" applyFill="1" applyBorder="1"/>
    <xf numFmtId="0" fontId="56" fillId="0" borderId="0" xfId="0" applyFont="1"/>
    <xf numFmtId="0" fontId="56" fillId="0" borderId="10" xfId="0" applyFont="1" applyBorder="1"/>
    <xf numFmtId="0" fontId="12" fillId="12" borderId="24" xfId="0" applyFont="1" applyFill="1" applyBorder="1" applyAlignment="1">
      <alignment horizontal="center"/>
    </xf>
    <xf numFmtId="9" fontId="42" fillId="12" borderId="14" xfId="0" applyNumberFormat="1" applyFont="1" applyFill="1" applyBorder="1" applyAlignment="1">
      <alignment horizontal="center"/>
    </xf>
    <xf numFmtId="0" fontId="0" fillId="12" borderId="24" xfId="0" applyFill="1" applyBorder="1"/>
    <xf numFmtId="0" fontId="8" fillId="11" borderId="10" xfId="0" applyFont="1" applyFill="1" applyBorder="1" applyAlignment="1">
      <alignment horizontal="right"/>
    </xf>
    <xf numFmtId="3" fontId="23" fillId="12" borderId="14" xfId="0" applyNumberFormat="1" applyFont="1" applyFill="1" applyBorder="1" applyAlignment="1">
      <alignment horizontal="left"/>
    </xf>
    <xf numFmtId="9" fontId="42" fillId="12" borderId="11" xfId="0" applyNumberFormat="1" applyFont="1" applyFill="1" applyBorder="1" applyAlignment="1">
      <alignment horizontal="center"/>
    </xf>
    <xf numFmtId="9" fontId="38" fillId="12" borderId="11" xfId="0" applyNumberFormat="1" applyFont="1" applyFill="1" applyBorder="1" applyAlignment="1">
      <alignment horizontal="center"/>
    </xf>
    <xf numFmtId="3" fontId="23" fillId="12" borderId="13" xfId="0" applyNumberFormat="1" applyFont="1" applyFill="1" applyBorder="1" applyAlignment="1">
      <alignment horizontal="right"/>
    </xf>
    <xf numFmtId="3" fontId="23" fillId="12" borderId="24" xfId="0" applyNumberFormat="1" applyFont="1" applyFill="1" applyBorder="1" applyAlignment="1">
      <alignment horizontal="right"/>
    </xf>
    <xf numFmtId="170" fontId="29" fillId="11" borderId="14" xfId="0" applyNumberFormat="1" applyFont="1" applyFill="1" applyBorder="1"/>
    <xf numFmtId="170" fontId="0" fillId="12" borderId="19" xfId="0" applyNumberFormat="1" applyFill="1" applyBorder="1"/>
    <xf numFmtId="170" fontId="0" fillId="12" borderId="16" xfId="0" applyNumberFormat="1" applyFill="1" applyBorder="1"/>
    <xf numFmtId="170" fontId="3" fillId="12" borderId="10" xfId="0" applyNumberFormat="1" applyFont="1" applyFill="1" applyBorder="1" applyAlignment="1">
      <alignment horizontal="right" wrapText="1"/>
    </xf>
    <xf numFmtId="0" fontId="15" fillId="11" borderId="10" xfId="0" applyFont="1" applyFill="1" applyBorder="1" applyAlignment="1">
      <alignment horizontal="center"/>
    </xf>
    <xf numFmtId="0" fontId="23" fillId="11" borderId="21" xfId="0" applyFont="1" applyFill="1" applyBorder="1" applyAlignment="1">
      <alignment horizontal="right"/>
    </xf>
    <xf numFmtId="0" fontId="0" fillId="12" borderId="12" xfId="0" applyFill="1" applyBorder="1" applyAlignment="1">
      <alignment horizontal="right"/>
    </xf>
    <xf numFmtId="0" fontId="3" fillId="11" borderId="21" xfId="0" applyFont="1" applyFill="1" applyBorder="1"/>
    <xf numFmtId="9" fontId="38" fillId="12" borderId="21" xfId="0" applyNumberFormat="1" applyFont="1" applyFill="1" applyBorder="1" applyAlignment="1">
      <alignment horizontal="center"/>
    </xf>
    <xf numFmtId="0" fontId="2" fillId="12" borderId="13" xfId="0" applyFont="1" applyFill="1" applyBorder="1"/>
    <xf numFmtId="0" fontId="56" fillId="12" borderId="10" xfId="0" applyFont="1" applyFill="1" applyBorder="1"/>
    <xf numFmtId="168" fontId="2" fillId="19" borderId="12" xfId="0" applyNumberFormat="1" applyFont="1" applyFill="1" applyBorder="1" applyAlignment="1">
      <alignment horizontal="right"/>
    </xf>
    <xf numFmtId="0" fontId="12" fillId="19" borderId="12" xfId="0" applyFont="1" applyFill="1" applyBorder="1" applyAlignment="1">
      <alignment horizontal="center"/>
    </xf>
    <xf numFmtId="0" fontId="2" fillId="19" borderId="12" xfId="0" applyFont="1" applyFill="1" applyBorder="1"/>
    <xf numFmtId="167" fontId="12" fillId="19" borderId="12" xfId="0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12" borderId="2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right"/>
    </xf>
    <xf numFmtId="170" fontId="0" fillId="12" borderId="27" xfId="0" applyNumberFormat="1" applyFill="1" applyBorder="1"/>
    <xf numFmtId="9" fontId="22" fillId="12" borderId="24" xfId="0" applyNumberFormat="1" applyFont="1" applyFill="1" applyBorder="1" applyAlignment="1">
      <alignment horizontal="center"/>
    </xf>
    <xf numFmtId="3" fontId="23" fillId="21" borderId="12" xfId="0" applyNumberFormat="1" applyFont="1" applyFill="1" applyBorder="1" applyAlignment="1">
      <alignment horizontal="left"/>
    </xf>
    <xf numFmtId="170" fontId="20" fillId="11" borderId="17" xfId="0" applyNumberFormat="1" applyFont="1" applyFill="1" applyBorder="1"/>
    <xf numFmtId="0" fontId="0" fillId="11" borderId="24" xfId="0" applyFill="1" applyBorder="1"/>
    <xf numFmtId="3" fontId="23" fillId="11" borderId="13" xfId="0" applyNumberFormat="1" applyFont="1" applyFill="1" applyBorder="1" applyAlignment="1">
      <alignment horizontal="left"/>
    </xf>
    <xf numFmtId="3" fontId="23" fillId="11" borderId="24" xfId="0" applyNumberFormat="1" applyFont="1" applyFill="1" applyBorder="1" applyAlignment="1">
      <alignment horizontal="left"/>
    </xf>
    <xf numFmtId="170" fontId="55" fillId="11" borderId="14" xfId="0" applyNumberFormat="1" applyFont="1" applyFill="1" applyBorder="1"/>
    <xf numFmtId="0" fontId="56" fillId="12" borderId="12" xfId="0" applyFont="1" applyFill="1" applyBorder="1"/>
    <xf numFmtId="0" fontId="54" fillId="0" borderId="10" xfId="0" applyFont="1" applyBorder="1"/>
    <xf numFmtId="170" fontId="3" fillId="12" borderId="13" xfId="0" applyNumberFormat="1" applyFont="1" applyFill="1" applyBorder="1" applyAlignment="1">
      <alignment wrapText="1"/>
    </xf>
    <xf numFmtId="0" fontId="8" fillId="12" borderId="14" xfId="0" applyFont="1" applyFill="1" applyBorder="1"/>
    <xf numFmtId="9" fontId="38" fillId="12" borderId="14" xfId="0" applyNumberFormat="1" applyFont="1" applyFill="1" applyBorder="1" applyAlignment="1">
      <alignment horizontal="center"/>
    </xf>
    <xf numFmtId="167" fontId="12" fillId="12" borderId="13" xfId="0" applyNumberFormat="1" applyFont="1" applyFill="1" applyBorder="1" applyAlignment="1">
      <alignment horizontal="center"/>
    </xf>
    <xf numFmtId="168" fontId="2" fillId="12" borderId="16" xfId="0" applyNumberFormat="1" applyFont="1" applyFill="1" applyBorder="1" applyAlignment="1">
      <alignment horizontal="right"/>
    </xf>
    <xf numFmtId="0" fontId="56" fillId="0" borderId="12" xfId="0" applyFont="1" applyBorder="1"/>
    <xf numFmtId="0" fontId="2" fillId="12" borderId="24" xfId="0" applyFont="1" applyFill="1" applyBorder="1"/>
    <xf numFmtId="0" fontId="57" fillId="0" borderId="0" xfId="0" applyFont="1"/>
    <xf numFmtId="0" fontId="8" fillId="12" borderId="11" xfId="0" applyFont="1" applyFill="1" applyBorder="1"/>
    <xf numFmtId="0" fontId="8" fillId="0" borderId="11" xfId="0" applyFont="1" applyBorder="1"/>
    <xf numFmtId="170" fontId="0" fillId="12" borderId="25" xfId="0" applyNumberFormat="1" applyFill="1" applyBorder="1"/>
    <xf numFmtId="9" fontId="3" fillId="12" borderId="12" xfId="0" applyNumberFormat="1" applyFont="1" applyFill="1" applyBorder="1" applyAlignment="1">
      <alignment horizontal="left"/>
    </xf>
    <xf numFmtId="0" fontId="8" fillId="11" borderId="14" xfId="0" applyFont="1" applyFill="1" applyBorder="1" applyAlignment="1">
      <alignment horizontal="right"/>
    </xf>
    <xf numFmtId="9" fontId="22" fillId="11" borderId="14" xfId="0" applyNumberFormat="1" applyFont="1" applyFill="1" applyBorder="1" applyAlignment="1">
      <alignment horizontal="center"/>
    </xf>
    <xf numFmtId="170" fontId="0" fillId="12" borderId="28" xfId="0" applyNumberFormat="1" applyFill="1" applyBorder="1"/>
    <xf numFmtId="3" fontId="23" fillId="12" borderId="17" xfId="0" applyNumberFormat="1" applyFont="1" applyFill="1" applyBorder="1" applyAlignment="1">
      <alignment horizontal="right"/>
    </xf>
    <xf numFmtId="0" fontId="0" fillId="24" borderId="23" xfId="0" applyFill="1" applyBorder="1"/>
    <xf numFmtId="3" fontId="23" fillId="12" borderId="11" xfId="0" applyNumberFormat="1" applyFont="1" applyFill="1" applyBorder="1" applyAlignment="1">
      <alignment horizontal="left"/>
    </xf>
    <xf numFmtId="0" fontId="0" fillId="12" borderId="14" xfId="0" applyFill="1" applyBorder="1" applyAlignment="1">
      <alignment horizontal="right"/>
    </xf>
    <xf numFmtId="0" fontId="18" fillId="15" borderId="8" xfId="0" applyFont="1" applyFill="1" applyBorder="1" applyAlignment="1">
      <alignment horizontal="center"/>
    </xf>
    <xf numFmtId="170" fontId="0" fillId="12" borderId="0" xfId="0" applyNumberFormat="1" applyFill="1"/>
    <xf numFmtId="170" fontId="10" fillId="12" borderId="0" xfId="0" applyNumberFormat="1" applyFont="1" applyFill="1"/>
    <xf numFmtId="3" fontId="23" fillId="21" borderId="10" xfId="0" applyNumberFormat="1" applyFont="1" applyFill="1" applyBorder="1" applyAlignment="1">
      <alignment horizontal="left"/>
    </xf>
    <xf numFmtId="171" fontId="38" fillId="12" borderId="10" xfId="0" applyNumberFormat="1" applyFont="1" applyFill="1" applyBorder="1" applyAlignment="1">
      <alignment horizontal="center"/>
    </xf>
    <xf numFmtId="9" fontId="3" fillId="12" borderId="10" xfId="0" applyNumberFormat="1" applyFont="1" applyFill="1" applyBorder="1" applyAlignment="1">
      <alignment horizontal="left"/>
    </xf>
    <xf numFmtId="9" fontId="22" fillId="12" borderId="10" xfId="0" applyNumberFormat="1" applyFont="1" applyFill="1" applyBorder="1" applyAlignment="1">
      <alignment horizontal="left"/>
    </xf>
    <xf numFmtId="9" fontId="3" fillId="12" borderId="13" xfId="0" applyNumberFormat="1" applyFont="1" applyFill="1" applyBorder="1" applyAlignment="1">
      <alignment horizontal="left"/>
    </xf>
    <xf numFmtId="0" fontId="8" fillId="12" borderId="18" xfId="0" applyFont="1" applyFill="1" applyBorder="1" applyAlignment="1">
      <alignment horizontal="right"/>
    </xf>
    <xf numFmtId="9" fontId="22" fillId="12" borderId="14" xfId="0" applyNumberFormat="1" applyFont="1" applyFill="1" applyBorder="1" applyAlignment="1">
      <alignment horizontal="left"/>
    </xf>
    <xf numFmtId="170" fontId="0" fillId="12" borderId="18" xfId="0" applyNumberFormat="1" applyFill="1" applyBorder="1"/>
    <xf numFmtId="9" fontId="42" fillId="12" borderId="12" xfId="0" applyNumberFormat="1" applyFont="1" applyFill="1" applyBorder="1" applyAlignment="1">
      <alignment horizontal="center"/>
    </xf>
    <xf numFmtId="3" fontId="3" fillId="12" borderId="12" xfId="0" applyNumberFormat="1" applyFont="1" applyFill="1" applyBorder="1"/>
    <xf numFmtId="9" fontId="3" fillId="12" borderId="12" xfId="0" applyNumberFormat="1" applyFont="1" applyFill="1" applyBorder="1" applyAlignment="1">
      <alignment horizontal="center" vertical="center"/>
    </xf>
    <xf numFmtId="9" fontId="42" fillId="12" borderId="16" xfId="0" applyNumberFormat="1" applyFont="1" applyFill="1" applyBorder="1" applyAlignment="1">
      <alignment horizontal="center"/>
    </xf>
    <xf numFmtId="170" fontId="0" fillId="2" borderId="0" xfId="0" applyNumberFormat="1" applyFill="1"/>
    <xf numFmtId="3" fontId="23" fillId="12" borderId="0" xfId="0" applyNumberFormat="1" applyFont="1" applyFill="1" applyAlignment="1">
      <alignment horizontal="right"/>
    </xf>
    <xf numFmtId="170" fontId="20" fillId="11" borderId="10" xfId="0" applyNumberFormat="1" applyFont="1" applyFill="1" applyBorder="1"/>
    <xf numFmtId="0" fontId="8" fillId="12" borderId="16" xfId="0" applyFont="1" applyFill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55" fillId="0" borderId="0" xfId="0" applyFont="1"/>
    <xf numFmtId="9" fontId="22" fillId="12" borderId="13" xfId="0" applyNumberFormat="1" applyFont="1" applyFill="1" applyBorder="1" applyAlignment="1">
      <alignment horizontal="left"/>
    </xf>
    <xf numFmtId="0" fontId="10" fillId="10" borderId="0" xfId="0" applyFont="1" applyFill="1"/>
    <xf numFmtId="0" fontId="10" fillId="10" borderId="12" xfId="0" applyFont="1" applyFill="1" applyBorder="1"/>
    <xf numFmtId="0" fontId="3" fillId="10" borderId="10" xfId="0" applyFont="1" applyFill="1" applyBorder="1" applyAlignment="1">
      <alignment horizontal="right"/>
    </xf>
    <xf numFmtId="0" fontId="58" fillId="10" borderId="10" xfId="0" applyFont="1" applyFill="1" applyBorder="1"/>
    <xf numFmtId="0" fontId="23" fillId="10" borderId="12" xfId="0" applyFont="1" applyFill="1" applyBorder="1" applyAlignment="1">
      <alignment horizontal="right"/>
    </xf>
    <xf numFmtId="0" fontId="10" fillId="10" borderId="11" xfId="0" applyFont="1" applyFill="1" applyBorder="1"/>
    <xf numFmtId="0" fontId="10" fillId="10" borderId="11" xfId="0" applyFont="1" applyFill="1" applyBorder="1" applyAlignment="1">
      <alignment horizontal="right"/>
    </xf>
    <xf numFmtId="0" fontId="10" fillId="10" borderId="10" xfId="0" applyFont="1" applyFill="1" applyBorder="1" applyAlignment="1">
      <alignment horizontal="right"/>
    </xf>
    <xf numFmtId="0" fontId="51" fillId="10" borderId="0" xfId="0" applyFont="1" applyFill="1"/>
    <xf numFmtId="0" fontId="3" fillId="10" borderId="14" xfId="0" applyFont="1" applyFill="1" applyBorder="1" applyAlignment="1">
      <alignment horizontal="right"/>
    </xf>
    <xf numFmtId="0" fontId="29" fillId="10" borderId="0" xfId="0" applyFont="1" applyFill="1"/>
    <xf numFmtId="171" fontId="22" fillId="12" borderId="10" xfId="0" applyNumberFormat="1" applyFont="1" applyFill="1" applyBorder="1" applyAlignment="1">
      <alignment horizontal="center"/>
    </xf>
    <xf numFmtId="170" fontId="20" fillId="18" borderId="10" xfId="0" applyNumberFormat="1" applyFont="1" applyFill="1" applyBorder="1"/>
    <xf numFmtId="0" fontId="3" fillId="12" borderId="13" xfId="0" applyFont="1" applyFill="1" applyBorder="1" applyAlignment="1">
      <alignment horizontal="right" wrapText="1"/>
    </xf>
    <xf numFmtId="0" fontId="8" fillId="0" borderId="10" xfId="0" applyFont="1" applyBorder="1" applyAlignment="1">
      <alignment horizontal="center"/>
    </xf>
    <xf numFmtId="0" fontId="8" fillId="0" borderId="12" xfId="0" applyFont="1" applyBorder="1"/>
    <xf numFmtId="170" fontId="3" fillId="12" borderId="13" xfId="0" applyNumberFormat="1" applyFont="1" applyFill="1" applyBorder="1" applyAlignment="1">
      <alignment horizontal="right" wrapText="1"/>
    </xf>
    <xf numFmtId="14" fontId="61" fillId="19" borderId="10" xfId="0" applyNumberFormat="1" applyFont="1" applyFill="1" applyBorder="1"/>
    <xf numFmtId="0" fontId="62" fillId="19" borderId="10" xfId="0" applyFont="1" applyFill="1" applyBorder="1" applyAlignment="1">
      <alignment horizontal="center"/>
    </xf>
    <xf numFmtId="0" fontId="62" fillId="19" borderId="13" xfId="0" applyFont="1" applyFill="1" applyBorder="1" applyAlignment="1">
      <alignment horizontal="left"/>
    </xf>
    <xf numFmtId="0" fontId="62" fillId="19" borderId="12" xfId="0" applyFont="1" applyFill="1" applyBorder="1"/>
    <xf numFmtId="167" fontId="62" fillId="19" borderId="10" xfId="0" applyNumberFormat="1" applyFont="1" applyFill="1" applyBorder="1" applyAlignment="1">
      <alignment horizontal="center"/>
    </xf>
    <xf numFmtId="0" fontId="62" fillId="19" borderId="24" xfId="0" applyFont="1" applyFill="1" applyBorder="1" applyAlignment="1">
      <alignment horizontal="left"/>
    </xf>
    <xf numFmtId="167" fontId="62" fillId="19" borderId="12" xfId="0" applyNumberFormat="1" applyFont="1" applyFill="1" applyBorder="1" applyAlignment="1">
      <alignment horizontal="center"/>
    </xf>
    <xf numFmtId="0" fontId="62" fillId="19" borderId="12" xfId="0" applyFont="1" applyFill="1" applyBorder="1" applyAlignment="1">
      <alignment horizontal="center"/>
    </xf>
    <xf numFmtId="168" fontId="62" fillId="12" borderId="14" xfId="0" applyNumberFormat="1" applyFont="1" applyFill="1" applyBorder="1" applyAlignment="1">
      <alignment horizontal="right"/>
    </xf>
    <xf numFmtId="0" fontId="62" fillId="12" borderId="14" xfId="0" applyFont="1" applyFill="1" applyBorder="1" applyAlignment="1">
      <alignment horizontal="center"/>
    </xf>
    <xf numFmtId="0" fontId="61" fillId="0" borderId="10" xfId="0" applyFont="1" applyBorder="1"/>
    <xf numFmtId="0" fontId="62" fillId="12" borderId="10" xfId="0" applyFont="1" applyFill="1" applyBorder="1"/>
    <xf numFmtId="167" fontId="62" fillId="12" borderId="10" xfId="0" applyNumberFormat="1" applyFont="1" applyFill="1" applyBorder="1" applyAlignment="1">
      <alignment horizontal="center"/>
    </xf>
    <xf numFmtId="0" fontId="62" fillId="12" borderId="10" xfId="0" applyFont="1" applyFill="1" applyBorder="1" applyAlignment="1">
      <alignment horizontal="center"/>
    </xf>
    <xf numFmtId="168" fontId="62" fillId="12" borderId="10" xfId="0" applyNumberFormat="1" applyFont="1" applyFill="1" applyBorder="1" applyAlignment="1">
      <alignment horizontal="right"/>
    </xf>
    <xf numFmtId="0" fontId="62" fillId="0" borderId="1" xfId="0" applyFont="1" applyBorder="1"/>
    <xf numFmtId="0" fontId="62" fillId="0" borderId="7" xfId="0" applyFont="1" applyBorder="1"/>
    <xf numFmtId="14" fontId="61" fillId="12" borderId="14" xfId="0" applyNumberFormat="1" applyFont="1" applyFill="1" applyBorder="1"/>
    <xf numFmtId="0" fontId="62" fillId="12" borderId="24" xfId="0" applyFont="1" applyFill="1" applyBorder="1" applyAlignment="1">
      <alignment horizontal="left"/>
    </xf>
    <xf numFmtId="0" fontId="62" fillId="12" borderId="12" xfId="0" applyFont="1" applyFill="1" applyBorder="1"/>
    <xf numFmtId="167" fontId="62" fillId="12" borderId="12" xfId="0" applyNumberFormat="1" applyFont="1" applyFill="1" applyBorder="1" applyAlignment="1">
      <alignment horizontal="center"/>
    </xf>
    <xf numFmtId="0" fontId="62" fillId="12" borderId="12" xfId="0" applyFont="1" applyFill="1" applyBorder="1" applyAlignment="1">
      <alignment horizontal="center"/>
    </xf>
    <xf numFmtId="0" fontId="62" fillId="11" borderId="10" xfId="0" applyFont="1" applyFill="1" applyBorder="1" applyAlignment="1">
      <alignment horizontal="center"/>
    </xf>
    <xf numFmtId="0" fontId="62" fillId="0" borderId="0" xfId="0" applyFont="1"/>
    <xf numFmtId="0" fontId="61" fillId="12" borderId="10" xfId="0" applyFont="1" applyFill="1" applyBorder="1"/>
    <xf numFmtId="0" fontId="62" fillId="0" borderId="10" xfId="0" applyFont="1" applyBorder="1"/>
    <xf numFmtId="168" fontId="62" fillId="12" borderId="12" xfId="0" applyNumberFormat="1" applyFont="1" applyFill="1" applyBorder="1" applyAlignment="1">
      <alignment horizontal="right"/>
    </xf>
    <xf numFmtId="0" fontId="62" fillId="12" borderId="13" xfId="0" applyFont="1" applyFill="1" applyBorder="1"/>
    <xf numFmtId="0" fontId="61" fillId="0" borderId="12" xfId="0" applyFont="1" applyBorder="1"/>
    <xf numFmtId="0" fontId="60" fillId="0" borderId="5" xfId="0" applyFont="1" applyBorder="1"/>
    <xf numFmtId="0" fontId="59" fillId="0" borderId="10" xfId="0" applyFont="1" applyBorder="1"/>
    <xf numFmtId="0" fontId="59" fillId="0" borderId="9" xfId="0" applyFont="1" applyBorder="1"/>
    <xf numFmtId="0" fontId="59" fillId="26" borderId="10" xfId="0" applyFont="1" applyFill="1" applyBorder="1"/>
    <xf numFmtId="0" fontId="60" fillId="0" borderId="10" xfId="0" applyFont="1" applyBorder="1"/>
    <xf numFmtId="168" fontId="2" fillId="19" borderId="10" xfId="0" applyNumberFormat="1" applyFont="1" applyFill="1" applyBorder="1" applyAlignment="1">
      <alignment horizontal="left"/>
    </xf>
    <xf numFmtId="168" fontId="2" fillId="12" borderId="21" xfId="0" applyNumberFormat="1" applyFont="1" applyFill="1" applyBorder="1" applyAlignment="1">
      <alignment horizontal="right"/>
    </xf>
    <xf numFmtId="0" fontId="59" fillId="0" borderId="12" xfId="0" applyFont="1" applyBorder="1"/>
    <xf numFmtId="0" fontId="60" fillId="0" borderId="12" xfId="0" applyFont="1" applyBorder="1"/>
    <xf numFmtId="3" fontId="23" fillId="12" borderId="16" xfId="0" applyNumberFormat="1" applyFont="1" applyFill="1" applyBorder="1" applyAlignment="1">
      <alignment horizontal="left"/>
    </xf>
    <xf numFmtId="3" fontId="23" fillId="12" borderId="11" xfId="0" applyNumberFormat="1" applyFont="1" applyFill="1" applyBorder="1" applyAlignment="1">
      <alignment horizontal="right"/>
    </xf>
    <xf numFmtId="0" fontId="56" fillId="27" borderId="10" xfId="0" applyFont="1" applyFill="1" applyBorder="1" applyAlignment="1">
      <alignment wrapText="1"/>
    </xf>
    <xf numFmtId="0" fontId="0" fillId="0" borderId="10" xfId="0" applyBorder="1"/>
    <xf numFmtId="0" fontId="60" fillId="0" borderId="31" xfId="0" applyFont="1" applyBorder="1"/>
    <xf numFmtId="0" fontId="62" fillId="11" borderId="14" xfId="0" applyFont="1" applyFill="1" applyBorder="1" applyAlignment="1">
      <alignment horizontal="center"/>
    </xf>
    <xf numFmtId="168" fontId="2" fillId="19" borderId="12" xfId="0" applyNumberFormat="1" applyFont="1" applyFill="1" applyBorder="1" applyAlignment="1">
      <alignment horizontal="center"/>
    </xf>
    <xf numFmtId="0" fontId="2" fillId="12" borderId="17" xfId="0" applyFont="1" applyFill="1" applyBorder="1"/>
    <xf numFmtId="0" fontId="56" fillId="27" borderId="32" xfId="0" applyFont="1" applyFill="1" applyBorder="1" applyAlignment="1">
      <alignment wrapText="1"/>
    </xf>
    <xf numFmtId="0" fontId="62" fillId="0" borderId="12" xfId="0" applyFont="1" applyBorder="1"/>
    <xf numFmtId="0" fontId="15" fillId="11" borderId="12" xfId="0" applyFont="1" applyFill="1" applyBorder="1" applyAlignment="1">
      <alignment horizontal="center"/>
    </xf>
    <xf numFmtId="0" fontId="48" fillId="11" borderId="12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3" fontId="23" fillId="12" borderId="18" xfId="0" applyNumberFormat="1" applyFont="1" applyFill="1" applyBorder="1" applyAlignment="1">
      <alignment horizontal="right"/>
    </xf>
    <xf numFmtId="3" fontId="23" fillId="21" borderId="11" xfId="0" applyNumberFormat="1" applyFont="1" applyFill="1" applyBorder="1" applyAlignment="1">
      <alignment horizontal="left"/>
    </xf>
    <xf numFmtId="0" fontId="8" fillId="21" borderId="10" xfId="0" applyFont="1" applyFill="1" applyBorder="1"/>
    <xf numFmtId="3" fontId="23" fillId="12" borderId="13" xfId="0" applyNumberFormat="1" applyFont="1" applyFill="1" applyBorder="1" applyAlignment="1">
      <alignment horizontal="left"/>
    </xf>
    <xf numFmtId="0" fontId="0" fillId="21" borderId="13" xfId="0" applyFill="1" applyBorder="1"/>
    <xf numFmtId="0" fontId="3" fillId="12" borderId="17" xfId="0" applyFont="1" applyFill="1" applyBorder="1" applyAlignment="1">
      <alignment wrapText="1"/>
    </xf>
    <xf numFmtId="9" fontId="3" fillId="11" borderId="16" xfId="0" applyNumberFormat="1" applyFont="1" applyFill="1" applyBorder="1" applyAlignment="1">
      <alignment horizontal="center"/>
    </xf>
    <xf numFmtId="9" fontId="3" fillId="21" borderId="13" xfId="0" applyNumberFormat="1" applyFont="1" applyFill="1" applyBorder="1" applyAlignment="1">
      <alignment horizontal="center"/>
    </xf>
    <xf numFmtId="0" fontId="3" fillId="21" borderId="10" xfId="0" applyFont="1" applyFill="1" applyBorder="1"/>
    <xf numFmtId="170" fontId="63" fillId="2" borderId="10" xfId="0" applyNumberFormat="1" applyFont="1" applyFill="1" applyBorder="1"/>
    <xf numFmtId="0" fontId="8" fillId="0" borderId="14" xfId="0" applyFont="1" applyBorder="1"/>
    <xf numFmtId="171" fontId="38" fillId="12" borderId="24" xfId="0" applyNumberFormat="1" applyFont="1" applyFill="1" applyBorder="1" applyAlignment="1">
      <alignment horizontal="center"/>
    </xf>
    <xf numFmtId="170" fontId="63" fillId="2" borderId="13" xfId="0" applyNumberFormat="1" applyFont="1" applyFill="1" applyBorder="1"/>
    <xf numFmtId="170" fontId="0" fillId="2" borderId="12" xfId="0" applyNumberFormat="1" applyFill="1" applyBorder="1"/>
    <xf numFmtId="0" fontId="0" fillId="12" borderId="19" xfId="0" applyFill="1" applyBorder="1"/>
    <xf numFmtId="170" fontId="0" fillId="2" borderId="13" xfId="0" applyNumberFormat="1" applyFill="1" applyBorder="1"/>
    <xf numFmtId="170" fontId="29" fillId="12" borderId="14" xfId="0" applyNumberFormat="1" applyFont="1" applyFill="1" applyBorder="1"/>
    <xf numFmtId="0" fontId="8" fillId="0" borderId="11" xfId="0" applyFont="1" applyBorder="1" applyAlignment="1">
      <alignment horizontal="right"/>
    </xf>
    <xf numFmtId="9" fontId="22" fillId="18" borderId="10" xfId="0" applyNumberFormat="1" applyFont="1" applyFill="1" applyBorder="1" applyAlignment="1">
      <alignment horizontal="center"/>
    </xf>
    <xf numFmtId="170" fontId="29" fillId="18" borderId="14" xfId="0" applyNumberFormat="1" applyFont="1" applyFill="1" applyBorder="1"/>
    <xf numFmtId="3" fontId="29" fillId="18" borderId="11" xfId="0" applyNumberFormat="1" applyFont="1" applyFill="1" applyBorder="1"/>
    <xf numFmtId="170" fontId="63" fillId="18" borderId="10" xfId="0" applyNumberFormat="1" applyFont="1" applyFill="1" applyBorder="1"/>
    <xf numFmtId="3" fontId="63" fillId="18" borderId="10" xfId="0" applyNumberFormat="1" applyFont="1" applyFill="1" applyBorder="1"/>
    <xf numFmtId="3" fontId="0" fillId="0" borderId="10" xfId="0" applyNumberFormat="1" applyBorder="1" applyAlignment="1">
      <alignment horizontal="right"/>
    </xf>
    <xf numFmtId="0" fontId="56" fillId="12" borderId="10" xfId="0" applyFont="1" applyFill="1" applyBorder="1" applyAlignment="1">
      <alignment wrapText="1"/>
    </xf>
    <xf numFmtId="0" fontId="64" fillId="11" borderId="10" xfId="0" applyFont="1" applyFill="1" applyBorder="1" applyAlignment="1">
      <alignment horizontal="center"/>
    </xf>
    <xf numFmtId="0" fontId="12" fillId="12" borderId="17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8" fillId="18" borderId="10" xfId="0" applyFont="1" applyFill="1" applyBorder="1" applyAlignment="1">
      <alignment horizontal="center"/>
    </xf>
    <xf numFmtId="170" fontId="0" fillId="0" borderId="10" xfId="0" applyNumberFormat="1" applyBorder="1"/>
    <xf numFmtId="0" fontId="3" fillId="25" borderId="10" xfId="0" applyFont="1" applyFill="1" applyBorder="1"/>
    <xf numFmtId="0" fontId="56" fillId="12" borderId="14" xfId="0" applyFont="1" applyFill="1" applyBorder="1"/>
    <xf numFmtId="14" fontId="0" fillId="2" borderId="10" xfId="0" applyNumberFormat="1" applyFill="1" applyBorder="1"/>
    <xf numFmtId="0" fontId="8" fillId="12" borderId="10" xfId="0" applyFont="1" applyFill="1" applyBorder="1" applyAlignment="1">
      <alignment horizontal="center"/>
    </xf>
    <xf numFmtId="0" fontId="56" fillId="12" borderId="0" xfId="0" applyFont="1" applyFill="1"/>
    <xf numFmtId="3" fontId="23" fillId="10" borderId="10" xfId="0" applyNumberFormat="1" applyFont="1" applyFill="1" applyBorder="1" applyAlignment="1">
      <alignment horizontal="left"/>
    </xf>
    <xf numFmtId="0" fontId="8" fillId="11" borderId="21" xfId="0" applyFont="1" applyFill="1" applyBorder="1"/>
    <xf numFmtId="167" fontId="12" fillId="12" borderId="24" xfId="0" applyNumberFormat="1" applyFont="1" applyFill="1" applyBorder="1" applyAlignment="1">
      <alignment horizontal="center"/>
    </xf>
    <xf numFmtId="14" fontId="0" fillId="2" borderId="10" xfId="0" applyNumberFormat="1" applyFill="1" applyBorder="1" applyAlignment="1">
      <alignment horizontal="right"/>
    </xf>
    <xf numFmtId="167" fontId="12" fillId="12" borderId="25" xfId="0" applyNumberFormat="1" applyFont="1" applyFill="1" applyBorder="1" applyAlignment="1">
      <alignment horizontal="center"/>
    </xf>
    <xf numFmtId="0" fontId="12" fillId="12" borderId="25" xfId="0" applyFont="1" applyFill="1" applyBorder="1" applyAlignment="1">
      <alignment horizontal="center"/>
    </xf>
    <xf numFmtId="14" fontId="0" fillId="2" borderId="12" xfId="0" applyNumberFormat="1" applyFill="1" applyBorder="1"/>
    <xf numFmtId="9" fontId="0" fillId="12" borderId="12" xfId="0" applyNumberFormat="1" applyFill="1" applyBorder="1" applyAlignment="1">
      <alignment horizontal="center"/>
    </xf>
    <xf numFmtId="0" fontId="65" fillId="0" borderId="0" xfId="0" applyFont="1"/>
    <xf numFmtId="9" fontId="0" fillId="11" borderId="10" xfId="0" applyNumberFormat="1" applyFill="1" applyBorder="1" applyAlignment="1">
      <alignment horizontal="center"/>
    </xf>
    <xf numFmtId="0" fontId="8" fillId="28" borderId="10" xfId="0" applyFont="1" applyFill="1" applyBorder="1" applyAlignment="1">
      <alignment horizontal="center"/>
    </xf>
    <xf numFmtId="9" fontId="3" fillId="28" borderId="10" xfId="0" applyNumberFormat="1" applyFont="1" applyFill="1" applyBorder="1" applyAlignment="1">
      <alignment horizontal="center"/>
    </xf>
    <xf numFmtId="0" fontId="0" fillId="28" borderId="10" xfId="0" applyFill="1" applyBorder="1"/>
    <xf numFmtId="9" fontId="0" fillId="28" borderId="10" xfId="0" applyNumberFormat="1" applyFill="1" applyBorder="1" applyAlignment="1">
      <alignment horizontal="center"/>
    </xf>
    <xf numFmtId="9" fontId="22" fillId="11" borderId="18" xfId="0" applyNumberFormat="1" applyFont="1" applyFill="1" applyBorder="1" applyAlignment="1">
      <alignment horizontal="center"/>
    </xf>
    <xf numFmtId="3" fontId="23" fillId="12" borderId="17" xfId="0" applyNumberFormat="1" applyFont="1" applyFill="1" applyBorder="1" applyAlignment="1">
      <alignment horizontal="left"/>
    </xf>
    <xf numFmtId="3" fontId="23" fillId="12" borderId="18" xfId="0" applyNumberFormat="1" applyFont="1" applyFill="1" applyBorder="1" applyAlignment="1">
      <alignment horizontal="left"/>
    </xf>
    <xf numFmtId="170" fontId="0" fillId="2" borderId="19" xfId="0" applyNumberFormat="1" applyFill="1" applyBorder="1"/>
    <xf numFmtId="14" fontId="0" fillId="2" borderId="12" xfId="0" applyNumberFormat="1" applyFill="1" applyBorder="1" applyAlignment="1">
      <alignment horizontal="right"/>
    </xf>
    <xf numFmtId="0" fontId="0" fillId="0" borderId="14" xfId="0" applyBorder="1"/>
    <xf numFmtId="0" fontId="64" fillId="11" borderId="17" xfId="0" applyFont="1" applyFill="1" applyBorder="1" applyAlignment="1">
      <alignment horizontal="center"/>
    </xf>
    <xf numFmtId="0" fontId="0" fillId="12" borderId="28" xfId="0" applyFill="1" applyBorder="1"/>
    <xf numFmtId="170" fontId="3" fillId="12" borderId="14" xfId="0" applyNumberFormat="1" applyFont="1" applyFill="1" applyBorder="1" applyAlignment="1">
      <alignment horizontal="right" wrapText="1"/>
    </xf>
    <xf numFmtId="0" fontId="8" fillId="12" borderId="24" xfId="0" applyFont="1" applyFill="1" applyBorder="1"/>
    <xf numFmtId="0" fontId="8" fillId="12" borderId="17" xfId="0" applyFont="1" applyFill="1" applyBorder="1"/>
    <xf numFmtId="0" fontId="22" fillId="12" borderId="19" xfId="0" applyFont="1" applyFill="1" applyBorder="1"/>
    <xf numFmtId="3" fontId="48" fillId="11" borderId="10" xfId="0" applyNumberFormat="1" applyFont="1" applyFill="1" applyBorder="1" applyAlignment="1">
      <alignment horizontal="right"/>
    </xf>
    <xf numFmtId="0" fontId="66" fillId="0" borderId="10" xfId="0" applyFont="1" applyBorder="1"/>
    <xf numFmtId="0" fontId="66" fillId="27" borderId="10" xfId="0" applyFont="1" applyFill="1" applyBorder="1" applyAlignment="1">
      <alignment wrapText="1"/>
    </xf>
    <xf numFmtId="167" fontId="12" fillId="12" borderId="10" xfId="0" applyNumberFormat="1" applyFont="1" applyFill="1" applyBorder="1" applyAlignment="1">
      <alignment horizontal="right"/>
    </xf>
    <xf numFmtId="165" fontId="18" fillId="3" borderId="10" xfId="0" applyNumberFormat="1" applyFont="1" applyFill="1" applyBorder="1" applyAlignment="1">
      <alignment horizontal="center"/>
    </xf>
    <xf numFmtId="165" fontId="18" fillId="22" borderId="10" xfId="0" applyNumberFormat="1" applyFont="1" applyFill="1" applyBorder="1" applyAlignment="1">
      <alignment horizontal="center"/>
    </xf>
    <xf numFmtId="165" fontId="18" fillId="21" borderId="10" xfId="0" applyNumberFormat="1" applyFont="1" applyFill="1" applyBorder="1" applyAlignment="1">
      <alignment horizontal="center"/>
    </xf>
    <xf numFmtId="167" fontId="12" fillId="12" borderId="13" xfId="0" applyNumberFormat="1" applyFont="1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66" fillId="0" borderId="12" xfId="0" applyFont="1" applyBorder="1"/>
    <xf numFmtId="0" fontId="0" fillId="2" borderId="24" xfId="0" applyFill="1" applyBorder="1"/>
    <xf numFmtId="165" fontId="18" fillId="22" borderId="10" xfId="0" applyNumberFormat="1" applyFont="1" applyFill="1" applyBorder="1" applyAlignment="1">
      <alignment horizontal="center" wrapText="1"/>
    </xf>
    <xf numFmtId="0" fontId="0" fillId="2" borderId="17" xfId="0" applyFill="1" applyBorder="1"/>
    <xf numFmtId="0" fontId="18" fillId="15" borderId="16" xfId="0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9" fontId="0" fillId="12" borderId="14" xfId="0" applyNumberForma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67" fillId="12" borderId="10" xfId="1" applyFill="1" applyBorder="1"/>
    <xf numFmtId="0" fontId="67" fillId="0" borderId="10" xfId="1" applyBorder="1"/>
    <xf numFmtId="14" fontId="0" fillId="2" borderId="11" xfId="0" applyNumberFormat="1" applyFill="1" applyBorder="1"/>
    <xf numFmtId="14" fontId="0" fillId="2" borderId="11" xfId="0" applyNumberFormat="1" applyFill="1" applyBorder="1" applyAlignment="1">
      <alignment horizontal="right"/>
    </xf>
    <xf numFmtId="167" fontId="12" fillId="12" borderId="24" xfId="0" applyNumberFormat="1" applyFont="1" applyFill="1" applyBorder="1" applyAlignment="1">
      <alignment horizontal="right"/>
    </xf>
    <xf numFmtId="0" fontId="8" fillId="10" borderId="10" xfId="0" applyFont="1" applyFill="1" applyBorder="1" applyAlignment="1">
      <alignment horizontal="center"/>
    </xf>
    <xf numFmtId="165" fontId="20" fillId="10" borderId="10" xfId="0" applyNumberFormat="1" applyFont="1" applyFill="1" applyBorder="1" applyAlignment="1">
      <alignment horizontal="center"/>
    </xf>
    <xf numFmtId="0" fontId="0" fillId="10" borderId="13" xfId="0" applyFill="1" applyBorder="1"/>
    <xf numFmtId="0" fontId="55" fillId="0" borderId="10" xfId="0" applyFont="1" applyBorder="1"/>
    <xf numFmtId="0" fontId="8" fillId="12" borderId="12" xfId="0" applyFont="1" applyFill="1" applyBorder="1" applyAlignment="1">
      <alignment horizontal="center"/>
    </xf>
    <xf numFmtId="0" fontId="8" fillId="18" borderId="1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2" borderId="11" xfId="0" applyFill="1" applyBorder="1" applyAlignment="1">
      <alignment horizontal="right"/>
    </xf>
    <xf numFmtId="0" fontId="0" fillId="2" borderId="18" xfId="0" applyFill="1" applyBorder="1"/>
    <xf numFmtId="0" fontId="0" fillId="10" borderId="19" xfId="0" applyFill="1" applyBorder="1"/>
    <xf numFmtId="0" fontId="0" fillId="18" borderId="11" xfId="0" applyFill="1" applyBorder="1"/>
    <xf numFmtId="0" fontId="0" fillId="2" borderId="19" xfId="0" applyFill="1" applyBorder="1"/>
    <xf numFmtId="0" fontId="8" fillId="0" borderId="13" xfId="0" applyFont="1" applyBorder="1" applyAlignment="1">
      <alignment horizontal="center"/>
    </xf>
    <xf numFmtId="3" fontId="23" fillId="11" borderId="10" xfId="0" applyNumberFormat="1" applyFont="1" applyFill="1" applyBorder="1" applyAlignment="1">
      <alignment horizontal="right"/>
    </xf>
    <xf numFmtId="9" fontId="3" fillId="12" borderId="19" xfId="0" applyNumberFormat="1" applyFont="1" applyFill="1" applyBorder="1" applyAlignment="1">
      <alignment horizontal="center"/>
    </xf>
    <xf numFmtId="3" fontId="23" fillId="12" borderId="13" xfId="0" applyNumberFormat="1" applyFont="1" applyFill="1" applyBorder="1" applyAlignment="1">
      <alignment horizontal="right" wrapText="1"/>
    </xf>
    <xf numFmtId="9" fontId="22" fillId="12" borderId="19" xfId="0" applyNumberFormat="1" applyFont="1" applyFill="1" applyBorder="1" applyAlignment="1">
      <alignment horizontal="center"/>
    </xf>
    <xf numFmtId="0" fontId="0" fillId="10" borderId="24" xfId="0" applyFill="1" applyBorder="1"/>
    <xf numFmtId="9" fontId="3" fillId="18" borderId="13" xfId="0" applyNumberFormat="1" applyFont="1" applyFill="1" applyBorder="1" applyAlignment="1">
      <alignment horizontal="center"/>
    </xf>
    <xf numFmtId="165" fontId="20" fillId="12" borderId="10" xfId="0" applyNumberFormat="1" applyFont="1" applyFill="1" applyBorder="1" applyAlignment="1">
      <alignment horizontal="center"/>
    </xf>
    <xf numFmtId="170" fontId="0" fillId="11" borderId="0" xfId="0" applyNumberFormat="1" applyFill="1"/>
    <xf numFmtId="14" fontId="0" fillId="2" borderId="14" xfId="0" applyNumberFormat="1" applyFill="1" applyBorder="1"/>
    <xf numFmtId="167" fontId="12" fillId="12" borderId="14" xfId="0" applyNumberFormat="1" applyFont="1" applyFill="1" applyBorder="1" applyAlignment="1">
      <alignment horizontal="right"/>
    </xf>
    <xf numFmtId="14" fontId="0" fillId="2" borderId="21" xfId="0" applyNumberFormat="1" applyFill="1" applyBorder="1"/>
    <xf numFmtId="0" fontId="0" fillId="2" borderId="21" xfId="0" applyFill="1" applyBorder="1"/>
    <xf numFmtId="0" fontId="56" fillId="0" borderId="21" xfId="0" applyFont="1" applyBorder="1"/>
    <xf numFmtId="165" fontId="18" fillId="11" borderId="12" xfId="0" applyNumberFormat="1" applyFont="1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right"/>
    </xf>
    <xf numFmtId="0" fontId="3" fillId="28" borderId="10" xfId="0" applyFont="1" applyFill="1" applyBorder="1"/>
    <xf numFmtId="3" fontId="18" fillId="18" borderId="0" xfId="0" applyNumberFormat="1" applyFont="1" applyFill="1"/>
    <xf numFmtId="0" fontId="10" fillId="10" borderId="12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25" fillId="2" borderId="10" xfId="0" applyFont="1" applyFill="1" applyBorder="1" applyAlignment="1">
      <alignment horizontal="left" vertical="center"/>
    </xf>
    <xf numFmtId="0" fontId="18" fillId="15" borderId="8" xfId="0" applyFont="1" applyFill="1" applyBorder="1" applyAlignment="1">
      <alignment horizontal="center"/>
    </xf>
    <xf numFmtId="0" fontId="18" fillId="15" borderId="2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25" fillId="2" borderId="1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18" fillId="15" borderId="26" xfId="0" applyFont="1" applyFill="1" applyBorder="1" applyAlignment="1">
      <alignment horizontal="center"/>
    </xf>
    <xf numFmtId="0" fontId="18" fillId="15" borderId="15" xfId="0" applyFont="1" applyFill="1" applyBorder="1" applyAlignment="1">
      <alignment horizontal="center"/>
    </xf>
    <xf numFmtId="0" fontId="18" fillId="15" borderId="7" xfId="0" applyFont="1" applyFill="1" applyBorder="1" applyAlignment="1">
      <alignment horizontal="center"/>
    </xf>
    <xf numFmtId="165" fontId="18" fillId="3" borderId="10" xfId="0" applyNumberFormat="1" applyFont="1" applyFill="1" applyBorder="1" applyAlignment="1">
      <alignment horizontal="center"/>
    </xf>
    <xf numFmtId="165" fontId="18" fillId="22" borderId="10" xfId="0" applyNumberFormat="1" applyFont="1" applyFill="1" applyBorder="1" applyAlignment="1">
      <alignment horizontal="center"/>
    </xf>
    <xf numFmtId="165" fontId="18" fillId="21" borderId="10" xfId="0" applyNumberFormat="1" applyFont="1" applyFill="1" applyBorder="1" applyAlignment="1">
      <alignment horizontal="center"/>
    </xf>
    <xf numFmtId="0" fontId="25" fillId="2" borderId="24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right"/>
    </xf>
    <xf numFmtId="0" fontId="1" fillId="4" borderId="14" xfId="0" applyFont="1" applyFill="1" applyBorder="1" applyAlignment="1">
      <alignment horizontal="right"/>
    </xf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5" fillId="2" borderId="23" xfId="0" applyFont="1" applyFill="1" applyBorder="1" applyAlignment="1">
      <alignment vertical="center"/>
    </xf>
    <xf numFmtId="0" fontId="1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29" fillId="15" borderId="10" xfId="0" applyFont="1" applyFill="1" applyBorder="1" applyAlignment="1">
      <alignment horizontal="center"/>
    </xf>
    <xf numFmtId="164" fontId="29" fillId="15" borderId="10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5" fontId="18" fillId="3" borderId="15" xfId="0" applyNumberFormat="1" applyFont="1" applyFill="1" applyBorder="1" applyAlignment="1">
      <alignment horizontal="center"/>
    </xf>
    <xf numFmtId="165" fontId="18" fillId="3" borderId="6" xfId="0" applyNumberFormat="1" applyFont="1" applyFill="1" applyBorder="1" applyAlignment="1">
      <alignment horizontal="center"/>
    </xf>
    <xf numFmtId="165" fontId="18" fillId="3" borderId="4" xfId="0" applyNumberFormat="1" applyFont="1" applyFill="1" applyBorder="1" applyAlignment="1">
      <alignment horizontal="center"/>
    </xf>
    <xf numFmtId="165" fontId="18" fillId="6" borderId="2" xfId="0" applyNumberFormat="1" applyFont="1" applyFill="1" applyBorder="1" applyAlignment="1">
      <alignment horizontal="center"/>
    </xf>
    <xf numFmtId="165" fontId="18" fillId="6" borderId="20" xfId="0" applyNumberFormat="1" applyFont="1" applyFill="1" applyBorder="1" applyAlignment="1">
      <alignment horizontal="center"/>
    </xf>
    <xf numFmtId="165" fontId="18" fillId="6" borderId="5" xfId="0" applyNumberFormat="1" applyFont="1" applyFill="1" applyBorder="1" applyAlignment="1">
      <alignment horizontal="center"/>
    </xf>
    <xf numFmtId="165" fontId="18" fillId="7" borderId="2" xfId="0" applyNumberFormat="1" applyFont="1" applyFill="1" applyBorder="1" applyAlignment="1">
      <alignment horizontal="center"/>
    </xf>
    <xf numFmtId="165" fontId="18" fillId="7" borderId="20" xfId="0" applyNumberFormat="1" applyFont="1" applyFill="1" applyBorder="1" applyAlignment="1">
      <alignment horizontal="center"/>
    </xf>
    <xf numFmtId="165" fontId="18" fillId="7" borderId="5" xfId="0" applyNumberFormat="1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right"/>
    </xf>
    <xf numFmtId="0" fontId="29" fillId="5" borderId="7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5" fillId="2" borderId="2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5" fillId="2" borderId="21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left" vertical="center"/>
    </xf>
    <xf numFmtId="0" fontId="41" fillId="2" borderId="23" xfId="0" applyFont="1" applyFill="1" applyBorder="1" applyAlignment="1">
      <alignment horizontal="center"/>
    </xf>
    <xf numFmtId="0" fontId="41" fillId="2" borderId="18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2" fillId="4" borderId="14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18" fillId="6" borderId="10" xfId="0" applyNumberFormat="1" applyFont="1" applyFill="1" applyBorder="1" applyAlignment="1">
      <alignment horizontal="center"/>
    </xf>
    <xf numFmtId="165" fontId="18" fillId="7" borderId="10" xfId="0" applyNumberFormat="1" applyFont="1" applyFill="1" applyBorder="1" applyAlignment="1">
      <alignment horizontal="center"/>
    </xf>
    <xf numFmtId="0" fontId="25" fillId="2" borderId="14" xfId="0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39" fillId="2" borderId="21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40" fillId="2" borderId="23" xfId="0" applyFont="1" applyFill="1" applyBorder="1" applyAlignment="1">
      <alignment horizontal="center"/>
    </xf>
    <xf numFmtId="0" fontId="40" fillId="2" borderId="18" xfId="0" applyFont="1" applyFill="1" applyBorder="1" applyAlignment="1">
      <alignment horizontal="center"/>
    </xf>
    <xf numFmtId="0" fontId="39" fillId="2" borderId="21" xfId="0" applyFont="1" applyFill="1" applyBorder="1" applyAlignment="1">
      <alignment vertical="center"/>
    </xf>
    <xf numFmtId="0" fontId="25" fillId="2" borderId="10" xfId="0" applyFont="1" applyFill="1" applyBorder="1" applyAlignment="1">
      <alignment horizontal="center"/>
    </xf>
    <xf numFmtId="165" fontId="18" fillId="3" borderId="13" xfId="0" applyNumberFormat="1" applyFont="1" applyFill="1" applyBorder="1" applyAlignment="1">
      <alignment horizontal="center"/>
    </xf>
    <xf numFmtId="165" fontId="18" fillId="22" borderId="13" xfId="0" applyNumberFormat="1" applyFont="1" applyFill="1" applyBorder="1" applyAlignment="1">
      <alignment horizontal="center"/>
    </xf>
    <xf numFmtId="165" fontId="18" fillId="21" borderId="24" xfId="0" applyNumberFormat="1" applyFont="1" applyFill="1" applyBorder="1" applyAlignment="1">
      <alignment horizontal="center"/>
    </xf>
    <xf numFmtId="165" fontId="18" fillId="21" borderId="12" xfId="0" applyNumberFormat="1" applyFont="1" applyFill="1" applyBorder="1" applyAlignment="1">
      <alignment horizontal="center"/>
    </xf>
    <xf numFmtId="165" fontId="18" fillId="11" borderId="24" xfId="0" applyNumberFormat="1" applyFont="1" applyFill="1" applyBorder="1" applyAlignment="1">
      <alignment horizontal="center"/>
    </xf>
    <xf numFmtId="165" fontId="18" fillId="11" borderId="12" xfId="0" applyNumberFormat="1" applyFont="1" applyFill="1" applyBorder="1" applyAlignment="1">
      <alignment horizontal="center"/>
    </xf>
    <xf numFmtId="165" fontId="18" fillId="12" borderId="12" xfId="0" applyNumberFormat="1" applyFont="1" applyFill="1" applyBorder="1" applyAlignment="1">
      <alignment horizontal="center"/>
    </xf>
    <xf numFmtId="165" fontId="18" fillId="12" borderId="10" xfId="0" applyNumberFormat="1" applyFont="1" applyFill="1" applyBorder="1" applyAlignment="1">
      <alignment horizontal="center"/>
    </xf>
    <xf numFmtId="165" fontId="18" fillId="3" borderId="14" xfId="0" applyNumberFormat="1" applyFont="1" applyFill="1" applyBorder="1" applyAlignment="1">
      <alignment horizontal="center"/>
    </xf>
    <xf numFmtId="0" fontId="20" fillId="15" borderId="14" xfId="0" applyFont="1" applyFill="1" applyBorder="1" applyAlignment="1">
      <alignment horizontal="center"/>
    </xf>
    <xf numFmtId="0" fontId="20" fillId="15" borderId="10" xfId="0" applyFon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0" fillId="29" borderId="11" xfId="0" applyFill="1" applyBorder="1" applyAlignment="1">
      <alignment horizontal="center"/>
    </xf>
    <xf numFmtId="0" fontId="19" fillId="15" borderId="10" xfId="0" applyFon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20" fillId="15" borderId="11" xfId="0" applyFont="1" applyFill="1" applyBorder="1" applyAlignment="1">
      <alignment horizontal="center"/>
    </xf>
    <xf numFmtId="0" fontId="20" fillId="15" borderId="19" xfId="0" applyFont="1" applyFill="1" applyBorder="1" applyAlignment="1">
      <alignment horizontal="center"/>
    </xf>
    <xf numFmtId="0" fontId="21" fillId="15" borderId="10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20" fillId="15" borderId="23" xfId="0" applyFont="1" applyFill="1" applyBorder="1" applyAlignment="1">
      <alignment horizontal="center"/>
    </xf>
    <xf numFmtId="0" fontId="20" fillId="15" borderId="0" xfId="0" applyFont="1" applyFill="1" applyAlignment="1">
      <alignment horizontal="center"/>
    </xf>
    <xf numFmtId="0" fontId="19" fillId="15" borderId="23" xfId="0" applyFont="1" applyFill="1" applyBorder="1" applyAlignment="1">
      <alignment horizontal="center"/>
    </xf>
    <xf numFmtId="0" fontId="19" fillId="15" borderId="0" xfId="0" applyFont="1" applyFill="1" applyAlignment="1">
      <alignment horizontal="center"/>
    </xf>
    <xf numFmtId="0" fontId="19" fillId="12" borderId="11" xfId="0" applyFont="1" applyFill="1" applyBorder="1" applyAlignment="1">
      <alignment horizontal="center"/>
    </xf>
    <xf numFmtId="0" fontId="19" fillId="12" borderId="19" xfId="0" applyFont="1" applyFill="1" applyBorder="1" applyAlignment="1">
      <alignment horizontal="center"/>
    </xf>
    <xf numFmtId="0" fontId="19" fillId="12" borderId="13" xfId="0" applyFont="1" applyFill="1" applyBorder="1" applyAlignment="1">
      <alignment horizontal="center"/>
    </xf>
    <xf numFmtId="0" fontId="19" fillId="15" borderId="12" xfId="0" applyFont="1" applyFill="1" applyBorder="1" applyAlignment="1">
      <alignment horizontal="center"/>
    </xf>
    <xf numFmtId="0" fontId="3" fillId="17" borderId="11" xfId="0" applyFont="1" applyFill="1" applyBorder="1" applyAlignment="1">
      <alignment horizontal="center"/>
    </xf>
    <xf numFmtId="0" fontId="3" fillId="17" borderId="19" xfId="0" applyFont="1" applyFill="1" applyBorder="1" applyAlignment="1">
      <alignment horizontal="center"/>
    </xf>
    <xf numFmtId="0" fontId="3" fillId="17" borderId="18" xfId="0" applyFont="1" applyFill="1" applyBorder="1" applyAlignment="1">
      <alignment horizontal="center"/>
    </xf>
    <xf numFmtId="0" fontId="3" fillId="17" borderId="27" xfId="0" applyFont="1" applyFill="1" applyBorder="1" applyAlignment="1">
      <alignment horizontal="center"/>
    </xf>
    <xf numFmtId="0" fontId="3" fillId="25" borderId="10" xfId="0" applyFont="1" applyFill="1" applyBorder="1" applyAlignment="1">
      <alignment horizontal="center"/>
    </xf>
    <xf numFmtId="0" fontId="0" fillId="25" borderId="10" xfId="0" applyFill="1" applyBorder="1" applyAlignment="1">
      <alignment horizontal="center"/>
    </xf>
    <xf numFmtId="0" fontId="14" fillId="15" borderId="15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14" fillId="15" borderId="20" xfId="0" applyFont="1" applyFill="1" applyBorder="1" applyAlignment="1">
      <alignment horizontal="center"/>
    </xf>
    <xf numFmtId="0" fontId="14" fillId="15" borderId="5" xfId="0" applyFont="1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13" fillId="15" borderId="15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0" fontId="14" fillId="15" borderId="7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3" fillId="12" borderId="20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15" borderId="30" xfId="0" applyFont="1" applyFill="1" applyBorder="1" applyAlignment="1">
      <alignment horizontal="center"/>
    </xf>
    <xf numFmtId="0" fontId="8" fillId="12" borderId="10" xfId="0" applyFont="1" applyFill="1" applyBorder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2" fillId="0" borderId="10" xfId="0" applyFont="1" applyBorder="1" applyAlignment="1"/>
    <xf numFmtId="0" fontId="2" fillId="0" borderId="14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0A"/>
      <rgbColor rgb="FF808000"/>
      <rgbColor rgb="FF800080"/>
      <rgbColor rgb="FF008080"/>
      <rgbColor rgb="FFCCCCCC"/>
      <rgbColor rgb="FF777777"/>
      <rgbColor rgb="FF5B9BD5"/>
      <rgbColor rgb="FF993366"/>
      <rgbColor rgb="FFFFF2CC"/>
      <rgbColor rgb="FFCFE2F3"/>
      <rgbColor rgb="FF660066"/>
      <rgbColor rgb="FFD0E0E3"/>
      <rgbColor rgb="FF0066CC"/>
      <rgbColor rgb="FFD9D2E9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FF4F4"/>
      <rgbColor rgb="FFA4C2F4"/>
      <rgbColor rgb="FFD9D9D9"/>
      <rgbColor rgb="FFD0CECE"/>
      <rgbColor rgb="FFF4CCCC"/>
      <rgbColor rgb="FF4472C4"/>
      <rgbColor rgb="FF33CCCC"/>
      <rgbColor rgb="FF92D050"/>
      <rgbColor rgb="FFD8E4BC"/>
      <rgbColor rgb="FFFF9900"/>
      <rgbColor rgb="FFFF6600"/>
      <rgbColor rgb="FF555555"/>
      <rgbColor rgb="FFB7E1CD"/>
      <rgbColor rgb="FF003366"/>
      <rgbColor rgb="FF4A86E8"/>
      <rgbColor rgb="FF222222"/>
      <rgbColor rgb="FF232323"/>
      <rgbColor rgb="FF993300"/>
      <rgbColor rgb="FF993366"/>
      <rgbColor rgb="FF4B4B4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46E968C4-8562-4705-B331-E0AF117BCAB7}" userId="S::directoraarriendos@portadainmobiliaria.com::d25df4f4-b7a4-46be-966d-3ee9c0c18e5c" providerId="AD"/>
  <person displayName="Administración Sabaneta" id="{5F1C782B-AA79-463F-844D-1A540C8B98CF}" userId="S::administracionsabaneta@portadainmobiliaria.com::f86f0a55-da14-4333-8b3a-9cd23dd838bc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3" dT="2022-05-19T14:28:07.68" personId="{5F1C782B-AA79-463F-844D-1A540C8B98CF}" id="{940D315A-354E-44E3-97F0-AAAEB6B8760D}">
    <text xml:space="preserve">prop arrienda a un familiar </text>
  </threadedComment>
  <threadedComment ref="M523" dT="2022-07-29T20:45:14.88" personId="{46E968C4-8562-4705-B331-E0AF117BCAB7}" id="{4825B2D2-5FA3-4081-9044-641A00710795}">
    <text>SE PAGA COMO SEÑIOR, COMO SI HUBIERA CUMPLIDO AUTORIZA ANDRES M</text>
  </threadedComment>
  <threadedComment ref="M645" dT="2022-07-29T20:45:14.88" personId="{46E968C4-8562-4705-B331-E0AF117BCAB7}" id="{AD2DA600-0DD1-4F5D-AD8C-ACDD2333F167}">
    <text>SE PAGA COMO SEÑIOR, COMO SI HUBIERA CUMPLIDO AUTORIZA ANDRES M</text>
  </threadedComment>
  <threadedComment ref="D865" dT="2022-11-30T14:56:46.27" personId="{46E968C4-8562-4705-B331-E0AF117BCAB7}" id="{9939C122-B640-4D14-9CE2-16801A14AB90}">
    <text xml:space="preserve">EL CTO 15435 correspondiente a Iguazu será tomado en cuenta para meta de la sede la Estrella SUMA $4,300,000, asesores karen y Mateo </text>
  </threadedComment>
  <threadedComment ref="D868" dT="2022-11-30T14:58:13.10" personId="{46E968C4-8562-4705-B331-E0AF117BCAB7}" id="{D26E15D9-1F69-4843-B23F-3602A9DF01F4}">
    <text xml:space="preserve">META SEDE SABANETA DESCONTANDO EL NEGOCIO Q SUMA PARA LA ESTRELLA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" dT="2022-01-27T20:21:02.60" personId="{5F1C782B-AA79-463F-844D-1A540C8B98CF}" id="{677145F5-D6D6-46A4-968A-097F7D5F4DC4}">
    <text>CLIENTE POR PORTERO</text>
  </threadedComment>
  <threadedComment ref="F10" dT="2022-01-28T20:22:15.28" personId="{5F1C782B-AA79-463F-844D-1A540C8B98CF}" id="{FF3BD8EC-FC43-47AF-85EE-D8F6B5B75EDA}">
    <text>CLIENTE POR PORTERO</text>
  </threadedComment>
  <threadedComment ref="F35" dT="2022-01-28T20:12:57.70" personId="{5F1C782B-AA79-463F-844D-1A540C8B98CF}" id="{7CF13E62-8F92-4E91-9343-A08C868AEDE5}">
    <text>CLIENTE POR PORTERO</text>
  </threadedComment>
  <threadedComment ref="E102" dT="2022-02-25T17:09:38.71" personId="{5F1C782B-AA79-463F-844D-1A540C8B98CF}" id="{50892E55-DB85-4ADC-85FC-C51EFE8D3B97}">
    <text>CLIENTE POR PORTERO</text>
  </threadedComment>
  <threadedComment ref="E183" dT="2022-03-29T16:13:38.72" personId="{5F1C782B-AA79-463F-844D-1A540C8B98CF}" id="{8B484010-810A-47BE-909F-CEEA30B38027}">
    <text>CLIENTE POR PORTERO</text>
  </threadedComment>
  <threadedComment ref="E185" dT="2022-03-29T16:13:49.26" personId="{5F1C782B-AA79-463F-844D-1A540C8B98CF}" id="{E824D6E6-12A9-4B65-92CC-F10C3DDBC7E0}">
    <text>CLIENTE POR PORTERO</text>
  </threadedComment>
  <threadedComment ref="C369" dT="2022-05-19T14:28:18.03" personId="{5F1C782B-AA79-463F-844D-1A540C8B98CF}" id="{4D033EB1-1AA7-4174-9931-56891AB5FD0D}">
    <text xml:space="preserve">prop arrienda a un familiar </text>
  </threadedComment>
  <threadedComment ref="C372" dT="2022-05-02T19:04:30.27" personId="{5F1C782B-AA79-463F-844D-1A540C8B98CF}" id="{EDCDF8E5-8C87-4E7E-A3E6-2DBC3F2ECC63}">
    <text>CLIENTE NO CONTESTA</text>
  </threadedComment>
  <threadedComment ref="C390" dT="2022-05-20T15:12:03.19" personId="{5F1C782B-AA79-463F-844D-1A540C8B98CF}" id="{81FB0408-9E00-4E4A-8A19-6C260A3CC24E}">
    <text xml:space="preserve">PROP ARRIENDA </text>
  </threadedComment>
  <threadedComment ref="C411" dT="2022-05-28T15:58:14.87" personId="{5F1C782B-AA79-463F-844D-1A540C8B98CF}" id="{4A7677DC-0463-4D68-B6B2-4B532B3224A8}">
    <text>SE LIQUIDO INTERNA EN LA SEDE LA ESTRELLA</text>
  </threadedComment>
  <threadedComment ref="C462" dT="2022-05-28T15:58:14.87" personId="{5F1C782B-AA79-463F-844D-1A540C8B98CF}" id="{B3913A59-31A1-443F-A654-C9ABD72D3763}">
    <text>SE LIQUIDO INTERNA EN LA SEDE LA ESTRELLA</text>
  </threadedComment>
  <threadedComment ref="E604" dT="2022-07-29T21:07:16.22" personId="{46E968C4-8562-4705-B331-E0AF117BCAB7}" id="{1C4C0488-70E9-48E5-9A3C-35351202EB54}">
    <text>TIENE PORTERO POR CLIENTE PERO SOLO EN LA SEDE DE SABANETA ESTA AUTORIZADO BAJAR UN PUNTO CUANDO TIENE PORTERO.</text>
  </threadedComment>
  <threadedComment ref="F881" dT="2022-09-29T20:08:24.50" personId="{46E968C4-8562-4705-B331-E0AF117BCAB7}" id="{F63103AF-8BB9-42A0-AE79-98ADA98D8A13}">
    <text>Se liquida sobre los 22 Días laborados (8 días, vacaciones)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antiagoloperarango06112002@gmail.com" TargetMode="External"/><Relationship Id="rId2" Type="http://schemas.openxmlformats.org/officeDocument/2006/relationships/hyperlink" Target="mailto:karendcastro@hotmail.com" TargetMode="External"/><Relationship Id="rId1" Type="http://schemas.openxmlformats.org/officeDocument/2006/relationships/hyperlink" Target="mailto:monica.p81@hotmail.com" TargetMode="External"/><Relationship Id="rId6" Type="http://schemas.openxmlformats.org/officeDocument/2006/relationships/hyperlink" Target="mailto:levanach@hotmail.com" TargetMode="External"/><Relationship Id="rId5" Type="http://schemas.openxmlformats.org/officeDocument/2006/relationships/hyperlink" Target="mailto:pacherast@hotmail.com" TargetMode="External"/><Relationship Id="rId4" Type="http://schemas.openxmlformats.org/officeDocument/2006/relationships/hyperlink" Target="mailto:mateouribe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AMD935"/>
  <sheetViews>
    <sheetView tabSelected="1" topLeftCell="A876" zoomScaleNormal="100" workbookViewId="0">
      <selection activeCell="G888" sqref="G888"/>
    </sheetView>
  </sheetViews>
  <sheetFormatPr defaultColWidth="9.140625" defaultRowHeight="12.75"/>
  <cols>
    <col min="1" max="1" width="26.28515625" style="1" customWidth="1"/>
    <col min="2" max="2" width="19.140625" style="1" customWidth="1"/>
    <col min="3" max="3" width="21.5703125" style="1" customWidth="1"/>
    <col min="4" max="4" width="47.5703125" style="1" customWidth="1"/>
    <col min="5" max="5" width="15" style="1" customWidth="1"/>
    <col min="6" max="6" width="6.85546875" style="1" customWidth="1"/>
    <col min="7" max="7" width="17.28515625" style="1" customWidth="1"/>
    <col min="8" max="8" width="21.5703125" style="1" customWidth="1"/>
    <col min="9" max="9" width="18.42578125" style="1" customWidth="1"/>
    <col min="10" max="10" width="34.5703125" style="1" customWidth="1"/>
    <col min="11" max="11" width="20.140625" style="1" customWidth="1"/>
    <col min="12" max="12" width="9.5703125" style="1" customWidth="1"/>
    <col min="13" max="13" width="21.28515625" style="1" customWidth="1"/>
    <col min="14" max="1018" width="14.42578125" style="1" customWidth="1"/>
  </cols>
  <sheetData>
    <row r="2" spans="1:13" ht="31.5">
      <c r="A2" s="987" t="s">
        <v>0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</row>
    <row r="3" spans="1:13" ht="18" hidden="1">
      <c r="A3" s="983" t="s">
        <v>1</v>
      </c>
      <c r="B3" s="983"/>
      <c r="C3" s="983"/>
      <c r="D3" s="983"/>
      <c r="E3" s="984"/>
      <c r="F3" s="984"/>
      <c r="G3" s="984"/>
      <c r="H3" s="984"/>
      <c r="I3" s="985"/>
      <c r="J3" s="985"/>
      <c r="K3" s="985"/>
      <c r="L3" s="985"/>
      <c r="M3" s="985"/>
    </row>
    <row r="4" spans="1:13" ht="18" hidden="1">
      <c r="A4" s="102" t="s">
        <v>2</v>
      </c>
      <c r="B4" s="102" t="s">
        <v>3</v>
      </c>
      <c r="C4" s="102" t="s">
        <v>4</v>
      </c>
      <c r="D4" s="102" t="s">
        <v>5</v>
      </c>
      <c r="E4" s="103" t="s">
        <v>6</v>
      </c>
      <c r="F4" s="103" t="s">
        <v>7</v>
      </c>
      <c r="G4" s="103" t="s">
        <v>8</v>
      </c>
      <c r="H4" s="103" t="s">
        <v>9</v>
      </c>
      <c r="I4" s="103" t="s">
        <v>3</v>
      </c>
      <c r="J4" s="103" t="s">
        <v>5</v>
      </c>
      <c r="K4" s="104" t="s">
        <v>10</v>
      </c>
      <c r="L4" s="105" t="s">
        <v>7</v>
      </c>
      <c r="M4" s="105" t="s">
        <v>11</v>
      </c>
    </row>
    <row r="5" spans="1:13" hidden="1">
      <c r="A5" s="999">
        <v>20</v>
      </c>
      <c r="B5" s="127">
        <v>12928</v>
      </c>
      <c r="C5" s="190">
        <v>0.1</v>
      </c>
      <c r="D5" s="191" t="s">
        <v>12</v>
      </c>
      <c r="E5" s="192">
        <v>1650000</v>
      </c>
      <c r="F5" s="210">
        <v>0.12</v>
      </c>
      <c r="G5" s="192">
        <f>E5*F5</f>
        <v>198000</v>
      </c>
      <c r="H5" s="211" t="s">
        <v>13</v>
      </c>
      <c r="I5" s="212">
        <v>13040</v>
      </c>
      <c r="J5" s="213" t="s">
        <v>14</v>
      </c>
      <c r="K5" s="192">
        <v>1400000</v>
      </c>
      <c r="L5" s="210">
        <v>0.05</v>
      </c>
      <c r="M5" s="214">
        <f>K5*L5</f>
        <v>70000</v>
      </c>
    </row>
    <row r="6" spans="1:13" ht="13.5" hidden="1" customHeight="1">
      <c r="A6" s="1000"/>
      <c r="B6" s="127">
        <v>12914</v>
      </c>
      <c r="C6" s="190">
        <v>0.1</v>
      </c>
      <c r="D6" s="191" t="s">
        <v>15</v>
      </c>
      <c r="E6" s="192">
        <v>1850000</v>
      </c>
      <c r="F6" s="210">
        <v>7.0000000000000007E-2</v>
      </c>
      <c r="G6" s="192">
        <f t="shared" ref="G6:G16" si="0">E6*F6</f>
        <v>129500.00000000001</v>
      </c>
      <c r="H6" s="211" t="s">
        <v>16</v>
      </c>
      <c r="I6" s="215"/>
      <c r="J6" s="216"/>
      <c r="K6" s="216"/>
      <c r="L6" s="216"/>
      <c r="M6" s="216"/>
    </row>
    <row r="7" spans="1:13" hidden="1">
      <c r="A7" s="1000"/>
      <c r="B7" s="127">
        <v>13018</v>
      </c>
      <c r="C7" s="190">
        <v>0.1</v>
      </c>
      <c r="D7" s="191" t="s">
        <v>17</v>
      </c>
      <c r="E7" s="192">
        <v>1800000</v>
      </c>
      <c r="F7" s="210">
        <v>0.06</v>
      </c>
      <c r="G7" s="192">
        <f t="shared" si="0"/>
        <v>108000</v>
      </c>
      <c r="H7" s="211" t="s">
        <v>18</v>
      </c>
      <c r="I7" s="215"/>
      <c r="J7" s="216"/>
      <c r="K7" s="216"/>
      <c r="L7" s="216"/>
      <c r="M7" s="216"/>
    </row>
    <row r="8" spans="1:13" hidden="1">
      <c r="A8" s="1000"/>
      <c r="B8" s="127">
        <v>12942</v>
      </c>
      <c r="C8" s="190">
        <v>0.1</v>
      </c>
      <c r="D8" s="191" t="s">
        <v>19</v>
      </c>
      <c r="E8" s="192">
        <v>2100000</v>
      </c>
      <c r="F8" s="210">
        <v>0.12</v>
      </c>
      <c r="G8" s="192">
        <f t="shared" si="0"/>
        <v>252000</v>
      </c>
      <c r="H8" s="211" t="s">
        <v>13</v>
      </c>
      <c r="I8" s="215"/>
      <c r="J8" s="216"/>
      <c r="K8" s="216"/>
      <c r="L8" s="216"/>
      <c r="M8" s="216"/>
    </row>
    <row r="9" spans="1:13" hidden="1">
      <c r="A9" s="1000"/>
      <c r="B9" s="127">
        <v>12969</v>
      </c>
      <c r="C9" s="190">
        <v>0.1</v>
      </c>
      <c r="D9" s="191" t="s">
        <v>20</v>
      </c>
      <c r="E9" s="192">
        <v>1500000</v>
      </c>
      <c r="F9" s="210">
        <v>0.06</v>
      </c>
      <c r="G9" s="192">
        <f t="shared" si="0"/>
        <v>90000</v>
      </c>
      <c r="H9" s="211" t="s">
        <v>18</v>
      </c>
      <c r="I9" s="215"/>
      <c r="J9" s="216"/>
      <c r="K9" s="216"/>
      <c r="L9" s="216"/>
      <c r="M9" s="216"/>
    </row>
    <row r="10" spans="1:13" hidden="1">
      <c r="A10" s="1000"/>
      <c r="B10" s="127">
        <v>12988</v>
      </c>
      <c r="C10" s="190">
        <v>0.1</v>
      </c>
      <c r="D10" s="191" t="s">
        <v>21</v>
      </c>
      <c r="E10" s="192">
        <v>2400000</v>
      </c>
      <c r="F10" s="190">
        <v>7.0000000000000007E-2</v>
      </c>
      <c r="G10" s="192">
        <f t="shared" si="0"/>
        <v>168000.00000000003</v>
      </c>
      <c r="H10" s="211" t="s">
        <v>16</v>
      </c>
      <c r="I10" s="215"/>
      <c r="J10" s="216"/>
      <c r="K10" s="216"/>
      <c r="L10" s="216"/>
      <c r="M10" s="216"/>
    </row>
    <row r="11" spans="1:13" hidden="1">
      <c r="A11" s="1000"/>
      <c r="B11" s="127">
        <v>13051</v>
      </c>
      <c r="C11" s="190">
        <v>0.1</v>
      </c>
      <c r="D11" s="191" t="s">
        <v>22</v>
      </c>
      <c r="E11" s="192">
        <v>2100000</v>
      </c>
      <c r="F11" s="210">
        <v>0.12</v>
      </c>
      <c r="G11" s="192">
        <f t="shared" si="0"/>
        <v>252000</v>
      </c>
      <c r="H11" s="211" t="s">
        <v>13</v>
      </c>
      <c r="I11" s="215"/>
      <c r="J11" s="216"/>
      <c r="K11" s="216"/>
      <c r="L11" s="216"/>
      <c r="M11" s="216"/>
    </row>
    <row r="12" spans="1:13" hidden="1">
      <c r="A12" s="1000"/>
      <c r="B12" s="127">
        <v>13068</v>
      </c>
      <c r="C12" s="190">
        <v>0.1</v>
      </c>
      <c r="D12" s="191" t="s">
        <v>23</v>
      </c>
      <c r="E12" s="192">
        <v>1500000</v>
      </c>
      <c r="F12" s="210">
        <v>0.12</v>
      </c>
      <c r="G12" s="192">
        <f t="shared" si="0"/>
        <v>180000</v>
      </c>
      <c r="H12" s="211" t="s">
        <v>13</v>
      </c>
      <c r="I12" s="215"/>
      <c r="J12" s="216"/>
      <c r="K12" s="216"/>
      <c r="L12" s="216"/>
      <c r="M12" s="216"/>
    </row>
    <row r="13" spans="1:13" hidden="1">
      <c r="A13" s="1000"/>
      <c r="B13" s="127">
        <v>13071</v>
      </c>
      <c r="C13" s="190">
        <v>0.1</v>
      </c>
      <c r="D13" s="191" t="s">
        <v>24</v>
      </c>
      <c r="E13" s="192">
        <v>1500000</v>
      </c>
      <c r="F13" s="210">
        <v>0.06</v>
      </c>
      <c r="G13" s="192">
        <f t="shared" si="0"/>
        <v>90000</v>
      </c>
      <c r="H13" s="211" t="s">
        <v>18</v>
      </c>
      <c r="I13" s="215"/>
      <c r="J13" s="216"/>
      <c r="K13" s="216"/>
      <c r="L13" s="216"/>
      <c r="M13" s="216"/>
    </row>
    <row r="14" spans="1:13" hidden="1">
      <c r="A14" s="1000"/>
      <c r="B14" s="127">
        <v>13128</v>
      </c>
      <c r="C14" s="190">
        <v>0.1</v>
      </c>
      <c r="D14" s="191" t="s">
        <v>25</v>
      </c>
      <c r="E14" s="192">
        <v>2100000</v>
      </c>
      <c r="F14" s="210">
        <v>0.12</v>
      </c>
      <c r="G14" s="192">
        <f t="shared" si="0"/>
        <v>252000</v>
      </c>
      <c r="H14" s="211" t="s">
        <v>13</v>
      </c>
      <c r="I14" s="215"/>
      <c r="J14" s="216"/>
      <c r="K14" s="216"/>
      <c r="L14" s="216"/>
      <c r="M14" s="216"/>
    </row>
    <row r="15" spans="1:13" hidden="1">
      <c r="A15" s="1000"/>
      <c r="B15" s="171">
        <v>13106</v>
      </c>
      <c r="C15" s="190">
        <v>0.1</v>
      </c>
      <c r="D15" s="201" t="s">
        <v>26</v>
      </c>
      <c r="E15" s="192">
        <v>1400000</v>
      </c>
      <c r="F15" s="210">
        <v>0.12</v>
      </c>
      <c r="G15" s="192">
        <f t="shared" si="0"/>
        <v>168000</v>
      </c>
      <c r="H15" s="217" t="s">
        <v>13</v>
      </c>
      <c r="I15" s="215"/>
      <c r="J15" s="216"/>
      <c r="K15" s="216"/>
      <c r="L15" s="216"/>
      <c r="M15" s="216"/>
    </row>
    <row r="16" spans="1:13" hidden="1">
      <c r="A16" s="1000"/>
      <c r="B16" s="171">
        <v>13116</v>
      </c>
      <c r="C16" s="190">
        <v>0.1</v>
      </c>
      <c r="D16" s="201" t="s">
        <v>27</v>
      </c>
      <c r="E16" s="192">
        <v>2200000</v>
      </c>
      <c r="F16" s="210">
        <v>0.12</v>
      </c>
      <c r="G16" s="192">
        <f t="shared" si="0"/>
        <v>264000</v>
      </c>
      <c r="H16" s="217" t="s">
        <v>13</v>
      </c>
      <c r="I16" s="215"/>
      <c r="J16" s="216"/>
      <c r="K16" s="216"/>
      <c r="L16" s="216"/>
      <c r="M16" s="216"/>
    </row>
    <row r="17" spans="1:13" ht="15" hidden="1" customHeight="1">
      <c r="A17" s="1000"/>
      <c r="B17" s="128" t="s">
        <v>28</v>
      </c>
      <c r="C17" s="219">
        <v>0.1</v>
      </c>
      <c r="D17" s="220" t="s">
        <v>25</v>
      </c>
      <c r="E17" s="221"/>
      <c r="F17" s="222"/>
      <c r="G17" s="221"/>
      <c r="H17" s="223" t="s">
        <v>13</v>
      </c>
      <c r="I17" s="215"/>
      <c r="J17" s="216"/>
      <c r="K17" s="216"/>
      <c r="L17" s="216"/>
      <c r="M17" s="216"/>
    </row>
    <row r="18" spans="1:13" ht="15" hidden="1" customHeight="1">
      <c r="A18" s="1000"/>
      <c r="B18" s="128" t="s">
        <v>28</v>
      </c>
      <c r="C18" s="219">
        <v>0.1</v>
      </c>
      <c r="D18" s="220" t="s">
        <v>29</v>
      </c>
      <c r="E18" s="221"/>
      <c r="F18" s="222"/>
      <c r="G18" s="221"/>
      <c r="H18" s="223" t="s">
        <v>13</v>
      </c>
      <c r="I18" s="215"/>
      <c r="J18" s="216"/>
      <c r="K18" s="216"/>
      <c r="L18" s="216"/>
      <c r="M18" s="216"/>
    </row>
    <row r="19" spans="1:13" ht="15.75" hidden="1" customHeight="1">
      <c r="A19" s="1000"/>
      <c r="B19" s="128" t="s">
        <v>28</v>
      </c>
      <c r="C19" s="219">
        <v>0.1</v>
      </c>
      <c r="D19" s="220" t="s">
        <v>30</v>
      </c>
      <c r="E19" s="221"/>
      <c r="F19" s="222"/>
      <c r="G19" s="221"/>
      <c r="H19" s="223" t="s">
        <v>13</v>
      </c>
      <c r="I19" s="215"/>
      <c r="J19" s="216"/>
      <c r="K19" s="216"/>
      <c r="L19" s="216"/>
      <c r="M19" s="216"/>
    </row>
    <row r="20" spans="1:13" ht="12.75" hidden="1" customHeight="1">
      <c r="A20" s="1033"/>
      <c r="B20" s="128" t="s">
        <v>28</v>
      </c>
      <c r="C20" s="219">
        <v>0.1</v>
      </c>
      <c r="D20" s="220" t="s">
        <v>31</v>
      </c>
      <c r="E20" s="221"/>
      <c r="F20" s="222"/>
      <c r="G20" s="221"/>
      <c r="H20" s="223" t="s">
        <v>18</v>
      </c>
      <c r="I20" s="215"/>
      <c r="J20" s="175"/>
      <c r="K20" s="175"/>
      <c r="L20" s="175"/>
      <c r="M20" s="176">
        <f>SUM(M5:M19)</f>
        <v>70000</v>
      </c>
    </row>
    <row r="21" spans="1:13" ht="15.75" hidden="1">
      <c r="A21" s="1038" t="s">
        <v>32</v>
      </c>
      <c r="B21" s="1038"/>
      <c r="C21" s="1038"/>
      <c r="D21" s="1038"/>
      <c r="E21" s="172">
        <f>SUM(E5:E20)</f>
        <v>22100000</v>
      </c>
      <c r="F21" s="173" t="s">
        <v>32</v>
      </c>
      <c r="G21" s="174">
        <f>SUM(G5:G20)</f>
        <v>2151500</v>
      </c>
      <c r="H21" s="1110"/>
      <c r="I21" s="1110"/>
      <c r="J21" s="1027" t="s">
        <v>33</v>
      </c>
      <c r="K21" s="1036"/>
      <c r="L21" s="1036"/>
      <c r="M21" s="177">
        <f>G21+M20</f>
        <v>2221500</v>
      </c>
    </row>
    <row r="22" spans="1:13" hidden="1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</row>
    <row r="23" spans="1:13" hidden="1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</row>
    <row r="24" spans="1:13" hidden="1">
      <c r="A24" s="1039" t="s">
        <v>16</v>
      </c>
      <c r="B24" s="1039"/>
      <c r="C24" s="1039"/>
      <c r="D24" s="1039"/>
      <c r="E24" s="1040"/>
      <c r="F24" s="1040"/>
      <c r="G24" s="1040"/>
      <c r="H24" s="1040"/>
      <c r="I24" s="1041"/>
      <c r="J24" s="1041"/>
      <c r="K24" s="1041"/>
      <c r="L24" s="1041"/>
      <c r="M24" s="1041"/>
    </row>
    <row r="25" spans="1:13" hidden="1">
      <c r="A25" s="129" t="s">
        <v>2</v>
      </c>
      <c r="B25" s="129" t="s">
        <v>3</v>
      </c>
      <c r="C25" s="129" t="s">
        <v>4</v>
      </c>
      <c r="D25" s="129" t="s">
        <v>5</v>
      </c>
      <c r="E25" s="130" t="s">
        <v>6</v>
      </c>
      <c r="F25" s="130" t="s">
        <v>7</v>
      </c>
      <c r="G25" s="130" t="s">
        <v>8</v>
      </c>
      <c r="H25" s="130" t="s">
        <v>9</v>
      </c>
      <c r="I25" s="130" t="s">
        <v>3</v>
      </c>
      <c r="J25" s="130" t="s">
        <v>5</v>
      </c>
      <c r="K25" s="131" t="s">
        <v>10</v>
      </c>
      <c r="L25" s="132" t="s">
        <v>7</v>
      </c>
      <c r="M25" s="132" t="s">
        <v>11</v>
      </c>
    </row>
    <row r="26" spans="1:13" hidden="1">
      <c r="A26" s="1042">
        <v>20</v>
      </c>
      <c r="B26" s="133">
        <v>12977</v>
      </c>
      <c r="C26" s="179">
        <v>0.1</v>
      </c>
      <c r="D26" s="193" t="s">
        <v>34</v>
      </c>
      <c r="E26" s="194">
        <v>1650000</v>
      </c>
      <c r="F26" s="183">
        <v>0.06</v>
      </c>
      <c r="G26" s="193">
        <f>E26*F26</f>
        <v>99000</v>
      </c>
      <c r="H26" s="193" t="s">
        <v>18</v>
      </c>
      <c r="I26" s="127">
        <v>12914</v>
      </c>
      <c r="J26" s="191" t="s">
        <v>15</v>
      </c>
      <c r="K26" s="192">
        <v>1850000</v>
      </c>
      <c r="L26" s="210">
        <v>0.05</v>
      </c>
      <c r="M26" s="214">
        <f>K26*L26</f>
        <v>92500</v>
      </c>
    </row>
    <row r="27" spans="1:13" hidden="1">
      <c r="A27" s="1043"/>
      <c r="B27" s="133">
        <v>12994</v>
      </c>
      <c r="C27" s="179">
        <v>0.1</v>
      </c>
      <c r="D27" s="193" t="s">
        <v>35</v>
      </c>
      <c r="E27" s="194">
        <v>1900000</v>
      </c>
      <c r="F27" s="183">
        <v>0.06</v>
      </c>
      <c r="G27" s="193">
        <f t="shared" ref="G27:G37" si="1">E27*F27</f>
        <v>114000</v>
      </c>
      <c r="H27" s="193" t="s">
        <v>18</v>
      </c>
      <c r="I27" s="127">
        <v>12988</v>
      </c>
      <c r="J27" s="191" t="s">
        <v>21</v>
      </c>
      <c r="K27" s="192">
        <v>2400000</v>
      </c>
      <c r="L27" s="186">
        <v>0.04</v>
      </c>
      <c r="M27" s="214">
        <f>K27*L27</f>
        <v>96000</v>
      </c>
    </row>
    <row r="28" spans="1:13" hidden="1">
      <c r="A28" s="1043"/>
      <c r="B28" s="133">
        <v>13053</v>
      </c>
      <c r="C28" s="179">
        <v>0.1</v>
      </c>
      <c r="D28" s="193" t="s">
        <v>36</v>
      </c>
      <c r="E28" s="194">
        <v>1300000</v>
      </c>
      <c r="F28" s="183">
        <v>0.06</v>
      </c>
      <c r="G28" s="193">
        <f t="shared" si="1"/>
        <v>78000</v>
      </c>
      <c r="H28" s="193" t="s">
        <v>18</v>
      </c>
      <c r="I28" s="225"/>
      <c r="J28" s="225"/>
      <c r="K28" s="225"/>
      <c r="L28" s="225"/>
      <c r="M28" s="225"/>
    </row>
    <row r="29" spans="1:13" hidden="1">
      <c r="A29" s="1043"/>
      <c r="B29" s="133">
        <v>12943</v>
      </c>
      <c r="C29" s="178">
        <v>0.08</v>
      </c>
      <c r="D29" s="193" t="s">
        <v>37</v>
      </c>
      <c r="E29" s="194">
        <v>1050000</v>
      </c>
      <c r="F29" s="178">
        <v>0.1</v>
      </c>
      <c r="G29" s="193">
        <f t="shared" si="1"/>
        <v>105000</v>
      </c>
      <c r="H29" s="193" t="s">
        <v>16</v>
      </c>
      <c r="I29" s="225"/>
      <c r="J29" s="225"/>
      <c r="K29" s="225"/>
      <c r="L29" s="225"/>
      <c r="M29" s="225"/>
    </row>
    <row r="30" spans="1:13" hidden="1">
      <c r="A30" s="1043"/>
      <c r="B30" s="134">
        <v>12948</v>
      </c>
      <c r="C30" s="180">
        <v>0.1</v>
      </c>
      <c r="D30" s="202" t="s">
        <v>38</v>
      </c>
      <c r="E30" s="203">
        <v>1650000</v>
      </c>
      <c r="F30" s="184">
        <v>0.06</v>
      </c>
      <c r="G30" s="193">
        <f t="shared" si="1"/>
        <v>99000</v>
      </c>
      <c r="H30" s="202" t="s">
        <v>18</v>
      </c>
      <c r="I30" s="225"/>
      <c r="J30" s="225"/>
      <c r="K30" s="225"/>
      <c r="L30" s="225"/>
      <c r="M30" s="225"/>
    </row>
    <row r="31" spans="1:13" hidden="1">
      <c r="A31" s="1043"/>
      <c r="B31" s="134">
        <v>12968</v>
      </c>
      <c r="C31" s="180">
        <v>0.1</v>
      </c>
      <c r="D31" s="202" t="s">
        <v>39</v>
      </c>
      <c r="E31" s="203">
        <v>1550000</v>
      </c>
      <c r="F31" s="184">
        <v>0.12</v>
      </c>
      <c r="G31" s="193">
        <f t="shared" si="1"/>
        <v>186000</v>
      </c>
      <c r="H31" s="202" t="s">
        <v>16</v>
      </c>
      <c r="I31" s="225"/>
      <c r="J31" s="225"/>
      <c r="K31" s="225"/>
      <c r="L31" s="225"/>
      <c r="M31" s="225"/>
    </row>
    <row r="32" spans="1:13" hidden="1">
      <c r="A32" s="1043"/>
      <c r="B32" s="14">
        <v>13049</v>
      </c>
      <c r="C32" s="179">
        <v>0.1</v>
      </c>
      <c r="D32" s="204" t="s">
        <v>40</v>
      </c>
      <c r="E32" s="194">
        <v>1400000</v>
      </c>
      <c r="F32" s="183">
        <v>0.12</v>
      </c>
      <c r="G32" s="193">
        <f t="shared" si="1"/>
        <v>168000</v>
      </c>
      <c r="H32" s="226" t="s">
        <v>16</v>
      </c>
      <c r="I32" s="225"/>
      <c r="J32" s="225"/>
      <c r="K32" s="225"/>
      <c r="L32" s="225"/>
      <c r="M32" s="225"/>
    </row>
    <row r="33" spans="1:13" hidden="1">
      <c r="A33" s="1043"/>
      <c r="B33" s="135">
        <v>13072</v>
      </c>
      <c r="C33" s="181">
        <v>0.1</v>
      </c>
      <c r="D33" s="205" t="s">
        <v>41</v>
      </c>
      <c r="E33" s="206">
        <v>1800000</v>
      </c>
      <c r="F33" s="185">
        <v>0.06</v>
      </c>
      <c r="G33" s="193">
        <f t="shared" si="1"/>
        <v>108000</v>
      </c>
      <c r="H33" s="227" t="s">
        <v>18</v>
      </c>
      <c r="I33" s="225"/>
      <c r="J33" s="225"/>
      <c r="K33" s="225"/>
      <c r="L33" s="225"/>
      <c r="M33" s="225"/>
    </row>
    <row r="34" spans="1:13" hidden="1">
      <c r="A34" s="1043"/>
      <c r="B34" s="14">
        <v>13133</v>
      </c>
      <c r="C34" s="182">
        <v>0.08</v>
      </c>
      <c r="D34" s="207" t="s">
        <v>42</v>
      </c>
      <c r="E34" s="194">
        <v>1550000</v>
      </c>
      <c r="F34" s="178">
        <v>0.05</v>
      </c>
      <c r="G34" s="193">
        <f t="shared" si="1"/>
        <v>77500</v>
      </c>
      <c r="H34" s="226" t="s">
        <v>18</v>
      </c>
      <c r="I34" s="225"/>
      <c r="J34" s="225"/>
      <c r="K34" s="225"/>
      <c r="L34" s="225"/>
      <c r="M34" s="225"/>
    </row>
    <row r="35" spans="1:13" hidden="1">
      <c r="A35" s="1043"/>
      <c r="B35" s="90">
        <v>13079</v>
      </c>
      <c r="C35" s="181">
        <v>0.1</v>
      </c>
      <c r="D35" s="207" t="s">
        <v>43</v>
      </c>
      <c r="E35" s="194">
        <v>2500000</v>
      </c>
      <c r="F35" s="183">
        <v>0.06</v>
      </c>
      <c r="G35" s="193">
        <f t="shared" si="1"/>
        <v>150000</v>
      </c>
      <c r="H35" s="226" t="s">
        <v>18</v>
      </c>
      <c r="I35" s="225"/>
      <c r="J35" s="225"/>
      <c r="K35" s="225"/>
      <c r="L35" s="225"/>
      <c r="M35" s="225"/>
    </row>
    <row r="36" spans="1:13" hidden="1">
      <c r="A36" s="1043"/>
      <c r="B36" s="14">
        <v>12935</v>
      </c>
      <c r="C36" s="179">
        <v>0.1</v>
      </c>
      <c r="D36" s="193" t="s">
        <v>44</v>
      </c>
      <c r="E36" s="194">
        <v>2100000</v>
      </c>
      <c r="F36" s="183">
        <v>0.12</v>
      </c>
      <c r="G36" s="193">
        <f t="shared" si="1"/>
        <v>252000</v>
      </c>
      <c r="H36" s="193" t="s">
        <v>16</v>
      </c>
      <c r="I36" s="225"/>
      <c r="J36" s="225"/>
      <c r="K36" s="225"/>
      <c r="L36" s="225"/>
      <c r="M36" s="225"/>
    </row>
    <row r="37" spans="1:13" hidden="1">
      <c r="A37" s="1043"/>
      <c r="B37" s="14">
        <v>13134</v>
      </c>
      <c r="C37" s="181">
        <v>0.1</v>
      </c>
      <c r="D37" s="240" t="s">
        <v>45</v>
      </c>
      <c r="E37" s="206">
        <v>1450000</v>
      </c>
      <c r="F37" s="185">
        <v>0.06</v>
      </c>
      <c r="G37" s="193">
        <f t="shared" si="1"/>
        <v>87000</v>
      </c>
      <c r="H37" s="240" t="s">
        <v>18</v>
      </c>
      <c r="I37" s="225"/>
      <c r="J37" s="225"/>
      <c r="K37" s="225"/>
      <c r="L37" s="225"/>
      <c r="M37" s="225"/>
    </row>
    <row r="38" spans="1:13" ht="21.75" hidden="1" customHeight="1">
      <c r="A38" s="1043"/>
      <c r="B38" s="228"/>
      <c r="C38" s="228"/>
      <c r="D38" s="228" t="s">
        <v>46</v>
      </c>
      <c r="E38" s="228"/>
      <c r="F38" s="228"/>
      <c r="G38" s="228"/>
      <c r="H38" s="228"/>
      <c r="I38" s="225"/>
      <c r="J38" s="225"/>
      <c r="K38" s="225"/>
      <c r="L38" s="225"/>
      <c r="M38" s="225"/>
    </row>
    <row r="39" spans="1:13" ht="18.75" hidden="1" customHeight="1">
      <c r="A39" s="1043"/>
      <c r="B39" s="19" t="s">
        <v>47</v>
      </c>
      <c r="C39" s="229">
        <v>0.1</v>
      </c>
      <c r="D39" s="230" t="s">
        <v>45</v>
      </c>
      <c r="E39" s="231"/>
      <c r="F39" s="232"/>
      <c r="G39" s="231"/>
      <c r="H39" s="233" t="s">
        <v>18</v>
      </c>
      <c r="I39" s="225"/>
      <c r="J39" s="225"/>
      <c r="K39" s="225"/>
      <c r="L39" s="225"/>
      <c r="M39" s="225"/>
    </row>
    <row r="40" spans="1:13" ht="15" hidden="1" customHeight="1">
      <c r="A40" s="1043"/>
      <c r="B40" s="86" t="s">
        <v>28</v>
      </c>
      <c r="C40" s="234">
        <v>0.1</v>
      </c>
      <c r="D40" s="235" t="s">
        <v>31</v>
      </c>
      <c r="E40" s="236"/>
      <c r="F40" s="237"/>
      <c r="G40" s="231"/>
      <c r="H40" s="233" t="s">
        <v>18</v>
      </c>
      <c r="I40" s="225"/>
      <c r="J40" s="225"/>
      <c r="K40" s="225"/>
      <c r="L40" s="225"/>
      <c r="M40" s="225"/>
    </row>
    <row r="41" spans="1:13" ht="16.5" hidden="1" customHeight="1">
      <c r="A41" s="1043"/>
      <c r="B41" s="19" t="s">
        <v>28</v>
      </c>
      <c r="C41" s="229">
        <v>0.1</v>
      </c>
      <c r="D41" s="238" t="s">
        <v>48</v>
      </c>
      <c r="E41" s="231"/>
      <c r="F41" s="232"/>
      <c r="G41" s="231"/>
      <c r="H41" s="233" t="s">
        <v>16</v>
      </c>
      <c r="I41" s="225"/>
      <c r="J41" s="187"/>
      <c r="K41" s="187"/>
      <c r="L41" s="187"/>
      <c r="M41" s="188">
        <f>SUM(M26:M40)</f>
        <v>188500</v>
      </c>
    </row>
    <row r="42" spans="1:13" ht="15.75" hidden="1">
      <c r="A42" s="1026" t="s">
        <v>32</v>
      </c>
      <c r="B42" s="1026"/>
      <c r="C42" s="1026"/>
      <c r="D42" s="1026"/>
      <c r="E42" s="172">
        <f>SUM(E26:E41)</f>
        <v>19900000</v>
      </c>
      <c r="F42" s="173" t="s">
        <v>32</v>
      </c>
      <c r="G42" s="189">
        <f>SUM(G26:G41)</f>
        <v>1523500</v>
      </c>
      <c r="H42" s="1111"/>
      <c r="I42" s="1111"/>
      <c r="J42" s="1027" t="s">
        <v>33</v>
      </c>
      <c r="K42" s="1036"/>
      <c r="L42" s="1036"/>
      <c r="M42" s="177">
        <f>G42+M41</f>
        <v>1712000</v>
      </c>
    </row>
    <row r="43" spans="1:13" s="116" customFormat="1" hidden="1">
      <c r="A43" s="117"/>
      <c r="B43" s="117"/>
      <c r="C43" s="117"/>
      <c r="D43" s="117"/>
      <c r="E43" s="118"/>
      <c r="F43" s="119"/>
      <c r="G43" s="118"/>
      <c r="J43" s="120"/>
      <c r="K43" s="120"/>
      <c r="L43" s="120"/>
      <c r="M43" s="121"/>
    </row>
    <row r="44" spans="1:13" s="116" customFormat="1" hidden="1">
      <c r="A44" s="117"/>
      <c r="B44" s="117"/>
      <c r="C44" s="117"/>
      <c r="D44" s="117"/>
      <c r="E44" s="118"/>
      <c r="F44" s="119"/>
      <c r="G44" s="118"/>
      <c r="J44" s="120"/>
      <c r="K44" s="120"/>
      <c r="L44" s="120"/>
      <c r="M44" s="121"/>
    </row>
    <row r="45" spans="1:13" ht="18" hidden="1">
      <c r="A45" s="988" t="s">
        <v>49</v>
      </c>
      <c r="B45" s="988"/>
      <c r="C45" s="988"/>
      <c r="D45" s="988"/>
      <c r="E45" s="988"/>
      <c r="F45" s="988"/>
      <c r="G45" s="988"/>
      <c r="H45" s="988"/>
      <c r="I45" s="988"/>
      <c r="J45" s="988"/>
      <c r="K45" s="988"/>
      <c r="L45" s="988"/>
      <c r="M45" s="988"/>
    </row>
    <row r="46" spans="1:13" ht="18" hidden="1">
      <c r="A46" s="149" t="s">
        <v>2</v>
      </c>
      <c r="B46" s="149" t="s">
        <v>3</v>
      </c>
      <c r="C46" s="149" t="s">
        <v>4</v>
      </c>
      <c r="D46" s="149" t="s">
        <v>5</v>
      </c>
      <c r="E46" s="149" t="s">
        <v>6</v>
      </c>
      <c r="F46" s="149" t="s">
        <v>7</v>
      </c>
      <c r="G46" s="149" t="s">
        <v>8</v>
      </c>
      <c r="H46" s="149" t="s">
        <v>9</v>
      </c>
      <c r="I46" s="149" t="s">
        <v>3</v>
      </c>
      <c r="J46" s="149" t="s">
        <v>5</v>
      </c>
      <c r="K46" s="149" t="s">
        <v>10</v>
      </c>
      <c r="L46" s="149" t="s">
        <v>7</v>
      </c>
      <c r="M46" s="149" t="s">
        <v>11</v>
      </c>
    </row>
    <row r="47" spans="1:13" hidden="1">
      <c r="A47" s="1044"/>
      <c r="B47" s="24"/>
      <c r="C47" s="25"/>
      <c r="D47" s="126"/>
      <c r="E47" s="27"/>
      <c r="F47" s="29"/>
      <c r="G47" s="27"/>
      <c r="H47" s="28"/>
      <c r="I47" s="52"/>
      <c r="J47" s="52"/>
      <c r="K47" s="52"/>
      <c r="L47" s="52"/>
      <c r="M47" s="52"/>
    </row>
    <row r="48" spans="1:13" hidden="1">
      <c r="A48" s="1044"/>
      <c r="B48" s="24"/>
      <c r="C48" s="25"/>
      <c r="D48" s="114"/>
      <c r="E48" s="27"/>
      <c r="F48" s="26"/>
      <c r="G48" s="27"/>
      <c r="H48" s="28"/>
      <c r="I48" s="52"/>
      <c r="J48" s="52"/>
      <c r="K48" s="52"/>
      <c r="L48" s="52"/>
      <c r="M48" s="52"/>
    </row>
    <row r="49" spans="1:13" hidden="1">
      <c r="A49" s="1001" t="s">
        <v>32</v>
      </c>
      <c r="B49" s="1001"/>
      <c r="C49" s="1001"/>
      <c r="D49" s="1001"/>
      <c r="E49" s="150">
        <f>SUM(E47:E48)</f>
        <v>0</v>
      </c>
      <c r="F49" s="151" t="s">
        <v>32</v>
      </c>
      <c r="G49" s="152">
        <f>SUM(G47:G48)</f>
        <v>0</v>
      </c>
      <c r="H49" s="1112"/>
      <c r="I49" s="1112"/>
      <c r="J49" s="1037" t="s">
        <v>33</v>
      </c>
      <c r="K49" s="1037"/>
      <c r="L49" s="1037"/>
      <c r="M49" s="153" t="e">
        <f>G49+#REF!</f>
        <v>#REF!</v>
      </c>
    </row>
    <row r="50" spans="1:13" hidden="1">
      <c r="A50" s="122"/>
      <c r="B50" s="122"/>
      <c r="C50" s="122"/>
      <c r="D50" s="122"/>
      <c r="E50" s="123"/>
      <c r="F50" s="124"/>
      <c r="G50" s="125"/>
      <c r="H50" s="115"/>
      <c r="I50" s="115"/>
      <c r="J50" s="154"/>
      <c r="K50" s="154"/>
      <c r="L50" s="154"/>
      <c r="M50" s="155"/>
    </row>
    <row r="51" spans="1:13" hidden="1">
      <c r="A51" s="122"/>
      <c r="B51" s="122"/>
      <c r="C51" s="122"/>
      <c r="D51" s="122"/>
      <c r="E51" s="123"/>
      <c r="F51" s="124"/>
      <c r="G51" s="125"/>
      <c r="H51" s="115"/>
      <c r="I51" s="115"/>
      <c r="J51" s="154"/>
      <c r="K51" s="154"/>
      <c r="L51" s="154"/>
      <c r="M51" s="155"/>
    </row>
    <row r="52" spans="1:13" hidden="1">
      <c r="A52" s="122"/>
      <c r="B52" s="122"/>
      <c r="C52" s="122"/>
      <c r="D52" s="122"/>
      <c r="E52" s="123"/>
      <c r="F52" s="124"/>
      <c r="G52" s="125"/>
      <c r="H52" s="115"/>
      <c r="I52" s="115"/>
      <c r="J52" s="154"/>
      <c r="K52" s="154"/>
      <c r="L52" s="154"/>
      <c r="M52" s="155"/>
    </row>
    <row r="53" spans="1:13" hidden="1"/>
    <row r="54" spans="1:13" ht="18" hidden="1" customHeight="1">
      <c r="A54" s="1045">
        <f>A26+A5</f>
        <v>40</v>
      </c>
      <c r="B54" s="992" t="s">
        <v>50</v>
      </c>
      <c r="C54" s="992"/>
      <c r="D54" s="992"/>
      <c r="E54" s="147">
        <f>E42+E21+E49</f>
        <v>42000000</v>
      </c>
      <c r="F54" s="8"/>
      <c r="G54" s="8"/>
      <c r="H54" s="8"/>
      <c r="I54" s="8"/>
      <c r="J54" s="8"/>
      <c r="K54" s="8"/>
      <c r="L54" s="8"/>
      <c r="M54" s="8"/>
    </row>
    <row r="55" spans="1:13" ht="18" hidden="1" customHeight="1">
      <c r="A55" s="1045"/>
      <c r="B55" s="1046" t="s">
        <v>51</v>
      </c>
      <c r="C55" s="1046"/>
      <c r="D55" s="1046"/>
      <c r="E55" s="148"/>
      <c r="F55" s="8"/>
      <c r="G55" s="8"/>
      <c r="H55" s="8"/>
      <c r="I55" s="8"/>
      <c r="J55" s="8"/>
      <c r="K55" s="8"/>
      <c r="L55" s="8"/>
      <c r="M55" s="8"/>
    </row>
    <row r="56" spans="1:13" ht="18" hidden="1" customHeight="1">
      <c r="A56" s="1045"/>
      <c r="B56" s="1047" t="s">
        <v>52</v>
      </c>
      <c r="C56" s="1047"/>
      <c r="D56" s="1047"/>
      <c r="E56" s="148"/>
      <c r="F56" s="8"/>
      <c r="G56" s="8"/>
      <c r="H56" s="8"/>
      <c r="I56" s="8"/>
      <c r="J56" s="8"/>
      <c r="K56" s="8"/>
      <c r="L56" s="8"/>
      <c r="M56" s="8"/>
    </row>
    <row r="57" spans="1:13" s="31" customFormat="1" ht="18" hidden="1" customHeight="1">
      <c r="A57" s="141"/>
      <c r="B57" s="142"/>
      <c r="C57" s="142"/>
      <c r="D57" s="142"/>
      <c r="E57" s="143"/>
      <c r="F57" s="35"/>
      <c r="G57" s="35"/>
      <c r="H57" s="35"/>
      <c r="I57" s="35"/>
      <c r="J57" s="35"/>
      <c r="K57" s="35"/>
      <c r="L57" s="35"/>
      <c r="M57" s="35"/>
    </row>
    <row r="58" spans="1:13" ht="18" hidden="1" customHeight="1">
      <c r="A58" s="1025" t="s">
        <v>53</v>
      </c>
      <c r="B58" s="1025" t="s">
        <v>54</v>
      </c>
      <c r="C58" s="1025" t="s">
        <v>55</v>
      </c>
      <c r="D58" s="1025" t="s">
        <v>56</v>
      </c>
      <c r="E58" s="140"/>
      <c r="F58" s="8"/>
      <c r="G58" s="8"/>
      <c r="H58" s="8"/>
      <c r="I58" s="8"/>
      <c r="J58" s="8"/>
      <c r="K58" s="8"/>
      <c r="L58" s="8"/>
      <c r="M58" s="8"/>
    </row>
    <row r="59" spans="1:13" ht="18" hidden="1" customHeight="1">
      <c r="A59" s="1025"/>
      <c r="B59" s="1025"/>
      <c r="C59" s="1025"/>
      <c r="D59" s="1025"/>
      <c r="E59" s="140"/>
      <c r="F59" s="8"/>
      <c r="G59" s="8"/>
      <c r="H59" s="8"/>
      <c r="I59" s="8"/>
      <c r="J59" s="8"/>
      <c r="K59" s="8"/>
      <c r="L59" s="8"/>
      <c r="M59" s="8"/>
    </row>
    <row r="60" spans="1:13" ht="18" hidden="1" customHeight="1">
      <c r="A60" s="1006" t="s">
        <v>57</v>
      </c>
      <c r="B60" s="1007">
        <v>36</v>
      </c>
      <c r="C60" s="1008">
        <f>E54</f>
        <v>42000000</v>
      </c>
      <c r="D60" s="1009">
        <v>24</v>
      </c>
      <c r="E60" s="140"/>
      <c r="F60" s="8"/>
      <c r="G60" s="8"/>
      <c r="H60" s="8"/>
      <c r="I60" s="8"/>
      <c r="J60" s="8"/>
      <c r="K60" s="8"/>
      <c r="L60" s="8"/>
      <c r="M60" s="8"/>
    </row>
    <row r="61" spans="1:13" hidden="1">
      <c r="A61" s="1006"/>
      <c r="B61" s="1007"/>
      <c r="C61" s="1007"/>
      <c r="D61" s="1009"/>
    </row>
    <row r="62" spans="1:13" hidden="1">
      <c r="A62" s="1010" t="s">
        <v>58</v>
      </c>
      <c r="B62" s="1007">
        <v>4</v>
      </c>
      <c r="C62" s="1008">
        <v>0</v>
      </c>
      <c r="D62" s="1009">
        <v>0</v>
      </c>
    </row>
    <row r="63" spans="1:13" hidden="1">
      <c r="A63" s="1010"/>
      <c r="B63" s="1007"/>
      <c r="C63" s="1008"/>
      <c r="D63" s="1009"/>
    </row>
    <row r="64" spans="1:13" hidden="1">
      <c r="A64" s="1011" t="s">
        <v>59</v>
      </c>
      <c r="B64" s="1011">
        <f>SUM(B60:B63)</f>
        <v>40</v>
      </c>
      <c r="C64" s="1012">
        <f>SUM(C59:C63)</f>
        <v>42000000</v>
      </c>
      <c r="D64" s="1011">
        <f>SUM(D59:D63)</f>
        <v>24</v>
      </c>
    </row>
    <row r="65" spans="1:13" hidden="1">
      <c r="A65" s="1011"/>
      <c r="B65" s="1011"/>
      <c r="C65" s="1011"/>
      <c r="D65" s="1011"/>
    </row>
    <row r="66" spans="1:13" s="31" customFormat="1" ht="18" hidden="1">
      <c r="A66" s="144"/>
      <c r="B66" s="145"/>
      <c r="C66" s="145"/>
      <c r="D66" s="146"/>
    </row>
    <row r="67" spans="1:13" s="31" customFormat="1" ht="18" hidden="1">
      <c r="A67" s="144"/>
      <c r="B67" s="145"/>
      <c r="C67" s="145"/>
      <c r="D67" s="146"/>
    </row>
    <row r="68" spans="1:13" ht="31.5">
      <c r="A68" s="987" t="s">
        <v>60</v>
      </c>
      <c r="B68" s="987"/>
      <c r="C68" s="987"/>
      <c r="D68" s="987"/>
      <c r="E68" s="987"/>
      <c r="F68" s="987"/>
      <c r="G68" s="987"/>
      <c r="H68" s="987"/>
      <c r="I68" s="987"/>
      <c r="J68" s="987"/>
      <c r="K68" s="987"/>
      <c r="L68" s="987"/>
      <c r="M68" s="987"/>
    </row>
    <row r="69" spans="1:13" ht="18" hidden="1">
      <c r="A69" s="983" t="s">
        <v>1</v>
      </c>
      <c r="B69" s="983"/>
      <c r="C69" s="983"/>
      <c r="D69" s="983"/>
      <c r="E69" s="984"/>
      <c r="F69" s="984"/>
      <c r="G69" s="984"/>
      <c r="H69" s="984"/>
      <c r="I69" s="985"/>
      <c r="J69" s="985"/>
      <c r="K69" s="985"/>
      <c r="L69" s="985"/>
      <c r="M69" s="985"/>
    </row>
    <row r="70" spans="1:13" ht="18" hidden="1">
      <c r="A70" s="102" t="s">
        <v>2</v>
      </c>
      <c r="B70" s="102" t="s">
        <v>3</v>
      </c>
      <c r="C70" s="102" t="s">
        <v>4</v>
      </c>
      <c r="D70" s="102" t="s">
        <v>5</v>
      </c>
      <c r="E70" s="103" t="s">
        <v>6</v>
      </c>
      <c r="F70" s="103" t="s">
        <v>7</v>
      </c>
      <c r="G70" s="103" t="s">
        <v>8</v>
      </c>
      <c r="H70" s="103" t="s">
        <v>9</v>
      </c>
      <c r="I70" s="103" t="s">
        <v>3</v>
      </c>
      <c r="J70" s="103" t="s">
        <v>5</v>
      </c>
      <c r="K70" s="104" t="s">
        <v>10</v>
      </c>
      <c r="L70" s="105" t="s">
        <v>7</v>
      </c>
      <c r="M70" s="105" t="s">
        <v>11</v>
      </c>
    </row>
    <row r="71" spans="1:13" ht="15" hidden="1">
      <c r="A71" s="1051" t="s">
        <v>61</v>
      </c>
      <c r="B71" s="127">
        <v>13233</v>
      </c>
      <c r="C71" s="190">
        <v>0.1</v>
      </c>
      <c r="D71" s="191" t="s">
        <v>62</v>
      </c>
      <c r="E71" s="192">
        <v>2000000</v>
      </c>
      <c r="F71" s="210">
        <v>0.12</v>
      </c>
      <c r="G71" s="192">
        <f>E71*F71</f>
        <v>240000</v>
      </c>
      <c r="H71" s="211" t="s">
        <v>13</v>
      </c>
      <c r="I71" s="278">
        <v>13363</v>
      </c>
      <c r="J71" s="265" t="s">
        <v>63</v>
      </c>
      <c r="K71" s="192">
        <v>1500000</v>
      </c>
      <c r="L71" s="281">
        <v>0.04</v>
      </c>
      <c r="M71" s="192">
        <f>K71*L71</f>
        <v>60000</v>
      </c>
    </row>
    <row r="72" spans="1:13" ht="18" hidden="1" customHeight="1">
      <c r="A72" s="1051"/>
      <c r="B72" s="127">
        <v>13141</v>
      </c>
      <c r="C72" s="261">
        <v>0.1</v>
      </c>
      <c r="D72" s="201" t="s">
        <v>64</v>
      </c>
      <c r="E72" s="192">
        <v>1400000</v>
      </c>
      <c r="F72" s="210">
        <v>0.06</v>
      </c>
      <c r="G72" s="192">
        <f t="shared" ref="G72:G83" si="2">E72*F72</f>
        <v>84000</v>
      </c>
      <c r="H72" s="262" t="s">
        <v>18</v>
      </c>
      <c r="I72" s="114"/>
      <c r="J72" s="52"/>
      <c r="K72" s="52"/>
      <c r="L72" s="52"/>
      <c r="M72" s="52"/>
    </row>
    <row r="73" spans="1:13" ht="15" hidden="1" customHeight="1">
      <c r="A73" s="1051"/>
      <c r="B73" s="127">
        <v>13318</v>
      </c>
      <c r="C73" s="190">
        <v>0.1</v>
      </c>
      <c r="D73" s="218" t="s">
        <v>65</v>
      </c>
      <c r="E73" s="192">
        <v>3500000</v>
      </c>
      <c r="F73" s="210">
        <v>7.0000000000000007E-2</v>
      </c>
      <c r="G73" s="192">
        <f t="shared" si="2"/>
        <v>245000.00000000003</v>
      </c>
      <c r="H73" s="211" t="s">
        <v>66</v>
      </c>
      <c r="I73" s="114"/>
      <c r="J73" s="52"/>
      <c r="K73" s="52"/>
      <c r="L73" s="52"/>
      <c r="M73" s="52"/>
    </row>
    <row r="74" spans="1:13" ht="15.75" hidden="1" customHeight="1">
      <c r="A74" s="1051"/>
      <c r="B74" s="127">
        <v>13195</v>
      </c>
      <c r="C74" s="186">
        <v>0.08</v>
      </c>
      <c r="D74" s="218" t="s">
        <v>67</v>
      </c>
      <c r="E74" s="192">
        <v>1950000</v>
      </c>
      <c r="F74" s="186">
        <v>0.1</v>
      </c>
      <c r="G74" s="192">
        <f t="shared" si="2"/>
        <v>195000</v>
      </c>
      <c r="H74" s="211" t="s">
        <v>13</v>
      </c>
      <c r="I74" s="114"/>
      <c r="J74" s="52"/>
      <c r="K74" s="52"/>
      <c r="L74" s="52"/>
      <c r="M74" s="52"/>
    </row>
    <row r="75" spans="1:13" ht="15" hidden="1" customHeight="1">
      <c r="A75" s="1051"/>
      <c r="B75" s="127">
        <v>13292</v>
      </c>
      <c r="C75" s="190">
        <v>0.1</v>
      </c>
      <c r="D75" s="218" t="s">
        <v>68</v>
      </c>
      <c r="E75" s="192">
        <v>1500000</v>
      </c>
      <c r="F75" s="210">
        <v>0.06</v>
      </c>
      <c r="G75" s="192">
        <f t="shared" si="2"/>
        <v>90000</v>
      </c>
      <c r="H75" s="211" t="s">
        <v>18</v>
      </c>
      <c r="I75" s="114"/>
      <c r="J75" s="52"/>
      <c r="K75" s="52"/>
      <c r="L75" s="52"/>
      <c r="M75" s="52"/>
    </row>
    <row r="76" spans="1:13" ht="15" hidden="1" customHeight="1">
      <c r="A76" s="1051"/>
      <c r="B76" s="127">
        <v>13203</v>
      </c>
      <c r="C76" s="190">
        <v>0.1</v>
      </c>
      <c r="D76" s="218" t="s">
        <v>69</v>
      </c>
      <c r="E76" s="192">
        <v>1450000</v>
      </c>
      <c r="F76" s="210">
        <v>0.06</v>
      </c>
      <c r="G76" s="192">
        <f t="shared" si="2"/>
        <v>87000</v>
      </c>
      <c r="H76" s="211" t="s">
        <v>18</v>
      </c>
      <c r="I76" s="114"/>
      <c r="J76" s="52"/>
      <c r="K76" s="52"/>
      <c r="L76" s="52"/>
      <c r="M76" s="52"/>
    </row>
    <row r="77" spans="1:13" ht="15" hidden="1" customHeight="1">
      <c r="A77" s="1051"/>
      <c r="B77" s="127">
        <v>13254</v>
      </c>
      <c r="C77" s="186">
        <v>0.08</v>
      </c>
      <c r="D77" s="218" t="s">
        <v>70</v>
      </c>
      <c r="E77" s="192">
        <v>1600000</v>
      </c>
      <c r="F77" s="186">
        <v>0.06</v>
      </c>
      <c r="G77" s="192">
        <f t="shared" si="2"/>
        <v>96000</v>
      </c>
      <c r="H77" s="211" t="s">
        <v>16</v>
      </c>
      <c r="I77" s="114"/>
      <c r="J77" s="52"/>
      <c r="K77" s="52"/>
      <c r="L77" s="52"/>
      <c r="M77" s="52"/>
    </row>
    <row r="78" spans="1:13" ht="15" hidden="1" customHeight="1">
      <c r="A78" s="1051"/>
      <c r="B78" s="127">
        <v>13294</v>
      </c>
      <c r="C78" s="190">
        <v>0.1</v>
      </c>
      <c r="D78" s="218" t="s">
        <v>71</v>
      </c>
      <c r="E78" s="192">
        <v>1720000</v>
      </c>
      <c r="F78" s="210">
        <v>0.12</v>
      </c>
      <c r="G78" s="192">
        <f t="shared" si="2"/>
        <v>206400</v>
      </c>
      <c r="H78" s="211" t="s">
        <v>72</v>
      </c>
      <c r="I78" s="52"/>
      <c r="J78" s="52"/>
      <c r="K78" s="52"/>
      <c r="L78" s="52"/>
      <c r="M78" s="52"/>
    </row>
    <row r="79" spans="1:13" ht="15" hidden="1" customHeight="1">
      <c r="A79" s="1051"/>
      <c r="B79" s="127">
        <v>13310</v>
      </c>
      <c r="C79" s="190">
        <v>0.1</v>
      </c>
      <c r="D79" s="218" t="s">
        <v>73</v>
      </c>
      <c r="E79" s="192">
        <v>1850000</v>
      </c>
      <c r="F79" s="210">
        <v>7.0000000000000007E-2</v>
      </c>
      <c r="G79" s="192">
        <f t="shared" si="2"/>
        <v>129500.00000000001</v>
      </c>
      <c r="H79" s="211" t="s">
        <v>16</v>
      </c>
      <c r="I79" s="52"/>
      <c r="J79" s="52"/>
      <c r="K79" s="52"/>
      <c r="L79" s="52"/>
      <c r="M79" s="52"/>
    </row>
    <row r="80" spans="1:13" ht="15" hidden="1" customHeight="1">
      <c r="A80" s="1051"/>
      <c r="B80" s="127">
        <v>13409</v>
      </c>
      <c r="C80" s="190">
        <v>0.1</v>
      </c>
      <c r="D80" s="218" t="s">
        <v>74</v>
      </c>
      <c r="E80" s="192">
        <v>1400000</v>
      </c>
      <c r="F80" s="210">
        <v>0.12</v>
      </c>
      <c r="G80" s="192">
        <f t="shared" si="2"/>
        <v>168000</v>
      </c>
      <c r="H80" s="211" t="s">
        <v>13</v>
      </c>
      <c r="I80" s="52"/>
      <c r="J80" s="52"/>
      <c r="K80" s="52"/>
      <c r="L80" s="52"/>
      <c r="M80" s="52"/>
    </row>
    <row r="81" spans="1:13" ht="15" hidden="1" customHeight="1">
      <c r="A81" s="1051"/>
      <c r="B81" s="127">
        <v>13329</v>
      </c>
      <c r="C81" s="190">
        <v>0.1</v>
      </c>
      <c r="D81" s="218" t="s">
        <v>75</v>
      </c>
      <c r="E81" s="192">
        <v>1900000</v>
      </c>
      <c r="F81" s="210">
        <v>0.12</v>
      </c>
      <c r="G81" s="192">
        <f t="shared" si="2"/>
        <v>228000</v>
      </c>
      <c r="H81" s="211" t="s">
        <v>13</v>
      </c>
      <c r="I81" s="52"/>
      <c r="J81" s="52"/>
      <c r="K81" s="52"/>
      <c r="L81" s="52"/>
      <c r="M81" s="52"/>
    </row>
    <row r="82" spans="1:13" ht="15" hidden="1" customHeight="1">
      <c r="A82" s="1051"/>
      <c r="B82" s="127">
        <v>13314</v>
      </c>
      <c r="C82" s="190">
        <v>0.1</v>
      </c>
      <c r="D82" s="218" t="s">
        <v>76</v>
      </c>
      <c r="E82" s="192">
        <v>2000000</v>
      </c>
      <c r="F82" s="210">
        <v>7.0000000000000007E-2</v>
      </c>
      <c r="G82" s="192">
        <f t="shared" si="2"/>
        <v>140000</v>
      </c>
      <c r="H82" s="211" t="s">
        <v>66</v>
      </c>
      <c r="I82" s="52"/>
      <c r="J82" s="52"/>
      <c r="K82" s="52"/>
      <c r="L82" s="52"/>
      <c r="M82" s="52"/>
    </row>
    <row r="83" spans="1:13" ht="15" hidden="1" customHeight="1">
      <c r="A83" s="1051"/>
      <c r="B83" s="127">
        <v>13391</v>
      </c>
      <c r="C83" s="190">
        <v>0.1</v>
      </c>
      <c r="D83" s="218" t="s">
        <v>77</v>
      </c>
      <c r="E83" s="192">
        <v>3500000</v>
      </c>
      <c r="F83" s="210">
        <v>0.06</v>
      </c>
      <c r="G83" s="192">
        <f t="shared" si="2"/>
        <v>210000</v>
      </c>
      <c r="H83" s="211" t="s">
        <v>18</v>
      </c>
      <c r="I83" s="52"/>
      <c r="J83" s="52"/>
      <c r="K83" s="52"/>
      <c r="L83" s="52"/>
      <c r="M83" s="52"/>
    </row>
    <row r="84" spans="1:13" hidden="1">
      <c r="A84" s="1051"/>
      <c r="B84" s="267"/>
      <c r="C84" s="219"/>
      <c r="D84" s="274" t="s">
        <v>78</v>
      </c>
      <c r="E84" s="268"/>
      <c r="F84" s="275"/>
      <c r="G84" s="268"/>
      <c r="H84" s="223" t="s">
        <v>66</v>
      </c>
      <c r="I84" s="303" t="s">
        <v>79</v>
      </c>
      <c r="J84" s="52"/>
      <c r="K84" s="52"/>
      <c r="L84" s="52"/>
      <c r="M84" s="52"/>
    </row>
    <row r="85" spans="1:13" ht="13.5" hidden="1" customHeight="1">
      <c r="A85" s="1051"/>
      <c r="B85" s="128"/>
      <c r="C85" s="219"/>
      <c r="D85" s="220" t="s">
        <v>80</v>
      </c>
      <c r="E85" s="221"/>
      <c r="F85" s="222"/>
      <c r="G85" s="221"/>
      <c r="H85" s="223" t="s">
        <v>13</v>
      </c>
      <c r="I85" s="28" t="s">
        <v>81</v>
      </c>
      <c r="J85" s="52"/>
      <c r="K85" s="52"/>
      <c r="L85" s="52"/>
      <c r="M85" s="52"/>
    </row>
    <row r="86" spans="1:13" ht="12.75" hidden="1" customHeight="1">
      <c r="A86" s="1052"/>
      <c r="B86" s="267"/>
      <c r="C86" s="219"/>
      <c r="D86" s="220" t="s">
        <v>82</v>
      </c>
      <c r="E86" s="268"/>
      <c r="F86" s="219"/>
      <c r="G86" s="268"/>
      <c r="H86" s="223" t="s">
        <v>83</v>
      </c>
      <c r="I86" s="28" t="s">
        <v>84</v>
      </c>
      <c r="J86" s="187"/>
      <c r="K86" s="187"/>
      <c r="L86" s="187"/>
      <c r="M86" s="304">
        <f>SUM(M71:M85)</f>
        <v>60000</v>
      </c>
    </row>
    <row r="87" spans="1:13" ht="15.75" hidden="1">
      <c r="A87" s="1026" t="s">
        <v>32</v>
      </c>
      <c r="B87" s="1026"/>
      <c r="C87" s="1026"/>
      <c r="D87" s="1026"/>
      <c r="E87" s="172">
        <f>SUM(E71:E86)</f>
        <v>25770000</v>
      </c>
      <c r="F87" s="173" t="s">
        <v>32</v>
      </c>
      <c r="G87" s="174">
        <f>SUM(G71:G86)</f>
        <v>2118900</v>
      </c>
      <c r="H87" s="1111"/>
      <c r="I87" s="1111"/>
      <c r="J87" s="1027" t="s">
        <v>33</v>
      </c>
      <c r="K87" s="1027"/>
      <c r="L87" s="1027"/>
      <c r="M87" s="177">
        <f>G87+M86</f>
        <v>2178900</v>
      </c>
    </row>
    <row r="88" spans="1:13" hidden="1"/>
    <row r="89" spans="1:13" hidden="1"/>
    <row r="90" spans="1:13" ht="18" hidden="1">
      <c r="A90" s="983" t="s">
        <v>16</v>
      </c>
      <c r="B90" s="983"/>
      <c r="C90" s="983"/>
      <c r="D90" s="983"/>
      <c r="E90" s="984"/>
      <c r="F90" s="984"/>
      <c r="G90" s="984"/>
      <c r="H90" s="984"/>
      <c r="I90" s="985"/>
      <c r="J90" s="985"/>
      <c r="K90" s="985"/>
      <c r="L90" s="985"/>
      <c r="M90" s="985"/>
    </row>
    <row r="91" spans="1:13" ht="18" hidden="1">
      <c r="A91" s="102" t="s">
        <v>2</v>
      </c>
      <c r="B91" s="102" t="s">
        <v>3</v>
      </c>
      <c r="C91" s="102" t="s">
        <v>4</v>
      </c>
      <c r="D91" s="102" t="s">
        <v>5</v>
      </c>
      <c r="E91" s="103" t="s">
        <v>6</v>
      </c>
      <c r="F91" s="103" t="s">
        <v>7</v>
      </c>
      <c r="G91" s="103" t="s">
        <v>8</v>
      </c>
      <c r="H91" s="103" t="s">
        <v>9</v>
      </c>
      <c r="I91" s="103" t="s">
        <v>3</v>
      </c>
      <c r="J91" s="103" t="s">
        <v>5</v>
      </c>
      <c r="K91" s="104" t="s">
        <v>10</v>
      </c>
      <c r="L91" s="105" t="s">
        <v>7</v>
      </c>
      <c r="M91" s="105" t="s">
        <v>11</v>
      </c>
    </row>
    <row r="92" spans="1:13" ht="16.5" hidden="1" customHeight="1">
      <c r="A92" s="1055" t="s">
        <v>61</v>
      </c>
      <c r="B92" s="14">
        <v>13193</v>
      </c>
      <c r="C92" s="179">
        <v>0.1</v>
      </c>
      <c r="D92" s="204" t="s">
        <v>85</v>
      </c>
      <c r="E92" s="194">
        <v>1900000</v>
      </c>
      <c r="F92" s="183">
        <v>7.0000000000000007E-2</v>
      </c>
      <c r="G92" s="194">
        <f>E92*F92</f>
        <v>133000</v>
      </c>
      <c r="H92" s="226" t="s">
        <v>86</v>
      </c>
      <c r="I92" s="127">
        <v>13254</v>
      </c>
      <c r="J92" s="280" t="s">
        <v>70</v>
      </c>
      <c r="K92" s="264">
        <v>1600000</v>
      </c>
      <c r="L92" s="281">
        <v>0.04</v>
      </c>
      <c r="M92" s="194">
        <f>K92*L92</f>
        <v>64000</v>
      </c>
    </row>
    <row r="93" spans="1:13" ht="18" hidden="1" customHeight="1">
      <c r="A93" s="1055"/>
      <c r="B93" s="133">
        <v>13212</v>
      </c>
      <c r="C93" s="178">
        <v>0.08</v>
      </c>
      <c r="D93" s="193" t="s">
        <v>87</v>
      </c>
      <c r="E93" s="194">
        <v>1820000</v>
      </c>
      <c r="F93" s="178">
        <v>0.1</v>
      </c>
      <c r="G93" s="194">
        <f t="shared" ref="G93:G104" si="3">E93*F93</f>
        <v>182000</v>
      </c>
      <c r="H93" s="193" t="s">
        <v>16</v>
      </c>
      <c r="I93" s="127">
        <v>13310</v>
      </c>
      <c r="J93" s="280" t="s">
        <v>73</v>
      </c>
      <c r="K93" s="264">
        <v>1850000</v>
      </c>
      <c r="L93" s="261">
        <v>0.05</v>
      </c>
      <c r="M93" s="194">
        <f t="shared" ref="M93:M94" si="4">K93*L93</f>
        <v>92500</v>
      </c>
    </row>
    <row r="94" spans="1:13" ht="15" hidden="1" customHeight="1">
      <c r="A94" s="1055"/>
      <c r="B94" s="14">
        <v>13241</v>
      </c>
      <c r="C94" s="179">
        <v>0.1</v>
      </c>
      <c r="D94" s="193" t="s">
        <v>88</v>
      </c>
      <c r="E94" s="194">
        <v>1000000</v>
      </c>
      <c r="F94" s="183">
        <v>0.06</v>
      </c>
      <c r="G94" s="194">
        <f t="shared" si="3"/>
        <v>60000</v>
      </c>
      <c r="H94" s="226" t="s">
        <v>18</v>
      </c>
      <c r="I94" s="133">
        <v>13216</v>
      </c>
      <c r="J94" s="279" t="s">
        <v>89</v>
      </c>
      <c r="K94" s="264">
        <v>1500000</v>
      </c>
      <c r="L94" s="261">
        <v>0.05</v>
      </c>
      <c r="M94" s="194">
        <f t="shared" si="4"/>
        <v>75000</v>
      </c>
    </row>
    <row r="95" spans="1:13" hidden="1">
      <c r="A95" s="1055"/>
      <c r="B95" s="133">
        <v>13215</v>
      </c>
      <c r="C95" s="179">
        <v>0.1</v>
      </c>
      <c r="D95" s="244" t="s">
        <v>90</v>
      </c>
      <c r="E95" s="264">
        <v>1300000</v>
      </c>
      <c r="F95" s="183">
        <v>0.12</v>
      </c>
      <c r="G95" s="194">
        <f t="shared" si="3"/>
        <v>156000</v>
      </c>
      <c r="H95" s="226" t="s">
        <v>16</v>
      </c>
      <c r="I95" s="225"/>
      <c r="J95" s="305"/>
      <c r="K95" s="225"/>
      <c r="L95" s="306"/>
      <c r="M95" s="225"/>
    </row>
    <row r="96" spans="1:13" hidden="1">
      <c r="A96" s="1055"/>
      <c r="B96" s="133">
        <v>13287</v>
      </c>
      <c r="C96" s="179">
        <v>0.1</v>
      </c>
      <c r="D96" s="244" t="s">
        <v>91</v>
      </c>
      <c r="E96" s="264">
        <v>1000000</v>
      </c>
      <c r="F96" s="183">
        <v>0.06</v>
      </c>
      <c r="G96" s="194">
        <f t="shared" si="3"/>
        <v>60000</v>
      </c>
      <c r="H96" s="226" t="s">
        <v>18</v>
      </c>
      <c r="I96" s="52"/>
      <c r="J96" s="52"/>
      <c r="K96" s="52"/>
      <c r="L96" s="52"/>
      <c r="M96" s="52"/>
    </row>
    <row r="97" spans="1:13" hidden="1">
      <c r="A97" s="1055"/>
      <c r="B97" s="133">
        <v>13358</v>
      </c>
      <c r="C97" s="179">
        <v>0.1</v>
      </c>
      <c r="D97" s="244" t="s">
        <v>92</v>
      </c>
      <c r="E97" s="264">
        <v>1300000</v>
      </c>
      <c r="F97" s="183">
        <v>0.06</v>
      </c>
      <c r="G97" s="194">
        <f t="shared" si="3"/>
        <v>78000</v>
      </c>
      <c r="H97" s="226" t="s">
        <v>18</v>
      </c>
      <c r="I97" s="52"/>
      <c r="J97" s="52"/>
      <c r="K97" s="52"/>
      <c r="L97" s="52"/>
      <c r="M97" s="52"/>
    </row>
    <row r="98" spans="1:13" hidden="1">
      <c r="A98" s="1055"/>
      <c r="B98" s="133">
        <v>13376</v>
      </c>
      <c r="C98" s="179">
        <v>0.1</v>
      </c>
      <c r="D98" s="244" t="s">
        <v>93</v>
      </c>
      <c r="E98" s="264">
        <v>1700000</v>
      </c>
      <c r="F98" s="183">
        <v>0.06</v>
      </c>
      <c r="G98" s="194">
        <f t="shared" si="3"/>
        <v>102000</v>
      </c>
      <c r="H98" s="226" t="s">
        <v>18</v>
      </c>
      <c r="I98" s="52"/>
      <c r="J98" s="52"/>
      <c r="K98" s="52"/>
      <c r="L98" s="52"/>
      <c r="M98" s="52"/>
    </row>
    <row r="99" spans="1:13" ht="15" hidden="1">
      <c r="A99" s="1055"/>
      <c r="B99" s="14">
        <v>13170</v>
      </c>
      <c r="C99" s="242">
        <v>0.1</v>
      </c>
      <c r="D99" s="244" t="s">
        <v>94</v>
      </c>
      <c r="E99" s="194">
        <v>2650000</v>
      </c>
      <c r="F99" s="183">
        <v>0.12</v>
      </c>
      <c r="G99" s="194">
        <f t="shared" si="3"/>
        <v>318000</v>
      </c>
      <c r="H99" s="246" t="s">
        <v>16</v>
      </c>
      <c r="I99" s="114"/>
      <c r="J99" s="52"/>
      <c r="K99" s="52"/>
      <c r="L99" s="52"/>
      <c r="M99" s="52"/>
    </row>
    <row r="100" spans="1:13" ht="18.75" hidden="1" customHeight="1">
      <c r="A100" s="1055"/>
      <c r="B100" s="133">
        <v>13300</v>
      </c>
      <c r="C100" s="178">
        <v>0.08</v>
      </c>
      <c r="D100" s="244" t="s">
        <v>95</v>
      </c>
      <c r="E100" s="264">
        <v>3100000</v>
      </c>
      <c r="F100" s="178">
        <v>0.06</v>
      </c>
      <c r="G100" s="194">
        <f t="shared" si="3"/>
        <v>186000</v>
      </c>
      <c r="H100" s="226" t="s">
        <v>66</v>
      </c>
      <c r="I100" s="52"/>
      <c r="J100" s="52"/>
      <c r="K100" s="52"/>
      <c r="L100" s="52"/>
      <c r="M100" s="52"/>
    </row>
    <row r="101" spans="1:13" ht="15" hidden="1" customHeight="1">
      <c r="A101" s="1055"/>
      <c r="B101" s="14">
        <v>13271</v>
      </c>
      <c r="C101" s="179">
        <v>0.1</v>
      </c>
      <c r="D101" s="193" t="s">
        <v>96</v>
      </c>
      <c r="E101" s="194">
        <v>1750000</v>
      </c>
      <c r="F101" s="183">
        <v>0.06</v>
      </c>
      <c r="G101" s="194">
        <f t="shared" si="3"/>
        <v>105000</v>
      </c>
      <c r="H101" s="226" t="s">
        <v>18</v>
      </c>
      <c r="I101" s="52"/>
      <c r="J101" s="52"/>
      <c r="K101" s="52"/>
      <c r="L101" s="52"/>
      <c r="M101" s="52"/>
    </row>
    <row r="102" spans="1:13" hidden="1">
      <c r="A102" s="1055"/>
      <c r="B102" s="133">
        <v>13226</v>
      </c>
      <c r="C102" s="179">
        <v>0.1</v>
      </c>
      <c r="D102" s="244" t="s">
        <v>97</v>
      </c>
      <c r="E102" s="264">
        <v>2300000</v>
      </c>
      <c r="F102" s="183">
        <v>7.0000000000000007E-2</v>
      </c>
      <c r="G102" s="194">
        <f t="shared" si="3"/>
        <v>161000.00000000003</v>
      </c>
      <c r="H102" s="226" t="s">
        <v>66</v>
      </c>
      <c r="I102" s="52"/>
      <c r="J102" s="52"/>
      <c r="K102" s="52"/>
      <c r="L102" s="52"/>
      <c r="M102" s="52"/>
    </row>
    <row r="103" spans="1:13" ht="15" hidden="1">
      <c r="A103" s="1055"/>
      <c r="B103" s="54">
        <v>13392</v>
      </c>
      <c r="C103" s="179">
        <v>0.1</v>
      </c>
      <c r="D103" s="244" t="s">
        <v>98</v>
      </c>
      <c r="E103" s="264">
        <v>2100000</v>
      </c>
      <c r="F103" s="183">
        <v>0.12</v>
      </c>
      <c r="G103" s="194">
        <f t="shared" si="3"/>
        <v>252000</v>
      </c>
      <c r="H103" s="226" t="s">
        <v>16</v>
      </c>
      <c r="I103" s="52"/>
      <c r="J103" s="52"/>
      <c r="K103" s="52"/>
      <c r="L103" s="52"/>
      <c r="M103" s="52"/>
    </row>
    <row r="104" spans="1:13" hidden="1">
      <c r="A104" s="1055"/>
      <c r="B104" s="133">
        <v>13259</v>
      </c>
      <c r="C104" s="179">
        <v>0.1</v>
      </c>
      <c r="D104" s="244" t="s">
        <v>99</v>
      </c>
      <c r="E104" s="264">
        <v>1450000</v>
      </c>
      <c r="F104" s="183">
        <v>0.06</v>
      </c>
      <c r="G104" s="194">
        <f t="shared" si="3"/>
        <v>87000</v>
      </c>
      <c r="H104" s="226" t="s">
        <v>18</v>
      </c>
      <c r="I104" s="52"/>
      <c r="J104" s="52"/>
      <c r="K104" s="52"/>
      <c r="L104" s="52"/>
      <c r="M104" s="52"/>
    </row>
    <row r="105" spans="1:13" ht="48" hidden="1">
      <c r="A105" s="1055"/>
      <c r="B105" s="269"/>
      <c r="C105" s="229"/>
      <c r="D105" s="270" t="s">
        <v>78</v>
      </c>
      <c r="E105" s="271"/>
      <c r="F105" s="272"/>
      <c r="G105" s="271"/>
      <c r="H105" s="233" t="s">
        <v>66</v>
      </c>
      <c r="I105" s="303" t="s">
        <v>100</v>
      </c>
      <c r="J105" s="187"/>
      <c r="K105" s="187"/>
      <c r="L105" s="187"/>
      <c r="M105" s="304">
        <f>SUM(M92:M104)</f>
        <v>231500</v>
      </c>
    </row>
    <row r="106" spans="1:13" ht="15.75" hidden="1">
      <c r="A106" s="1026" t="s">
        <v>32</v>
      </c>
      <c r="B106" s="1026"/>
      <c r="C106" s="1026"/>
      <c r="D106" s="1026"/>
      <c r="E106" s="172">
        <f>SUM(E92:E105)</f>
        <v>23370000</v>
      </c>
      <c r="F106" s="173" t="s">
        <v>32</v>
      </c>
      <c r="G106" s="174">
        <f>SUM(G92:G105)</f>
        <v>1880000</v>
      </c>
      <c r="H106" s="1111"/>
      <c r="I106" s="1111"/>
      <c r="J106" s="1027" t="s">
        <v>33</v>
      </c>
      <c r="K106" s="1027"/>
      <c r="L106" s="1027"/>
      <c r="M106" s="177">
        <f>G106+M105</f>
        <v>2111500</v>
      </c>
    </row>
    <row r="107" spans="1:13" s="116" customFormat="1" hidden="1">
      <c r="A107" s="117"/>
      <c r="B107" s="117"/>
      <c r="C107" s="117"/>
      <c r="D107" s="117"/>
      <c r="E107" s="118"/>
      <c r="F107" s="119"/>
      <c r="G107" s="118"/>
      <c r="J107" s="120"/>
      <c r="K107" s="120"/>
      <c r="L107" s="120"/>
      <c r="M107" s="121"/>
    </row>
    <row r="108" spans="1:13" s="116" customFormat="1" hidden="1">
      <c r="A108" s="117"/>
      <c r="B108" s="117"/>
      <c r="C108" s="117"/>
      <c r="D108" s="117"/>
      <c r="E108" s="118"/>
      <c r="F108" s="119"/>
      <c r="G108" s="118"/>
      <c r="J108" s="120"/>
      <c r="K108" s="120"/>
      <c r="L108" s="120"/>
      <c r="M108" s="121"/>
    </row>
    <row r="109" spans="1:13" ht="18" hidden="1">
      <c r="A109" s="983" t="s">
        <v>101</v>
      </c>
      <c r="B109" s="983"/>
      <c r="C109" s="983"/>
      <c r="D109" s="983"/>
      <c r="E109" s="984"/>
      <c r="F109" s="984"/>
      <c r="G109" s="984"/>
      <c r="H109" s="984"/>
      <c r="I109" s="985"/>
      <c r="J109" s="985"/>
      <c r="K109" s="985"/>
      <c r="L109" s="985"/>
      <c r="M109" s="985"/>
    </row>
    <row r="110" spans="1:13" ht="18" hidden="1">
      <c r="A110" s="102" t="s">
        <v>2</v>
      </c>
      <c r="B110" s="102" t="s">
        <v>3</v>
      </c>
      <c r="C110" s="102" t="s">
        <v>4</v>
      </c>
      <c r="D110" s="102" t="s">
        <v>5</v>
      </c>
      <c r="E110" s="103" t="s">
        <v>6</v>
      </c>
      <c r="F110" s="103" t="s">
        <v>7</v>
      </c>
      <c r="G110" s="103" t="s">
        <v>8</v>
      </c>
      <c r="H110" s="103" t="s">
        <v>9</v>
      </c>
      <c r="I110" s="103" t="s">
        <v>3</v>
      </c>
      <c r="J110" s="103" t="s">
        <v>5</v>
      </c>
      <c r="K110" s="104" t="s">
        <v>10</v>
      </c>
      <c r="L110" s="105" t="s">
        <v>7</v>
      </c>
      <c r="M110" s="105" t="s">
        <v>11</v>
      </c>
    </row>
    <row r="111" spans="1:13" hidden="1">
      <c r="A111" s="1034" t="s">
        <v>102</v>
      </c>
      <c r="B111" s="14">
        <v>13168</v>
      </c>
      <c r="C111" s="179">
        <v>0.1</v>
      </c>
      <c r="D111" s="204" t="s">
        <v>103</v>
      </c>
      <c r="E111" s="194">
        <v>1450000</v>
      </c>
      <c r="F111" s="266">
        <v>0.04</v>
      </c>
      <c r="G111" s="194">
        <f>E111*F111</f>
        <v>58000</v>
      </c>
      <c r="H111" s="226" t="s">
        <v>18</v>
      </c>
      <c r="I111" s="52" t="s">
        <v>104</v>
      </c>
      <c r="J111" s="52"/>
      <c r="K111" s="52"/>
      <c r="L111" s="52"/>
      <c r="M111" s="52"/>
    </row>
    <row r="112" spans="1:13" ht="27.75" hidden="1" customHeight="1">
      <c r="A112" s="1035"/>
      <c r="B112" s="24"/>
      <c r="C112" s="25"/>
      <c r="D112" s="114"/>
      <c r="E112" s="27"/>
      <c r="F112" s="26"/>
      <c r="G112" s="27"/>
      <c r="H112" s="28"/>
      <c r="I112" s="52"/>
      <c r="J112" s="52"/>
      <c r="K112" s="52"/>
      <c r="L112" s="52"/>
      <c r="M112" s="52"/>
    </row>
    <row r="113" spans="1:13" hidden="1">
      <c r="A113" s="1002" t="s">
        <v>32</v>
      </c>
      <c r="B113" s="1002"/>
      <c r="C113" s="1002"/>
      <c r="D113" s="1002"/>
      <c r="E113" s="2">
        <f>SUM(E111:E112)</f>
        <v>1450000</v>
      </c>
      <c r="F113" s="3" t="s">
        <v>32</v>
      </c>
      <c r="G113" s="254">
        <f>SUM(G111:G112)</f>
        <v>58000</v>
      </c>
      <c r="H113" s="1111"/>
      <c r="I113" s="1111"/>
      <c r="J113" s="1004" t="s">
        <v>33</v>
      </c>
      <c r="K113" s="1004"/>
      <c r="L113" s="1004"/>
      <c r="M113" s="16" t="e">
        <f>G113+#REF!</f>
        <v>#REF!</v>
      </c>
    </row>
    <row r="114" spans="1:13" s="31" customFormat="1" hidden="1">
      <c r="A114" s="122"/>
      <c r="B114" s="122"/>
      <c r="C114" s="122"/>
      <c r="D114" s="122"/>
      <c r="E114" s="123"/>
      <c r="F114" s="124"/>
      <c r="G114" s="125"/>
      <c r="H114" s="35"/>
      <c r="I114" s="35"/>
      <c r="J114" s="154"/>
      <c r="K114" s="154"/>
      <c r="L114" s="154"/>
      <c r="M114" s="155"/>
    </row>
    <row r="115" spans="1:13" ht="18" hidden="1">
      <c r="A115" s="983" t="s">
        <v>49</v>
      </c>
      <c r="B115" s="983"/>
      <c r="C115" s="983"/>
      <c r="D115" s="983"/>
      <c r="E115" s="984"/>
      <c r="F115" s="984"/>
      <c r="G115" s="984"/>
      <c r="H115" s="984"/>
      <c r="I115" s="985"/>
      <c r="J115" s="985"/>
      <c r="K115" s="985"/>
      <c r="L115" s="985"/>
      <c r="M115" s="985"/>
    </row>
    <row r="116" spans="1:13" ht="18" hidden="1">
      <c r="A116" s="102" t="s">
        <v>2</v>
      </c>
      <c r="B116" s="102" t="s">
        <v>3</v>
      </c>
      <c r="C116" s="102" t="s">
        <v>4</v>
      </c>
      <c r="D116" s="102" t="s">
        <v>5</v>
      </c>
      <c r="E116" s="103" t="s">
        <v>6</v>
      </c>
      <c r="F116" s="103" t="s">
        <v>7</v>
      </c>
      <c r="G116" s="103" t="s">
        <v>8</v>
      </c>
      <c r="H116" s="103" t="s">
        <v>9</v>
      </c>
      <c r="I116" s="103" t="s">
        <v>3</v>
      </c>
      <c r="J116" s="103" t="s">
        <v>5</v>
      </c>
      <c r="K116" s="104" t="s">
        <v>10</v>
      </c>
      <c r="L116" s="105" t="s">
        <v>7</v>
      </c>
      <c r="M116" s="105" t="s">
        <v>11</v>
      </c>
    </row>
    <row r="117" spans="1:13" hidden="1">
      <c r="A117" s="1053">
        <v>6</v>
      </c>
      <c r="B117" s="14">
        <v>13357</v>
      </c>
      <c r="C117" s="179">
        <v>0.1</v>
      </c>
      <c r="D117" s="204" t="s">
        <v>105</v>
      </c>
      <c r="E117" s="194">
        <v>1850000</v>
      </c>
      <c r="F117" s="266"/>
      <c r="G117" s="194"/>
      <c r="H117" s="226" t="s">
        <v>18</v>
      </c>
      <c r="I117" s="52">
        <v>1</v>
      </c>
      <c r="J117" s="52"/>
      <c r="K117" s="52"/>
      <c r="L117" s="52"/>
      <c r="M117" s="52"/>
    </row>
    <row r="118" spans="1:13" ht="18.75" hidden="1" customHeight="1">
      <c r="A118" s="1054"/>
      <c r="B118" s="14">
        <v>13356</v>
      </c>
      <c r="C118" s="179">
        <v>0.1</v>
      </c>
      <c r="D118" s="193" t="s">
        <v>106</v>
      </c>
      <c r="E118" s="194">
        <v>1500000</v>
      </c>
      <c r="F118" s="183"/>
      <c r="G118" s="194"/>
      <c r="H118" s="226" t="s">
        <v>18</v>
      </c>
      <c r="I118" s="52"/>
      <c r="J118" s="52"/>
      <c r="K118" s="52"/>
      <c r="L118" s="52"/>
      <c r="M118" s="52"/>
    </row>
    <row r="119" spans="1:13" hidden="1">
      <c r="A119" s="1002" t="s">
        <v>32</v>
      </c>
      <c r="B119" s="1002"/>
      <c r="C119" s="1002"/>
      <c r="D119" s="1002"/>
      <c r="E119" s="2">
        <f>SUM(E117:E118)</f>
        <v>3350000</v>
      </c>
      <c r="F119" s="3" t="s">
        <v>32</v>
      </c>
      <c r="G119" s="254">
        <f>SUM(G117:G118)</f>
        <v>0</v>
      </c>
      <c r="H119" s="1111"/>
      <c r="I119" s="1111"/>
      <c r="J119" s="1004" t="s">
        <v>33</v>
      </c>
      <c r="K119" s="1004"/>
      <c r="L119" s="1004"/>
      <c r="M119" s="16" t="e">
        <f>G119+#REF!</f>
        <v>#REF!</v>
      </c>
    </row>
    <row r="120" spans="1:13" s="31" customFormat="1" hidden="1">
      <c r="A120" s="122"/>
      <c r="B120" s="122"/>
      <c r="C120" s="122"/>
      <c r="D120" s="122"/>
      <c r="E120" s="123"/>
      <c r="F120" s="124"/>
      <c r="G120" s="125"/>
      <c r="H120" s="35"/>
      <c r="I120" s="35"/>
      <c r="J120" s="154"/>
      <c r="K120" s="154"/>
      <c r="L120" s="154"/>
      <c r="M120" s="155"/>
    </row>
    <row r="121" spans="1:13" ht="18" hidden="1">
      <c r="A121" s="983" t="s">
        <v>107</v>
      </c>
      <c r="B121" s="983"/>
      <c r="C121" s="983"/>
      <c r="D121" s="983"/>
      <c r="E121" s="984"/>
      <c r="F121" s="984"/>
      <c r="G121" s="984"/>
      <c r="H121" s="984"/>
      <c r="I121" s="985"/>
      <c r="J121" s="985"/>
      <c r="K121" s="985"/>
      <c r="L121" s="985"/>
      <c r="M121" s="985"/>
    </row>
    <row r="122" spans="1:13" ht="18" hidden="1">
      <c r="A122" s="102" t="s">
        <v>2</v>
      </c>
      <c r="B122" s="102" t="s">
        <v>3</v>
      </c>
      <c r="C122" s="102" t="s">
        <v>4</v>
      </c>
      <c r="D122" s="102" t="s">
        <v>5</v>
      </c>
      <c r="E122" s="103" t="s">
        <v>6</v>
      </c>
      <c r="F122" s="103" t="s">
        <v>7</v>
      </c>
      <c r="G122" s="103" t="s">
        <v>8</v>
      </c>
      <c r="H122" s="103" t="s">
        <v>9</v>
      </c>
      <c r="I122" s="103" t="s">
        <v>3</v>
      </c>
      <c r="J122" s="103" t="s">
        <v>5</v>
      </c>
      <c r="K122" s="104" t="s">
        <v>10</v>
      </c>
      <c r="L122" s="105" t="s">
        <v>7</v>
      </c>
      <c r="M122" s="105" t="s">
        <v>11</v>
      </c>
    </row>
    <row r="123" spans="1:13" ht="34.5" hidden="1">
      <c r="A123" s="284">
        <v>7</v>
      </c>
      <c r="B123" s="286"/>
      <c r="C123" s="286"/>
      <c r="D123" s="286"/>
      <c r="E123" s="286"/>
      <c r="F123" s="286"/>
      <c r="G123" s="286"/>
      <c r="H123" s="286"/>
      <c r="I123" s="285"/>
      <c r="J123" s="52"/>
      <c r="K123" s="52"/>
      <c r="L123" s="52"/>
      <c r="M123" s="52"/>
    </row>
    <row r="124" spans="1:13" hidden="1">
      <c r="A124" s="1002" t="s">
        <v>32</v>
      </c>
      <c r="B124" s="1002"/>
      <c r="C124" s="1002"/>
      <c r="D124" s="1002"/>
      <c r="E124" s="2">
        <f>SUM(E123:E123)</f>
        <v>0</v>
      </c>
      <c r="F124" s="3" t="s">
        <v>32</v>
      </c>
      <c r="G124" s="254">
        <f>SUM(G123:G123)</f>
        <v>0</v>
      </c>
      <c r="H124" s="1111"/>
      <c r="I124" s="1111"/>
      <c r="J124" s="1004" t="s">
        <v>33</v>
      </c>
      <c r="K124" s="1013"/>
      <c r="L124" s="1013"/>
      <c r="M124" s="16" t="e">
        <f>G124+#REF!</f>
        <v>#REF!</v>
      </c>
    </row>
    <row r="125" spans="1:13" hidden="1"/>
    <row r="126" spans="1:13" ht="18" hidden="1" customHeight="1">
      <c r="A126" s="1014">
        <v>55</v>
      </c>
      <c r="B126" s="1016" t="s">
        <v>50</v>
      </c>
      <c r="C126" s="1017"/>
      <c r="D126" s="1018"/>
      <c r="E126" s="5">
        <f>E124+E119+E113+E106+E87</f>
        <v>53940000</v>
      </c>
      <c r="F126" s="8"/>
      <c r="G126" s="8"/>
      <c r="H126" s="8"/>
      <c r="I126" s="8"/>
      <c r="J126" s="8"/>
      <c r="K126" s="8"/>
      <c r="L126" s="8"/>
      <c r="M126" s="8"/>
    </row>
    <row r="127" spans="1:13" ht="18" hidden="1" customHeight="1">
      <c r="A127" s="1014"/>
      <c r="B127" s="1019" t="s">
        <v>51</v>
      </c>
      <c r="C127" s="1020"/>
      <c r="D127" s="1021"/>
      <c r="E127" s="17"/>
      <c r="F127" s="8"/>
      <c r="G127" s="8"/>
      <c r="H127" s="8"/>
      <c r="I127" s="8"/>
      <c r="J127" s="8"/>
      <c r="K127" s="8"/>
      <c r="L127" s="8"/>
      <c r="M127" s="8"/>
    </row>
    <row r="128" spans="1:13" ht="18" hidden="1" customHeight="1">
      <c r="A128" s="1015"/>
      <c r="B128" s="1022" t="s">
        <v>52</v>
      </c>
      <c r="C128" s="1023"/>
      <c r="D128" s="1024"/>
      <c r="E128" s="17"/>
      <c r="F128" s="8"/>
      <c r="G128" s="8"/>
      <c r="H128" s="8"/>
      <c r="I128" s="8"/>
      <c r="J128" s="8"/>
      <c r="K128" s="8"/>
      <c r="L128" s="8"/>
      <c r="M128" s="8"/>
    </row>
    <row r="129" spans="1:13" ht="18" hidden="1" customHeight="1">
      <c r="A129" s="276"/>
      <c r="B129" s="276"/>
      <c r="C129" s="276"/>
      <c r="D129" s="276"/>
      <c r="E129" s="276"/>
      <c r="F129" s="8"/>
      <c r="G129" s="8"/>
      <c r="H129" s="8"/>
      <c r="I129" s="8"/>
      <c r="J129" s="8"/>
      <c r="K129" s="8"/>
      <c r="L129" s="8"/>
      <c r="M129" s="8"/>
    </row>
    <row r="130" spans="1:13" ht="18" hidden="1" customHeight="1">
      <c r="A130" s="1025" t="s">
        <v>53</v>
      </c>
      <c r="B130" s="1025" t="s">
        <v>54</v>
      </c>
      <c r="C130" s="1025" t="s">
        <v>55</v>
      </c>
      <c r="D130" s="1025" t="s">
        <v>56</v>
      </c>
      <c r="E130" s="276"/>
      <c r="F130" s="8"/>
      <c r="G130" s="8"/>
      <c r="H130" s="8"/>
      <c r="I130" s="8"/>
      <c r="J130" s="8"/>
      <c r="K130" s="8"/>
      <c r="L130" s="8"/>
      <c r="M130" s="8"/>
    </row>
    <row r="131" spans="1:13" ht="18" hidden="1" customHeight="1">
      <c r="A131" s="1025"/>
      <c r="B131" s="1025"/>
      <c r="C131" s="1025"/>
      <c r="D131" s="1025"/>
      <c r="E131" s="276"/>
      <c r="F131" s="8"/>
      <c r="G131" s="8"/>
      <c r="H131" s="8"/>
      <c r="I131" s="8"/>
      <c r="J131" s="8"/>
      <c r="K131" s="8"/>
      <c r="L131" s="8"/>
      <c r="M131" s="8"/>
    </row>
    <row r="132" spans="1:13" ht="18" hidden="1" customHeight="1">
      <c r="A132" s="1006" t="s">
        <v>57</v>
      </c>
      <c r="B132" s="1007">
        <v>49</v>
      </c>
      <c r="C132" s="1008">
        <v>53940000</v>
      </c>
      <c r="D132" s="1009">
        <v>29</v>
      </c>
      <c r="E132" s="276"/>
      <c r="F132" s="8"/>
      <c r="G132" s="8"/>
      <c r="H132" s="8"/>
      <c r="I132" s="8"/>
      <c r="J132" s="8"/>
      <c r="K132" s="8"/>
      <c r="L132" s="8"/>
      <c r="M132" s="8"/>
    </row>
    <row r="133" spans="1:13" ht="18" hidden="1" customHeight="1">
      <c r="A133" s="1006"/>
      <c r="B133" s="1007"/>
      <c r="C133" s="1007"/>
      <c r="D133" s="1009"/>
      <c r="E133" s="276"/>
      <c r="F133" s="8"/>
      <c r="G133" s="8"/>
      <c r="H133" s="8"/>
      <c r="I133" s="8"/>
      <c r="J133" s="8"/>
      <c r="K133" s="8"/>
      <c r="L133" s="8"/>
      <c r="M133" s="8"/>
    </row>
    <row r="134" spans="1:13" ht="18" hidden="1" customHeight="1">
      <c r="A134" s="1010" t="s">
        <v>58</v>
      </c>
      <c r="B134" s="1007">
        <v>6</v>
      </c>
      <c r="C134" s="1008">
        <v>0</v>
      </c>
      <c r="D134" s="1009">
        <v>0</v>
      </c>
      <c r="E134" s="276"/>
      <c r="F134" s="8"/>
      <c r="G134" s="8"/>
      <c r="H134" s="8"/>
      <c r="I134" s="8"/>
      <c r="J134" s="8"/>
      <c r="K134" s="8"/>
      <c r="L134" s="8"/>
      <c r="M134" s="8"/>
    </row>
    <row r="135" spans="1:13" ht="18" hidden="1" customHeight="1">
      <c r="A135" s="1010"/>
      <c r="B135" s="1007"/>
      <c r="C135" s="1008"/>
      <c r="D135" s="1009"/>
      <c r="E135" s="276"/>
      <c r="F135" s="8"/>
      <c r="G135" s="8"/>
      <c r="H135" s="8"/>
      <c r="I135" s="8"/>
      <c r="J135" s="8"/>
      <c r="K135" s="8"/>
      <c r="L135" s="8"/>
      <c r="M135" s="8"/>
    </row>
    <row r="136" spans="1:13" ht="18" hidden="1" customHeight="1">
      <c r="A136" s="1011" t="s">
        <v>59</v>
      </c>
      <c r="B136" s="1011">
        <f>SUM(B132:B135)</f>
        <v>55</v>
      </c>
      <c r="C136" s="1012">
        <f>SUM(C131:C135)</f>
        <v>53940000</v>
      </c>
      <c r="D136" s="1011">
        <f>SUM(D131:D135)</f>
        <v>29</v>
      </c>
      <c r="E136" s="276"/>
      <c r="F136" s="8"/>
      <c r="G136" s="8"/>
      <c r="H136" s="8"/>
      <c r="I136" s="8"/>
      <c r="J136" s="8"/>
      <c r="K136" s="8"/>
      <c r="L136" s="8"/>
      <c r="M136" s="8"/>
    </row>
    <row r="137" spans="1:13" ht="12.75" hidden="1" customHeight="1">
      <c r="A137" s="1011"/>
      <c r="B137" s="1011"/>
      <c r="C137" s="1011"/>
      <c r="D137" s="1011"/>
      <c r="E137" s="276"/>
    </row>
    <row r="138" spans="1:13" ht="12.75" hidden="1" customHeight="1">
      <c r="A138" s="276"/>
      <c r="B138" s="276"/>
      <c r="C138" s="276"/>
      <c r="D138" s="276"/>
      <c r="E138" s="276"/>
    </row>
    <row r="139" spans="1:13" ht="12.75" hidden="1" customHeight="1">
      <c r="A139" s="276"/>
      <c r="B139" s="276"/>
      <c r="C139" s="276"/>
      <c r="D139" s="276"/>
      <c r="E139" s="276"/>
    </row>
    <row r="140" spans="1:13" ht="12.75" hidden="1" customHeight="1">
      <c r="A140" s="277"/>
      <c r="B140" s="277"/>
      <c r="C140" s="277"/>
      <c r="D140" s="277"/>
      <c r="E140" s="277"/>
    </row>
    <row r="141" spans="1:13" ht="31.5">
      <c r="A141" s="987" t="s">
        <v>108</v>
      </c>
      <c r="B141" s="987"/>
      <c r="C141" s="987"/>
      <c r="D141" s="987"/>
      <c r="E141" s="987"/>
      <c r="F141" s="987"/>
      <c r="G141" s="987"/>
      <c r="H141" s="987"/>
      <c r="I141" s="987"/>
      <c r="J141" s="987"/>
      <c r="K141" s="987"/>
      <c r="L141" s="987"/>
      <c r="M141" s="987"/>
    </row>
    <row r="142" spans="1:13" ht="18" hidden="1">
      <c r="A142" s="983" t="s">
        <v>1</v>
      </c>
      <c r="B142" s="983"/>
      <c r="C142" s="983"/>
      <c r="D142" s="983"/>
      <c r="E142" s="984"/>
      <c r="F142" s="984"/>
      <c r="G142" s="984"/>
      <c r="H142" s="984"/>
      <c r="I142" s="985"/>
      <c r="J142" s="985"/>
      <c r="K142" s="985"/>
      <c r="L142" s="985"/>
      <c r="M142" s="985"/>
    </row>
    <row r="143" spans="1:13" ht="18" hidden="1">
      <c r="A143" s="102" t="s">
        <v>2</v>
      </c>
      <c r="B143" s="102" t="s">
        <v>3</v>
      </c>
      <c r="C143" s="102" t="s">
        <v>4</v>
      </c>
      <c r="D143" s="102" t="s">
        <v>5</v>
      </c>
      <c r="E143" s="103" t="s">
        <v>6</v>
      </c>
      <c r="F143" s="103" t="s">
        <v>7</v>
      </c>
      <c r="G143" s="103" t="s">
        <v>8</v>
      </c>
      <c r="H143" s="103" t="s">
        <v>9</v>
      </c>
      <c r="I143" s="103" t="s">
        <v>3</v>
      </c>
      <c r="J143" s="103" t="s">
        <v>5</v>
      </c>
      <c r="K143" s="104" t="s">
        <v>10</v>
      </c>
      <c r="L143" s="105" t="s">
        <v>7</v>
      </c>
      <c r="M143" s="105" t="s">
        <v>11</v>
      </c>
    </row>
    <row r="144" spans="1:13" hidden="1">
      <c r="A144" s="1042" t="s">
        <v>61</v>
      </c>
      <c r="B144" s="171">
        <v>13414</v>
      </c>
      <c r="C144" s="190">
        <v>0.1</v>
      </c>
      <c r="D144" s="201" t="s">
        <v>109</v>
      </c>
      <c r="E144" s="316">
        <v>3000000</v>
      </c>
      <c r="F144" s="190">
        <v>0.12</v>
      </c>
      <c r="G144" s="316">
        <f>E144*F144</f>
        <v>360000</v>
      </c>
      <c r="H144" s="211" t="s">
        <v>13</v>
      </c>
      <c r="I144" s="225"/>
      <c r="J144" s="52"/>
      <c r="K144" s="52"/>
      <c r="L144" s="52"/>
      <c r="M144" s="52"/>
    </row>
    <row r="145" spans="1:13" ht="15" hidden="1" customHeight="1">
      <c r="A145" s="1043"/>
      <c r="B145" s="127">
        <v>13490</v>
      </c>
      <c r="C145" s="190">
        <v>0.1</v>
      </c>
      <c r="D145" s="218" t="s">
        <v>110</v>
      </c>
      <c r="E145" s="192">
        <v>1900000</v>
      </c>
      <c r="F145" s="210">
        <v>0.12</v>
      </c>
      <c r="G145" s="316">
        <f t="shared" ref="G145:G155" si="5">E145*F145</f>
        <v>228000</v>
      </c>
      <c r="H145" s="211" t="s">
        <v>13</v>
      </c>
      <c r="I145" s="247"/>
      <c r="J145" s="52"/>
      <c r="K145" s="52"/>
      <c r="L145" s="52"/>
      <c r="M145" s="52"/>
    </row>
    <row r="146" spans="1:13" ht="15" hidden="1" customHeight="1">
      <c r="A146" s="1043"/>
      <c r="B146" s="127">
        <v>13535</v>
      </c>
      <c r="C146" s="190">
        <v>0.1</v>
      </c>
      <c r="D146" s="218" t="s">
        <v>111</v>
      </c>
      <c r="E146" s="192">
        <v>2300000</v>
      </c>
      <c r="F146" s="210">
        <v>0.12</v>
      </c>
      <c r="G146" s="316">
        <f t="shared" si="5"/>
        <v>276000</v>
      </c>
      <c r="H146" s="211" t="s">
        <v>13</v>
      </c>
      <c r="I146" s="247"/>
      <c r="J146" s="52"/>
      <c r="K146" s="52"/>
      <c r="L146" s="52"/>
      <c r="M146" s="52"/>
    </row>
    <row r="147" spans="1:13" ht="15.75" hidden="1" customHeight="1">
      <c r="A147" s="1043"/>
      <c r="B147" s="127">
        <v>13526</v>
      </c>
      <c r="C147" s="190">
        <v>0.1</v>
      </c>
      <c r="D147" s="218" t="s">
        <v>112</v>
      </c>
      <c r="E147" s="192">
        <v>1600000</v>
      </c>
      <c r="F147" s="210">
        <v>0.06</v>
      </c>
      <c r="G147" s="316">
        <f t="shared" si="5"/>
        <v>96000</v>
      </c>
      <c r="H147" s="211" t="s">
        <v>49</v>
      </c>
      <c r="I147" s="247"/>
      <c r="J147" s="52"/>
      <c r="K147" s="52"/>
      <c r="L147" s="52"/>
      <c r="M147" s="52"/>
    </row>
    <row r="148" spans="1:13" ht="15.75" hidden="1" customHeight="1">
      <c r="A148" s="1043"/>
      <c r="B148" s="127">
        <v>13588</v>
      </c>
      <c r="C148" s="190">
        <v>0.1</v>
      </c>
      <c r="D148" s="218" t="s">
        <v>113</v>
      </c>
      <c r="E148" s="192">
        <v>1800000</v>
      </c>
      <c r="F148" s="210">
        <v>0.12</v>
      </c>
      <c r="G148" s="316">
        <f t="shared" si="5"/>
        <v>216000</v>
      </c>
      <c r="H148" s="211" t="s">
        <v>13</v>
      </c>
      <c r="I148" s="247"/>
      <c r="J148" s="52"/>
      <c r="K148" s="52"/>
      <c r="L148" s="52"/>
      <c r="M148" s="52"/>
    </row>
    <row r="149" spans="1:13" hidden="1">
      <c r="A149" s="1043"/>
      <c r="B149" s="127">
        <v>13657</v>
      </c>
      <c r="C149" s="190">
        <v>0.1</v>
      </c>
      <c r="D149" s="218" t="s">
        <v>114</v>
      </c>
      <c r="E149" s="192">
        <v>2100000</v>
      </c>
      <c r="F149" s="210">
        <v>0.12</v>
      </c>
      <c r="G149" s="316">
        <f t="shared" si="5"/>
        <v>252000</v>
      </c>
      <c r="H149" s="211" t="s">
        <v>115</v>
      </c>
      <c r="I149" s="247"/>
      <c r="J149" s="52"/>
      <c r="K149" s="52"/>
      <c r="L149" s="52"/>
      <c r="M149" s="52"/>
    </row>
    <row r="150" spans="1:13" ht="15" hidden="1" customHeight="1">
      <c r="A150" s="1043"/>
      <c r="B150" s="127">
        <v>13578</v>
      </c>
      <c r="C150" s="186">
        <v>0.08</v>
      </c>
      <c r="D150" s="218" t="s">
        <v>116</v>
      </c>
      <c r="E150" s="192">
        <v>3500000</v>
      </c>
      <c r="F150" s="186">
        <v>0.06</v>
      </c>
      <c r="G150" s="316">
        <f t="shared" si="5"/>
        <v>210000</v>
      </c>
      <c r="H150" s="211" t="s">
        <v>16</v>
      </c>
      <c r="I150" s="247"/>
      <c r="J150" s="52"/>
      <c r="K150" s="52"/>
      <c r="L150" s="52"/>
      <c r="M150" s="52"/>
    </row>
    <row r="151" spans="1:13" ht="15" hidden="1" customHeight="1">
      <c r="A151" s="1043"/>
      <c r="B151" s="127">
        <v>13619</v>
      </c>
      <c r="C151" s="186">
        <v>0.08</v>
      </c>
      <c r="D151" s="244" t="s">
        <v>117</v>
      </c>
      <c r="E151" s="192">
        <v>2500000</v>
      </c>
      <c r="F151" s="186">
        <v>0.1</v>
      </c>
      <c r="G151" s="316">
        <f t="shared" si="5"/>
        <v>250000</v>
      </c>
      <c r="H151" s="211" t="s">
        <v>13</v>
      </c>
      <c r="I151" s="247"/>
      <c r="J151" s="52"/>
      <c r="K151" s="52"/>
      <c r="L151" s="52"/>
      <c r="M151" s="52"/>
    </row>
    <row r="152" spans="1:13" ht="15" hidden="1" customHeight="1">
      <c r="A152" s="1043"/>
      <c r="B152" s="127">
        <v>13568</v>
      </c>
      <c r="C152" s="190">
        <v>0.1</v>
      </c>
      <c r="D152" s="244" t="s">
        <v>118</v>
      </c>
      <c r="E152" s="192">
        <v>2200000</v>
      </c>
      <c r="F152" s="210">
        <v>0.06</v>
      </c>
      <c r="G152" s="316">
        <f t="shared" si="5"/>
        <v>132000</v>
      </c>
      <c r="H152" s="211" t="s">
        <v>49</v>
      </c>
      <c r="I152" s="247"/>
      <c r="J152" s="52"/>
      <c r="K152" s="52"/>
      <c r="L152" s="52"/>
      <c r="M152" s="52"/>
    </row>
    <row r="153" spans="1:13" ht="15.75" hidden="1" customHeight="1">
      <c r="A153" s="1043"/>
      <c r="B153" s="127">
        <v>13441</v>
      </c>
      <c r="C153" s="190">
        <v>0.1</v>
      </c>
      <c r="D153" s="218" t="s">
        <v>119</v>
      </c>
      <c r="E153" s="192">
        <v>1780000</v>
      </c>
      <c r="F153" s="210">
        <v>0.12</v>
      </c>
      <c r="G153" s="316">
        <f t="shared" si="5"/>
        <v>213600</v>
      </c>
      <c r="H153" s="211" t="s">
        <v>13</v>
      </c>
      <c r="I153" s="247"/>
      <c r="J153" s="52"/>
      <c r="K153" s="52"/>
      <c r="L153" s="52"/>
      <c r="M153" s="52"/>
    </row>
    <row r="154" spans="1:13" ht="15.75" hidden="1" customHeight="1">
      <c r="A154" s="1043"/>
      <c r="B154" s="127">
        <v>13600</v>
      </c>
      <c r="C154" s="190">
        <v>0.1</v>
      </c>
      <c r="D154" s="218" t="s">
        <v>120</v>
      </c>
      <c r="E154" s="192">
        <v>1400000</v>
      </c>
      <c r="F154" s="210">
        <v>0.12</v>
      </c>
      <c r="G154" s="316">
        <f t="shared" si="5"/>
        <v>168000</v>
      </c>
      <c r="H154" s="211" t="s">
        <v>13</v>
      </c>
      <c r="I154" s="247"/>
      <c r="J154" s="52"/>
      <c r="K154" s="52"/>
      <c r="L154" s="52"/>
      <c r="M154" s="52"/>
    </row>
    <row r="155" spans="1:13" ht="15.75" hidden="1" customHeight="1">
      <c r="A155" s="1043"/>
      <c r="B155" s="127">
        <v>13636</v>
      </c>
      <c r="C155" s="186">
        <v>0.08</v>
      </c>
      <c r="D155" s="218" t="s">
        <v>121</v>
      </c>
      <c r="E155" s="192">
        <v>1300000</v>
      </c>
      <c r="F155" s="186">
        <v>0.05</v>
      </c>
      <c r="G155" s="316">
        <f>E155*F155</f>
        <v>65000</v>
      </c>
      <c r="H155" s="211" t="s">
        <v>49</v>
      </c>
      <c r="I155" s="247"/>
      <c r="J155" s="52"/>
      <c r="K155" s="52"/>
      <c r="L155" s="52"/>
      <c r="M155" s="52"/>
    </row>
    <row r="156" spans="1:13" ht="15.75" hidden="1" customHeight="1">
      <c r="A156" s="1043"/>
      <c r="B156" s="128"/>
      <c r="C156" s="219"/>
      <c r="D156" s="220" t="s">
        <v>122</v>
      </c>
      <c r="E156" s="221"/>
      <c r="F156" s="222"/>
      <c r="G156" s="221"/>
      <c r="H156" s="223" t="s">
        <v>13</v>
      </c>
      <c r="I156" s="340" t="s">
        <v>123</v>
      </c>
      <c r="J156" s="52"/>
      <c r="K156" s="52"/>
      <c r="L156" s="52"/>
      <c r="M156" s="52"/>
    </row>
    <row r="157" spans="1:13" ht="15" hidden="1" customHeight="1">
      <c r="A157" s="1043"/>
      <c r="B157" s="128"/>
      <c r="C157" s="219"/>
      <c r="D157" s="270" t="s">
        <v>124</v>
      </c>
      <c r="E157" s="221"/>
      <c r="F157" s="222"/>
      <c r="G157" s="221"/>
      <c r="H157" s="223" t="s">
        <v>49</v>
      </c>
      <c r="I157" s="340" t="s">
        <v>125</v>
      </c>
      <c r="J157" s="52"/>
      <c r="K157" s="52"/>
      <c r="L157" s="52"/>
      <c r="M157" s="52"/>
    </row>
    <row r="158" spans="1:13" ht="15" hidden="1" customHeight="1">
      <c r="A158" s="1043"/>
      <c r="B158" s="128"/>
      <c r="C158" s="219"/>
      <c r="D158" s="220" t="s">
        <v>126</v>
      </c>
      <c r="E158" s="221"/>
      <c r="F158" s="222"/>
      <c r="G158" s="221"/>
      <c r="H158" s="223" t="s">
        <v>49</v>
      </c>
      <c r="I158" s="340" t="s">
        <v>127</v>
      </c>
      <c r="J158" s="52"/>
      <c r="K158" s="52"/>
      <c r="L158" s="52"/>
      <c r="M158" s="52"/>
    </row>
    <row r="159" spans="1:13" ht="15" hidden="1" customHeight="1">
      <c r="A159" s="1048"/>
      <c r="B159" s="128"/>
      <c r="C159" s="219"/>
      <c r="D159" s="220" t="s">
        <v>128</v>
      </c>
      <c r="E159" s="221"/>
      <c r="F159" s="222"/>
      <c r="G159" s="221"/>
      <c r="H159" s="223" t="s">
        <v>16</v>
      </c>
      <c r="I159" s="340" t="s">
        <v>129</v>
      </c>
      <c r="J159" s="52"/>
      <c r="K159" s="52"/>
      <c r="L159" s="52"/>
      <c r="M159" s="52"/>
    </row>
    <row r="160" spans="1:13" hidden="1">
      <c r="A160" s="1001" t="s">
        <v>32</v>
      </c>
      <c r="B160" s="1002"/>
      <c r="C160" s="1002"/>
      <c r="D160" s="1002"/>
      <c r="E160" s="323">
        <f>SUM(E144:E159)</f>
        <v>25380000</v>
      </c>
      <c r="F160" s="324" t="s">
        <v>32</v>
      </c>
      <c r="G160" s="325">
        <f>SUM(G144:G159)</f>
        <v>2466600</v>
      </c>
      <c r="H160" s="1113"/>
      <c r="I160" s="1113"/>
      <c r="J160" s="1003" t="s">
        <v>33</v>
      </c>
      <c r="K160" s="1004"/>
      <c r="L160" s="1004"/>
      <c r="M160" s="16" t="e">
        <f>G160+#REF!</f>
        <v>#REF!</v>
      </c>
    </row>
    <row r="161" spans="1:13" hidden="1"/>
    <row r="162" spans="1:13" hidden="1"/>
    <row r="163" spans="1:13" ht="18" hidden="1">
      <c r="A163" s="983" t="s">
        <v>16</v>
      </c>
      <c r="B163" s="983"/>
      <c r="C163" s="983"/>
      <c r="D163" s="983"/>
      <c r="E163" s="984"/>
      <c r="F163" s="984"/>
      <c r="G163" s="984"/>
      <c r="H163" s="984"/>
      <c r="I163" s="985"/>
      <c r="J163" s="985"/>
      <c r="K163" s="985"/>
      <c r="L163" s="985"/>
      <c r="M163" s="985"/>
    </row>
    <row r="164" spans="1:13" ht="18" hidden="1">
      <c r="A164" s="102" t="s">
        <v>2</v>
      </c>
      <c r="B164" s="102" t="s">
        <v>3</v>
      </c>
      <c r="C164" s="102" t="s">
        <v>4</v>
      </c>
      <c r="D164" s="102" t="s">
        <v>5</v>
      </c>
      <c r="E164" s="103" t="s">
        <v>6</v>
      </c>
      <c r="F164" s="103" t="s">
        <v>7</v>
      </c>
      <c r="G164" s="103" t="s">
        <v>8</v>
      </c>
      <c r="H164" s="103" t="s">
        <v>9</v>
      </c>
      <c r="I164" s="103" t="s">
        <v>3</v>
      </c>
      <c r="J164" s="103" t="s">
        <v>5</v>
      </c>
      <c r="K164" s="104" t="s">
        <v>10</v>
      </c>
      <c r="L164" s="105" t="s">
        <v>7</v>
      </c>
      <c r="M164" s="105" t="s">
        <v>11</v>
      </c>
    </row>
    <row r="165" spans="1:13" ht="15" hidden="1" customHeight="1">
      <c r="A165" s="1043" t="s">
        <v>130</v>
      </c>
      <c r="B165" s="14">
        <v>13495</v>
      </c>
      <c r="C165" s="179">
        <v>0.1</v>
      </c>
      <c r="D165" s="193" t="s">
        <v>131</v>
      </c>
      <c r="E165" s="194">
        <v>2500000</v>
      </c>
      <c r="F165" s="356">
        <v>7.0000000000000007E-2</v>
      </c>
      <c r="G165" s="194">
        <f>E165*F165</f>
        <v>175000.00000000003</v>
      </c>
      <c r="H165" s="226" t="s">
        <v>66</v>
      </c>
      <c r="I165" s="193">
        <v>13521</v>
      </c>
      <c r="J165" s="193" t="s">
        <v>132</v>
      </c>
      <c r="K165" s="264">
        <v>2600000</v>
      </c>
      <c r="L165" s="357">
        <v>0.05</v>
      </c>
      <c r="M165" s="193">
        <f>K165*L165</f>
        <v>130000</v>
      </c>
    </row>
    <row r="166" spans="1:13" ht="12.75" hidden="1" customHeight="1">
      <c r="A166" s="1043"/>
      <c r="B166" s="133">
        <v>13502</v>
      </c>
      <c r="C166" s="179">
        <v>0.1</v>
      </c>
      <c r="D166" s="244" t="s">
        <v>128</v>
      </c>
      <c r="E166" s="264">
        <v>1850000</v>
      </c>
      <c r="F166" s="357">
        <v>0.12</v>
      </c>
      <c r="G166" s="194">
        <f t="shared" ref="G166:G175" si="6">E166*F166</f>
        <v>222000</v>
      </c>
      <c r="H166" s="226" t="s">
        <v>16</v>
      </c>
      <c r="I166" s="193">
        <v>13578</v>
      </c>
      <c r="J166" s="193" t="s">
        <v>133</v>
      </c>
      <c r="K166" s="264">
        <v>3500000</v>
      </c>
      <c r="L166" s="358">
        <v>0.04</v>
      </c>
      <c r="M166" s="193">
        <f>K166*L166</f>
        <v>140000</v>
      </c>
    </row>
    <row r="167" spans="1:13" ht="12.75" hidden="1" customHeight="1">
      <c r="A167" s="1043"/>
      <c r="B167" s="133">
        <v>13515</v>
      </c>
      <c r="C167" s="179">
        <v>0.1</v>
      </c>
      <c r="D167" s="244" t="s">
        <v>134</v>
      </c>
      <c r="E167" s="264">
        <v>1800000</v>
      </c>
      <c r="F167" s="357">
        <v>0.06</v>
      </c>
      <c r="G167" s="194">
        <f t="shared" si="6"/>
        <v>108000</v>
      </c>
      <c r="H167" s="226" t="s">
        <v>49</v>
      </c>
      <c r="I167" s="362">
        <v>13440</v>
      </c>
      <c r="J167" s="193" t="s">
        <v>135</v>
      </c>
      <c r="K167" s="264">
        <v>2000000</v>
      </c>
      <c r="L167" s="357">
        <v>0.05</v>
      </c>
      <c r="M167" s="193">
        <f>K167*L167</f>
        <v>100000</v>
      </c>
    </row>
    <row r="168" spans="1:13" ht="12.75" hidden="1" customHeight="1">
      <c r="A168" s="1043"/>
      <c r="B168" s="133">
        <v>13575</v>
      </c>
      <c r="C168" s="178">
        <v>0.08</v>
      </c>
      <c r="D168" s="244" t="s">
        <v>136</v>
      </c>
      <c r="E168" s="264">
        <v>1350000</v>
      </c>
      <c r="F168" s="358">
        <v>0.1</v>
      </c>
      <c r="G168" s="194">
        <f t="shared" si="6"/>
        <v>135000</v>
      </c>
      <c r="H168" s="226" t="s">
        <v>16</v>
      </c>
      <c r="I168" s="193">
        <v>13651</v>
      </c>
      <c r="J168" s="193" t="s">
        <v>137</v>
      </c>
      <c r="K168" s="264">
        <v>1500000</v>
      </c>
      <c r="L168" s="357">
        <v>0.05</v>
      </c>
      <c r="M168" s="193">
        <f>K168*L168</f>
        <v>75000</v>
      </c>
    </row>
    <row r="169" spans="1:13" ht="12.75" hidden="1" customHeight="1">
      <c r="A169" s="1043"/>
      <c r="B169" s="133">
        <v>13630</v>
      </c>
      <c r="C169" s="178">
        <v>0.08</v>
      </c>
      <c r="D169" s="244" t="s">
        <v>138</v>
      </c>
      <c r="E169" s="264">
        <v>1400000</v>
      </c>
      <c r="F169" s="358">
        <v>0.1</v>
      </c>
      <c r="G169" s="194">
        <f t="shared" si="6"/>
        <v>140000</v>
      </c>
      <c r="H169" s="226" t="s">
        <v>16</v>
      </c>
      <c r="I169" s="225"/>
      <c r="J169" s="225"/>
      <c r="K169" s="225"/>
      <c r="L169" s="225"/>
      <c r="M169" s="225"/>
    </row>
    <row r="170" spans="1:13" ht="18" hidden="1" customHeight="1">
      <c r="A170" s="1043"/>
      <c r="B170" s="133">
        <v>13463</v>
      </c>
      <c r="C170" s="178">
        <v>0.08</v>
      </c>
      <c r="D170" s="193" t="s">
        <v>139</v>
      </c>
      <c r="E170" s="194">
        <v>1700000</v>
      </c>
      <c r="F170" s="358">
        <v>0.05</v>
      </c>
      <c r="G170" s="194">
        <f t="shared" si="6"/>
        <v>85000</v>
      </c>
      <c r="H170" s="193" t="s">
        <v>49</v>
      </c>
      <c r="I170" s="225"/>
      <c r="J170" s="225"/>
      <c r="K170" s="225"/>
      <c r="L170" s="225"/>
      <c r="M170" s="225"/>
    </row>
    <row r="171" spans="1:13" ht="12.75" hidden="1" customHeight="1">
      <c r="A171" s="1043"/>
      <c r="B171" s="133">
        <v>13539</v>
      </c>
      <c r="C171" s="179">
        <v>0.1</v>
      </c>
      <c r="D171" s="244" t="s">
        <v>140</v>
      </c>
      <c r="E171" s="264">
        <v>1400000</v>
      </c>
      <c r="F171" s="357">
        <v>0.06</v>
      </c>
      <c r="G171" s="194">
        <f t="shared" si="6"/>
        <v>84000</v>
      </c>
      <c r="H171" s="226" t="s">
        <v>49</v>
      </c>
      <c r="I171" s="369"/>
      <c r="J171" s="369"/>
      <c r="K171" s="369"/>
      <c r="L171" s="369"/>
      <c r="M171" s="369"/>
    </row>
    <row r="172" spans="1:13" ht="12.75" hidden="1" customHeight="1">
      <c r="A172" s="1043"/>
      <c r="B172" s="133">
        <v>13477</v>
      </c>
      <c r="C172" s="178">
        <v>0.08</v>
      </c>
      <c r="D172" s="244" t="s">
        <v>141</v>
      </c>
      <c r="E172" s="264">
        <v>1650000</v>
      </c>
      <c r="F172" s="358">
        <v>0.05</v>
      </c>
      <c r="G172" s="194">
        <f t="shared" si="6"/>
        <v>82500</v>
      </c>
      <c r="H172" s="226" t="s">
        <v>49</v>
      </c>
      <c r="I172" s="225"/>
      <c r="J172" s="225"/>
      <c r="K172" s="225"/>
      <c r="L172" s="225"/>
      <c r="M172" s="225"/>
    </row>
    <row r="173" spans="1:13" ht="12.75" hidden="1" customHeight="1">
      <c r="A173" s="1043"/>
      <c r="B173" s="133">
        <v>13593</v>
      </c>
      <c r="C173" s="179">
        <v>0.1</v>
      </c>
      <c r="D173" s="244" t="s">
        <v>142</v>
      </c>
      <c r="E173" s="264">
        <v>1500000</v>
      </c>
      <c r="F173" s="357">
        <v>0.06</v>
      </c>
      <c r="G173" s="194">
        <f t="shared" si="6"/>
        <v>90000</v>
      </c>
      <c r="H173" s="226" t="s">
        <v>49</v>
      </c>
      <c r="I173" s="225"/>
      <c r="J173" s="225"/>
      <c r="K173" s="225"/>
      <c r="L173" s="225"/>
      <c r="M173" s="225"/>
    </row>
    <row r="174" spans="1:13" ht="12.75" hidden="1" customHeight="1">
      <c r="A174" s="1043"/>
      <c r="B174" s="133">
        <v>13661</v>
      </c>
      <c r="C174" s="179">
        <v>0.1</v>
      </c>
      <c r="D174" s="244" t="s">
        <v>143</v>
      </c>
      <c r="E174" s="264">
        <v>2500000</v>
      </c>
      <c r="F174" s="357">
        <v>0.12</v>
      </c>
      <c r="G174" s="194">
        <f t="shared" si="6"/>
        <v>300000</v>
      </c>
      <c r="H174" s="226" t="s">
        <v>16</v>
      </c>
      <c r="I174" s="225"/>
      <c r="J174" s="225"/>
      <c r="K174" s="225"/>
      <c r="L174" s="225"/>
      <c r="M174" s="225"/>
    </row>
    <row r="175" spans="1:13" ht="12.75" hidden="1" customHeight="1">
      <c r="A175" s="1043"/>
      <c r="B175" s="133">
        <v>13509</v>
      </c>
      <c r="C175" s="179">
        <v>0.1</v>
      </c>
      <c r="D175" s="244" t="s">
        <v>144</v>
      </c>
      <c r="E175" s="264">
        <v>1900000</v>
      </c>
      <c r="F175" s="357">
        <v>0.12</v>
      </c>
      <c r="G175" s="194">
        <f t="shared" si="6"/>
        <v>228000</v>
      </c>
      <c r="H175" s="226" t="s">
        <v>16</v>
      </c>
      <c r="I175" s="225"/>
      <c r="J175" s="225"/>
      <c r="K175" s="225"/>
      <c r="L175" s="225"/>
      <c r="M175" s="225"/>
    </row>
    <row r="176" spans="1:13" ht="12.75" hidden="1" customHeight="1">
      <c r="A176" s="1043"/>
      <c r="B176" s="269"/>
      <c r="C176" s="229"/>
      <c r="D176" s="270" t="s">
        <v>145</v>
      </c>
      <c r="E176" s="271"/>
      <c r="F176" s="272"/>
      <c r="G176" s="271"/>
      <c r="H176" s="233" t="s">
        <v>83</v>
      </c>
      <c r="I176" s="370" t="s">
        <v>146</v>
      </c>
      <c r="J176" s="225"/>
      <c r="K176" s="225"/>
      <c r="L176" s="225"/>
      <c r="M176" s="225"/>
    </row>
    <row r="177" spans="1:13" ht="12.75" hidden="1" customHeight="1">
      <c r="A177" s="1043"/>
      <c r="B177" s="269"/>
      <c r="C177" s="229"/>
      <c r="D177" s="270" t="s">
        <v>147</v>
      </c>
      <c r="E177" s="271"/>
      <c r="F177" s="272"/>
      <c r="G177" s="271"/>
      <c r="H177" s="233" t="s">
        <v>16</v>
      </c>
      <c r="I177" s="370" t="s">
        <v>148</v>
      </c>
      <c r="J177" s="225"/>
      <c r="K177" s="225"/>
      <c r="L177" s="225"/>
      <c r="M177" s="225"/>
    </row>
    <row r="178" spans="1:13" ht="12.75" hidden="1" customHeight="1">
      <c r="A178" s="1043"/>
      <c r="B178" s="269"/>
      <c r="C178" s="229"/>
      <c r="D178" s="270" t="s">
        <v>124</v>
      </c>
      <c r="E178" s="271"/>
      <c r="F178" s="272"/>
      <c r="G178" s="271"/>
      <c r="H178" s="233" t="s">
        <v>49</v>
      </c>
      <c r="I178" s="370" t="s">
        <v>149</v>
      </c>
      <c r="J178" s="371"/>
      <c r="K178" s="225"/>
      <c r="L178" s="306"/>
      <c r="M178" s="368">
        <f>SUM(M165:M177)</f>
        <v>445000</v>
      </c>
    </row>
    <row r="179" spans="1:13" ht="18" hidden="1">
      <c r="A179" s="1002" t="s">
        <v>32</v>
      </c>
      <c r="B179" s="1002"/>
      <c r="C179" s="1002"/>
      <c r="D179" s="1002"/>
      <c r="E179" s="2">
        <f>SUM(E165:E178)</f>
        <v>19550000</v>
      </c>
      <c r="F179" s="3" t="s">
        <v>32</v>
      </c>
      <c r="G179" s="254">
        <f>SUM(G165:G178)</f>
        <v>1649500</v>
      </c>
      <c r="H179" s="1111"/>
      <c r="I179" s="1111"/>
      <c r="J179" s="1004" t="s">
        <v>33</v>
      </c>
      <c r="K179" s="1004"/>
      <c r="L179" s="1004"/>
      <c r="M179" s="372">
        <f>G179+M178</f>
        <v>2094500</v>
      </c>
    </row>
    <row r="180" spans="1:13" s="116" customFormat="1" hidden="1">
      <c r="A180" s="117"/>
      <c r="B180" s="117"/>
      <c r="C180" s="117"/>
      <c r="D180" s="117"/>
      <c r="E180" s="118"/>
      <c r="F180" s="119"/>
      <c r="G180" s="118"/>
      <c r="J180" s="120"/>
      <c r="K180" s="120"/>
      <c r="L180" s="120"/>
      <c r="M180" s="121"/>
    </row>
    <row r="181" spans="1:13" s="116" customFormat="1" hidden="1">
      <c r="A181" s="117"/>
      <c r="B181" s="117"/>
      <c r="C181" s="117"/>
      <c r="D181" s="117"/>
      <c r="E181" s="118"/>
      <c r="F181" s="119"/>
      <c r="G181" s="118"/>
      <c r="J181" s="120"/>
      <c r="K181" s="120"/>
      <c r="L181" s="120"/>
      <c r="M181" s="121"/>
    </row>
    <row r="182" spans="1:13" ht="18" hidden="1">
      <c r="A182" s="983" t="s">
        <v>107</v>
      </c>
      <c r="B182" s="983"/>
      <c r="C182" s="983"/>
      <c r="D182" s="983"/>
      <c r="E182" s="984"/>
      <c r="F182" s="984"/>
      <c r="G182" s="984"/>
      <c r="H182" s="984"/>
      <c r="I182" s="985"/>
      <c r="J182" s="985"/>
      <c r="K182" s="985"/>
      <c r="L182" s="985"/>
      <c r="M182" s="985"/>
    </row>
    <row r="183" spans="1:13" ht="18" hidden="1">
      <c r="A183" s="102" t="s">
        <v>2</v>
      </c>
      <c r="B183" s="102" t="s">
        <v>3</v>
      </c>
      <c r="C183" s="102" t="s">
        <v>4</v>
      </c>
      <c r="D183" s="102" t="s">
        <v>5</v>
      </c>
      <c r="E183" s="103" t="s">
        <v>6</v>
      </c>
      <c r="F183" s="103" t="s">
        <v>7</v>
      </c>
      <c r="G183" s="103" t="s">
        <v>8</v>
      </c>
      <c r="H183" s="103" t="s">
        <v>9</v>
      </c>
      <c r="I183" s="103" t="s">
        <v>3</v>
      </c>
      <c r="J183" s="103" t="s">
        <v>5</v>
      </c>
      <c r="K183" s="104" t="s">
        <v>10</v>
      </c>
      <c r="L183" s="105" t="s">
        <v>7</v>
      </c>
      <c r="M183" s="105" t="s">
        <v>11</v>
      </c>
    </row>
    <row r="184" spans="1:13" hidden="1">
      <c r="A184" s="1049" t="s">
        <v>150</v>
      </c>
      <c r="B184" s="14">
        <v>13427</v>
      </c>
      <c r="C184" s="179">
        <v>0.1</v>
      </c>
      <c r="D184" s="204" t="s">
        <v>151</v>
      </c>
      <c r="E184" s="194">
        <v>2500000</v>
      </c>
      <c r="F184" s="183">
        <v>0.05</v>
      </c>
      <c r="G184" s="194">
        <f>E184*F184</f>
        <v>125000</v>
      </c>
      <c r="H184" s="226" t="s">
        <v>66</v>
      </c>
      <c r="I184" s="114"/>
      <c r="J184" s="52"/>
      <c r="K184" s="52"/>
      <c r="L184" s="52"/>
      <c r="M184" s="52"/>
    </row>
    <row r="185" spans="1:13" hidden="1">
      <c r="A185" s="1049"/>
      <c r="B185" s="14">
        <v>13437</v>
      </c>
      <c r="C185" s="179">
        <v>0.1</v>
      </c>
      <c r="D185" s="204" t="s">
        <v>152</v>
      </c>
      <c r="E185" s="194">
        <v>1250000</v>
      </c>
      <c r="F185" s="183">
        <v>0.1</v>
      </c>
      <c r="G185" s="194">
        <f t="shared" ref="G185:G193" si="7">E185*F185</f>
        <v>125000</v>
      </c>
      <c r="H185" s="226" t="s">
        <v>153</v>
      </c>
      <c r="I185" s="114"/>
      <c r="J185" s="52"/>
      <c r="K185" s="52"/>
      <c r="L185" s="52"/>
      <c r="M185" s="52"/>
    </row>
    <row r="186" spans="1:13" hidden="1">
      <c r="A186" s="1049"/>
      <c r="B186" s="14">
        <v>13432</v>
      </c>
      <c r="C186" s="179">
        <v>0.1</v>
      </c>
      <c r="D186" s="193" t="s">
        <v>154</v>
      </c>
      <c r="E186" s="194">
        <v>1200000</v>
      </c>
      <c r="F186" s="183">
        <v>0.1</v>
      </c>
      <c r="G186" s="194">
        <f t="shared" si="7"/>
        <v>120000</v>
      </c>
      <c r="H186" s="226" t="s">
        <v>153</v>
      </c>
      <c r="I186" s="114"/>
      <c r="J186" s="52"/>
      <c r="K186" s="52"/>
      <c r="L186" s="52"/>
      <c r="M186" s="52"/>
    </row>
    <row r="187" spans="1:13" hidden="1">
      <c r="A187" s="1049"/>
      <c r="B187" s="14">
        <v>13528</v>
      </c>
      <c r="C187" s="179">
        <v>0.1</v>
      </c>
      <c r="D187" s="193" t="s">
        <v>155</v>
      </c>
      <c r="E187" s="194">
        <v>1700000</v>
      </c>
      <c r="F187" s="183">
        <v>0.06</v>
      </c>
      <c r="G187" s="194">
        <f t="shared" si="7"/>
        <v>102000</v>
      </c>
      <c r="H187" s="226" t="s">
        <v>49</v>
      </c>
      <c r="I187" s="114"/>
      <c r="J187" s="52"/>
      <c r="K187" s="52"/>
      <c r="L187" s="52"/>
      <c r="M187" s="52"/>
    </row>
    <row r="188" spans="1:13" hidden="1">
      <c r="A188" s="1049"/>
      <c r="B188" s="14">
        <v>13571</v>
      </c>
      <c r="C188" s="179">
        <v>0.1</v>
      </c>
      <c r="D188" s="193" t="s">
        <v>156</v>
      </c>
      <c r="E188" s="194">
        <v>1250000</v>
      </c>
      <c r="F188" s="183">
        <v>0.1</v>
      </c>
      <c r="G188" s="194">
        <f t="shared" si="7"/>
        <v>125000</v>
      </c>
      <c r="H188" s="226" t="s">
        <v>153</v>
      </c>
      <c r="I188" s="114"/>
      <c r="J188" s="52"/>
      <c r="K188" s="52"/>
      <c r="L188" s="52"/>
      <c r="M188" s="52"/>
    </row>
    <row r="189" spans="1:13" ht="15.75" hidden="1" customHeight="1">
      <c r="A189" s="1049"/>
      <c r="B189" s="127">
        <v>13656</v>
      </c>
      <c r="C189" s="190">
        <v>0.1</v>
      </c>
      <c r="D189" s="218" t="s">
        <v>157</v>
      </c>
      <c r="E189" s="192">
        <v>1200000</v>
      </c>
      <c r="F189" s="210">
        <v>0.05</v>
      </c>
      <c r="G189" s="194">
        <f t="shared" si="7"/>
        <v>60000</v>
      </c>
      <c r="H189" s="211" t="s">
        <v>158</v>
      </c>
      <c r="I189" s="114"/>
      <c r="J189" s="52"/>
      <c r="K189" s="52"/>
      <c r="L189" s="52"/>
      <c r="M189" s="52"/>
    </row>
    <row r="190" spans="1:13" ht="15.75" hidden="1" customHeight="1">
      <c r="A190" s="1049"/>
      <c r="B190" s="127">
        <v>13663</v>
      </c>
      <c r="C190" s="190">
        <v>0.1</v>
      </c>
      <c r="D190" s="218" t="s">
        <v>159</v>
      </c>
      <c r="E190" s="192">
        <v>1400000</v>
      </c>
      <c r="F190" s="210">
        <v>0.06</v>
      </c>
      <c r="G190" s="194">
        <f t="shared" si="7"/>
        <v>84000</v>
      </c>
      <c r="H190" s="211" t="s">
        <v>49</v>
      </c>
      <c r="I190" s="114"/>
      <c r="J190" s="52"/>
      <c r="K190" s="52"/>
      <c r="L190" s="52"/>
      <c r="M190" s="52"/>
    </row>
    <row r="191" spans="1:13" ht="18" hidden="1" customHeight="1">
      <c r="A191" s="1049"/>
      <c r="B191" s="127">
        <v>13440</v>
      </c>
      <c r="C191" s="261">
        <v>0.1</v>
      </c>
      <c r="D191" s="201" t="s">
        <v>160</v>
      </c>
      <c r="E191" s="192">
        <v>2000000</v>
      </c>
      <c r="F191" s="183">
        <v>0.05</v>
      </c>
      <c r="G191" s="194">
        <f t="shared" si="7"/>
        <v>100000</v>
      </c>
      <c r="H191" s="262" t="s">
        <v>16</v>
      </c>
      <c r="I191" s="114"/>
      <c r="J191" s="52"/>
      <c r="K191" s="52"/>
      <c r="L191" s="52"/>
      <c r="M191" s="52"/>
    </row>
    <row r="192" spans="1:13" hidden="1">
      <c r="A192" s="1049"/>
      <c r="B192" s="14">
        <v>13624</v>
      </c>
      <c r="C192" s="179">
        <v>0.1</v>
      </c>
      <c r="D192" s="193" t="s">
        <v>161</v>
      </c>
      <c r="E192" s="194">
        <v>4500000</v>
      </c>
      <c r="F192" s="183">
        <v>0.05</v>
      </c>
      <c r="G192" s="194">
        <f t="shared" si="7"/>
        <v>225000</v>
      </c>
      <c r="H192" s="226" t="s">
        <v>158</v>
      </c>
      <c r="I192" s="114"/>
      <c r="J192" s="52"/>
      <c r="K192" s="52"/>
      <c r="L192" s="52"/>
      <c r="M192" s="52"/>
    </row>
    <row r="193" spans="1:13" hidden="1">
      <c r="A193" s="1050"/>
      <c r="B193" s="269"/>
      <c r="C193" s="229"/>
      <c r="D193" s="235" t="s">
        <v>162</v>
      </c>
      <c r="E193" s="271"/>
      <c r="F193" s="229"/>
      <c r="G193" s="231"/>
      <c r="H193" s="233" t="s">
        <v>66</v>
      </c>
      <c r="I193" s="114"/>
      <c r="J193" s="52"/>
      <c r="K193" s="52"/>
      <c r="L193" s="52"/>
      <c r="M193" s="52"/>
    </row>
    <row r="194" spans="1:13" hidden="1">
      <c r="A194" s="1002" t="s">
        <v>32</v>
      </c>
      <c r="B194" s="1002"/>
      <c r="C194" s="1002"/>
      <c r="D194" s="1002"/>
      <c r="E194" s="2">
        <f>SUM(E184:E193)</f>
        <v>17000000</v>
      </c>
      <c r="F194" s="3" t="s">
        <v>32</v>
      </c>
      <c r="G194" s="254">
        <f>SUM(G184:G193)</f>
        <v>1066000</v>
      </c>
      <c r="H194" s="1111"/>
      <c r="I194" s="1111"/>
      <c r="J194" s="1004" t="s">
        <v>33</v>
      </c>
      <c r="K194" s="1004"/>
      <c r="L194" s="1004"/>
      <c r="M194" s="16" t="e">
        <f>G194+#REF!</f>
        <v>#REF!</v>
      </c>
    </row>
    <row r="195" spans="1:13" s="31" customFormat="1" hidden="1">
      <c r="A195" s="122"/>
      <c r="B195" s="122"/>
      <c r="C195" s="122"/>
      <c r="D195" s="122"/>
      <c r="E195" s="123"/>
      <c r="F195" s="124"/>
      <c r="G195" s="125"/>
      <c r="H195" s="35"/>
      <c r="I195" s="35"/>
      <c r="J195" s="154"/>
      <c r="K195" s="154"/>
      <c r="L195" s="154"/>
      <c r="M195" s="155"/>
    </row>
    <row r="196" spans="1:13" ht="18" hidden="1">
      <c r="A196" s="983" t="s">
        <v>163</v>
      </c>
      <c r="B196" s="983"/>
      <c r="C196" s="983"/>
      <c r="D196" s="983"/>
      <c r="E196" s="984"/>
      <c r="F196" s="984"/>
      <c r="G196" s="984"/>
      <c r="H196" s="984"/>
      <c r="I196" s="985"/>
      <c r="J196" s="985"/>
      <c r="K196" s="985"/>
      <c r="L196" s="985"/>
      <c r="M196" s="985"/>
    </row>
    <row r="197" spans="1:13" ht="18" hidden="1">
      <c r="A197" s="102" t="s">
        <v>2</v>
      </c>
      <c r="B197" s="102" t="s">
        <v>3</v>
      </c>
      <c r="C197" s="102" t="s">
        <v>4</v>
      </c>
      <c r="D197" s="102" t="s">
        <v>5</v>
      </c>
      <c r="E197" s="103" t="s">
        <v>6</v>
      </c>
      <c r="F197" s="103" t="s">
        <v>7</v>
      </c>
      <c r="G197" s="103" t="s">
        <v>8</v>
      </c>
      <c r="H197" s="103" t="s">
        <v>9</v>
      </c>
      <c r="I197" s="103" t="s">
        <v>3</v>
      </c>
      <c r="J197" s="103" t="s">
        <v>5</v>
      </c>
      <c r="K197" s="104" t="s">
        <v>10</v>
      </c>
      <c r="L197" s="105" t="s">
        <v>7</v>
      </c>
      <c r="M197" s="105" t="s">
        <v>11</v>
      </c>
    </row>
    <row r="198" spans="1:13" hidden="1">
      <c r="A198" s="1030" t="s">
        <v>61</v>
      </c>
      <c r="B198" s="14">
        <v>13487</v>
      </c>
      <c r="C198" s="179">
        <v>0.1</v>
      </c>
      <c r="D198" s="204" t="s">
        <v>164</v>
      </c>
      <c r="E198" s="194">
        <v>1700000</v>
      </c>
      <c r="F198" s="183">
        <v>0.1</v>
      </c>
      <c r="G198" s="194">
        <f>E198*F198</f>
        <v>170000</v>
      </c>
      <c r="H198" s="226" t="s">
        <v>165</v>
      </c>
      <c r="I198" s="52">
        <v>1</v>
      </c>
      <c r="J198" s="52"/>
      <c r="K198" s="52"/>
      <c r="L198" s="52"/>
      <c r="M198" s="52"/>
    </row>
    <row r="199" spans="1:13" hidden="1">
      <c r="A199" s="1030"/>
      <c r="B199" s="14">
        <v>13485</v>
      </c>
      <c r="C199" s="179">
        <v>0.1</v>
      </c>
      <c r="D199" s="193" t="s">
        <v>166</v>
      </c>
      <c r="E199" s="194">
        <v>1400000</v>
      </c>
      <c r="F199" s="183">
        <v>0.06</v>
      </c>
      <c r="G199" s="194">
        <f t="shared" ref="G199:G202" si="8">E199*F199</f>
        <v>84000</v>
      </c>
      <c r="H199" s="226" t="s">
        <v>49</v>
      </c>
      <c r="I199" s="52"/>
      <c r="J199" s="52"/>
      <c r="K199" s="52"/>
      <c r="L199" s="52"/>
      <c r="M199" s="52"/>
    </row>
    <row r="200" spans="1:13" hidden="1">
      <c r="A200" s="1030"/>
      <c r="B200" s="14">
        <v>13488</v>
      </c>
      <c r="C200" s="179">
        <v>0.1</v>
      </c>
      <c r="D200" s="193" t="s">
        <v>167</v>
      </c>
      <c r="E200" s="194">
        <v>1700000</v>
      </c>
      <c r="F200" s="183">
        <v>0.1</v>
      </c>
      <c r="G200" s="194">
        <f t="shared" si="8"/>
        <v>170000</v>
      </c>
      <c r="H200" s="226" t="s">
        <v>165</v>
      </c>
      <c r="I200" s="52"/>
      <c r="J200" s="52"/>
      <c r="K200" s="52"/>
      <c r="L200" s="52"/>
      <c r="M200" s="52"/>
    </row>
    <row r="201" spans="1:13" hidden="1">
      <c r="A201" s="1030"/>
      <c r="B201" s="14">
        <v>13623</v>
      </c>
      <c r="C201" s="179">
        <v>0.1</v>
      </c>
      <c r="D201" s="193" t="s">
        <v>168</v>
      </c>
      <c r="E201" s="194">
        <v>1850000</v>
      </c>
      <c r="F201" s="183">
        <v>0.05</v>
      </c>
      <c r="G201" s="194">
        <f t="shared" si="8"/>
        <v>92500</v>
      </c>
      <c r="H201" s="226" t="s">
        <v>66</v>
      </c>
      <c r="I201" s="52"/>
      <c r="J201" s="52"/>
      <c r="K201" s="52"/>
      <c r="L201" s="52"/>
      <c r="M201" s="52"/>
    </row>
    <row r="202" spans="1:13" ht="13.5" hidden="1" customHeight="1">
      <c r="A202" s="1031"/>
      <c r="B202" s="14">
        <v>13582</v>
      </c>
      <c r="C202" s="179">
        <v>0.1</v>
      </c>
      <c r="D202" s="193" t="s">
        <v>169</v>
      </c>
      <c r="E202" s="194">
        <v>1200000</v>
      </c>
      <c r="F202" s="183">
        <v>0.1</v>
      </c>
      <c r="G202" s="194">
        <f t="shared" si="8"/>
        <v>120000</v>
      </c>
      <c r="H202" s="226" t="s">
        <v>165</v>
      </c>
      <c r="I202" s="52"/>
      <c r="J202" s="52"/>
      <c r="K202" s="52"/>
      <c r="L202" s="52"/>
      <c r="M202" s="52"/>
    </row>
    <row r="203" spans="1:13" hidden="1">
      <c r="A203" s="1002" t="s">
        <v>32</v>
      </c>
      <c r="B203" s="1002"/>
      <c r="C203" s="1002"/>
      <c r="D203" s="1002"/>
      <c r="E203" s="2">
        <f>SUM(E198:E202)</f>
        <v>7850000</v>
      </c>
      <c r="F203" s="3" t="s">
        <v>32</v>
      </c>
      <c r="G203" s="254">
        <f>SUM(G198:G202)</f>
        <v>636500</v>
      </c>
      <c r="H203" s="1111"/>
      <c r="I203" s="1111"/>
      <c r="J203" s="1004" t="s">
        <v>33</v>
      </c>
      <c r="K203" s="1004"/>
      <c r="L203" s="1004"/>
      <c r="M203" s="16" t="e">
        <f>G203+#REF!</f>
        <v>#REF!</v>
      </c>
    </row>
    <row r="204" spans="1:13" s="31" customFormat="1" hidden="1">
      <c r="A204" s="122"/>
      <c r="B204" s="122"/>
      <c r="C204" s="122"/>
      <c r="D204" s="122"/>
      <c r="E204" s="123"/>
      <c r="F204" s="124"/>
      <c r="G204" s="125"/>
      <c r="H204" s="35"/>
      <c r="I204" s="35"/>
      <c r="J204" s="154"/>
      <c r="K204" s="154"/>
      <c r="L204" s="154"/>
      <c r="M204" s="155"/>
    </row>
    <row r="205" spans="1:13" s="31" customFormat="1" hidden="1">
      <c r="A205" s="122"/>
      <c r="B205" s="122"/>
      <c r="C205" s="122"/>
      <c r="D205" s="122"/>
      <c r="E205" s="123"/>
      <c r="F205" s="124"/>
      <c r="G205" s="125"/>
      <c r="H205" s="35"/>
      <c r="I205" s="35"/>
      <c r="J205" s="154"/>
      <c r="K205" s="154"/>
      <c r="L205" s="154"/>
      <c r="M205" s="155"/>
    </row>
    <row r="206" spans="1:13" ht="18" hidden="1">
      <c r="A206" s="983" t="s">
        <v>49</v>
      </c>
      <c r="B206" s="983"/>
      <c r="C206" s="983"/>
      <c r="D206" s="983"/>
      <c r="E206" s="984"/>
      <c r="F206" s="984"/>
      <c r="G206" s="984"/>
      <c r="H206" s="984"/>
      <c r="I206" s="985"/>
      <c r="J206" s="985"/>
      <c r="K206" s="985"/>
      <c r="L206" s="985"/>
      <c r="M206" s="985"/>
    </row>
    <row r="207" spans="1:13" ht="18" hidden="1">
      <c r="A207" s="102" t="s">
        <v>2</v>
      </c>
      <c r="B207" s="102" t="s">
        <v>3</v>
      </c>
      <c r="C207" s="102" t="s">
        <v>4</v>
      </c>
      <c r="D207" s="102" t="s">
        <v>5</v>
      </c>
      <c r="E207" s="103" t="s">
        <v>6</v>
      </c>
      <c r="F207" s="103" t="s">
        <v>7</v>
      </c>
      <c r="G207" s="103" t="s">
        <v>8</v>
      </c>
      <c r="H207" s="103" t="s">
        <v>9</v>
      </c>
      <c r="I207" s="103" t="s">
        <v>3</v>
      </c>
      <c r="J207" s="103" t="s">
        <v>5</v>
      </c>
      <c r="K207" s="104" t="s">
        <v>10</v>
      </c>
      <c r="L207" s="105" t="s">
        <v>7</v>
      </c>
      <c r="M207" s="105" t="s">
        <v>11</v>
      </c>
    </row>
    <row r="208" spans="1:13" hidden="1">
      <c r="A208" s="1028"/>
      <c r="B208" s="14">
        <v>13531</v>
      </c>
      <c r="C208" s="179">
        <v>0.1</v>
      </c>
      <c r="D208" s="207" t="s">
        <v>170</v>
      </c>
      <c r="E208" s="194">
        <v>1300000</v>
      </c>
      <c r="F208" s="266"/>
      <c r="G208" s="194"/>
      <c r="H208" s="226" t="s">
        <v>49</v>
      </c>
      <c r="I208" s="52">
        <v>1</v>
      </c>
      <c r="J208" s="52"/>
      <c r="K208" s="52"/>
      <c r="L208" s="52"/>
      <c r="M208" s="52"/>
    </row>
    <row r="209" spans="1:13" hidden="1">
      <c r="A209" s="1029"/>
      <c r="B209" s="363">
        <v>13662</v>
      </c>
      <c r="C209" s="181">
        <v>0.1</v>
      </c>
      <c r="D209" s="240" t="s">
        <v>171</v>
      </c>
      <c r="E209" s="364">
        <v>1730000</v>
      </c>
      <c r="F209" s="365"/>
      <c r="G209" s="364"/>
      <c r="H209" s="366" t="s">
        <v>49</v>
      </c>
    </row>
    <row r="210" spans="1:13" hidden="1">
      <c r="A210" s="1002" t="s">
        <v>32</v>
      </c>
      <c r="B210" s="1002"/>
      <c r="C210" s="1002"/>
      <c r="D210" s="1002"/>
      <c r="E210" s="2">
        <f>SUM(E208:E209)</f>
        <v>3030000</v>
      </c>
      <c r="F210" s="3" t="s">
        <v>32</v>
      </c>
      <c r="G210" s="4">
        <f>SUM(G208:G208)</f>
        <v>0</v>
      </c>
      <c r="H210" s="1111"/>
      <c r="I210" s="1111"/>
      <c r="J210" s="1004" t="s">
        <v>33</v>
      </c>
      <c r="K210" s="1013"/>
      <c r="L210" s="1013"/>
      <c r="M210" s="16" t="e">
        <f>G210+#REF!</f>
        <v>#REF!</v>
      </c>
    </row>
    <row r="211" spans="1:13" hidden="1">
      <c r="A211" s="317"/>
      <c r="B211" s="317"/>
      <c r="C211" s="317"/>
      <c r="D211" s="317"/>
      <c r="E211" s="318"/>
      <c r="F211" s="319"/>
      <c r="G211" s="320"/>
      <c r="H211" s="115"/>
      <c r="I211" s="115"/>
      <c r="J211" s="321"/>
      <c r="K211" s="321"/>
      <c r="L211" s="321"/>
      <c r="M211" s="322"/>
    </row>
    <row r="212" spans="1:13" hidden="1">
      <c r="A212" s="317"/>
      <c r="B212" s="317"/>
      <c r="C212" s="317"/>
      <c r="D212" s="317"/>
      <c r="E212" s="318"/>
      <c r="F212" s="319"/>
      <c r="G212" s="320"/>
      <c r="H212" s="115"/>
      <c r="I212" s="115"/>
      <c r="J212" s="321"/>
      <c r="K212" s="321"/>
      <c r="L212" s="321"/>
      <c r="M212" s="322"/>
    </row>
    <row r="213" spans="1:13" s="31" customFormat="1" hidden="1">
      <c r="A213" s="122"/>
      <c r="B213" s="122"/>
      <c r="C213" s="122"/>
      <c r="D213" s="122"/>
      <c r="E213" s="123"/>
      <c r="F213" s="124"/>
      <c r="G213" s="125"/>
      <c r="H213" s="35"/>
      <c r="I213" s="35"/>
      <c r="J213" s="154"/>
      <c r="K213" s="154"/>
      <c r="L213" s="154"/>
      <c r="M213" s="155"/>
    </row>
    <row r="214" spans="1:13" hidden="1"/>
    <row r="215" spans="1:13" ht="18" hidden="1" customHeight="1">
      <c r="A215" s="1014">
        <v>94</v>
      </c>
      <c r="B215" s="1016" t="s">
        <v>50</v>
      </c>
      <c r="C215" s="1017"/>
      <c r="D215" s="1018"/>
      <c r="E215" s="5">
        <f>E210+E203+E194+E179+E160</f>
        <v>72810000</v>
      </c>
      <c r="F215" s="8"/>
      <c r="G215" s="8"/>
      <c r="H215" s="8"/>
      <c r="I215" s="8"/>
      <c r="J215" s="8"/>
      <c r="K215" s="8"/>
      <c r="L215" s="8"/>
      <c r="M215" s="8"/>
    </row>
    <row r="216" spans="1:13" ht="18" hidden="1" customHeight="1">
      <c r="A216" s="1014"/>
      <c r="B216" s="1019" t="s">
        <v>51</v>
      </c>
      <c r="C216" s="1020"/>
      <c r="D216" s="1021"/>
      <c r="E216" s="17"/>
      <c r="F216" s="8"/>
      <c r="G216" s="8"/>
      <c r="H216" s="8"/>
      <c r="I216" s="8"/>
      <c r="J216" s="8"/>
      <c r="K216" s="8"/>
      <c r="L216" s="8"/>
      <c r="M216" s="8"/>
    </row>
    <row r="217" spans="1:13" ht="18" hidden="1" customHeight="1">
      <c r="A217" s="1015"/>
      <c r="B217" s="1022" t="s">
        <v>52</v>
      </c>
      <c r="C217" s="1023"/>
      <c r="D217" s="1024"/>
      <c r="E217" s="17"/>
      <c r="F217" s="8"/>
      <c r="G217" s="8"/>
      <c r="H217" s="8"/>
      <c r="I217" s="8"/>
      <c r="J217" s="8"/>
      <c r="K217" s="8"/>
      <c r="L217" s="8"/>
      <c r="M217" s="8"/>
    </row>
    <row r="218" spans="1:13" hidden="1"/>
    <row r="219" spans="1:13" hidden="1"/>
    <row r="220" spans="1:13" ht="18" hidden="1" customHeight="1">
      <c r="A220" s="1025" t="s">
        <v>53</v>
      </c>
      <c r="B220" s="1025" t="s">
        <v>54</v>
      </c>
      <c r="C220" s="1025" t="s">
        <v>55</v>
      </c>
      <c r="D220" s="1025" t="s">
        <v>56</v>
      </c>
      <c r="E220" s="276"/>
      <c r="F220" s="8"/>
      <c r="G220" s="8"/>
      <c r="H220" s="8"/>
      <c r="I220" s="8"/>
      <c r="J220" s="8"/>
      <c r="K220" s="8"/>
      <c r="L220" s="8"/>
      <c r="M220" s="8"/>
    </row>
    <row r="221" spans="1:13" ht="18" hidden="1" customHeight="1">
      <c r="A221" s="1025"/>
      <c r="B221" s="1025"/>
      <c r="C221" s="1025"/>
      <c r="D221" s="1025"/>
      <c r="E221" s="276"/>
      <c r="F221" s="8"/>
      <c r="G221" s="8"/>
      <c r="H221" s="8"/>
      <c r="I221" s="8"/>
      <c r="J221" s="8"/>
      <c r="K221" s="8"/>
      <c r="L221" s="8"/>
      <c r="M221" s="8"/>
    </row>
    <row r="222" spans="1:13" ht="18" hidden="1" customHeight="1">
      <c r="A222" s="1006" t="s">
        <v>57</v>
      </c>
      <c r="B222" s="1007">
        <v>79</v>
      </c>
      <c r="C222" s="1008">
        <v>53940000</v>
      </c>
      <c r="D222" s="1009">
        <v>39</v>
      </c>
      <c r="E222" s="276"/>
      <c r="F222" s="8"/>
      <c r="G222" s="8"/>
      <c r="H222" s="8"/>
      <c r="I222" s="8"/>
      <c r="J222" s="8"/>
      <c r="K222" s="8"/>
      <c r="L222" s="8"/>
      <c r="M222" s="8"/>
    </row>
    <row r="223" spans="1:13" ht="18" hidden="1" customHeight="1">
      <c r="A223" s="1006"/>
      <c r="B223" s="1007"/>
      <c r="C223" s="1007"/>
      <c r="D223" s="1009"/>
      <c r="E223" s="276"/>
      <c r="F223" s="8"/>
      <c r="G223" s="8"/>
      <c r="H223" s="8"/>
      <c r="I223" s="8"/>
      <c r="J223" s="8"/>
      <c r="K223" s="8"/>
      <c r="L223" s="8"/>
      <c r="M223" s="8"/>
    </row>
    <row r="224" spans="1:13" ht="18" hidden="1" customHeight="1">
      <c r="A224" s="1010" t="s">
        <v>58</v>
      </c>
      <c r="B224" s="1007">
        <v>5</v>
      </c>
      <c r="C224" s="1008">
        <v>4500000</v>
      </c>
      <c r="D224" s="1009">
        <v>1</v>
      </c>
      <c r="E224" s="276"/>
      <c r="F224" s="8"/>
      <c r="G224" s="8"/>
      <c r="H224" s="8"/>
      <c r="I224" s="8"/>
      <c r="J224" s="8"/>
      <c r="K224" s="8"/>
      <c r="L224" s="8"/>
      <c r="M224" s="8"/>
    </row>
    <row r="225" spans="1:13" ht="18" hidden="1" customHeight="1">
      <c r="A225" s="1010"/>
      <c r="B225" s="1007"/>
      <c r="C225" s="1008"/>
      <c r="D225" s="1009"/>
      <c r="E225" s="276"/>
      <c r="F225" s="8"/>
      <c r="G225" s="8"/>
      <c r="H225" s="8"/>
      <c r="I225" s="8"/>
      <c r="J225" s="8"/>
      <c r="K225" s="8"/>
      <c r="L225" s="8"/>
      <c r="M225" s="8"/>
    </row>
    <row r="226" spans="1:13" ht="18" hidden="1" customHeight="1">
      <c r="A226" s="1011" t="s">
        <v>59</v>
      </c>
      <c r="B226" s="1011">
        <f>SUM(B222:B225)</f>
        <v>84</v>
      </c>
      <c r="C226" s="1012">
        <f>SUM(C221:C225)</f>
        <v>58440000</v>
      </c>
      <c r="D226" s="1011">
        <f>SUM(D221:D225)</f>
        <v>40</v>
      </c>
      <c r="E226" s="276"/>
      <c r="F226" s="8"/>
      <c r="G226" s="8"/>
      <c r="H226" s="8"/>
      <c r="I226" s="8"/>
      <c r="J226" s="8"/>
      <c r="K226" s="8"/>
      <c r="L226" s="8"/>
      <c r="M226" s="8"/>
    </row>
    <row r="227" spans="1:13" ht="12.75" hidden="1" customHeight="1">
      <c r="A227" s="1011"/>
      <c r="B227" s="1011"/>
      <c r="C227" s="1011"/>
      <c r="D227" s="1011"/>
      <c r="E227" s="276"/>
    </row>
    <row r="228" spans="1:13" hidden="1"/>
    <row r="229" spans="1:13" hidden="1"/>
    <row r="230" spans="1:13" hidden="1"/>
    <row r="231" spans="1:13" ht="31.5">
      <c r="A231" s="987" t="s">
        <v>172</v>
      </c>
      <c r="B231" s="987"/>
      <c r="C231" s="987"/>
      <c r="D231" s="987"/>
      <c r="E231" s="987"/>
      <c r="F231" s="987"/>
      <c r="G231" s="987"/>
      <c r="H231" s="987"/>
      <c r="I231" s="987"/>
      <c r="J231" s="987"/>
      <c r="K231" s="987"/>
      <c r="L231" s="987"/>
      <c r="M231" s="987"/>
    </row>
    <row r="232" spans="1:13" ht="18" hidden="1">
      <c r="A232" s="983" t="s">
        <v>1</v>
      </c>
      <c r="B232" s="983"/>
      <c r="C232" s="983"/>
      <c r="D232" s="983"/>
      <c r="E232" s="984"/>
      <c r="F232" s="984"/>
      <c r="G232" s="984"/>
      <c r="H232" s="984"/>
      <c r="I232" s="985"/>
      <c r="J232" s="985"/>
      <c r="K232" s="985"/>
      <c r="L232" s="985"/>
      <c r="M232" s="985"/>
    </row>
    <row r="233" spans="1:13" ht="18" hidden="1">
      <c r="A233" s="102" t="s">
        <v>2</v>
      </c>
      <c r="B233" s="102" t="s">
        <v>3</v>
      </c>
      <c r="C233" s="102" t="s">
        <v>4</v>
      </c>
      <c r="D233" s="102" t="s">
        <v>5</v>
      </c>
      <c r="E233" s="103" t="s">
        <v>6</v>
      </c>
      <c r="F233" s="103" t="s">
        <v>7</v>
      </c>
      <c r="G233" s="103" t="s">
        <v>8</v>
      </c>
      <c r="H233" s="103" t="s">
        <v>9</v>
      </c>
      <c r="I233" s="103" t="s">
        <v>3</v>
      </c>
      <c r="J233" s="103" t="s">
        <v>5</v>
      </c>
      <c r="K233" s="104" t="s">
        <v>10</v>
      </c>
      <c r="L233" s="105" t="s">
        <v>7</v>
      </c>
      <c r="M233" s="105" t="s">
        <v>11</v>
      </c>
    </row>
    <row r="234" spans="1:13" ht="15.75" hidden="1" customHeight="1">
      <c r="A234" s="999" t="s">
        <v>61</v>
      </c>
      <c r="B234" s="127">
        <v>13670</v>
      </c>
      <c r="C234" s="186">
        <v>0.08</v>
      </c>
      <c r="D234" s="218" t="s">
        <v>173</v>
      </c>
      <c r="E234" s="192">
        <v>1950000</v>
      </c>
      <c r="F234" s="186">
        <v>0.1</v>
      </c>
      <c r="G234" s="192">
        <f>E234*F234</f>
        <v>195000</v>
      </c>
      <c r="H234" s="211" t="s">
        <v>13</v>
      </c>
      <c r="I234" s="398" t="s">
        <v>174</v>
      </c>
      <c r="J234" s="193" t="s">
        <v>175</v>
      </c>
      <c r="K234" s="264">
        <v>2700000</v>
      </c>
      <c r="L234" s="357">
        <v>0.05</v>
      </c>
      <c r="M234" s="193">
        <f>K234*L234</f>
        <v>135000</v>
      </c>
    </row>
    <row r="235" spans="1:13" ht="15" hidden="1" customHeight="1">
      <c r="A235" s="1000"/>
      <c r="B235" s="127">
        <v>13778</v>
      </c>
      <c r="C235" s="190">
        <v>0.1</v>
      </c>
      <c r="D235" s="218" t="s">
        <v>176</v>
      </c>
      <c r="E235" s="192">
        <v>2000000</v>
      </c>
      <c r="F235" s="210">
        <v>0.06</v>
      </c>
      <c r="G235" s="192">
        <f>E235*F235</f>
        <v>120000</v>
      </c>
      <c r="H235" s="211" t="s">
        <v>49</v>
      </c>
      <c r="I235" s="398" t="s">
        <v>177</v>
      </c>
      <c r="J235" s="193" t="s">
        <v>178</v>
      </c>
      <c r="K235" s="264">
        <v>1150000</v>
      </c>
      <c r="L235" s="357">
        <v>0.05</v>
      </c>
      <c r="M235" s="193">
        <f>K235*L235</f>
        <v>57500</v>
      </c>
    </row>
    <row r="236" spans="1:13" ht="15" hidden="1" customHeight="1">
      <c r="A236" s="1000"/>
      <c r="B236" s="127">
        <v>13844</v>
      </c>
      <c r="C236" s="190">
        <v>0.1</v>
      </c>
      <c r="D236" s="244" t="s">
        <v>179</v>
      </c>
      <c r="E236" s="192">
        <v>1800000</v>
      </c>
      <c r="F236" s="210">
        <v>0.06</v>
      </c>
      <c r="G236" s="192">
        <f>E236*F236</f>
        <v>108000</v>
      </c>
      <c r="H236" s="211" t="s">
        <v>49</v>
      </c>
      <c r="I236" s="114" t="s">
        <v>180</v>
      </c>
      <c r="J236" s="52"/>
      <c r="K236" s="52"/>
      <c r="L236" s="52"/>
      <c r="M236" s="52"/>
    </row>
    <row r="237" spans="1:13" ht="15" hidden="1" customHeight="1">
      <c r="A237" s="1000"/>
      <c r="B237" s="127">
        <v>13691</v>
      </c>
      <c r="C237" s="186">
        <v>0.08</v>
      </c>
      <c r="D237" s="218" t="s">
        <v>181</v>
      </c>
      <c r="E237" s="192">
        <v>2850000</v>
      </c>
      <c r="F237" s="186">
        <v>0.06</v>
      </c>
      <c r="G237" s="192">
        <f>E237*F237</f>
        <v>171000</v>
      </c>
      <c r="H237" s="211" t="s">
        <v>165</v>
      </c>
      <c r="I237" s="399" t="s">
        <v>104</v>
      </c>
      <c r="J237" s="52"/>
      <c r="K237" s="52"/>
      <c r="L237" s="52"/>
      <c r="M237" s="52"/>
    </row>
    <row r="238" spans="1:13" ht="15" hidden="1" customHeight="1">
      <c r="A238" s="1000"/>
      <c r="B238" s="127">
        <v>13770</v>
      </c>
      <c r="C238" s="190">
        <v>0.1</v>
      </c>
      <c r="D238" s="218" t="s">
        <v>182</v>
      </c>
      <c r="E238" s="192">
        <v>1900000</v>
      </c>
      <c r="F238" s="210">
        <v>0.12</v>
      </c>
      <c r="G238" s="192">
        <f>E238*F238</f>
        <v>228000</v>
      </c>
      <c r="H238" s="211" t="s">
        <v>13</v>
      </c>
      <c r="I238" s="399" t="s">
        <v>104</v>
      </c>
      <c r="J238" s="52"/>
      <c r="K238" s="52"/>
      <c r="L238" s="52"/>
      <c r="M238" s="52"/>
    </row>
    <row r="239" spans="1:13" ht="15" hidden="1" customHeight="1">
      <c r="A239" s="1000"/>
      <c r="B239" s="127">
        <v>13823</v>
      </c>
      <c r="C239" s="190">
        <v>0.1</v>
      </c>
      <c r="D239" s="244" t="s">
        <v>183</v>
      </c>
      <c r="E239" s="192">
        <v>1100000</v>
      </c>
      <c r="F239" s="210">
        <v>0.12</v>
      </c>
      <c r="G239" s="192">
        <f>E239*F239</f>
        <v>132000</v>
      </c>
      <c r="H239" s="211" t="s">
        <v>13</v>
      </c>
      <c r="I239" s="247" t="s">
        <v>184</v>
      </c>
      <c r="J239" s="52"/>
      <c r="K239" s="52"/>
      <c r="L239" s="52"/>
      <c r="M239" s="52"/>
    </row>
    <row r="240" spans="1:13" ht="15" hidden="1" customHeight="1">
      <c r="A240" s="1000"/>
      <c r="B240" s="127">
        <v>13816</v>
      </c>
      <c r="C240" s="190">
        <v>0.1</v>
      </c>
      <c r="D240" s="244" t="s">
        <v>185</v>
      </c>
      <c r="E240" s="192">
        <v>2050000</v>
      </c>
      <c r="F240" s="210">
        <v>0.12</v>
      </c>
      <c r="G240" s="192">
        <f>E240*F240</f>
        <v>246000</v>
      </c>
      <c r="H240" s="211" t="s">
        <v>13</v>
      </c>
      <c r="I240" s="399" t="s">
        <v>104</v>
      </c>
      <c r="J240" s="52"/>
      <c r="K240" s="52"/>
      <c r="L240" s="52"/>
      <c r="M240" s="52"/>
    </row>
    <row r="241" spans="1:13" ht="15.75" hidden="1" customHeight="1">
      <c r="A241" s="1000"/>
      <c r="B241" s="127">
        <v>13854</v>
      </c>
      <c r="C241" s="190">
        <v>0.1</v>
      </c>
      <c r="D241" s="218" t="s">
        <v>186</v>
      </c>
      <c r="E241" s="192">
        <v>3500000</v>
      </c>
      <c r="F241" s="210">
        <v>0.12</v>
      </c>
      <c r="G241" s="192">
        <f>E241*F241</f>
        <v>420000</v>
      </c>
      <c r="H241" s="211" t="s">
        <v>13</v>
      </c>
      <c r="I241" s="28" t="s">
        <v>187</v>
      </c>
      <c r="J241" s="52"/>
      <c r="K241" s="52"/>
      <c r="L241" s="52"/>
      <c r="M241" s="52"/>
    </row>
    <row r="242" spans="1:13" ht="15" hidden="1" customHeight="1">
      <c r="A242" s="1000"/>
      <c r="B242" s="14">
        <v>13834</v>
      </c>
      <c r="C242" s="190">
        <v>0.1</v>
      </c>
      <c r="D242" s="244" t="s">
        <v>188</v>
      </c>
      <c r="E242" s="192">
        <v>1800000</v>
      </c>
      <c r="F242" s="210">
        <v>0.12</v>
      </c>
      <c r="G242" s="192">
        <f>E242*F242</f>
        <v>216000</v>
      </c>
      <c r="H242" s="211" t="s">
        <v>13</v>
      </c>
      <c r="I242" s="114" t="s">
        <v>187</v>
      </c>
      <c r="J242" s="52"/>
      <c r="K242" s="52"/>
      <c r="L242" s="52"/>
      <c r="M242" s="52"/>
    </row>
    <row r="243" spans="1:13" hidden="1">
      <c r="A243" s="1000"/>
      <c r="B243" s="14">
        <v>13856</v>
      </c>
      <c r="C243" s="179">
        <v>0.1</v>
      </c>
      <c r="D243" s="193" t="s">
        <v>189</v>
      </c>
      <c r="E243" s="194">
        <v>1500000</v>
      </c>
      <c r="F243" s="183">
        <v>0.06</v>
      </c>
      <c r="G243" s="194">
        <f>E243*F243</f>
        <v>90000</v>
      </c>
      <c r="H243" s="226" t="s">
        <v>49</v>
      </c>
      <c r="I243" s="52" t="s">
        <v>190</v>
      </c>
      <c r="J243" s="52"/>
      <c r="K243" s="52"/>
      <c r="L243" s="52"/>
      <c r="M243" s="52"/>
    </row>
    <row r="244" spans="1:13" ht="15" hidden="1" customHeight="1">
      <c r="A244" s="1000"/>
      <c r="B244" s="127">
        <v>13831</v>
      </c>
      <c r="C244" s="190">
        <v>0.1</v>
      </c>
      <c r="D244" s="244" t="s">
        <v>191</v>
      </c>
      <c r="E244" s="192">
        <v>1800000</v>
      </c>
      <c r="F244" s="210">
        <v>0.12</v>
      </c>
      <c r="G244" s="192">
        <f>E244*F244</f>
        <v>216000</v>
      </c>
      <c r="H244" s="211" t="s">
        <v>13</v>
      </c>
      <c r="I244" s="399" t="s">
        <v>104</v>
      </c>
      <c r="J244" s="52"/>
      <c r="K244" s="52"/>
      <c r="L244" s="52"/>
      <c r="M244" s="52"/>
    </row>
    <row r="245" spans="1:13" ht="15.75" hidden="1" customHeight="1">
      <c r="A245" s="1000"/>
      <c r="B245" s="127">
        <v>13741</v>
      </c>
      <c r="C245" s="190">
        <v>0.1</v>
      </c>
      <c r="D245" s="218" t="s">
        <v>192</v>
      </c>
      <c r="E245" s="192">
        <v>1950000</v>
      </c>
      <c r="F245" s="210">
        <v>0.12</v>
      </c>
      <c r="G245" s="192">
        <f>E245*F245</f>
        <v>234000</v>
      </c>
      <c r="H245" s="211" t="s">
        <v>13</v>
      </c>
      <c r="I245" s="399" t="s">
        <v>104</v>
      </c>
      <c r="J245" s="52"/>
      <c r="K245" s="52"/>
      <c r="L245" s="52"/>
      <c r="M245" s="52"/>
    </row>
    <row r="246" spans="1:13" ht="15.75" hidden="1" customHeight="1">
      <c r="A246" s="1000"/>
      <c r="B246" s="127">
        <v>13824</v>
      </c>
      <c r="C246" s="190">
        <v>0.1</v>
      </c>
      <c r="D246" s="218" t="s">
        <v>193</v>
      </c>
      <c r="E246" s="192">
        <v>1700000</v>
      </c>
      <c r="F246" s="210">
        <v>0.06</v>
      </c>
      <c r="G246" s="192">
        <f>E246*F246</f>
        <v>102000</v>
      </c>
      <c r="H246" s="211" t="s">
        <v>49</v>
      </c>
      <c r="I246" s="247" t="s">
        <v>180</v>
      </c>
      <c r="J246" s="52"/>
      <c r="K246" s="52"/>
      <c r="L246" s="52"/>
      <c r="M246" s="52"/>
    </row>
    <row r="247" spans="1:13" ht="15.75" hidden="1" customHeight="1">
      <c r="A247" s="1000"/>
      <c r="B247" s="128"/>
      <c r="C247" s="219"/>
      <c r="D247" s="220" t="s">
        <v>186</v>
      </c>
      <c r="E247" s="221"/>
      <c r="F247" s="222"/>
      <c r="G247" s="221"/>
      <c r="H247" s="223" t="s">
        <v>13</v>
      </c>
      <c r="I247" s="28" t="s">
        <v>194</v>
      </c>
      <c r="J247" s="52"/>
      <c r="K247" s="52"/>
      <c r="L247" s="52"/>
      <c r="M247" s="52"/>
    </row>
    <row r="248" spans="1:13" ht="15" hidden="1" customHeight="1">
      <c r="A248" s="1000"/>
      <c r="B248" s="128"/>
      <c r="C248" s="219"/>
      <c r="D248" s="270" t="s">
        <v>195</v>
      </c>
      <c r="E248" s="221"/>
      <c r="F248" s="222"/>
      <c r="G248" s="221"/>
      <c r="H248" s="223" t="s">
        <v>13</v>
      </c>
      <c r="I248" s="28" t="s">
        <v>196</v>
      </c>
      <c r="J248" s="52"/>
      <c r="K248" s="52"/>
      <c r="L248" s="52"/>
      <c r="M248" s="52"/>
    </row>
    <row r="249" spans="1:13" ht="15.75" hidden="1" customHeight="1">
      <c r="A249" s="1000"/>
      <c r="B249" s="128"/>
      <c r="C249" s="219"/>
      <c r="D249" s="220" t="s">
        <v>197</v>
      </c>
      <c r="E249" s="221"/>
      <c r="F249" s="222"/>
      <c r="G249" s="221"/>
      <c r="H249" s="223" t="s">
        <v>66</v>
      </c>
      <c r="I249" s="28" t="s">
        <v>198</v>
      </c>
      <c r="J249" s="52"/>
      <c r="K249" s="52"/>
      <c r="L249" s="52"/>
      <c r="M249" s="415">
        <v>192500</v>
      </c>
    </row>
    <row r="250" spans="1:13" ht="48" hidden="1">
      <c r="A250" s="1033"/>
      <c r="B250" s="19"/>
      <c r="C250" s="229"/>
      <c r="D250" s="235" t="s">
        <v>189</v>
      </c>
      <c r="E250" s="231"/>
      <c r="F250" s="237"/>
      <c r="G250" s="231"/>
      <c r="H250" s="233" t="s">
        <v>49</v>
      </c>
      <c r="I250" s="303" t="s">
        <v>199</v>
      </c>
      <c r="J250" s="52"/>
      <c r="K250" s="52"/>
      <c r="L250" s="52"/>
      <c r="M250" s="52"/>
    </row>
    <row r="251" spans="1:13" hidden="1">
      <c r="A251" s="1001" t="s">
        <v>32</v>
      </c>
      <c r="B251" s="1002"/>
      <c r="C251" s="1002"/>
      <c r="D251" s="1002"/>
      <c r="E251" s="323">
        <f>SUM(E234:E250)</f>
        <v>25900000</v>
      </c>
      <c r="F251" s="324" t="s">
        <v>32</v>
      </c>
      <c r="G251" s="325">
        <f>SUM(G234:G250)</f>
        <v>2478000</v>
      </c>
      <c r="H251" s="1113"/>
      <c r="I251" s="1113"/>
      <c r="J251" s="1003" t="s">
        <v>33</v>
      </c>
      <c r="K251" s="1004"/>
      <c r="L251" s="1004"/>
      <c r="M251" s="414">
        <f>G251+M249</f>
        <v>2670500</v>
      </c>
    </row>
    <row r="252" spans="1:13" hidden="1"/>
    <row r="253" spans="1:13" hidden="1"/>
    <row r="254" spans="1:13" ht="18" hidden="1">
      <c r="A254" s="983" t="s">
        <v>16</v>
      </c>
      <c r="B254" s="983"/>
      <c r="C254" s="983"/>
      <c r="D254" s="983"/>
      <c r="E254" s="984"/>
      <c r="F254" s="984"/>
      <c r="G254" s="984"/>
      <c r="H254" s="984"/>
      <c r="I254" s="985"/>
      <c r="J254" s="985"/>
      <c r="K254" s="985"/>
      <c r="L254" s="985"/>
      <c r="M254" s="985"/>
    </row>
    <row r="255" spans="1:13" ht="18" hidden="1">
      <c r="A255" s="102" t="s">
        <v>2</v>
      </c>
      <c r="B255" s="102" t="s">
        <v>3</v>
      </c>
      <c r="C255" s="102" t="s">
        <v>4</v>
      </c>
      <c r="D255" s="102" t="s">
        <v>5</v>
      </c>
      <c r="E255" s="103" t="s">
        <v>6</v>
      </c>
      <c r="F255" s="103" t="s">
        <v>7</v>
      </c>
      <c r="G255" s="103" t="s">
        <v>8</v>
      </c>
      <c r="H255" s="103" t="s">
        <v>9</v>
      </c>
      <c r="I255" s="103" t="s">
        <v>3</v>
      </c>
      <c r="J255" s="103" t="s">
        <v>5</v>
      </c>
      <c r="K255" s="104" t="s">
        <v>10</v>
      </c>
      <c r="L255" s="105" t="s">
        <v>7</v>
      </c>
      <c r="M255" s="105" t="s">
        <v>11</v>
      </c>
    </row>
    <row r="256" spans="1:13" ht="15" hidden="1" customHeight="1">
      <c r="A256" s="1005" t="s">
        <v>200</v>
      </c>
      <c r="B256" s="14">
        <v>13722</v>
      </c>
      <c r="C256" s="179">
        <v>0.1</v>
      </c>
      <c r="D256" s="193" t="s">
        <v>201</v>
      </c>
      <c r="E256" s="194">
        <v>1650000</v>
      </c>
      <c r="F256" s="356">
        <v>0.05</v>
      </c>
      <c r="G256" s="194">
        <f>E256*F256</f>
        <v>82500</v>
      </c>
      <c r="H256" s="226" t="s">
        <v>49</v>
      </c>
      <c r="I256" s="376" t="s">
        <v>104</v>
      </c>
      <c r="J256" s="52"/>
      <c r="K256" s="52"/>
      <c r="L256" s="52"/>
      <c r="M256" s="52"/>
    </row>
    <row r="257" spans="1:13" ht="12.75" hidden="1" customHeight="1">
      <c r="A257" s="1005"/>
      <c r="B257" s="133">
        <v>13727</v>
      </c>
      <c r="C257" s="179">
        <v>0.1</v>
      </c>
      <c r="D257" s="193" t="s">
        <v>202</v>
      </c>
      <c r="E257" s="194">
        <v>1800000</v>
      </c>
      <c r="F257" s="357">
        <v>0.06</v>
      </c>
      <c r="G257" s="194">
        <f>E257*F257</f>
        <v>108000</v>
      </c>
      <c r="H257" s="193" t="s">
        <v>165</v>
      </c>
      <c r="I257" s="376" t="s">
        <v>104</v>
      </c>
      <c r="J257" s="52"/>
      <c r="K257" s="52"/>
      <c r="L257" s="52"/>
      <c r="M257" s="52"/>
    </row>
    <row r="258" spans="1:13" ht="15.75" hidden="1" customHeight="1">
      <c r="A258" s="1005"/>
      <c r="B258" s="133">
        <v>13797</v>
      </c>
      <c r="C258" s="179">
        <v>0.1</v>
      </c>
      <c r="D258" s="244" t="s">
        <v>203</v>
      </c>
      <c r="E258" s="264">
        <v>1900000</v>
      </c>
      <c r="F258" s="357">
        <v>0.05</v>
      </c>
      <c r="G258" s="194">
        <f>E258*F258</f>
        <v>95000</v>
      </c>
      <c r="H258" s="226" t="s">
        <v>49</v>
      </c>
      <c r="I258" s="376" t="s">
        <v>104</v>
      </c>
      <c r="J258" s="52"/>
      <c r="K258" s="52"/>
      <c r="L258" s="52"/>
      <c r="M258" s="52"/>
    </row>
    <row r="259" spans="1:13" ht="21.75" hidden="1" customHeight="1">
      <c r="A259" s="1005"/>
      <c r="B259" s="133">
        <v>13772</v>
      </c>
      <c r="C259" s="179">
        <v>0.1</v>
      </c>
      <c r="D259" s="244" t="s">
        <v>204</v>
      </c>
      <c r="E259" s="264">
        <v>1700000</v>
      </c>
      <c r="F259" s="357">
        <v>0.1</v>
      </c>
      <c r="G259" s="194">
        <f>E259*F259</f>
        <v>170000</v>
      </c>
      <c r="H259" s="226" t="s">
        <v>205</v>
      </c>
      <c r="I259" s="376" t="s">
        <v>104</v>
      </c>
      <c r="J259" s="52"/>
      <c r="K259" s="52"/>
      <c r="L259" s="52"/>
      <c r="M259" s="52"/>
    </row>
    <row r="260" spans="1:13" ht="17.25" hidden="1" customHeight="1">
      <c r="A260" s="1005"/>
      <c r="B260" s="133">
        <v>13878</v>
      </c>
      <c r="C260" s="179">
        <v>0.1</v>
      </c>
      <c r="D260" s="244" t="s">
        <v>206</v>
      </c>
      <c r="E260" s="264">
        <v>1750000</v>
      </c>
      <c r="F260" s="357">
        <v>0.05</v>
      </c>
      <c r="G260" s="194">
        <f>E260*F260</f>
        <v>87500</v>
      </c>
      <c r="H260" s="226" t="s">
        <v>49</v>
      </c>
      <c r="I260" s="52" t="s">
        <v>207</v>
      </c>
      <c r="J260" s="52"/>
      <c r="K260" s="52"/>
      <c r="L260" s="52"/>
      <c r="M260" s="52"/>
    </row>
    <row r="261" spans="1:13" ht="18" hidden="1" customHeight="1">
      <c r="A261" s="1005"/>
      <c r="B261" s="133">
        <v>13711</v>
      </c>
      <c r="C261" s="179">
        <v>0.1</v>
      </c>
      <c r="D261" s="244" t="s">
        <v>208</v>
      </c>
      <c r="E261" s="264">
        <v>2300000</v>
      </c>
      <c r="F261" s="357">
        <v>0.06</v>
      </c>
      <c r="G261" s="194">
        <f>E261*F261</f>
        <v>138000</v>
      </c>
      <c r="H261" s="226" t="s">
        <v>165</v>
      </c>
      <c r="I261" s="376" t="s">
        <v>104</v>
      </c>
      <c r="J261" s="52"/>
      <c r="K261" s="52"/>
      <c r="L261" s="52"/>
      <c r="M261" s="52"/>
    </row>
    <row r="262" spans="1:13" ht="18.75" hidden="1" customHeight="1">
      <c r="A262" s="1005"/>
      <c r="B262" s="133">
        <v>13871</v>
      </c>
      <c r="C262" s="178">
        <v>0.08</v>
      </c>
      <c r="D262" s="244" t="s">
        <v>209</v>
      </c>
      <c r="E262" s="264">
        <v>1230000</v>
      </c>
      <c r="F262" s="358">
        <v>0.08</v>
      </c>
      <c r="G262" s="194">
        <f>E262*F262</f>
        <v>98400</v>
      </c>
      <c r="H262" s="226" t="s">
        <v>205</v>
      </c>
      <c r="I262" s="52" t="s">
        <v>210</v>
      </c>
      <c r="J262" s="52"/>
      <c r="K262" s="52"/>
      <c r="L262" s="52"/>
      <c r="M262" s="52"/>
    </row>
    <row r="263" spans="1:13" ht="24" hidden="1" customHeight="1">
      <c r="A263" s="1005"/>
      <c r="B263" s="133">
        <v>13841</v>
      </c>
      <c r="C263" s="179">
        <v>0.1</v>
      </c>
      <c r="D263" s="244" t="s">
        <v>211</v>
      </c>
      <c r="E263" s="264">
        <v>1650000</v>
      </c>
      <c r="F263" s="357">
        <v>0.1</v>
      </c>
      <c r="G263" s="194">
        <f>E263*F263</f>
        <v>165000</v>
      </c>
      <c r="H263" s="226" t="s">
        <v>205</v>
      </c>
      <c r="I263" s="52" t="s">
        <v>212</v>
      </c>
      <c r="J263" s="52"/>
      <c r="K263" s="52"/>
      <c r="L263" s="52"/>
      <c r="M263" s="52"/>
    </row>
    <row r="264" spans="1:13" ht="24" hidden="1" customHeight="1">
      <c r="A264" s="1005"/>
      <c r="B264" s="127">
        <v>13859</v>
      </c>
      <c r="C264" s="186">
        <v>0.08</v>
      </c>
      <c r="D264" s="244" t="s">
        <v>213</v>
      </c>
      <c r="E264" s="192">
        <v>2150000</v>
      </c>
      <c r="F264" s="186">
        <v>0.06</v>
      </c>
      <c r="G264" s="192">
        <f>E264*F264</f>
        <v>129000</v>
      </c>
      <c r="H264" s="211" t="s">
        <v>13</v>
      </c>
      <c r="I264" s="52"/>
      <c r="J264" s="52"/>
      <c r="K264" s="52"/>
      <c r="L264" s="52"/>
      <c r="M264" s="52"/>
    </row>
    <row r="265" spans="1:13" ht="34.5" hidden="1" customHeight="1">
      <c r="A265" s="1005"/>
      <c r="B265" s="269"/>
      <c r="C265" s="229"/>
      <c r="D265" s="270" t="s">
        <v>214</v>
      </c>
      <c r="E265" s="271"/>
      <c r="F265" s="400"/>
      <c r="G265" s="271"/>
      <c r="H265" s="233" t="s">
        <v>205</v>
      </c>
      <c r="I265" s="52" t="s">
        <v>79</v>
      </c>
      <c r="J265" s="52"/>
      <c r="K265" s="52"/>
      <c r="L265" s="52"/>
      <c r="M265" s="52"/>
    </row>
    <row r="266" spans="1:13" hidden="1">
      <c r="A266" s="1002" t="s">
        <v>32</v>
      </c>
      <c r="B266" s="1002"/>
      <c r="C266" s="1002"/>
      <c r="D266" s="1002"/>
      <c r="E266" s="2">
        <f>SUM(E256:E265)</f>
        <v>16130000</v>
      </c>
      <c r="F266" s="3" t="s">
        <v>32</v>
      </c>
      <c r="G266" s="254">
        <f>SUM(G256:G265)</f>
        <v>1073400</v>
      </c>
      <c r="H266" s="1111"/>
      <c r="I266" s="1111"/>
      <c r="J266" s="1004" t="s">
        <v>33</v>
      </c>
      <c r="K266" s="1004"/>
      <c r="L266" s="1004"/>
      <c r="M266" s="16" t="e">
        <f>G266+#REF!</f>
        <v>#REF!</v>
      </c>
    </row>
    <row r="267" spans="1:13" s="116" customFormat="1" hidden="1">
      <c r="A267" s="117"/>
      <c r="B267" s="117"/>
      <c r="C267" s="117"/>
      <c r="D267" s="117"/>
      <c r="E267" s="118"/>
      <c r="F267" s="119"/>
      <c r="G267" s="118"/>
      <c r="J267" s="120"/>
      <c r="K267" s="120"/>
      <c r="L267" s="120"/>
      <c r="M267" s="121"/>
    </row>
    <row r="268" spans="1:13" s="116" customFormat="1" hidden="1">
      <c r="A268" s="117"/>
      <c r="B268" s="117"/>
      <c r="C268" s="117"/>
      <c r="D268" s="117"/>
      <c r="E268" s="118"/>
      <c r="F268" s="119"/>
      <c r="G268" s="118"/>
      <c r="J268" s="120"/>
      <c r="K268" s="120"/>
      <c r="L268" s="120"/>
      <c r="M268" s="121"/>
    </row>
    <row r="269" spans="1:13" ht="18" hidden="1">
      <c r="A269" s="983" t="s">
        <v>107</v>
      </c>
      <c r="B269" s="983"/>
      <c r="C269" s="983"/>
      <c r="D269" s="983"/>
      <c r="E269" s="984"/>
      <c r="F269" s="984"/>
      <c r="G269" s="984"/>
      <c r="H269" s="984"/>
      <c r="I269" s="985"/>
      <c r="J269" s="985"/>
      <c r="K269" s="985"/>
      <c r="L269" s="985"/>
      <c r="M269" s="985"/>
    </row>
    <row r="270" spans="1:13" ht="18" hidden="1">
      <c r="A270" s="102" t="s">
        <v>2</v>
      </c>
      <c r="B270" s="102" t="s">
        <v>3</v>
      </c>
      <c r="C270" s="102" t="s">
        <v>4</v>
      </c>
      <c r="D270" s="102" t="s">
        <v>5</v>
      </c>
      <c r="E270" s="103" t="s">
        <v>6</v>
      </c>
      <c r="F270" s="103" t="s">
        <v>7</v>
      </c>
      <c r="G270" s="103" t="s">
        <v>8</v>
      </c>
      <c r="H270" s="103" t="s">
        <v>9</v>
      </c>
      <c r="I270" s="103" t="s">
        <v>3</v>
      </c>
      <c r="J270" s="103" t="s">
        <v>5</v>
      </c>
      <c r="K270" s="104" t="s">
        <v>10</v>
      </c>
      <c r="L270" s="105" t="s">
        <v>7</v>
      </c>
      <c r="M270" s="105" t="s">
        <v>11</v>
      </c>
    </row>
    <row r="271" spans="1:13" ht="20.25" hidden="1" customHeight="1">
      <c r="A271" s="1032" t="s">
        <v>215</v>
      </c>
      <c r="B271" s="14">
        <v>13715</v>
      </c>
      <c r="C271" s="179">
        <v>0.1</v>
      </c>
      <c r="D271" s="193" t="s">
        <v>216</v>
      </c>
      <c r="E271" s="194">
        <v>2400000</v>
      </c>
      <c r="F271" s="183">
        <v>0.05</v>
      </c>
      <c r="G271" s="194">
        <f>E271*F271</f>
        <v>120000</v>
      </c>
      <c r="H271" s="226" t="s">
        <v>66</v>
      </c>
      <c r="I271" s="392" t="s">
        <v>104</v>
      </c>
      <c r="J271" s="52"/>
      <c r="K271" s="52"/>
      <c r="L271" s="52"/>
      <c r="M271" s="52"/>
    </row>
    <row r="272" spans="1:13" ht="20.25" hidden="1" customHeight="1">
      <c r="A272" s="1032"/>
      <c r="B272" s="14">
        <v>13692</v>
      </c>
      <c r="C272" s="179">
        <v>0.1</v>
      </c>
      <c r="D272" s="193" t="s">
        <v>217</v>
      </c>
      <c r="E272" s="194">
        <v>1800000</v>
      </c>
      <c r="F272" s="183">
        <v>0.1</v>
      </c>
      <c r="G272" s="194">
        <f>E272*F272</f>
        <v>180000</v>
      </c>
      <c r="H272" s="226" t="s">
        <v>153</v>
      </c>
      <c r="I272" s="392" t="s">
        <v>104</v>
      </c>
      <c r="J272" s="52"/>
      <c r="K272" s="52"/>
      <c r="L272" s="52"/>
      <c r="M272" s="52"/>
    </row>
    <row r="273" spans="1:13" ht="20.25" hidden="1" customHeight="1">
      <c r="A273" s="1032"/>
      <c r="B273" s="14">
        <v>13705</v>
      </c>
      <c r="C273" s="179">
        <v>0.1</v>
      </c>
      <c r="D273" s="193" t="s">
        <v>218</v>
      </c>
      <c r="E273" s="194">
        <v>1600000</v>
      </c>
      <c r="F273" s="183">
        <v>0.1</v>
      </c>
      <c r="G273" s="194">
        <f>E273*F273</f>
        <v>160000</v>
      </c>
      <c r="H273" s="226" t="s">
        <v>153</v>
      </c>
      <c r="I273" s="392" t="s">
        <v>104</v>
      </c>
      <c r="J273" s="52"/>
      <c r="K273" s="52"/>
      <c r="L273" s="52"/>
      <c r="M273" s="52"/>
    </row>
    <row r="274" spans="1:13" ht="18" hidden="1" customHeight="1">
      <c r="A274" s="1032"/>
      <c r="B274" s="127">
        <v>13792</v>
      </c>
      <c r="C274" s="261">
        <v>0.1</v>
      </c>
      <c r="D274" s="201" t="s">
        <v>219</v>
      </c>
      <c r="E274" s="192">
        <v>1650000</v>
      </c>
      <c r="F274" s="183">
        <v>0.1</v>
      </c>
      <c r="G274" s="194">
        <f>E274*F274</f>
        <v>165000</v>
      </c>
      <c r="H274" s="262" t="s">
        <v>153</v>
      </c>
      <c r="I274" s="392" t="s">
        <v>104</v>
      </c>
      <c r="J274" s="52"/>
      <c r="K274" s="52"/>
      <c r="L274" s="52"/>
      <c r="M274" s="52"/>
    </row>
    <row r="275" spans="1:13" ht="20.25" hidden="1" customHeight="1">
      <c r="A275" s="1032"/>
      <c r="B275" s="14">
        <v>13819</v>
      </c>
      <c r="C275" s="179">
        <v>0.1</v>
      </c>
      <c r="D275" s="193" t="s">
        <v>220</v>
      </c>
      <c r="E275" s="194">
        <v>1100000</v>
      </c>
      <c r="F275" s="183">
        <v>0.1</v>
      </c>
      <c r="G275" s="194">
        <f>E275*F275</f>
        <v>110000</v>
      </c>
      <c r="H275" s="226" t="s">
        <v>153</v>
      </c>
      <c r="I275" s="392" t="s">
        <v>104</v>
      </c>
      <c r="J275" s="52"/>
      <c r="K275" s="52"/>
      <c r="L275" s="52"/>
      <c r="M275" s="52"/>
    </row>
    <row r="276" spans="1:13" ht="20.25" hidden="1" customHeight="1">
      <c r="A276" s="1032"/>
      <c r="B276" s="14">
        <v>13668</v>
      </c>
      <c r="C276" s="179">
        <v>0.1</v>
      </c>
      <c r="D276" s="204" t="s">
        <v>221</v>
      </c>
      <c r="E276" s="194">
        <v>1300000</v>
      </c>
      <c r="F276" s="183">
        <v>0.1</v>
      </c>
      <c r="G276" s="194">
        <f>E276*F276</f>
        <v>130000</v>
      </c>
      <c r="H276" s="226" t="s">
        <v>153</v>
      </c>
      <c r="I276" s="392" t="s">
        <v>104</v>
      </c>
      <c r="J276" s="52"/>
      <c r="K276" s="52"/>
      <c r="L276" s="52"/>
      <c r="M276" s="52"/>
    </row>
    <row r="277" spans="1:13" ht="20.25" hidden="1" customHeight="1">
      <c r="A277" s="1032"/>
      <c r="B277" s="14">
        <v>13795</v>
      </c>
      <c r="C277" s="179">
        <v>0.1</v>
      </c>
      <c r="D277" s="193" t="s">
        <v>222</v>
      </c>
      <c r="E277" s="194">
        <v>1300000</v>
      </c>
      <c r="F277" s="183">
        <v>0.05</v>
      </c>
      <c r="G277" s="194">
        <f>E277*F277</f>
        <v>65000</v>
      </c>
      <c r="H277" s="226" t="s">
        <v>13</v>
      </c>
      <c r="I277" s="392" t="s">
        <v>104</v>
      </c>
      <c r="J277" s="52"/>
      <c r="K277" s="52"/>
      <c r="L277" s="52"/>
      <c r="M277" s="52"/>
    </row>
    <row r="278" spans="1:13" ht="20.25" hidden="1" customHeight="1">
      <c r="A278" s="1032"/>
      <c r="B278" s="14">
        <v>13867</v>
      </c>
      <c r="C278" s="179">
        <v>0.1</v>
      </c>
      <c r="D278" s="193" t="s">
        <v>223</v>
      </c>
      <c r="E278" s="194">
        <v>1200000</v>
      </c>
      <c r="F278" s="183">
        <v>0.1</v>
      </c>
      <c r="G278" s="194">
        <f>E278*F278</f>
        <v>120000</v>
      </c>
      <c r="H278" s="226" t="s">
        <v>153</v>
      </c>
      <c r="I278" s="408" t="s">
        <v>224</v>
      </c>
      <c r="J278" s="52"/>
      <c r="K278" s="52"/>
      <c r="L278" s="52"/>
      <c r="M278" s="52"/>
    </row>
    <row r="279" spans="1:13" ht="20.25" hidden="1" customHeight="1">
      <c r="A279" s="1032"/>
      <c r="B279" s="14">
        <v>13747</v>
      </c>
      <c r="C279" s="179">
        <v>0.1</v>
      </c>
      <c r="D279" s="193" t="s">
        <v>225</v>
      </c>
      <c r="E279" s="194">
        <v>1600000</v>
      </c>
      <c r="F279" s="183">
        <v>0.1</v>
      </c>
      <c r="G279" s="194">
        <f>E279*F279</f>
        <v>160000</v>
      </c>
      <c r="H279" s="226" t="s">
        <v>153</v>
      </c>
      <c r="I279" s="392" t="s">
        <v>104</v>
      </c>
      <c r="J279" s="52"/>
      <c r="K279" s="52"/>
      <c r="L279" s="52"/>
      <c r="M279" s="52"/>
    </row>
    <row r="280" spans="1:13" ht="15.75" hidden="1" customHeight="1">
      <c r="A280" s="1032"/>
      <c r="B280" s="127">
        <v>13764</v>
      </c>
      <c r="C280" s="190">
        <v>0.1</v>
      </c>
      <c r="D280" s="218" t="s">
        <v>226</v>
      </c>
      <c r="E280" s="192">
        <v>2700000</v>
      </c>
      <c r="F280" s="210">
        <v>0.05</v>
      </c>
      <c r="G280" s="194">
        <f>E280*F280</f>
        <v>135000</v>
      </c>
      <c r="H280" s="211" t="s">
        <v>13</v>
      </c>
      <c r="I280" s="392" t="s">
        <v>104</v>
      </c>
      <c r="J280" s="52"/>
      <c r="K280" s="52"/>
      <c r="L280" s="52"/>
      <c r="M280" s="52"/>
    </row>
    <row r="281" spans="1:13" ht="15.75" hidden="1" customHeight="1">
      <c r="A281" s="1032"/>
      <c r="B281" s="127">
        <v>13771</v>
      </c>
      <c r="C281" s="190">
        <v>0.1</v>
      </c>
      <c r="D281" s="218" t="s">
        <v>227</v>
      </c>
      <c r="E281" s="192">
        <v>1150000</v>
      </c>
      <c r="F281" s="210">
        <v>0.05</v>
      </c>
      <c r="G281" s="194">
        <f>E281*F281</f>
        <v>57500</v>
      </c>
      <c r="H281" s="211" t="s">
        <v>13</v>
      </c>
      <c r="I281" s="392" t="s">
        <v>104</v>
      </c>
      <c r="J281" s="52"/>
      <c r="K281" s="52"/>
      <c r="L281" s="52"/>
      <c r="M281" s="52"/>
    </row>
    <row r="282" spans="1:13" hidden="1">
      <c r="A282" s="1032"/>
      <c r="B282" s="19"/>
      <c r="C282" s="229"/>
      <c r="D282" s="235" t="s">
        <v>228</v>
      </c>
      <c r="E282" s="231"/>
      <c r="F282" s="237"/>
      <c r="G282" s="231">
        <f>E282*F282</f>
        <v>0</v>
      </c>
      <c r="H282" s="233" t="s">
        <v>13</v>
      </c>
      <c r="I282" s="392"/>
      <c r="J282" s="52"/>
      <c r="K282" s="52"/>
      <c r="L282" s="52"/>
      <c r="M282" s="52"/>
    </row>
    <row r="283" spans="1:13" hidden="1">
      <c r="A283" s="1002" t="s">
        <v>32</v>
      </c>
      <c r="B283" s="1002"/>
      <c r="C283" s="1002"/>
      <c r="D283" s="1002"/>
      <c r="E283" s="2">
        <f>SUM(E271:E282)</f>
        <v>17800000</v>
      </c>
      <c r="F283" s="3" t="s">
        <v>32</v>
      </c>
      <c r="G283" s="254">
        <f>SUM(G271:G282)</f>
        <v>1402500</v>
      </c>
      <c r="H283" s="1111"/>
      <c r="I283" s="1111"/>
      <c r="J283" s="1004" t="s">
        <v>33</v>
      </c>
      <c r="K283" s="1004"/>
      <c r="L283" s="1004"/>
      <c r="M283" s="16" t="e">
        <f>G283+#REF!</f>
        <v>#REF!</v>
      </c>
    </row>
    <row r="284" spans="1:13" s="31" customFormat="1" hidden="1">
      <c r="A284" s="122"/>
      <c r="B284" s="122"/>
      <c r="C284" s="122"/>
      <c r="D284" s="122"/>
      <c r="E284" s="123"/>
      <c r="F284" s="124"/>
      <c r="G284" s="125"/>
      <c r="H284" s="35"/>
      <c r="I284" s="35"/>
      <c r="J284" s="154"/>
      <c r="K284" s="154"/>
      <c r="L284" s="154"/>
      <c r="M284" s="155"/>
    </row>
    <row r="285" spans="1:13" ht="18" hidden="1">
      <c r="A285" s="983" t="s">
        <v>229</v>
      </c>
      <c r="B285" s="983"/>
      <c r="C285" s="983"/>
      <c r="D285" s="983"/>
      <c r="E285" s="984"/>
      <c r="F285" s="984"/>
      <c r="G285" s="984"/>
      <c r="H285" s="984"/>
      <c r="I285" s="985"/>
      <c r="J285" s="985"/>
      <c r="K285" s="985"/>
      <c r="L285" s="985"/>
      <c r="M285" s="985"/>
    </row>
    <row r="286" spans="1:13" ht="18" hidden="1">
      <c r="A286" s="102" t="s">
        <v>2</v>
      </c>
      <c r="B286" s="102" t="s">
        <v>3</v>
      </c>
      <c r="C286" s="102" t="s">
        <v>4</v>
      </c>
      <c r="D286" s="102" t="s">
        <v>5</v>
      </c>
      <c r="E286" s="103" t="s">
        <v>6</v>
      </c>
      <c r="F286" s="103" t="s">
        <v>7</v>
      </c>
      <c r="G286" s="103" t="s">
        <v>8</v>
      </c>
      <c r="H286" s="103" t="s">
        <v>9</v>
      </c>
      <c r="I286" s="103" t="s">
        <v>3</v>
      </c>
      <c r="J286" s="103" t="s">
        <v>5</v>
      </c>
      <c r="K286" s="104" t="s">
        <v>10</v>
      </c>
      <c r="L286" s="105" t="s">
        <v>7</v>
      </c>
      <c r="M286" s="105" t="s">
        <v>11</v>
      </c>
    </row>
    <row r="287" spans="1:13" ht="20.25" hidden="1" customHeight="1">
      <c r="A287" s="1030" t="s">
        <v>230</v>
      </c>
      <c r="B287" s="14">
        <v>13672</v>
      </c>
      <c r="C287" s="179">
        <v>0.1</v>
      </c>
      <c r="D287" s="193" t="s">
        <v>231</v>
      </c>
      <c r="E287" s="194">
        <v>1650000</v>
      </c>
      <c r="F287" s="183">
        <v>0.05</v>
      </c>
      <c r="G287" s="194">
        <f>E287*F287</f>
        <v>82500</v>
      </c>
      <c r="H287" s="226" t="s">
        <v>49</v>
      </c>
      <c r="I287" s="398" t="s">
        <v>232</v>
      </c>
      <c r="J287" s="193" t="s">
        <v>233</v>
      </c>
      <c r="K287" s="194">
        <v>2850000</v>
      </c>
      <c r="L287" s="178">
        <v>0.04</v>
      </c>
      <c r="M287" s="193">
        <f>K287*L287</f>
        <v>114000</v>
      </c>
    </row>
    <row r="288" spans="1:13" ht="20.25" hidden="1" customHeight="1">
      <c r="A288" s="1030"/>
      <c r="B288" s="14">
        <v>13756</v>
      </c>
      <c r="C288" s="178">
        <v>0.08</v>
      </c>
      <c r="D288" s="193" t="s">
        <v>234</v>
      </c>
      <c r="E288" s="194">
        <v>1600000</v>
      </c>
      <c r="F288" s="178">
        <v>0.06</v>
      </c>
      <c r="G288" s="194">
        <f>E288*F288</f>
        <v>96000</v>
      </c>
      <c r="H288" s="226" t="s">
        <v>165</v>
      </c>
      <c r="I288" s="398" t="s">
        <v>235</v>
      </c>
      <c r="J288" s="193" t="s">
        <v>236</v>
      </c>
      <c r="K288" s="264">
        <v>1800000</v>
      </c>
      <c r="L288" s="179">
        <v>0.05</v>
      </c>
      <c r="M288" s="193">
        <f>K288*L288</f>
        <v>90000</v>
      </c>
    </row>
    <row r="289" spans="1:13" ht="20.25" hidden="1" customHeight="1">
      <c r="A289" s="1030"/>
      <c r="B289" s="14">
        <v>13681</v>
      </c>
      <c r="C289" s="179">
        <v>0.1</v>
      </c>
      <c r="D289" s="193" t="s">
        <v>237</v>
      </c>
      <c r="E289" s="194">
        <v>1100000</v>
      </c>
      <c r="F289" s="183">
        <v>0.08</v>
      </c>
      <c r="G289" s="194">
        <f>E289*F289</f>
        <v>88000</v>
      </c>
      <c r="H289" s="226" t="s">
        <v>165</v>
      </c>
      <c r="I289" s="398" t="s">
        <v>238</v>
      </c>
      <c r="J289" s="193" t="s">
        <v>239</v>
      </c>
      <c r="K289" s="264">
        <v>2300000</v>
      </c>
      <c r="L289" s="179">
        <v>0.05</v>
      </c>
      <c r="M289" s="193">
        <f>K289*L289</f>
        <v>115000</v>
      </c>
    </row>
    <row r="290" spans="1:13" ht="20.25" hidden="1" customHeight="1">
      <c r="A290" s="1030"/>
      <c r="B290" s="14">
        <v>13698</v>
      </c>
      <c r="C290" s="179">
        <v>0.1</v>
      </c>
      <c r="D290" s="193" t="s">
        <v>240</v>
      </c>
      <c r="E290" s="194">
        <v>1200000</v>
      </c>
      <c r="F290" s="183">
        <v>0.04</v>
      </c>
      <c r="G290" s="194">
        <f>E290*F290</f>
        <v>48000</v>
      </c>
      <c r="H290" s="226" t="s">
        <v>241</v>
      </c>
      <c r="I290" s="376" t="s">
        <v>104</v>
      </c>
      <c r="J290" s="52"/>
      <c r="K290" s="52"/>
      <c r="L290" s="337"/>
      <c r="M290" s="52"/>
    </row>
    <row r="291" spans="1:13" ht="15.75" hidden="1" customHeight="1">
      <c r="A291" s="1030"/>
      <c r="B291" s="19"/>
      <c r="C291" s="229"/>
      <c r="D291" s="235" t="s">
        <v>189</v>
      </c>
      <c r="E291" s="231"/>
      <c r="F291" s="237"/>
      <c r="G291" s="231"/>
      <c r="H291" s="233" t="s">
        <v>49</v>
      </c>
      <c r="I291" s="303" t="s">
        <v>242</v>
      </c>
      <c r="J291" s="52"/>
      <c r="K291" s="52"/>
      <c r="L291" s="52"/>
      <c r="M291" s="52"/>
    </row>
    <row r="292" spans="1:13" ht="13.5" hidden="1" customHeight="1">
      <c r="A292" s="1030"/>
      <c r="B292" s="19"/>
      <c r="C292" s="229"/>
      <c r="D292" s="235" t="s">
        <v>243</v>
      </c>
      <c r="E292" s="231"/>
      <c r="F292" s="237"/>
      <c r="G292" s="231"/>
      <c r="H292" s="233" t="s">
        <v>49</v>
      </c>
      <c r="I292" s="303" t="s">
        <v>244</v>
      </c>
      <c r="J292" s="52"/>
      <c r="K292" s="52"/>
      <c r="L292" s="52"/>
      <c r="M292" s="52"/>
    </row>
    <row r="293" spans="1:13" ht="13.5" hidden="1" customHeight="1">
      <c r="A293" s="1031"/>
      <c r="B293" s="19"/>
      <c r="C293" s="229"/>
      <c r="D293" s="235" t="s">
        <v>245</v>
      </c>
      <c r="E293" s="231"/>
      <c r="F293" s="237"/>
      <c r="G293" s="231"/>
      <c r="H293" s="233" t="s">
        <v>49</v>
      </c>
      <c r="I293" s="303" t="s">
        <v>79</v>
      </c>
      <c r="J293" s="187"/>
      <c r="K293" s="187"/>
      <c r="L293" s="187"/>
      <c r="M293" s="187">
        <f>SUM(M287:M292)</f>
        <v>319000</v>
      </c>
    </row>
    <row r="294" spans="1:13" ht="15.75" hidden="1">
      <c r="A294" s="1026" t="s">
        <v>32</v>
      </c>
      <c r="B294" s="1026"/>
      <c r="C294" s="1026"/>
      <c r="D294" s="1026"/>
      <c r="E294" s="172">
        <f>SUM(E287:E293)</f>
        <v>5550000</v>
      </c>
      <c r="F294" s="173" t="s">
        <v>32</v>
      </c>
      <c r="G294" s="174">
        <f>SUM(G287:G293)</f>
        <v>314500</v>
      </c>
      <c r="H294" s="1111"/>
      <c r="I294" s="1111"/>
      <c r="J294" s="1027" t="s">
        <v>33</v>
      </c>
      <c r="K294" s="1027"/>
      <c r="L294" s="1027"/>
      <c r="M294" s="177">
        <f>G294+M293</f>
        <v>633500</v>
      </c>
    </row>
    <row r="295" spans="1:13" s="31" customFormat="1" hidden="1">
      <c r="A295" s="122"/>
      <c r="B295" s="122"/>
      <c r="C295" s="122"/>
      <c r="D295" s="122"/>
      <c r="E295" s="123"/>
      <c r="F295" s="124"/>
      <c r="G295" s="125"/>
      <c r="H295" s="35"/>
      <c r="I295" s="35"/>
      <c r="J295" s="154"/>
      <c r="K295" s="154"/>
      <c r="L295" s="154"/>
      <c r="M295" s="155"/>
    </row>
    <row r="296" spans="1:13" s="31" customFormat="1" hidden="1">
      <c r="A296" s="122"/>
      <c r="B296" s="122"/>
      <c r="C296" s="122"/>
      <c r="D296" s="122"/>
      <c r="E296" s="123"/>
      <c r="F296" s="124"/>
      <c r="G296" s="125"/>
      <c r="H296" s="35"/>
      <c r="I296" s="35"/>
      <c r="J296" s="154"/>
      <c r="K296" s="154"/>
      <c r="L296" s="154"/>
      <c r="M296" s="155"/>
    </row>
    <row r="297" spans="1:13" ht="18" hidden="1">
      <c r="A297" s="983" t="s">
        <v>49</v>
      </c>
      <c r="B297" s="983"/>
      <c r="C297" s="983"/>
      <c r="D297" s="983"/>
      <c r="E297" s="984"/>
      <c r="F297" s="984"/>
      <c r="G297" s="984"/>
      <c r="H297" s="984"/>
      <c r="I297" s="985"/>
      <c r="J297" s="985"/>
      <c r="K297" s="985"/>
      <c r="L297" s="985"/>
      <c r="M297" s="985"/>
    </row>
    <row r="298" spans="1:13" ht="18" hidden="1">
      <c r="A298" s="102" t="s">
        <v>2</v>
      </c>
      <c r="B298" s="102" t="s">
        <v>3</v>
      </c>
      <c r="C298" s="102" t="s">
        <v>4</v>
      </c>
      <c r="D298" s="102" t="s">
        <v>5</v>
      </c>
      <c r="E298" s="103" t="s">
        <v>6</v>
      </c>
      <c r="F298" s="103" t="s">
        <v>7</v>
      </c>
      <c r="G298" s="103" t="s">
        <v>8</v>
      </c>
      <c r="H298" s="103" t="s">
        <v>9</v>
      </c>
      <c r="I298" s="103" t="s">
        <v>3</v>
      </c>
      <c r="J298" s="103" t="s">
        <v>5</v>
      </c>
      <c r="K298" s="104" t="s">
        <v>10</v>
      </c>
      <c r="L298" s="105" t="s">
        <v>7</v>
      </c>
      <c r="M298" s="105" t="s">
        <v>11</v>
      </c>
    </row>
    <row r="299" spans="1:13" hidden="1">
      <c r="A299" s="1028"/>
      <c r="B299" s="24"/>
      <c r="C299" s="337"/>
      <c r="D299" s="346"/>
      <c r="E299" s="338"/>
      <c r="F299" s="344"/>
      <c r="G299" s="338"/>
      <c r="H299" s="340"/>
      <c r="I299" s="52">
        <v>1</v>
      </c>
      <c r="J299" s="52"/>
      <c r="K299" s="52"/>
      <c r="L299" s="52"/>
      <c r="M299" s="52"/>
    </row>
    <row r="300" spans="1:13" hidden="1">
      <c r="A300" s="1029"/>
      <c r="B300" s="347"/>
      <c r="C300" s="348"/>
      <c r="D300" s="247"/>
      <c r="E300" s="349"/>
      <c r="F300" s="339"/>
      <c r="G300" s="338"/>
      <c r="H300" s="340"/>
      <c r="I300" s="52"/>
      <c r="J300" s="52"/>
      <c r="K300" s="52"/>
      <c r="L300" s="52"/>
      <c r="M300" s="52"/>
    </row>
    <row r="301" spans="1:13" hidden="1">
      <c r="A301" s="326"/>
      <c r="B301" s="350"/>
      <c r="C301" s="348"/>
      <c r="D301" s="351"/>
      <c r="E301" s="352"/>
      <c r="F301" s="353"/>
      <c r="G301" s="352"/>
      <c r="H301" s="354"/>
    </row>
    <row r="302" spans="1:13" hidden="1">
      <c r="A302" s="1002" t="s">
        <v>32</v>
      </c>
      <c r="B302" s="1002"/>
      <c r="C302" s="1002"/>
      <c r="D302" s="1002"/>
      <c r="E302" s="2">
        <f>SUM(E299:E301)</f>
        <v>0</v>
      </c>
      <c r="F302" s="3" t="s">
        <v>32</v>
      </c>
      <c r="G302" s="4">
        <f>SUM(G299:G300)</f>
        <v>0</v>
      </c>
      <c r="H302" s="1111"/>
      <c r="I302" s="1111"/>
      <c r="J302" s="1004" t="s">
        <v>33</v>
      </c>
      <c r="K302" s="1013"/>
      <c r="L302" s="1013"/>
      <c r="M302" s="16" t="e">
        <f>G302+#REF!</f>
        <v>#REF!</v>
      </c>
    </row>
    <row r="303" spans="1:13" hidden="1">
      <c r="A303" s="317"/>
      <c r="B303" s="317"/>
      <c r="C303" s="317"/>
      <c r="D303" s="317"/>
      <c r="E303" s="318"/>
      <c r="F303" s="319"/>
      <c r="G303" s="320"/>
      <c r="H303" s="115"/>
      <c r="I303" s="115"/>
      <c r="J303" s="321"/>
      <c r="K303" s="321"/>
      <c r="L303" s="321"/>
      <c r="M303" s="322"/>
    </row>
    <row r="304" spans="1:13" hidden="1">
      <c r="A304" s="317"/>
      <c r="B304" s="317"/>
      <c r="C304" s="317"/>
      <c r="D304" s="317"/>
      <c r="E304" s="318"/>
      <c r="F304" s="319"/>
      <c r="G304" s="320"/>
      <c r="H304" s="115"/>
      <c r="I304" s="115"/>
      <c r="J304" s="321"/>
      <c r="K304" s="321"/>
      <c r="L304" s="321"/>
      <c r="M304" s="322"/>
    </row>
    <row r="305" spans="1:13" s="31" customFormat="1" hidden="1">
      <c r="A305" s="122"/>
      <c r="B305" s="122"/>
      <c r="C305" s="122"/>
      <c r="D305" s="122"/>
      <c r="E305" s="123"/>
      <c r="F305" s="124"/>
      <c r="G305" s="125"/>
      <c r="H305" s="35"/>
      <c r="I305" s="35"/>
      <c r="J305" s="154"/>
      <c r="K305" s="154"/>
      <c r="L305" s="154"/>
      <c r="M305" s="155"/>
    </row>
    <row r="306" spans="1:13" hidden="1"/>
    <row r="307" spans="1:13" ht="18" hidden="1" customHeight="1">
      <c r="A307" s="1014" t="e">
        <f>#REF!+#REF!+#REF!</f>
        <v>#REF!</v>
      </c>
      <c r="B307" s="1016" t="s">
        <v>50</v>
      </c>
      <c r="C307" s="1017"/>
      <c r="D307" s="1018"/>
      <c r="E307" s="5">
        <f>E302+E294+E283+E266+E251</f>
        <v>65380000</v>
      </c>
      <c r="F307" s="8"/>
      <c r="G307" s="8"/>
      <c r="H307" s="8"/>
      <c r="I307" s="8"/>
      <c r="J307" s="8"/>
      <c r="K307" s="8"/>
      <c r="L307" s="8"/>
      <c r="M307" s="8"/>
    </row>
    <row r="308" spans="1:13" ht="18" hidden="1" customHeight="1">
      <c r="A308" s="1014"/>
      <c r="B308" s="1019" t="s">
        <v>51</v>
      </c>
      <c r="C308" s="1020"/>
      <c r="D308" s="1021"/>
      <c r="E308" s="17"/>
      <c r="F308" s="8"/>
      <c r="G308" s="8"/>
      <c r="H308" s="8"/>
      <c r="I308" s="8"/>
      <c r="J308" s="8"/>
      <c r="K308" s="8"/>
      <c r="L308" s="8"/>
      <c r="M308" s="8"/>
    </row>
    <row r="309" spans="1:13" ht="18" hidden="1" customHeight="1">
      <c r="A309" s="1015"/>
      <c r="B309" s="1022" t="s">
        <v>52</v>
      </c>
      <c r="C309" s="1023"/>
      <c r="D309" s="1024"/>
      <c r="E309" s="17"/>
      <c r="F309" s="8"/>
      <c r="G309" s="8"/>
      <c r="H309" s="8"/>
      <c r="I309" s="8"/>
      <c r="J309" s="8"/>
      <c r="K309" s="8"/>
      <c r="L309" s="8"/>
      <c r="M309" s="8"/>
    </row>
    <row r="310" spans="1:13" hidden="1"/>
    <row r="311" spans="1:13" hidden="1"/>
    <row r="312" spans="1:13" ht="18" hidden="1" customHeight="1">
      <c r="A312" s="1025" t="s">
        <v>53</v>
      </c>
      <c r="B312" s="1025" t="s">
        <v>54</v>
      </c>
      <c r="C312" s="1025" t="s">
        <v>55</v>
      </c>
      <c r="D312" s="1025" t="s">
        <v>56</v>
      </c>
      <c r="E312" s="276"/>
      <c r="F312" s="8"/>
      <c r="G312" s="8"/>
      <c r="H312" s="8"/>
      <c r="I312" s="8"/>
      <c r="J312" s="8"/>
      <c r="K312" s="8"/>
      <c r="L312" s="8"/>
      <c r="M312" s="8"/>
    </row>
    <row r="313" spans="1:13" ht="18" hidden="1" customHeight="1">
      <c r="A313" s="1025"/>
      <c r="B313" s="1025"/>
      <c r="C313" s="1025"/>
      <c r="D313" s="1025"/>
      <c r="E313" s="276"/>
      <c r="F313" s="8"/>
      <c r="G313" s="8"/>
      <c r="H313" s="8"/>
      <c r="I313" s="8"/>
      <c r="J313" s="8"/>
      <c r="K313" s="8"/>
      <c r="L313" s="8"/>
      <c r="M313" s="8"/>
    </row>
    <row r="314" spans="1:13" ht="18" hidden="1" customHeight="1">
      <c r="A314" s="1006" t="s">
        <v>57</v>
      </c>
      <c r="B314" s="1007">
        <v>82</v>
      </c>
      <c r="C314" s="1008"/>
      <c r="D314" s="1009">
        <v>37</v>
      </c>
      <c r="E314" s="276"/>
      <c r="F314" s="8"/>
      <c r="G314" s="8"/>
      <c r="H314" s="8"/>
      <c r="I314" s="8"/>
      <c r="J314" s="8"/>
      <c r="K314" s="8"/>
      <c r="L314" s="8"/>
      <c r="M314" s="8"/>
    </row>
    <row r="315" spans="1:13" ht="18" hidden="1" customHeight="1">
      <c r="A315" s="1006"/>
      <c r="B315" s="1007"/>
      <c r="C315" s="1007"/>
      <c r="D315" s="1009"/>
      <c r="E315" s="276"/>
      <c r="F315" s="8"/>
      <c r="G315" s="8"/>
      <c r="H315" s="8"/>
      <c r="I315" s="8"/>
      <c r="J315" s="8"/>
      <c r="K315" s="8"/>
      <c r="L315" s="8"/>
      <c r="M315" s="8"/>
    </row>
    <row r="316" spans="1:13" ht="18" hidden="1" customHeight="1">
      <c r="A316" s="1010" t="s">
        <v>58</v>
      </c>
      <c r="B316" s="1007">
        <v>4</v>
      </c>
      <c r="C316" s="1008">
        <v>0</v>
      </c>
      <c r="D316" s="1009">
        <v>0</v>
      </c>
      <c r="E316" s="276"/>
      <c r="F316" s="8"/>
      <c r="G316" s="8"/>
      <c r="H316" s="8"/>
      <c r="I316" s="8"/>
      <c r="J316" s="8"/>
      <c r="K316" s="8"/>
      <c r="L316" s="8"/>
      <c r="M316" s="8"/>
    </row>
    <row r="317" spans="1:13" ht="18" hidden="1" customHeight="1">
      <c r="A317" s="1010"/>
      <c r="B317" s="1007"/>
      <c r="C317" s="1008"/>
      <c r="D317" s="1009"/>
      <c r="E317" s="276"/>
      <c r="F317" s="8"/>
      <c r="G317" s="8"/>
      <c r="H317" s="8"/>
      <c r="I317" s="8"/>
      <c r="J317" s="8"/>
      <c r="K317" s="8"/>
      <c r="L317" s="8"/>
      <c r="M317" s="8"/>
    </row>
    <row r="318" spans="1:13" ht="18" hidden="1" customHeight="1">
      <c r="A318" s="1011" t="s">
        <v>59</v>
      </c>
      <c r="B318" s="1011">
        <f>SUM(B314:B317)</f>
        <v>86</v>
      </c>
      <c r="C318" s="1012">
        <f>SUM(C313:C317)</f>
        <v>0</v>
      </c>
      <c r="D318" s="1011">
        <f>SUM(D313:D317)</f>
        <v>37</v>
      </c>
      <c r="E318" s="276"/>
      <c r="F318" s="8"/>
      <c r="G318" s="8"/>
      <c r="H318" s="8"/>
      <c r="I318" s="8"/>
      <c r="J318" s="8"/>
      <c r="K318" s="8"/>
      <c r="L318" s="8"/>
      <c r="M318" s="8"/>
    </row>
    <row r="319" spans="1:13" ht="12.75" hidden="1" customHeight="1">
      <c r="A319" s="1011"/>
      <c r="B319" s="1011"/>
      <c r="C319" s="1011"/>
      <c r="D319" s="1011"/>
      <c r="E319" s="276"/>
    </row>
    <row r="320" spans="1:13" hidden="1"/>
    <row r="321" spans="1:13" hidden="1"/>
    <row r="322" spans="1:13" hidden="1"/>
    <row r="323" spans="1:13" hidden="1"/>
    <row r="324" spans="1:13" hidden="1"/>
    <row r="325" spans="1:13" hidden="1"/>
    <row r="326" spans="1:13" hidden="1"/>
    <row r="327" spans="1:13" ht="31.5">
      <c r="A327" s="987" t="s">
        <v>246</v>
      </c>
      <c r="B327" s="987"/>
      <c r="C327" s="987"/>
      <c r="D327" s="987"/>
      <c r="E327" s="987"/>
      <c r="F327" s="987"/>
      <c r="G327" s="987"/>
      <c r="H327" s="987"/>
      <c r="I327" s="987"/>
      <c r="J327" s="987"/>
      <c r="K327" s="987"/>
      <c r="L327" s="987"/>
      <c r="M327" s="987"/>
    </row>
    <row r="328" spans="1:13" ht="18" hidden="1">
      <c r="A328" s="983" t="s">
        <v>1</v>
      </c>
      <c r="B328" s="983"/>
      <c r="C328" s="983"/>
      <c r="D328" s="983"/>
      <c r="E328" s="984"/>
      <c r="F328" s="984"/>
      <c r="G328" s="984"/>
      <c r="H328" s="984"/>
      <c r="I328" s="985"/>
      <c r="J328" s="985"/>
      <c r="K328" s="985"/>
      <c r="L328" s="985"/>
      <c r="M328" s="985"/>
    </row>
    <row r="329" spans="1:13" ht="18" hidden="1">
      <c r="A329" s="102" t="s">
        <v>2</v>
      </c>
      <c r="B329" s="102" t="s">
        <v>3</v>
      </c>
      <c r="C329" s="102" t="s">
        <v>4</v>
      </c>
      <c r="D329" s="102" t="s">
        <v>5</v>
      </c>
      <c r="E329" s="103" t="s">
        <v>6</v>
      </c>
      <c r="F329" s="103" t="s">
        <v>7</v>
      </c>
      <c r="G329" s="103" t="s">
        <v>8</v>
      </c>
      <c r="H329" s="103" t="s">
        <v>9</v>
      </c>
      <c r="I329" s="103" t="s">
        <v>3</v>
      </c>
      <c r="J329" s="103" t="s">
        <v>5</v>
      </c>
      <c r="K329" s="104" t="s">
        <v>10</v>
      </c>
      <c r="L329" s="105" t="s">
        <v>7</v>
      </c>
      <c r="M329" s="105" t="s">
        <v>11</v>
      </c>
    </row>
    <row r="330" spans="1:13" ht="12.75" hidden="1" customHeight="1">
      <c r="A330" s="999" t="s">
        <v>61</v>
      </c>
      <c r="B330" s="438">
        <v>13890</v>
      </c>
      <c r="C330" s="439">
        <v>0.08</v>
      </c>
      <c r="D330" s="367" t="s">
        <v>247</v>
      </c>
      <c r="E330" s="435">
        <v>2000000</v>
      </c>
      <c r="F330" s="178">
        <v>0.1</v>
      </c>
      <c r="G330" s="194">
        <f>E330*F330</f>
        <v>200000</v>
      </c>
      <c r="H330" s="226" t="s">
        <v>13</v>
      </c>
      <c r="I330" s="193">
        <v>13759</v>
      </c>
      <c r="J330" s="430" t="s">
        <v>248</v>
      </c>
      <c r="K330" s="435">
        <v>1550000</v>
      </c>
      <c r="L330" s="183">
        <v>0.05</v>
      </c>
      <c r="M330" s="435">
        <f>K330*L330</f>
        <v>77500</v>
      </c>
    </row>
    <row r="331" spans="1:13" ht="12.75" hidden="1" customHeight="1">
      <c r="A331" s="1000"/>
      <c r="B331" s="438">
        <v>13925</v>
      </c>
      <c r="C331" s="440">
        <v>0.1</v>
      </c>
      <c r="D331" s="433" t="s">
        <v>249</v>
      </c>
      <c r="E331" s="435">
        <v>1450000</v>
      </c>
      <c r="F331" s="183">
        <v>7.0000000000000007E-2</v>
      </c>
      <c r="G331" s="194">
        <f t="shared" ref="G331:G342" si="9">E331*F331</f>
        <v>101500.00000000001</v>
      </c>
      <c r="H331" s="226" t="s">
        <v>250</v>
      </c>
      <c r="I331" s="483">
        <v>13859</v>
      </c>
      <c r="J331" s="244" t="s">
        <v>213</v>
      </c>
      <c r="K331" s="430">
        <v>2150000</v>
      </c>
      <c r="L331" s="183">
        <v>0.05</v>
      </c>
      <c r="M331" s="435">
        <f>K331*L331</f>
        <v>107500</v>
      </c>
    </row>
    <row r="332" spans="1:13" ht="12.75" hidden="1" customHeight="1">
      <c r="A332" s="1000"/>
      <c r="B332" s="438">
        <v>14001</v>
      </c>
      <c r="C332" s="440">
        <v>0.1</v>
      </c>
      <c r="D332" s="458" t="s">
        <v>251</v>
      </c>
      <c r="E332" s="435">
        <v>1450000</v>
      </c>
      <c r="F332" s="184">
        <v>0.06</v>
      </c>
      <c r="G332" s="194">
        <f t="shared" si="9"/>
        <v>87000</v>
      </c>
      <c r="H332" s="459" t="s">
        <v>18</v>
      </c>
      <c r="I332" s="438">
        <v>13938</v>
      </c>
      <c r="J332" s="244" t="s">
        <v>252</v>
      </c>
      <c r="K332" s="435">
        <v>2000000</v>
      </c>
      <c r="L332" s="183">
        <v>0.05</v>
      </c>
      <c r="M332" s="435">
        <f>K332*L332</f>
        <v>100000</v>
      </c>
    </row>
    <row r="333" spans="1:13" ht="12.75" hidden="1" customHeight="1">
      <c r="A333" s="1000"/>
      <c r="B333" s="438">
        <v>14076</v>
      </c>
      <c r="C333" s="440">
        <v>0.1</v>
      </c>
      <c r="D333" s="208" t="s">
        <v>253</v>
      </c>
      <c r="E333" s="435">
        <v>2250000</v>
      </c>
      <c r="F333" s="183">
        <v>0.12</v>
      </c>
      <c r="G333" s="194">
        <f t="shared" si="9"/>
        <v>270000</v>
      </c>
      <c r="H333" s="226" t="s">
        <v>13</v>
      </c>
      <c r="I333" s="392"/>
      <c r="J333" s="247"/>
      <c r="K333" s="342"/>
      <c r="L333" s="407"/>
      <c r="M333" s="247"/>
    </row>
    <row r="334" spans="1:13" ht="12.75" hidden="1" customHeight="1">
      <c r="A334" s="1000"/>
      <c r="B334" s="438">
        <v>13982</v>
      </c>
      <c r="C334" s="440">
        <v>0.1</v>
      </c>
      <c r="D334" s="193" t="s">
        <v>254</v>
      </c>
      <c r="E334" s="435">
        <v>3100000</v>
      </c>
      <c r="F334" s="183">
        <v>0.12</v>
      </c>
      <c r="G334" s="194">
        <f t="shared" si="9"/>
        <v>372000</v>
      </c>
      <c r="H334" s="226" t="s">
        <v>13</v>
      </c>
      <c r="I334" s="392"/>
      <c r="J334" s="247"/>
      <c r="K334" s="342"/>
      <c r="L334" s="407"/>
      <c r="M334" s="247"/>
    </row>
    <row r="335" spans="1:13" ht="12.75" hidden="1" customHeight="1">
      <c r="A335" s="1000"/>
      <c r="B335" s="463">
        <v>14002</v>
      </c>
      <c r="C335" s="481">
        <v>0.1</v>
      </c>
      <c r="D335" s="482" t="s">
        <v>255</v>
      </c>
      <c r="E335" s="435">
        <v>1750000</v>
      </c>
      <c r="F335" s="184">
        <v>0.06</v>
      </c>
      <c r="G335" s="194">
        <f t="shared" si="9"/>
        <v>105000</v>
      </c>
      <c r="H335" s="459" t="s">
        <v>18</v>
      </c>
      <c r="I335" s="392"/>
      <c r="J335" s="247"/>
      <c r="K335" s="342"/>
      <c r="L335" s="407"/>
      <c r="M335" s="247"/>
    </row>
    <row r="336" spans="1:13" ht="12.75" hidden="1" customHeight="1">
      <c r="A336" s="1000"/>
      <c r="B336" s="471">
        <v>13984</v>
      </c>
      <c r="C336" s="179">
        <v>0.1</v>
      </c>
      <c r="D336" s="208" t="s">
        <v>256</v>
      </c>
      <c r="E336" s="435">
        <v>1300000</v>
      </c>
      <c r="F336" s="183">
        <v>0.12</v>
      </c>
      <c r="G336" s="194">
        <f t="shared" si="9"/>
        <v>156000</v>
      </c>
      <c r="H336" s="226" t="s">
        <v>13</v>
      </c>
      <c r="I336" s="392"/>
      <c r="J336" s="247"/>
      <c r="K336" s="342"/>
      <c r="L336" s="407"/>
      <c r="M336" s="247"/>
    </row>
    <row r="337" spans="1:13" ht="12.75" hidden="1" customHeight="1">
      <c r="A337" s="1000"/>
      <c r="B337" s="463">
        <v>13924</v>
      </c>
      <c r="C337" s="481">
        <v>0.1</v>
      </c>
      <c r="D337" s="491" t="s">
        <v>257</v>
      </c>
      <c r="E337" s="501">
        <v>1900000</v>
      </c>
      <c r="F337" s="184">
        <v>7.0000000000000007E-2</v>
      </c>
      <c r="G337" s="194">
        <f t="shared" si="9"/>
        <v>133000</v>
      </c>
      <c r="H337" s="456" t="s">
        <v>250</v>
      </c>
      <c r="I337" s="393"/>
      <c r="J337" s="114"/>
      <c r="K337" s="114"/>
      <c r="L337" s="114"/>
      <c r="M337" s="114"/>
    </row>
    <row r="338" spans="1:13" ht="12.75" hidden="1" customHeight="1">
      <c r="A338" s="1000"/>
      <c r="B338" s="438">
        <v>14067</v>
      </c>
      <c r="C338" s="440">
        <v>0.1</v>
      </c>
      <c r="D338" s="193" t="s">
        <v>258</v>
      </c>
      <c r="E338" s="435">
        <v>1750000</v>
      </c>
      <c r="F338" s="183">
        <v>7.0000000000000007E-2</v>
      </c>
      <c r="G338" s="194">
        <f t="shared" si="9"/>
        <v>122500.00000000001</v>
      </c>
      <c r="H338" s="226" t="s">
        <v>205</v>
      </c>
      <c r="I338" s="393"/>
      <c r="J338" s="114"/>
      <c r="K338" s="114"/>
      <c r="L338" s="114"/>
      <c r="M338" s="114"/>
    </row>
    <row r="339" spans="1:13" ht="12.75" hidden="1" customHeight="1">
      <c r="A339" s="1000"/>
      <c r="B339" s="588">
        <v>14087</v>
      </c>
      <c r="C339" s="440">
        <v>0.1</v>
      </c>
      <c r="D339" s="430" t="s">
        <v>259</v>
      </c>
      <c r="E339" s="435">
        <v>2200000</v>
      </c>
      <c r="F339" s="183">
        <v>0.12</v>
      </c>
      <c r="G339" s="194">
        <f t="shared" si="9"/>
        <v>264000</v>
      </c>
      <c r="H339" s="226" t="s">
        <v>13</v>
      </c>
      <c r="I339" s="393"/>
      <c r="J339" s="114"/>
      <c r="K339" s="114"/>
      <c r="L339" s="114"/>
      <c r="M339" s="114"/>
    </row>
    <row r="340" spans="1:13" ht="12.75" hidden="1" customHeight="1">
      <c r="A340" s="1000"/>
      <c r="B340" s="588">
        <v>14091</v>
      </c>
      <c r="C340" s="439">
        <v>0.08</v>
      </c>
      <c r="D340" s="430" t="s">
        <v>260</v>
      </c>
      <c r="E340" s="435">
        <v>2650000</v>
      </c>
      <c r="F340" s="178">
        <v>0.1</v>
      </c>
      <c r="G340" s="194">
        <f t="shared" si="9"/>
        <v>265000</v>
      </c>
      <c r="H340" s="226" t="s">
        <v>13</v>
      </c>
      <c r="I340" s="393"/>
      <c r="J340" s="114"/>
      <c r="K340" s="114"/>
      <c r="L340" s="114"/>
      <c r="M340" s="114"/>
    </row>
    <row r="341" spans="1:13" ht="12.75" hidden="1" customHeight="1">
      <c r="A341" s="1000"/>
      <c r="B341" s="438">
        <v>14034</v>
      </c>
      <c r="C341" s="440">
        <v>0.1</v>
      </c>
      <c r="D341" s="430" t="s">
        <v>261</v>
      </c>
      <c r="E341" s="435">
        <v>2900000</v>
      </c>
      <c r="F341" s="184">
        <v>7.0000000000000007E-2</v>
      </c>
      <c r="G341" s="194">
        <f t="shared" si="9"/>
        <v>203000.00000000003</v>
      </c>
      <c r="H341" s="430" t="s">
        <v>66</v>
      </c>
      <c r="I341" s="393"/>
      <c r="J341" s="114"/>
      <c r="K341" s="114"/>
      <c r="L341" s="114"/>
      <c r="M341" s="114"/>
    </row>
    <row r="342" spans="1:13" ht="15" hidden="1">
      <c r="A342" s="1000"/>
      <c r="B342" s="438">
        <v>14084</v>
      </c>
      <c r="C342" s="440">
        <v>0.1</v>
      </c>
      <c r="D342" s="193" t="s">
        <v>262</v>
      </c>
      <c r="E342" s="435">
        <v>1500000</v>
      </c>
      <c r="F342" s="183">
        <v>0.12</v>
      </c>
      <c r="G342" s="194">
        <f t="shared" si="9"/>
        <v>180000</v>
      </c>
      <c r="H342" s="226" t="s">
        <v>13</v>
      </c>
      <c r="I342" s="393"/>
      <c r="J342" s="114"/>
      <c r="K342" s="114"/>
      <c r="L342" s="114"/>
      <c r="M342" s="114"/>
    </row>
    <row r="343" spans="1:13" ht="12.75" hidden="1" customHeight="1">
      <c r="A343" s="1000"/>
      <c r="B343" s="269" t="s">
        <v>263</v>
      </c>
      <c r="C343" s="229">
        <v>0.1</v>
      </c>
      <c r="D343" s="83" t="s">
        <v>264</v>
      </c>
      <c r="E343" s="231"/>
      <c r="F343" s="237"/>
      <c r="G343" s="231"/>
      <c r="H343" s="233" t="s">
        <v>13</v>
      </c>
      <c r="I343" s="392"/>
      <c r="J343" s="114"/>
      <c r="K343" s="114"/>
      <c r="L343" s="114"/>
      <c r="M343" s="114"/>
    </row>
    <row r="344" spans="1:13" ht="12.75" hidden="1" customHeight="1">
      <c r="A344" s="1000"/>
      <c r="B344" s="502" t="s">
        <v>265</v>
      </c>
      <c r="C344" s="234"/>
      <c r="D344" s="436" t="s">
        <v>266</v>
      </c>
      <c r="E344" s="503"/>
      <c r="F344" s="504"/>
      <c r="G344" s="505"/>
      <c r="H344" s="506"/>
      <c r="I344" s="399"/>
      <c r="J344" s="114"/>
      <c r="K344" s="114"/>
      <c r="L344" s="114"/>
      <c r="M344" s="114"/>
    </row>
    <row r="345" spans="1:13" ht="12.75" hidden="1" customHeight="1">
      <c r="A345" s="1000"/>
      <c r="B345" s="24"/>
      <c r="C345" s="337"/>
      <c r="D345" s="247"/>
      <c r="E345" s="338"/>
      <c r="F345" s="339"/>
      <c r="G345" s="338"/>
      <c r="H345" s="340"/>
      <c r="I345" s="399"/>
      <c r="J345" s="114"/>
      <c r="K345" s="114"/>
      <c r="L345" s="114"/>
      <c r="M345" s="510">
        <f>SUM(M330:M344)</f>
        <v>285000</v>
      </c>
    </row>
    <row r="346" spans="1:13" ht="29.25" hidden="1" customHeight="1">
      <c r="A346" s="1001" t="s">
        <v>32</v>
      </c>
      <c r="B346" s="1002"/>
      <c r="C346" s="1002"/>
      <c r="D346" s="1002"/>
      <c r="E346" s="593">
        <f>SUM(E330:E345)</f>
        <v>26200000</v>
      </c>
      <c r="F346" s="324" t="s">
        <v>32</v>
      </c>
      <c r="G346" s="325">
        <f>SUM(G330:G345)</f>
        <v>2459000</v>
      </c>
      <c r="H346" s="1113"/>
      <c r="I346" s="1113"/>
      <c r="J346" s="1003" t="s">
        <v>33</v>
      </c>
      <c r="K346" s="1004"/>
      <c r="L346" s="1004"/>
      <c r="M346" s="591">
        <f>G346+M345</f>
        <v>2744000</v>
      </c>
    </row>
    <row r="347" spans="1:13" hidden="1"/>
    <row r="348" spans="1:13" hidden="1"/>
    <row r="349" spans="1:13" ht="18" hidden="1">
      <c r="A349" s="983" t="s">
        <v>16</v>
      </c>
      <c r="B349" s="983"/>
      <c r="C349" s="983"/>
      <c r="D349" s="983"/>
      <c r="E349" s="984"/>
      <c r="F349" s="984"/>
      <c r="G349" s="984"/>
      <c r="H349" s="984"/>
      <c r="I349" s="985"/>
      <c r="J349" s="985"/>
      <c r="K349" s="985"/>
      <c r="L349" s="985"/>
      <c r="M349" s="985"/>
    </row>
    <row r="350" spans="1:13" ht="18" hidden="1">
      <c r="A350" s="102" t="s">
        <v>2</v>
      </c>
      <c r="B350" s="102" t="s">
        <v>3</v>
      </c>
      <c r="C350" s="102" t="s">
        <v>4</v>
      </c>
      <c r="D350" s="102" t="s">
        <v>5</v>
      </c>
      <c r="E350" s="103" t="s">
        <v>6</v>
      </c>
      <c r="F350" s="103" t="s">
        <v>7</v>
      </c>
      <c r="G350" s="103" t="s">
        <v>8</v>
      </c>
      <c r="H350" s="103" t="s">
        <v>9</v>
      </c>
      <c r="I350" s="103" t="s">
        <v>3</v>
      </c>
      <c r="J350" s="103" t="s">
        <v>5</v>
      </c>
      <c r="K350" s="104" t="s">
        <v>10</v>
      </c>
      <c r="L350" s="105" t="s">
        <v>7</v>
      </c>
      <c r="M350" s="105" t="s">
        <v>11</v>
      </c>
    </row>
    <row r="351" spans="1:13" ht="18" hidden="1">
      <c r="A351" s="417"/>
      <c r="B351" s="438">
        <v>13941</v>
      </c>
      <c r="C351" s="178">
        <v>0.08</v>
      </c>
      <c r="D351" s="433" t="s">
        <v>267</v>
      </c>
      <c r="E351" s="435">
        <v>1700000</v>
      </c>
      <c r="F351" s="357">
        <v>0.04</v>
      </c>
      <c r="G351" s="194">
        <f>E351*F351</f>
        <v>68000</v>
      </c>
      <c r="H351" s="226" t="s">
        <v>49</v>
      </c>
      <c r="I351" s="427"/>
      <c r="J351" s="427"/>
      <c r="K351" s="427"/>
      <c r="L351" s="427"/>
      <c r="M351" s="427"/>
    </row>
    <row r="352" spans="1:13" ht="18" hidden="1">
      <c r="A352" s="417"/>
      <c r="B352" s="460">
        <v>14009</v>
      </c>
      <c r="C352" s="179">
        <v>0.1</v>
      </c>
      <c r="D352" s="244" t="s">
        <v>268</v>
      </c>
      <c r="E352" s="435">
        <v>1800000</v>
      </c>
      <c r="F352" s="357">
        <v>0.1</v>
      </c>
      <c r="G352" s="194">
        <f>E352*F352</f>
        <v>180000</v>
      </c>
      <c r="H352" s="226" t="s">
        <v>205</v>
      </c>
      <c r="I352" s="427"/>
      <c r="J352" s="427"/>
      <c r="K352" s="427"/>
      <c r="L352" s="427"/>
      <c r="M352" s="427"/>
    </row>
    <row r="353" spans="1:13" ht="12.75" hidden="1" customHeight="1">
      <c r="A353" s="1005" t="s">
        <v>269</v>
      </c>
      <c r="B353" s="460">
        <v>13954</v>
      </c>
      <c r="C353" s="179">
        <v>0.1</v>
      </c>
      <c r="D353" s="430" t="s">
        <v>270</v>
      </c>
      <c r="E353" s="435">
        <v>1900000</v>
      </c>
      <c r="F353" s="357">
        <v>0.1</v>
      </c>
      <c r="G353" s="194">
        <f t="shared" ref="G353:G355" si="10">E353*F353</f>
        <v>190000</v>
      </c>
      <c r="H353" s="430" t="s">
        <v>205</v>
      </c>
      <c r="I353" s="399"/>
      <c r="J353" s="114"/>
      <c r="K353" s="114"/>
      <c r="L353" s="114"/>
      <c r="M353" s="114"/>
    </row>
    <row r="354" spans="1:13" ht="12.75" hidden="1" customHeight="1">
      <c r="A354" s="1005"/>
      <c r="B354" s="460">
        <v>13972</v>
      </c>
      <c r="C354" s="179">
        <v>0.1</v>
      </c>
      <c r="D354" s="430" t="s">
        <v>271</v>
      </c>
      <c r="E354" s="435">
        <v>1550000</v>
      </c>
      <c r="F354" s="357">
        <v>0.05</v>
      </c>
      <c r="G354" s="194">
        <f t="shared" si="10"/>
        <v>77500</v>
      </c>
      <c r="H354" s="226" t="s">
        <v>18</v>
      </c>
      <c r="I354" s="114"/>
      <c r="J354" s="114"/>
      <c r="K354" s="114"/>
      <c r="L354" s="114"/>
      <c r="M354" s="114"/>
    </row>
    <row r="355" spans="1:13" ht="12.75" hidden="1" customHeight="1">
      <c r="A355" s="1005"/>
      <c r="B355" s="460">
        <v>13973</v>
      </c>
      <c r="C355" s="179">
        <v>0.1</v>
      </c>
      <c r="D355" s="244" t="s">
        <v>272</v>
      </c>
      <c r="E355" s="435">
        <v>2700000</v>
      </c>
      <c r="F355" s="357">
        <v>0.1</v>
      </c>
      <c r="G355" s="194">
        <f t="shared" si="10"/>
        <v>270000</v>
      </c>
      <c r="H355" s="226" t="s">
        <v>205</v>
      </c>
      <c r="I355" s="399"/>
      <c r="J355" s="114"/>
      <c r="K355" s="114"/>
      <c r="L355" s="114"/>
      <c r="M355" s="114"/>
    </row>
    <row r="356" spans="1:13" ht="12.75" hidden="1" customHeight="1">
      <c r="A356" s="1005"/>
      <c r="B356" s="442">
        <v>13949</v>
      </c>
      <c r="C356" s="179">
        <v>0.1</v>
      </c>
      <c r="D356" s="218" t="s">
        <v>273</v>
      </c>
      <c r="E356" s="435">
        <v>1900000</v>
      </c>
      <c r="F356" s="357">
        <v>0.1</v>
      </c>
      <c r="G356" s="194">
        <f>E356*F356</f>
        <v>190000</v>
      </c>
      <c r="H356" s="226" t="s">
        <v>205</v>
      </c>
      <c r="I356" s="114"/>
      <c r="J356" s="114"/>
      <c r="K356" s="114"/>
      <c r="L356" s="114"/>
      <c r="M356" s="114"/>
    </row>
    <row r="357" spans="1:13" ht="12.75" hidden="1" customHeight="1">
      <c r="A357" s="1005"/>
      <c r="B357" s="269" t="s">
        <v>263</v>
      </c>
      <c r="C357" s="413">
        <v>0.08</v>
      </c>
      <c r="D357" s="270" t="s">
        <v>274</v>
      </c>
      <c r="E357" s="271"/>
      <c r="F357" s="400"/>
      <c r="G357" s="231"/>
      <c r="H357" s="233" t="s">
        <v>66</v>
      </c>
      <c r="I357" s="52"/>
      <c r="J357" s="52"/>
      <c r="K357" s="52"/>
      <c r="L357" s="52"/>
      <c r="M357" s="52"/>
    </row>
    <row r="358" spans="1:13" ht="12.75" hidden="1" customHeight="1">
      <c r="A358" s="1005"/>
      <c r="B358" s="269" t="s">
        <v>263</v>
      </c>
      <c r="C358" s="413"/>
      <c r="D358" s="270" t="s">
        <v>275</v>
      </c>
      <c r="E358" s="271"/>
      <c r="F358" s="400"/>
      <c r="G358" s="231">
        <f>E358*F358</f>
        <v>0</v>
      </c>
      <c r="H358" s="233" t="s">
        <v>205</v>
      </c>
      <c r="I358" s="52"/>
      <c r="J358" s="52"/>
      <c r="K358" s="52"/>
      <c r="L358" s="52"/>
      <c r="M358" s="52"/>
    </row>
    <row r="359" spans="1:13" ht="4.5" hidden="1" customHeight="1">
      <c r="A359" s="1005"/>
      <c r="B359" s="341"/>
      <c r="C359" s="337"/>
      <c r="D359" s="336"/>
      <c r="E359" s="342"/>
      <c r="F359" s="407"/>
      <c r="G359" s="342"/>
      <c r="H359" s="340"/>
      <c r="I359" s="52"/>
      <c r="J359" s="52"/>
      <c r="K359" s="52"/>
      <c r="L359" s="52"/>
      <c r="M359" s="52"/>
    </row>
    <row r="360" spans="1:13" ht="26.25" hidden="1" customHeight="1">
      <c r="A360" s="1002" t="s">
        <v>276</v>
      </c>
      <c r="B360" s="1002"/>
      <c r="C360" s="1002"/>
      <c r="D360" s="1002"/>
      <c r="E360" s="594">
        <f>SUM(E351:E359)</f>
        <v>11550000</v>
      </c>
      <c r="F360" s="3" t="s">
        <v>32</v>
      </c>
      <c r="G360" s="254">
        <f>SUM(G351:G359)</f>
        <v>975500</v>
      </c>
      <c r="H360" s="1111"/>
      <c r="I360" s="1111"/>
      <c r="J360" s="1004" t="s">
        <v>33</v>
      </c>
      <c r="K360" s="1004"/>
      <c r="L360" s="1004"/>
      <c r="M360" s="591">
        <f>G360</f>
        <v>975500</v>
      </c>
    </row>
    <row r="361" spans="1:13" s="116" customFormat="1" hidden="1">
      <c r="A361" s="117"/>
      <c r="B361" s="117"/>
      <c r="C361" s="117"/>
      <c r="D361" s="117"/>
      <c r="E361" s="118"/>
      <c r="F361" s="119"/>
      <c r="G361" s="118"/>
      <c r="J361" s="120"/>
      <c r="K361" s="120"/>
      <c r="L361" s="120"/>
      <c r="M361" s="121"/>
    </row>
    <row r="362" spans="1:13" s="116" customFormat="1" hidden="1">
      <c r="A362" s="117"/>
      <c r="B362" s="117"/>
      <c r="C362" s="117"/>
      <c r="D362" s="117"/>
      <c r="E362" s="118"/>
      <c r="F362" s="119"/>
      <c r="G362" s="118"/>
      <c r="J362" s="120"/>
      <c r="K362" s="120"/>
      <c r="L362" s="120"/>
      <c r="M362" s="121"/>
    </row>
    <row r="363" spans="1:13" ht="18" hidden="1">
      <c r="A363" s="983" t="s">
        <v>107</v>
      </c>
      <c r="B363" s="983"/>
      <c r="C363" s="983"/>
      <c r="D363" s="983"/>
      <c r="E363" s="984"/>
      <c r="F363" s="984"/>
      <c r="G363" s="984"/>
      <c r="H363" s="984"/>
      <c r="I363" s="985"/>
      <c r="J363" s="985"/>
      <c r="K363" s="985"/>
      <c r="L363" s="985"/>
      <c r="M363" s="985"/>
    </row>
    <row r="364" spans="1:13" ht="18" hidden="1">
      <c r="A364" s="102" t="s">
        <v>2</v>
      </c>
      <c r="B364" s="102" t="s">
        <v>3</v>
      </c>
      <c r="C364" s="102" t="s">
        <v>4</v>
      </c>
      <c r="D364" s="102" t="s">
        <v>5</v>
      </c>
      <c r="E364" s="103" t="s">
        <v>6</v>
      </c>
      <c r="F364" s="103" t="s">
        <v>7</v>
      </c>
      <c r="G364" s="103" t="s">
        <v>8</v>
      </c>
      <c r="H364" s="103" t="s">
        <v>9</v>
      </c>
      <c r="I364" s="103" t="s">
        <v>3</v>
      </c>
      <c r="J364" s="103" t="s">
        <v>5</v>
      </c>
      <c r="K364" s="104" t="s">
        <v>10</v>
      </c>
      <c r="L364" s="105" t="s">
        <v>7</v>
      </c>
      <c r="M364" s="105" t="s">
        <v>11</v>
      </c>
    </row>
    <row r="365" spans="1:13" ht="18" hidden="1">
      <c r="A365" s="474"/>
      <c r="B365" s="438">
        <v>13867</v>
      </c>
      <c r="C365" s="181">
        <v>0.1</v>
      </c>
      <c r="D365" s="367" t="s">
        <v>277</v>
      </c>
      <c r="E365" s="435">
        <v>1250000</v>
      </c>
      <c r="F365" s="185">
        <v>0.1</v>
      </c>
      <c r="G365" s="441">
        <f>E365*F365</f>
        <v>125000</v>
      </c>
      <c r="H365" s="226" t="s">
        <v>153</v>
      </c>
      <c r="I365" s="427"/>
      <c r="J365" s="427"/>
      <c r="K365" s="427"/>
      <c r="L365" s="427"/>
      <c r="M365" s="427"/>
    </row>
    <row r="366" spans="1:13" ht="18" hidden="1">
      <c r="A366" s="474"/>
      <c r="B366" s="442">
        <v>13955</v>
      </c>
      <c r="C366" s="242">
        <v>0.1</v>
      </c>
      <c r="D366" s="453" t="s">
        <v>278</v>
      </c>
      <c r="E366" s="435">
        <v>1700000</v>
      </c>
      <c r="F366" s="185">
        <v>0.1</v>
      </c>
      <c r="G366" s="441">
        <f t="shared" ref="G366:G382" si="11">E366*F366</f>
        <v>170000</v>
      </c>
      <c r="H366" s="226" t="s">
        <v>153</v>
      </c>
      <c r="I366" s="427"/>
      <c r="J366" s="427"/>
      <c r="K366" s="427"/>
      <c r="L366" s="427"/>
      <c r="M366" s="427"/>
    </row>
    <row r="367" spans="1:13" ht="18" hidden="1">
      <c r="A367" s="474"/>
      <c r="B367" s="438">
        <v>13927</v>
      </c>
      <c r="C367" s="181">
        <v>0.1</v>
      </c>
      <c r="D367" s="367" t="s">
        <v>279</v>
      </c>
      <c r="E367" s="435">
        <v>1200000</v>
      </c>
      <c r="F367" s="185">
        <v>0.1</v>
      </c>
      <c r="G367" s="441">
        <f t="shared" si="11"/>
        <v>120000</v>
      </c>
      <c r="H367" s="226" t="s">
        <v>153</v>
      </c>
      <c r="I367" s="427"/>
      <c r="J367" s="427"/>
      <c r="K367" s="427"/>
      <c r="L367" s="427"/>
      <c r="M367" s="427"/>
    </row>
    <row r="368" spans="1:13" ht="18" hidden="1">
      <c r="A368" s="474"/>
      <c r="B368" s="463">
        <v>13917</v>
      </c>
      <c r="C368" s="454">
        <v>0.1</v>
      </c>
      <c r="D368" s="464" t="s">
        <v>280</v>
      </c>
      <c r="E368" s="435">
        <v>1000000</v>
      </c>
      <c r="F368" s="185">
        <v>0.1</v>
      </c>
      <c r="G368" s="441">
        <f t="shared" si="11"/>
        <v>100000</v>
      </c>
      <c r="H368" s="226" t="s">
        <v>153</v>
      </c>
      <c r="I368" s="427"/>
      <c r="J368" s="427"/>
      <c r="K368" s="427"/>
      <c r="L368" s="427"/>
      <c r="M368" s="427"/>
    </row>
    <row r="369" spans="1:13" ht="18" hidden="1">
      <c r="A369" s="474"/>
      <c r="B369" s="438">
        <v>13962</v>
      </c>
      <c r="C369" s="178">
        <v>0.08</v>
      </c>
      <c r="D369" s="430" t="s">
        <v>281</v>
      </c>
      <c r="E369" s="435">
        <v>1800000</v>
      </c>
      <c r="F369" s="182">
        <v>0.04</v>
      </c>
      <c r="G369" s="441">
        <f t="shared" si="11"/>
        <v>72000</v>
      </c>
      <c r="H369" s="465" t="s">
        <v>282</v>
      </c>
      <c r="I369" s="427"/>
      <c r="J369" s="427"/>
      <c r="K369" s="427"/>
      <c r="L369" s="427"/>
      <c r="M369" s="427"/>
    </row>
    <row r="370" spans="1:13" ht="18" hidden="1">
      <c r="A370" s="474"/>
      <c r="B370" s="438">
        <v>14015</v>
      </c>
      <c r="C370" s="179">
        <v>0.1</v>
      </c>
      <c r="D370" s="430" t="s">
        <v>283</v>
      </c>
      <c r="E370" s="435">
        <v>1250000</v>
      </c>
      <c r="F370" s="357">
        <v>0.06</v>
      </c>
      <c r="G370" s="441">
        <f t="shared" si="11"/>
        <v>75000</v>
      </c>
      <c r="H370" s="430" t="s">
        <v>18</v>
      </c>
      <c r="I370" s="427"/>
      <c r="J370" s="427"/>
      <c r="K370" s="427"/>
      <c r="L370" s="427"/>
      <c r="M370" s="427"/>
    </row>
    <row r="371" spans="1:13" ht="18" hidden="1">
      <c r="A371" s="474"/>
      <c r="B371" s="438">
        <v>13999</v>
      </c>
      <c r="C371" s="179">
        <v>0.1</v>
      </c>
      <c r="D371" s="430" t="s">
        <v>284</v>
      </c>
      <c r="E371" s="435">
        <v>1200000</v>
      </c>
      <c r="F371" s="181">
        <v>0.1</v>
      </c>
      <c r="G371" s="441">
        <f t="shared" si="11"/>
        <v>120000</v>
      </c>
      <c r="H371" s="430" t="s">
        <v>153</v>
      </c>
      <c r="I371" s="427"/>
      <c r="J371" s="427"/>
      <c r="K371" s="427"/>
      <c r="L371" s="427"/>
      <c r="M371" s="427"/>
    </row>
    <row r="372" spans="1:13" ht="18" hidden="1">
      <c r="A372" s="474"/>
      <c r="B372" s="500">
        <v>14068</v>
      </c>
      <c r="C372" s="179">
        <v>0.1</v>
      </c>
      <c r="D372" s="208" t="s">
        <v>285</v>
      </c>
      <c r="E372" s="435">
        <v>1150000</v>
      </c>
      <c r="F372" s="357">
        <v>0.06</v>
      </c>
      <c r="G372" s="441">
        <f t="shared" si="11"/>
        <v>69000</v>
      </c>
      <c r="H372" s="227" t="s">
        <v>18</v>
      </c>
      <c r="I372" s="427"/>
      <c r="J372" s="427"/>
      <c r="K372" s="427"/>
      <c r="L372" s="427"/>
      <c r="M372" s="427"/>
    </row>
    <row r="373" spans="1:13" ht="18" hidden="1">
      <c r="A373" s="474"/>
      <c r="B373" s="590" t="s">
        <v>286</v>
      </c>
      <c r="C373" s="178">
        <v>0.08</v>
      </c>
      <c r="D373" s="455" t="s">
        <v>287</v>
      </c>
      <c r="E373" s="435">
        <v>1200000</v>
      </c>
      <c r="F373" s="182">
        <v>0.04</v>
      </c>
      <c r="G373" s="441">
        <f t="shared" ref="G373" si="12">E373*F373</f>
        <v>48000</v>
      </c>
      <c r="H373" s="226" t="s">
        <v>288</v>
      </c>
      <c r="I373" s="427"/>
      <c r="J373" s="427"/>
      <c r="K373" s="427"/>
      <c r="L373" s="427"/>
      <c r="M373" s="427"/>
    </row>
    <row r="374" spans="1:13" ht="18" hidden="1">
      <c r="A374" s="474"/>
      <c r="B374" s="438">
        <v>13938</v>
      </c>
      <c r="C374" s="181">
        <v>0.1</v>
      </c>
      <c r="D374" s="244" t="s">
        <v>252</v>
      </c>
      <c r="E374" s="435">
        <v>2000000</v>
      </c>
      <c r="F374" s="185">
        <v>0.05</v>
      </c>
      <c r="G374" s="441">
        <f t="shared" si="11"/>
        <v>100000</v>
      </c>
      <c r="H374" s="226" t="s">
        <v>13</v>
      </c>
      <c r="I374" s="427"/>
      <c r="J374" s="427"/>
      <c r="K374" s="427"/>
      <c r="L374" s="427"/>
      <c r="M374" s="427"/>
    </row>
    <row r="375" spans="1:13" ht="18" hidden="1">
      <c r="A375" s="475"/>
      <c r="B375" s="438">
        <v>13981</v>
      </c>
      <c r="C375" s="181">
        <v>0.1</v>
      </c>
      <c r="D375" s="193" t="s">
        <v>289</v>
      </c>
      <c r="E375" s="435">
        <v>1600000</v>
      </c>
      <c r="F375" s="185">
        <v>0.1</v>
      </c>
      <c r="G375" s="441">
        <f t="shared" si="11"/>
        <v>160000</v>
      </c>
      <c r="H375" s="226" t="s">
        <v>153</v>
      </c>
      <c r="I375" s="427"/>
      <c r="J375" s="427"/>
      <c r="K375" s="427"/>
      <c r="L375" s="427"/>
      <c r="M375" s="427"/>
    </row>
    <row r="376" spans="1:13" ht="18" hidden="1">
      <c r="A376" s="1005" t="s">
        <v>290</v>
      </c>
      <c r="B376" s="471">
        <v>14022</v>
      </c>
      <c r="C376" s="180">
        <v>0.1</v>
      </c>
      <c r="D376" s="430" t="s">
        <v>291</v>
      </c>
      <c r="E376" s="435">
        <v>1700000</v>
      </c>
      <c r="F376" s="185">
        <v>0.1</v>
      </c>
      <c r="G376" s="441">
        <f t="shared" si="11"/>
        <v>170000</v>
      </c>
      <c r="H376" s="430" t="s">
        <v>153</v>
      </c>
      <c r="I376" s="427"/>
      <c r="J376" s="427"/>
      <c r="K376" s="427"/>
      <c r="L376" s="427"/>
      <c r="M376" s="427"/>
    </row>
    <row r="377" spans="1:13" ht="18" hidden="1">
      <c r="A377" s="1005"/>
      <c r="B377" s="483">
        <v>14089</v>
      </c>
      <c r="C377" s="508">
        <v>0.08</v>
      </c>
      <c r="D377" s="430" t="s">
        <v>292</v>
      </c>
      <c r="E377" s="435">
        <v>1050000</v>
      </c>
      <c r="F377" s="182">
        <v>0.04</v>
      </c>
      <c r="G377" s="441">
        <f t="shared" si="11"/>
        <v>42000</v>
      </c>
      <c r="H377" s="430" t="s">
        <v>293</v>
      </c>
      <c r="I377" s="427"/>
      <c r="J377" s="427"/>
      <c r="K377" s="427"/>
      <c r="L377" s="427"/>
      <c r="M377" s="427"/>
    </row>
    <row r="378" spans="1:13" ht="12.75" hidden="1" customHeight="1">
      <c r="A378" s="1005"/>
      <c r="B378" s="438">
        <v>13998</v>
      </c>
      <c r="C378" s="179">
        <v>0.1</v>
      </c>
      <c r="D378" s="244" t="s">
        <v>294</v>
      </c>
      <c r="E378" s="435">
        <v>900000</v>
      </c>
      <c r="F378" s="185">
        <v>0.1</v>
      </c>
      <c r="G378" s="441">
        <f t="shared" si="11"/>
        <v>90000</v>
      </c>
      <c r="H378" s="226" t="s">
        <v>153</v>
      </c>
      <c r="I378" s="399"/>
      <c r="J378" s="114"/>
      <c r="K378" s="114"/>
      <c r="L378" s="114"/>
      <c r="M378" s="114"/>
    </row>
    <row r="379" spans="1:13" ht="12.75" hidden="1" customHeight="1">
      <c r="A379" s="477"/>
      <c r="B379" s="471">
        <v>14035</v>
      </c>
      <c r="C379" s="180">
        <v>0.1</v>
      </c>
      <c r="D379" s="208" t="s">
        <v>295</v>
      </c>
      <c r="E379" s="435">
        <v>1300000</v>
      </c>
      <c r="F379" s="185">
        <v>0.1</v>
      </c>
      <c r="G379" s="441">
        <f t="shared" si="11"/>
        <v>130000</v>
      </c>
      <c r="H379" s="430" t="s">
        <v>153</v>
      </c>
      <c r="I379" s="114"/>
      <c r="J379" s="114"/>
      <c r="K379" s="114"/>
      <c r="L379" s="114"/>
      <c r="M379" s="114"/>
    </row>
    <row r="380" spans="1:13" ht="12.75" hidden="1" customHeight="1">
      <c r="A380" s="477"/>
      <c r="B380" s="438">
        <v>14081</v>
      </c>
      <c r="C380" s="179">
        <v>0.1</v>
      </c>
      <c r="D380" s="208" t="s">
        <v>296</v>
      </c>
      <c r="E380" s="435">
        <v>1000000</v>
      </c>
      <c r="F380" s="358">
        <v>0.06</v>
      </c>
      <c r="G380" s="441">
        <f t="shared" si="11"/>
        <v>60000</v>
      </c>
      <c r="H380" s="226" t="s">
        <v>18</v>
      </c>
      <c r="I380" s="399"/>
      <c r="J380" s="114"/>
      <c r="K380" s="114"/>
      <c r="L380" s="114"/>
      <c r="M380" s="114"/>
    </row>
    <row r="381" spans="1:13" ht="12.75" hidden="1" customHeight="1">
      <c r="A381" s="477"/>
      <c r="B381" s="438">
        <v>14114</v>
      </c>
      <c r="C381" s="179">
        <v>0.1</v>
      </c>
      <c r="D381" s="208" t="s">
        <v>297</v>
      </c>
      <c r="E381" s="435">
        <v>1300000</v>
      </c>
      <c r="F381" s="185">
        <v>0.1</v>
      </c>
      <c r="G381" s="441">
        <f t="shared" si="11"/>
        <v>130000</v>
      </c>
      <c r="H381" s="227" t="s">
        <v>153</v>
      </c>
      <c r="I381" s="428"/>
      <c r="J381" s="429"/>
      <c r="K381" s="429"/>
      <c r="L381" s="429"/>
      <c r="M381" s="429"/>
    </row>
    <row r="382" spans="1:13" ht="12.75" hidden="1" customHeight="1">
      <c r="A382" s="476"/>
      <c r="B382" s="512">
        <v>14097</v>
      </c>
      <c r="C382" s="181"/>
      <c r="D382" s="455" t="s">
        <v>298</v>
      </c>
      <c r="E382" s="435">
        <v>1900000</v>
      </c>
      <c r="F382" s="185">
        <v>0.1</v>
      </c>
      <c r="G382" s="441">
        <f t="shared" si="11"/>
        <v>190000</v>
      </c>
      <c r="H382" s="226" t="s">
        <v>153</v>
      </c>
      <c r="I382" s="392"/>
      <c r="J382" s="52"/>
      <c r="K382" s="52"/>
      <c r="L382" s="52"/>
      <c r="M382" s="52"/>
    </row>
    <row r="383" spans="1:13" ht="12.75" hidden="1" customHeight="1">
      <c r="A383" s="476"/>
      <c r="B383" s="471" t="s">
        <v>299</v>
      </c>
      <c r="C383" s="180">
        <v>0.1</v>
      </c>
      <c r="D383" s="511" t="s">
        <v>300</v>
      </c>
      <c r="E383" s="501">
        <v>1700000</v>
      </c>
      <c r="F383" s="515">
        <v>0.1</v>
      </c>
      <c r="G383" s="516">
        <f>E383*F383</f>
        <v>170000</v>
      </c>
      <c r="H383" s="456" t="s">
        <v>153</v>
      </c>
      <c r="I383" s="517"/>
      <c r="J383" s="52"/>
      <c r="K383" s="52"/>
      <c r="L383" s="52"/>
      <c r="M383" s="52"/>
    </row>
    <row r="384" spans="1:13" s="31" customFormat="1" ht="12.75" hidden="1" customHeight="1">
      <c r="A384" s="513"/>
      <c r="B384" s="514"/>
      <c r="C384" s="337"/>
      <c r="D384" s="419"/>
      <c r="E384" s="510"/>
      <c r="F384" s="339"/>
      <c r="G384" s="338"/>
      <c r="H384" s="114"/>
      <c r="I384" s="399"/>
    </row>
    <row r="385" spans="1:14" ht="28.5" hidden="1" customHeight="1">
      <c r="A385" s="1001" t="s">
        <v>32</v>
      </c>
      <c r="B385" s="1001"/>
      <c r="C385" s="1001"/>
      <c r="D385" s="1001"/>
      <c r="E385" s="595">
        <f>SUM(E365:E384)</f>
        <v>26200000</v>
      </c>
      <c r="F385" s="151" t="s">
        <v>32</v>
      </c>
      <c r="G385" s="152">
        <f>SUM(G368:G383)</f>
        <v>1726000</v>
      </c>
      <c r="H385" s="1112"/>
      <c r="I385" s="1112"/>
      <c r="J385" s="1003" t="s">
        <v>33</v>
      </c>
      <c r="K385" s="1004"/>
      <c r="L385" s="1004"/>
      <c r="M385" s="591">
        <f>G385+M383</f>
        <v>1726000</v>
      </c>
    </row>
    <row r="386" spans="1:14" s="31" customFormat="1" hidden="1">
      <c r="A386" s="122"/>
      <c r="B386" s="122"/>
      <c r="C386" s="122"/>
      <c r="D386" s="122"/>
      <c r="E386" s="123"/>
      <c r="F386" s="124"/>
      <c r="G386" s="125"/>
      <c r="H386" s="35"/>
      <c r="I386" s="35"/>
      <c r="J386" s="154"/>
      <c r="K386" s="154"/>
      <c r="L386" s="154"/>
      <c r="M386" s="155"/>
    </row>
    <row r="387" spans="1:14" ht="18" hidden="1">
      <c r="A387" s="983" t="s">
        <v>229</v>
      </c>
      <c r="B387" s="983"/>
      <c r="C387" s="983"/>
      <c r="D387" s="983"/>
      <c r="E387" s="984"/>
      <c r="F387" s="984"/>
      <c r="G387" s="984"/>
      <c r="H387" s="984"/>
      <c r="I387" s="985"/>
      <c r="J387" s="985"/>
      <c r="K387" s="985"/>
      <c r="L387" s="985"/>
      <c r="M387" s="985"/>
    </row>
    <row r="388" spans="1:14" ht="18" hidden="1">
      <c r="A388" s="102" t="s">
        <v>2</v>
      </c>
      <c r="B388" s="102" t="s">
        <v>3</v>
      </c>
      <c r="C388" s="102" t="s">
        <v>4</v>
      </c>
      <c r="D388" s="102" t="s">
        <v>5</v>
      </c>
      <c r="E388" s="103" t="s">
        <v>6</v>
      </c>
      <c r="F388" s="103" t="s">
        <v>7</v>
      </c>
      <c r="G388" s="103" t="s">
        <v>8</v>
      </c>
      <c r="H388" s="103" t="s">
        <v>9</v>
      </c>
      <c r="I388" s="103" t="s">
        <v>3</v>
      </c>
      <c r="J388" s="103" t="s">
        <v>5</v>
      </c>
      <c r="K388" s="104" t="s">
        <v>10</v>
      </c>
      <c r="L388" s="105" t="s">
        <v>7</v>
      </c>
      <c r="M388" s="105" t="s">
        <v>11</v>
      </c>
    </row>
    <row r="389" spans="1:14" ht="12.75" hidden="1" customHeight="1">
      <c r="A389" s="1030" t="s">
        <v>301</v>
      </c>
      <c r="B389" s="438">
        <v>13918</v>
      </c>
      <c r="C389" s="179">
        <v>0.1</v>
      </c>
      <c r="D389" s="193" t="s">
        <v>302</v>
      </c>
      <c r="E389" s="435">
        <v>1550000</v>
      </c>
      <c r="F389" s="183">
        <v>0.08</v>
      </c>
      <c r="G389" s="194">
        <f>E389*F389</f>
        <v>124000</v>
      </c>
      <c r="H389" s="226" t="s">
        <v>250</v>
      </c>
      <c r="I389" s="463">
        <v>13924</v>
      </c>
      <c r="J389" s="491" t="s">
        <v>257</v>
      </c>
      <c r="K389" s="435">
        <v>1900000</v>
      </c>
      <c r="L389" s="178">
        <v>0.04</v>
      </c>
      <c r="M389" s="509">
        <f>K389*L389</f>
        <v>76000</v>
      </c>
    </row>
    <row r="390" spans="1:14" ht="12.75" hidden="1" customHeight="1">
      <c r="A390" s="1030"/>
      <c r="B390" s="589" t="s">
        <v>303</v>
      </c>
      <c r="C390" s="179">
        <v>0.1</v>
      </c>
      <c r="D390" s="193" t="s">
        <v>304</v>
      </c>
      <c r="E390" s="194">
        <v>2600000</v>
      </c>
      <c r="F390" s="178">
        <v>0.05</v>
      </c>
      <c r="G390" s="194">
        <f t="shared" ref="G390:G392" si="13">E390*F390</f>
        <v>130000</v>
      </c>
      <c r="H390" s="226" t="s">
        <v>49</v>
      </c>
      <c r="I390" s="438">
        <v>13925</v>
      </c>
      <c r="J390" s="433" t="s">
        <v>249</v>
      </c>
      <c r="K390" s="435">
        <v>1450000</v>
      </c>
      <c r="L390" s="178">
        <v>0.04</v>
      </c>
      <c r="M390" s="509">
        <f t="shared" ref="M390:M391" si="14">K390*L390</f>
        <v>58000</v>
      </c>
      <c r="N390" s="338"/>
    </row>
    <row r="391" spans="1:14" ht="12.75" hidden="1" customHeight="1">
      <c r="A391" s="1030"/>
      <c r="B391" s="438">
        <v>13930</v>
      </c>
      <c r="C391" s="179">
        <v>0.1</v>
      </c>
      <c r="D391" s="193" t="s">
        <v>305</v>
      </c>
      <c r="E391" s="435">
        <v>1200000</v>
      </c>
      <c r="F391" s="183">
        <v>0.08</v>
      </c>
      <c r="G391" s="194">
        <f t="shared" si="13"/>
        <v>96000</v>
      </c>
      <c r="H391" s="226" t="s">
        <v>250</v>
      </c>
      <c r="I391" s="399"/>
      <c r="J391" s="247"/>
      <c r="K391" s="342"/>
      <c r="L391" s="337"/>
      <c r="M391" s="527">
        <f t="shared" si="14"/>
        <v>0</v>
      </c>
    </row>
    <row r="392" spans="1:14" ht="12.75" hidden="1" customHeight="1">
      <c r="A392" s="1030"/>
      <c r="B392" s="463">
        <v>14055</v>
      </c>
      <c r="C392" s="179">
        <v>0.1</v>
      </c>
      <c r="D392" s="202" t="s">
        <v>306</v>
      </c>
      <c r="E392" s="435">
        <v>1800000</v>
      </c>
      <c r="F392" s="184">
        <v>0.08</v>
      </c>
      <c r="G392" s="194">
        <f t="shared" si="13"/>
        <v>144000</v>
      </c>
      <c r="H392" s="459" t="s">
        <v>250</v>
      </c>
      <c r="I392" s="399"/>
      <c r="J392" s="247"/>
      <c r="K392" s="342"/>
      <c r="L392" s="337"/>
      <c r="M392" s="527"/>
    </row>
    <row r="393" spans="1:14" ht="12.75" hidden="1" customHeight="1">
      <c r="A393" s="1030"/>
      <c r="B393" s="52"/>
      <c r="C393" s="52"/>
      <c r="D393" s="52"/>
      <c r="E393" s="52"/>
      <c r="F393" s="52"/>
      <c r="G393" s="52"/>
      <c r="H393" s="52"/>
      <c r="I393" s="392"/>
      <c r="J393" s="114"/>
      <c r="K393" s="114"/>
      <c r="L393" s="337"/>
      <c r="M393" s="527"/>
    </row>
    <row r="394" spans="1:14" ht="12.75" hidden="1" customHeight="1">
      <c r="A394" s="1030"/>
      <c r="B394" s="24"/>
      <c r="C394" s="337"/>
      <c r="D394" s="247"/>
      <c r="E394" s="338"/>
      <c r="F394" s="339"/>
      <c r="G394" s="338"/>
      <c r="H394" s="340"/>
      <c r="I394" s="480"/>
      <c r="J394" s="114"/>
      <c r="K394" s="114"/>
      <c r="L394" s="114"/>
      <c r="M394" s="527"/>
    </row>
    <row r="395" spans="1:14" ht="12.75" hidden="1" customHeight="1">
      <c r="A395" s="1030"/>
      <c r="B395" s="24"/>
      <c r="C395" s="337"/>
      <c r="D395" s="247"/>
      <c r="E395" s="338"/>
      <c r="F395" s="339"/>
      <c r="G395" s="338"/>
      <c r="H395" s="340"/>
      <c r="I395" s="480"/>
      <c r="J395" s="114"/>
      <c r="K395" s="114"/>
      <c r="L395" s="114"/>
      <c r="M395" s="527">
        <f>SUM(M389:M394)</f>
        <v>134000</v>
      </c>
    </row>
    <row r="396" spans="1:14" ht="15.75" hidden="1" customHeight="1">
      <c r="A396" s="1031"/>
      <c r="B396" s="24"/>
      <c r="C396" s="337"/>
      <c r="D396" s="247"/>
      <c r="E396" s="338"/>
      <c r="F396" s="339"/>
      <c r="G396" s="338"/>
      <c r="H396" s="340"/>
      <c r="I396" s="480"/>
      <c r="J396" s="410"/>
      <c r="K396" s="410"/>
      <c r="L396" s="410"/>
      <c r="M396" s="527"/>
    </row>
    <row r="397" spans="1:14" ht="15.75" hidden="1">
      <c r="A397" s="1026" t="s">
        <v>32</v>
      </c>
      <c r="B397" s="1026"/>
      <c r="C397" s="1026"/>
      <c r="D397" s="1026"/>
      <c r="E397" s="594">
        <f>SUM(E389:E396)</f>
        <v>7150000</v>
      </c>
      <c r="F397" s="173" t="s">
        <v>32</v>
      </c>
      <c r="G397" s="174">
        <f>SUM(G389:G396)</f>
        <v>494000</v>
      </c>
      <c r="H397" s="1111"/>
      <c r="I397" s="1111"/>
      <c r="J397" s="1027" t="s">
        <v>33</v>
      </c>
      <c r="K397" s="1027"/>
      <c r="L397" s="1027"/>
      <c r="M397" s="591">
        <f>G397+M395</f>
        <v>628000</v>
      </c>
    </row>
    <row r="398" spans="1:14" s="31" customFormat="1" hidden="1">
      <c r="A398" s="122"/>
      <c r="B398" s="122"/>
      <c r="C398" s="122"/>
      <c r="D398" s="122"/>
      <c r="E398" s="123"/>
      <c r="F398" s="124"/>
      <c r="G398" s="125"/>
      <c r="H398" s="35"/>
      <c r="I398" s="35"/>
      <c r="J398" s="154"/>
      <c r="K398" s="154"/>
      <c r="L398" s="154"/>
      <c r="M398" s="155"/>
    </row>
    <row r="399" spans="1:14" s="31" customFormat="1" hidden="1">
      <c r="A399" s="122"/>
      <c r="B399" s="122"/>
      <c r="C399" s="122"/>
      <c r="D399" s="122"/>
      <c r="E399" s="123"/>
      <c r="F399" s="124"/>
      <c r="G399" s="125"/>
      <c r="H399" s="35"/>
      <c r="I399" s="35"/>
      <c r="J399" s="154"/>
      <c r="K399" s="154"/>
      <c r="L399" s="154"/>
      <c r="M399" s="155"/>
    </row>
    <row r="400" spans="1:14" ht="18" hidden="1">
      <c r="A400" s="983" t="s">
        <v>49</v>
      </c>
      <c r="B400" s="983"/>
      <c r="C400" s="983"/>
      <c r="D400" s="983"/>
      <c r="E400" s="984"/>
      <c r="F400" s="984"/>
      <c r="G400" s="984"/>
      <c r="H400" s="984"/>
      <c r="I400" s="985"/>
      <c r="J400" s="985"/>
      <c r="K400" s="985"/>
      <c r="L400" s="985"/>
      <c r="M400" s="985"/>
    </row>
    <row r="401" spans="1:14" ht="18" hidden="1">
      <c r="A401" s="102" t="s">
        <v>2</v>
      </c>
      <c r="B401" s="102" t="s">
        <v>3</v>
      </c>
      <c r="C401" s="102" t="s">
        <v>4</v>
      </c>
      <c r="D401" s="102" t="s">
        <v>5</v>
      </c>
      <c r="E401" s="103" t="s">
        <v>6</v>
      </c>
      <c r="F401" s="103" t="s">
        <v>7</v>
      </c>
      <c r="G401" s="103" t="s">
        <v>8</v>
      </c>
      <c r="H401" s="103" t="s">
        <v>9</v>
      </c>
      <c r="I401" s="103" t="s">
        <v>3</v>
      </c>
      <c r="J401" s="103" t="s">
        <v>5</v>
      </c>
      <c r="K401" s="104" t="s">
        <v>10</v>
      </c>
      <c r="L401" s="105" t="s">
        <v>7</v>
      </c>
      <c r="M401" s="105" t="s">
        <v>11</v>
      </c>
    </row>
    <row r="402" spans="1:14" ht="12.75" hidden="1" customHeight="1">
      <c r="A402" s="1056">
        <v>5</v>
      </c>
      <c r="B402" s="438">
        <v>14120</v>
      </c>
      <c r="C402" s="179">
        <v>0.1</v>
      </c>
      <c r="D402" s="193" t="s">
        <v>307</v>
      </c>
      <c r="E402" s="435">
        <v>1900000</v>
      </c>
      <c r="F402" s="266">
        <v>0.1</v>
      </c>
      <c r="G402" s="194">
        <f>E402*F402</f>
        <v>190000</v>
      </c>
      <c r="H402" s="226" t="s">
        <v>18</v>
      </c>
      <c r="I402" s="438">
        <v>14001</v>
      </c>
      <c r="J402" s="193" t="s">
        <v>251</v>
      </c>
      <c r="K402" s="435">
        <v>1450000</v>
      </c>
      <c r="L402" s="179">
        <v>0.05</v>
      </c>
      <c r="M402" s="509">
        <f>K402*L402</f>
        <v>72500</v>
      </c>
      <c r="N402" s="349"/>
    </row>
    <row r="403" spans="1:14" s="31" customFormat="1" ht="24.75" hidden="1" customHeight="1">
      <c r="A403" s="1056"/>
      <c r="B403" s="24"/>
      <c r="C403" s="337"/>
      <c r="D403" s="247"/>
      <c r="E403" s="510"/>
      <c r="F403" s="344"/>
      <c r="G403" s="338"/>
      <c r="H403" s="340"/>
      <c r="I403" s="438">
        <v>14002</v>
      </c>
      <c r="J403" s="430" t="s">
        <v>255</v>
      </c>
      <c r="K403" s="435">
        <v>1450000</v>
      </c>
      <c r="L403" s="179">
        <v>0.05</v>
      </c>
      <c r="M403" s="509">
        <f t="shared" ref="M403:M410" si="15">K403*L403</f>
        <v>72500</v>
      </c>
      <c r="N403" s="352"/>
    </row>
    <row r="404" spans="1:14" s="31" customFormat="1" ht="20.25" hidden="1" customHeight="1">
      <c r="A404" s="1056"/>
      <c r="B404" s="24"/>
      <c r="C404" s="337"/>
      <c r="D404" s="247"/>
      <c r="E404" s="510"/>
      <c r="F404" s="344"/>
      <c r="G404" s="338"/>
      <c r="H404" s="340"/>
      <c r="I404" s="437"/>
      <c r="J404" s="479" t="s">
        <v>308</v>
      </c>
      <c r="K404" s="462">
        <v>1450000</v>
      </c>
      <c r="L404" s="179">
        <v>0.05</v>
      </c>
      <c r="M404" s="509">
        <f t="shared" si="15"/>
        <v>72500</v>
      </c>
      <c r="N404" s="352"/>
    </row>
    <row r="405" spans="1:14" s="31" customFormat="1" ht="19.5" hidden="1" customHeight="1">
      <c r="A405" s="1056"/>
      <c r="B405" s="24"/>
      <c r="C405" s="337"/>
      <c r="D405" s="247"/>
      <c r="E405" s="510"/>
      <c r="F405" s="344"/>
      <c r="G405" s="338"/>
      <c r="H405" s="340"/>
      <c r="I405" s="438">
        <v>13941</v>
      </c>
      <c r="J405" s="244" t="s">
        <v>267</v>
      </c>
      <c r="K405" s="435">
        <v>1450000</v>
      </c>
      <c r="L405" s="179">
        <v>0.05</v>
      </c>
      <c r="M405" s="509">
        <f t="shared" si="15"/>
        <v>72500</v>
      </c>
      <c r="N405" s="352"/>
    </row>
    <row r="406" spans="1:14" s="31" customFormat="1" ht="21.75" hidden="1" customHeight="1">
      <c r="A406" s="1056"/>
      <c r="B406" s="24"/>
      <c r="C406" s="337"/>
      <c r="D406" s="247"/>
      <c r="E406" s="510"/>
      <c r="F406" s="344"/>
      <c r="G406" s="338"/>
      <c r="H406" s="340"/>
      <c r="I406" s="483">
        <v>13972</v>
      </c>
      <c r="J406" s="430" t="s">
        <v>271</v>
      </c>
      <c r="K406" s="435">
        <v>1450000</v>
      </c>
      <c r="L406" s="179">
        <v>0.05</v>
      </c>
      <c r="M406" s="509">
        <f t="shared" si="15"/>
        <v>72500</v>
      </c>
      <c r="N406" s="352"/>
    </row>
    <row r="407" spans="1:14" ht="19.5" hidden="1" customHeight="1">
      <c r="A407" s="1056"/>
      <c r="B407" s="24"/>
      <c r="C407" s="337"/>
      <c r="D407" s="247"/>
      <c r="E407" s="338"/>
      <c r="F407" s="339"/>
      <c r="G407" s="338"/>
      <c r="H407" s="340"/>
      <c r="I407" s="438">
        <v>14015</v>
      </c>
      <c r="J407" s="430" t="s">
        <v>309</v>
      </c>
      <c r="K407" s="435">
        <v>1450000</v>
      </c>
      <c r="L407" s="179">
        <v>0.05</v>
      </c>
      <c r="M407" s="509">
        <f t="shared" si="15"/>
        <v>72500</v>
      </c>
    </row>
    <row r="408" spans="1:14" ht="18.75" hidden="1" customHeight="1">
      <c r="A408" s="597"/>
      <c r="B408" s="24"/>
      <c r="C408" s="337"/>
      <c r="D408" s="247"/>
      <c r="E408" s="338"/>
      <c r="F408" s="339"/>
      <c r="G408" s="338"/>
      <c r="H408" s="340"/>
      <c r="I408" s="588">
        <v>14068</v>
      </c>
      <c r="J408" s="193" t="s">
        <v>310</v>
      </c>
      <c r="K408" s="435">
        <v>1450000</v>
      </c>
      <c r="L408" s="179">
        <v>0.05</v>
      </c>
      <c r="M408" s="509">
        <f t="shared" si="15"/>
        <v>72500</v>
      </c>
    </row>
    <row r="409" spans="1:14" ht="18.75" hidden="1" customHeight="1">
      <c r="A409" s="597"/>
      <c r="B409" s="24"/>
      <c r="C409" s="337"/>
      <c r="D409" s="247"/>
      <c r="E409" s="338"/>
      <c r="F409" s="339"/>
      <c r="G409" s="338"/>
      <c r="H409" s="340"/>
      <c r="I409" s="438">
        <v>14081</v>
      </c>
      <c r="J409" s="193" t="s">
        <v>296</v>
      </c>
      <c r="K409" s="435">
        <v>1450000</v>
      </c>
      <c r="L409" s="179">
        <v>0.05</v>
      </c>
      <c r="M409" s="509">
        <f t="shared" si="15"/>
        <v>72500</v>
      </c>
    </row>
    <row r="410" spans="1:14" ht="21" hidden="1" customHeight="1">
      <c r="A410" s="597"/>
      <c r="B410" s="24"/>
      <c r="C410" s="337"/>
      <c r="D410" s="247"/>
      <c r="E410" s="338"/>
      <c r="F410" s="339"/>
      <c r="G410" s="338"/>
      <c r="H410" s="340"/>
      <c r="I410" s="589" t="s">
        <v>303</v>
      </c>
      <c r="J410" s="193" t="s">
        <v>304</v>
      </c>
      <c r="K410" s="435">
        <v>1450000</v>
      </c>
      <c r="L410" s="179">
        <v>0.05</v>
      </c>
      <c r="M410" s="509">
        <f t="shared" si="15"/>
        <v>72500</v>
      </c>
    </row>
    <row r="411" spans="1:14" hidden="1">
      <c r="A411" s="478"/>
      <c r="B411" s="24"/>
      <c r="C411" s="337"/>
      <c r="D411" s="247"/>
      <c r="E411" s="338"/>
      <c r="F411" s="339"/>
      <c r="G411" s="338"/>
      <c r="H411" s="340"/>
      <c r="I411" s="52"/>
      <c r="J411" s="52"/>
      <c r="K411" s="52"/>
      <c r="L411" s="52"/>
      <c r="M411" s="52"/>
    </row>
    <row r="412" spans="1:14" ht="15.75" hidden="1">
      <c r="A412" s="1001" t="s">
        <v>32</v>
      </c>
      <c r="B412" s="1001"/>
      <c r="C412" s="1001"/>
      <c r="D412" s="1001"/>
      <c r="E412" s="595">
        <f>SUM(E402:E411)</f>
        <v>1900000</v>
      </c>
      <c r="F412" s="151" t="s">
        <v>32</v>
      </c>
      <c r="G412" s="152">
        <f>SUM(G402:G407)</f>
        <v>190000</v>
      </c>
      <c r="H412" s="1112"/>
      <c r="I412" s="1112"/>
      <c r="J412" s="1037" t="s">
        <v>33</v>
      </c>
      <c r="K412" s="1037"/>
      <c r="L412" s="1037"/>
      <c r="M412" s="591">
        <f>SUM(M402:M411)</f>
        <v>652500</v>
      </c>
    </row>
    <row r="413" spans="1:14" hidden="1">
      <c r="A413" s="317"/>
      <c r="B413" s="317"/>
      <c r="C413" s="317"/>
      <c r="D413" s="317"/>
      <c r="E413" s="318"/>
      <c r="F413" s="319"/>
      <c r="G413" s="320"/>
      <c r="H413" s="115"/>
      <c r="I413" s="115"/>
      <c r="J413" s="321"/>
      <c r="K413" s="321"/>
      <c r="L413" s="321"/>
      <c r="M413" s="322"/>
    </row>
    <row r="414" spans="1:14" hidden="1">
      <c r="A414" s="317"/>
      <c r="B414" s="317"/>
      <c r="C414" s="317"/>
      <c r="D414" s="317"/>
      <c r="E414" s="318"/>
      <c r="F414" s="319"/>
      <c r="G414" s="320"/>
      <c r="H414" s="115"/>
      <c r="I414" s="115"/>
      <c r="J414" s="321"/>
      <c r="K414" s="321"/>
      <c r="L414" s="321"/>
      <c r="M414" s="322"/>
    </row>
    <row r="415" spans="1:14" s="31" customFormat="1" hidden="1">
      <c r="A415" s="122"/>
      <c r="B415" s="122"/>
      <c r="C415" s="122"/>
      <c r="D415" s="122"/>
      <c r="E415" s="123"/>
      <c r="F415" s="124"/>
      <c r="G415" s="125"/>
      <c r="H415" s="35"/>
      <c r="I415" s="35"/>
      <c r="J415" s="154"/>
      <c r="K415" s="154"/>
      <c r="L415" s="154"/>
      <c r="M415" s="155"/>
    </row>
    <row r="416" spans="1:14" hidden="1"/>
    <row r="417" spans="1:13" ht="18" hidden="1" customHeight="1">
      <c r="A417" s="1045"/>
      <c r="B417" s="1057" t="s">
        <v>50</v>
      </c>
      <c r="C417" s="992"/>
      <c r="D417" s="992"/>
      <c r="E417" s="596">
        <f>E412+E397+E385+E360+E346</f>
        <v>73000000</v>
      </c>
      <c r="F417" s="8"/>
      <c r="G417" s="8"/>
      <c r="H417" s="8"/>
      <c r="I417" s="8"/>
      <c r="J417" s="8"/>
      <c r="K417" s="8"/>
      <c r="L417" s="8"/>
      <c r="M417" s="8"/>
    </row>
    <row r="418" spans="1:13" ht="18" hidden="1" customHeight="1">
      <c r="A418" s="1045"/>
      <c r="B418" s="1058" t="s">
        <v>51</v>
      </c>
      <c r="C418" s="993"/>
      <c r="D418" s="993"/>
      <c r="E418" s="416"/>
      <c r="F418" s="8"/>
      <c r="G418" s="8"/>
      <c r="H418" s="8"/>
      <c r="I418" s="8"/>
      <c r="J418" s="8"/>
      <c r="K418" s="8"/>
      <c r="L418" s="8"/>
      <c r="M418" s="8"/>
    </row>
    <row r="419" spans="1:13" ht="18" hidden="1" customHeight="1">
      <c r="A419" s="1045"/>
      <c r="B419" s="1059" t="s">
        <v>52</v>
      </c>
      <c r="C419" s="1060"/>
      <c r="D419" s="1060"/>
      <c r="E419" s="450"/>
      <c r="F419" s="8"/>
      <c r="G419" s="8"/>
      <c r="H419" s="8"/>
      <c r="I419" s="8"/>
      <c r="J419" s="8"/>
      <c r="K419" s="8"/>
      <c r="L419" s="8"/>
      <c r="M419" s="8"/>
    </row>
    <row r="420" spans="1:13" ht="18" hidden="1">
      <c r="A420" s="52"/>
      <c r="B420" s="1061" t="s">
        <v>32</v>
      </c>
      <c r="C420" s="1062"/>
      <c r="D420" s="1062"/>
      <c r="E420" s="147">
        <f>SUM(E417:E419)</f>
        <v>73000000</v>
      </c>
    </row>
    <row r="421" spans="1:13" hidden="1"/>
    <row r="422" spans="1:13" ht="45" hidden="1" customHeight="1">
      <c r="A422" s="1025" t="s">
        <v>53</v>
      </c>
      <c r="B422" s="1025" t="s">
        <v>54</v>
      </c>
      <c r="C422" s="1025" t="s">
        <v>55</v>
      </c>
      <c r="D422" s="1025" t="s">
        <v>56</v>
      </c>
      <c r="E422" s="276"/>
      <c r="F422" s="8"/>
      <c r="G422" s="8"/>
      <c r="H422" s="8"/>
      <c r="I422" s="8"/>
      <c r="J422" s="8"/>
      <c r="K422" s="8"/>
      <c r="L422" s="8"/>
      <c r="M422" s="8"/>
    </row>
    <row r="423" spans="1:13" ht="45" hidden="1" customHeight="1">
      <c r="A423" s="1025"/>
      <c r="B423" s="1025"/>
      <c r="C423" s="1025"/>
      <c r="D423" s="1025"/>
      <c r="E423" s="276"/>
      <c r="F423" s="8"/>
      <c r="G423" s="8"/>
      <c r="H423" s="8"/>
      <c r="I423" s="8"/>
      <c r="J423" s="8"/>
      <c r="K423" s="8"/>
      <c r="L423" s="8"/>
      <c r="M423" s="8"/>
    </row>
    <row r="424" spans="1:13" ht="45" hidden="1" customHeight="1">
      <c r="A424" s="1006" t="s">
        <v>57</v>
      </c>
      <c r="B424" s="1007"/>
      <c r="C424" s="1008"/>
      <c r="D424" s="1009"/>
      <c r="E424" s="276"/>
      <c r="F424" s="8"/>
      <c r="G424" s="8"/>
      <c r="H424" s="8"/>
      <c r="I424" s="8"/>
      <c r="J424" s="8"/>
      <c r="K424" s="8"/>
      <c r="L424" s="8"/>
      <c r="M424" s="8"/>
    </row>
    <row r="425" spans="1:13" ht="45" hidden="1" customHeight="1">
      <c r="A425" s="1006"/>
      <c r="B425" s="1007"/>
      <c r="C425" s="1007"/>
      <c r="D425" s="1009"/>
      <c r="E425" s="276"/>
      <c r="F425" s="8"/>
      <c r="G425" s="8"/>
      <c r="H425" s="8"/>
      <c r="I425" s="8"/>
      <c r="J425" s="8"/>
      <c r="K425" s="8"/>
      <c r="L425" s="8"/>
      <c r="M425" s="8"/>
    </row>
    <row r="426" spans="1:13" ht="45" hidden="1" customHeight="1">
      <c r="A426" s="1010" t="s">
        <v>58</v>
      </c>
      <c r="B426" s="1007"/>
      <c r="C426" s="1008"/>
      <c r="D426" s="1009"/>
      <c r="E426" s="276"/>
      <c r="F426" s="8"/>
      <c r="G426" s="8"/>
      <c r="H426" s="8"/>
      <c r="I426" s="8"/>
      <c r="J426" s="8"/>
      <c r="K426" s="8"/>
      <c r="L426" s="8"/>
      <c r="M426" s="8"/>
    </row>
    <row r="427" spans="1:13" ht="45" hidden="1" customHeight="1">
      <c r="A427" s="1010"/>
      <c r="B427" s="1007"/>
      <c r="C427" s="1008"/>
      <c r="D427" s="1009"/>
      <c r="E427" s="276"/>
      <c r="F427" s="8"/>
      <c r="G427" s="8"/>
      <c r="H427" s="8"/>
      <c r="I427" s="8"/>
      <c r="J427" s="8"/>
      <c r="K427" s="8"/>
      <c r="L427" s="8"/>
      <c r="M427" s="8"/>
    </row>
    <row r="428" spans="1:13" ht="45" hidden="1" customHeight="1">
      <c r="A428" s="1011" t="s">
        <v>59</v>
      </c>
      <c r="B428" s="1011">
        <f>SUM(B424:B427)</f>
        <v>0</v>
      </c>
      <c r="C428" s="1012">
        <f>SUM(C423:C427)</f>
        <v>0</v>
      </c>
      <c r="D428" s="1011">
        <f>SUM(D423:D427)</f>
        <v>0</v>
      </c>
      <c r="E428" s="276"/>
      <c r="F428" s="8"/>
      <c r="G428" s="8"/>
      <c r="H428" s="8"/>
      <c r="I428" s="8"/>
      <c r="J428" s="8"/>
      <c r="K428" s="8"/>
      <c r="L428" s="8"/>
      <c r="M428" s="8"/>
    </row>
    <row r="429" spans="1:13" ht="45" hidden="1" customHeight="1">
      <c r="A429" s="1011"/>
      <c r="B429" s="1011"/>
      <c r="C429" s="1011"/>
      <c r="D429" s="1011"/>
      <c r="E429" s="276"/>
    </row>
    <row r="430" spans="1:13" hidden="1"/>
    <row r="431" spans="1:13" hidden="1"/>
    <row r="432" spans="1:13" ht="18" hidden="1">
      <c r="A432" s="1064"/>
      <c r="B432" s="1064"/>
      <c r="C432" s="1064"/>
      <c r="D432" s="600"/>
    </row>
    <row r="433" spans="1:13" ht="18" hidden="1">
      <c r="A433" s="1064"/>
      <c r="B433" s="1064"/>
      <c r="C433" s="1064"/>
      <c r="D433" s="601"/>
    </row>
    <row r="434" spans="1:13" ht="18" hidden="1">
      <c r="A434" s="1063"/>
      <c r="B434" s="1063"/>
      <c r="C434" s="1063"/>
      <c r="D434" s="602"/>
    </row>
    <row r="435" spans="1:13" ht="18" hidden="1">
      <c r="A435" s="1063"/>
      <c r="B435" s="1063"/>
      <c r="C435" s="1063"/>
      <c r="D435" s="600"/>
    </row>
    <row r="436" spans="1:13" ht="31.5">
      <c r="A436" s="987" t="s">
        <v>311</v>
      </c>
      <c r="B436" s="987"/>
      <c r="C436" s="987"/>
      <c r="D436" s="987"/>
      <c r="E436" s="987"/>
      <c r="F436" s="987"/>
      <c r="G436" s="987"/>
      <c r="H436" s="987"/>
      <c r="I436" s="987"/>
      <c r="J436" s="987"/>
      <c r="K436" s="987"/>
      <c r="L436" s="987"/>
      <c r="M436" s="987"/>
    </row>
    <row r="437" spans="1:13" ht="18" hidden="1">
      <c r="A437" s="983" t="s">
        <v>1</v>
      </c>
      <c r="B437" s="983"/>
      <c r="C437" s="983"/>
      <c r="D437" s="983"/>
      <c r="E437" s="984"/>
      <c r="F437" s="984"/>
      <c r="G437" s="984"/>
      <c r="H437" s="984"/>
      <c r="I437" s="985"/>
      <c r="J437" s="985"/>
      <c r="K437" s="985"/>
      <c r="L437" s="985"/>
      <c r="M437" s="985"/>
    </row>
    <row r="438" spans="1:13" ht="18" hidden="1">
      <c r="A438" s="102" t="s">
        <v>2</v>
      </c>
      <c r="B438" s="102" t="s">
        <v>3</v>
      </c>
      <c r="C438" s="102" t="s">
        <v>4</v>
      </c>
      <c r="D438" s="102" t="s">
        <v>5</v>
      </c>
      <c r="E438" s="103" t="s">
        <v>6</v>
      </c>
      <c r="F438" s="103" t="s">
        <v>7</v>
      </c>
      <c r="G438" s="103" t="s">
        <v>8</v>
      </c>
      <c r="H438" s="103" t="s">
        <v>9</v>
      </c>
      <c r="I438" s="103" t="s">
        <v>3</v>
      </c>
      <c r="J438" s="103" t="s">
        <v>5</v>
      </c>
      <c r="K438" s="104" t="s">
        <v>10</v>
      </c>
      <c r="L438" s="105" t="s">
        <v>7</v>
      </c>
      <c r="M438" s="105" t="s">
        <v>11</v>
      </c>
    </row>
    <row r="439" spans="1:13" ht="15" hidden="1">
      <c r="A439" s="986" t="s">
        <v>312</v>
      </c>
      <c r="B439" s="162">
        <v>14130</v>
      </c>
      <c r="C439" s="337">
        <v>0.1</v>
      </c>
      <c r="D439" s="408" t="s">
        <v>308</v>
      </c>
      <c r="E439" s="510">
        <v>1850000</v>
      </c>
      <c r="F439" s="607">
        <v>0.06</v>
      </c>
      <c r="G439" s="338">
        <f>E439*F439</f>
        <v>111000</v>
      </c>
      <c r="H439" s="114" t="s">
        <v>18</v>
      </c>
      <c r="I439" s="241">
        <v>14162</v>
      </c>
      <c r="J439" s="408" t="s">
        <v>313</v>
      </c>
      <c r="K439" s="527">
        <v>1600000</v>
      </c>
      <c r="L439" s="607">
        <v>0.05</v>
      </c>
      <c r="M439" s="527">
        <f>K439*L439</f>
        <v>80000</v>
      </c>
    </row>
    <row r="440" spans="1:13" ht="15" hidden="1">
      <c r="A440" s="986"/>
      <c r="B440" s="162">
        <v>14129</v>
      </c>
      <c r="C440" s="337">
        <v>0.1</v>
      </c>
      <c r="D440" s="408" t="s">
        <v>314</v>
      </c>
      <c r="E440" s="510">
        <v>1450000</v>
      </c>
      <c r="F440" s="607">
        <v>7.0000000000000007E-2</v>
      </c>
      <c r="G440" s="338">
        <f t="shared" ref="G440:G452" si="16">E440*F440</f>
        <v>101500.00000000001</v>
      </c>
      <c r="H440" s="340" t="s">
        <v>241</v>
      </c>
      <c r="I440" s="532"/>
      <c r="J440" s="336"/>
      <c r="K440" s="114"/>
      <c r="L440" s="339"/>
      <c r="M440" s="510"/>
    </row>
    <row r="441" spans="1:13" ht="15" hidden="1">
      <c r="A441" s="986"/>
      <c r="B441" s="162">
        <v>14146</v>
      </c>
      <c r="C441" s="337">
        <v>0.1</v>
      </c>
      <c r="D441" s="408" t="s">
        <v>315</v>
      </c>
      <c r="E441" s="510">
        <v>2000000</v>
      </c>
      <c r="F441" s="607">
        <v>0.12</v>
      </c>
      <c r="G441" s="338">
        <f t="shared" si="16"/>
        <v>240000</v>
      </c>
      <c r="H441" s="340" t="s">
        <v>13</v>
      </c>
      <c r="I441" s="614"/>
      <c r="J441" s="336"/>
      <c r="K441" s="114"/>
      <c r="L441" s="339"/>
      <c r="M441" s="510"/>
    </row>
    <row r="442" spans="1:13" ht="15" hidden="1">
      <c r="A442" s="982"/>
      <c r="B442" s="162">
        <v>14179</v>
      </c>
      <c r="C442" s="337">
        <v>0.1</v>
      </c>
      <c r="D442" s="408" t="s">
        <v>316</v>
      </c>
      <c r="E442" s="510">
        <v>2500000</v>
      </c>
      <c r="F442" s="607">
        <v>0.06</v>
      </c>
      <c r="G442" s="338">
        <f t="shared" si="16"/>
        <v>150000</v>
      </c>
      <c r="H442" s="28" t="s">
        <v>18</v>
      </c>
      <c r="I442" s="392"/>
      <c r="J442" s="247"/>
      <c r="K442" s="342"/>
      <c r="L442" s="407"/>
      <c r="M442" s="247"/>
    </row>
    <row r="443" spans="1:13" ht="15" hidden="1">
      <c r="A443" s="982"/>
      <c r="B443" s="162">
        <v>14163</v>
      </c>
      <c r="C443" s="526">
        <v>0.08</v>
      </c>
      <c r="D443" s="408" t="s">
        <v>317</v>
      </c>
      <c r="E443" s="510">
        <v>2400000</v>
      </c>
      <c r="F443" s="607">
        <v>0.06</v>
      </c>
      <c r="G443" s="338">
        <f t="shared" si="16"/>
        <v>144000</v>
      </c>
      <c r="H443" s="28" t="s">
        <v>318</v>
      </c>
      <c r="I443" s="392"/>
      <c r="J443" s="247"/>
      <c r="K443" s="342"/>
      <c r="L443" s="407"/>
      <c r="M443" s="247"/>
    </row>
    <row r="444" spans="1:13" ht="15" hidden="1">
      <c r="A444" s="982"/>
      <c r="B444" s="162">
        <v>14245</v>
      </c>
      <c r="C444" s="605">
        <v>0.1</v>
      </c>
      <c r="D444" s="408" t="s">
        <v>319</v>
      </c>
      <c r="E444" s="510">
        <v>2500000</v>
      </c>
      <c r="F444" s="607">
        <v>0.12</v>
      </c>
      <c r="G444" s="338">
        <f t="shared" si="16"/>
        <v>300000</v>
      </c>
      <c r="H444" s="28" t="s">
        <v>13</v>
      </c>
      <c r="I444" s="392"/>
      <c r="J444" s="247"/>
      <c r="K444" s="342"/>
      <c r="L444" s="407"/>
      <c r="M444" s="247"/>
    </row>
    <row r="445" spans="1:13" ht="14.25" hidden="1">
      <c r="A445" s="982"/>
      <c r="B445" s="500">
        <v>14269</v>
      </c>
      <c r="C445" s="440">
        <v>0.1</v>
      </c>
      <c r="D445" s="208" t="s">
        <v>320</v>
      </c>
      <c r="E445" s="435">
        <v>1800000</v>
      </c>
      <c r="F445" s="607">
        <v>0.06</v>
      </c>
      <c r="G445" s="338">
        <f t="shared" si="16"/>
        <v>108000</v>
      </c>
      <c r="H445" s="28" t="s">
        <v>321</v>
      </c>
      <c r="I445" s="392"/>
      <c r="J445" s="247"/>
      <c r="K445" s="342"/>
      <c r="L445" s="407"/>
      <c r="M445" s="247"/>
    </row>
    <row r="446" spans="1:13" ht="15" hidden="1">
      <c r="A446" s="982"/>
      <c r="B446" s="162">
        <v>14251</v>
      </c>
      <c r="C446" s="605">
        <v>0.1</v>
      </c>
      <c r="D446" s="424" t="s">
        <v>322</v>
      </c>
      <c r="E446" s="510">
        <v>2500000</v>
      </c>
      <c r="F446" s="607">
        <v>7.0000000000000007E-2</v>
      </c>
      <c r="G446" s="338">
        <f t="shared" si="16"/>
        <v>175000.00000000003</v>
      </c>
      <c r="H446" s="28" t="s">
        <v>318</v>
      </c>
      <c r="I446" s="392"/>
      <c r="J446" s="247"/>
      <c r="K446" s="342"/>
      <c r="L446" s="407"/>
      <c r="M446" s="247"/>
    </row>
    <row r="447" spans="1:13" ht="15" hidden="1">
      <c r="A447" s="982"/>
      <c r="B447" s="162">
        <v>14144</v>
      </c>
      <c r="C447" s="337">
        <v>0.1</v>
      </c>
      <c r="D447" s="247" t="s">
        <v>323</v>
      </c>
      <c r="E447" s="510">
        <v>1900000</v>
      </c>
      <c r="F447" s="607">
        <v>0.06</v>
      </c>
      <c r="G447" s="338">
        <f t="shared" si="16"/>
        <v>114000</v>
      </c>
      <c r="H447" s="28" t="s">
        <v>18</v>
      </c>
      <c r="I447" s="392"/>
      <c r="J447" s="247"/>
      <c r="K447" s="342"/>
      <c r="L447" s="407"/>
      <c r="M447" s="247"/>
    </row>
    <row r="448" spans="1:13" ht="15" hidden="1">
      <c r="A448" s="982"/>
      <c r="B448" s="162">
        <v>14153</v>
      </c>
      <c r="C448" s="337">
        <v>0.1</v>
      </c>
      <c r="D448" s="247" t="s">
        <v>324</v>
      </c>
      <c r="E448" s="510">
        <v>1100000</v>
      </c>
      <c r="F448" s="607">
        <v>0.12</v>
      </c>
      <c r="G448" s="338">
        <f t="shared" si="16"/>
        <v>132000</v>
      </c>
      <c r="H448" s="28" t="s">
        <v>13</v>
      </c>
      <c r="I448" s="392"/>
      <c r="J448" s="247"/>
      <c r="K448" s="342"/>
      <c r="L448" s="407"/>
      <c r="M448" s="247"/>
    </row>
    <row r="449" spans="1:13" ht="15" hidden="1">
      <c r="A449" s="982"/>
      <c r="B449" s="162">
        <v>14173</v>
      </c>
      <c r="C449" s="337">
        <v>0.1</v>
      </c>
      <c r="D449" s="247" t="s">
        <v>325</v>
      </c>
      <c r="E449" s="510">
        <v>1900000</v>
      </c>
      <c r="F449" s="607">
        <v>7.0000000000000007E-2</v>
      </c>
      <c r="G449" s="338">
        <f t="shared" si="16"/>
        <v>133000</v>
      </c>
      <c r="H449" s="28" t="s">
        <v>318</v>
      </c>
      <c r="I449" s="392"/>
      <c r="J449" s="247"/>
      <c r="K449" s="342"/>
      <c r="L449" s="407"/>
      <c r="M449" s="247"/>
    </row>
    <row r="450" spans="1:13" ht="15" hidden="1">
      <c r="A450" s="982"/>
      <c r="B450" s="162">
        <v>14233</v>
      </c>
      <c r="C450" s="605">
        <v>0.1</v>
      </c>
      <c r="D450" s="247" t="s">
        <v>326</v>
      </c>
      <c r="E450" s="510">
        <v>1900000</v>
      </c>
      <c r="F450" s="607">
        <v>0.12</v>
      </c>
      <c r="G450" s="338">
        <f t="shared" si="16"/>
        <v>228000</v>
      </c>
      <c r="H450" s="28" t="s">
        <v>13</v>
      </c>
      <c r="I450" s="392"/>
      <c r="J450" s="247"/>
      <c r="K450" s="342"/>
      <c r="L450" s="407"/>
      <c r="M450" s="247"/>
    </row>
    <row r="451" spans="1:13" ht="15" hidden="1">
      <c r="A451" s="982"/>
      <c r="B451" s="162">
        <v>14215</v>
      </c>
      <c r="C451" s="662">
        <v>0.08</v>
      </c>
      <c r="D451" s="351" t="s">
        <v>327</v>
      </c>
      <c r="E451" s="642">
        <v>2000000</v>
      </c>
      <c r="F451" s="607">
        <v>0.1</v>
      </c>
      <c r="G451" s="338">
        <f t="shared" si="16"/>
        <v>200000</v>
      </c>
      <c r="H451" s="28" t="s">
        <v>13</v>
      </c>
      <c r="I451" s="392"/>
      <c r="J451" s="247"/>
      <c r="K451" s="342"/>
      <c r="L451" s="407"/>
      <c r="M451" s="247"/>
    </row>
    <row r="452" spans="1:13" ht="15" hidden="1">
      <c r="A452" s="982"/>
      <c r="B452" s="162">
        <v>14224</v>
      </c>
      <c r="C452" s="348">
        <v>0.1</v>
      </c>
      <c r="D452" s="351" t="s">
        <v>328</v>
      </c>
      <c r="E452" s="642">
        <v>2400000</v>
      </c>
      <c r="F452" s="607">
        <v>0.12</v>
      </c>
      <c r="G452" s="338">
        <f t="shared" si="16"/>
        <v>288000</v>
      </c>
      <c r="H452" s="28" t="s">
        <v>13</v>
      </c>
      <c r="I452" s="392"/>
      <c r="J452" s="247"/>
      <c r="K452" s="342"/>
      <c r="L452" s="407"/>
      <c r="M452" s="527">
        <f>SUM(M439:M451)</f>
        <v>80000</v>
      </c>
    </row>
    <row r="453" spans="1:13" hidden="1">
      <c r="A453" s="982"/>
      <c r="B453" s="269"/>
      <c r="C453" s="624">
        <v>0.1</v>
      </c>
      <c r="D453" s="83" t="s">
        <v>329</v>
      </c>
      <c r="E453" s="632"/>
      <c r="F453" s="607">
        <v>0.12</v>
      </c>
      <c r="G453" s="338"/>
      <c r="H453" s="28"/>
      <c r="I453" s="392"/>
      <c r="J453" s="247"/>
      <c r="K453" s="342"/>
      <c r="L453" s="407"/>
      <c r="M453" s="527"/>
    </row>
    <row r="454" spans="1:13" ht="15" hidden="1">
      <c r="A454" s="982"/>
      <c r="B454" s="643"/>
      <c r="C454" s="644"/>
      <c r="D454" s="507" t="s">
        <v>330</v>
      </c>
      <c r="E454" s="629"/>
      <c r="F454" s="607"/>
      <c r="G454" s="338"/>
      <c r="H454" s="28"/>
      <c r="I454" s="392"/>
      <c r="J454" s="247"/>
      <c r="K454" s="342"/>
      <c r="L454" s="407"/>
      <c r="M454" s="527"/>
    </row>
    <row r="455" spans="1:13" ht="15" hidden="1">
      <c r="A455" s="982"/>
      <c r="B455" s="623" t="s">
        <v>331</v>
      </c>
      <c r="C455" s="624"/>
      <c r="D455" s="235" t="s">
        <v>332</v>
      </c>
      <c r="E455" s="221"/>
      <c r="F455" s="26"/>
      <c r="G455" s="27"/>
      <c r="H455" s="28"/>
      <c r="I455" s="392"/>
      <c r="J455" s="247"/>
      <c r="K455" s="342"/>
      <c r="L455" s="407"/>
      <c r="M455" s="247"/>
    </row>
    <row r="456" spans="1:13" ht="18" hidden="1">
      <c r="A456" s="982"/>
      <c r="B456" s="603"/>
      <c r="C456" s="605"/>
      <c r="D456" s="247"/>
      <c r="E456" s="510">
        <f>SUM(E439:E455)</f>
        <v>28200000</v>
      </c>
      <c r="F456" s="339"/>
      <c r="G456" s="630">
        <f>SUM(G439:G455)</f>
        <v>2424500</v>
      </c>
      <c r="H456" s="340"/>
      <c r="I456" s="392"/>
      <c r="J456" s="247"/>
      <c r="K456" s="342"/>
      <c r="L456" s="407"/>
      <c r="M456" s="631">
        <f>M452+G456</f>
        <v>2504500</v>
      </c>
    </row>
    <row r="457" spans="1:13" ht="18" hidden="1">
      <c r="A457" s="983" t="s">
        <v>333</v>
      </c>
      <c r="B457" s="983"/>
      <c r="C457" s="983"/>
      <c r="D457" s="983"/>
      <c r="E457" s="984"/>
      <c r="F457" s="984"/>
      <c r="G457" s="984"/>
      <c r="H457" s="984"/>
      <c r="I457" s="985"/>
      <c r="J457" s="985"/>
      <c r="K457" s="985"/>
      <c r="L457" s="985"/>
      <c r="M457" s="985"/>
    </row>
    <row r="458" spans="1:13" ht="18" hidden="1">
      <c r="A458" s="102" t="s">
        <v>2</v>
      </c>
      <c r="B458" s="102" t="s">
        <v>3</v>
      </c>
      <c r="C458" s="102" t="s">
        <v>4</v>
      </c>
      <c r="D458" s="102" t="s">
        <v>5</v>
      </c>
      <c r="E458" s="103" t="s">
        <v>6</v>
      </c>
      <c r="F458" s="103" t="s">
        <v>7</v>
      </c>
      <c r="G458" s="103" t="s">
        <v>8</v>
      </c>
      <c r="H458" s="103" t="s">
        <v>9</v>
      </c>
      <c r="I458" s="103" t="s">
        <v>3</v>
      </c>
      <c r="J458" s="103" t="s">
        <v>5</v>
      </c>
      <c r="K458" s="104" t="s">
        <v>10</v>
      </c>
      <c r="L458" s="105" t="s">
        <v>7</v>
      </c>
      <c r="M458" s="105" t="s">
        <v>11</v>
      </c>
    </row>
    <row r="459" spans="1:13" ht="14.25" hidden="1">
      <c r="A459" s="986" t="s">
        <v>334</v>
      </c>
      <c r="B459" s="663">
        <v>14189</v>
      </c>
      <c r="C459" s="348">
        <v>0.1</v>
      </c>
      <c r="D459" s="247" t="s">
        <v>335</v>
      </c>
      <c r="E459" s="510">
        <v>1150000</v>
      </c>
      <c r="F459" s="339">
        <v>0.1</v>
      </c>
      <c r="G459" s="652">
        <f>E459*F459</f>
        <v>115000</v>
      </c>
      <c r="H459" s="340" t="s">
        <v>153</v>
      </c>
      <c r="I459" s="587">
        <v>14326</v>
      </c>
      <c r="J459" s="247" t="s">
        <v>336</v>
      </c>
      <c r="K459" s="652">
        <v>2800000</v>
      </c>
      <c r="L459" s="339">
        <v>0.05</v>
      </c>
      <c r="M459" s="634">
        <f>K459*L459</f>
        <v>140000</v>
      </c>
    </row>
    <row r="460" spans="1:13" ht="14.25" hidden="1">
      <c r="A460" s="986"/>
      <c r="B460" s="663">
        <v>14308</v>
      </c>
      <c r="C460" s="348">
        <v>0.1</v>
      </c>
      <c r="D460" s="247" t="s">
        <v>329</v>
      </c>
      <c r="E460" s="510">
        <v>1500000</v>
      </c>
      <c r="F460" s="339">
        <v>0.05</v>
      </c>
      <c r="G460" s="652">
        <f t="shared" ref="G460" si="17">E460*F460</f>
        <v>75000</v>
      </c>
      <c r="H460" s="340" t="s">
        <v>13</v>
      </c>
      <c r="I460" s="614">
        <v>14160</v>
      </c>
      <c r="J460" s="247" t="s">
        <v>337</v>
      </c>
      <c r="K460" s="673">
        <v>750000</v>
      </c>
      <c r="L460" s="339">
        <v>0.05</v>
      </c>
      <c r="M460" s="634">
        <f t="shared" ref="M460:M461" si="18">K460*L460</f>
        <v>37500</v>
      </c>
    </row>
    <row r="461" spans="1:13" ht="14.25" hidden="1">
      <c r="A461" s="986"/>
      <c r="B461" s="663">
        <v>14261</v>
      </c>
      <c r="C461" s="348">
        <v>0.1</v>
      </c>
      <c r="D461" s="247" t="s">
        <v>338</v>
      </c>
      <c r="E461" s="510">
        <v>1200000</v>
      </c>
      <c r="F461" s="339">
        <v>0.06</v>
      </c>
      <c r="G461" s="652">
        <f t="shared" ref="G461:G466" si="19">E461*F461</f>
        <v>72000</v>
      </c>
      <c r="H461" s="340" t="s">
        <v>18</v>
      </c>
      <c r="I461" s="614">
        <v>14180</v>
      </c>
      <c r="J461" s="336" t="s">
        <v>339</v>
      </c>
      <c r="K461" s="674">
        <v>700000</v>
      </c>
      <c r="L461" s="339">
        <v>0.05</v>
      </c>
      <c r="M461" s="634">
        <f t="shared" si="18"/>
        <v>35000</v>
      </c>
    </row>
    <row r="462" spans="1:13" ht="14.25" hidden="1">
      <c r="A462" s="986"/>
      <c r="B462" s="663">
        <v>14289</v>
      </c>
      <c r="C462" s="348">
        <v>0.1</v>
      </c>
      <c r="D462" s="247" t="s">
        <v>340</v>
      </c>
      <c r="E462" s="510">
        <v>2500000</v>
      </c>
      <c r="F462" s="339">
        <v>0.1</v>
      </c>
      <c r="G462" s="652">
        <f t="shared" si="19"/>
        <v>250000</v>
      </c>
      <c r="H462" s="340" t="s">
        <v>153</v>
      </c>
      <c r="I462" s="614"/>
      <c r="J462" s="336"/>
      <c r="K462" s="114"/>
      <c r="L462" s="339"/>
      <c r="M462" s="634"/>
    </row>
    <row r="463" spans="1:13" hidden="1">
      <c r="A463" s="986"/>
      <c r="B463" s="532">
        <v>14247</v>
      </c>
      <c r="C463" s="348">
        <v>0.1</v>
      </c>
      <c r="D463" s="247" t="s">
        <v>341</v>
      </c>
      <c r="E463" s="510">
        <v>1650000</v>
      </c>
      <c r="F463" s="339">
        <v>0.1</v>
      </c>
      <c r="G463" s="652">
        <f t="shared" si="19"/>
        <v>165000</v>
      </c>
      <c r="H463" s="340" t="s">
        <v>153</v>
      </c>
      <c r="I463" s="392"/>
      <c r="J463" s="247"/>
      <c r="K463" s="342"/>
      <c r="L463" s="407"/>
      <c r="M463" s="408"/>
    </row>
    <row r="464" spans="1:13" ht="15" hidden="1">
      <c r="A464" s="986"/>
      <c r="B464" s="532">
        <v>14275</v>
      </c>
      <c r="C464" s="348">
        <v>0.1</v>
      </c>
      <c r="D464" s="247" t="s">
        <v>342</v>
      </c>
      <c r="E464" s="510">
        <v>1900000</v>
      </c>
      <c r="F464" s="345">
        <v>0.06</v>
      </c>
      <c r="G464" s="652">
        <f t="shared" si="19"/>
        <v>114000</v>
      </c>
      <c r="H464" s="340" t="s">
        <v>18</v>
      </c>
      <c r="I464" s="392"/>
      <c r="J464" s="247"/>
      <c r="K464" s="342"/>
      <c r="L464" s="407"/>
      <c r="M464" s="408"/>
    </row>
    <row r="465" spans="1:13" hidden="1">
      <c r="A465" s="986"/>
      <c r="B465" s="532">
        <v>14289</v>
      </c>
      <c r="C465" s="348">
        <v>0.1</v>
      </c>
      <c r="D465" s="247" t="s">
        <v>343</v>
      </c>
      <c r="E465" s="510">
        <v>1900000</v>
      </c>
      <c r="F465" s="339">
        <v>0.1</v>
      </c>
      <c r="G465" s="652">
        <f t="shared" si="19"/>
        <v>190000</v>
      </c>
      <c r="H465" s="340" t="s">
        <v>153</v>
      </c>
      <c r="I465" s="392"/>
      <c r="J465" s="247"/>
      <c r="K465" s="342"/>
      <c r="L465" s="407"/>
      <c r="M465" s="408"/>
    </row>
    <row r="466" spans="1:13" hidden="1">
      <c r="A466" s="986"/>
      <c r="B466" s="532">
        <v>14313</v>
      </c>
      <c r="C466" s="662">
        <v>0.08</v>
      </c>
      <c r="D466" s="351" t="s">
        <v>344</v>
      </c>
      <c r="E466" s="510">
        <v>1750000</v>
      </c>
      <c r="F466" s="666">
        <v>0.08</v>
      </c>
      <c r="G466" s="653">
        <f t="shared" si="19"/>
        <v>140000</v>
      </c>
      <c r="H466" s="340" t="s">
        <v>153</v>
      </c>
      <c r="I466" s="428"/>
      <c r="J466" s="351"/>
      <c r="K466" s="635"/>
      <c r="L466" s="636"/>
      <c r="M466" s="408"/>
    </row>
    <row r="467" spans="1:13" hidden="1">
      <c r="A467" s="986"/>
      <c r="B467" s="532" t="s">
        <v>345</v>
      </c>
      <c r="C467" s="348">
        <v>0.1</v>
      </c>
      <c r="D467" s="351" t="s">
        <v>346</v>
      </c>
      <c r="E467" s="510">
        <v>4000000</v>
      </c>
      <c r="F467" s="607">
        <v>0.1</v>
      </c>
      <c r="G467" s="652">
        <f>E467*F467</f>
        <v>400000</v>
      </c>
      <c r="H467" s="340" t="s">
        <v>153</v>
      </c>
      <c r="I467" s="428"/>
      <c r="J467" s="351"/>
      <c r="K467" s="635"/>
      <c r="L467" s="636"/>
      <c r="M467" s="408"/>
    </row>
    <row r="468" spans="1:13" ht="14.25" hidden="1">
      <c r="A468" s="986"/>
      <c r="B468" s="658"/>
      <c r="C468" s="229"/>
      <c r="D468" s="235" t="s">
        <v>347</v>
      </c>
      <c r="E468" s="632"/>
      <c r="F468" s="237"/>
      <c r="G468" s="659">
        <f>E468*F468</f>
        <v>0</v>
      </c>
      <c r="H468" s="233" t="s">
        <v>153</v>
      </c>
      <c r="I468" s="428"/>
      <c r="J468" s="351"/>
      <c r="K468" s="635"/>
      <c r="L468" s="636"/>
      <c r="M468" s="408"/>
    </row>
    <row r="469" spans="1:13" ht="15" hidden="1">
      <c r="A469" s="986"/>
      <c r="B469" s="637" t="s">
        <v>348</v>
      </c>
      <c r="C469" s="88"/>
      <c r="D469" s="88" t="s">
        <v>349</v>
      </c>
      <c r="E469" s="88"/>
      <c r="F469" s="638"/>
      <c r="G469" s="654"/>
      <c r="H469" s="233" t="s">
        <v>153</v>
      </c>
      <c r="I469" s="428"/>
      <c r="J469" s="351"/>
      <c r="K469" s="635"/>
      <c r="L469" s="636"/>
      <c r="M469" s="527">
        <f>SUM(M459:M468)</f>
        <v>212500</v>
      </c>
    </row>
    <row r="470" spans="1:13" ht="15" hidden="1">
      <c r="A470" s="986"/>
      <c r="B470" s="623" t="s">
        <v>348</v>
      </c>
      <c r="C470" s="229"/>
      <c r="D470" s="83" t="s">
        <v>350</v>
      </c>
      <c r="E470" s="632"/>
      <c r="F470" s="633"/>
      <c r="G470" s="654"/>
      <c r="H470" s="233" t="s">
        <v>153</v>
      </c>
      <c r="I470" s="392"/>
      <c r="J470" s="247"/>
      <c r="K470" s="342"/>
      <c r="L470" s="407"/>
      <c r="M470" s="247"/>
    </row>
    <row r="471" spans="1:13" hidden="1">
      <c r="A471" s="986"/>
      <c r="B471" s="83" t="s">
        <v>351</v>
      </c>
      <c r="C471" s="83"/>
      <c r="D471" s="83" t="s">
        <v>352</v>
      </c>
      <c r="E471" s="83"/>
      <c r="F471" s="237"/>
      <c r="G471" s="655"/>
      <c r="H471" s="233" t="s">
        <v>153</v>
      </c>
      <c r="I471" s="392"/>
      <c r="J471" s="247"/>
      <c r="K471" s="342"/>
      <c r="L471" s="407"/>
      <c r="M471" s="247"/>
    </row>
    <row r="472" spans="1:13" ht="34.5" hidden="1" customHeight="1">
      <c r="A472" s="986"/>
      <c r="B472" s="528"/>
      <c r="C472" s="337"/>
      <c r="D472" s="247"/>
      <c r="E472" s="648">
        <f>SUM(E459:E471)</f>
        <v>17550000</v>
      </c>
      <c r="F472" s="627"/>
      <c r="G472" s="349">
        <f>SUM(G459:G471)</f>
        <v>1521000</v>
      </c>
      <c r="H472" s="651"/>
      <c r="I472" s="392"/>
      <c r="J472" s="247"/>
      <c r="K472" s="342"/>
      <c r="L472" s="407"/>
      <c r="M472" s="556">
        <f>G472+M469</f>
        <v>1733500</v>
      </c>
    </row>
    <row r="473" spans="1:13" ht="18" hidden="1">
      <c r="A473" s="983" t="s">
        <v>353</v>
      </c>
      <c r="B473" s="989"/>
      <c r="C473" s="989"/>
      <c r="D473" s="989"/>
      <c r="E473" s="990"/>
      <c r="F473" s="990"/>
      <c r="G473" s="984"/>
      <c r="H473" s="984"/>
      <c r="I473" s="985"/>
      <c r="J473" s="985"/>
      <c r="K473" s="985"/>
      <c r="L473" s="985"/>
      <c r="M473" s="985"/>
    </row>
    <row r="474" spans="1:13" ht="18" hidden="1">
      <c r="A474" s="102" t="s">
        <v>2</v>
      </c>
      <c r="B474" s="102" t="s">
        <v>3</v>
      </c>
      <c r="C474" s="102" t="s">
        <v>4</v>
      </c>
      <c r="D474" s="102" t="s">
        <v>5</v>
      </c>
      <c r="E474" s="103" t="s">
        <v>6</v>
      </c>
      <c r="F474" s="103" t="s">
        <v>7</v>
      </c>
      <c r="G474" s="103" t="s">
        <v>8</v>
      </c>
      <c r="H474" s="103" t="s">
        <v>9</v>
      </c>
      <c r="I474" s="103" t="s">
        <v>3</v>
      </c>
      <c r="J474" s="103" t="s">
        <v>5</v>
      </c>
      <c r="K474" s="104" t="s">
        <v>10</v>
      </c>
      <c r="L474" s="105" t="s">
        <v>7</v>
      </c>
      <c r="M474" s="105" t="s">
        <v>11</v>
      </c>
    </row>
    <row r="475" spans="1:13" ht="15" hidden="1">
      <c r="A475" s="982" t="s">
        <v>312</v>
      </c>
      <c r="B475" s="663">
        <v>14162</v>
      </c>
      <c r="C475" s="605">
        <v>0.1</v>
      </c>
      <c r="D475" s="247" t="s">
        <v>354</v>
      </c>
      <c r="E475" s="510">
        <v>1650000</v>
      </c>
      <c r="F475" s="337">
        <v>0.05</v>
      </c>
      <c r="G475" s="338">
        <f>E475*F475</f>
        <v>82500</v>
      </c>
      <c r="H475" s="340" t="s">
        <v>13</v>
      </c>
      <c r="I475" s="162">
        <v>14163</v>
      </c>
      <c r="J475" s="247" t="s">
        <v>317</v>
      </c>
      <c r="K475" s="510">
        <v>2400000</v>
      </c>
      <c r="L475" s="339">
        <v>0.04</v>
      </c>
      <c r="M475" s="510">
        <f>K475*L475</f>
        <v>96000</v>
      </c>
    </row>
    <row r="476" spans="1:13" ht="15" hidden="1">
      <c r="A476" s="982"/>
      <c r="B476" s="663">
        <v>14232</v>
      </c>
      <c r="C476" s="605">
        <v>0.1</v>
      </c>
      <c r="D476" s="606" t="s">
        <v>355</v>
      </c>
      <c r="E476" s="510">
        <v>1800000</v>
      </c>
      <c r="F476" s="337">
        <v>0.05</v>
      </c>
      <c r="G476" s="338">
        <f t="shared" ref="G476:G482" si="20">E476*F476</f>
        <v>90000</v>
      </c>
      <c r="H476" s="340" t="s">
        <v>153</v>
      </c>
      <c r="I476" s="162">
        <v>14173</v>
      </c>
      <c r="J476" s="247" t="s">
        <v>356</v>
      </c>
      <c r="K476" s="510">
        <v>1900000</v>
      </c>
      <c r="L476" s="339">
        <v>0.05</v>
      </c>
      <c r="M476" s="510">
        <f t="shared" ref="M476" si="21">K476*L476</f>
        <v>95000</v>
      </c>
    </row>
    <row r="477" spans="1:13" ht="15" hidden="1">
      <c r="A477" s="982"/>
      <c r="B477" s="663">
        <v>14206</v>
      </c>
      <c r="C477" s="605">
        <v>0.1</v>
      </c>
      <c r="D477" s="592" t="s">
        <v>357</v>
      </c>
      <c r="E477" s="510">
        <v>2300000</v>
      </c>
      <c r="F477" s="337">
        <v>0.1</v>
      </c>
      <c r="G477" s="338">
        <f t="shared" si="20"/>
        <v>230000</v>
      </c>
      <c r="H477" s="608" t="s">
        <v>318</v>
      </c>
      <c r="I477" s="162">
        <v>14251</v>
      </c>
      <c r="J477" s="247" t="s">
        <v>322</v>
      </c>
      <c r="K477" s="510">
        <v>2500000</v>
      </c>
      <c r="L477" s="339">
        <v>0.04</v>
      </c>
      <c r="M477" s="510">
        <f>K477*L477</f>
        <v>100000</v>
      </c>
    </row>
    <row r="478" spans="1:13" ht="14.25" hidden="1">
      <c r="A478" s="982"/>
      <c r="B478" s="663">
        <v>14209</v>
      </c>
      <c r="C478" s="605">
        <v>0.1</v>
      </c>
      <c r="D478" s="408" t="s">
        <v>358</v>
      </c>
      <c r="E478" s="510">
        <v>2200000</v>
      </c>
      <c r="F478" s="337">
        <v>0.1</v>
      </c>
      <c r="G478" s="338">
        <f t="shared" si="20"/>
        <v>220000</v>
      </c>
      <c r="H478" s="340" t="s">
        <v>318</v>
      </c>
      <c r="I478" s="392"/>
      <c r="J478" s="247"/>
      <c r="K478" s="342"/>
      <c r="L478" s="407"/>
      <c r="M478" s="247"/>
    </row>
    <row r="479" spans="1:13" ht="14.25" hidden="1">
      <c r="A479" s="982"/>
      <c r="B479" s="671">
        <v>14305</v>
      </c>
      <c r="C479" s="605">
        <v>0.1</v>
      </c>
      <c r="D479" s="408" t="s">
        <v>359</v>
      </c>
      <c r="E479" s="510">
        <v>2250000</v>
      </c>
      <c r="F479" s="337">
        <v>0.1</v>
      </c>
      <c r="G479" s="338">
        <f t="shared" si="20"/>
        <v>225000</v>
      </c>
      <c r="H479" s="340" t="s">
        <v>318</v>
      </c>
      <c r="I479" s="392"/>
      <c r="J479" s="247"/>
      <c r="K479" s="342"/>
      <c r="L479" s="407"/>
      <c r="M479" s="247"/>
    </row>
    <row r="480" spans="1:13" ht="14.25" hidden="1">
      <c r="A480" s="982"/>
      <c r="B480" s="663">
        <v>14281</v>
      </c>
      <c r="C480" s="605">
        <v>0.1</v>
      </c>
      <c r="D480" s="408" t="s">
        <v>360</v>
      </c>
      <c r="E480" s="510">
        <v>3300000</v>
      </c>
      <c r="F480" s="337">
        <v>0.05</v>
      </c>
      <c r="G480" s="338">
        <f t="shared" si="20"/>
        <v>165000</v>
      </c>
      <c r="H480" s="340" t="s">
        <v>361</v>
      </c>
      <c r="I480" s="392"/>
      <c r="J480" s="247"/>
      <c r="K480" s="342"/>
      <c r="L480" s="407"/>
      <c r="M480" s="247"/>
    </row>
    <row r="481" spans="1:13" ht="14.25" hidden="1">
      <c r="A481" s="982"/>
      <c r="B481" s="587">
        <v>14326</v>
      </c>
      <c r="C481" s="605">
        <v>0.1</v>
      </c>
      <c r="D481" s="408" t="s">
        <v>336</v>
      </c>
      <c r="E481" s="510">
        <v>2800000</v>
      </c>
      <c r="F481" s="337">
        <v>0.05</v>
      </c>
      <c r="G481" s="338">
        <f t="shared" si="20"/>
        <v>140000</v>
      </c>
      <c r="H481" s="340" t="s">
        <v>153</v>
      </c>
      <c r="I481" s="392"/>
      <c r="J481" s="247"/>
      <c r="K481" s="342"/>
      <c r="L481" s="407"/>
      <c r="M481" s="527">
        <f>SUM(M475:M480)</f>
        <v>291000</v>
      </c>
    </row>
    <row r="482" spans="1:13" ht="14.25" hidden="1">
      <c r="A482" s="982"/>
      <c r="B482" s="587">
        <v>14323</v>
      </c>
      <c r="C482" s="662">
        <v>0.08</v>
      </c>
      <c r="D482" s="351" t="s">
        <v>362</v>
      </c>
      <c r="E482" s="510">
        <v>2500000</v>
      </c>
      <c r="F482" s="337">
        <v>0.1</v>
      </c>
      <c r="G482" s="338">
        <f t="shared" si="20"/>
        <v>250000</v>
      </c>
      <c r="H482" s="340" t="s">
        <v>318</v>
      </c>
      <c r="I482" s="392"/>
      <c r="J482" s="247"/>
      <c r="K482" s="342"/>
      <c r="L482" s="407"/>
      <c r="M482" s="527"/>
    </row>
    <row r="483" spans="1:13" ht="15" hidden="1">
      <c r="A483" s="982"/>
      <c r="B483" s="649" t="s">
        <v>348</v>
      </c>
      <c r="C483" s="624"/>
      <c r="D483" s="650" t="s">
        <v>363</v>
      </c>
      <c r="E483" s="632"/>
      <c r="F483" s="343"/>
      <c r="G483" s="338"/>
      <c r="H483" s="340"/>
      <c r="I483" s="392"/>
      <c r="J483" s="247"/>
      <c r="K483" s="342"/>
      <c r="L483" s="407"/>
      <c r="M483" s="527"/>
    </row>
    <row r="484" spans="1:13" ht="15" hidden="1">
      <c r="A484" s="982"/>
      <c r="B484" s="649" t="s">
        <v>348</v>
      </c>
      <c r="C484" s="624"/>
      <c r="D484" s="650" t="s">
        <v>364</v>
      </c>
      <c r="E484" s="632"/>
      <c r="F484" s="343"/>
      <c r="G484" s="338"/>
      <c r="H484" s="340"/>
      <c r="I484" s="392"/>
      <c r="J484" s="247"/>
      <c r="K484" s="342"/>
      <c r="L484" s="407"/>
      <c r="M484" s="527"/>
    </row>
    <row r="485" spans="1:13" hidden="1">
      <c r="A485" s="982"/>
      <c r="F485" s="343"/>
      <c r="G485" s="338"/>
      <c r="H485" s="340"/>
      <c r="I485" s="392"/>
      <c r="J485" s="247"/>
      <c r="K485" s="342"/>
      <c r="L485" s="407"/>
      <c r="M485" s="527"/>
    </row>
    <row r="486" spans="1:13" ht="38.25" hidden="1" customHeight="1">
      <c r="A486" s="982"/>
      <c r="B486" s="603"/>
      <c r="C486" s="605"/>
      <c r="D486" s="247"/>
      <c r="E486" s="648">
        <f>SUM(E475:E485)</f>
        <v>18800000</v>
      </c>
      <c r="F486" s="339"/>
      <c r="G486" s="338">
        <f>SUM(G475:G485)</f>
        <v>1402500</v>
      </c>
      <c r="H486" s="340"/>
      <c r="I486" s="392"/>
      <c r="J486" s="247"/>
      <c r="K486" s="342"/>
      <c r="L486" s="407"/>
      <c r="M486" s="648">
        <f>G486+M481</f>
        <v>1693500</v>
      </c>
    </row>
    <row r="487" spans="1:13" ht="18" hidden="1">
      <c r="A487" s="983" t="s">
        <v>250</v>
      </c>
      <c r="B487" s="983"/>
      <c r="C487" s="983"/>
      <c r="D487" s="983"/>
      <c r="E487" s="984"/>
      <c r="F487" s="984"/>
      <c r="G487" s="984"/>
      <c r="H487" s="984"/>
      <c r="I487" s="985"/>
      <c r="J487" s="985"/>
      <c r="K487" s="985"/>
      <c r="L487" s="985"/>
      <c r="M487" s="985"/>
    </row>
    <row r="488" spans="1:13" ht="18" hidden="1">
      <c r="A488" s="102" t="s">
        <v>2</v>
      </c>
      <c r="B488" s="102" t="s">
        <v>3</v>
      </c>
      <c r="C488" s="102" t="s">
        <v>4</v>
      </c>
      <c r="D488" s="102" t="s">
        <v>5</v>
      </c>
      <c r="E488" s="103" t="s">
        <v>6</v>
      </c>
      <c r="F488" s="103" t="s">
        <v>7</v>
      </c>
      <c r="G488" s="103" t="s">
        <v>8</v>
      </c>
      <c r="H488" s="103" t="s">
        <v>9</v>
      </c>
      <c r="I488" s="103" t="s">
        <v>3</v>
      </c>
      <c r="J488" s="103" t="s">
        <v>5</v>
      </c>
      <c r="K488" s="104" t="s">
        <v>10</v>
      </c>
      <c r="L488" s="105" t="s">
        <v>7</v>
      </c>
      <c r="M488" s="105" t="s">
        <v>11</v>
      </c>
    </row>
    <row r="489" spans="1:13" ht="15" hidden="1">
      <c r="A489" s="982">
        <v>1</v>
      </c>
      <c r="B489" s="603"/>
      <c r="C489" s="526"/>
      <c r="D489" s="604"/>
      <c r="E489" s="510"/>
      <c r="F489" s="343"/>
      <c r="G489" s="338"/>
      <c r="H489" s="340"/>
      <c r="I489" s="247"/>
      <c r="J489" s="114"/>
      <c r="K489" s="510"/>
      <c r="L489" s="339"/>
      <c r="M489" s="510"/>
    </row>
    <row r="490" spans="1:13" ht="15" hidden="1">
      <c r="A490" s="982"/>
      <c r="B490" s="603"/>
      <c r="C490" s="605"/>
      <c r="D490" s="606"/>
      <c r="E490" s="510"/>
      <c r="F490" s="339"/>
      <c r="G490" s="338"/>
      <c r="H490" s="340"/>
      <c r="I490" s="532"/>
      <c r="J490" s="336"/>
      <c r="K490" s="114"/>
      <c r="L490" s="339"/>
      <c r="M490" s="510"/>
    </row>
    <row r="491" spans="1:13" ht="15" hidden="1">
      <c r="A491" s="982"/>
      <c r="B491" s="603"/>
      <c r="C491" s="605"/>
      <c r="D491" s="592"/>
      <c r="E491" s="510"/>
      <c r="F491" s="607"/>
      <c r="G491" s="338"/>
      <c r="H491" s="608"/>
      <c r="I491" s="528"/>
      <c r="J491" s="336"/>
      <c r="K491" s="510"/>
      <c r="L491" s="339"/>
      <c r="M491" s="510"/>
    </row>
    <row r="492" spans="1:13" ht="15" hidden="1">
      <c r="A492" s="982"/>
      <c r="B492" s="603"/>
      <c r="C492" s="605"/>
      <c r="D492" s="408"/>
      <c r="E492" s="510"/>
      <c r="F492" s="339"/>
      <c r="G492" s="338"/>
      <c r="H492" s="340"/>
      <c r="I492" s="392"/>
      <c r="J492" s="247"/>
      <c r="K492" s="342"/>
      <c r="L492" s="407"/>
      <c r="M492" s="247"/>
    </row>
    <row r="493" spans="1:13" ht="15" hidden="1">
      <c r="A493" s="982"/>
      <c r="B493" s="603"/>
      <c r="C493" s="605"/>
      <c r="D493" s="247"/>
      <c r="E493" s="510"/>
      <c r="F493" s="339"/>
      <c r="G493" s="338"/>
      <c r="H493" s="340"/>
      <c r="I493" s="392"/>
      <c r="J493" s="247"/>
      <c r="K493" s="342"/>
      <c r="L493" s="407"/>
      <c r="M493" s="247"/>
    </row>
    <row r="494" spans="1:13" ht="18" hidden="1">
      <c r="A494" s="983" t="s">
        <v>365</v>
      </c>
      <c r="B494" s="983"/>
      <c r="C494" s="983"/>
      <c r="D494" s="983"/>
      <c r="E494" s="984"/>
      <c r="F494" s="984"/>
      <c r="G494" s="984"/>
      <c r="H494" s="984"/>
      <c r="I494" s="985"/>
      <c r="J494" s="985"/>
      <c r="K494" s="985"/>
      <c r="L494" s="985"/>
      <c r="M494" s="985"/>
    </row>
    <row r="495" spans="1:13" ht="18" hidden="1">
      <c r="A495" s="102" t="s">
        <v>2</v>
      </c>
      <c r="B495" s="102" t="s">
        <v>3</v>
      </c>
      <c r="C495" s="102" t="s">
        <v>4</v>
      </c>
      <c r="D495" s="102" t="s">
        <v>5</v>
      </c>
      <c r="E495" s="103" t="s">
        <v>6</v>
      </c>
      <c r="F495" s="103" t="s">
        <v>7</v>
      </c>
      <c r="G495" s="103" t="s">
        <v>8</v>
      </c>
      <c r="H495" s="103" t="s">
        <v>9</v>
      </c>
      <c r="I495" s="103" t="s">
        <v>3</v>
      </c>
      <c r="J495" s="103" t="s">
        <v>5</v>
      </c>
      <c r="K495" s="104" t="s">
        <v>10</v>
      </c>
      <c r="L495" s="105" t="s">
        <v>7</v>
      </c>
      <c r="M495" s="105" t="s">
        <v>11</v>
      </c>
    </row>
    <row r="496" spans="1:13" ht="15" hidden="1">
      <c r="A496" s="982">
        <v>3</v>
      </c>
      <c r="B496" s="532">
        <v>14324</v>
      </c>
      <c r="C496" s="343">
        <v>0.1</v>
      </c>
      <c r="D496" s="247" t="s">
        <v>366</v>
      </c>
      <c r="E496" s="510">
        <v>1700000</v>
      </c>
      <c r="F496" s="343"/>
      <c r="G496" s="338"/>
      <c r="H496" s="340" t="s">
        <v>18</v>
      </c>
      <c r="I496" s="162">
        <v>14130</v>
      </c>
      <c r="J496" s="247" t="s">
        <v>308</v>
      </c>
      <c r="K496" s="510">
        <v>1850000</v>
      </c>
      <c r="L496" s="339">
        <v>0.05</v>
      </c>
      <c r="M496" s="510">
        <f>K496*L496</f>
        <v>92500</v>
      </c>
    </row>
    <row r="497" spans="1:13" ht="15" hidden="1">
      <c r="A497" s="982"/>
      <c r="B497" s="528"/>
      <c r="C497" s="337"/>
      <c r="D497" s="336"/>
      <c r="E497" s="510">
        <f>SUM(A497:D506)</f>
        <v>0</v>
      </c>
      <c r="F497" s="339"/>
      <c r="G497" s="338"/>
      <c r="H497" s="340"/>
      <c r="I497" s="162">
        <v>14179</v>
      </c>
      <c r="J497" s="247" t="s">
        <v>316</v>
      </c>
      <c r="K497" s="510">
        <v>2500000</v>
      </c>
      <c r="L497" s="339">
        <v>0.05</v>
      </c>
      <c r="M497" s="510">
        <f t="shared" ref="M497:M502" si="22">K497*L497</f>
        <v>125000</v>
      </c>
    </row>
    <row r="498" spans="1:13" ht="15" hidden="1">
      <c r="A498" s="982"/>
      <c r="B498" s="528"/>
      <c r="C498" s="337"/>
      <c r="D498" s="247"/>
      <c r="E498" s="510">
        <f>SUM(A498:D507)</f>
        <v>0</v>
      </c>
      <c r="F498" s="339"/>
      <c r="G498" s="338"/>
      <c r="H498" s="340"/>
      <c r="I498" s="162">
        <v>14269</v>
      </c>
      <c r="J498" s="247" t="s">
        <v>320</v>
      </c>
      <c r="K498" s="510">
        <v>1800000</v>
      </c>
      <c r="L498" s="339">
        <v>0.05</v>
      </c>
      <c r="M498" s="510">
        <f t="shared" si="22"/>
        <v>90000</v>
      </c>
    </row>
    <row r="499" spans="1:13" ht="15" hidden="1">
      <c r="A499" s="982"/>
      <c r="B499" s="528"/>
      <c r="C499" s="337"/>
      <c r="D499" s="247"/>
      <c r="E499" s="510">
        <f>SUM(E498)</f>
        <v>0</v>
      </c>
      <c r="F499" s="339"/>
      <c r="G499" s="338"/>
      <c r="H499" s="340"/>
      <c r="I499" s="162">
        <v>14144</v>
      </c>
      <c r="J499" s="247" t="s">
        <v>323</v>
      </c>
      <c r="K499" s="510">
        <v>1900000</v>
      </c>
      <c r="L499" s="339">
        <v>0.05</v>
      </c>
      <c r="M499" s="510">
        <f t="shared" si="22"/>
        <v>95000</v>
      </c>
    </row>
    <row r="500" spans="1:13" ht="15" hidden="1">
      <c r="A500" s="982"/>
      <c r="B500" s="528"/>
      <c r="C500" s="337"/>
      <c r="D500" s="247"/>
      <c r="E500" s="510">
        <v>1700000</v>
      </c>
      <c r="F500" s="339"/>
      <c r="G500" s="338"/>
      <c r="H500" s="340"/>
      <c r="I500" s="663">
        <v>14261</v>
      </c>
      <c r="J500" s="247" t="s">
        <v>367</v>
      </c>
      <c r="K500" s="510">
        <v>1200000</v>
      </c>
      <c r="L500" s="339">
        <v>0.05</v>
      </c>
      <c r="M500" s="510">
        <f t="shared" si="22"/>
        <v>60000</v>
      </c>
    </row>
    <row r="501" spans="1:13" ht="21.75" hidden="1" customHeight="1">
      <c r="A501" s="657"/>
      <c r="B501" s="528"/>
      <c r="C501" s="337"/>
      <c r="D501" s="247"/>
      <c r="E501" s="510"/>
      <c r="F501" s="339"/>
      <c r="G501" s="338"/>
      <c r="H501" s="340"/>
      <c r="I501" s="532">
        <v>14275</v>
      </c>
      <c r="J501" s="247" t="s">
        <v>342</v>
      </c>
      <c r="K501" s="510">
        <v>1900000</v>
      </c>
      <c r="L501" s="339">
        <v>0.05</v>
      </c>
      <c r="M501" s="510">
        <f t="shared" si="22"/>
        <v>95000</v>
      </c>
    </row>
    <row r="502" spans="1:13" ht="21.75" hidden="1" customHeight="1">
      <c r="A502" s="657"/>
      <c r="B502" s="528"/>
      <c r="C502" s="337"/>
      <c r="D502" s="247"/>
      <c r="E502" s="510"/>
      <c r="F502" s="339"/>
      <c r="G502" s="338"/>
      <c r="H502" s="340"/>
      <c r="I502" s="532"/>
      <c r="J502" s="247" t="s">
        <v>366</v>
      </c>
      <c r="K502" s="510">
        <v>1700000</v>
      </c>
      <c r="L502" s="339">
        <v>0.05</v>
      </c>
      <c r="M502" s="510">
        <f t="shared" si="22"/>
        <v>85000</v>
      </c>
    </row>
    <row r="503" spans="1:13" ht="21.75" hidden="1" customHeight="1">
      <c r="A503" s="657"/>
      <c r="B503" s="528"/>
      <c r="C503" s="337"/>
      <c r="D503" s="247"/>
      <c r="E503" s="510"/>
      <c r="F503" s="339"/>
      <c r="G503" s="338"/>
      <c r="H503" s="340"/>
      <c r="I503" s="532"/>
      <c r="J503" s="677"/>
      <c r="K503" s="247"/>
      <c r="L503" s="510"/>
      <c r="M503" s="247"/>
    </row>
    <row r="504" spans="1:13" ht="21.75" hidden="1" customHeight="1">
      <c r="A504" s="676"/>
      <c r="B504" s="678"/>
      <c r="C504" s="610"/>
      <c r="D504" s="351"/>
      <c r="E504" s="679"/>
      <c r="F504" s="680"/>
      <c r="G504" s="681"/>
      <c r="H504" s="651"/>
      <c r="I504" s="661"/>
      <c r="J504" s="675"/>
      <c r="K504" s="351"/>
      <c r="L504" s="679"/>
      <c r="M504" s="351"/>
    </row>
    <row r="505" spans="1:13" ht="21.75" hidden="1" customHeight="1">
      <c r="A505" s="676"/>
      <c r="B505" s="603"/>
      <c r="C505" s="605"/>
      <c r="D505" s="247"/>
      <c r="E505" s="510"/>
      <c r="F505" s="339"/>
      <c r="G505" s="338"/>
      <c r="H505" s="340"/>
      <c r="I505" s="663"/>
      <c r="J505" s="247"/>
      <c r="K505" s="247"/>
      <c r="L505" s="407"/>
      <c r="M505" s="247"/>
    </row>
    <row r="506" spans="1:13" hidden="1"/>
    <row r="507" spans="1:13" ht="18" hidden="1">
      <c r="A507" s="1045"/>
      <c r="B507" s="1057" t="s">
        <v>50</v>
      </c>
      <c r="C507" s="992"/>
      <c r="D507" s="992"/>
      <c r="E507" s="672">
        <f>E500+E486+E472+E456</f>
        <v>66250000</v>
      </c>
    </row>
    <row r="508" spans="1:13" ht="18" hidden="1">
      <c r="A508" s="1045"/>
      <c r="B508" s="1058" t="s">
        <v>51</v>
      </c>
      <c r="C508" s="993"/>
      <c r="D508" s="993"/>
      <c r="E508" s="416"/>
    </row>
    <row r="509" spans="1:13" ht="18" hidden="1">
      <c r="A509" s="1045"/>
      <c r="B509" s="1059" t="s">
        <v>52</v>
      </c>
      <c r="C509" s="1060"/>
      <c r="D509" s="1060"/>
      <c r="E509" s="450"/>
    </row>
    <row r="510" spans="1:13" ht="18" hidden="1">
      <c r="A510" s="52"/>
      <c r="B510" s="1061" t="s">
        <v>32</v>
      </c>
      <c r="C510" s="1062"/>
      <c r="D510" s="1062"/>
      <c r="E510" s="147">
        <f>SUM(E507:E509)</f>
        <v>66250000</v>
      </c>
    </row>
    <row r="511" spans="1:13" ht="18" hidden="1">
      <c r="A511" s="31"/>
      <c r="B511" s="142"/>
      <c r="C511" s="142"/>
      <c r="D511" s="142"/>
      <c r="E511" s="684"/>
    </row>
    <row r="512" spans="1:13" ht="18" hidden="1">
      <c r="A512" s="31"/>
      <c r="B512" s="142"/>
      <c r="C512" s="142"/>
      <c r="D512" s="142"/>
      <c r="E512" s="684"/>
    </row>
    <row r="513" spans="1:14" hidden="1">
      <c r="A513" s="31"/>
      <c r="B513" s="31"/>
      <c r="C513" s="31"/>
      <c r="D513" s="31"/>
      <c r="E513" s="31"/>
    </row>
    <row r="514" spans="1:14" ht="31.5">
      <c r="A514" s="987" t="s">
        <v>368</v>
      </c>
      <c r="B514" s="987"/>
      <c r="C514" s="987"/>
      <c r="D514" s="987"/>
      <c r="E514" s="987"/>
      <c r="F514" s="987"/>
      <c r="G514" s="987"/>
      <c r="H514" s="987"/>
      <c r="I514" s="987"/>
      <c r="J514" s="987"/>
      <c r="K514" s="987"/>
      <c r="L514" s="987"/>
      <c r="M514" s="987"/>
    </row>
    <row r="515" spans="1:14" ht="18" hidden="1">
      <c r="A515" s="983" t="s">
        <v>369</v>
      </c>
      <c r="B515" s="983"/>
      <c r="C515" s="983"/>
      <c r="D515" s="983"/>
      <c r="E515" s="984"/>
      <c r="F515" s="984"/>
      <c r="G515" s="984"/>
      <c r="H515" s="984"/>
      <c r="I515" s="985"/>
      <c r="J515" s="985"/>
      <c r="K515" s="985"/>
      <c r="L515" s="985"/>
      <c r="M515" s="985"/>
    </row>
    <row r="516" spans="1:14" ht="18" hidden="1">
      <c r="A516" s="102" t="s">
        <v>2</v>
      </c>
      <c r="B516" s="102" t="s">
        <v>3</v>
      </c>
      <c r="C516" s="102" t="s">
        <v>4</v>
      </c>
      <c r="D516" s="102" t="s">
        <v>5</v>
      </c>
      <c r="E516" s="103" t="s">
        <v>6</v>
      </c>
      <c r="F516" s="103" t="s">
        <v>7</v>
      </c>
      <c r="G516" s="103" t="s">
        <v>8</v>
      </c>
      <c r="H516" s="103" t="s">
        <v>9</v>
      </c>
      <c r="I516" s="103" t="s">
        <v>3</v>
      </c>
      <c r="J516" s="103" t="s">
        <v>5</v>
      </c>
      <c r="K516" s="104" t="s">
        <v>10</v>
      </c>
      <c r="L516" s="105" t="s">
        <v>7</v>
      </c>
      <c r="M516" s="105" t="s">
        <v>11</v>
      </c>
    </row>
    <row r="517" spans="1:14" ht="15" hidden="1">
      <c r="A517" s="986" t="s">
        <v>370</v>
      </c>
      <c r="B517" s="663">
        <v>14498</v>
      </c>
      <c r="C517" s="337">
        <v>0.1</v>
      </c>
      <c r="D517" s="247" t="s">
        <v>371</v>
      </c>
      <c r="E517" s="510">
        <v>2000000</v>
      </c>
      <c r="F517" s="345">
        <v>0.12</v>
      </c>
      <c r="G517" s="431">
        <f t="shared" ref="G517" si="23">E517*F517</f>
        <v>240000</v>
      </c>
      <c r="H517" s="696" t="s">
        <v>372</v>
      </c>
      <c r="I517" s="663">
        <v>14356</v>
      </c>
      <c r="J517" s="248" t="s">
        <v>373</v>
      </c>
      <c r="K517" s="510">
        <v>2300000</v>
      </c>
      <c r="L517" s="345">
        <v>0.05</v>
      </c>
      <c r="M517" s="431">
        <f>K517*L517</f>
        <v>115000</v>
      </c>
      <c r="N517" s="338"/>
    </row>
    <row r="518" spans="1:14" ht="15" hidden="1">
      <c r="A518" s="986"/>
      <c r="B518" s="663">
        <v>14473</v>
      </c>
      <c r="C518" s="337">
        <v>0.1</v>
      </c>
      <c r="D518" s="247" t="s">
        <v>374</v>
      </c>
      <c r="E518" s="510">
        <v>1800000</v>
      </c>
      <c r="F518" s="345">
        <v>0.06</v>
      </c>
      <c r="G518" s="431">
        <f t="shared" ref="G518:G522" si="24">E518*F518</f>
        <v>108000</v>
      </c>
      <c r="H518" s="696" t="s">
        <v>49</v>
      </c>
      <c r="I518" s="663">
        <v>14581</v>
      </c>
      <c r="J518" s="247" t="s">
        <v>375</v>
      </c>
      <c r="K518" s="510">
        <v>1100000</v>
      </c>
      <c r="L518" s="345">
        <v>0.05</v>
      </c>
      <c r="M518" s="431">
        <f t="shared" ref="M518:M521" si="25">K518*L518</f>
        <v>55000</v>
      </c>
      <c r="N518" s="352"/>
    </row>
    <row r="519" spans="1:14" ht="15" hidden="1">
      <c r="A519" s="986"/>
      <c r="B519" s="663">
        <v>14513</v>
      </c>
      <c r="C519" s="337">
        <v>0.1</v>
      </c>
      <c r="D519" s="247" t="s">
        <v>376</v>
      </c>
      <c r="E519" s="510">
        <v>2500000</v>
      </c>
      <c r="F519" s="345">
        <v>7.0000000000000007E-2</v>
      </c>
      <c r="G519" s="431">
        <f t="shared" si="24"/>
        <v>175000.00000000003</v>
      </c>
      <c r="H519" s="696" t="s">
        <v>153</v>
      </c>
      <c r="I519" s="663">
        <v>14486</v>
      </c>
      <c r="J519" s="114" t="s">
        <v>377</v>
      </c>
      <c r="K519" s="510">
        <v>2300000</v>
      </c>
      <c r="L519" s="345">
        <v>0.05</v>
      </c>
      <c r="M519" s="431">
        <f t="shared" si="25"/>
        <v>115000</v>
      </c>
      <c r="N519" s="352"/>
    </row>
    <row r="520" spans="1:14" ht="15" hidden="1">
      <c r="A520" s="986"/>
      <c r="B520" s="663">
        <v>14483</v>
      </c>
      <c r="C520" s="337">
        <v>0.1</v>
      </c>
      <c r="D520" s="114" t="s">
        <v>378</v>
      </c>
      <c r="E520" s="510">
        <v>1100000</v>
      </c>
      <c r="F520" s="345">
        <v>0.06</v>
      </c>
      <c r="G520" s="431">
        <f t="shared" si="24"/>
        <v>66000</v>
      </c>
      <c r="H520" s="696" t="s">
        <v>49</v>
      </c>
      <c r="I520" s="663">
        <v>14588</v>
      </c>
      <c r="J520" s="114" t="s">
        <v>379</v>
      </c>
      <c r="K520" s="510">
        <v>1450000</v>
      </c>
      <c r="L520" s="345">
        <v>0.05</v>
      </c>
      <c r="M520" s="431">
        <f t="shared" si="25"/>
        <v>72500</v>
      </c>
    </row>
    <row r="521" spans="1:14" ht="15" hidden="1">
      <c r="A521" s="986"/>
      <c r="B521" s="663">
        <v>14480</v>
      </c>
      <c r="C521" s="343">
        <v>0.08</v>
      </c>
      <c r="D521" s="114" t="s">
        <v>380</v>
      </c>
      <c r="E521" s="510">
        <v>2000000</v>
      </c>
      <c r="F521" s="345">
        <v>0.1</v>
      </c>
      <c r="G521" s="431">
        <f t="shared" si="24"/>
        <v>200000</v>
      </c>
      <c r="H521" s="696" t="s">
        <v>372</v>
      </c>
      <c r="I521" s="663">
        <v>14548</v>
      </c>
      <c r="J521" s="114" t="s">
        <v>381</v>
      </c>
      <c r="K521" s="510">
        <v>3000000</v>
      </c>
      <c r="L521" s="345">
        <v>0.05</v>
      </c>
      <c r="M521" s="431">
        <f t="shared" si="25"/>
        <v>150000</v>
      </c>
    </row>
    <row r="522" spans="1:14" ht="15" hidden="1">
      <c r="A522" s="986"/>
      <c r="B522" s="665">
        <v>14512</v>
      </c>
      <c r="C522" s="531">
        <v>0.1</v>
      </c>
      <c r="D522" s="424" t="s">
        <v>382</v>
      </c>
      <c r="E522" s="682">
        <v>3400000</v>
      </c>
      <c r="F522" s="522">
        <v>0.12</v>
      </c>
      <c r="G522" s="431">
        <f t="shared" si="24"/>
        <v>408000</v>
      </c>
      <c r="H522" s="696" t="s">
        <v>372</v>
      </c>
      <c r="I522" s="392"/>
      <c r="J522" s="247"/>
      <c r="K522" s="342"/>
      <c r="L522" s="407"/>
      <c r="M522" s="342">
        <f>SUM(M517:M521)</f>
        <v>507500</v>
      </c>
    </row>
    <row r="523" spans="1:14" ht="15.75" hidden="1">
      <c r="A523" s="986"/>
      <c r="B523" s="52"/>
      <c r="C523" s="52"/>
      <c r="D523" s="52"/>
      <c r="E523" s="556">
        <f>SUM(E517:E522)</f>
        <v>12800000</v>
      </c>
      <c r="F523" s="52"/>
      <c r="G523" s="556">
        <f>SUM(G517:G522)</f>
        <v>1197000</v>
      </c>
      <c r="H523" s="656"/>
      <c r="I523" s="392"/>
      <c r="J523" s="247"/>
      <c r="K523" s="342"/>
      <c r="L523" s="407"/>
      <c r="M523" s="700">
        <f>G523+M522</f>
        <v>1704500</v>
      </c>
    </row>
    <row r="524" spans="1:14" ht="18" hidden="1">
      <c r="A524" s="983" t="s">
        <v>383</v>
      </c>
      <c r="B524" s="989"/>
      <c r="C524" s="989"/>
      <c r="D524" s="989"/>
      <c r="E524" s="990"/>
      <c r="F524" s="990"/>
      <c r="G524" s="990"/>
      <c r="H524" s="984"/>
      <c r="I524" s="985"/>
      <c r="J524" s="985"/>
      <c r="K524" s="985"/>
      <c r="L524" s="985"/>
      <c r="M524" s="985"/>
    </row>
    <row r="525" spans="1:14" ht="18" hidden="1">
      <c r="A525" s="102" t="s">
        <v>2</v>
      </c>
      <c r="B525" s="102" t="s">
        <v>3</v>
      </c>
      <c r="C525" s="102" t="s">
        <v>4</v>
      </c>
      <c r="D525" s="102" t="s">
        <v>5</v>
      </c>
      <c r="E525" s="103" t="s">
        <v>6</v>
      </c>
      <c r="F525" s="103" t="s">
        <v>7</v>
      </c>
      <c r="G525" s="103" t="s">
        <v>8</v>
      </c>
      <c r="H525" s="103" t="s">
        <v>9</v>
      </c>
      <c r="I525" s="103" t="s">
        <v>3</v>
      </c>
      <c r="J525" s="103" t="s">
        <v>5</v>
      </c>
      <c r="K525" s="104" t="s">
        <v>10</v>
      </c>
      <c r="L525" s="105" t="s">
        <v>7</v>
      </c>
      <c r="M525" s="105" t="s">
        <v>11</v>
      </c>
    </row>
    <row r="526" spans="1:14" ht="15" hidden="1">
      <c r="A526" s="982" t="s">
        <v>61</v>
      </c>
      <c r="B526" s="532">
        <v>14360</v>
      </c>
      <c r="C526" s="343">
        <v>0.08</v>
      </c>
      <c r="D526" s="247" t="s">
        <v>384</v>
      </c>
      <c r="E526" s="510">
        <v>1800000</v>
      </c>
      <c r="F526" s="310">
        <v>0.08</v>
      </c>
      <c r="G526" s="431">
        <f>E526*F526</f>
        <v>144000</v>
      </c>
      <c r="H526" s="340" t="s">
        <v>153</v>
      </c>
      <c r="I526" s="663">
        <v>14513</v>
      </c>
      <c r="J526" s="247" t="s">
        <v>376</v>
      </c>
      <c r="K526" s="510">
        <v>2500000</v>
      </c>
      <c r="L526" s="339">
        <v>0.05</v>
      </c>
      <c r="M526" s="510">
        <f>K526*L526</f>
        <v>125000</v>
      </c>
    </row>
    <row r="527" spans="1:14" ht="15" hidden="1">
      <c r="A527" s="982"/>
      <c r="B527" s="532">
        <v>14548</v>
      </c>
      <c r="C527" s="337">
        <v>0.1</v>
      </c>
      <c r="D527" s="114" t="s">
        <v>381</v>
      </c>
      <c r="E527" s="510">
        <v>3000000</v>
      </c>
      <c r="F527" s="345">
        <v>0.05</v>
      </c>
      <c r="G527" s="431">
        <f t="shared" ref="G527:G536" si="26">E527*F527</f>
        <v>150000</v>
      </c>
      <c r="H527" s="340" t="s">
        <v>372</v>
      </c>
      <c r="I527" s="247"/>
      <c r="J527" s="114"/>
      <c r="K527" s="510"/>
      <c r="L527" s="339"/>
      <c r="M527" s="510">
        <f t="shared" ref="M527:M528" si="27">K527*L527</f>
        <v>0</v>
      </c>
    </row>
    <row r="528" spans="1:14" ht="15" hidden="1">
      <c r="A528" s="982"/>
      <c r="B528" s="663">
        <v>14588</v>
      </c>
      <c r="C528" s="337">
        <v>0.1</v>
      </c>
      <c r="D528" s="114" t="s">
        <v>379</v>
      </c>
      <c r="E528" s="510">
        <v>1450000</v>
      </c>
      <c r="F528" s="345">
        <v>0.05</v>
      </c>
      <c r="G528" s="431">
        <f t="shared" si="26"/>
        <v>72500</v>
      </c>
      <c r="H528" s="340" t="s">
        <v>372</v>
      </c>
      <c r="I528" s="247"/>
      <c r="J528" s="114"/>
      <c r="K528" s="510"/>
      <c r="L528" s="339"/>
      <c r="M528" s="510">
        <f t="shared" si="27"/>
        <v>0</v>
      </c>
    </row>
    <row r="529" spans="1:13" ht="15" hidden="1">
      <c r="A529" s="982"/>
      <c r="B529" s="663">
        <v>14356</v>
      </c>
      <c r="C529" s="337">
        <v>0.1</v>
      </c>
      <c r="D529" s="247" t="s">
        <v>373</v>
      </c>
      <c r="E529" s="510">
        <v>2300000</v>
      </c>
      <c r="F529" s="345">
        <v>0.05</v>
      </c>
      <c r="G529" s="431">
        <f t="shared" si="26"/>
        <v>115000</v>
      </c>
      <c r="H529" s="340" t="s">
        <v>372</v>
      </c>
      <c r="I529" s="247"/>
      <c r="J529" s="114"/>
      <c r="K529" s="510"/>
      <c r="L529" s="339"/>
      <c r="M529" s="510"/>
    </row>
    <row r="530" spans="1:13" ht="15" hidden="1">
      <c r="A530" s="982"/>
      <c r="B530" s="663">
        <v>14376</v>
      </c>
      <c r="C530" s="337">
        <v>0.1</v>
      </c>
      <c r="D530" s="247" t="s">
        <v>385</v>
      </c>
      <c r="E530" s="510">
        <v>1850000</v>
      </c>
      <c r="F530" s="345">
        <v>0.06</v>
      </c>
      <c r="G530" s="431">
        <f t="shared" si="26"/>
        <v>111000</v>
      </c>
      <c r="H530" s="340" t="s">
        <v>49</v>
      </c>
      <c r="I530" s="247"/>
      <c r="J530" s="114"/>
      <c r="K530" s="510"/>
      <c r="L530" s="339"/>
      <c r="M530" s="510"/>
    </row>
    <row r="531" spans="1:13" ht="15" hidden="1">
      <c r="A531" s="982"/>
      <c r="B531" s="663">
        <v>14343</v>
      </c>
      <c r="C531" s="337">
        <v>0.1</v>
      </c>
      <c r="D531" s="247" t="s">
        <v>386</v>
      </c>
      <c r="E531" s="510">
        <v>1700000</v>
      </c>
      <c r="F531" s="345">
        <v>0.06</v>
      </c>
      <c r="G531" s="431">
        <f t="shared" si="26"/>
        <v>102000</v>
      </c>
      <c r="H531" s="340" t="s">
        <v>49</v>
      </c>
      <c r="I531" s="532"/>
      <c r="J531" s="336"/>
      <c r="K531" s="114"/>
      <c r="L531" s="339"/>
      <c r="M531" s="510"/>
    </row>
    <row r="532" spans="1:13" ht="15" hidden="1">
      <c r="A532" s="982"/>
      <c r="B532" s="663">
        <v>14540</v>
      </c>
      <c r="C532" s="337">
        <v>0.1</v>
      </c>
      <c r="D532" s="114" t="s">
        <v>387</v>
      </c>
      <c r="E532" s="510">
        <v>1100000</v>
      </c>
      <c r="F532" s="345">
        <v>0.05</v>
      </c>
      <c r="G532" s="431">
        <f t="shared" si="26"/>
        <v>55000</v>
      </c>
      <c r="H532" s="608" t="s">
        <v>388</v>
      </c>
      <c r="I532" s="528"/>
      <c r="J532" s="336"/>
      <c r="K532" s="510"/>
      <c r="L532" s="339"/>
      <c r="M532" s="510"/>
    </row>
    <row r="533" spans="1:13" ht="15" hidden="1">
      <c r="A533" s="982"/>
      <c r="B533" s="663">
        <v>14341</v>
      </c>
      <c r="C533" s="337">
        <v>0.1</v>
      </c>
      <c r="D533" s="247" t="s">
        <v>389</v>
      </c>
      <c r="E533" s="510">
        <v>1900000</v>
      </c>
      <c r="F533" s="345">
        <v>0.1</v>
      </c>
      <c r="G533" s="431">
        <f t="shared" si="26"/>
        <v>190000</v>
      </c>
      <c r="H533" s="340" t="s">
        <v>153</v>
      </c>
      <c r="I533" s="392"/>
      <c r="J533" s="247"/>
      <c r="K533" s="342"/>
      <c r="L533" s="407"/>
      <c r="M533" s="510"/>
    </row>
    <row r="534" spans="1:13" ht="15" hidden="1">
      <c r="A534" s="982"/>
      <c r="B534" s="663">
        <v>14431</v>
      </c>
      <c r="C534" s="337">
        <v>0.1</v>
      </c>
      <c r="D534" s="247" t="s">
        <v>390</v>
      </c>
      <c r="E534" s="510">
        <v>1150000</v>
      </c>
      <c r="F534" s="345">
        <v>0.1</v>
      </c>
      <c r="G534" s="431">
        <f t="shared" si="26"/>
        <v>115000</v>
      </c>
      <c r="H534" s="340" t="s">
        <v>153</v>
      </c>
      <c r="I534" s="392"/>
      <c r="J534" s="247"/>
      <c r="K534" s="342"/>
      <c r="L534" s="407"/>
      <c r="M534" s="510"/>
    </row>
    <row r="535" spans="1:13" ht="15" hidden="1">
      <c r="A535" s="986"/>
      <c r="B535" s="663">
        <v>14434</v>
      </c>
      <c r="C535" s="337">
        <v>0.1</v>
      </c>
      <c r="D535" s="247" t="s">
        <v>391</v>
      </c>
      <c r="E535" s="510">
        <v>1400000</v>
      </c>
      <c r="F535" s="345">
        <v>0.05</v>
      </c>
      <c r="G535" s="431">
        <f t="shared" si="26"/>
        <v>70000</v>
      </c>
      <c r="H535" s="340" t="s">
        <v>388</v>
      </c>
      <c r="I535" s="392"/>
      <c r="J535" s="247"/>
      <c r="K535" s="342"/>
      <c r="L535" s="407"/>
      <c r="M535" s="510">
        <f>SUM(M526:M534)</f>
        <v>125000</v>
      </c>
    </row>
    <row r="536" spans="1:13" ht="15" hidden="1">
      <c r="A536" s="986"/>
      <c r="B536" s="663">
        <v>14457</v>
      </c>
      <c r="C536" s="343">
        <v>0.08</v>
      </c>
      <c r="D536" s="247" t="s">
        <v>392</v>
      </c>
      <c r="E536" s="510">
        <v>2000000</v>
      </c>
      <c r="F536" s="310">
        <v>0.08</v>
      </c>
      <c r="G536" s="431">
        <f t="shared" si="26"/>
        <v>160000</v>
      </c>
      <c r="H536" s="340" t="s">
        <v>153</v>
      </c>
      <c r="I536" s="392"/>
      <c r="J536" s="247"/>
      <c r="K536" s="342"/>
      <c r="L536" s="407"/>
      <c r="M536" s="510"/>
    </row>
    <row r="537" spans="1:13" ht="15.75" hidden="1">
      <c r="A537" s="986"/>
      <c r="B537" s="114"/>
      <c r="C537" s="114"/>
      <c r="D537" s="114"/>
      <c r="E537" s="556">
        <f>SUM(E526:E536)</f>
        <v>19650000</v>
      </c>
      <c r="F537" s="627"/>
      <c r="G537" s="556">
        <f>SUM(G526:G536)</f>
        <v>1284500</v>
      </c>
      <c r="H537" s="340"/>
      <c r="I537" s="392"/>
      <c r="J537" s="247"/>
      <c r="K537" s="342"/>
      <c r="L537" s="407"/>
      <c r="M537" s="700">
        <f>G537+M535</f>
        <v>1409500</v>
      </c>
    </row>
    <row r="538" spans="1:13" ht="18" hidden="1">
      <c r="A538" s="983" t="s">
        <v>318</v>
      </c>
      <c r="B538" s="989"/>
      <c r="C538" s="989"/>
      <c r="D538" s="989"/>
      <c r="E538" s="990"/>
      <c r="F538" s="984"/>
      <c r="G538" s="984"/>
      <c r="H538" s="984"/>
      <c r="I538" s="985"/>
      <c r="J538" s="985"/>
      <c r="K538" s="985"/>
      <c r="L538" s="985"/>
      <c r="M538" s="985"/>
    </row>
    <row r="539" spans="1:13" ht="18" hidden="1">
      <c r="A539" s="102" t="s">
        <v>2</v>
      </c>
      <c r="B539" s="102" t="s">
        <v>3</v>
      </c>
      <c r="C539" s="102" t="s">
        <v>4</v>
      </c>
      <c r="D539" s="102" t="s">
        <v>5</v>
      </c>
      <c r="E539" s="103" t="s">
        <v>6</v>
      </c>
      <c r="F539" s="103" t="s">
        <v>7</v>
      </c>
      <c r="G539" s="103" t="s">
        <v>8</v>
      </c>
      <c r="H539" s="103" t="s">
        <v>9</v>
      </c>
      <c r="I539" s="103" t="s">
        <v>3</v>
      </c>
      <c r="J539" s="103" t="s">
        <v>5</v>
      </c>
      <c r="K539" s="104" t="s">
        <v>10</v>
      </c>
      <c r="L539" s="105" t="s">
        <v>7</v>
      </c>
      <c r="M539" s="105" t="s">
        <v>11</v>
      </c>
    </row>
    <row r="540" spans="1:13" ht="15" hidden="1">
      <c r="A540" s="986" t="s">
        <v>61</v>
      </c>
      <c r="B540" s="664">
        <v>14545</v>
      </c>
      <c r="C540" s="337">
        <v>0.1</v>
      </c>
      <c r="D540" s="114" t="s">
        <v>393</v>
      </c>
      <c r="E540" s="510">
        <v>2000000</v>
      </c>
      <c r="F540" s="345">
        <v>0.1</v>
      </c>
      <c r="G540" s="431">
        <f>E540*F540</f>
        <v>200000</v>
      </c>
      <c r="H540" s="656" t="s">
        <v>388</v>
      </c>
      <c r="I540" s="663">
        <v>14434</v>
      </c>
      <c r="J540" s="247" t="s">
        <v>391</v>
      </c>
      <c r="K540" s="510">
        <v>1400000</v>
      </c>
      <c r="L540" s="339">
        <v>0.05</v>
      </c>
      <c r="M540" s="510">
        <f>K540*L540</f>
        <v>70000</v>
      </c>
    </row>
    <row r="541" spans="1:13" ht="15" hidden="1">
      <c r="A541" s="986"/>
      <c r="B541" s="664" t="s">
        <v>394</v>
      </c>
      <c r="C541" s="337">
        <v>0.1</v>
      </c>
      <c r="D541" s="247" t="s">
        <v>395</v>
      </c>
      <c r="E541" s="510">
        <v>2000000</v>
      </c>
      <c r="F541" s="345">
        <v>0.1</v>
      </c>
      <c r="G541" s="431">
        <f t="shared" ref="G541:G551" si="28">E541*F541</f>
        <v>200000</v>
      </c>
      <c r="H541" s="656" t="s">
        <v>388</v>
      </c>
      <c r="I541" s="663">
        <v>14540</v>
      </c>
      <c r="J541" s="114" t="s">
        <v>387</v>
      </c>
      <c r="K541" s="510">
        <v>1100000</v>
      </c>
      <c r="L541" s="339">
        <v>0.05</v>
      </c>
      <c r="M541" s="510">
        <f>K541*L541</f>
        <v>55000</v>
      </c>
    </row>
    <row r="542" spans="1:13" ht="15" hidden="1">
      <c r="A542" s="986"/>
      <c r="B542" s="663">
        <v>14425</v>
      </c>
      <c r="C542" s="337">
        <v>0.1</v>
      </c>
      <c r="D542" s="114" t="s">
        <v>396</v>
      </c>
      <c r="E542" s="510">
        <v>1900000</v>
      </c>
      <c r="F542" s="345">
        <v>0.1</v>
      </c>
      <c r="G542" s="431">
        <f t="shared" si="28"/>
        <v>190000</v>
      </c>
      <c r="H542" s="656" t="s">
        <v>388</v>
      </c>
      <c r="I542" s="663"/>
      <c r="J542" s="247"/>
      <c r="K542" s="52"/>
      <c r="L542" s="52"/>
      <c r="M542" s="52"/>
    </row>
    <row r="543" spans="1:13" ht="15" hidden="1">
      <c r="A543" s="986"/>
      <c r="B543" s="663">
        <v>14408</v>
      </c>
      <c r="C543" s="337">
        <v>0.1</v>
      </c>
      <c r="D543" s="247" t="s">
        <v>397</v>
      </c>
      <c r="E543" s="510">
        <v>2000000</v>
      </c>
      <c r="F543" s="345">
        <v>0.1</v>
      </c>
      <c r="G543" s="431">
        <f t="shared" si="28"/>
        <v>200000</v>
      </c>
      <c r="H543" s="656" t="s">
        <v>388</v>
      </c>
      <c r="I543" s="52"/>
      <c r="J543" s="52"/>
      <c r="K543" s="52"/>
      <c r="L543" s="52"/>
      <c r="M543" s="52"/>
    </row>
    <row r="544" spans="1:13" ht="15" hidden="1">
      <c r="A544" s="986"/>
      <c r="B544" s="663">
        <v>14476</v>
      </c>
      <c r="C544" s="337">
        <v>0.1</v>
      </c>
      <c r="D544" s="114" t="s">
        <v>398</v>
      </c>
      <c r="E544" s="510">
        <v>1800000</v>
      </c>
      <c r="F544" s="345">
        <v>0.1</v>
      </c>
      <c r="G544" s="431">
        <f t="shared" si="28"/>
        <v>180000</v>
      </c>
      <c r="H544" s="656" t="s">
        <v>388</v>
      </c>
      <c r="I544" s="52"/>
      <c r="J544" s="52"/>
      <c r="K544" s="52"/>
      <c r="L544" s="52"/>
      <c r="M544" s="52"/>
    </row>
    <row r="545" spans="1:13" ht="15" hidden="1">
      <c r="A545" s="986"/>
      <c r="B545" s="663">
        <v>14529</v>
      </c>
      <c r="C545" s="337">
        <v>0.1</v>
      </c>
      <c r="D545" s="114" t="s">
        <v>399</v>
      </c>
      <c r="E545" s="510">
        <v>1950000</v>
      </c>
      <c r="F545" s="345">
        <v>0.1</v>
      </c>
      <c r="G545" s="431">
        <f t="shared" si="28"/>
        <v>195000</v>
      </c>
      <c r="H545" s="656" t="s">
        <v>388</v>
      </c>
      <c r="I545" s="52"/>
      <c r="J545" s="52"/>
      <c r="K545" s="52"/>
      <c r="L545" s="52"/>
      <c r="M545" s="697">
        <f>SUM(M540:M544)</f>
        <v>125000</v>
      </c>
    </row>
    <row r="546" spans="1:13" ht="15" hidden="1">
      <c r="A546" s="986"/>
      <c r="B546" s="663">
        <v>14395</v>
      </c>
      <c r="C546" s="337">
        <v>0.1</v>
      </c>
      <c r="D546" s="247" t="s">
        <v>400</v>
      </c>
      <c r="E546" s="510">
        <v>1350000</v>
      </c>
      <c r="F546" s="345">
        <v>0.05</v>
      </c>
      <c r="G546" s="431">
        <f t="shared" si="28"/>
        <v>67500</v>
      </c>
      <c r="H546" s="285" t="s">
        <v>401</v>
      </c>
      <c r="I546" s="52"/>
      <c r="J546" s="52"/>
      <c r="K546" s="52"/>
      <c r="L546" s="52"/>
      <c r="M546" s="52"/>
    </row>
    <row r="547" spans="1:13" ht="15" hidden="1">
      <c r="A547" s="986"/>
      <c r="B547" s="663">
        <v>14471</v>
      </c>
      <c r="C547" s="337">
        <v>0.1</v>
      </c>
      <c r="D547" s="247" t="s">
        <v>402</v>
      </c>
      <c r="E547" s="510">
        <v>2300000</v>
      </c>
      <c r="F547" s="345">
        <v>0.06</v>
      </c>
      <c r="G547" s="431">
        <f t="shared" si="28"/>
        <v>138000</v>
      </c>
      <c r="H547" s="52" t="s">
        <v>49</v>
      </c>
      <c r="I547" s="52"/>
      <c r="J547" s="52"/>
      <c r="K547" s="52"/>
      <c r="L547" s="52"/>
      <c r="M547" s="52"/>
    </row>
    <row r="548" spans="1:13" ht="15" hidden="1">
      <c r="A548" s="986"/>
      <c r="B548" s="663">
        <v>14486</v>
      </c>
      <c r="C548" s="337">
        <v>0.1</v>
      </c>
      <c r="D548" s="114" t="s">
        <v>377</v>
      </c>
      <c r="E548" s="510">
        <v>2300000</v>
      </c>
      <c r="F548" s="345">
        <v>0.05</v>
      </c>
      <c r="G548" s="431">
        <f t="shared" si="28"/>
        <v>115000</v>
      </c>
      <c r="H548" s="52" t="s">
        <v>372</v>
      </c>
      <c r="I548" s="52"/>
      <c r="J548" s="52"/>
      <c r="K548" s="52"/>
      <c r="L548" s="52"/>
      <c r="M548" s="52"/>
    </row>
    <row r="549" spans="1:13" ht="15" hidden="1">
      <c r="A549" s="986"/>
      <c r="B549" s="663">
        <v>14484</v>
      </c>
      <c r="C549" s="337">
        <v>0.1</v>
      </c>
      <c r="D549" s="114" t="s">
        <v>403</v>
      </c>
      <c r="E549" s="510">
        <v>1200000</v>
      </c>
      <c r="F549" s="345">
        <v>0.1</v>
      </c>
      <c r="G549" s="431">
        <f t="shared" si="28"/>
        <v>120000</v>
      </c>
      <c r="H549" s="52" t="s">
        <v>388</v>
      </c>
      <c r="I549" s="52"/>
      <c r="J549" s="52"/>
      <c r="K549" s="52"/>
      <c r="L549" s="52"/>
      <c r="M549" s="52"/>
    </row>
    <row r="550" spans="1:13" ht="15" hidden="1">
      <c r="A550" s="986"/>
      <c r="B550" s="663">
        <v>14537</v>
      </c>
      <c r="C550" s="337">
        <v>0.1</v>
      </c>
      <c r="D550" s="114" t="s">
        <v>404</v>
      </c>
      <c r="E550" s="510">
        <v>2000000</v>
      </c>
      <c r="F550" s="345">
        <v>0.1</v>
      </c>
      <c r="G550" s="431">
        <f t="shared" si="28"/>
        <v>200000</v>
      </c>
      <c r="H550" s="52" t="s">
        <v>388</v>
      </c>
      <c r="I550" s="52"/>
      <c r="J550" s="52"/>
      <c r="K550" s="52"/>
      <c r="L550" s="52"/>
      <c r="M550" s="52"/>
    </row>
    <row r="551" spans="1:13" ht="15" hidden="1">
      <c r="A551" s="986"/>
      <c r="B551" s="663">
        <v>14591</v>
      </c>
      <c r="C551" s="337">
        <v>0.1</v>
      </c>
      <c r="D551" s="247" t="s">
        <v>405</v>
      </c>
      <c r="E551" s="510">
        <v>1700000</v>
      </c>
      <c r="F551" s="345">
        <v>0.06</v>
      </c>
      <c r="G551" s="431">
        <f t="shared" si="28"/>
        <v>102000</v>
      </c>
      <c r="H551" s="52" t="s">
        <v>49</v>
      </c>
      <c r="I551" s="52"/>
      <c r="J551" s="52"/>
      <c r="K551" s="52"/>
      <c r="L551" s="52"/>
      <c r="M551" s="52"/>
    </row>
    <row r="552" spans="1:13" ht="14.25" hidden="1">
      <c r="A552" s="986"/>
      <c r="B552" s="663"/>
      <c r="C552" s="114"/>
      <c r="D552" s="114"/>
      <c r="E552" s="510"/>
      <c r="F552" s="114"/>
      <c r="G552" s="431"/>
      <c r="H552" s="52"/>
      <c r="I552" s="52"/>
      <c r="J552" s="52"/>
      <c r="K552" s="52"/>
      <c r="L552" s="52"/>
      <c r="M552" s="52"/>
    </row>
    <row r="553" spans="1:13" ht="15.75" hidden="1">
      <c r="A553" s="986"/>
      <c r="B553" s="114"/>
      <c r="C553" s="114"/>
      <c r="D553" s="114"/>
      <c r="E553" s="556">
        <f>SUM(E540:E552)</f>
        <v>22500000</v>
      </c>
      <c r="F553" s="114"/>
      <c r="G553" s="556">
        <f>SUM(G540:G552)</f>
        <v>1907500</v>
      </c>
      <c r="H553" s="52"/>
      <c r="I553" s="52"/>
      <c r="J553" s="52"/>
      <c r="K553" s="52"/>
      <c r="L553" s="52"/>
      <c r="M553" s="700">
        <f>G553+M545</f>
        <v>2032500</v>
      </c>
    </row>
    <row r="554" spans="1:13" ht="18" hidden="1">
      <c r="A554" s="983" t="s">
        <v>365</v>
      </c>
      <c r="B554" s="983"/>
      <c r="C554" s="983"/>
      <c r="D554" s="983"/>
      <c r="E554" s="984"/>
      <c r="F554" s="984"/>
      <c r="G554" s="984"/>
      <c r="H554" s="984"/>
      <c r="I554" s="985"/>
      <c r="J554" s="985"/>
      <c r="K554" s="985"/>
      <c r="L554" s="985"/>
      <c r="M554" s="985"/>
    </row>
    <row r="555" spans="1:13" ht="18" hidden="1">
      <c r="A555" s="102" t="s">
        <v>2</v>
      </c>
      <c r="B555" s="102" t="s">
        <v>3</v>
      </c>
      <c r="C555" s="102" t="s">
        <v>4</v>
      </c>
      <c r="D555" s="102" t="s">
        <v>5</v>
      </c>
      <c r="E555" s="103" t="s">
        <v>6</v>
      </c>
      <c r="F555" s="103" t="s">
        <v>7</v>
      </c>
      <c r="G555" s="103" t="s">
        <v>8</v>
      </c>
      <c r="H555" s="103" t="s">
        <v>9</v>
      </c>
      <c r="I555" s="103" t="s">
        <v>3</v>
      </c>
      <c r="J555" s="103" t="s">
        <v>5</v>
      </c>
      <c r="K555" s="104" t="s">
        <v>10</v>
      </c>
      <c r="L555" s="105" t="s">
        <v>7</v>
      </c>
      <c r="M555" s="105" t="s">
        <v>11</v>
      </c>
    </row>
    <row r="556" spans="1:13" ht="14.25" hidden="1">
      <c r="A556" s="986"/>
      <c r="B556" s="532" t="s">
        <v>406</v>
      </c>
      <c r="C556" s="337">
        <v>0.1</v>
      </c>
      <c r="D556" s="247" t="s">
        <v>407</v>
      </c>
      <c r="E556" s="510">
        <v>1800000</v>
      </c>
      <c r="F556" s="343">
        <v>0.1</v>
      </c>
      <c r="G556" s="431">
        <f>E556*F556</f>
        <v>180000</v>
      </c>
      <c r="H556" s="656" t="s">
        <v>49</v>
      </c>
      <c r="I556" s="663">
        <v>14376</v>
      </c>
      <c r="J556" s="247" t="s">
        <v>385</v>
      </c>
      <c r="K556" s="510"/>
      <c r="L556" s="339"/>
      <c r="M556" s="510"/>
    </row>
    <row r="557" spans="1:13" ht="14.25" hidden="1">
      <c r="A557" s="986"/>
      <c r="B557" s="663">
        <v>14440</v>
      </c>
      <c r="C557" s="337">
        <v>0.1</v>
      </c>
      <c r="D557" s="247" t="s">
        <v>408</v>
      </c>
      <c r="E557" s="510">
        <v>1600000</v>
      </c>
      <c r="F557" s="666">
        <v>0.1</v>
      </c>
      <c r="G557" s="432">
        <f t="shared" ref="G557:G558" si="29">E557*F557</f>
        <v>160000</v>
      </c>
      <c r="H557" s="708" t="s">
        <v>49</v>
      </c>
      <c r="I557" s="663">
        <v>14343</v>
      </c>
      <c r="J557" s="247" t="s">
        <v>386</v>
      </c>
      <c r="K557" s="52"/>
      <c r="L557" s="52"/>
      <c r="M557" s="52"/>
    </row>
    <row r="558" spans="1:13" ht="14.25" hidden="1">
      <c r="A558" s="986"/>
      <c r="B558" s="663">
        <v>14539</v>
      </c>
      <c r="C558" s="337">
        <v>0.1</v>
      </c>
      <c r="D558" s="247" t="s">
        <v>409</v>
      </c>
      <c r="E558" s="703">
        <v>1500000</v>
      </c>
      <c r="F558" s="343">
        <v>0.1</v>
      </c>
      <c r="G558" s="431">
        <f t="shared" si="29"/>
        <v>150000</v>
      </c>
      <c r="H558" s="340" t="s">
        <v>49</v>
      </c>
      <c r="I558" s="663">
        <v>14473</v>
      </c>
      <c r="J558" s="247" t="s">
        <v>374</v>
      </c>
      <c r="K558" s="52"/>
      <c r="L558" s="52"/>
      <c r="M558" s="52"/>
    </row>
    <row r="559" spans="1:13" ht="15" hidden="1">
      <c r="A559" s="986"/>
      <c r="B559" s="658" t="s">
        <v>410</v>
      </c>
      <c r="C559" s="229">
        <v>0.1</v>
      </c>
      <c r="D559" s="83" t="s">
        <v>411</v>
      </c>
      <c r="E559" s="704"/>
      <c r="F559" s="345"/>
      <c r="G559" s="52"/>
      <c r="H559" s="52"/>
      <c r="I559" s="663">
        <v>14483</v>
      </c>
      <c r="J559" s="114" t="s">
        <v>378</v>
      </c>
      <c r="K559" s="52"/>
      <c r="L559" s="52"/>
      <c r="M559" s="52"/>
    </row>
    <row r="560" spans="1:13" ht="14.25" hidden="1">
      <c r="A560" s="982"/>
      <c r="B560" s="461"/>
      <c r="C560" s="461"/>
      <c r="D560" s="461"/>
      <c r="E560" s="705"/>
      <c r="F560" s="114"/>
      <c r="G560" s="702"/>
      <c r="H560" s="52"/>
      <c r="I560" s="663">
        <v>14471</v>
      </c>
      <c r="J560" s="247" t="s">
        <v>402</v>
      </c>
      <c r="K560" s="52"/>
      <c r="L560" s="52"/>
      <c r="M560" s="52"/>
    </row>
    <row r="561" spans="1:13" hidden="1">
      <c r="A561" s="986"/>
      <c r="B561" s="52"/>
      <c r="C561" s="52"/>
      <c r="D561" s="52"/>
      <c r="E561" s="706"/>
      <c r="F561" s="52"/>
      <c r="G561" s="52"/>
      <c r="H561" s="52"/>
      <c r="I561" s="83"/>
      <c r="J561" s="247" t="s">
        <v>405</v>
      </c>
      <c r="K561" s="52"/>
      <c r="L561" s="52"/>
      <c r="M561" s="52"/>
    </row>
    <row r="562" spans="1:13" hidden="1">
      <c r="A562" s="986"/>
      <c r="B562" s="52"/>
      <c r="C562" s="52"/>
      <c r="D562" s="52"/>
      <c r="E562" s="706"/>
      <c r="F562" s="52"/>
      <c r="G562" s="52"/>
      <c r="H562" s="52"/>
      <c r="I562" s="52"/>
      <c r="J562" s="52"/>
      <c r="K562" s="52"/>
      <c r="L562" s="52"/>
      <c r="M562" s="52"/>
    </row>
    <row r="563" spans="1:13" ht="15.75" hidden="1">
      <c r="A563" s="986"/>
      <c r="B563" s="52"/>
      <c r="C563" s="52"/>
      <c r="D563" s="52"/>
      <c r="E563" s="707">
        <f>SUM(E556:E562)</f>
        <v>4900000</v>
      </c>
      <c r="F563" s="52"/>
      <c r="G563" s="524">
        <f>SUM(G556:G562)</f>
        <v>490000</v>
      </c>
      <c r="H563" s="52"/>
      <c r="I563" s="52"/>
      <c r="J563" s="52"/>
      <c r="K563" s="52"/>
      <c r="L563" s="52"/>
      <c r="M563" s="52"/>
    </row>
    <row r="564" spans="1:13" hidden="1"/>
    <row r="565" spans="1:13" hidden="1"/>
    <row r="566" spans="1:13" ht="18" hidden="1">
      <c r="B566" s="1065" t="s">
        <v>50</v>
      </c>
      <c r="C566" s="1065"/>
      <c r="D566" s="1065"/>
      <c r="E566" s="686">
        <f>E563+E553+E537+E523</f>
        <v>59850000</v>
      </c>
    </row>
    <row r="567" spans="1:13" ht="18" hidden="1">
      <c r="B567" s="993" t="s">
        <v>51</v>
      </c>
      <c r="C567" s="993"/>
      <c r="D567" s="993"/>
      <c r="E567" s="416"/>
    </row>
    <row r="568" spans="1:13" ht="18" hidden="1">
      <c r="B568" s="1060" t="s">
        <v>52</v>
      </c>
      <c r="C568" s="1060"/>
      <c r="D568" s="1060"/>
      <c r="E568" s="450"/>
    </row>
    <row r="569" spans="1:13" ht="18" hidden="1">
      <c r="B569" s="1062" t="s">
        <v>59</v>
      </c>
      <c r="C569" s="1062"/>
      <c r="D569" s="1062"/>
      <c r="E569" s="147"/>
    </row>
    <row r="570" spans="1:13" hidden="1"/>
    <row r="571" spans="1:13" ht="31.5">
      <c r="A571" s="987" t="s">
        <v>412</v>
      </c>
      <c r="B571" s="987"/>
      <c r="C571" s="987"/>
      <c r="D571" s="987"/>
      <c r="E571" s="987"/>
      <c r="F571" s="987"/>
      <c r="G571" s="987"/>
      <c r="H571" s="987"/>
      <c r="I571" s="987"/>
      <c r="J571" s="987"/>
      <c r="K571" s="987"/>
      <c r="L571" s="987"/>
      <c r="M571" s="987"/>
    </row>
    <row r="572" spans="1:13" ht="18" hidden="1">
      <c r="A572" s="983" t="s">
        <v>369</v>
      </c>
      <c r="B572" s="983"/>
      <c r="C572" s="983"/>
      <c r="D572" s="983"/>
      <c r="E572" s="984"/>
      <c r="F572" s="984"/>
      <c r="G572" s="984"/>
      <c r="H572" s="984"/>
      <c r="I572" s="985"/>
      <c r="J572" s="985"/>
      <c r="K572" s="985"/>
      <c r="L572" s="985"/>
      <c r="M572" s="985"/>
    </row>
    <row r="573" spans="1:13" ht="18" hidden="1">
      <c r="A573" s="102" t="s">
        <v>2</v>
      </c>
      <c r="B573" s="102" t="s">
        <v>3</v>
      </c>
      <c r="C573" s="102" t="s">
        <v>4</v>
      </c>
      <c r="D573" s="102" t="s">
        <v>5</v>
      </c>
      <c r="E573" s="103" t="s">
        <v>6</v>
      </c>
      <c r="F573" s="103" t="s">
        <v>7</v>
      </c>
      <c r="G573" s="103" t="s">
        <v>8</v>
      </c>
      <c r="H573" s="103" t="s">
        <v>9</v>
      </c>
      <c r="I573" s="103" t="s">
        <v>3</v>
      </c>
      <c r="J573" s="103" t="s">
        <v>5</v>
      </c>
      <c r="K573" s="104" t="s">
        <v>10</v>
      </c>
      <c r="L573" s="105" t="s">
        <v>7</v>
      </c>
      <c r="M573" s="105" t="s">
        <v>11</v>
      </c>
    </row>
    <row r="574" spans="1:13" ht="15" hidden="1" customHeight="1">
      <c r="A574" s="995" t="s">
        <v>413</v>
      </c>
      <c r="B574" s="273">
        <v>14638</v>
      </c>
      <c r="C574" s="337">
        <v>0.1</v>
      </c>
      <c r="D574" s="247" t="s">
        <v>414</v>
      </c>
      <c r="E574" s="729">
        <v>1500000</v>
      </c>
      <c r="F574" s="345">
        <v>0.06</v>
      </c>
      <c r="G574" s="726">
        <f>E574*F574</f>
        <v>90000</v>
      </c>
      <c r="H574" s="726" t="s">
        <v>49</v>
      </c>
      <c r="I574" s="483">
        <v>14727</v>
      </c>
      <c r="J574" s="247" t="s">
        <v>415</v>
      </c>
      <c r="K574" s="634">
        <v>1900000</v>
      </c>
      <c r="L574" s="345">
        <v>0.05</v>
      </c>
      <c r="M574" s="431">
        <f>K574*L574</f>
        <v>95000</v>
      </c>
    </row>
    <row r="575" spans="1:13" ht="15" hidden="1" customHeight="1">
      <c r="A575" s="996"/>
      <c r="B575" s="273">
        <v>14718</v>
      </c>
      <c r="C575" s="337">
        <v>0.1</v>
      </c>
      <c r="D575" s="247" t="s">
        <v>416</v>
      </c>
      <c r="E575" s="729">
        <v>1800000</v>
      </c>
      <c r="F575" s="345">
        <v>0.06</v>
      </c>
      <c r="G575" s="726">
        <f t="shared" ref="G575:G588" si="30">E575*F575</f>
        <v>108000</v>
      </c>
      <c r="H575" s="726" t="s">
        <v>49</v>
      </c>
      <c r="I575" s="483">
        <v>14829</v>
      </c>
      <c r="J575" s="247" t="s">
        <v>417</v>
      </c>
      <c r="K575" s="510">
        <v>3000000</v>
      </c>
      <c r="L575" s="345">
        <v>0.04</v>
      </c>
      <c r="M575" s="431">
        <f>K575*L575</f>
        <v>120000</v>
      </c>
    </row>
    <row r="576" spans="1:13" ht="15" hidden="1" customHeight="1">
      <c r="A576" s="996"/>
      <c r="B576" s="273">
        <v>14675</v>
      </c>
      <c r="C576" s="337">
        <v>0.1</v>
      </c>
      <c r="D576" s="247" t="s">
        <v>418</v>
      </c>
      <c r="E576" s="729">
        <v>2200000</v>
      </c>
      <c r="F576" s="345">
        <v>0.06</v>
      </c>
      <c r="G576" s="726">
        <f t="shared" si="30"/>
        <v>132000</v>
      </c>
      <c r="H576" s="726" t="s">
        <v>49</v>
      </c>
      <c r="I576" s="663"/>
      <c r="J576" s="114"/>
      <c r="K576" s="510"/>
      <c r="L576" s="345"/>
      <c r="M576" s="431"/>
    </row>
    <row r="577" spans="1:13" ht="15" hidden="1" customHeight="1">
      <c r="A577" s="996"/>
      <c r="B577" s="273">
        <v>14728</v>
      </c>
      <c r="C577" s="343">
        <v>0.08</v>
      </c>
      <c r="D577" s="247" t="s">
        <v>419</v>
      </c>
      <c r="E577" s="729">
        <v>2200000</v>
      </c>
      <c r="F577" s="310">
        <v>0.05</v>
      </c>
      <c r="G577" s="726">
        <f t="shared" si="30"/>
        <v>110000</v>
      </c>
      <c r="H577" s="726" t="s">
        <v>49</v>
      </c>
      <c r="I577" s="663"/>
      <c r="J577" s="114"/>
      <c r="K577" s="510"/>
      <c r="L577" s="345"/>
      <c r="M577" s="431"/>
    </row>
    <row r="578" spans="1:13" ht="15" hidden="1" customHeight="1">
      <c r="A578" s="996"/>
      <c r="B578" s="797">
        <v>14760</v>
      </c>
      <c r="C578" s="666">
        <v>0.08</v>
      </c>
      <c r="D578" s="248" t="s">
        <v>420</v>
      </c>
      <c r="E578" s="770">
        <v>2000000</v>
      </c>
      <c r="F578" s="310">
        <v>0.1</v>
      </c>
      <c r="G578" s="726">
        <f t="shared" si="30"/>
        <v>200000</v>
      </c>
      <c r="H578" s="726" t="s">
        <v>372</v>
      </c>
      <c r="I578" s="663"/>
      <c r="J578" s="114"/>
      <c r="K578" s="510"/>
      <c r="L578" s="345"/>
      <c r="M578" s="431"/>
    </row>
    <row r="579" spans="1:13" ht="15" hidden="1" customHeight="1">
      <c r="A579" s="996"/>
      <c r="B579" s="797">
        <v>14761</v>
      </c>
      <c r="C579" s="343">
        <v>0.08</v>
      </c>
      <c r="D579" s="247" t="s">
        <v>421</v>
      </c>
      <c r="E579" s="703">
        <v>2400000</v>
      </c>
      <c r="F579" s="310">
        <v>0.1</v>
      </c>
      <c r="G579" s="726">
        <f t="shared" si="30"/>
        <v>240000</v>
      </c>
      <c r="H579" s="726" t="s">
        <v>372</v>
      </c>
      <c r="I579" s="663"/>
      <c r="J579" s="114"/>
      <c r="K579" s="510"/>
      <c r="L579" s="345"/>
      <c r="M579" s="431"/>
    </row>
    <row r="580" spans="1:13" ht="15" hidden="1" customHeight="1">
      <c r="A580" s="996"/>
      <c r="B580" s="273">
        <v>14630</v>
      </c>
      <c r="C580" s="337">
        <v>0.1</v>
      </c>
      <c r="D580" s="247" t="s">
        <v>422</v>
      </c>
      <c r="E580" s="510">
        <v>2700000</v>
      </c>
      <c r="F580" s="345">
        <v>0.12</v>
      </c>
      <c r="G580" s="726">
        <f t="shared" si="30"/>
        <v>324000</v>
      </c>
      <c r="H580" s="726" t="s">
        <v>372</v>
      </c>
      <c r="I580" s="663"/>
      <c r="J580" s="114"/>
      <c r="K580" s="510"/>
      <c r="L580" s="345"/>
      <c r="M580" s="431"/>
    </row>
    <row r="581" spans="1:13" ht="14.25" hidden="1" customHeight="1">
      <c r="A581" s="996"/>
      <c r="B581" s="273">
        <v>14623</v>
      </c>
      <c r="C581" s="343">
        <v>0.08</v>
      </c>
      <c r="D581" s="247" t="s">
        <v>423</v>
      </c>
      <c r="E581" s="510">
        <v>2300000</v>
      </c>
      <c r="F581" s="310">
        <v>0.1</v>
      </c>
      <c r="G581" s="726">
        <f t="shared" si="30"/>
        <v>230000</v>
      </c>
      <c r="H581" s="726" t="s">
        <v>372</v>
      </c>
      <c r="I581" s="392"/>
      <c r="J581" s="247"/>
      <c r="K581" s="342"/>
      <c r="L581" s="407"/>
      <c r="M581" s="342"/>
    </row>
    <row r="582" spans="1:13" ht="14.25" hidden="1" customHeight="1">
      <c r="A582" s="996"/>
      <c r="B582" s="273">
        <v>14679</v>
      </c>
      <c r="C582" s="337">
        <v>0.1</v>
      </c>
      <c r="D582" s="248" t="s">
        <v>424</v>
      </c>
      <c r="E582" s="682">
        <v>1700000</v>
      </c>
      <c r="F582" s="345">
        <v>0.12</v>
      </c>
      <c r="G582" s="726">
        <f t="shared" si="30"/>
        <v>204000</v>
      </c>
      <c r="H582" s="726" t="s">
        <v>372</v>
      </c>
      <c r="I582" s="392"/>
      <c r="J582" s="247"/>
      <c r="K582" s="342"/>
      <c r="L582" s="407"/>
      <c r="M582" s="342"/>
    </row>
    <row r="583" spans="1:13" ht="12.75" hidden="1" customHeight="1">
      <c r="A583" s="996"/>
      <c r="B583" s="798">
        <v>14733</v>
      </c>
      <c r="C583" s="666">
        <v>0.08</v>
      </c>
      <c r="D583" s="248" t="s">
        <v>425</v>
      </c>
      <c r="E583" s="682">
        <v>1900000</v>
      </c>
      <c r="F583" s="786">
        <v>0.05</v>
      </c>
      <c r="G583" s="727">
        <f t="shared" si="30"/>
        <v>95000</v>
      </c>
      <c r="H583" s="727" t="s">
        <v>49</v>
      </c>
      <c r="I583" s="517"/>
      <c r="J583" s="248"/>
      <c r="K583" s="787"/>
      <c r="L583" s="788"/>
      <c r="M583" s="787"/>
    </row>
    <row r="584" spans="1:13" ht="15" hidden="1" customHeight="1">
      <c r="A584" s="997"/>
      <c r="B584" s="273">
        <v>14736</v>
      </c>
      <c r="C584" s="337">
        <v>0.1</v>
      </c>
      <c r="D584" s="247" t="s">
        <v>426</v>
      </c>
      <c r="E584" s="510">
        <v>2300000</v>
      </c>
      <c r="F584" s="345">
        <v>7.0000000000000007E-2</v>
      </c>
      <c r="G584" s="431">
        <f t="shared" si="30"/>
        <v>161000.00000000003</v>
      </c>
      <c r="H584" s="431" t="s">
        <v>318</v>
      </c>
      <c r="I584" s="399"/>
      <c r="J584" s="247"/>
      <c r="K584" s="342"/>
      <c r="L584" s="407"/>
      <c r="M584" s="342"/>
    </row>
    <row r="585" spans="1:13" ht="15.75" hidden="1" customHeight="1">
      <c r="A585" s="997"/>
      <c r="B585" s="273">
        <v>14826</v>
      </c>
      <c r="C585" s="337">
        <v>0.1</v>
      </c>
      <c r="D585" s="247" t="s">
        <v>427</v>
      </c>
      <c r="E585" s="510">
        <v>1950000</v>
      </c>
      <c r="F585" s="345">
        <v>0.12</v>
      </c>
      <c r="G585" s="431">
        <f t="shared" si="30"/>
        <v>234000</v>
      </c>
      <c r="H585" s="431" t="s">
        <v>372</v>
      </c>
      <c r="I585" s="399"/>
      <c r="J585" s="247"/>
      <c r="K585" s="342"/>
      <c r="L585" s="407"/>
      <c r="M585" s="648"/>
    </row>
    <row r="586" spans="1:13" ht="15.75" hidden="1" customHeight="1">
      <c r="A586" s="997"/>
      <c r="B586" s="799" t="s">
        <v>428</v>
      </c>
      <c r="C586" s="343">
        <v>0.08</v>
      </c>
      <c r="D586" s="247" t="s">
        <v>429</v>
      </c>
      <c r="E586" s="510">
        <v>1500000</v>
      </c>
      <c r="F586" s="310">
        <v>0.05</v>
      </c>
      <c r="G586" s="431">
        <f t="shared" si="30"/>
        <v>75000</v>
      </c>
      <c r="H586" s="431" t="s">
        <v>49</v>
      </c>
      <c r="I586" s="399"/>
      <c r="J586" s="247"/>
      <c r="K586" s="342"/>
      <c r="L586" s="407"/>
      <c r="M586" s="648"/>
    </row>
    <row r="587" spans="1:13" ht="15.75" hidden="1" customHeight="1">
      <c r="A587" s="997"/>
      <c r="B587" s="800">
        <v>14792</v>
      </c>
      <c r="C587" s="337">
        <v>0.1</v>
      </c>
      <c r="D587" s="247" t="s">
        <v>430</v>
      </c>
      <c r="E587" s="510">
        <v>2500000</v>
      </c>
      <c r="F587" s="310">
        <v>0.06</v>
      </c>
      <c r="G587" s="431">
        <f t="shared" si="30"/>
        <v>150000</v>
      </c>
      <c r="H587" s="431" t="s">
        <v>49</v>
      </c>
      <c r="I587" s="399"/>
      <c r="J587" s="247"/>
      <c r="K587" s="342"/>
      <c r="L587" s="407"/>
      <c r="M587" s="648"/>
    </row>
    <row r="588" spans="1:13" ht="15.75" hidden="1" customHeight="1">
      <c r="A588" s="997"/>
      <c r="B588" s="273">
        <v>14807</v>
      </c>
      <c r="C588" s="337">
        <v>0.1</v>
      </c>
      <c r="D588" s="247" t="s">
        <v>431</v>
      </c>
      <c r="E588" s="510">
        <v>2800000</v>
      </c>
      <c r="F588" s="345">
        <v>0.12</v>
      </c>
      <c r="G588" s="431">
        <f t="shared" si="30"/>
        <v>336000</v>
      </c>
      <c r="H588" s="431" t="s">
        <v>372</v>
      </c>
      <c r="I588" s="399"/>
      <c r="J588" s="247"/>
      <c r="K588" s="342"/>
      <c r="L588" s="407"/>
      <c r="M588" s="648">
        <f>SUM(M574:M587)</f>
        <v>215000</v>
      </c>
    </row>
    <row r="589" spans="1:13" ht="15.75" hidden="1" customHeight="1">
      <c r="A589" s="997"/>
      <c r="B589" s="658"/>
      <c r="C589" s="229"/>
      <c r="D589" s="235" t="s">
        <v>432</v>
      </c>
      <c r="E589" s="510"/>
      <c r="F589" s="114"/>
      <c r="G589" s="431" t="s">
        <v>372</v>
      </c>
      <c r="H589" s="431"/>
      <c r="I589" s="399"/>
      <c r="J589" s="247"/>
      <c r="K589" s="342"/>
      <c r="L589" s="407"/>
      <c r="M589" s="648"/>
    </row>
    <row r="590" spans="1:13" ht="15.75" hidden="1">
      <c r="A590" s="998"/>
      <c r="B590" s="52"/>
      <c r="C590" s="52"/>
      <c r="D590" s="52"/>
      <c r="E590" s="556">
        <f>SUM(E574:E589)</f>
        <v>31750000</v>
      </c>
      <c r="F590" s="52"/>
      <c r="G590" s="556">
        <f>SUM(G574:G589)</f>
        <v>2689000</v>
      </c>
      <c r="H590" s="52"/>
      <c r="I590" s="52"/>
      <c r="J590" s="52"/>
      <c r="K590" s="52"/>
      <c r="L590" s="52"/>
      <c r="M590" s="700">
        <f>G590+M588</f>
        <v>2904000</v>
      </c>
    </row>
    <row r="591" spans="1:13" ht="18" hidden="1">
      <c r="A591" s="983" t="s">
        <v>107</v>
      </c>
      <c r="B591" s="989"/>
      <c r="C591" s="989"/>
      <c r="D591" s="989"/>
      <c r="E591" s="990"/>
      <c r="F591" s="990"/>
      <c r="G591" s="990"/>
      <c r="H591" s="990"/>
      <c r="I591" s="991"/>
      <c r="J591" s="991"/>
      <c r="K591" s="991"/>
      <c r="L591" s="991"/>
      <c r="M591" s="991"/>
    </row>
    <row r="592" spans="1:13" ht="18" hidden="1">
      <c r="A592" s="102" t="s">
        <v>2</v>
      </c>
      <c r="B592" s="102" t="s">
        <v>3</v>
      </c>
      <c r="C592" s="102" t="s">
        <v>4</v>
      </c>
      <c r="D592" s="102" t="s">
        <v>5</v>
      </c>
      <c r="E592" s="103" t="s">
        <v>6</v>
      </c>
      <c r="F592" s="103" t="s">
        <v>7</v>
      </c>
      <c r="G592" s="103" t="s">
        <v>8</v>
      </c>
      <c r="H592" s="103" t="s">
        <v>9</v>
      </c>
      <c r="I592" s="103" t="s">
        <v>3</v>
      </c>
      <c r="J592" s="103" t="s">
        <v>5</v>
      </c>
      <c r="K592" s="104" t="s">
        <v>10</v>
      </c>
      <c r="L592" s="105" t="s">
        <v>7</v>
      </c>
      <c r="M592" s="105" t="s">
        <v>11</v>
      </c>
    </row>
    <row r="593" spans="1:13" ht="15" hidden="1">
      <c r="A593" s="986" t="s">
        <v>334</v>
      </c>
      <c r="B593" s="803" t="s">
        <v>433</v>
      </c>
      <c r="C593" s="343">
        <v>0.08</v>
      </c>
      <c r="D593" s="114" t="s">
        <v>434</v>
      </c>
      <c r="E593" s="703">
        <v>4200000</v>
      </c>
      <c r="F593" s="724">
        <v>0.08</v>
      </c>
      <c r="G593" s="697">
        <f>E593*F593</f>
        <v>336000</v>
      </c>
      <c r="H593" s="771" t="s">
        <v>153</v>
      </c>
      <c r="I593" s="799">
        <v>14700</v>
      </c>
      <c r="J593" s="114" t="s">
        <v>435</v>
      </c>
      <c r="K593" s="510">
        <v>1800000</v>
      </c>
      <c r="L593" s="345">
        <v>0.05</v>
      </c>
      <c r="M593" s="431">
        <f>K593*L593</f>
        <v>90000</v>
      </c>
    </row>
    <row r="594" spans="1:13" ht="15" hidden="1">
      <c r="A594" s="986"/>
      <c r="B594" s="802">
        <v>14754</v>
      </c>
      <c r="C594" s="337">
        <v>0.1</v>
      </c>
      <c r="D594" s="114" t="s">
        <v>436</v>
      </c>
      <c r="E594" s="703">
        <v>1700000</v>
      </c>
      <c r="F594" s="725">
        <v>0.1</v>
      </c>
      <c r="G594" s="697">
        <f t="shared" ref="G594:G607" si="31">E594*F594</f>
        <v>170000</v>
      </c>
      <c r="H594" s="726" t="s">
        <v>153</v>
      </c>
      <c r="I594" s="804">
        <v>14788</v>
      </c>
      <c r="J594" s="247" t="s">
        <v>437</v>
      </c>
      <c r="K594" s="510">
        <v>2400000</v>
      </c>
      <c r="L594" s="345">
        <v>0.05</v>
      </c>
      <c r="M594" s="431">
        <f t="shared" ref="M594:M595" si="32">K594*L594</f>
        <v>120000</v>
      </c>
    </row>
    <row r="595" spans="1:13" ht="15" hidden="1">
      <c r="A595" s="986"/>
      <c r="B595" s="802">
        <v>14712</v>
      </c>
      <c r="C595" s="337">
        <v>0.1</v>
      </c>
      <c r="D595" s="247" t="s">
        <v>438</v>
      </c>
      <c r="E595" s="703">
        <v>1700000</v>
      </c>
      <c r="F595" s="725">
        <v>0.1</v>
      </c>
      <c r="G595" s="697">
        <f t="shared" si="31"/>
        <v>170000</v>
      </c>
      <c r="H595" s="727" t="s">
        <v>153</v>
      </c>
      <c r="I595" s="805">
        <v>14748</v>
      </c>
      <c r="J595" s="248" t="s">
        <v>439</v>
      </c>
      <c r="K595" s="510">
        <v>2500000</v>
      </c>
      <c r="L595" s="345">
        <v>0.05</v>
      </c>
      <c r="M595" s="431">
        <f t="shared" si="32"/>
        <v>125000</v>
      </c>
    </row>
    <row r="596" spans="1:13" ht="15" hidden="1">
      <c r="A596" s="986"/>
      <c r="B596" s="797">
        <v>14849</v>
      </c>
      <c r="C596" s="337">
        <v>0.1</v>
      </c>
      <c r="D596" s="247" t="s">
        <v>440</v>
      </c>
      <c r="E596" s="703">
        <v>1900000</v>
      </c>
      <c r="F596" s="724">
        <v>0.06</v>
      </c>
      <c r="G596" s="697">
        <f t="shared" si="31"/>
        <v>114000</v>
      </c>
      <c r="H596" s="727" t="s">
        <v>49</v>
      </c>
      <c r="I596" s="663"/>
      <c r="J596" s="114"/>
      <c r="K596" s="510"/>
      <c r="L596" s="345"/>
      <c r="M596" s="431"/>
    </row>
    <row r="597" spans="1:13" ht="15" hidden="1">
      <c r="A597" s="986"/>
      <c r="B597" s="273">
        <v>14850</v>
      </c>
      <c r="C597" s="337">
        <v>0.1</v>
      </c>
      <c r="D597" s="248" t="s">
        <v>441</v>
      </c>
      <c r="E597" s="729">
        <v>1700000</v>
      </c>
      <c r="F597" s="725">
        <v>0.1</v>
      </c>
      <c r="G597" s="697">
        <f t="shared" si="31"/>
        <v>170000</v>
      </c>
      <c r="H597" s="727" t="s">
        <v>153</v>
      </c>
      <c r="I597" s="663"/>
      <c r="J597" s="114"/>
      <c r="K597" s="510"/>
      <c r="L597" s="345"/>
      <c r="M597" s="431"/>
    </row>
    <row r="598" spans="1:13" ht="15" hidden="1">
      <c r="A598" s="986"/>
      <c r="B598" s="273">
        <v>14641</v>
      </c>
      <c r="C598" s="605">
        <v>0.1</v>
      </c>
      <c r="D598" s="247" t="s">
        <v>442</v>
      </c>
      <c r="E598" s="510">
        <v>1300000</v>
      </c>
      <c r="F598" s="725">
        <v>0.1</v>
      </c>
      <c r="G598" s="697">
        <f t="shared" si="31"/>
        <v>130000</v>
      </c>
      <c r="H598" s="726" t="s">
        <v>153</v>
      </c>
      <c r="I598" s="663"/>
      <c r="J598" s="114"/>
      <c r="K598" s="510"/>
      <c r="L598" s="345"/>
      <c r="M598" s="431"/>
    </row>
    <row r="599" spans="1:13" ht="15" hidden="1">
      <c r="A599" s="986"/>
      <c r="B599" s="273">
        <v>14664</v>
      </c>
      <c r="C599" s="605">
        <v>0.1</v>
      </c>
      <c r="D599" s="247" t="s">
        <v>443</v>
      </c>
      <c r="E599" s="510">
        <v>1700000</v>
      </c>
      <c r="F599" s="725">
        <v>0.1</v>
      </c>
      <c r="G599" s="697">
        <f t="shared" si="31"/>
        <v>170000</v>
      </c>
      <c r="H599" s="726" t="s">
        <v>153</v>
      </c>
      <c r="I599" s="663"/>
      <c r="J599" s="114"/>
      <c r="K599" s="510"/>
      <c r="L599" s="345"/>
      <c r="M599" s="431"/>
    </row>
    <row r="600" spans="1:13" ht="15" hidden="1">
      <c r="A600" s="986"/>
      <c r="B600" s="806">
        <v>14715</v>
      </c>
      <c r="C600" s="337">
        <v>0.1</v>
      </c>
      <c r="D600" s="248" t="s">
        <v>444</v>
      </c>
      <c r="E600" s="682">
        <v>1800000</v>
      </c>
      <c r="F600" s="789">
        <v>0.06</v>
      </c>
      <c r="G600" s="697">
        <f t="shared" si="31"/>
        <v>108000</v>
      </c>
      <c r="H600" s="727" t="s">
        <v>49</v>
      </c>
      <c r="I600" s="671"/>
      <c r="J600" s="114"/>
      <c r="K600" s="510"/>
      <c r="L600" s="345"/>
      <c r="M600" s="431"/>
    </row>
    <row r="601" spans="1:13" ht="15" hidden="1">
      <c r="A601" s="986"/>
      <c r="B601" s="483">
        <v>14727</v>
      </c>
      <c r="C601" s="337">
        <v>0.1</v>
      </c>
      <c r="D601" s="247" t="s">
        <v>415</v>
      </c>
      <c r="E601" s="634">
        <v>1900000</v>
      </c>
      <c r="F601" s="724">
        <v>0.05</v>
      </c>
      <c r="G601" s="697">
        <f t="shared" si="31"/>
        <v>95000</v>
      </c>
      <c r="H601" s="727" t="s">
        <v>372</v>
      </c>
      <c r="I601" s="392"/>
      <c r="J601" s="247"/>
      <c r="K601" s="342"/>
      <c r="L601" s="407"/>
      <c r="M601" s="342"/>
    </row>
    <row r="602" spans="1:13" ht="15" hidden="1">
      <c r="A602" s="986"/>
      <c r="B602" s="804">
        <v>14755</v>
      </c>
      <c r="C602" s="337">
        <v>0.1</v>
      </c>
      <c r="D602" s="424" t="s">
        <v>445</v>
      </c>
      <c r="E602" s="634">
        <v>1500000</v>
      </c>
      <c r="F602" s="725">
        <v>0.1</v>
      </c>
      <c r="G602" s="697">
        <f t="shared" si="31"/>
        <v>150000</v>
      </c>
      <c r="H602" s="727" t="s">
        <v>153</v>
      </c>
      <c r="I602" s="392"/>
      <c r="J602" s="247"/>
      <c r="K602" s="342"/>
      <c r="L602" s="407"/>
      <c r="M602" s="342"/>
    </row>
    <row r="603" spans="1:13" ht="15" hidden="1">
      <c r="A603" s="986"/>
      <c r="B603" s="273">
        <v>14696</v>
      </c>
      <c r="C603" s="605">
        <v>0.1</v>
      </c>
      <c r="D603" s="114" t="s">
        <v>446</v>
      </c>
      <c r="E603" s="703">
        <v>1900000</v>
      </c>
      <c r="F603" s="725">
        <v>0.1</v>
      </c>
      <c r="G603" s="697">
        <f t="shared" si="31"/>
        <v>190000</v>
      </c>
      <c r="H603" s="726" t="s">
        <v>153</v>
      </c>
      <c r="I603" s="392"/>
      <c r="J603" s="247"/>
      <c r="K603" s="342"/>
      <c r="L603" s="407"/>
      <c r="M603" s="342"/>
    </row>
    <row r="604" spans="1:13" ht="15" hidden="1">
      <c r="A604" s="986"/>
      <c r="B604" s="273">
        <v>14739</v>
      </c>
      <c r="C604" s="605">
        <v>0.1</v>
      </c>
      <c r="D604" s="424" t="s">
        <v>447</v>
      </c>
      <c r="E604" s="730">
        <v>2000000</v>
      </c>
      <c r="F604" s="725">
        <v>0.1</v>
      </c>
      <c r="G604" s="697">
        <f t="shared" si="31"/>
        <v>200000</v>
      </c>
      <c r="H604" s="726" t="s">
        <v>153</v>
      </c>
      <c r="I604" s="392"/>
      <c r="J604" s="247"/>
      <c r="K604" s="342"/>
      <c r="L604" s="407"/>
      <c r="M604" s="342"/>
    </row>
    <row r="605" spans="1:13" ht="15" hidden="1">
      <c r="A605" s="986"/>
      <c r="B605" s="273">
        <v>14749</v>
      </c>
      <c r="C605" s="747">
        <v>0.08</v>
      </c>
      <c r="D605" s="424" t="s">
        <v>448</v>
      </c>
      <c r="E605" s="703">
        <v>2600000</v>
      </c>
      <c r="F605" s="724">
        <v>0.08</v>
      </c>
      <c r="G605" s="697">
        <f t="shared" si="31"/>
        <v>208000</v>
      </c>
      <c r="H605" s="726" t="s">
        <v>153</v>
      </c>
      <c r="I605" s="392"/>
      <c r="J605" s="247"/>
      <c r="K605" s="342"/>
      <c r="L605" s="407"/>
      <c r="M605" s="342"/>
    </row>
    <row r="606" spans="1:13" ht="15" hidden="1">
      <c r="A606" s="986"/>
      <c r="B606" s="797">
        <v>14855</v>
      </c>
      <c r="C606" s="531">
        <v>0.1</v>
      </c>
      <c r="D606" s="767" t="s">
        <v>449</v>
      </c>
      <c r="E606" s="746">
        <v>2500000</v>
      </c>
      <c r="F606" s="725">
        <v>0.1</v>
      </c>
      <c r="G606" s="697">
        <f t="shared" si="31"/>
        <v>250000</v>
      </c>
      <c r="H606" s="726" t="s">
        <v>153</v>
      </c>
      <c r="I606" s="392"/>
      <c r="J606" s="247"/>
      <c r="K606" s="342"/>
      <c r="L606" s="407"/>
      <c r="M606" s="342"/>
    </row>
    <row r="607" spans="1:13" ht="15.75" hidden="1">
      <c r="A607" s="986"/>
      <c r="B607" s="807">
        <v>14836</v>
      </c>
      <c r="C607" s="747">
        <v>0.08</v>
      </c>
      <c r="D607" s="767" t="s">
        <v>450</v>
      </c>
      <c r="E607" s="746">
        <v>2500000</v>
      </c>
      <c r="F607" s="724">
        <v>0.04</v>
      </c>
      <c r="G607" s="697">
        <f t="shared" si="31"/>
        <v>100000</v>
      </c>
      <c r="H607" s="726" t="s">
        <v>388</v>
      </c>
      <c r="I607" s="392"/>
      <c r="J607" s="247"/>
      <c r="K607" s="342"/>
      <c r="L607" s="407"/>
      <c r="M607" s="342"/>
    </row>
    <row r="608" spans="1:13" ht="14.25" hidden="1">
      <c r="A608" s="986"/>
      <c r="B608" s="664"/>
      <c r="C608" s="337"/>
      <c r="D608" s="424"/>
      <c r="E608" s="634"/>
      <c r="F608" s="447"/>
      <c r="G608" s="461"/>
      <c r="H608" s="727"/>
      <c r="I608" s="392"/>
      <c r="J608" s="247"/>
      <c r="K608" s="342"/>
      <c r="L608" s="407"/>
      <c r="M608" s="342">
        <f>SUM(M593:M607)</f>
        <v>335000</v>
      </c>
    </row>
    <row r="609" spans="1:15" ht="15" hidden="1">
      <c r="A609" s="986"/>
      <c r="B609" s="664"/>
      <c r="C609" s="343"/>
      <c r="D609" s="114"/>
      <c r="E609" s="634"/>
      <c r="F609" s="724"/>
      <c r="G609" s="114"/>
      <c r="H609" s="726"/>
      <c r="I609" s="392"/>
      <c r="J609" s="247"/>
      <c r="K609" s="342"/>
      <c r="L609" s="407"/>
      <c r="M609" s="342"/>
    </row>
    <row r="610" spans="1:15" ht="15.75" hidden="1">
      <c r="A610" s="986"/>
      <c r="B610" s="52"/>
      <c r="C610" s="52"/>
      <c r="D610" s="52"/>
      <c r="E610" s="715">
        <f>SUM(E593:E609)</f>
        <v>30900000</v>
      </c>
      <c r="F610" s="52"/>
      <c r="G610" s="728">
        <f>SUM(G593:G609)</f>
        <v>2561000</v>
      </c>
      <c r="H610" s="656"/>
      <c r="I610" s="392"/>
      <c r="J610" s="247"/>
      <c r="K610" s="342"/>
      <c r="L610" s="407"/>
      <c r="M610" s="700">
        <f>G610+M608</f>
        <v>2896000</v>
      </c>
    </row>
    <row r="611" spans="1:15" hidden="1"/>
    <row r="612" spans="1:15" ht="18" hidden="1">
      <c r="A612" s="983" t="s">
        <v>318</v>
      </c>
      <c r="B612" s="983"/>
      <c r="C612" s="983"/>
      <c r="D612" s="983"/>
      <c r="E612" s="984"/>
      <c r="F612" s="984"/>
      <c r="G612" s="984"/>
      <c r="H612" s="984"/>
      <c r="I612" s="985"/>
      <c r="J612" s="985"/>
      <c r="K612" s="985"/>
      <c r="L612" s="985"/>
      <c r="M612" s="985"/>
    </row>
    <row r="613" spans="1:15" ht="18" hidden="1">
      <c r="A613" s="102" t="s">
        <v>2</v>
      </c>
      <c r="B613" s="102" t="s">
        <v>3</v>
      </c>
      <c r="C613" s="102" t="s">
        <v>4</v>
      </c>
      <c r="D613" s="102" t="s">
        <v>5</v>
      </c>
      <c r="E613" s="103" t="s">
        <v>6</v>
      </c>
      <c r="F613" s="103" t="s">
        <v>7</v>
      </c>
      <c r="G613" s="103" t="s">
        <v>8</v>
      </c>
      <c r="H613" s="103" t="s">
        <v>9</v>
      </c>
      <c r="I613" s="103" t="s">
        <v>3</v>
      </c>
      <c r="J613" s="103" t="s">
        <v>5</v>
      </c>
      <c r="K613" s="104" t="s">
        <v>10</v>
      </c>
      <c r="L613" s="105" t="s">
        <v>7</v>
      </c>
      <c r="M613" s="775" t="s">
        <v>11</v>
      </c>
    </row>
    <row r="614" spans="1:15" ht="15.75" hidden="1">
      <c r="A614" s="986" t="s">
        <v>312</v>
      </c>
      <c r="B614" s="802">
        <v>14632</v>
      </c>
      <c r="C614" s="343">
        <v>0.08</v>
      </c>
      <c r="D614" s="114" t="s">
        <v>451</v>
      </c>
      <c r="E614" s="703">
        <v>3000000</v>
      </c>
      <c r="F614" s="786">
        <v>0.08</v>
      </c>
      <c r="G614" s="727">
        <f>E614*F614</f>
        <v>240000</v>
      </c>
      <c r="H614" s="727" t="s">
        <v>318</v>
      </c>
      <c r="I614" s="795">
        <v>14836</v>
      </c>
      <c r="J614" s="767" t="s">
        <v>450</v>
      </c>
      <c r="K614" s="746">
        <v>2500000</v>
      </c>
      <c r="L614" s="724">
        <v>0.04</v>
      </c>
      <c r="M614" s="342">
        <f>K614*L614</f>
        <v>100000</v>
      </c>
      <c r="N614" s="790"/>
      <c r="O614" s="791"/>
    </row>
    <row r="615" spans="1:15" ht="15" hidden="1">
      <c r="A615" s="986"/>
      <c r="B615" s="803" t="s">
        <v>452</v>
      </c>
      <c r="C615" s="337">
        <v>0.1</v>
      </c>
      <c r="D615" s="114" t="s">
        <v>453</v>
      </c>
      <c r="E615" s="703">
        <v>2200000</v>
      </c>
      <c r="F615" s="345">
        <v>0.1</v>
      </c>
      <c r="G615" s="727">
        <f t="shared" ref="G615:G622" si="33">E615*F615</f>
        <v>220000</v>
      </c>
      <c r="H615" s="727" t="s">
        <v>318</v>
      </c>
      <c r="I615" s="609">
        <v>14736</v>
      </c>
      <c r="J615" s="247" t="s">
        <v>426</v>
      </c>
      <c r="K615" s="510">
        <v>2300000</v>
      </c>
      <c r="L615" s="725">
        <v>0.05</v>
      </c>
      <c r="M615" s="342">
        <f>K615*L615</f>
        <v>115000</v>
      </c>
      <c r="N615" s="791"/>
      <c r="O615" s="791"/>
    </row>
    <row r="616" spans="1:15" ht="15" hidden="1">
      <c r="A616" s="986"/>
      <c r="B616" s="802">
        <v>14799</v>
      </c>
      <c r="C616" s="337">
        <v>0.1</v>
      </c>
      <c r="D616" s="114" t="s">
        <v>454</v>
      </c>
      <c r="E616" s="703">
        <v>1100000</v>
      </c>
      <c r="F616" s="345">
        <v>0.05</v>
      </c>
      <c r="G616" s="727">
        <f t="shared" si="33"/>
        <v>55000</v>
      </c>
      <c r="H616" s="727" t="s">
        <v>455</v>
      </c>
      <c r="I616" s="609">
        <v>14661</v>
      </c>
      <c r="J616" s="767" t="s">
        <v>456</v>
      </c>
      <c r="K616" s="746">
        <v>1650000</v>
      </c>
      <c r="L616" s="724">
        <v>0.04</v>
      </c>
      <c r="M616" s="342">
        <f t="shared" ref="M616:M617" si="34">K616*L616</f>
        <v>66000</v>
      </c>
      <c r="N616" s="790"/>
      <c r="O616" s="791"/>
    </row>
    <row r="617" spans="1:15" ht="15" hidden="1">
      <c r="A617" s="986"/>
      <c r="B617" s="802">
        <v>14814</v>
      </c>
      <c r="C617" s="343">
        <v>0.09</v>
      </c>
      <c r="D617" s="247" t="s">
        <v>457</v>
      </c>
      <c r="E617" s="703">
        <v>2100000</v>
      </c>
      <c r="F617" s="310">
        <v>0.05</v>
      </c>
      <c r="G617" s="727">
        <f t="shared" si="33"/>
        <v>105000</v>
      </c>
      <c r="H617" s="727" t="s">
        <v>49</v>
      </c>
      <c r="I617" s="609">
        <v>14785</v>
      </c>
      <c r="J617" s="767" t="s">
        <v>458</v>
      </c>
      <c r="K617" s="746">
        <v>1300000</v>
      </c>
      <c r="L617" s="725">
        <v>0.05</v>
      </c>
      <c r="M617" s="342">
        <f t="shared" si="34"/>
        <v>65000</v>
      </c>
      <c r="N617" s="790"/>
      <c r="O617" s="791"/>
    </row>
    <row r="618" spans="1:15" ht="15" hidden="1">
      <c r="A618" s="986"/>
      <c r="B618" s="273">
        <v>14626</v>
      </c>
      <c r="C618" s="337">
        <v>0.1</v>
      </c>
      <c r="D618" s="424" t="s">
        <v>459</v>
      </c>
      <c r="E618" s="703">
        <v>1750000</v>
      </c>
      <c r="F618" s="310">
        <v>0.06</v>
      </c>
      <c r="G618" s="727">
        <f t="shared" si="33"/>
        <v>105000</v>
      </c>
      <c r="H618" s="726" t="s">
        <v>49</v>
      </c>
      <c r="I618" s="663"/>
      <c r="J618" s="247"/>
      <c r="K618" s="703"/>
      <c r="L618" s="345"/>
      <c r="M618" s="771"/>
    </row>
    <row r="619" spans="1:15" ht="15" hidden="1">
      <c r="A619" s="986"/>
      <c r="B619" s="273">
        <v>14662</v>
      </c>
      <c r="C619" s="337">
        <v>0.1</v>
      </c>
      <c r="D619" s="114" t="s">
        <v>460</v>
      </c>
      <c r="E619" s="703">
        <v>2300000</v>
      </c>
      <c r="F619" s="345">
        <v>0.1</v>
      </c>
      <c r="G619" s="727">
        <f t="shared" si="33"/>
        <v>230000</v>
      </c>
      <c r="H619" s="727" t="s">
        <v>318</v>
      </c>
      <c r="I619" s="663"/>
      <c r="J619" s="114"/>
      <c r="K619" s="510"/>
      <c r="L619" s="758"/>
      <c r="M619" s="431"/>
    </row>
    <row r="620" spans="1:15" ht="15" hidden="1">
      <c r="A620" s="986"/>
      <c r="B620" s="273">
        <v>14654</v>
      </c>
      <c r="C620" s="337">
        <v>0.1</v>
      </c>
      <c r="D620" s="114" t="s">
        <v>461</v>
      </c>
      <c r="E620" s="703">
        <v>1650000</v>
      </c>
      <c r="F620" s="345">
        <v>0.1</v>
      </c>
      <c r="G620" s="727">
        <f t="shared" si="33"/>
        <v>165000</v>
      </c>
      <c r="H620" s="727" t="s">
        <v>318</v>
      </c>
      <c r="I620" s="392"/>
      <c r="J620" s="247"/>
      <c r="K620" s="342"/>
      <c r="L620" s="407"/>
      <c r="M620" s="342"/>
    </row>
    <row r="621" spans="1:15" s="31" customFormat="1" ht="15" hidden="1">
      <c r="A621" s="986"/>
      <c r="B621" s="483">
        <v>14723</v>
      </c>
      <c r="C621" s="337">
        <v>0.1</v>
      </c>
      <c r="D621" s="114" t="s">
        <v>462</v>
      </c>
      <c r="E621" s="510">
        <v>2000000</v>
      </c>
      <c r="F621" s="758">
        <v>0.1</v>
      </c>
      <c r="G621" s="727">
        <f t="shared" si="33"/>
        <v>200000</v>
      </c>
      <c r="H621" s="727" t="s">
        <v>318</v>
      </c>
      <c r="I621" s="392"/>
      <c r="J621" s="247"/>
      <c r="K621" s="342"/>
      <c r="L621" s="407"/>
      <c r="M621" s="342">
        <f>SUM(M614:M620)</f>
        <v>346000</v>
      </c>
    </row>
    <row r="622" spans="1:15" s="31" customFormat="1" ht="15" hidden="1">
      <c r="A622" s="986"/>
      <c r="B622" s="801">
        <v>14773</v>
      </c>
      <c r="C622" s="343">
        <v>0.08</v>
      </c>
      <c r="D622" s="114" t="s">
        <v>463</v>
      </c>
      <c r="E622" s="510">
        <v>2080000</v>
      </c>
      <c r="F622" s="310">
        <v>0.08</v>
      </c>
      <c r="G622" s="727">
        <f t="shared" si="33"/>
        <v>166400</v>
      </c>
      <c r="H622" s="727" t="s">
        <v>318</v>
      </c>
      <c r="I622" s="392"/>
      <c r="J622" s="247"/>
      <c r="K622" s="342"/>
      <c r="L622" s="407"/>
      <c r="M622" s="342"/>
    </row>
    <row r="623" spans="1:15" s="31" customFormat="1" hidden="1">
      <c r="A623" s="986"/>
      <c r="B623" s="532"/>
      <c r="C623" s="337"/>
      <c r="D623" s="114"/>
      <c r="E623" s="510"/>
      <c r="F623" s="114"/>
      <c r="G623" s="114"/>
      <c r="H623" s="727"/>
      <c r="I623" s="392"/>
      <c r="J623" s="247"/>
      <c r="K623" s="342"/>
      <c r="L623" s="407"/>
      <c r="M623" s="342"/>
    </row>
    <row r="624" spans="1:15" s="31" customFormat="1" ht="15" hidden="1">
      <c r="A624" s="986"/>
      <c r="B624" s="664"/>
      <c r="C624" s="337"/>
      <c r="D624" s="247"/>
      <c r="E624" s="510"/>
      <c r="F624" s="345"/>
      <c r="G624" s="114"/>
      <c r="H624" s="727"/>
      <c r="I624" s="392"/>
      <c r="J624" s="247"/>
      <c r="K624" s="342"/>
      <c r="L624" s="407"/>
      <c r="M624" s="342"/>
    </row>
    <row r="625" spans="1:13" ht="15.75" hidden="1">
      <c r="A625" s="986"/>
      <c r="B625" s="429"/>
      <c r="C625" s="429"/>
      <c r="D625" s="429"/>
      <c r="E625" s="753">
        <f>SUM(E614:E624)</f>
        <v>18180000</v>
      </c>
      <c r="F625" s="429"/>
      <c r="G625" s="728">
        <f>SUM(G614:G624)</f>
        <v>1486400</v>
      </c>
      <c r="H625" s="656"/>
      <c r="I625" s="392"/>
      <c r="J625" s="247"/>
      <c r="K625" s="342"/>
      <c r="L625" s="407"/>
      <c r="M625" s="700">
        <f>G625+M621</f>
        <v>1832400</v>
      </c>
    </row>
    <row r="626" spans="1:13" hidden="1"/>
    <row r="627" spans="1:13" ht="18" hidden="1">
      <c r="A627" s="983" t="s">
        <v>464</v>
      </c>
      <c r="B627" s="983"/>
      <c r="C627" s="983"/>
      <c r="D627" s="983"/>
      <c r="E627" s="984"/>
      <c r="F627" s="984"/>
      <c r="G627" s="984"/>
      <c r="H627" s="984"/>
      <c r="I627" s="985"/>
      <c r="J627" s="985"/>
      <c r="K627" s="985"/>
      <c r="L627" s="985"/>
      <c r="M627" s="985"/>
    </row>
    <row r="628" spans="1:13" ht="18" hidden="1">
      <c r="A628" s="102" t="s">
        <v>2</v>
      </c>
      <c r="B628" s="102" t="s">
        <v>3</v>
      </c>
      <c r="C628" s="102" t="s">
        <v>4</v>
      </c>
      <c r="D628" s="102" t="s">
        <v>5</v>
      </c>
      <c r="E628" s="103" t="s">
        <v>6</v>
      </c>
      <c r="F628" s="103" t="s">
        <v>7</v>
      </c>
      <c r="G628" s="103" t="s">
        <v>8</v>
      </c>
      <c r="H628" s="103" t="s">
        <v>9</v>
      </c>
      <c r="I628" s="103" t="s">
        <v>3</v>
      </c>
      <c r="J628" s="103" t="s">
        <v>5</v>
      </c>
      <c r="K628" s="104" t="s">
        <v>10</v>
      </c>
      <c r="L628" s="105" t="s">
        <v>7</v>
      </c>
      <c r="M628" s="105" t="s">
        <v>11</v>
      </c>
    </row>
    <row r="629" spans="1:13" ht="15" hidden="1">
      <c r="A629" s="986" t="s">
        <v>465</v>
      </c>
      <c r="B629" s="799">
        <v>14700</v>
      </c>
      <c r="C629" s="337">
        <v>0.1</v>
      </c>
      <c r="D629" s="114" t="s">
        <v>435</v>
      </c>
      <c r="E629" s="510">
        <v>1800000</v>
      </c>
      <c r="F629" s="345">
        <v>0.04</v>
      </c>
      <c r="G629" s="431">
        <f>E629*F629</f>
        <v>72000</v>
      </c>
      <c r="H629" s="731" t="s">
        <v>153</v>
      </c>
      <c r="I629" s="663"/>
      <c r="J629" s="248"/>
      <c r="K629" s="510"/>
      <c r="L629" s="345"/>
      <c r="M629" s="431"/>
    </row>
    <row r="630" spans="1:13" ht="15" hidden="1">
      <c r="A630" s="986"/>
      <c r="B630" s="804">
        <v>14788</v>
      </c>
      <c r="C630" s="337">
        <v>0.1</v>
      </c>
      <c r="D630" s="247" t="s">
        <v>437</v>
      </c>
      <c r="E630" s="510">
        <v>2400000</v>
      </c>
      <c r="F630" s="345">
        <v>0.04</v>
      </c>
      <c r="G630" s="431">
        <f t="shared" ref="G630:G631" si="35">E630*F630</f>
        <v>96000</v>
      </c>
      <c r="H630" s="731" t="s">
        <v>153</v>
      </c>
      <c r="I630" s="663"/>
      <c r="J630" s="247"/>
      <c r="K630" s="510"/>
      <c r="L630" s="345"/>
      <c r="M630" s="431"/>
    </row>
    <row r="631" spans="1:13" ht="15" hidden="1">
      <c r="A631" s="986"/>
      <c r="B631" s="804">
        <v>14748</v>
      </c>
      <c r="C631" s="343">
        <v>0.08</v>
      </c>
      <c r="D631" s="248" t="s">
        <v>466</v>
      </c>
      <c r="E631" s="510">
        <v>2700000</v>
      </c>
      <c r="F631" s="310">
        <v>0.03</v>
      </c>
      <c r="G631" s="431">
        <f t="shared" si="35"/>
        <v>81000</v>
      </c>
      <c r="H631" s="731" t="s">
        <v>153</v>
      </c>
      <c r="I631" s="663"/>
      <c r="J631" s="114"/>
      <c r="K631" s="510"/>
      <c r="L631" s="345"/>
      <c r="M631" s="431"/>
    </row>
    <row r="632" spans="1:13" ht="15" hidden="1">
      <c r="A632" s="986"/>
      <c r="B632" s="663"/>
      <c r="C632" s="337"/>
      <c r="D632" s="114"/>
      <c r="E632" s="510"/>
      <c r="F632" s="345"/>
      <c r="G632" s="431"/>
      <c r="H632" s="731"/>
      <c r="I632" s="663"/>
      <c r="J632" s="114"/>
      <c r="K632" s="510"/>
      <c r="L632" s="345"/>
      <c r="M632" s="431"/>
    </row>
    <row r="633" spans="1:13" ht="15" hidden="1">
      <c r="A633" s="986"/>
      <c r="B633" s="663"/>
      <c r="C633" s="343"/>
      <c r="D633" s="114"/>
      <c r="E633" s="510"/>
      <c r="F633" s="345"/>
      <c r="G633" s="431"/>
      <c r="H633" s="696"/>
      <c r="I633" s="663"/>
      <c r="J633" s="114"/>
      <c r="K633" s="510"/>
      <c r="L633" s="345"/>
      <c r="M633" s="431"/>
    </row>
    <row r="634" spans="1:13" ht="15" hidden="1">
      <c r="A634" s="986"/>
      <c r="B634" s="665"/>
      <c r="C634" s="531"/>
      <c r="D634" s="424"/>
      <c r="E634" s="682"/>
      <c r="F634" s="522"/>
      <c r="G634" s="431"/>
      <c r="H634" s="696"/>
      <c r="I634" s="392"/>
      <c r="J634" s="247"/>
      <c r="K634" s="342"/>
      <c r="L634" s="407"/>
      <c r="M634" s="342"/>
    </row>
    <row r="635" spans="1:13" ht="15.75" hidden="1">
      <c r="A635" s="986"/>
      <c r="B635" s="52"/>
      <c r="C635" s="52"/>
      <c r="D635" s="52"/>
      <c r="E635" s="715">
        <f>SUM(E629:E634)</f>
        <v>6900000</v>
      </c>
      <c r="F635" s="52"/>
      <c r="G635" s="556">
        <f>SUM(G629:G634)</f>
        <v>249000</v>
      </c>
      <c r="H635" s="656"/>
      <c r="I635" s="392"/>
      <c r="J635" s="247"/>
      <c r="K635" s="342"/>
      <c r="L635" s="407"/>
      <c r="M635" s="648"/>
    </row>
    <row r="636" spans="1:13" hidden="1"/>
    <row r="637" spans="1:13" ht="18" hidden="1">
      <c r="A637" s="983" t="s">
        <v>49</v>
      </c>
      <c r="B637" s="983"/>
      <c r="C637" s="983"/>
      <c r="D637" s="983"/>
      <c r="E637" s="984"/>
      <c r="F637" s="984"/>
      <c r="G637" s="984"/>
      <c r="H637" s="984"/>
      <c r="I637" s="985"/>
      <c r="J637" s="985"/>
      <c r="K637" s="985"/>
      <c r="L637" s="985"/>
      <c r="M637" s="985"/>
    </row>
    <row r="638" spans="1:13" ht="18" hidden="1">
      <c r="A638" s="102" t="s">
        <v>2</v>
      </c>
      <c r="B638" s="102" t="s">
        <v>3</v>
      </c>
      <c r="C638" s="102" t="s">
        <v>4</v>
      </c>
      <c r="D638" s="102" t="s">
        <v>5</v>
      </c>
      <c r="E638" s="103" t="s">
        <v>6</v>
      </c>
      <c r="F638" s="103" t="s">
        <v>7</v>
      </c>
      <c r="G638" s="103" t="s">
        <v>8</v>
      </c>
      <c r="H638" s="103" t="s">
        <v>9</v>
      </c>
      <c r="I638" s="103" t="s">
        <v>3</v>
      </c>
      <c r="J638" s="103" t="s">
        <v>5</v>
      </c>
      <c r="K638" s="104" t="s">
        <v>10</v>
      </c>
      <c r="L638" s="105" t="s">
        <v>7</v>
      </c>
      <c r="M638" s="105" t="s">
        <v>11</v>
      </c>
    </row>
    <row r="639" spans="1:13" ht="15" hidden="1">
      <c r="A639" s="986"/>
      <c r="B639" s="804" t="s">
        <v>467</v>
      </c>
      <c r="C639" s="337">
        <v>0.1</v>
      </c>
      <c r="D639" s="114" t="s">
        <v>468</v>
      </c>
      <c r="E639" s="510">
        <v>1500000</v>
      </c>
      <c r="F639" s="52"/>
      <c r="G639" s="431" t="s">
        <v>49</v>
      </c>
      <c r="H639" s="756"/>
      <c r="I639" s="663"/>
      <c r="J639" s="248"/>
      <c r="K639" s="510"/>
      <c r="L639" s="345"/>
      <c r="M639" s="431"/>
    </row>
    <row r="640" spans="1:13" ht="15.75" hidden="1">
      <c r="A640" s="986"/>
      <c r="B640" s="663"/>
      <c r="C640" s="337"/>
      <c r="D640" s="755"/>
      <c r="E640" s="510"/>
      <c r="F640" s="345"/>
      <c r="G640" s="431"/>
      <c r="H640" s="756"/>
      <c r="I640" s="663"/>
      <c r="J640" s="247"/>
      <c r="K640" s="510"/>
      <c r="L640" s="345"/>
      <c r="M640" s="431"/>
    </row>
    <row r="641" spans="1:13" ht="15" hidden="1">
      <c r="A641" s="986"/>
      <c r="B641" s="663"/>
      <c r="C641" s="337"/>
      <c r="D641" s="247"/>
      <c r="E641" s="510"/>
      <c r="F641" s="345"/>
      <c r="G641" s="431"/>
      <c r="H641" s="756"/>
      <c r="I641" s="663"/>
      <c r="J641" s="114"/>
      <c r="K641" s="510"/>
      <c r="L641" s="345"/>
      <c r="M641" s="431"/>
    </row>
    <row r="642" spans="1:13" ht="15" hidden="1">
      <c r="A642" s="986"/>
      <c r="B642" s="663"/>
      <c r="C642" s="337"/>
      <c r="D642" s="114"/>
      <c r="E642" s="510"/>
      <c r="F642" s="345"/>
      <c r="G642" s="431"/>
      <c r="H642" s="756"/>
      <c r="I642" s="663"/>
      <c r="J642" s="114"/>
      <c r="K642" s="510"/>
      <c r="L642" s="345"/>
      <c r="M642" s="431"/>
    </row>
    <row r="643" spans="1:13" ht="15" hidden="1">
      <c r="A643" s="986"/>
      <c r="B643" s="757"/>
      <c r="C643" s="662"/>
      <c r="D643" s="461"/>
      <c r="E643" s="679"/>
      <c r="F643" s="758"/>
      <c r="G643" s="625"/>
      <c r="H643" s="696"/>
      <c r="I643" s="663"/>
      <c r="J643" s="114"/>
      <c r="K643" s="510"/>
      <c r="L643" s="345"/>
      <c r="M643" s="431"/>
    </row>
    <row r="644" spans="1:13" ht="15" hidden="1">
      <c r="A644" s="986"/>
      <c r="B644" s="665"/>
      <c r="C644" s="531"/>
      <c r="D644" s="424"/>
      <c r="E644" s="682"/>
      <c r="F644" s="522"/>
      <c r="G644" s="431"/>
      <c r="H644" s="696"/>
      <c r="I644" s="392"/>
      <c r="J644" s="247"/>
      <c r="K644" s="342"/>
      <c r="L644" s="407"/>
      <c r="M644" s="342"/>
    </row>
    <row r="645" spans="1:13" ht="15.75" hidden="1">
      <c r="A645" s="986"/>
      <c r="B645" s="52"/>
      <c r="C645" s="52"/>
      <c r="D645" s="52"/>
      <c r="E645" s="715">
        <f>SUM(E639:E644)</f>
        <v>1500000</v>
      </c>
      <c r="F645" s="52"/>
      <c r="G645" s="556"/>
      <c r="H645" s="656"/>
      <c r="I645" s="392"/>
      <c r="J645" s="247"/>
      <c r="K645" s="342"/>
      <c r="L645" s="407"/>
      <c r="M645" s="700"/>
    </row>
    <row r="646" spans="1:13" hidden="1"/>
    <row r="647" spans="1:13" hidden="1"/>
    <row r="648" spans="1:13" hidden="1"/>
    <row r="649" spans="1:13" ht="18" hidden="1">
      <c r="A649" s="992" t="s">
        <v>50</v>
      </c>
      <c r="B649" s="992"/>
      <c r="C649" s="992"/>
      <c r="D649" s="147">
        <f>E645+E635+E625+E610+E590</f>
        <v>89230000</v>
      </c>
    </row>
    <row r="650" spans="1:13" ht="18" hidden="1">
      <c r="A650" s="993" t="s">
        <v>51</v>
      </c>
      <c r="B650" s="993"/>
      <c r="C650" s="993"/>
      <c r="D650" s="416"/>
    </row>
    <row r="651" spans="1:13" ht="18" hidden="1">
      <c r="A651" s="994" t="s">
        <v>52</v>
      </c>
      <c r="B651" s="994"/>
      <c r="C651" s="994"/>
      <c r="D651" s="416"/>
    </row>
    <row r="652" spans="1:13" ht="18" hidden="1">
      <c r="A652" s="710" t="s">
        <v>59</v>
      </c>
      <c r="B652" s="710"/>
      <c r="C652" s="710"/>
      <c r="D652" s="147"/>
    </row>
    <row r="653" spans="1:13" hidden="1"/>
    <row r="654" spans="1:13" hidden="1"/>
    <row r="655" spans="1:13" ht="31.5">
      <c r="A655" s="987" t="s">
        <v>469</v>
      </c>
      <c r="B655" s="987"/>
      <c r="C655" s="987"/>
      <c r="D655" s="987"/>
      <c r="E655" s="987"/>
      <c r="F655" s="987"/>
      <c r="G655" s="987"/>
      <c r="H655" s="987"/>
      <c r="I655" s="987"/>
      <c r="J655" s="987"/>
      <c r="K655" s="987"/>
      <c r="L655" s="987"/>
      <c r="M655" s="987"/>
    </row>
    <row r="656" spans="1:13" ht="18" hidden="1">
      <c r="A656" s="983" t="s">
        <v>369</v>
      </c>
      <c r="B656" s="983"/>
      <c r="C656" s="983"/>
      <c r="D656" s="983"/>
      <c r="E656" s="984"/>
      <c r="F656" s="984"/>
      <c r="G656" s="984"/>
      <c r="H656" s="984"/>
      <c r="I656" s="985"/>
      <c r="J656" s="985"/>
      <c r="K656" s="985"/>
      <c r="L656" s="985"/>
      <c r="M656" s="985"/>
    </row>
    <row r="657" spans="1:13" ht="18" hidden="1">
      <c r="A657" s="102" t="s">
        <v>2</v>
      </c>
      <c r="B657" s="102" t="s">
        <v>3</v>
      </c>
      <c r="C657" s="102" t="s">
        <v>4</v>
      </c>
      <c r="D657" s="102" t="s">
        <v>5</v>
      </c>
      <c r="E657" s="103" t="s">
        <v>6</v>
      </c>
      <c r="F657" s="103" t="s">
        <v>7</v>
      </c>
      <c r="G657" s="103" t="s">
        <v>8</v>
      </c>
      <c r="H657" s="103" t="s">
        <v>9</v>
      </c>
      <c r="I657" s="103" t="s">
        <v>3</v>
      </c>
      <c r="J657" s="103" t="s">
        <v>5</v>
      </c>
      <c r="K657" s="104" t="s">
        <v>10</v>
      </c>
      <c r="L657" s="105" t="s">
        <v>7</v>
      </c>
      <c r="M657" s="105" t="s">
        <v>11</v>
      </c>
    </row>
    <row r="658" spans="1:13" ht="15" hidden="1">
      <c r="A658" s="986" t="s">
        <v>470</v>
      </c>
      <c r="B658" s="609">
        <v>14873</v>
      </c>
      <c r="C658" s="605">
        <v>0.1</v>
      </c>
      <c r="D658" s="247" t="s">
        <v>471</v>
      </c>
      <c r="E658" s="703">
        <v>1900000</v>
      </c>
      <c r="F658" s="345">
        <v>0.12</v>
      </c>
      <c r="G658" s="697">
        <f>E658*F658</f>
        <v>228000</v>
      </c>
      <c r="H658" s="431" t="s">
        <v>372</v>
      </c>
      <c r="I658" s="609">
        <v>15020</v>
      </c>
      <c r="J658" s="114" t="s">
        <v>472</v>
      </c>
      <c r="K658" s="729">
        <v>2100000</v>
      </c>
      <c r="L658" s="522">
        <v>0.05</v>
      </c>
      <c r="M658" s="790">
        <f>K658*L658</f>
        <v>105000</v>
      </c>
    </row>
    <row r="659" spans="1:13" ht="15" hidden="1">
      <c r="A659" s="986"/>
      <c r="B659" s="609">
        <v>14952</v>
      </c>
      <c r="C659" s="526">
        <v>0.08</v>
      </c>
      <c r="D659" s="114" t="s">
        <v>473</v>
      </c>
      <c r="E659" s="703">
        <v>2000000</v>
      </c>
      <c r="F659" s="786">
        <v>0.1</v>
      </c>
      <c r="G659" s="697">
        <f t="shared" ref="G659:G669" si="36">E659*F659</f>
        <v>200000</v>
      </c>
      <c r="H659" s="431" t="s">
        <v>372</v>
      </c>
      <c r="I659" s="114"/>
      <c r="J659" s="247"/>
      <c r="K659" s="510"/>
      <c r="L659" s="345"/>
      <c r="M659" s="431"/>
    </row>
    <row r="660" spans="1:13" ht="15" hidden="1">
      <c r="A660" s="986"/>
      <c r="B660" s="609">
        <v>15059</v>
      </c>
      <c r="C660" s="526">
        <v>0.08</v>
      </c>
      <c r="D660" s="114" t="s">
        <v>474</v>
      </c>
      <c r="E660" s="703">
        <v>2100000</v>
      </c>
      <c r="F660" s="786">
        <v>0.1</v>
      </c>
      <c r="G660" s="697">
        <f t="shared" si="36"/>
        <v>210000</v>
      </c>
      <c r="H660" s="431" t="s">
        <v>372</v>
      </c>
      <c r="I660" s="114"/>
      <c r="J660" s="247"/>
      <c r="K660" s="510"/>
      <c r="L660" s="345"/>
      <c r="M660" s="431"/>
    </row>
    <row r="661" spans="1:13" ht="15" hidden="1">
      <c r="A661" s="986"/>
      <c r="B661" s="609">
        <v>15069</v>
      </c>
      <c r="C661" s="605">
        <v>0.1</v>
      </c>
      <c r="D661" s="114" t="s">
        <v>475</v>
      </c>
      <c r="E661" s="703">
        <v>2200000</v>
      </c>
      <c r="F661" s="345">
        <v>0.12</v>
      </c>
      <c r="G661" s="697">
        <f t="shared" si="36"/>
        <v>264000</v>
      </c>
      <c r="H661" s="431" t="s">
        <v>372</v>
      </c>
      <c r="I661" s="114"/>
      <c r="J661" s="247"/>
      <c r="K661" s="510"/>
      <c r="L661" s="345"/>
      <c r="M661" s="431"/>
    </row>
    <row r="662" spans="1:13" ht="15" hidden="1">
      <c r="A662" s="986"/>
      <c r="B662" s="812">
        <v>14939</v>
      </c>
      <c r="C662" s="668">
        <v>0.1</v>
      </c>
      <c r="D662" s="114" t="s">
        <v>476</v>
      </c>
      <c r="E662" s="703">
        <v>3300000</v>
      </c>
      <c r="F662" s="345">
        <v>0.12</v>
      </c>
      <c r="G662" s="697">
        <f t="shared" si="36"/>
        <v>396000</v>
      </c>
      <c r="H662" s="431" t="s">
        <v>372</v>
      </c>
      <c r="I662" s="114"/>
      <c r="J662" s="247"/>
      <c r="K662" s="510"/>
      <c r="L662" s="345"/>
      <c r="M662" s="431"/>
    </row>
    <row r="663" spans="1:13" ht="15" hidden="1">
      <c r="A663" s="986"/>
      <c r="B663" s="609">
        <v>15053</v>
      </c>
      <c r="C663" s="337">
        <v>0.1</v>
      </c>
      <c r="D663" s="393" t="s">
        <v>477</v>
      </c>
      <c r="E663" s="703">
        <v>2300000</v>
      </c>
      <c r="F663" s="345">
        <v>7.0000000000000007E-2</v>
      </c>
      <c r="G663" s="697">
        <f t="shared" si="36"/>
        <v>161000.00000000003</v>
      </c>
      <c r="H663" s="431" t="s">
        <v>478</v>
      </c>
      <c r="I663" s="663"/>
      <c r="J663" s="114"/>
      <c r="K663" s="510"/>
      <c r="L663" s="345"/>
      <c r="M663" s="431"/>
    </row>
    <row r="664" spans="1:13" ht="15" hidden="1">
      <c r="A664" s="986"/>
      <c r="B664" s="587">
        <v>15130</v>
      </c>
      <c r="C664" s="337">
        <v>0.1</v>
      </c>
      <c r="D664" s="393" t="s">
        <v>479</v>
      </c>
      <c r="E664" s="703">
        <v>2500000</v>
      </c>
      <c r="F664" s="345">
        <v>0.12</v>
      </c>
      <c r="G664" s="697">
        <f t="shared" si="36"/>
        <v>300000</v>
      </c>
      <c r="H664" s="431" t="s">
        <v>372</v>
      </c>
      <c r="I664" s="663"/>
      <c r="J664" s="114"/>
      <c r="K664" s="510"/>
      <c r="L664" s="345"/>
      <c r="M664" s="431"/>
    </row>
    <row r="665" spans="1:13" ht="15" hidden="1">
      <c r="A665" s="986"/>
      <c r="B665" s="609">
        <v>15098</v>
      </c>
      <c r="C665" s="337">
        <v>0.1</v>
      </c>
      <c r="D665" s="393" t="s">
        <v>480</v>
      </c>
      <c r="E665" s="703">
        <v>3100000</v>
      </c>
      <c r="F665" s="345">
        <v>0.06</v>
      </c>
      <c r="G665" s="697">
        <f t="shared" si="36"/>
        <v>186000</v>
      </c>
      <c r="H665" s="431" t="s">
        <v>49</v>
      </c>
      <c r="I665" s="663"/>
      <c r="J665" s="114"/>
      <c r="K665" s="510"/>
      <c r="L665" s="345"/>
      <c r="M665" s="431"/>
    </row>
    <row r="666" spans="1:13" ht="15" hidden="1">
      <c r="A666" s="986"/>
      <c r="B666" s="609">
        <v>15028</v>
      </c>
      <c r="C666" s="343">
        <v>0.08</v>
      </c>
      <c r="D666" s="393" t="s">
        <v>481</v>
      </c>
      <c r="E666" s="703">
        <v>2000000</v>
      </c>
      <c r="F666" s="786">
        <v>0.1</v>
      </c>
      <c r="G666" s="697">
        <f t="shared" si="36"/>
        <v>200000</v>
      </c>
      <c r="H666" s="431" t="s">
        <v>372</v>
      </c>
      <c r="I666" s="392"/>
      <c r="J666" s="247"/>
      <c r="K666" s="342"/>
      <c r="L666" s="407"/>
      <c r="M666" s="342"/>
    </row>
    <row r="667" spans="1:13" ht="15" hidden="1">
      <c r="A667" s="986"/>
      <c r="B667" s="587">
        <v>15117</v>
      </c>
      <c r="C667" s="610">
        <v>0.1</v>
      </c>
      <c r="D667" s="114" t="s">
        <v>482</v>
      </c>
      <c r="E667" s="703">
        <v>2100000</v>
      </c>
      <c r="F667" s="345">
        <v>0.06</v>
      </c>
      <c r="G667" s="697">
        <f t="shared" si="36"/>
        <v>126000</v>
      </c>
      <c r="H667" s="431" t="s">
        <v>49</v>
      </c>
      <c r="I667" s="392"/>
      <c r="J667" s="247"/>
      <c r="K667" s="342"/>
      <c r="L667" s="407"/>
      <c r="M667" s="342"/>
    </row>
    <row r="668" spans="1:13" ht="15" hidden="1">
      <c r="A668" s="986"/>
      <c r="B668" s="882">
        <v>15046</v>
      </c>
      <c r="C668" s="337">
        <v>0.1</v>
      </c>
      <c r="D668" s="114" t="s">
        <v>483</v>
      </c>
      <c r="E668" s="703">
        <v>2100000</v>
      </c>
      <c r="F668" s="345">
        <v>0.12</v>
      </c>
      <c r="G668" s="697">
        <f t="shared" si="36"/>
        <v>252000</v>
      </c>
      <c r="H668" s="431" t="s">
        <v>372</v>
      </c>
      <c r="I668" s="392"/>
      <c r="J668" s="247"/>
      <c r="K668" s="342"/>
      <c r="L668" s="407"/>
      <c r="M668" s="342"/>
    </row>
    <row r="669" spans="1:13" ht="15" hidden="1">
      <c r="A669" s="986"/>
      <c r="B669" s="882" t="s">
        <v>484</v>
      </c>
      <c r="C669" s="337">
        <v>0.1</v>
      </c>
      <c r="D669" s="114" t="s">
        <v>485</v>
      </c>
      <c r="E669" s="703">
        <v>2400000</v>
      </c>
      <c r="F669" s="345">
        <v>0.12</v>
      </c>
      <c r="G669" s="697">
        <f t="shared" si="36"/>
        <v>288000</v>
      </c>
      <c r="H669" s="431" t="s">
        <v>372</v>
      </c>
      <c r="I669" s="392"/>
      <c r="J669" s="247"/>
      <c r="K669" s="342"/>
      <c r="L669" s="407"/>
      <c r="M669" s="342"/>
    </row>
    <row r="670" spans="1:13" ht="15" hidden="1">
      <c r="A670" s="986"/>
      <c r="B670" s="494" t="s">
        <v>486</v>
      </c>
      <c r="C670" s="493"/>
      <c r="D670" s="869" t="s">
        <v>487</v>
      </c>
      <c r="E670" s="703"/>
      <c r="F670" s="345"/>
      <c r="G670" s="697">
        <f>E670*F670</f>
        <v>0</v>
      </c>
      <c r="H670" s="431" t="s">
        <v>372</v>
      </c>
      <c r="I670" s="392"/>
      <c r="J670" s="247"/>
      <c r="K670" s="342"/>
      <c r="L670" s="407"/>
      <c r="M670" s="342">
        <f>SUM(M658:M669)</f>
        <v>105000</v>
      </c>
    </row>
    <row r="671" spans="1:13" ht="14.25" hidden="1">
      <c r="A671" s="986"/>
      <c r="B671" s="663"/>
      <c r="C671" s="526"/>
      <c r="D671" s="114"/>
      <c r="E671" s="510"/>
      <c r="F671" s="114"/>
      <c r="G671" s="431"/>
      <c r="H671" s="813"/>
      <c r="I671" s="392"/>
      <c r="J671" s="247"/>
      <c r="K671" s="342"/>
      <c r="L671" s="407"/>
      <c r="M671" s="342"/>
    </row>
    <row r="672" spans="1:13" ht="15.75" hidden="1">
      <c r="A672" s="986"/>
      <c r="B672" s="429"/>
      <c r="C672" s="52"/>
      <c r="D672" s="52"/>
      <c r="E672" s="715">
        <f>SUM(E658:E671)</f>
        <v>28000000</v>
      </c>
      <c r="F672" s="52"/>
      <c r="G672" s="556">
        <f>SUM(G658:G671)</f>
        <v>2811000</v>
      </c>
      <c r="H672" s="810"/>
      <c r="I672" s="392"/>
      <c r="J672" s="247"/>
      <c r="K672" s="342"/>
      <c r="L672" s="407"/>
      <c r="M672" s="700">
        <f>G672+M670</f>
        <v>2916000</v>
      </c>
    </row>
    <row r="673" spans="1:13" hidden="1"/>
    <row r="674" spans="1:13" ht="18" hidden="1">
      <c r="A674" s="983" t="s">
        <v>107</v>
      </c>
      <c r="B674" s="983"/>
      <c r="C674" s="983"/>
      <c r="D674" s="983"/>
      <c r="E674" s="984"/>
      <c r="F674" s="984"/>
      <c r="G674" s="984"/>
      <c r="H674" s="984"/>
      <c r="I674" s="985"/>
      <c r="J674" s="985"/>
      <c r="K674" s="985"/>
      <c r="L674" s="985"/>
      <c r="M674" s="985"/>
    </row>
    <row r="675" spans="1:13" ht="18" hidden="1">
      <c r="A675" s="102" t="s">
        <v>2</v>
      </c>
      <c r="B675" s="102" t="s">
        <v>3</v>
      </c>
      <c r="C675" s="102" t="s">
        <v>4</v>
      </c>
      <c r="D675" s="102" t="s">
        <v>5</v>
      </c>
      <c r="E675" s="103" t="s">
        <v>6</v>
      </c>
      <c r="F675" s="103" t="s">
        <v>7</v>
      </c>
      <c r="G675" s="103" t="s">
        <v>8</v>
      </c>
      <c r="H675" s="103" t="s">
        <v>9</v>
      </c>
      <c r="I675" s="103" t="s">
        <v>3</v>
      </c>
      <c r="J675" s="103" t="s">
        <v>5</v>
      </c>
      <c r="K675" s="104" t="s">
        <v>10</v>
      </c>
      <c r="L675" s="105" t="s">
        <v>7</v>
      </c>
      <c r="M675" s="105" t="s">
        <v>11</v>
      </c>
    </row>
    <row r="676" spans="1:13" ht="15" hidden="1">
      <c r="A676" s="986" t="s">
        <v>312</v>
      </c>
      <c r="B676" s="609">
        <v>14892</v>
      </c>
      <c r="C676" s="337">
        <v>0.1</v>
      </c>
      <c r="D676" s="247" t="s">
        <v>488</v>
      </c>
      <c r="E676" s="510">
        <v>1750000</v>
      </c>
      <c r="F676" s="345">
        <v>0.1</v>
      </c>
      <c r="G676" s="431">
        <f>E676*F676</f>
        <v>175000</v>
      </c>
      <c r="H676" s="431" t="s">
        <v>153</v>
      </c>
      <c r="I676" s="663"/>
      <c r="J676" s="248"/>
      <c r="K676" s="510"/>
      <c r="L676" s="345"/>
      <c r="M676" s="431"/>
    </row>
    <row r="677" spans="1:13" ht="15" hidden="1">
      <c r="A677" s="986"/>
      <c r="B677" s="812">
        <v>14866</v>
      </c>
      <c r="C677" s="666">
        <v>0.08</v>
      </c>
      <c r="D677" s="248" t="s">
        <v>489</v>
      </c>
      <c r="E677" s="682">
        <v>2700000</v>
      </c>
      <c r="F677" s="786">
        <v>0.04</v>
      </c>
      <c r="G677" s="431">
        <f t="shared" ref="G677:G686" si="37">E677*F677</f>
        <v>108000</v>
      </c>
      <c r="H677" s="431" t="s">
        <v>153</v>
      </c>
      <c r="I677" s="663"/>
      <c r="J677" s="247"/>
      <c r="K677" s="510"/>
      <c r="L677" s="345"/>
      <c r="M677" s="431"/>
    </row>
    <row r="678" spans="1:13" ht="15" hidden="1">
      <c r="A678" s="986"/>
      <c r="B678" s="609">
        <v>14922</v>
      </c>
      <c r="C678" s="337">
        <v>0.1</v>
      </c>
      <c r="D678" s="114" t="s">
        <v>490</v>
      </c>
      <c r="E678" s="510">
        <v>1900000</v>
      </c>
      <c r="F678" s="345">
        <v>0.1</v>
      </c>
      <c r="G678" s="431">
        <f t="shared" si="37"/>
        <v>190000</v>
      </c>
      <c r="H678" s="431" t="s">
        <v>318</v>
      </c>
      <c r="I678" s="663"/>
      <c r="J678" s="114"/>
      <c r="K678" s="510"/>
      <c r="L678" s="345"/>
      <c r="M678" s="431"/>
    </row>
    <row r="679" spans="1:13" ht="15" hidden="1">
      <c r="A679" s="986"/>
      <c r="B679" s="812">
        <v>15033</v>
      </c>
      <c r="C679" s="531">
        <v>0.1</v>
      </c>
      <c r="D679" s="424" t="s">
        <v>491</v>
      </c>
      <c r="E679" s="682">
        <v>1650000</v>
      </c>
      <c r="F679" s="345">
        <v>0.1</v>
      </c>
      <c r="G679" s="431">
        <f t="shared" si="37"/>
        <v>165000</v>
      </c>
      <c r="H679" s="431" t="s">
        <v>492</v>
      </c>
      <c r="I679" s="663"/>
      <c r="J679" s="114"/>
      <c r="K679" s="510"/>
      <c r="L679" s="345"/>
      <c r="M679" s="431"/>
    </row>
    <row r="680" spans="1:13" ht="15" hidden="1">
      <c r="A680" s="986"/>
      <c r="B680" s="663">
        <v>14969</v>
      </c>
      <c r="C680" s="605">
        <v>0.1</v>
      </c>
      <c r="D680" s="114" t="s">
        <v>493</v>
      </c>
      <c r="E680" s="510">
        <v>1300000</v>
      </c>
      <c r="F680" s="345">
        <v>0.1</v>
      </c>
      <c r="G680" s="431">
        <f t="shared" si="37"/>
        <v>130000</v>
      </c>
      <c r="H680" s="431" t="s">
        <v>153</v>
      </c>
      <c r="I680" s="671"/>
      <c r="J680" s="114"/>
      <c r="K680" s="510"/>
      <c r="L680" s="345"/>
      <c r="M680" s="431"/>
    </row>
    <row r="681" spans="1:13" ht="15" hidden="1">
      <c r="A681" s="986"/>
      <c r="B681" s="609">
        <v>14888</v>
      </c>
      <c r="C681" s="526">
        <v>0.08</v>
      </c>
      <c r="D681" s="247" t="s">
        <v>494</v>
      </c>
      <c r="E681" s="510">
        <v>1200000</v>
      </c>
      <c r="F681" s="786">
        <v>0.04</v>
      </c>
      <c r="G681" s="431">
        <f t="shared" si="37"/>
        <v>48000</v>
      </c>
      <c r="H681" s="431" t="s">
        <v>495</v>
      </c>
      <c r="I681" s="671"/>
      <c r="J681" s="114"/>
      <c r="K681" s="510"/>
      <c r="L681" s="345"/>
      <c r="M681" s="431"/>
    </row>
    <row r="682" spans="1:13" ht="15" hidden="1">
      <c r="A682" s="986"/>
      <c r="B682" s="609">
        <v>14993</v>
      </c>
      <c r="C682" s="605">
        <v>0.1</v>
      </c>
      <c r="D682" s="28" t="s">
        <v>496</v>
      </c>
      <c r="E682" s="510">
        <v>1700000</v>
      </c>
      <c r="F682" s="345">
        <v>0.1</v>
      </c>
      <c r="G682" s="431">
        <f t="shared" si="37"/>
        <v>170000</v>
      </c>
      <c r="H682" s="431" t="s">
        <v>153</v>
      </c>
      <c r="I682" s="671"/>
      <c r="J682" s="114"/>
      <c r="K682" s="510"/>
      <c r="L682" s="345"/>
      <c r="M682" s="431"/>
    </row>
    <row r="683" spans="1:13" ht="15" hidden="1">
      <c r="A683" s="986"/>
      <c r="B683" s="609">
        <v>15068</v>
      </c>
      <c r="C683" s="605">
        <v>0.1</v>
      </c>
      <c r="D683" s="114" t="s">
        <v>497</v>
      </c>
      <c r="E683" s="510">
        <v>1200000</v>
      </c>
      <c r="F683" s="345">
        <v>0.1</v>
      </c>
      <c r="G683" s="431">
        <f t="shared" si="37"/>
        <v>120000</v>
      </c>
      <c r="H683" s="431" t="s">
        <v>318</v>
      </c>
      <c r="I683" s="392"/>
      <c r="J683" s="247"/>
      <c r="K683" s="342"/>
      <c r="L683" s="407"/>
      <c r="M683" s="342"/>
    </row>
    <row r="684" spans="1:13" ht="15" hidden="1">
      <c r="A684" s="986"/>
      <c r="B684" s="609">
        <v>15016</v>
      </c>
      <c r="C684" s="605">
        <v>0.1</v>
      </c>
      <c r="D684" s="114" t="s">
        <v>498</v>
      </c>
      <c r="E684" s="510">
        <v>1650000</v>
      </c>
      <c r="F684" s="345">
        <v>0.1</v>
      </c>
      <c r="G684" s="431">
        <f t="shared" si="37"/>
        <v>165000</v>
      </c>
      <c r="H684" s="431" t="s">
        <v>153</v>
      </c>
      <c r="I684" s="392"/>
      <c r="J684" s="247"/>
      <c r="K684" s="342"/>
      <c r="L684" s="407"/>
      <c r="M684" s="342"/>
    </row>
    <row r="685" spans="1:13" ht="15" hidden="1">
      <c r="A685" s="986"/>
      <c r="B685" s="609">
        <v>15096</v>
      </c>
      <c r="C685" s="605">
        <v>0.1</v>
      </c>
      <c r="D685" s="114" t="s">
        <v>499</v>
      </c>
      <c r="E685" s="510">
        <v>1300000</v>
      </c>
      <c r="F685" s="345">
        <v>0.1</v>
      </c>
      <c r="G685" s="431">
        <f t="shared" si="37"/>
        <v>130000</v>
      </c>
      <c r="H685" s="431" t="s">
        <v>153</v>
      </c>
      <c r="I685" s="392"/>
      <c r="J685" s="247"/>
      <c r="K685" s="342"/>
      <c r="L685" s="407"/>
      <c r="M685" s="342"/>
    </row>
    <row r="686" spans="1:13" ht="15" hidden="1">
      <c r="A686" s="986"/>
      <c r="B686" s="658"/>
      <c r="C686" s="605">
        <v>0.1</v>
      </c>
      <c r="D686" s="114" t="s">
        <v>500</v>
      </c>
      <c r="E686" s="510">
        <v>2100000</v>
      </c>
      <c r="F686" s="345">
        <v>0.1</v>
      </c>
      <c r="G686" s="431">
        <f t="shared" si="37"/>
        <v>210000</v>
      </c>
      <c r="H686" s="813" t="s">
        <v>49</v>
      </c>
      <c r="I686" s="392"/>
      <c r="J686" s="247"/>
      <c r="K686" s="342"/>
      <c r="L686" s="407"/>
      <c r="M686" s="342"/>
    </row>
    <row r="687" spans="1:13" ht="15.75" hidden="1">
      <c r="A687" s="986"/>
      <c r="B687" s="52"/>
      <c r="C687" s="52"/>
      <c r="D687" s="52"/>
      <c r="E687" s="715">
        <f>SUM(E676:E686)</f>
        <v>18450000</v>
      </c>
      <c r="F687" s="52"/>
      <c r="G687" s="556">
        <f>SUM(G676:G686)</f>
        <v>1611000</v>
      </c>
      <c r="H687" s="656"/>
      <c r="I687" s="392"/>
      <c r="J687" s="247"/>
      <c r="K687" s="342"/>
      <c r="L687" s="407"/>
      <c r="M687" s="648"/>
    </row>
    <row r="688" spans="1:13" ht="18" hidden="1">
      <c r="A688" s="983" t="s">
        <v>318</v>
      </c>
      <c r="B688" s="983"/>
      <c r="C688" s="983"/>
      <c r="D688" s="983"/>
      <c r="E688" s="984"/>
      <c r="F688" s="984"/>
      <c r="G688" s="984"/>
      <c r="H688" s="984"/>
      <c r="I688" s="985"/>
      <c r="J688" s="985"/>
      <c r="K688" s="985"/>
      <c r="L688" s="985"/>
      <c r="M688" s="985"/>
    </row>
    <row r="689" spans="1:13" ht="18" hidden="1">
      <c r="A689" s="102" t="s">
        <v>2</v>
      </c>
      <c r="B689" s="102" t="s">
        <v>3</v>
      </c>
      <c r="C689" s="102" t="s">
        <v>4</v>
      </c>
      <c r="D689" s="102" t="s">
        <v>5</v>
      </c>
      <c r="E689" s="103" t="s">
        <v>6</v>
      </c>
      <c r="F689" s="103" t="s">
        <v>7</v>
      </c>
      <c r="G689" s="103" t="s">
        <v>8</v>
      </c>
      <c r="H689" s="103" t="s">
        <v>9</v>
      </c>
      <c r="I689" s="103" t="s">
        <v>3</v>
      </c>
      <c r="J689" s="103" t="s">
        <v>5</v>
      </c>
      <c r="K689" s="104" t="s">
        <v>10</v>
      </c>
      <c r="L689" s="105" t="s">
        <v>7</v>
      </c>
      <c r="M689" s="105" t="s">
        <v>11</v>
      </c>
    </row>
    <row r="690" spans="1:13" ht="15" hidden="1">
      <c r="A690" s="986" t="s">
        <v>501</v>
      </c>
      <c r="B690" s="609">
        <v>15020</v>
      </c>
      <c r="C690" s="337">
        <v>0.1</v>
      </c>
      <c r="D690" s="114" t="s">
        <v>472</v>
      </c>
      <c r="E690" s="729">
        <v>2100000</v>
      </c>
      <c r="F690" s="786">
        <v>0.05</v>
      </c>
      <c r="G690" s="697">
        <f>E690*F690</f>
        <v>105000</v>
      </c>
      <c r="H690" s="431" t="s">
        <v>502</v>
      </c>
      <c r="I690" s="609">
        <v>14922</v>
      </c>
      <c r="J690" s="114" t="s">
        <v>490</v>
      </c>
      <c r="K690" s="703">
        <v>1900000</v>
      </c>
      <c r="L690" s="522">
        <v>0.05</v>
      </c>
      <c r="M690" s="431">
        <f>K690*L690</f>
        <v>95000</v>
      </c>
    </row>
    <row r="691" spans="1:13" ht="15" hidden="1">
      <c r="A691" s="986"/>
      <c r="B691" s="609">
        <v>14908</v>
      </c>
      <c r="C691" s="337">
        <v>0.1</v>
      </c>
      <c r="D691" s="247" t="s">
        <v>503</v>
      </c>
      <c r="E691" s="770">
        <v>3200000</v>
      </c>
      <c r="F691" s="345">
        <v>0.1</v>
      </c>
      <c r="G691" s="697">
        <f>E691*F691</f>
        <v>320000</v>
      </c>
      <c r="H691" s="431" t="s">
        <v>388</v>
      </c>
      <c r="I691" s="609">
        <v>15068</v>
      </c>
      <c r="J691" s="114" t="s">
        <v>497</v>
      </c>
      <c r="K691" s="703">
        <v>1200000</v>
      </c>
      <c r="L691" s="522">
        <v>0.05</v>
      </c>
      <c r="M691" s="431">
        <f>K691*L691</f>
        <v>60000</v>
      </c>
    </row>
    <row r="692" spans="1:13" ht="15" hidden="1">
      <c r="A692" s="986"/>
      <c r="B692" s="229"/>
      <c r="C692" s="343">
        <v>0.08</v>
      </c>
      <c r="D692" s="114" t="s">
        <v>504</v>
      </c>
      <c r="E692" s="729">
        <v>1350000</v>
      </c>
      <c r="F692" s="786">
        <v>0.04</v>
      </c>
      <c r="G692" s="697">
        <f>E692*F692</f>
        <v>54000</v>
      </c>
      <c r="H692" s="431" t="s">
        <v>158</v>
      </c>
      <c r="I692" s="663"/>
      <c r="J692" s="114"/>
      <c r="K692" s="510"/>
      <c r="L692" s="345"/>
      <c r="M692" s="431"/>
    </row>
    <row r="693" spans="1:13" ht="15" hidden="1">
      <c r="A693" s="986"/>
      <c r="B693" s="609">
        <v>14921</v>
      </c>
      <c r="C693" s="337">
        <v>0.1</v>
      </c>
      <c r="D693" s="114" t="s">
        <v>505</v>
      </c>
      <c r="E693" s="729">
        <v>1300000</v>
      </c>
      <c r="F693" s="345">
        <v>0.06</v>
      </c>
      <c r="G693" s="697">
        <f t="shared" ref="G693:G697" si="38">E693*F693</f>
        <v>78000</v>
      </c>
      <c r="H693" s="431" t="s">
        <v>49</v>
      </c>
      <c r="I693" s="663"/>
      <c r="J693" s="114"/>
      <c r="K693" s="510"/>
      <c r="L693" s="345"/>
      <c r="M693" s="431"/>
    </row>
    <row r="694" spans="1:13" ht="15" hidden="1">
      <c r="A694" s="986"/>
      <c r="B694" s="609">
        <v>14872</v>
      </c>
      <c r="C694" s="337">
        <v>0.1</v>
      </c>
      <c r="D694" s="247" t="s">
        <v>506</v>
      </c>
      <c r="E694" s="729">
        <v>1900000</v>
      </c>
      <c r="F694" s="345">
        <v>0.06</v>
      </c>
      <c r="G694" s="697">
        <f t="shared" si="38"/>
        <v>114000</v>
      </c>
      <c r="H694" s="431" t="s">
        <v>49</v>
      </c>
      <c r="I694" s="671"/>
      <c r="J694" s="114"/>
      <c r="K694" s="510"/>
      <c r="L694" s="345"/>
      <c r="M694" s="431"/>
    </row>
    <row r="695" spans="1:13" ht="15" hidden="1">
      <c r="A695" s="986"/>
      <c r="B695" s="609">
        <v>14918</v>
      </c>
      <c r="C695" s="337">
        <v>0.1</v>
      </c>
      <c r="D695" s="52" t="s">
        <v>507</v>
      </c>
      <c r="E695" s="770">
        <v>1900000</v>
      </c>
      <c r="F695" s="345">
        <v>0.1</v>
      </c>
      <c r="G695" s="878">
        <f t="shared" si="38"/>
        <v>190000</v>
      </c>
      <c r="H695" s="432" t="s">
        <v>388</v>
      </c>
      <c r="I695" s="671"/>
      <c r="J695" s="114"/>
      <c r="K695" s="510"/>
      <c r="L695" s="345"/>
      <c r="M695" s="431"/>
    </row>
    <row r="696" spans="1:13" ht="15" hidden="1">
      <c r="A696" s="986"/>
      <c r="B696" s="587">
        <v>15120</v>
      </c>
      <c r="C696" s="337">
        <v>0.1</v>
      </c>
      <c r="D696" s="114" t="s">
        <v>508</v>
      </c>
      <c r="E696" s="634">
        <v>2300000</v>
      </c>
      <c r="F696" s="345">
        <v>0.1</v>
      </c>
      <c r="G696" s="697">
        <f t="shared" si="38"/>
        <v>230000</v>
      </c>
      <c r="H696" s="431" t="s">
        <v>388</v>
      </c>
      <c r="I696" s="671"/>
      <c r="J696" s="114"/>
      <c r="K696" s="510"/>
      <c r="L696" s="345"/>
      <c r="M696" s="431">
        <f>SUM(M690:M695)</f>
        <v>155000</v>
      </c>
    </row>
    <row r="697" spans="1:13" ht="15" hidden="1">
      <c r="A697" s="986"/>
      <c r="B697" s="609">
        <v>14972</v>
      </c>
      <c r="C697" s="337">
        <v>0.1</v>
      </c>
      <c r="D697" s="52" t="s">
        <v>509</v>
      </c>
      <c r="E697" s="634">
        <v>2300000</v>
      </c>
      <c r="F697" s="345">
        <v>0.1</v>
      </c>
      <c r="G697" s="697">
        <f t="shared" si="38"/>
        <v>230000</v>
      </c>
      <c r="H697" s="431" t="s">
        <v>388</v>
      </c>
      <c r="I697" s="613" t="s">
        <v>104</v>
      </c>
      <c r="J697" s="114"/>
      <c r="K697" s="510"/>
      <c r="L697" s="345"/>
      <c r="M697" s="431"/>
    </row>
    <row r="698" spans="1:13" ht="15" hidden="1">
      <c r="A698" s="986"/>
      <c r="B698" s="429"/>
      <c r="C698" s="429"/>
      <c r="D698" s="429"/>
      <c r="E698" s="52"/>
      <c r="F698" s="52"/>
      <c r="G698" s="52"/>
      <c r="H698" s="52"/>
      <c r="I698" s="868"/>
      <c r="J698" s="114"/>
      <c r="K698" s="510"/>
      <c r="L698" s="345"/>
      <c r="M698" s="431"/>
    </row>
    <row r="699" spans="1:13" ht="15" hidden="1">
      <c r="A699" s="986"/>
      <c r="B699" s="867" t="s">
        <v>486</v>
      </c>
      <c r="C699" s="493">
        <v>0.1</v>
      </c>
      <c r="D699" s="494" t="s">
        <v>510</v>
      </c>
      <c r="E699" s="510"/>
      <c r="F699" s="345"/>
      <c r="G699" s="697">
        <f>E699*F699</f>
        <v>0</v>
      </c>
      <c r="H699" s="431" t="s">
        <v>388</v>
      </c>
      <c r="I699" s="671"/>
      <c r="J699" s="114"/>
      <c r="K699" s="510"/>
      <c r="L699" s="345"/>
      <c r="M699" s="431"/>
    </row>
    <row r="700" spans="1:13" ht="15.75" hidden="1">
      <c r="A700" s="986"/>
      <c r="B700" s="429"/>
      <c r="C700" s="429"/>
      <c r="D700" s="429"/>
      <c r="E700" s="753">
        <f>SUM(E690:E699)</f>
        <v>16350000</v>
      </c>
      <c r="F700" s="429"/>
      <c r="G700" s="728">
        <f>SUM(G690:G699)</f>
        <v>1321000</v>
      </c>
      <c r="H700" s="870"/>
      <c r="I700" s="392"/>
      <c r="J700" s="247"/>
      <c r="K700" s="342"/>
      <c r="L700" s="407"/>
      <c r="M700" s="884">
        <f>G700+M696</f>
        <v>1476000</v>
      </c>
    </row>
    <row r="701" spans="1:13" ht="18" hidden="1">
      <c r="A701" s="983" t="s">
        <v>511</v>
      </c>
      <c r="B701" s="983"/>
      <c r="C701" s="983"/>
      <c r="D701" s="983"/>
      <c r="E701" s="984"/>
      <c r="F701" s="984"/>
      <c r="G701" s="984"/>
      <c r="H701" s="984"/>
      <c r="I701" s="985"/>
      <c r="J701" s="985"/>
      <c r="K701" s="985"/>
      <c r="L701" s="985"/>
      <c r="M701" s="985"/>
    </row>
    <row r="702" spans="1:13" ht="18" hidden="1">
      <c r="A702" s="102" t="s">
        <v>2</v>
      </c>
      <c r="B702" s="102" t="s">
        <v>3</v>
      </c>
      <c r="C702" s="102" t="s">
        <v>4</v>
      </c>
      <c r="D702" s="102" t="s">
        <v>5</v>
      </c>
      <c r="E702" s="103" t="s">
        <v>6</v>
      </c>
      <c r="F702" s="103" t="s">
        <v>7</v>
      </c>
      <c r="G702" s="103" t="s">
        <v>8</v>
      </c>
      <c r="H702" s="103" t="s">
        <v>9</v>
      </c>
      <c r="I702" s="103" t="s">
        <v>3</v>
      </c>
      <c r="J702" s="103" t="s">
        <v>5</v>
      </c>
      <c r="K702" s="104" t="s">
        <v>10</v>
      </c>
      <c r="L702" s="105" t="s">
        <v>7</v>
      </c>
      <c r="M702" s="105" t="s">
        <v>11</v>
      </c>
    </row>
    <row r="703" spans="1:13" ht="15" hidden="1">
      <c r="A703" s="986"/>
      <c r="B703" s="493" t="s">
        <v>486</v>
      </c>
      <c r="C703" s="872"/>
      <c r="D703" s="494" t="s">
        <v>512</v>
      </c>
      <c r="E703" s="510"/>
      <c r="F703" s="615"/>
      <c r="G703" s="431"/>
      <c r="H703" s="731"/>
      <c r="I703" s="663"/>
      <c r="J703" s="248"/>
      <c r="K703" s="510"/>
      <c r="L703" s="345"/>
      <c r="M703" s="431"/>
    </row>
    <row r="704" spans="1:13" ht="15" hidden="1">
      <c r="A704" s="986"/>
      <c r="B704" s="493" t="s">
        <v>486</v>
      </c>
      <c r="C704" s="493"/>
      <c r="D704" s="873" t="s">
        <v>513</v>
      </c>
      <c r="E704" s="510"/>
      <c r="F704" s="345"/>
      <c r="G704" s="431"/>
      <c r="H704" s="731"/>
      <c r="I704" s="663"/>
      <c r="J704" s="247"/>
      <c r="K704" s="510"/>
      <c r="L704" s="345"/>
      <c r="M704" s="431"/>
    </row>
    <row r="705" spans="1:15" ht="15" hidden="1">
      <c r="A705" s="986"/>
      <c r="B705" s="664"/>
      <c r="C705" s="343"/>
      <c r="D705" s="248"/>
      <c r="E705" s="510"/>
      <c r="F705" s="345"/>
      <c r="G705" s="431"/>
      <c r="H705" s="731"/>
      <c r="I705" s="663"/>
      <c r="J705" s="114"/>
      <c r="K705" s="510"/>
      <c r="L705" s="345"/>
      <c r="M705" s="431"/>
    </row>
    <row r="706" spans="1:15" ht="15" hidden="1">
      <c r="A706" s="986"/>
      <c r="B706" s="663"/>
      <c r="C706" s="337"/>
      <c r="D706" s="114"/>
      <c r="E706" s="510"/>
      <c r="F706" s="345"/>
      <c r="G706" s="431"/>
      <c r="H706" s="731"/>
      <c r="I706" s="663"/>
      <c r="J706" s="114"/>
      <c r="K706" s="510"/>
      <c r="L706" s="345"/>
      <c r="M706" s="431"/>
    </row>
    <row r="707" spans="1:15" ht="15" hidden="1">
      <c r="A707" s="986"/>
      <c r="B707" s="663"/>
      <c r="C707" s="343"/>
      <c r="D707" s="114"/>
      <c r="E707" s="510"/>
      <c r="F707" s="345"/>
      <c r="G707" s="431"/>
      <c r="H707" s="696"/>
      <c r="I707" s="663"/>
      <c r="J707" s="114"/>
      <c r="K707" s="510"/>
      <c r="L707" s="345"/>
      <c r="M707" s="431"/>
    </row>
    <row r="708" spans="1:15" ht="15" hidden="1">
      <c r="A708" s="986"/>
      <c r="B708" s="665"/>
      <c r="C708" s="531"/>
      <c r="D708" s="424"/>
      <c r="E708" s="682"/>
      <c r="F708" s="522"/>
      <c r="G708" s="431"/>
      <c r="H708" s="696"/>
      <c r="I708" s="392"/>
      <c r="J708" s="247"/>
      <c r="K708" s="342"/>
      <c r="L708" s="407"/>
      <c r="M708" s="342"/>
    </row>
    <row r="709" spans="1:15" ht="15.75" hidden="1">
      <c r="A709" s="986"/>
      <c r="B709" s="52"/>
      <c r="C709" s="52"/>
      <c r="D709" s="52"/>
      <c r="E709" s="715">
        <f>SUM(E703:E708)</f>
        <v>0</v>
      </c>
      <c r="F709" s="52"/>
      <c r="G709" s="556">
        <f>SUM(G703:G708)</f>
        <v>0</v>
      </c>
      <c r="H709" s="656"/>
      <c r="I709" s="392"/>
      <c r="J709" s="247"/>
      <c r="K709" s="342"/>
      <c r="L709" s="407"/>
      <c r="M709" s="648"/>
    </row>
    <row r="710" spans="1:15" hidden="1"/>
    <row r="711" spans="1:15" ht="18" hidden="1">
      <c r="A711" s="983" t="s">
        <v>49</v>
      </c>
      <c r="B711" s="983"/>
      <c r="C711" s="983"/>
      <c r="D711" s="983"/>
      <c r="E711" s="984"/>
      <c r="F711" s="984"/>
      <c r="G711" s="984"/>
      <c r="H711" s="984"/>
      <c r="I711" s="985"/>
      <c r="J711" s="985"/>
      <c r="K711" s="985"/>
      <c r="L711" s="985"/>
      <c r="M711" s="985"/>
    </row>
    <row r="712" spans="1:15" ht="18" hidden="1">
      <c r="A712" s="102" t="s">
        <v>2</v>
      </c>
      <c r="B712" s="102" t="s">
        <v>3</v>
      </c>
      <c r="C712" s="102" t="s">
        <v>4</v>
      </c>
      <c r="D712" s="102" t="s">
        <v>5</v>
      </c>
      <c r="E712" s="103" t="s">
        <v>6</v>
      </c>
      <c r="F712" s="103" t="s">
        <v>7</v>
      </c>
      <c r="G712" s="103" t="s">
        <v>8</v>
      </c>
      <c r="H712" s="103" t="s">
        <v>9</v>
      </c>
      <c r="I712" s="103" t="s">
        <v>3</v>
      </c>
      <c r="J712" s="103" t="s">
        <v>5</v>
      </c>
      <c r="K712" s="104" t="s">
        <v>10</v>
      </c>
      <c r="L712" s="105" t="s">
        <v>7</v>
      </c>
      <c r="M712" s="105" t="s">
        <v>11</v>
      </c>
    </row>
    <row r="713" spans="1:15" ht="15" hidden="1">
      <c r="A713" s="986"/>
      <c r="B713" s="794">
        <v>14865</v>
      </c>
      <c r="C713" s="605">
        <v>0.1</v>
      </c>
      <c r="D713" s="114" t="s">
        <v>514</v>
      </c>
      <c r="E713" s="510">
        <v>1200000</v>
      </c>
      <c r="F713" s="615"/>
      <c r="G713" s="431" t="s">
        <v>49</v>
      </c>
      <c r="H713" s="731"/>
      <c r="I713" s="609">
        <v>15098</v>
      </c>
      <c r="J713" s="879" t="s">
        <v>480</v>
      </c>
      <c r="K713" s="510">
        <v>3100000</v>
      </c>
      <c r="L713" s="52"/>
      <c r="M713" s="431"/>
    </row>
    <row r="714" spans="1:15" ht="15" hidden="1">
      <c r="A714" s="986"/>
      <c r="B714" s="664"/>
      <c r="C714" s="337"/>
      <c r="D714" s="247"/>
      <c r="E714" s="510"/>
      <c r="F714" s="345"/>
      <c r="G714" s="431"/>
      <c r="H714" s="731"/>
      <c r="I714" s="587">
        <v>15117</v>
      </c>
      <c r="J714" s="446" t="s">
        <v>482</v>
      </c>
      <c r="K714" s="510">
        <v>2100000</v>
      </c>
      <c r="L714" s="52"/>
      <c r="M714" s="431"/>
    </row>
    <row r="715" spans="1:15" ht="15" hidden="1">
      <c r="A715" s="986"/>
      <c r="B715" s="664"/>
      <c r="C715" s="343"/>
      <c r="D715" s="248"/>
      <c r="E715" s="510"/>
      <c r="F715" s="345"/>
      <c r="G715" s="431"/>
      <c r="H715" s="731"/>
      <c r="I715" s="609">
        <v>14921</v>
      </c>
      <c r="J715" s="446" t="s">
        <v>505</v>
      </c>
      <c r="K715" s="510">
        <v>1300000</v>
      </c>
      <c r="L715" s="52"/>
      <c r="M715" s="345"/>
      <c r="N715" s="880">
        <f>K715*M715</f>
        <v>0</v>
      </c>
      <c r="O715" s="431" t="s">
        <v>49</v>
      </c>
    </row>
    <row r="716" spans="1:15" ht="15" hidden="1">
      <c r="A716" s="986"/>
      <c r="B716" s="663"/>
      <c r="C716" s="337"/>
      <c r="D716" s="114"/>
      <c r="E716" s="510"/>
      <c r="F716" s="345"/>
      <c r="G716" s="431"/>
      <c r="H716" s="731"/>
      <c r="I716" s="609">
        <v>14872</v>
      </c>
      <c r="J716" s="604" t="s">
        <v>506</v>
      </c>
      <c r="K716" s="510">
        <v>1900000</v>
      </c>
      <c r="L716" s="52"/>
      <c r="M716" s="345"/>
      <c r="N716" s="880">
        <f>K716*M716</f>
        <v>0</v>
      </c>
      <c r="O716" s="431" t="s">
        <v>49</v>
      </c>
    </row>
    <row r="717" spans="1:15" ht="15" hidden="1">
      <c r="A717" s="986"/>
      <c r="B717" s="663"/>
      <c r="C717" s="343"/>
      <c r="D717" s="114"/>
      <c r="E717" s="510"/>
      <c r="F717" s="345"/>
      <c r="G717" s="431"/>
      <c r="H717" s="696"/>
      <c r="I717" s="658"/>
      <c r="J717" s="446" t="s">
        <v>500</v>
      </c>
      <c r="K717" s="510">
        <v>2100000</v>
      </c>
      <c r="L717" s="52"/>
      <c r="M717" s="431"/>
    </row>
    <row r="718" spans="1:15" ht="15" hidden="1">
      <c r="A718" s="986"/>
      <c r="B718" s="665"/>
      <c r="C718" s="531"/>
      <c r="D718" s="424"/>
      <c r="E718" s="682"/>
      <c r="F718" s="522"/>
      <c r="G718" s="431"/>
      <c r="H718" s="696"/>
      <c r="I718" s="392"/>
      <c r="J718" s="604"/>
      <c r="K718" s="342"/>
      <c r="L718" s="407"/>
      <c r="M718" s="342"/>
    </row>
    <row r="719" spans="1:15" ht="15.75" hidden="1">
      <c r="A719" s="986"/>
      <c r="B719" s="52"/>
      <c r="C719" s="52"/>
      <c r="D719" s="52"/>
      <c r="E719" s="715">
        <f>SUM(E713:E718)</f>
        <v>1200000</v>
      </c>
      <c r="F719" s="52"/>
      <c r="G719" s="556">
        <f>SUM(G713:G718)</f>
        <v>0</v>
      </c>
      <c r="H719" s="656"/>
      <c r="I719" s="392"/>
      <c r="J719" s="247"/>
      <c r="K719" s="635">
        <f>SUM(K713:K718)</f>
        <v>10500000</v>
      </c>
      <c r="L719" s="636"/>
      <c r="M719" s="881"/>
    </row>
    <row r="720" spans="1:15" ht="18" hidden="1">
      <c r="A720" s="992" t="s">
        <v>50</v>
      </c>
      <c r="B720" s="992"/>
      <c r="C720" s="992"/>
      <c r="D720" s="147">
        <f>E719+E700+E687+E672</f>
        <v>64000000</v>
      </c>
    </row>
    <row r="721" spans="1:13" ht="18" hidden="1">
      <c r="A721" s="993" t="s">
        <v>51</v>
      </c>
      <c r="B721" s="993"/>
      <c r="C721" s="993"/>
      <c r="D721" s="416"/>
    </row>
    <row r="722" spans="1:13" ht="18" hidden="1">
      <c r="A722" s="994" t="s">
        <v>52</v>
      </c>
      <c r="B722" s="994"/>
      <c r="C722" s="994"/>
      <c r="D722" s="416"/>
    </row>
    <row r="723" spans="1:13" ht="18" hidden="1">
      <c r="A723" s="710" t="s">
        <v>59</v>
      </c>
      <c r="B723" s="710"/>
      <c r="C723" s="710"/>
      <c r="D723" s="147"/>
    </row>
    <row r="724" spans="1:13" hidden="1"/>
    <row r="725" spans="1:13" ht="31.5">
      <c r="A725" s="987" t="s">
        <v>515</v>
      </c>
      <c r="B725" s="987"/>
      <c r="C725" s="987"/>
      <c r="D725" s="987"/>
      <c r="E725" s="987"/>
      <c r="F725" s="987"/>
      <c r="G725" s="987"/>
      <c r="H725" s="987"/>
      <c r="I725" s="987"/>
      <c r="J725" s="987"/>
      <c r="K725" s="987"/>
      <c r="L725" s="987"/>
      <c r="M725" s="987"/>
    </row>
    <row r="726" spans="1:13" ht="18" hidden="1">
      <c r="A726" s="983" t="s">
        <v>369</v>
      </c>
      <c r="B726" s="983"/>
      <c r="C726" s="983"/>
      <c r="D726" s="983"/>
      <c r="E726" s="984"/>
      <c r="F726" s="984"/>
      <c r="G726" s="984"/>
      <c r="H726" s="984"/>
      <c r="I726" s="985"/>
      <c r="J726" s="985"/>
      <c r="K726" s="985"/>
      <c r="L726" s="985"/>
      <c r="M726" s="985"/>
    </row>
    <row r="727" spans="1:13" ht="18" hidden="1">
      <c r="A727" s="102" t="s">
        <v>2</v>
      </c>
      <c r="B727" s="102" t="s">
        <v>3</v>
      </c>
      <c r="C727" s="102" t="s">
        <v>4</v>
      </c>
      <c r="D727" s="102" t="s">
        <v>5</v>
      </c>
      <c r="E727" s="103" t="s">
        <v>6</v>
      </c>
      <c r="F727" s="103" t="s">
        <v>7</v>
      </c>
      <c r="G727" s="103" t="s">
        <v>8</v>
      </c>
      <c r="H727" s="103" t="s">
        <v>9</v>
      </c>
      <c r="I727" s="103" t="s">
        <v>3</v>
      </c>
      <c r="J727" s="103" t="s">
        <v>5</v>
      </c>
      <c r="K727" s="104" t="s">
        <v>10</v>
      </c>
      <c r="L727" s="105" t="s">
        <v>7</v>
      </c>
      <c r="M727" s="105" t="s">
        <v>11</v>
      </c>
    </row>
    <row r="728" spans="1:13" ht="14.25" hidden="1">
      <c r="A728" s="982">
        <v>20</v>
      </c>
      <c r="B728" s="811">
        <v>15252</v>
      </c>
      <c r="C728" s="343">
        <v>0.08</v>
      </c>
      <c r="D728" s="114" t="s">
        <v>516</v>
      </c>
      <c r="E728" s="510">
        <v>2250000</v>
      </c>
      <c r="F728" s="337">
        <v>0.1</v>
      </c>
      <c r="G728" s="431">
        <f>E728*F728</f>
        <v>225000</v>
      </c>
      <c r="H728" s="731" t="s">
        <v>372</v>
      </c>
      <c r="I728" s="811">
        <v>15181</v>
      </c>
      <c r="J728" s="114" t="s">
        <v>487</v>
      </c>
      <c r="K728" s="510">
        <v>2000000</v>
      </c>
      <c r="L728" s="343">
        <v>0.05</v>
      </c>
      <c r="M728" s="431">
        <f>K728*L728</f>
        <v>100000</v>
      </c>
    </row>
    <row r="729" spans="1:13" ht="14.25" hidden="1">
      <c r="A729" s="982"/>
      <c r="B729" s="811">
        <v>15268</v>
      </c>
      <c r="C729" s="343">
        <v>0.08</v>
      </c>
      <c r="D729" s="114" t="s">
        <v>517</v>
      </c>
      <c r="E729" s="510">
        <v>2350000</v>
      </c>
      <c r="F729" s="337">
        <v>0.1</v>
      </c>
      <c r="G729" s="431">
        <f t="shared" ref="G729:G735" si="39">E729*F729</f>
        <v>235000</v>
      </c>
      <c r="H729" s="731" t="s">
        <v>372</v>
      </c>
      <c r="I729" s="811">
        <v>15297</v>
      </c>
      <c r="J729" s="247" t="s">
        <v>518</v>
      </c>
      <c r="K729" s="510">
        <v>1300000</v>
      </c>
      <c r="L729" s="343">
        <v>0.05</v>
      </c>
      <c r="M729" s="431">
        <f>K729*L729</f>
        <v>65000</v>
      </c>
    </row>
    <row r="730" spans="1:13" ht="14.25" hidden="1">
      <c r="A730" s="982"/>
      <c r="B730" s="811">
        <v>15308</v>
      </c>
      <c r="C730" s="337">
        <v>0.1</v>
      </c>
      <c r="D730" s="114" t="s">
        <v>519</v>
      </c>
      <c r="E730" s="510">
        <v>2200000</v>
      </c>
      <c r="F730" s="337">
        <v>0.12</v>
      </c>
      <c r="G730" s="431">
        <f t="shared" si="39"/>
        <v>264000</v>
      </c>
      <c r="H730" s="731" t="s">
        <v>372</v>
      </c>
      <c r="I730" s="811">
        <v>15355</v>
      </c>
      <c r="J730" s="114" t="s">
        <v>520</v>
      </c>
      <c r="K730" s="510">
        <v>2500000</v>
      </c>
      <c r="L730" s="343">
        <v>0.05</v>
      </c>
      <c r="M730" s="431">
        <f>K730*L730</f>
        <v>125000</v>
      </c>
    </row>
    <row r="731" spans="1:13" ht="14.25" hidden="1">
      <c r="A731" s="982"/>
      <c r="B731" s="811">
        <v>15331</v>
      </c>
      <c r="C731" s="343">
        <v>0.09</v>
      </c>
      <c r="D731" s="114" t="s">
        <v>521</v>
      </c>
      <c r="E731" s="510">
        <v>6000000</v>
      </c>
      <c r="F731" s="337">
        <v>0.1</v>
      </c>
      <c r="G731" s="431">
        <f t="shared" si="39"/>
        <v>600000</v>
      </c>
      <c r="H731" s="731" t="s">
        <v>372</v>
      </c>
      <c r="I731" s="663"/>
      <c r="J731" s="114"/>
      <c r="K731" s="510"/>
      <c r="L731" s="52"/>
      <c r="M731" s="431"/>
    </row>
    <row r="732" spans="1:13" ht="14.25" hidden="1">
      <c r="A732" s="982"/>
      <c r="B732" s="893" t="s">
        <v>348</v>
      </c>
      <c r="C732" s="337">
        <v>0.1</v>
      </c>
      <c r="D732" s="437" t="s">
        <v>522</v>
      </c>
      <c r="E732" s="510"/>
      <c r="F732" s="114"/>
      <c r="G732" s="431">
        <f t="shared" si="39"/>
        <v>0</v>
      </c>
      <c r="H732" s="731" t="s">
        <v>372</v>
      </c>
      <c r="I732" s="663"/>
      <c r="J732" s="114"/>
      <c r="K732" s="510"/>
      <c r="L732" s="52"/>
      <c r="M732" s="431"/>
    </row>
    <row r="733" spans="1:13" ht="14.25" hidden="1">
      <c r="A733" s="982"/>
      <c r="B733" s="811">
        <v>15166</v>
      </c>
      <c r="C733" s="25">
        <v>0.1</v>
      </c>
      <c r="D733" s="114" t="s">
        <v>523</v>
      </c>
      <c r="E733" s="510">
        <v>5300000</v>
      </c>
      <c r="F733" s="337">
        <v>0.12</v>
      </c>
      <c r="G733" s="431">
        <f t="shared" si="39"/>
        <v>636000</v>
      </c>
      <c r="H733" s="731" t="s">
        <v>372</v>
      </c>
      <c r="I733" s="114"/>
      <c r="J733" s="114"/>
      <c r="K733" s="510"/>
      <c r="L733" s="52"/>
      <c r="M733" s="431"/>
    </row>
    <row r="734" spans="1:13" ht="15" hidden="1">
      <c r="A734" s="982"/>
      <c r="B734" s="811">
        <v>15184</v>
      </c>
      <c r="C734" s="25">
        <v>0.1</v>
      </c>
      <c r="D734" s="247" t="s">
        <v>524</v>
      </c>
      <c r="E734" s="510">
        <v>2500000</v>
      </c>
      <c r="F734" s="345">
        <v>0.06</v>
      </c>
      <c r="G734" s="431">
        <f t="shared" si="39"/>
        <v>150000</v>
      </c>
      <c r="H734" s="731" t="s">
        <v>49</v>
      </c>
      <c r="I734" s="663"/>
      <c r="J734" s="114"/>
      <c r="K734" s="510"/>
      <c r="L734" s="52"/>
      <c r="M734" s="431"/>
    </row>
    <row r="735" spans="1:13" ht="14.25" hidden="1">
      <c r="A735" s="982"/>
      <c r="B735" s="811">
        <v>15234</v>
      </c>
      <c r="C735" s="25">
        <v>0.1</v>
      </c>
      <c r="D735" s="114" t="s">
        <v>525</v>
      </c>
      <c r="E735" s="510">
        <v>3400000</v>
      </c>
      <c r="F735" s="337">
        <v>0.12</v>
      </c>
      <c r="G735" s="431">
        <f t="shared" si="39"/>
        <v>408000</v>
      </c>
      <c r="H735" s="731" t="s">
        <v>372</v>
      </c>
      <c r="I735" s="663"/>
      <c r="J735" s="114"/>
      <c r="K735" s="510"/>
      <c r="L735" s="52"/>
      <c r="M735" s="431">
        <f>SUM(M728:M734)</f>
        <v>290000</v>
      </c>
    </row>
    <row r="736" spans="1:13" ht="15" hidden="1">
      <c r="A736" s="982"/>
      <c r="B736" s="898"/>
      <c r="C736" s="25"/>
      <c r="D736" s="247"/>
      <c r="E736" s="510"/>
      <c r="F736" s="345"/>
      <c r="G736" s="431"/>
      <c r="H736" s="731"/>
      <c r="I736" s="663"/>
      <c r="J736" s="114"/>
      <c r="K736" s="510"/>
      <c r="L736" s="52"/>
      <c r="M736" s="431"/>
    </row>
    <row r="737" spans="1:13" ht="15.75" hidden="1">
      <c r="A737" s="982"/>
      <c r="B737" s="52"/>
      <c r="C737" s="52"/>
      <c r="D737" s="52"/>
      <c r="E737" s="715">
        <f>SUM(E728:E736)</f>
        <v>24000000</v>
      </c>
      <c r="F737" s="52"/>
      <c r="G737" s="556">
        <f>SUM(G728:G736)</f>
        <v>2518000</v>
      </c>
      <c r="H737" s="340"/>
      <c r="I737" s="399"/>
      <c r="J737" s="247"/>
      <c r="K737" s="342"/>
      <c r="L737" s="407"/>
      <c r="M737" s="648">
        <f>G737+M735</f>
        <v>2808000</v>
      </c>
    </row>
    <row r="738" spans="1:13" ht="18" hidden="1">
      <c r="A738" s="988" t="s">
        <v>107</v>
      </c>
      <c r="B738" s="988"/>
      <c r="C738" s="988"/>
      <c r="D738" s="988"/>
      <c r="E738" s="988"/>
      <c r="F738" s="988"/>
      <c r="G738" s="988"/>
      <c r="H738" s="988"/>
      <c r="I738" s="988"/>
      <c r="J738" s="988"/>
      <c r="K738" s="988"/>
      <c r="L738" s="988"/>
      <c r="M738" s="988"/>
    </row>
    <row r="739" spans="1:13" ht="18" hidden="1">
      <c r="A739" s="149" t="s">
        <v>2</v>
      </c>
      <c r="B739" s="149" t="s">
        <v>3</v>
      </c>
      <c r="C739" s="149" t="s">
        <v>4</v>
      </c>
      <c r="D739" s="149" t="s">
        <v>5</v>
      </c>
      <c r="E739" s="149" t="s">
        <v>6</v>
      </c>
      <c r="F739" s="149" t="s">
        <v>7</v>
      </c>
      <c r="G739" s="149" t="s">
        <v>8</v>
      </c>
      <c r="H739" s="149" t="s">
        <v>9</v>
      </c>
      <c r="I739" s="149" t="s">
        <v>3</v>
      </c>
      <c r="J739" s="149" t="s">
        <v>5</v>
      </c>
      <c r="K739" s="149" t="s">
        <v>10</v>
      </c>
      <c r="L739" s="149" t="s">
        <v>7</v>
      </c>
      <c r="M739" s="149" t="s">
        <v>11</v>
      </c>
    </row>
    <row r="740" spans="1:13" ht="14.25" hidden="1" customHeight="1">
      <c r="A740" s="982">
        <v>24</v>
      </c>
      <c r="B740" s="811" t="s">
        <v>526</v>
      </c>
      <c r="C740" s="25">
        <v>0.1</v>
      </c>
      <c r="D740" s="114" t="s">
        <v>527</v>
      </c>
      <c r="E740" s="510">
        <v>1450000</v>
      </c>
      <c r="F740" s="337">
        <v>0.1</v>
      </c>
      <c r="G740" s="697">
        <f>E740*F740</f>
        <v>145000</v>
      </c>
      <c r="H740" s="431" t="s">
        <v>153</v>
      </c>
      <c r="I740" s="811">
        <v>15354</v>
      </c>
      <c r="J740" s="114" t="s">
        <v>528</v>
      </c>
      <c r="K740" s="510">
        <v>1800000</v>
      </c>
      <c r="L740" s="343">
        <v>0.05</v>
      </c>
      <c r="M740" s="431">
        <f>K740*L740</f>
        <v>90000</v>
      </c>
    </row>
    <row r="741" spans="1:13" ht="15" hidden="1" customHeight="1">
      <c r="A741" s="982"/>
      <c r="B741" s="811">
        <v>15154</v>
      </c>
      <c r="C741" s="25">
        <v>0.1</v>
      </c>
      <c r="D741" s="114" t="s">
        <v>529</v>
      </c>
      <c r="E741" s="510">
        <v>1750000</v>
      </c>
      <c r="F741" s="337">
        <v>0.1</v>
      </c>
      <c r="G741" s="697">
        <f t="shared" ref="G741:G750" si="40">E741*F741</f>
        <v>175000</v>
      </c>
      <c r="H741" s="431" t="s">
        <v>153</v>
      </c>
      <c r="I741" s="811">
        <v>15291</v>
      </c>
      <c r="J741" s="114" t="s">
        <v>530</v>
      </c>
      <c r="K741" s="510">
        <v>2600000</v>
      </c>
      <c r="L741" s="343">
        <v>0.05</v>
      </c>
      <c r="M741" s="431">
        <f t="shared" ref="M741:M744" si="41">K741*L741</f>
        <v>130000</v>
      </c>
    </row>
    <row r="742" spans="1:13" ht="15" hidden="1" customHeight="1">
      <c r="A742" s="982"/>
      <c r="B742" s="811" t="s">
        <v>531</v>
      </c>
      <c r="C742" s="343">
        <v>0.08</v>
      </c>
      <c r="D742" s="114" t="s">
        <v>532</v>
      </c>
      <c r="E742" s="510">
        <v>2100000</v>
      </c>
      <c r="F742" s="343">
        <v>0.04</v>
      </c>
      <c r="G742" s="697">
        <f t="shared" si="40"/>
        <v>84000</v>
      </c>
      <c r="H742" s="431" t="s">
        <v>533</v>
      </c>
      <c r="I742" s="811">
        <v>15350</v>
      </c>
      <c r="J742" s="114" t="s">
        <v>534</v>
      </c>
      <c r="K742" s="510">
        <v>2550000</v>
      </c>
      <c r="L742" s="343">
        <v>0.05</v>
      </c>
      <c r="M742" s="431">
        <f t="shared" si="41"/>
        <v>127500</v>
      </c>
    </row>
    <row r="743" spans="1:13" ht="15" hidden="1" customHeight="1">
      <c r="A743" s="982"/>
      <c r="B743" s="811">
        <v>15181</v>
      </c>
      <c r="C743" s="25">
        <v>0.1</v>
      </c>
      <c r="D743" s="114" t="s">
        <v>487</v>
      </c>
      <c r="E743" s="510">
        <v>2000000</v>
      </c>
      <c r="F743" s="337">
        <v>0.05</v>
      </c>
      <c r="G743" s="697">
        <f t="shared" si="40"/>
        <v>100000</v>
      </c>
      <c r="H743" s="431" t="s">
        <v>372</v>
      </c>
      <c r="I743" s="663"/>
      <c r="J743" s="114" t="s">
        <v>535</v>
      </c>
      <c r="K743" s="510">
        <v>2000000</v>
      </c>
      <c r="L743" s="343">
        <v>0.05</v>
      </c>
      <c r="M743" s="431">
        <f t="shared" si="41"/>
        <v>100000</v>
      </c>
    </row>
    <row r="744" spans="1:13" ht="14.25" hidden="1" customHeight="1">
      <c r="A744" s="982"/>
      <c r="B744" s="811">
        <v>15280</v>
      </c>
      <c r="C744" s="25">
        <v>0.1</v>
      </c>
      <c r="D744" s="114" t="s">
        <v>536</v>
      </c>
      <c r="E744" s="510">
        <v>1800000</v>
      </c>
      <c r="F744" s="337">
        <v>0.05</v>
      </c>
      <c r="G744" s="697">
        <f t="shared" si="40"/>
        <v>90000</v>
      </c>
      <c r="H744" s="431" t="s">
        <v>241</v>
      </c>
      <c r="I744" s="811">
        <v>15163</v>
      </c>
      <c r="J744" s="114" t="s">
        <v>537</v>
      </c>
      <c r="K744" s="510">
        <v>1500000</v>
      </c>
      <c r="L744" s="343">
        <v>0.05</v>
      </c>
      <c r="M744" s="431">
        <f t="shared" si="41"/>
        <v>75000</v>
      </c>
    </row>
    <row r="745" spans="1:13" ht="14.25" hidden="1" customHeight="1">
      <c r="A745" s="982"/>
      <c r="B745" s="811">
        <v>15289</v>
      </c>
      <c r="C745" s="25">
        <v>0.1</v>
      </c>
      <c r="D745" s="114" t="s">
        <v>538</v>
      </c>
      <c r="E745" s="510">
        <v>1600000</v>
      </c>
      <c r="F745" s="343">
        <v>0.06</v>
      </c>
      <c r="G745" s="697">
        <f t="shared" si="40"/>
        <v>96000</v>
      </c>
      <c r="H745" s="431" t="s">
        <v>49</v>
      </c>
      <c r="I745" s="663"/>
      <c r="J745" s="114"/>
      <c r="K745" s="510"/>
      <c r="L745" s="114"/>
      <c r="M745" s="431"/>
    </row>
    <row r="746" spans="1:13" ht="14.25" hidden="1" customHeight="1">
      <c r="A746" s="982"/>
      <c r="B746" s="811">
        <v>15397</v>
      </c>
      <c r="C746" s="25">
        <v>0.1</v>
      </c>
      <c r="D746" s="114" t="s">
        <v>539</v>
      </c>
      <c r="E746" s="510">
        <v>1350000</v>
      </c>
      <c r="F746" s="343">
        <v>0.06</v>
      </c>
      <c r="G746" s="697">
        <f t="shared" si="40"/>
        <v>81000</v>
      </c>
      <c r="H746" s="431" t="s">
        <v>49</v>
      </c>
      <c r="I746" s="663"/>
      <c r="J746" s="114"/>
      <c r="K746" s="510"/>
      <c r="L746" s="52"/>
      <c r="M746" s="431">
        <f>SUM(M740:M745)</f>
        <v>522500</v>
      </c>
    </row>
    <row r="747" spans="1:13" ht="14.25" hidden="1" customHeight="1">
      <c r="A747" s="982"/>
      <c r="B747" s="811">
        <v>15334</v>
      </c>
      <c r="C747" s="25">
        <v>0.1</v>
      </c>
      <c r="D747" s="114" t="s">
        <v>540</v>
      </c>
      <c r="E747" s="510">
        <v>1750000</v>
      </c>
      <c r="F747" s="343">
        <v>0.06</v>
      </c>
      <c r="G747" s="697">
        <f t="shared" si="40"/>
        <v>105000</v>
      </c>
      <c r="H747" s="431" t="s">
        <v>49</v>
      </c>
      <c r="I747" s="399"/>
      <c r="J747" s="247"/>
      <c r="K747" s="342"/>
      <c r="L747" s="407"/>
      <c r="M747" s="342"/>
    </row>
    <row r="748" spans="1:13" ht="14.25" hidden="1" customHeight="1">
      <c r="A748" s="982"/>
      <c r="B748" s="811">
        <v>15174</v>
      </c>
      <c r="C748" s="25">
        <v>0.1</v>
      </c>
      <c r="D748" s="114" t="s">
        <v>541</v>
      </c>
      <c r="E748" s="510">
        <v>1900000</v>
      </c>
      <c r="F748" s="337">
        <v>0.1</v>
      </c>
      <c r="G748" s="697">
        <f t="shared" si="40"/>
        <v>190000</v>
      </c>
      <c r="H748" s="431" t="s">
        <v>153</v>
      </c>
      <c r="I748" s="399"/>
      <c r="J748" s="247"/>
      <c r="K748" s="342"/>
      <c r="L748" s="407"/>
      <c r="M748" s="342"/>
    </row>
    <row r="749" spans="1:13" ht="14.25" hidden="1" customHeight="1">
      <c r="A749" s="982"/>
      <c r="B749" s="811">
        <v>15255</v>
      </c>
      <c r="C749" s="343">
        <v>0.08</v>
      </c>
      <c r="D749" s="114" t="s">
        <v>542</v>
      </c>
      <c r="E749" s="510">
        <v>2200000</v>
      </c>
      <c r="F749" s="343">
        <v>0.06</v>
      </c>
      <c r="G749" s="697">
        <f t="shared" si="40"/>
        <v>132000</v>
      </c>
      <c r="H749" s="431" t="s">
        <v>49</v>
      </c>
      <c r="I749" s="399"/>
      <c r="J749" s="247"/>
      <c r="K749" s="342"/>
      <c r="L749" s="407"/>
      <c r="M749" s="342"/>
    </row>
    <row r="750" spans="1:13" ht="14.25" hidden="1" customHeight="1">
      <c r="A750" s="982"/>
      <c r="B750" s="811">
        <v>15355</v>
      </c>
      <c r="C750" s="343">
        <v>0.08</v>
      </c>
      <c r="D750" s="114" t="s">
        <v>520</v>
      </c>
      <c r="E750" s="510">
        <v>2500000</v>
      </c>
      <c r="F750" s="343">
        <v>0.04</v>
      </c>
      <c r="G750" s="697">
        <f t="shared" si="40"/>
        <v>100000</v>
      </c>
      <c r="H750" s="431" t="s">
        <v>372</v>
      </c>
      <c r="I750" s="399"/>
      <c r="J750" s="247"/>
      <c r="K750" s="342"/>
      <c r="L750" s="407"/>
      <c r="M750" s="342"/>
    </row>
    <row r="751" spans="1:13" s="31" customFormat="1" ht="12.75" hidden="1" customHeight="1">
      <c r="A751" s="982"/>
      <c r="B751" s="114"/>
      <c r="C751" s="25"/>
      <c r="D751" s="114"/>
      <c r="E751" s="510"/>
      <c r="F751" s="114"/>
      <c r="G751" s="431"/>
      <c r="H751" s="696"/>
      <c r="I751" s="399"/>
      <c r="J751" s="247"/>
      <c r="K751" s="342"/>
      <c r="L751" s="407"/>
      <c r="M751" s="342"/>
    </row>
    <row r="752" spans="1:13" ht="15.75" hidden="1" customHeight="1">
      <c r="A752" s="982"/>
      <c r="B752" s="52"/>
      <c r="C752" s="52"/>
      <c r="D752" s="52"/>
      <c r="E752" s="715">
        <f>SUM(E740:E751)</f>
        <v>20400000</v>
      </c>
      <c r="F752" s="52"/>
      <c r="G752" s="556">
        <f>SUM(G740:G751)</f>
        <v>1298000</v>
      </c>
      <c r="H752" s="340"/>
      <c r="I752" s="399"/>
      <c r="J752" s="247"/>
      <c r="K752" s="342"/>
      <c r="L752" s="407"/>
      <c r="M752" s="556">
        <f>G752+M746</f>
        <v>1820500</v>
      </c>
    </row>
    <row r="753" spans="1:13" ht="18" hidden="1">
      <c r="A753" s="989" t="s">
        <v>318</v>
      </c>
      <c r="B753" s="989"/>
      <c r="C753" s="989"/>
      <c r="D753" s="989"/>
      <c r="E753" s="990"/>
      <c r="F753" s="990"/>
      <c r="G753" s="990"/>
      <c r="H753" s="990"/>
      <c r="I753" s="991"/>
      <c r="J753" s="991"/>
      <c r="K753" s="991"/>
      <c r="L753" s="991"/>
      <c r="M753" s="991"/>
    </row>
    <row r="754" spans="1:13" ht="18" hidden="1">
      <c r="A754" s="102" t="s">
        <v>2</v>
      </c>
      <c r="B754" s="102" t="s">
        <v>3</v>
      </c>
      <c r="C754" s="102" t="s">
        <v>4</v>
      </c>
      <c r="D754" s="102" t="s">
        <v>5</v>
      </c>
      <c r="E754" s="103" t="s">
        <v>6</v>
      </c>
      <c r="F754" s="103" t="s">
        <v>7</v>
      </c>
      <c r="G754" s="103" t="s">
        <v>8</v>
      </c>
      <c r="H754" s="103" t="s">
        <v>9</v>
      </c>
      <c r="I754" s="103" t="s">
        <v>3</v>
      </c>
      <c r="J754" s="103" t="s">
        <v>5</v>
      </c>
      <c r="K754" s="104" t="s">
        <v>10</v>
      </c>
      <c r="L754" s="105" t="s">
        <v>7</v>
      </c>
      <c r="M754" s="105" t="s">
        <v>11</v>
      </c>
    </row>
    <row r="755" spans="1:13" ht="14.25" hidden="1">
      <c r="A755" s="986">
        <v>14</v>
      </c>
      <c r="B755" s="811">
        <v>15208</v>
      </c>
      <c r="C755" s="25">
        <v>0.1</v>
      </c>
      <c r="D755" s="114" t="s">
        <v>543</v>
      </c>
      <c r="E755" s="510">
        <v>2500000</v>
      </c>
      <c r="F755" s="343">
        <v>0.06</v>
      </c>
      <c r="G755" s="431">
        <f>E755*F755</f>
        <v>150000</v>
      </c>
      <c r="H755" s="731" t="s">
        <v>49</v>
      </c>
      <c r="I755" s="663"/>
      <c r="J755" s="879"/>
      <c r="K755" s="510"/>
      <c r="L755" s="52"/>
      <c r="M755" s="431"/>
    </row>
    <row r="756" spans="1:13" ht="14.25" hidden="1">
      <c r="A756" s="986"/>
      <c r="B756" s="811">
        <v>15229</v>
      </c>
      <c r="C756" s="25">
        <v>0.1</v>
      </c>
      <c r="D756" s="114" t="s">
        <v>544</v>
      </c>
      <c r="E756" s="510">
        <v>1700000</v>
      </c>
      <c r="F756" s="666">
        <v>0.1</v>
      </c>
      <c r="G756" s="431">
        <f t="shared" ref="G756:G764" si="42">E756*F756</f>
        <v>170000</v>
      </c>
      <c r="H756" s="731" t="s">
        <v>388</v>
      </c>
      <c r="I756" s="663"/>
      <c r="J756" s="879"/>
      <c r="K756" s="510"/>
      <c r="L756" s="52"/>
      <c r="M756" s="431"/>
    </row>
    <row r="757" spans="1:13" ht="14.25" hidden="1">
      <c r="A757" s="986"/>
      <c r="B757" s="811">
        <v>15190</v>
      </c>
      <c r="C757" s="25">
        <v>0.1</v>
      </c>
      <c r="D757" s="114" t="s">
        <v>545</v>
      </c>
      <c r="E757" s="510">
        <v>2000000</v>
      </c>
      <c r="F757" s="666">
        <v>0.1</v>
      </c>
      <c r="G757" s="431">
        <f t="shared" si="42"/>
        <v>200000</v>
      </c>
      <c r="H757" s="731" t="s">
        <v>388</v>
      </c>
      <c r="I757" s="663"/>
      <c r="J757" s="879"/>
      <c r="K757" s="510"/>
      <c r="L757" s="52"/>
      <c r="M757" s="431"/>
    </row>
    <row r="758" spans="1:13" ht="14.25" hidden="1">
      <c r="A758" s="986"/>
      <c r="B758" s="811">
        <v>15253</v>
      </c>
      <c r="C758" s="25">
        <v>0.1</v>
      </c>
      <c r="D758" s="114" t="s">
        <v>546</v>
      </c>
      <c r="E758" s="510">
        <v>2300000</v>
      </c>
      <c r="F758" s="666">
        <v>0.1</v>
      </c>
      <c r="G758" s="431">
        <f t="shared" si="42"/>
        <v>230000</v>
      </c>
      <c r="H758" s="731" t="s">
        <v>388</v>
      </c>
      <c r="I758" s="663"/>
      <c r="J758" s="879"/>
      <c r="K758" s="510"/>
      <c r="L758" s="52"/>
      <c r="M758" s="431"/>
    </row>
    <row r="759" spans="1:13" ht="14.25" hidden="1">
      <c r="A759" s="986"/>
      <c r="B759" s="811">
        <v>15354</v>
      </c>
      <c r="C759" s="25">
        <v>0.1</v>
      </c>
      <c r="D759" s="114" t="s">
        <v>528</v>
      </c>
      <c r="E759" s="510">
        <v>1800000</v>
      </c>
      <c r="F759" s="343">
        <v>0.05</v>
      </c>
      <c r="G759" s="431">
        <f t="shared" si="42"/>
        <v>90000</v>
      </c>
      <c r="H759" s="731" t="s">
        <v>153</v>
      </c>
      <c r="I759" s="663"/>
      <c r="J759" s="879"/>
      <c r="K759" s="510"/>
      <c r="L759" s="52"/>
      <c r="M759" s="431"/>
    </row>
    <row r="760" spans="1:13" ht="15" hidden="1">
      <c r="A760" s="986"/>
      <c r="B760" s="811">
        <v>15305</v>
      </c>
      <c r="C760" s="25">
        <v>0.1</v>
      </c>
      <c r="D760" s="114" t="s">
        <v>547</v>
      </c>
      <c r="E760" s="510">
        <v>2500000</v>
      </c>
      <c r="F760" s="343">
        <v>0.06</v>
      </c>
      <c r="G760" s="431">
        <f t="shared" si="42"/>
        <v>150000</v>
      </c>
      <c r="H760" s="731" t="s">
        <v>49</v>
      </c>
      <c r="I760" s="663"/>
      <c r="J760" s="879"/>
      <c r="K760" s="510"/>
      <c r="L760" s="52"/>
      <c r="M760" s="345"/>
    </row>
    <row r="761" spans="1:13" ht="15" hidden="1">
      <c r="A761" s="986"/>
      <c r="B761" s="892"/>
      <c r="C761" s="343">
        <v>0.08</v>
      </c>
      <c r="D761" s="114" t="s">
        <v>535</v>
      </c>
      <c r="E761" s="510">
        <v>2000000</v>
      </c>
      <c r="F761" s="666">
        <v>0.08</v>
      </c>
      <c r="G761" s="431">
        <f t="shared" si="42"/>
        <v>160000</v>
      </c>
      <c r="H761" s="731" t="s">
        <v>388</v>
      </c>
      <c r="I761" s="757"/>
      <c r="J761" s="604"/>
      <c r="K761" s="510"/>
      <c r="L761" s="52"/>
      <c r="M761" s="345"/>
    </row>
    <row r="762" spans="1:13" ht="15" hidden="1">
      <c r="A762" s="986"/>
      <c r="B762" s="811">
        <v>15273</v>
      </c>
      <c r="C762" s="25">
        <v>0.1</v>
      </c>
      <c r="D762" s="114" t="s">
        <v>548</v>
      </c>
      <c r="E762" s="510">
        <v>2800000</v>
      </c>
      <c r="F762" s="343">
        <v>0.06</v>
      </c>
      <c r="G762" s="431">
        <f t="shared" si="42"/>
        <v>168000</v>
      </c>
      <c r="H762" s="731" t="s">
        <v>49</v>
      </c>
      <c r="I762" s="663"/>
      <c r="J762" s="604"/>
      <c r="K762" s="510"/>
      <c r="L762" s="52"/>
      <c r="M762" s="345"/>
    </row>
    <row r="763" spans="1:13" ht="15" hidden="1">
      <c r="A763" s="986"/>
      <c r="B763" s="811">
        <v>15291</v>
      </c>
      <c r="C763" s="25">
        <v>0.1</v>
      </c>
      <c r="D763" s="114" t="s">
        <v>530</v>
      </c>
      <c r="E763" s="510">
        <v>2600000</v>
      </c>
      <c r="F763" s="343">
        <v>0.05</v>
      </c>
      <c r="G763" s="431">
        <f t="shared" si="42"/>
        <v>130000</v>
      </c>
      <c r="H763" s="731" t="s">
        <v>153</v>
      </c>
      <c r="I763" s="663"/>
      <c r="J763" s="604"/>
      <c r="K763" s="510"/>
      <c r="L763" s="52"/>
      <c r="M763" s="345"/>
    </row>
    <row r="764" spans="1:13" ht="15" hidden="1">
      <c r="A764" s="986"/>
      <c r="B764" s="811">
        <v>15350</v>
      </c>
      <c r="C764" s="25">
        <v>0.1</v>
      </c>
      <c r="D764" s="114" t="s">
        <v>534</v>
      </c>
      <c r="E764" s="510">
        <v>2550000</v>
      </c>
      <c r="F764" s="343">
        <v>0.05</v>
      </c>
      <c r="G764" s="431">
        <f t="shared" si="42"/>
        <v>127500</v>
      </c>
      <c r="H764" s="731" t="s">
        <v>153</v>
      </c>
      <c r="I764" s="663"/>
      <c r="J764" s="604"/>
      <c r="K764" s="510"/>
      <c r="L764" s="52"/>
      <c r="M764" s="345"/>
    </row>
    <row r="765" spans="1:13" ht="14.25" hidden="1">
      <c r="A765" s="986"/>
      <c r="B765" s="114"/>
      <c r="C765" s="25"/>
      <c r="D765" s="114"/>
      <c r="E765" s="510"/>
      <c r="F765" s="114"/>
      <c r="G765" s="431"/>
      <c r="H765" s="696"/>
      <c r="I765" s="663"/>
      <c r="J765" s="446"/>
      <c r="K765" s="510"/>
      <c r="L765" s="52"/>
      <c r="M765" s="431"/>
    </row>
    <row r="766" spans="1:13" hidden="1">
      <c r="A766" s="986"/>
      <c r="B766" s="114"/>
      <c r="C766" s="114"/>
      <c r="D766" s="114"/>
      <c r="E766" s="682"/>
      <c r="F766" s="114"/>
      <c r="G766" s="431"/>
      <c r="H766" s="696"/>
      <c r="I766" s="392"/>
      <c r="J766" s="604"/>
      <c r="K766" s="342"/>
      <c r="L766" s="407"/>
      <c r="M766" s="342"/>
    </row>
    <row r="767" spans="1:13" ht="15.75" hidden="1">
      <c r="A767" s="986"/>
      <c r="B767" s="114"/>
      <c r="C767" s="114"/>
      <c r="D767" s="114"/>
      <c r="E767" s="715">
        <f>SUM(E755:E766)</f>
        <v>22750000</v>
      </c>
      <c r="F767" s="52"/>
      <c r="G767" s="556">
        <f>SUM(G755:G766)</f>
        <v>1575500</v>
      </c>
      <c r="H767" s="656"/>
      <c r="I767" s="392"/>
      <c r="J767" s="247"/>
      <c r="K767" s="635"/>
      <c r="L767" s="636"/>
      <c r="M767" s="881"/>
    </row>
    <row r="768" spans="1:13" ht="18" hidden="1">
      <c r="A768" s="983" t="s">
        <v>511</v>
      </c>
      <c r="B768" s="983"/>
      <c r="C768" s="983"/>
      <c r="D768" s="983"/>
      <c r="E768" s="984"/>
      <c r="F768" s="984"/>
      <c r="G768" s="984"/>
      <c r="H768" s="984"/>
      <c r="I768" s="985"/>
      <c r="J768" s="985"/>
      <c r="K768" s="985"/>
      <c r="L768" s="985"/>
      <c r="M768" s="985"/>
    </row>
    <row r="769" spans="1:13" ht="18" hidden="1">
      <c r="A769" s="102" t="s">
        <v>2</v>
      </c>
      <c r="B769" s="102" t="s">
        <v>3</v>
      </c>
      <c r="C769" s="102" t="s">
        <v>4</v>
      </c>
      <c r="D769" s="102" t="s">
        <v>5</v>
      </c>
      <c r="E769" s="103" t="s">
        <v>6</v>
      </c>
      <c r="F769" s="103" t="s">
        <v>7</v>
      </c>
      <c r="G769" s="103" t="s">
        <v>8</v>
      </c>
      <c r="H769" s="103" t="s">
        <v>9</v>
      </c>
      <c r="I769" s="103" t="s">
        <v>3</v>
      </c>
      <c r="J769" s="103" t="s">
        <v>5</v>
      </c>
      <c r="K769" s="104" t="s">
        <v>10</v>
      </c>
      <c r="L769" s="105" t="s">
        <v>7</v>
      </c>
      <c r="M769" s="105" t="s">
        <v>11</v>
      </c>
    </row>
    <row r="770" spans="1:13" ht="14.25" hidden="1">
      <c r="A770" s="986">
        <v>3</v>
      </c>
      <c r="B770" s="811">
        <v>15213</v>
      </c>
      <c r="C770" s="25">
        <v>0.1</v>
      </c>
      <c r="D770" s="604" t="s">
        <v>549</v>
      </c>
      <c r="E770" s="510">
        <v>1200000</v>
      </c>
      <c r="F770" s="343">
        <v>0.1</v>
      </c>
      <c r="G770" s="697">
        <f>E770*F770</f>
        <v>120000</v>
      </c>
      <c r="H770" s="431" t="s">
        <v>550</v>
      </c>
      <c r="I770" s="923"/>
      <c r="J770" s="921"/>
      <c r="K770" s="510"/>
      <c r="L770" s="52"/>
      <c r="M770" s="431"/>
    </row>
    <row r="771" spans="1:13" ht="14.25" hidden="1">
      <c r="A771" s="986"/>
      <c r="B771" s="811">
        <v>15297</v>
      </c>
      <c r="C771" s="25">
        <v>0.1</v>
      </c>
      <c r="D771" s="604" t="s">
        <v>551</v>
      </c>
      <c r="E771" s="510">
        <v>1300000</v>
      </c>
      <c r="F771" s="343">
        <v>0.05</v>
      </c>
      <c r="G771" s="697">
        <f t="shared" ref="G771:G775" si="43">E771*F771</f>
        <v>65000</v>
      </c>
      <c r="H771" s="431" t="s">
        <v>372</v>
      </c>
      <c r="I771" s="671"/>
      <c r="J771" s="114"/>
      <c r="K771" s="634"/>
      <c r="L771" s="52"/>
      <c r="M771" s="431"/>
    </row>
    <row r="772" spans="1:13" ht="14.25" hidden="1">
      <c r="A772" s="986"/>
      <c r="B772" s="811">
        <v>15336</v>
      </c>
      <c r="C772" s="25">
        <v>0.1</v>
      </c>
      <c r="D772" s="604" t="s">
        <v>552</v>
      </c>
      <c r="E772" s="510">
        <v>1250000</v>
      </c>
      <c r="F772" s="343">
        <v>0.05</v>
      </c>
      <c r="G772" s="697">
        <f t="shared" si="43"/>
        <v>62500</v>
      </c>
      <c r="H772" s="431" t="s">
        <v>478</v>
      </c>
      <c r="I772" s="671"/>
      <c r="J772" s="114"/>
      <c r="K772" s="634"/>
      <c r="L772" s="52"/>
      <c r="M772" s="431"/>
    </row>
    <row r="773" spans="1:13" ht="14.25" hidden="1">
      <c r="A773" s="986"/>
      <c r="B773" s="811">
        <v>15139</v>
      </c>
      <c r="C773" s="25">
        <v>0.1</v>
      </c>
      <c r="D773" s="446" t="s">
        <v>512</v>
      </c>
      <c r="E773" s="510">
        <v>1400000</v>
      </c>
      <c r="F773" s="343">
        <v>0.1</v>
      </c>
      <c r="G773" s="697">
        <f t="shared" si="43"/>
        <v>140000</v>
      </c>
      <c r="H773" s="431" t="s">
        <v>550</v>
      </c>
      <c r="I773" s="671"/>
      <c r="J773" s="114"/>
      <c r="K773" s="634"/>
      <c r="L773" s="52"/>
      <c r="M773" s="431"/>
    </row>
    <row r="774" spans="1:13" ht="14.25" hidden="1">
      <c r="A774" s="986"/>
      <c r="B774" s="811">
        <v>15310</v>
      </c>
      <c r="C774" s="25">
        <v>0.1</v>
      </c>
      <c r="D774" s="446" t="s">
        <v>513</v>
      </c>
      <c r="E774" s="510">
        <v>950000</v>
      </c>
      <c r="F774" s="343">
        <v>0.05</v>
      </c>
      <c r="G774" s="697">
        <f t="shared" si="43"/>
        <v>47500</v>
      </c>
      <c r="H774" s="431" t="s">
        <v>553</v>
      </c>
      <c r="I774" s="671"/>
      <c r="J774" s="114"/>
      <c r="K774" s="634"/>
      <c r="L774" s="52"/>
      <c r="M774" s="431"/>
    </row>
    <row r="775" spans="1:13" ht="15" hidden="1">
      <c r="A775" s="986"/>
      <c r="B775" s="811">
        <v>15163</v>
      </c>
      <c r="C775" s="25">
        <v>0.1</v>
      </c>
      <c r="D775" s="446" t="s">
        <v>537</v>
      </c>
      <c r="E775" s="510">
        <v>1500000</v>
      </c>
      <c r="F775" s="343">
        <v>0.05</v>
      </c>
      <c r="G775" s="697">
        <f t="shared" si="43"/>
        <v>75000</v>
      </c>
      <c r="H775" s="431" t="s">
        <v>153</v>
      </c>
      <c r="I775" s="924"/>
      <c r="J775" s="705"/>
      <c r="K775" s="510"/>
      <c r="L775" s="52"/>
      <c r="M775" s="345"/>
    </row>
    <row r="776" spans="1:13" ht="15" hidden="1">
      <c r="A776" s="986"/>
      <c r="B776" s="898"/>
      <c r="C776" s="25"/>
      <c r="D776" s="114"/>
      <c r="E776" s="679"/>
      <c r="F776" s="662"/>
      <c r="G776" s="625"/>
      <c r="H776" s="922"/>
      <c r="I776" s="663"/>
      <c r="J776" s="604"/>
      <c r="K776" s="510"/>
      <c r="L776" s="52"/>
      <c r="M776" s="345"/>
    </row>
    <row r="777" spans="1:13" ht="14.25" hidden="1">
      <c r="A777" s="986"/>
      <c r="B777" s="898"/>
      <c r="C777" s="25"/>
      <c r="D777" s="114"/>
      <c r="E777" s="682"/>
      <c r="F777" s="343"/>
      <c r="G777" s="431"/>
      <c r="H777" s="696"/>
      <c r="I777" s="663"/>
      <c r="J777" s="446"/>
      <c r="K777" s="510"/>
      <c r="L777" s="52"/>
      <c r="M777" s="431"/>
    </row>
    <row r="778" spans="1:13" ht="15" hidden="1">
      <c r="A778" s="986"/>
      <c r="B778" s="665"/>
      <c r="C778" s="531"/>
      <c r="D778" s="424"/>
      <c r="E778" s="682"/>
      <c r="F778" s="522"/>
      <c r="G778" s="431"/>
      <c r="H778" s="696"/>
      <c r="I778" s="392"/>
      <c r="J778" s="604"/>
      <c r="K778" s="342"/>
      <c r="L778" s="407"/>
      <c r="M778" s="342"/>
    </row>
    <row r="779" spans="1:13" ht="15.75" hidden="1">
      <c r="A779" s="986"/>
      <c r="B779" s="52"/>
      <c r="C779" s="52"/>
      <c r="D779" s="52"/>
      <c r="E779" s="715">
        <f>SUM(E770:E778)</f>
        <v>7600000</v>
      </c>
      <c r="F779" s="52"/>
      <c r="G779" s="556">
        <f>SUM(G770:G778)</f>
        <v>510000</v>
      </c>
      <c r="H779" s="656"/>
      <c r="I779" s="392"/>
      <c r="J779" s="247"/>
      <c r="K779" s="635"/>
      <c r="L779" s="636"/>
      <c r="M779" s="881"/>
    </row>
    <row r="780" spans="1:13" ht="18" hidden="1">
      <c r="A780" s="983" t="s">
        <v>49</v>
      </c>
      <c r="B780" s="983"/>
      <c r="C780" s="983"/>
      <c r="D780" s="983"/>
      <c r="E780" s="984"/>
      <c r="F780" s="984"/>
      <c r="G780" s="984"/>
      <c r="H780" s="984"/>
      <c r="I780" s="985"/>
      <c r="J780" s="985"/>
      <c r="K780" s="985"/>
      <c r="L780" s="985"/>
      <c r="M780" s="985"/>
    </row>
    <row r="781" spans="1:13" ht="18" hidden="1">
      <c r="A781" s="102" t="s">
        <v>2</v>
      </c>
      <c r="B781" s="102" t="s">
        <v>3</v>
      </c>
      <c r="C781" s="102" t="s">
        <v>4</v>
      </c>
      <c r="D781" s="102" t="s">
        <v>5</v>
      </c>
      <c r="E781" s="103" t="s">
        <v>6</v>
      </c>
      <c r="F781" s="103" t="s">
        <v>7</v>
      </c>
      <c r="G781" s="103" t="s">
        <v>8</v>
      </c>
      <c r="H781" s="103" t="s">
        <v>9</v>
      </c>
      <c r="I781" s="103" t="s">
        <v>3</v>
      </c>
      <c r="J781" s="103" t="s">
        <v>5</v>
      </c>
      <c r="K781" s="104" t="s">
        <v>10</v>
      </c>
      <c r="L781" s="105" t="s">
        <v>7</v>
      </c>
      <c r="M781" s="105" t="s">
        <v>11</v>
      </c>
    </row>
    <row r="782" spans="1:13" ht="14.25" hidden="1">
      <c r="A782" s="986"/>
      <c r="B782" s="609">
        <v>15202</v>
      </c>
      <c r="C782" s="337">
        <v>0.1</v>
      </c>
      <c r="D782" s="393" t="s">
        <v>554</v>
      </c>
      <c r="E782" s="510">
        <v>1200000</v>
      </c>
      <c r="F782" s="343">
        <v>0.1</v>
      </c>
      <c r="G782" s="431">
        <f>E782*F782</f>
        <v>120000</v>
      </c>
      <c r="H782" s="731" t="s">
        <v>49</v>
      </c>
      <c r="I782" s="663"/>
      <c r="J782" s="247" t="s">
        <v>524</v>
      </c>
      <c r="K782" s="510">
        <v>2500000</v>
      </c>
      <c r="L782" s="343">
        <v>0.05</v>
      </c>
      <c r="M782" s="431">
        <f>K782*L782</f>
        <v>125000</v>
      </c>
    </row>
    <row r="783" spans="1:13" ht="15" hidden="1">
      <c r="A783" s="986"/>
      <c r="B783" s="664"/>
      <c r="C783" s="337"/>
      <c r="D783" s="247"/>
      <c r="E783" s="510"/>
      <c r="F783" s="345"/>
      <c r="G783" s="431"/>
      <c r="H783" s="731"/>
      <c r="I783" s="529"/>
      <c r="J783" s="114" t="s">
        <v>538</v>
      </c>
      <c r="K783" s="510">
        <v>1600000</v>
      </c>
      <c r="L783" s="343">
        <v>0.05</v>
      </c>
      <c r="M783" s="431">
        <f t="shared" ref="M783:M788" si="44">K783*L783</f>
        <v>80000</v>
      </c>
    </row>
    <row r="784" spans="1:13" ht="15" hidden="1">
      <c r="A784" s="986"/>
      <c r="B784" s="664"/>
      <c r="C784" s="343"/>
      <c r="D784" s="248"/>
      <c r="E784" s="510"/>
      <c r="F784" s="345"/>
      <c r="G784" s="431"/>
      <c r="H784" s="731"/>
      <c r="I784" s="663"/>
      <c r="J784" s="114" t="s">
        <v>540</v>
      </c>
      <c r="K784" s="510">
        <v>1700000</v>
      </c>
      <c r="L784" s="343">
        <v>0.05</v>
      </c>
      <c r="M784" s="431">
        <f t="shared" si="44"/>
        <v>85000</v>
      </c>
    </row>
    <row r="785" spans="1:13" ht="15" hidden="1">
      <c r="A785" s="986"/>
      <c r="B785" s="663"/>
      <c r="C785" s="337"/>
      <c r="D785" s="114"/>
      <c r="E785" s="510"/>
      <c r="F785" s="345"/>
      <c r="G785" s="431"/>
      <c r="H785" s="731"/>
      <c r="I785" s="663"/>
      <c r="J785" s="114" t="s">
        <v>542</v>
      </c>
      <c r="K785" s="510">
        <v>2200000</v>
      </c>
      <c r="L785" s="343">
        <v>0.05</v>
      </c>
      <c r="M785" s="431">
        <f t="shared" si="44"/>
        <v>110000</v>
      </c>
    </row>
    <row r="786" spans="1:13" ht="15" hidden="1">
      <c r="A786" s="986"/>
      <c r="B786" s="663"/>
      <c r="C786" s="343"/>
      <c r="D786" s="114"/>
      <c r="E786" s="510"/>
      <c r="F786" s="345"/>
      <c r="G786" s="431"/>
      <c r="H786" s="696"/>
      <c r="I786" s="663"/>
      <c r="J786" s="424" t="s">
        <v>543</v>
      </c>
      <c r="K786" s="682">
        <v>2500000</v>
      </c>
      <c r="L786" s="666">
        <v>0.05</v>
      </c>
      <c r="M786" s="431">
        <f t="shared" si="44"/>
        <v>125000</v>
      </c>
    </row>
    <row r="787" spans="1:13" ht="15" hidden="1">
      <c r="A787" s="986"/>
      <c r="B787" s="665"/>
      <c r="C787" s="531"/>
      <c r="D787" s="424"/>
      <c r="E787" s="682"/>
      <c r="F787" s="522"/>
      <c r="G787" s="431"/>
      <c r="H787" s="696"/>
      <c r="I787" s="925"/>
      <c r="J787" s="114" t="s">
        <v>547</v>
      </c>
      <c r="K787" s="510">
        <v>2500000</v>
      </c>
      <c r="L787" s="343">
        <v>0.05</v>
      </c>
      <c r="M787" s="431">
        <f t="shared" si="44"/>
        <v>125000</v>
      </c>
    </row>
    <row r="788" spans="1:13" ht="15" hidden="1">
      <c r="A788" s="986"/>
      <c r="B788" s="665"/>
      <c r="C788" s="531"/>
      <c r="D788" s="424"/>
      <c r="E788" s="682"/>
      <c r="F788" s="522"/>
      <c r="G788" s="431"/>
      <c r="H788" s="756"/>
      <c r="I788" s="925"/>
      <c r="J788" s="114" t="s">
        <v>548</v>
      </c>
      <c r="K788" s="510">
        <v>2800000</v>
      </c>
      <c r="L788" s="343">
        <v>0.05</v>
      </c>
      <c r="M788" s="431">
        <f t="shared" si="44"/>
        <v>140000</v>
      </c>
    </row>
    <row r="789" spans="1:13" ht="15" hidden="1">
      <c r="A789" s="986"/>
      <c r="B789" s="665"/>
      <c r="C789" s="531"/>
      <c r="D789" s="424"/>
      <c r="E789" s="682"/>
      <c r="F789" s="522"/>
      <c r="G789" s="431"/>
      <c r="H789" s="756"/>
      <c r="I789" s="925"/>
      <c r="J789" s="114"/>
      <c r="K789" s="510"/>
      <c r="L789" s="343"/>
      <c r="M789" s="431">
        <f>SUM(M782:M788)</f>
        <v>790000</v>
      </c>
    </row>
    <row r="790" spans="1:13" ht="15" hidden="1">
      <c r="A790" s="986"/>
      <c r="B790" s="665"/>
      <c r="C790" s="531"/>
      <c r="D790" s="424"/>
      <c r="E790" s="682"/>
      <c r="F790" s="522"/>
      <c r="G790" s="431"/>
      <c r="H790" s="756"/>
      <c r="I790" s="925"/>
      <c r="J790" s="114"/>
      <c r="K790" s="510"/>
      <c r="L790" s="343"/>
      <c r="M790" s="431"/>
    </row>
    <row r="791" spans="1:13" ht="15.75" hidden="1">
      <c r="A791" s="986"/>
      <c r="B791" s="52"/>
      <c r="C791" s="52"/>
      <c r="D791" s="52"/>
      <c r="E791" s="715">
        <f>SUM(E782:E787)</f>
        <v>1200000</v>
      </c>
      <c r="F791" s="52"/>
      <c r="G791" s="556">
        <f>SUM(G782:G787)</f>
        <v>120000</v>
      </c>
      <c r="H791" s="656"/>
      <c r="I791" s="925"/>
      <c r="J791" s="52"/>
      <c r="K791" s="52"/>
      <c r="L791" s="52"/>
      <c r="M791" s="431">
        <f>G791+M789</f>
        <v>910000</v>
      </c>
    </row>
    <row r="792" spans="1:13" hidden="1"/>
    <row r="793" spans="1:13" ht="18" hidden="1">
      <c r="A793" s="930" t="s">
        <v>50</v>
      </c>
      <c r="B793" s="930"/>
      <c r="C793" s="930"/>
      <c r="D793" s="147">
        <f>E737+E752+E767+E779+E791</f>
        <v>75950000</v>
      </c>
    </row>
    <row r="794" spans="1:13" ht="18" hidden="1">
      <c r="A794" s="931" t="s">
        <v>51</v>
      </c>
      <c r="B794" s="931"/>
      <c r="C794" s="931"/>
      <c r="D794" s="416"/>
    </row>
    <row r="795" spans="1:13" ht="18" hidden="1">
      <c r="A795" s="932" t="s">
        <v>52</v>
      </c>
      <c r="B795" s="932"/>
      <c r="C795" s="932"/>
      <c r="D795" s="416"/>
    </row>
    <row r="796" spans="1:13" ht="18" hidden="1">
      <c r="A796" s="710" t="s">
        <v>59</v>
      </c>
      <c r="B796" s="710"/>
      <c r="C796" s="710"/>
      <c r="D796" s="147"/>
    </row>
    <row r="797" spans="1:13" hidden="1"/>
    <row r="798" spans="1:13" ht="31.5">
      <c r="A798" s="987" t="s">
        <v>555</v>
      </c>
      <c r="B798" s="987"/>
      <c r="C798" s="987"/>
      <c r="D798" s="987"/>
      <c r="E798" s="987"/>
      <c r="F798" s="987"/>
      <c r="G798" s="987"/>
      <c r="H798" s="987"/>
      <c r="I798" s="987"/>
      <c r="J798" s="987"/>
      <c r="K798" s="987"/>
      <c r="L798" s="987"/>
      <c r="M798" s="987"/>
    </row>
    <row r="799" spans="1:13" ht="18">
      <c r="A799" s="983" t="s">
        <v>369</v>
      </c>
      <c r="B799" s="983"/>
      <c r="C799" s="983"/>
      <c r="D799" s="983"/>
      <c r="E799" s="984"/>
      <c r="F799" s="984"/>
      <c r="G799" s="984"/>
      <c r="H799" s="984"/>
      <c r="I799" s="985"/>
      <c r="J799" s="985"/>
      <c r="K799" s="985"/>
      <c r="L799" s="985"/>
      <c r="M799" s="985"/>
    </row>
    <row r="800" spans="1:13" ht="18">
      <c r="A800" s="102" t="s">
        <v>2</v>
      </c>
      <c r="B800" s="102" t="s">
        <v>3</v>
      </c>
      <c r="C800" s="102" t="s">
        <v>4</v>
      </c>
      <c r="D800" s="102" t="s">
        <v>5</v>
      </c>
      <c r="E800" s="103" t="s">
        <v>6</v>
      </c>
      <c r="F800" s="103" t="s">
        <v>7</v>
      </c>
      <c r="G800" s="103" t="s">
        <v>8</v>
      </c>
      <c r="H800" s="103" t="s">
        <v>9</v>
      </c>
      <c r="I800" s="103" t="s">
        <v>3</v>
      </c>
      <c r="J800" s="103" t="s">
        <v>5</v>
      </c>
      <c r="K800" s="104" t="s">
        <v>10</v>
      </c>
      <c r="L800" s="105" t="s">
        <v>7</v>
      </c>
      <c r="M800" s="105" t="s">
        <v>11</v>
      </c>
    </row>
    <row r="801" spans="1:14" ht="15">
      <c r="A801" s="986">
        <v>20</v>
      </c>
      <c r="B801" s="54">
        <v>15412</v>
      </c>
      <c r="C801" s="337">
        <v>0.1</v>
      </c>
      <c r="D801" s="879" t="s">
        <v>556</v>
      </c>
      <c r="E801" s="510">
        <v>2000000</v>
      </c>
      <c r="F801" s="337">
        <v>0.06</v>
      </c>
      <c r="G801" s="697">
        <f>E801*F801</f>
        <v>120000</v>
      </c>
      <c r="H801" s="431" t="s">
        <v>49</v>
      </c>
      <c r="I801" s="981">
        <v>15435</v>
      </c>
      <c r="J801" s="675" t="s">
        <v>557</v>
      </c>
      <c r="K801" s="510">
        <v>4300000</v>
      </c>
      <c r="L801" s="343">
        <v>0.05</v>
      </c>
      <c r="M801" s="697">
        <f>K801*L801</f>
        <v>215000</v>
      </c>
      <c r="N801" s="415"/>
    </row>
    <row r="802" spans="1:14" ht="15">
      <c r="A802" s="986"/>
      <c r="B802" s="54">
        <v>15494</v>
      </c>
      <c r="C802" s="337">
        <v>0.1</v>
      </c>
      <c r="D802" s="879" t="s">
        <v>558</v>
      </c>
      <c r="E802" s="510">
        <v>2400000</v>
      </c>
      <c r="F802" s="337">
        <v>0.06</v>
      </c>
      <c r="G802" s="697">
        <f t="shared" ref="G802:G811" si="45">E802*F802</f>
        <v>144000</v>
      </c>
      <c r="H802" s="431" t="s">
        <v>49</v>
      </c>
      <c r="I802" s="962"/>
      <c r="J802" s="114"/>
      <c r="K802" s="510"/>
      <c r="L802" s="343"/>
      <c r="M802" s="431"/>
    </row>
    <row r="803" spans="1:14" ht="15">
      <c r="A803" s="986"/>
      <c r="B803" s="54">
        <v>15537</v>
      </c>
      <c r="C803" s="337">
        <v>0.1</v>
      </c>
      <c r="D803" s="879" t="s">
        <v>559</v>
      </c>
      <c r="E803" s="510">
        <v>2800000</v>
      </c>
      <c r="F803" s="337">
        <v>0.12</v>
      </c>
      <c r="G803" s="697">
        <f t="shared" si="45"/>
        <v>336000</v>
      </c>
      <c r="H803" s="431" t="s">
        <v>372</v>
      </c>
      <c r="I803" s="962"/>
      <c r="J803" s="114"/>
      <c r="K803" s="510"/>
      <c r="L803" s="343"/>
      <c r="M803" s="431"/>
    </row>
    <row r="804" spans="1:14" ht="15">
      <c r="A804" s="986"/>
      <c r="B804" s="54">
        <v>15583</v>
      </c>
      <c r="C804" s="337">
        <v>0.1</v>
      </c>
      <c r="D804" s="921" t="s">
        <v>560</v>
      </c>
      <c r="E804" s="510">
        <v>2000000</v>
      </c>
      <c r="F804" s="337">
        <v>0.12</v>
      </c>
      <c r="G804" s="697">
        <f t="shared" si="45"/>
        <v>240000</v>
      </c>
      <c r="H804" s="431" t="s">
        <v>372</v>
      </c>
      <c r="I804" s="962"/>
      <c r="J804" s="247"/>
      <c r="K804" s="510"/>
      <c r="L804" s="343"/>
      <c r="M804" s="431"/>
    </row>
    <row r="805" spans="1:14" ht="15">
      <c r="A805" s="986"/>
      <c r="B805" s="54">
        <v>15462</v>
      </c>
      <c r="C805" s="337">
        <v>0.1</v>
      </c>
      <c r="D805" s="961" t="s">
        <v>561</v>
      </c>
      <c r="E805" s="510">
        <v>1500000</v>
      </c>
      <c r="F805" s="337">
        <v>7.0000000000000007E-2</v>
      </c>
      <c r="G805" s="697">
        <f t="shared" si="45"/>
        <v>105000.00000000001</v>
      </c>
      <c r="H805" s="431" t="s">
        <v>153</v>
      </c>
      <c r="I805" s="962"/>
      <c r="J805" s="114"/>
      <c r="K805" s="510"/>
      <c r="L805" s="343"/>
      <c r="M805" s="431"/>
    </row>
    <row r="806" spans="1:14" ht="15">
      <c r="A806" s="986"/>
      <c r="B806" s="54">
        <v>15413</v>
      </c>
      <c r="C806" s="343">
        <v>0.08</v>
      </c>
      <c r="D806" s="879" t="s">
        <v>562</v>
      </c>
      <c r="E806" s="510">
        <v>2400000</v>
      </c>
      <c r="F806" s="337">
        <v>0.1</v>
      </c>
      <c r="G806" s="697">
        <f t="shared" si="45"/>
        <v>240000</v>
      </c>
      <c r="H806" s="431" t="s">
        <v>372</v>
      </c>
      <c r="I806" s="962"/>
      <c r="J806" s="114"/>
      <c r="K806" s="510"/>
      <c r="L806" s="343"/>
      <c r="M806" s="431"/>
    </row>
    <row r="807" spans="1:14" ht="15">
      <c r="A807" s="986"/>
      <c r="B807" s="54">
        <v>15450</v>
      </c>
      <c r="C807" s="343">
        <v>0.08</v>
      </c>
      <c r="D807" s="879" t="s">
        <v>563</v>
      </c>
      <c r="E807" s="510">
        <v>2500000</v>
      </c>
      <c r="F807" s="337">
        <v>0.1</v>
      </c>
      <c r="G807" s="697">
        <f t="shared" si="45"/>
        <v>250000</v>
      </c>
      <c r="H807" s="431" t="s">
        <v>372</v>
      </c>
      <c r="I807" s="962"/>
      <c r="J807" s="114"/>
      <c r="K807" s="510"/>
      <c r="L807" s="343"/>
      <c r="M807" s="431"/>
    </row>
    <row r="808" spans="1:14" ht="15">
      <c r="A808" s="986"/>
      <c r="B808" s="980">
        <v>15474</v>
      </c>
      <c r="C808" s="337">
        <v>0.1</v>
      </c>
      <c r="D808" s="879" t="s">
        <v>564</v>
      </c>
      <c r="E808" s="510">
        <v>2700000</v>
      </c>
      <c r="F808" s="337">
        <v>0.12</v>
      </c>
      <c r="G808" s="697">
        <f t="shared" si="45"/>
        <v>324000</v>
      </c>
      <c r="H808" s="431" t="s">
        <v>372</v>
      </c>
      <c r="I808" s="671"/>
      <c r="J808" s="114"/>
      <c r="K808" s="510"/>
      <c r="L808" s="52"/>
      <c r="M808" s="431"/>
    </row>
    <row r="809" spans="1:14" ht="15">
      <c r="A809" s="986"/>
      <c r="B809" s="54" t="s">
        <v>565</v>
      </c>
      <c r="C809" s="605">
        <v>0.1</v>
      </c>
      <c r="D809" s="879" t="s">
        <v>566</v>
      </c>
      <c r="E809" s="510">
        <v>2250000</v>
      </c>
      <c r="F809" s="337">
        <v>0.12</v>
      </c>
      <c r="G809" s="697">
        <f t="shared" si="45"/>
        <v>270000</v>
      </c>
      <c r="H809" s="431" t="s">
        <v>372</v>
      </c>
      <c r="I809" s="671"/>
      <c r="J809" s="114"/>
      <c r="K809" s="510"/>
      <c r="L809" s="52"/>
      <c r="M809" s="431"/>
    </row>
    <row r="810" spans="1:14" ht="15">
      <c r="A810" s="986"/>
      <c r="B810" s="54">
        <v>15611</v>
      </c>
      <c r="C810" s="605">
        <v>0.1</v>
      </c>
      <c r="D810" s="961" t="s">
        <v>567</v>
      </c>
      <c r="E810" s="510">
        <v>2100000</v>
      </c>
      <c r="F810" s="337">
        <v>0.06</v>
      </c>
      <c r="G810" s="697">
        <f t="shared" si="45"/>
        <v>126000</v>
      </c>
      <c r="H810" s="431" t="s">
        <v>49</v>
      </c>
      <c r="I810" s="393"/>
      <c r="J810" s="114"/>
      <c r="K810" s="510"/>
      <c r="L810" s="52"/>
      <c r="M810" s="431"/>
    </row>
    <row r="811" spans="1:14" ht="15">
      <c r="A811" s="986"/>
      <c r="B811" s="54">
        <v>15627</v>
      </c>
      <c r="C811" s="605">
        <v>0.1</v>
      </c>
      <c r="D811" s="879" t="s">
        <v>568</v>
      </c>
      <c r="E811" s="510">
        <v>1600000</v>
      </c>
      <c r="F811" s="337">
        <v>0.06</v>
      </c>
      <c r="G811" s="697">
        <f t="shared" si="45"/>
        <v>96000</v>
      </c>
      <c r="H811" s="431" t="s">
        <v>49</v>
      </c>
      <c r="I811" s="671"/>
      <c r="J811" s="114"/>
      <c r="K811" s="510"/>
      <c r="L811" s="52"/>
      <c r="M811" s="431"/>
    </row>
    <row r="812" spans="1:14" ht="14.25">
      <c r="A812" s="986"/>
      <c r="B812" s="950" t="s">
        <v>569</v>
      </c>
      <c r="C812" s="114"/>
      <c r="D812" s="959" t="s">
        <v>570</v>
      </c>
      <c r="E812" s="510"/>
      <c r="F812" s="52"/>
      <c r="G812" s="697">
        <f>E812*F812</f>
        <v>0</v>
      </c>
      <c r="H812" s="431"/>
      <c r="I812" s="671"/>
      <c r="J812" s="114"/>
      <c r="K812" s="510"/>
      <c r="L812" s="52"/>
      <c r="M812" s="431"/>
    </row>
    <row r="813" spans="1:14" ht="14.25">
      <c r="A813" s="986"/>
      <c r="B813" s="955" t="s">
        <v>348</v>
      </c>
      <c r="C813" s="605"/>
      <c r="D813" s="960" t="s">
        <v>571</v>
      </c>
      <c r="E813" s="510"/>
      <c r="F813" s="114"/>
      <c r="G813" s="697">
        <f>E813*F813</f>
        <v>0</v>
      </c>
      <c r="H813" s="431"/>
      <c r="I813" s="663"/>
      <c r="J813" s="114"/>
      <c r="K813" s="510"/>
      <c r="L813" s="52"/>
      <c r="M813" s="963">
        <f>SUM(M801:M811)</f>
        <v>215000</v>
      </c>
    </row>
    <row r="814" spans="1:14" ht="15">
      <c r="A814" s="982"/>
      <c r="B814" s="940"/>
      <c r="C814" s="941"/>
      <c r="D814" s="351"/>
      <c r="E814" s="510"/>
      <c r="F814" s="345"/>
      <c r="G814" s="431"/>
      <c r="H814" s="731"/>
      <c r="I814" s="663"/>
      <c r="J814" s="114"/>
      <c r="K814" s="510"/>
      <c r="L814" s="52"/>
      <c r="M814" s="431"/>
    </row>
    <row r="815" spans="1:14" ht="15.75">
      <c r="A815" s="982"/>
      <c r="B815" s="52"/>
      <c r="C815" s="52"/>
      <c r="D815" s="52"/>
      <c r="E815" s="715">
        <f>SUM(E801:E814)</f>
        <v>24250000</v>
      </c>
      <c r="F815" s="52"/>
      <c r="G815" s="556">
        <f>SUM(G801:G814)</f>
        <v>2251000</v>
      </c>
      <c r="H815" s="340"/>
      <c r="I815" s="399"/>
      <c r="J815" s="247"/>
      <c r="K815" s="342"/>
      <c r="L815" s="407"/>
      <c r="M815" s="648">
        <f>G815+M813</f>
        <v>2466000</v>
      </c>
    </row>
    <row r="816" spans="1:14" ht="18">
      <c r="A816" s="983" t="s">
        <v>107</v>
      </c>
      <c r="B816" s="983"/>
      <c r="C816" s="983"/>
      <c r="D816" s="983"/>
      <c r="E816" s="984"/>
      <c r="F816" s="984"/>
      <c r="G816" s="984"/>
      <c r="H816" s="984"/>
      <c r="I816" s="985"/>
      <c r="J816" s="985"/>
      <c r="K816" s="985"/>
      <c r="L816" s="985"/>
      <c r="M816" s="985"/>
    </row>
    <row r="817" spans="1:13" ht="18">
      <c r="A817" s="102" t="s">
        <v>2</v>
      </c>
      <c r="B817" s="102" t="s">
        <v>3</v>
      </c>
      <c r="C817" s="102" t="s">
        <v>4</v>
      </c>
      <c r="D817" s="102" t="s">
        <v>5</v>
      </c>
      <c r="E817" s="103" t="s">
        <v>6</v>
      </c>
      <c r="F817" s="103" t="s">
        <v>7</v>
      </c>
      <c r="G817" s="103" t="s">
        <v>8</v>
      </c>
      <c r="H817" s="103" t="s">
        <v>9</v>
      </c>
      <c r="I817" s="103" t="s">
        <v>3</v>
      </c>
      <c r="J817" s="103" t="s">
        <v>5</v>
      </c>
      <c r="K817" s="104" t="s">
        <v>10</v>
      </c>
      <c r="L817" s="105" t="s">
        <v>7</v>
      </c>
      <c r="M817" s="105" t="s">
        <v>11</v>
      </c>
    </row>
    <row r="818" spans="1:13" ht="15">
      <c r="A818" s="982">
        <v>17</v>
      </c>
      <c r="B818" s="54">
        <v>15538</v>
      </c>
      <c r="C818" s="605">
        <v>0.1</v>
      </c>
      <c r="D818" s="114" t="s">
        <v>572</v>
      </c>
      <c r="E818" s="703">
        <v>1200000</v>
      </c>
      <c r="F818" s="337">
        <v>0.1</v>
      </c>
      <c r="G818" s="697">
        <f>E818*F818</f>
        <v>120000</v>
      </c>
      <c r="H818" s="726" t="s">
        <v>153</v>
      </c>
      <c r="I818" s="811">
        <v>15462</v>
      </c>
      <c r="J818" s="52" t="s">
        <v>561</v>
      </c>
      <c r="K818" s="703">
        <v>1500000</v>
      </c>
      <c r="L818" s="343">
        <v>0.05</v>
      </c>
      <c r="M818" s="431">
        <f>K818*L818</f>
        <v>75000</v>
      </c>
    </row>
    <row r="819" spans="1:13" ht="15">
      <c r="A819" s="982"/>
      <c r="B819" s="54">
        <v>15465</v>
      </c>
      <c r="C819" s="605">
        <v>0.1</v>
      </c>
      <c r="D819" s="114" t="s">
        <v>573</v>
      </c>
      <c r="E819" s="703">
        <v>1800000</v>
      </c>
      <c r="F819" s="337">
        <v>0.06</v>
      </c>
      <c r="G819" s="697">
        <f t="shared" ref="G819:G827" si="46">E819*F819</f>
        <v>108000</v>
      </c>
      <c r="H819" s="726" t="s">
        <v>49</v>
      </c>
      <c r="I819" s="811">
        <v>15675</v>
      </c>
      <c r="J819" s="52" t="s">
        <v>574</v>
      </c>
      <c r="K819" s="703">
        <v>2700000</v>
      </c>
      <c r="L819" s="343">
        <v>0.05</v>
      </c>
      <c r="M819" s="431">
        <f>K819*L819</f>
        <v>135000</v>
      </c>
    </row>
    <row r="820" spans="1:13" ht="15">
      <c r="A820" s="982"/>
      <c r="B820" s="54">
        <v>15584</v>
      </c>
      <c r="C820" s="605">
        <v>0.1</v>
      </c>
      <c r="D820" s="114" t="s">
        <v>575</v>
      </c>
      <c r="E820" s="703">
        <v>1800000</v>
      </c>
      <c r="F820" s="343">
        <v>0.05</v>
      </c>
      <c r="G820" s="697">
        <f t="shared" si="46"/>
        <v>90000</v>
      </c>
      <c r="H820" s="726" t="s">
        <v>576</v>
      </c>
      <c r="I820" s="811">
        <v>15570</v>
      </c>
      <c r="J820" s="52" t="s">
        <v>577</v>
      </c>
      <c r="K820" s="703">
        <v>900000</v>
      </c>
      <c r="L820" s="343">
        <v>0.05</v>
      </c>
      <c r="M820" s="431">
        <f t="shared" ref="M819:M822" si="47">K820*L820</f>
        <v>45000</v>
      </c>
    </row>
    <row r="821" spans="1:13" ht="15">
      <c r="A821" s="982"/>
      <c r="B821" s="54">
        <v>15545</v>
      </c>
      <c r="C821" s="605">
        <v>0.1</v>
      </c>
      <c r="D821" s="52" t="s">
        <v>578</v>
      </c>
      <c r="E821" s="703">
        <v>1350000</v>
      </c>
      <c r="F821" s="337">
        <v>0.1</v>
      </c>
      <c r="G821" s="697">
        <f t="shared" si="46"/>
        <v>135000</v>
      </c>
      <c r="H821" s="726" t="s">
        <v>153</v>
      </c>
      <c r="I821" s="811">
        <v>15502</v>
      </c>
      <c r="J821" s="52" t="s">
        <v>579</v>
      </c>
      <c r="K821" s="703">
        <v>860000</v>
      </c>
      <c r="L821" s="343">
        <v>0.05</v>
      </c>
      <c r="M821" s="431">
        <f t="shared" si="47"/>
        <v>43000</v>
      </c>
    </row>
    <row r="822" spans="1:13" ht="15">
      <c r="A822" s="982"/>
      <c r="B822" s="54">
        <v>15429</v>
      </c>
      <c r="C822" s="605">
        <v>0.1</v>
      </c>
      <c r="D822" s="114" t="s">
        <v>580</v>
      </c>
      <c r="E822" s="703">
        <v>1800000</v>
      </c>
      <c r="F822" s="337">
        <v>0.06</v>
      </c>
      <c r="G822" s="697">
        <f t="shared" si="46"/>
        <v>108000</v>
      </c>
      <c r="H822" s="726" t="s">
        <v>49</v>
      </c>
      <c r="I822" s="811"/>
      <c r="J822" s="114"/>
      <c r="K822" s="567"/>
      <c r="L822" s="343"/>
      <c r="M822" s="431"/>
    </row>
    <row r="823" spans="1:13" ht="15">
      <c r="A823" s="982"/>
      <c r="B823" s="54">
        <v>15530</v>
      </c>
      <c r="C823" s="605">
        <v>0.1</v>
      </c>
      <c r="D823" s="709" t="s">
        <v>581</v>
      </c>
      <c r="E823" s="730">
        <v>2600000</v>
      </c>
      <c r="F823" s="337">
        <v>0.06</v>
      </c>
      <c r="G823" s="697">
        <f t="shared" si="46"/>
        <v>156000</v>
      </c>
      <c r="H823" s="726" t="s">
        <v>49</v>
      </c>
      <c r="I823" s="114"/>
      <c r="J823" s="114"/>
      <c r="K823" s="114"/>
      <c r="L823" s="432"/>
      <c r="M823" s="431"/>
    </row>
    <row r="824" spans="1:13" ht="15">
      <c r="A824" s="982"/>
      <c r="B824" s="54">
        <v>15495</v>
      </c>
      <c r="C824" s="605">
        <v>0.1</v>
      </c>
      <c r="D824" s="52" t="s">
        <v>582</v>
      </c>
      <c r="E824" s="703">
        <v>1300000</v>
      </c>
      <c r="F824" s="337">
        <v>0.1</v>
      </c>
      <c r="G824" s="697">
        <f t="shared" si="46"/>
        <v>130000</v>
      </c>
      <c r="H824" s="726" t="s">
        <v>153</v>
      </c>
      <c r="I824" s="114"/>
      <c r="J824" s="114"/>
      <c r="K824" s="114"/>
      <c r="L824" s="431"/>
      <c r="M824" s="431"/>
    </row>
    <row r="825" spans="1:13" ht="15.75">
      <c r="A825" s="982"/>
      <c r="B825" s="54">
        <v>15539</v>
      </c>
      <c r="C825" s="605">
        <v>0.1</v>
      </c>
      <c r="D825" s="52" t="s">
        <v>583</v>
      </c>
      <c r="E825" s="703">
        <v>1900000</v>
      </c>
      <c r="F825" s="337">
        <v>0.1</v>
      </c>
      <c r="G825" s="697">
        <f t="shared" si="46"/>
        <v>190000</v>
      </c>
      <c r="H825" s="726" t="s">
        <v>153</v>
      </c>
      <c r="I825" s="114"/>
      <c r="J825" s="114"/>
      <c r="K825" s="114"/>
      <c r="L825" s="431"/>
      <c r="M825" s="556">
        <f>SUM(M818:M824)</f>
        <v>298000</v>
      </c>
    </row>
    <row r="826" spans="1:13" ht="15">
      <c r="A826" s="982"/>
      <c r="B826" s="54">
        <v>15576</v>
      </c>
      <c r="C826" s="526">
        <v>0.08</v>
      </c>
      <c r="D826" s="52" t="s">
        <v>584</v>
      </c>
      <c r="E826" s="703">
        <v>1900000</v>
      </c>
      <c r="F826" s="343">
        <v>0.08</v>
      </c>
      <c r="G826" s="697">
        <f t="shared" si="46"/>
        <v>152000</v>
      </c>
      <c r="H826" s="726" t="s">
        <v>153</v>
      </c>
      <c r="I826" s="114"/>
      <c r="J826" s="114"/>
      <c r="K826" s="114"/>
      <c r="L826" s="431"/>
      <c r="M826" s="431"/>
    </row>
    <row r="827" spans="1:13" ht="15">
      <c r="A827" s="982"/>
      <c r="B827" s="54">
        <v>15563</v>
      </c>
      <c r="C827" s="337">
        <v>0.1</v>
      </c>
      <c r="D827" s="52" t="s">
        <v>585</v>
      </c>
      <c r="E827" s="729">
        <v>1800000</v>
      </c>
      <c r="F827" s="337">
        <v>0.1</v>
      </c>
      <c r="G827" s="697">
        <f t="shared" si="46"/>
        <v>180000</v>
      </c>
      <c r="H827" s="726" t="s">
        <v>153</v>
      </c>
      <c r="I827" s="663"/>
      <c r="J827" s="114"/>
      <c r="K827" s="510"/>
      <c r="L827" s="52"/>
      <c r="M827" s="431"/>
    </row>
    <row r="828" spans="1:13" ht="14.25">
      <c r="A828" s="982"/>
      <c r="B828" s="811"/>
      <c r="C828" s="52"/>
      <c r="D828" s="52"/>
      <c r="E828" s="510"/>
      <c r="F828" s="429"/>
      <c r="G828" s="625"/>
      <c r="H828" s="731"/>
      <c r="I828" s="663"/>
      <c r="J828" s="114"/>
      <c r="K828" s="510"/>
      <c r="L828" s="52"/>
      <c r="M828" s="431"/>
    </row>
    <row r="829" spans="1:13" ht="15.75">
      <c r="A829" s="982"/>
      <c r="B829" s="52"/>
      <c r="C829" s="52"/>
      <c r="D829" s="52"/>
      <c r="E829" s="715">
        <f>SUM(E818:E828)</f>
        <v>17450000</v>
      </c>
      <c r="F829" s="52"/>
      <c r="G829" s="556">
        <f>SUM(G818:G828)</f>
        <v>1369000</v>
      </c>
      <c r="H829" s="340"/>
      <c r="I829" s="399"/>
      <c r="J829" s="247"/>
      <c r="K829" s="342"/>
      <c r="L829" s="407"/>
      <c r="M829" s="556">
        <f>M825+G829</f>
        <v>1667000</v>
      </c>
    </row>
    <row r="830" spans="1:13" ht="18">
      <c r="A830" s="983" t="s">
        <v>318</v>
      </c>
      <c r="B830" s="983"/>
      <c r="C830" s="983"/>
      <c r="D830" s="983"/>
      <c r="E830" s="984"/>
      <c r="F830" s="984"/>
      <c r="G830" s="984"/>
      <c r="H830" s="984"/>
      <c r="I830" s="985"/>
      <c r="J830" s="985"/>
      <c r="K830" s="985"/>
      <c r="L830" s="985"/>
      <c r="M830" s="985"/>
    </row>
    <row r="831" spans="1:13" ht="18">
      <c r="A831" s="102" t="s">
        <v>2</v>
      </c>
      <c r="B831" s="102" t="s">
        <v>3</v>
      </c>
      <c r="C831" s="102" t="s">
        <v>4</v>
      </c>
      <c r="D831" s="102" t="s">
        <v>5</v>
      </c>
      <c r="E831" s="103" t="s">
        <v>6</v>
      </c>
      <c r="F831" s="103" t="s">
        <v>7</v>
      </c>
      <c r="G831" s="103" t="s">
        <v>8</v>
      </c>
      <c r="H831" s="103" t="s">
        <v>9</v>
      </c>
      <c r="I831" s="103" t="s">
        <v>3</v>
      </c>
      <c r="J831" s="103" t="s">
        <v>5</v>
      </c>
      <c r="K831" s="104" t="s">
        <v>10</v>
      </c>
      <c r="L831" s="105" t="s">
        <v>7</v>
      </c>
      <c r="M831" s="105" t="s">
        <v>11</v>
      </c>
    </row>
    <row r="832" spans="1:13" ht="15">
      <c r="A832" s="982">
        <v>14</v>
      </c>
      <c r="B832" s="54">
        <v>15459</v>
      </c>
      <c r="C832" s="526">
        <v>0.08</v>
      </c>
      <c r="D832" s="114" t="s">
        <v>586</v>
      </c>
      <c r="E832" s="703">
        <v>2150000</v>
      </c>
      <c r="F832" s="337">
        <v>0.08</v>
      </c>
      <c r="G832" s="697">
        <f>E832*F832</f>
        <v>172000</v>
      </c>
      <c r="H832" s="431" t="s">
        <v>388</v>
      </c>
      <c r="I832" s="962"/>
      <c r="J832" s="114"/>
      <c r="K832" s="510"/>
      <c r="L832" s="343"/>
      <c r="M832" s="431"/>
    </row>
    <row r="833" spans="1:13" ht="15">
      <c r="A833" s="982"/>
      <c r="B833" s="980">
        <v>15557</v>
      </c>
      <c r="C833" s="747">
        <v>0.08</v>
      </c>
      <c r="D833" s="424" t="s">
        <v>587</v>
      </c>
      <c r="E833" s="730">
        <v>2700000</v>
      </c>
      <c r="F833" s="337">
        <v>0.08</v>
      </c>
      <c r="G833" s="697">
        <f t="shared" ref="G833:G838" si="48">E833*F833</f>
        <v>216000</v>
      </c>
      <c r="H833" s="431" t="s">
        <v>388</v>
      </c>
      <c r="I833" s="962"/>
      <c r="J833" s="114"/>
      <c r="K833" s="510"/>
      <c r="L833" s="343"/>
      <c r="M833" s="431"/>
    </row>
    <row r="834" spans="1:13" ht="15">
      <c r="A834" s="982"/>
      <c r="B834" s="980">
        <v>15646</v>
      </c>
      <c r="C834" s="747">
        <v>0.08</v>
      </c>
      <c r="D834" s="424" t="s">
        <v>588</v>
      </c>
      <c r="E834" s="730">
        <v>2200000</v>
      </c>
      <c r="F834" s="337">
        <v>0.06</v>
      </c>
      <c r="G834" s="697">
        <f t="shared" si="48"/>
        <v>132000</v>
      </c>
      <c r="H834" s="431" t="s">
        <v>49</v>
      </c>
      <c r="I834" s="671"/>
      <c r="J834" s="114"/>
      <c r="K834" s="510"/>
      <c r="L834" s="52"/>
      <c r="M834" s="431"/>
    </row>
    <row r="835" spans="1:13" ht="15">
      <c r="A835" s="982"/>
      <c r="B835" s="54">
        <v>15567</v>
      </c>
      <c r="C835" s="337">
        <v>0.1</v>
      </c>
      <c r="D835" s="52" t="s">
        <v>589</v>
      </c>
      <c r="E835" s="729">
        <v>1700000</v>
      </c>
      <c r="F835" s="337">
        <v>0.05</v>
      </c>
      <c r="G835" s="697">
        <f t="shared" si="48"/>
        <v>85000</v>
      </c>
      <c r="H835" s="415" t="s">
        <v>550</v>
      </c>
      <c r="I835" s="671"/>
      <c r="J835" s="114"/>
      <c r="K835" s="510"/>
      <c r="L835" s="52"/>
      <c r="M835" s="431"/>
    </row>
    <row r="836" spans="1:13" ht="15">
      <c r="A836" s="982"/>
      <c r="B836" s="54">
        <v>15632</v>
      </c>
      <c r="C836" s="337">
        <v>0.1</v>
      </c>
      <c r="D836" s="52" t="s">
        <v>590</v>
      </c>
      <c r="E836" s="729">
        <v>2000000</v>
      </c>
      <c r="F836" s="337">
        <v>0.1</v>
      </c>
      <c r="G836" s="697">
        <f t="shared" si="48"/>
        <v>200000</v>
      </c>
      <c r="H836" s="415" t="s">
        <v>388</v>
      </c>
      <c r="I836" s="671"/>
      <c r="J836" s="114"/>
      <c r="K836" s="510"/>
      <c r="L836" s="52"/>
      <c r="M836" s="431"/>
    </row>
    <row r="837" spans="1:13" ht="15">
      <c r="A837" s="982"/>
      <c r="B837" s="54">
        <v>15675</v>
      </c>
      <c r="C837" s="337">
        <v>0.1</v>
      </c>
      <c r="D837" s="52" t="s">
        <v>574</v>
      </c>
      <c r="E837" s="729">
        <v>2700000</v>
      </c>
      <c r="F837" s="337">
        <v>0.05</v>
      </c>
      <c r="G837" s="697">
        <f t="shared" si="48"/>
        <v>135000</v>
      </c>
      <c r="H837" s="415" t="s">
        <v>153</v>
      </c>
      <c r="I837" s="671"/>
      <c r="J837" s="114"/>
      <c r="K837" s="510"/>
      <c r="L837" s="52"/>
      <c r="M837" s="431"/>
    </row>
    <row r="838" spans="1:13" ht="15">
      <c r="A838" s="982"/>
      <c r="B838" s="54">
        <v>15435</v>
      </c>
      <c r="C838" s="343">
        <v>0.09</v>
      </c>
      <c r="D838" s="218" t="s">
        <v>557</v>
      </c>
      <c r="E838" s="729">
        <v>4300000</v>
      </c>
      <c r="F838" s="337">
        <v>0.04</v>
      </c>
      <c r="G838" s="697">
        <f t="shared" si="48"/>
        <v>172000</v>
      </c>
      <c r="H838" s="415" t="s">
        <v>372</v>
      </c>
      <c r="I838" s="671"/>
      <c r="J838" s="114"/>
      <c r="K838" s="510"/>
      <c r="L838" s="52"/>
      <c r="M838" s="431"/>
    </row>
    <row r="839" spans="1:13" ht="15.75">
      <c r="A839" s="982"/>
      <c r="B839" s="52"/>
      <c r="C839" s="52"/>
      <c r="D839" s="52"/>
      <c r="E839" s="715">
        <f>SUM(E832:E838)</f>
        <v>17750000</v>
      </c>
      <c r="F839" s="429"/>
      <c r="G839" s="728">
        <f>SUM(G832:G838)</f>
        <v>1112000</v>
      </c>
      <c r="H839" s="651"/>
      <c r="I839" s="399"/>
      <c r="J839" s="247"/>
      <c r="K839" s="342"/>
      <c r="L839" s="407"/>
      <c r="M839" s="648"/>
    </row>
    <row r="840" spans="1:13" ht="18">
      <c r="A840" s="983" t="s">
        <v>511</v>
      </c>
      <c r="B840" s="983"/>
      <c r="C840" s="983"/>
      <c r="D840" s="983"/>
      <c r="E840" s="983"/>
      <c r="F840" s="983"/>
      <c r="G840" s="984"/>
      <c r="H840" s="984"/>
      <c r="I840" s="985"/>
      <c r="J840" s="985"/>
      <c r="K840" s="985"/>
      <c r="L840" s="985"/>
      <c r="M840" s="985"/>
    </row>
    <row r="841" spans="1:13" ht="18">
      <c r="A841" s="939" t="s">
        <v>2</v>
      </c>
      <c r="B841" s="149" t="s">
        <v>3</v>
      </c>
      <c r="C841" s="149" t="s">
        <v>4</v>
      </c>
      <c r="D841" s="149" t="s">
        <v>5</v>
      </c>
      <c r="E841" s="149" t="s">
        <v>6</v>
      </c>
      <c r="F841" s="149" t="s">
        <v>7</v>
      </c>
      <c r="G841" s="103" t="s">
        <v>8</v>
      </c>
      <c r="H841" s="103" t="s">
        <v>9</v>
      </c>
      <c r="I841" s="103" t="s">
        <v>3</v>
      </c>
      <c r="J841" s="103" t="s">
        <v>5</v>
      </c>
      <c r="K841" s="104" t="s">
        <v>10</v>
      </c>
      <c r="L841" s="105" t="s">
        <v>7</v>
      </c>
      <c r="M841" s="105" t="s">
        <v>11</v>
      </c>
    </row>
    <row r="842" spans="1:13" ht="15">
      <c r="A842" s="986">
        <v>8</v>
      </c>
      <c r="B842" s="54" t="s">
        <v>591</v>
      </c>
      <c r="C842" s="337">
        <v>0.1</v>
      </c>
      <c r="D842" s="52" t="s">
        <v>592</v>
      </c>
      <c r="E842" s="510">
        <v>1200000</v>
      </c>
      <c r="F842" s="964">
        <v>0.06</v>
      </c>
      <c r="G842" s="697">
        <f>E842*F842</f>
        <v>72000</v>
      </c>
      <c r="H842" s="726" t="s">
        <v>49</v>
      </c>
      <c r="I842" s="811">
        <v>15567</v>
      </c>
      <c r="J842" s="52" t="s">
        <v>589</v>
      </c>
      <c r="K842" s="510">
        <v>1700000</v>
      </c>
      <c r="L842" s="343">
        <v>0.04</v>
      </c>
      <c r="M842" s="431">
        <f>K842*L842</f>
        <v>68000</v>
      </c>
    </row>
    <row r="843" spans="1:13" ht="24">
      <c r="A843" s="986"/>
      <c r="B843" s="54">
        <v>15603</v>
      </c>
      <c r="C843" s="343">
        <v>0.08</v>
      </c>
      <c r="D843" s="52" t="s">
        <v>593</v>
      </c>
      <c r="E843" s="510">
        <v>1200000</v>
      </c>
      <c r="F843" s="966">
        <v>0.04</v>
      </c>
      <c r="G843" s="697">
        <f t="shared" ref="G843:G844" si="49">E843*F843</f>
        <v>48000</v>
      </c>
      <c r="H843" s="965" t="s">
        <v>594</v>
      </c>
      <c r="I843" s="811"/>
      <c r="J843" s="247"/>
      <c r="K843" s="510"/>
      <c r="L843" s="343"/>
      <c r="M843" s="431"/>
    </row>
    <row r="844" spans="1:13" ht="15">
      <c r="A844" s="986"/>
      <c r="B844" s="54">
        <v>15569</v>
      </c>
      <c r="C844" s="605">
        <v>0.1</v>
      </c>
      <c r="D844" s="52" t="s">
        <v>595</v>
      </c>
      <c r="E844" s="510">
        <v>1900000</v>
      </c>
      <c r="F844" s="964">
        <v>0.06</v>
      </c>
      <c r="G844" s="697">
        <f t="shared" si="49"/>
        <v>114000</v>
      </c>
      <c r="H844" s="726" t="s">
        <v>49</v>
      </c>
      <c r="I844" s="114"/>
      <c r="J844" s="114"/>
      <c r="K844" s="114" t="s">
        <v>104</v>
      </c>
      <c r="L844" s="52"/>
      <c r="M844" s="431"/>
    </row>
    <row r="845" spans="1:13" ht="14.25">
      <c r="A845" s="986"/>
      <c r="B845" s="898"/>
      <c r="C845" s="337"/>
      <c r="D845" s="114"/>
      <c r="E845" s="510"/>
      <c r="F845" s="114"/>
      <c r="G845" s="771"/>
      <c r="H845" s="731"/>
      <c r="I845" s="663"/>
      <c r="J845" s="114"/>
      <c r="K845" s="510"/>
      <c r="L845" s="52"/>
      <c r="M845" s="431"/>
    </row>
    <row r="846" spans="1:13" ht="14.25">
      <c r="A846" s="986"/>
      <c r="B846" s="898"/>
      <c r="C846" s="25"/>
      <c r="D846" s="114"/>
      <c r="E846" s="510"/>
      <c r="F846" s="337"/>
      <c r="G846" s="726"/>
      <c r="H846" s="731"/>
      <c r="I846" s="114"/>
      <c r="J846" s="114"/>
      <c r="K846" s="510"/>
      <c r="L846" s="52"/>
      <c r="M846" s="431"/>
    </row>
    <row r="847" spans="1:13" ht="15">
      <c r="A847" s="986"/>
      <c r="B847" s="898"/>
      <c r="C847" s="25"/>
      <c r="D847" s="247"/>
      <c r="E847" s="510"/>
      <c r="F847" s="345"/>
      <c r="G847" s="726"/>
      <c r="H847" s="731"/>
      <c r="I847" s="663"/>
      <c r="J847" s="114"/>
      <c r="K847" s="510"/>
      <c r="L847" s="52"/>
      <c r="M847" s="431">
        <f>SUM(M842:M846)</f>
        <v>68000</v>
      </c>
    </row>
    <row r="848" spans="1:13" ht="14.25">
      <c r="A848" s="986"/>
      <c r="B848" s="811"/>
      <c r="C848" s="25"/>
      <c r="D848" s="114"/>
      <c r="E848" s="510"/>
      <c r="F848" s="337"/>
      <c r="G848" s="726"/>
      <c r="H848" s="731"/>
      <c r="I848" s="663"/>
      <c r="J848" s="114"/>
      <c r="K848" s="510"/>
      <c r="L848" s="52"/>
      <c r="M848" s="431"/>
    </row>
    <row r="849" spans="1:15" ht="15">
      <c r="A849" s="982"/>
      <c r="B849" s="940"/>
      <c r="C849" s="941"/>
      <c r="D849" s="351"/>
      <c r="E849" s="679"/>
      <c r="F849" s="758"/>
      <c r="G849" s="431"/>
      <c r="H849" s="731"/>
      <c r="I849" s="663"/>
      <c r="J849" s="114"/>
      <c r="K849" s="510"/>
      <c r="L849" s="52"/>
      <c r="M849" s="431"/>
    </row>
    <row r="850" spans="1:15" ht="15.75">
      <c r="A850" s="982"/>
      <c r="B850" s="52"/>
      <c r="C850" s="52"/>
      <c r="D850" s="52"/>
      <c r="E850" s="715">
        <f>SUM(E842:E849)</f>
        <v>4300000</v>
      </c>
      <c r="F850" s="52"/>
      <c r="G850" s="556">
        <f>SUM(G842:G849)</f>
        <v>234000</v>
      </c>
      <c r="H850" s="340"/>
      <c r="I850" s="399"/>
      <c r="J850" s="247"/>
      <c r="K850" s="342"/>
      <c r="L850" s="407"/>
      <c r="M850" s="648">
        <f>M847+G850</f>
        <v>302000</v>
      </c>
    </row>
    <row r="851" spans="1:15" ht="18">
      <c r="A851" s="983" t="s">
        <v>49</v>
      </c>
      <c r="B851" s="983"/>
      <c r="C851" s="983"/>
      <c r="D851" s="983"/>
      <c r="E851" s="984"/>
      <c r="F851" s="984"/>
      <c r="G851" s="984"/>
      <c r="H851" s="984"/>
      <c r="I851" s="985"/>
      <c r="J851" s="985"/>
      <c r="K851" s="985"/>
      <c r="L851" s="985"/>
      <c r="M851" s="985"/>
    </row>
    <row r="852" spans="1:15" ht="18">
      <c r="A852" s="102" t="s">
        <v>2</v>
      </c>
      <c r="B852" s="102" t="s">
        <v>3</v>
      </c>
      <c r="C852" s="102" t="s">
        <v>4</v>
      </c>
      <c r="D852" s="102" t="s">
        <v>5</v>
      </c>
      <c r="E852" s="103" t="s">
        <v>6</v>
      </c>
      <c r="F852" s="103" t="s">
        <v>7</v>
      </c>
      <c r="G852" s="103" t="s">
        <v>8</v>
      </c>
      <c r="H852" s="103" t="s">
        <v>9</v>
      </c>
      <c r="I852" s="103" t="s">
        <v>3</v>
      </c>
      <c r="J852" s="103" t="s">
        <v>5</v>
      </c>
      <c r="K852" s="104" t="s">
        <v>10</v>
      </c>
      <c r="L852" s="105" t="s">
        <v>7</v>
      </c>
      <c r="M852" s="105" t="s">
        <v>11</v>
      </c>
    </row>
    <row r="853" spans="1:15" ht="15">
      <c r="A853" s="982">
        <v>9</v>
      </c>
      <c r="B853" s="54">
        <v>15619</v>
      </c>
      <c r="C853" s="337">
        <v>0.1</v>
      </c>
      <c r="D853" s="52" t="s">
        <v>596</v>
      </c>
      <c r="E853" s="634">
        <v>2900000</v>
      </c>
      <c r="F853" s="337"/>
      <c r="G853" s="431"/>
      <c r="H853" s="731"/>
      <c r="I853" s="811">
        <v>15412</v>
      </c>
      <c r="J853" s="879" t="s">
        <v>556</v>
      </c>
      <c r="K853" s="510">
        <v>2000000</v>
      </c>
      <c r="L853" s="337">
        <v>0.05</v>
      </c>
      <c r="M853" s="697">
        <f>K853*L853</f>
        <v>100000</v>
      </c>
    </row>
    <row r="854" spans="1:15" ht="14.25">
      <c r="A854" s="982"/>
      <c r="B854" s="898"/>
      <c r="C854" s="343"/>
      <c r="D854" s="114"/>
      <c r="E854" s="510"/>
      <c r="F854" s="337"/>
      <c r="G854" s="431"/>
      <c r="H854" s="731"/>
      <c r="I854" s="811">
        <v>15494</v>
      </c>
      <c r="J854" s="879" t="s">
        <v>558</v>
      </c>
      <c r="K854" s="510">
        <v>2400000</v>
      </c>
      <c r="L854" s="337">
        <v>0.05</v>
      </c>
      <c r="M854" s="697">
        <f>K854*L854</f>
        <v>120000</v>
      </c>
    </row>
    <row r="855" spans="1:15" ht="14.25">
      <c r="A855" s="982"/>
      <c r="B855" s="898"/>
      <c r="C855" s="337"/>
      <c r="D855" s="114"/>
      <c r="E855" s="510"/>
      <c r="F855" s="337"/>
      <c r="G855" s="431"/>
      <c r="H855" s="731"/>
      <c r="I855" s="811">
        <v>15611</v>
      </c>
      <c r="J855" s="961" t="s">
        <v>567</v>
      </c>
      <c r="K855" s="510">
        <v>2100000</v>
      </c>
      <c r="L855" s="337">
        <v>0.05</v>
      </c>
      <c r="M855" s="697">
        <f>K855*L855</f>
        <v>105000</v>
      </c>
      <c r="O855" s="431" t="s">
        <v>49</v>
      </c>
    </row>
    <row r="856" spans="1:15" ht="14.25">
      <c r="A856" s="982"/>
      <c r="B856" s="898"/>
      <c r="C856" s="343"/>
      <c r="D856" s="114"/>
      <c r="E856" s="510"/>
      <c r="F856" s="337"/>
      <c r="G856" s="431"/>
      <c r="H856" s="731"/>
      <c r="I856" s="898">
        <v>15627</v>
      </c>
      <c r="J856" s="879" t="s">
        <v>568</v>
      </c>
      <c r="K856" s="510">
        <v>1600000</v>
      </c>
      <c r="L856" s="337">
        <v>0.05</v>
      </c>
      <c r="M856" s="697">
        <f>K856*L856</f>
        <v>80000</v>
      </c>
      <c r="O856" s="431" t="s">
        <v>49</v>
      </c>
    </row>
    <row r="857" spans="1:15" ht="14.25">
      <c r="A857" s="982"/>
      <c r="B857" s="898"/>
      <c r="C857" s="337"/>
      <c r="D857" s="114"/>
      <c r="E857" s="510"/>
      <c r="F857" s="114"/>
      <c r="G857" s="431"/>
      <c r="H857" s="731"/>
      <c r="I857" s="898">
        <v>15465</v>
      </c>
      <c r="J857" s="114" t="s">
        <v>573</v>
      </c>
      <c r="K857" s="703">
        <v>1800000</v>
      </c>
      <c r="L857" s="337">
        <v>0.05</v>
      </c>
      <c r="M857" s="697">
        <f>K857*L857</f>
        <v>90000</v>
      </c>
    </row>
    <row r="858" spans="1:15" ht="14.25">
      <c r="A858" s="982"/>
      <c r="B858" s="898"/>
      <c r="C858" s="25"/>
      <c r="D858" s="114"/>
      <c r="E858" s="510"/>
      <c r="F858" s="337"/>
      <c r="G858" s="431"/>
      <c r="H858" s="731"/>
      <c r="I858" s="811">
        <v>15429</v>
      </c>
      <c r="J858" s="114" t="s">
        <v>580</v>
      </c>
      <c r="K858" s="703">
        <v>1800000</v>
      </c>
      <c r="L858" s="337">
        <v>0.05</v>
      </c>
      <c r="M858" s="697">
        <f>K858*L858</f>
        <v>90000</v>
      </c>
      <c r="O858" s="726" t="s">
        <v>49</v>
      </c>
    </row>
    <row r="859" spans="1:15" ht="15">
      <c r="A859" s="982"/>
      <c r="B859" s="811"/>
      <c r="C859" s="25"/>
      <c r="D859" s="247"/>
      <c r="E859" s="510"/>
      <c r="F859" s="345"/>
      <c r="G859" s="431"/>
      <c r="H859" s="731"/>
      <c r="I859" s="811">
        <v>15530</v>
      </c>
      <c r="J859" s="709" t="s">
        <v>581</v>
      </c>
      <c r="K859" s="730">
        <v>2600000</v>
      </c>
      <c r="L859" s="337">
        <v>0.05</v>
      </c>
      <c r="M859" s="697">
        <f>K859*L859</f>
        <v>130000</v>
      </c>
      <c r="O859" s="726" t="s">
        <v>49</v>
      </c>
    </row>
    <row r="860" spans="1:15" ht="14.25">
      <c r="A860" s="982"/>
      <c r="B860" s="811"/>
      <c r="C860" s="25"/>
      <c r="D860" s="114"/>
      <c r="E860" s="510"/>
      <c r="F860" s="337"/>
      <c r="G860" s="431"/>
      <c r="H860" s="731"/>
      <c r="I860" s="954">
        <v>15646</v>
      </c>
      <c r="J860" s="424" t="s">
        <v>588</v>
      </c>
      <c r="K860" s="730">
        <v>2200000</v>
      </c>
      <c r="L860" s="337">
        <v>0.05</v>
      </c>
      <c r="M860" s="52"/>
    </row>
    <row r="861" spans="1:15" ht="15">
      <c r="A861" s="982"/>
      <c r="B861" s="898"/>
      <c r="C861" s="25"/>
      <c r="D861" s="247"/>
      <c r="E861" s="510"/>
      <c r="F861" s="345"/>
      <c r="G861" s="431"/>
      <c r="H861" s="731"/>
      <c r="I861" s="898" t="s">
        <v>591</v>
      </c>
      <c r="J861" s="52" t="s">
        <v>592</v>
      </c>
      <c r="K861" s="510">
        <v>1200000</v>
      </c>
      <c r="L861" s="337">
        <v>0.05</v>
      </c>
      <c r="M861" s="697">
        <f>K861*L861</f>
        <v>60000</v>
      </c>
    </row>
    <row r="862" spans="1:15" ht="15">
      <c r="A862" s="982"/>
      <c r="B862" s="898"/>
      <c r="C862" s="25"/>
      <c r="D862" s="247"/>
      <c r="E862" s="510"/>
      <c r="F862" s="345"/>
      <c r="G862" s="431"/>
      <c r="H862" s="731"/>
      <c r="I862" s="811">
        <v>15569</v>
      </c>
      <c r="J862" s="52" t="s">
        <v>595</v>
      </c>
      <c r="K862" s="510">
        <v>1900000</v>
      </c>
      <c r="L862" s="337">
        <v>0.05</v>
      </c>
      <c r="M862" s="697">
        <f>K862*L862</f>
        <v>95000</v>
      </c>
      <c r="O862" s="726" t="s">
        <v>49</v>
      </c>
    </row>
    <row r="863" spans="1:15" ht="15.75">
      <c r="A863" s="982"/>
      <c r="B863" s="52"/>
      <c r="C863" s="52"/>
      <c r="D863" s="52"/>
      <c r="E863" s="715">
        <f>SUM(E853:E861)</f>
        <v>2900000</v>
      </c>
      <c r="F863" s="52"/>
      <c r="G863" s="556"/>
      <c r="H863" s="340"/>
      <c r="I863" s="399"/>
      <c r="J863" s="247"/>
      <c r="K863" s="342">
        <f>SUM(K853:K862)</f>
        <v>19600000</v>
      </c>
      <c r="L863" s="407"/>
      <c r="M863" s="970">
        <f>SUM(M853:M862)</f>
        <v>870000</v>
      </c>
    </row>
    <row r="865" spans="1:13" ht="18">
      <c r="A865" s="930" t="s">
        <v>50</v>
      </c>
      <c r="B865" s="930"/>
      <c r="C865" s="930"/>
      <c r="D865" s="147">
        <f ca="1">SUM(D865:D867)</f>
        <v>66650000</v>
      </c>
    </row>
    <row r="866" spans="1:13" ht="18">
      <c r="A866" s="937" t="s">
        <v>597</v>
      </c>
      <c r="B866" s="931"/>
      <c r="C866" s="931"/>
    </row>
    <row r="867" spans="1:13" ht="18">
      <c r="A867" s="932" t="s">
        <v>52</v>
      </c>
      <c r="B867" s="932"/>
      <c r="C867" s="932"/>
      <c r="D867" s="416"/>
    </row>
    <row r="868" spans="1:13" ht="18">
      <c r="A868" s="710" t="s">
        <v>59</v>
      </c>
      <c r="B868" s="710"/>
      <c r="C868" s="710"/>
      <c r="D868" s="979">
        <v>62350000</v>
      </c>
    </row>
    <row r="870" spans="1:13" ht="31.5">
      <c r="A870" s="987" t="s">
        <v>598</v>
      </c>
      <c r="B870" s="987"/>
      <c r="C870" s="987"/>
      <c r="D870" s="987"/>
      <c r="E870" s="987"/>
      <c r="F870" s="987"/>
      <c r="G870" s="987"/>
      <c r="H870" s="987"/>
      <c r="I870" s="987"/>
      <c r="J870" s="987"/>
      <c r="K870" s="987"/>
      <c r="L870" s="987"/>
      <c r="M870" s="987"/>
    </row>
    <row r="871" spans="1:13" ht="18">
      <c r="A871" s="983" t="s">
        <v>369</v>
      </c>
      <c r="B871" s="983"/>
      <c r="C871" s="983"/>
      <c r="D871" s="983"/>
      <c r="E871" s="983"/>
      <c r="F871" s="983"/>
      <c r="G871" s="984"/>
      <c r="H871" s="984"/>
      <c r="I871" s="985"/>
      <c r="J871" s="985"/>
      <c r="K871" s="985"/>
      <c r="L871" s="985"/>
      <c r="M871" s="985"/>
    </row>
    <row r="872" spans="1:13" ht="18">
      <c r="A872" s="939" t="s">
        <v>2</v>
      </c>
      <c r="B872" s="149" t="s">
        <v>3</v>
      </c>
      <c r="C872" s="149" t="s">
        <v>4</v>
      </c>
      <c r="D872" s="149" t="s">
        <v>5</v>
      </c>
      <c r="E872" s="149" t="s">
        <v>6</v>
      </c>
      <c r="F872" s="149" t="s">
        <v>7</v>
      </c>
      <c r="G872" s="103" t="s">
        <v>8</v>
      </c>
      <c r="H872" s="103" t="s">
        <v>9</v>
      </c>
      <c r="I872" s="103" t="s">
        <v>3</v>
      </c>
      <c r="J872" s="103" t="s">
        <v>5</v>
      </c>
      <c r="K872" s="104" t="s">
        <v>10</v>
      </c>
      <c r="L872" s="105" t="s">
        <v>7</v>
      </c>
      <c r="M872" s="105" t="s">
        <v>11</v>
      </c>
    </row>
    <row r="873" spans="1:13" ht="14.25">
      <c r="A873" s="986"/>
      <c r="B873" s="950" t="s">
        <v>569</v>
      </c>
      <c r="C873" s="114"/>
      <c r="D873" s="959" t="s">
        <v>570</v>
      </c>
      <c r="E873" s="510"/>
      <c r="F873" s="964"/>
      <c r="G873" s="510"/>
      <c r="H873" s="726"/>
      <c r="I873" s="898"/>
      <c r="J873" s="114"/>
      <c r="K873" s="510"/>
      <c r="L873" s="343"/>
      <c r="M873" s="431"/>
    </row>
    <row r="874" spans="1:13" ht="14.25">
      <c r="A874" s="986"/>
      <c r="B874" s="954" t="s">
        <v>348</v>
      </c>
      <c r="C874" s="605"/>
      <c r="D874" s="446" t="s">
        <v>599</v>
      </c>
      <c r="E874" s="510">
        <v>3000000</v>
      </c>
      <c r="F874" s="966"/>
      <c r="G874" s="510"/>
      <c r="H874" s="965"/>
      <c r="I874" s="898"/>
      <c r="J874" s="247"/>
      <c r="K874" s="510"/>
      <c r="L874" s="343"/>
      <c r="M874" s="431"/>
    </row>
    <row r="875" spans="1:13" ht="14.25">
      <c r="A875" s="986"/>
      <c r="B875" s="898"/>
      <c r="C875" s="343"/>
      <c r="D875" s="114"/>
      <c r="E875" s="510"/>
      <c r="F875" s="964"/>
      <c r="G875" s="510"/>
      <c r="H875" s="726"/>
      <c r="I875" s="898"/>
      <c r="J875" s="114"/>
      <c r="K875" s="510"/>
      <c r="L875" s="343"/>
      <c r="M875" s="431"/>
    </row>
    <row r="876" spans="1:13" ht="14.25">
      <c r="A876" s="986"/>
      <c r="B876" s="898"/>
      <c r="C876" s="605"/>
      <c r="D876" s="114"/>
      <c r="E876" s="510"/>
      <c r="F876" s="964"/>
      <c r="G876" s="510"/>
      <c r="H876" s="726"/>
      <c r="I876" s="114"/>
      <c r="J876" s="114"/>
      <c r="K876" s="114"/>
      <c r="L876" s="114"/>
      <c r="M876" s="431"/>
    </row>
    <row r="877" spans="1:13" ht="14.25">
      <c r="A877" s="986"/>
      <c r="B877" s="898"/>
      <c r="C877" s="337"/>
      <c r="D877" s="114"/>
      <c r="E877" s="510"/>
      <c r="F877" s="114"/>
      <c r="G877" s="771"/>
      <c r="H877" s="731"/>
      <c r="I877" s="663"/>
      <c r="J877" s="114"/>
      <c r="K877" s="510"/>
      <c r="L877" s="114"/>
      <c r="M877" s="431"/>
    </row>
    <row r="878" spans="1:13" ht="14.25">
      <c r="A878" s="986"/>
      <c r="B878" s="898"/>
      <c r="C878" s="25"/>
      <c r="D878" s="114"/>
      <c r="E878" s="510"/>
      <c r="F878" s="337"/>
      <c r="G878" s="726"/>
      <c r="H878" s="731"/>
      <c r="I878" s="114"/>
      <c r="J878" s="114"/>
      <c r="K878" s="510"/>
      <c r="L878" s="114"/>
      <c r="M878" s="431"/>
    </row>
    <row r="879" spans="1:13" ht="15">
      <c r="A879" s="986"/>
      <c r="B879" s="898"/>
      <c r="C879" s="25"/>
      <c r="D879" s="247"/>
      <c r="E879" s="510"/>
      <c r="F879" s="345"/>
      <c r="G879" s="726"/>
      <c r="H879" s="731"/>
      <c r="I879" s="663"/>
      <c r="J879" s="114"/>
      <c r="K879" s="510"/>
      <c r="L879" s="52"/>
      <c r="M879" s="431">
        <f>SUM(M873:M878)</f>
        <v>0</v>
      </c>
    </row>
    <row r="880" spans="1:13" ht="14.25">
      <c r="A880" s="986"/>
      <c r="B880" s="811"/>
      <c r="C880" s="25"/>
      <c r="D880" s="114"/>
      <c r="E880" s="510"/>
      <c r="F880" s="337"/>
      <c r="G880" s="726"/>
      <c r="H880" s="731"/>
      <c r="I880" s="663"/>
      <c r="J880" s="114"/>
      <c r="K880" s="510"/>
      <c r="L880" s="52"/>
      <c r="M880" s="431"/>
    </row>
    <row r="881" spans="1:13" ht="15">
      <c r="A881" s="982"/>
      <c r="B881" s="940"/>
      <c r="C881" s="941"/>
      <c r="D881" s="351"/>
      <c r="E881" s="679"/>
      <c r="F881" s="758"/>
      <c r="G881" s="431"/>
      <c r="H881" s="731"/>
      <c r="I881" s="663"/>
      <c r="J881" s="114"/>
      <c r="K881" s="510"/>
      <c r="L881" s="52"/>
      <c r="M881" s="431"/>
    </row>
    <row r="882" spans="1:13" ht="15.75">
      <c r="A882" s="982"/>
      <c r="B882" s="52"/>
      <c r="C882" s="52"/>
      <c r="D882" s="52"/>
      <c r="E882" s="715">
        <f>SUM(E873:E881)</f>
        <v>3000000</v>
      </c>
      <c r="F882" s="52"/>
      <c r="G882" s="556">
        <f>SUM(G873:G881)</f>
        <v>0</v>
      </c>
      <c r="H882" s="340"/>
      <c r="I882" s="399"/>
      <c r="J882" s="247"/>
      <c r="K882" s="342"/>
      <c r="L882" s="407"/>
      <c r="M882" s="648">
        <f>M879+G882</f>
        <v>0</v>
      </c>
    </row>
    <row r="883" spans="1:13" ht="18">
      <c r="A883" s="983" t="s">
        <v>107</v>
      </c>
      <c r="B883" s="983"/>
      <c r="C883" s="983"/>
      <c r="D883" s="983"/>
      <c r="E883" s="983"/>
      <c r="F883" s="983"/>
      <c r="G883" s="984"/>
      <c r="H883" s="984"/>
      <c r="I883" s="985"/>
      <c r="J883" s="985"/>
      <c r="K883" s="985"/>
      <c r="L883" s="985"/>
      <c r="M883" s="985"/>
    </row>
    <row r="884" spans="1:13" ht="18">
      <c r="A884" s="939" t="s">
        <v>2</v>
      </c>
      <c r="B884" s="149" t="s">
        <v>3</v>
      </c>
      <c r="C884" s="149" t="s">
        <v>4</v>
      </c>
      <c r="D884" s="149" t="s">
        <v>5</v>
      </c>
      <c r="E884" s="149" t="s">
        <v>6</v>
      </c>
      <c r="F884" s="149" t="s">
        <v>7</v>
      </c>
      <c r="G884" s="103" t="s">
        <v>8</v>
      </c>
      <c r="H884" s="103" t="s">
        <v>9</v>
      </c>
      <c r="I884" s="103" t="s">
        <v>3</v>
      </c>
      <c r="J884" s="103" t="s">
        <v>5</v>
      </c>
      <c r="K884" s="104" t="s">
        <v>10</v>
      </c>
      <c r="L884" s="105" t="s">
        <v>7</v>
      </c>
      <c r="M884" s="105" t="s">
        <v>11</v>
      </c>
    </row>
    <row r="885" spans="1:13" ht="14.25">
      <c r="A885" s="986"/>
      <c r="B885" s="955" t="s">
        <v>348</v>
      </c>
      <c r="C885" s="337"/>
      <c r="D885" s="114" t="s">
        <v>600</v>
      </c>
      <c r="E885" s="510">
        <v>1900000</v>
      </c>
      <c r="F885" s="964"/>
      <c r="G885" s="510"/>
      <c r="H885" s="726"/>
      <c r="I885" s="898"/>
      <c r="J885" s="114"/>
      <c r="K885" s="510"/>
      <c r="L885" s="343"/>
      <c r="M885" s="431"/>
    </row>
    <row r="886" spans="1:13" ht="14.25">
      <c r="A886" s="986"/>
      <c r="B886" s="955" t="s">
        <v>348</v>
      </c>
      <c r="C886" s="343"/>
      <c r="D886" s="114" t="s">
        <v>601</v>
      </c>
      <c r="E886" s="510"/>
      <c r="F886" s="966"/>
      <c r="G886" s="510"/>
      <c r="H886" s="965"/>
      <c r="I886" s="898"/>
      <c r="J886" s="247"/>
      <c r="K886" s="510"/>
      <c r="L886" s="343"/>
      <c r="M886" s="431"/>
    </row>
    <row r="887" spans="1:13" ht="14.25">
      <c r="A887" s="986"/>
      <c r="B887" s="898"/>
      <c r="C887" s="343"/>
      <c r="D887" s="114" t="s">
        <v>602</v>
      </c>
      <c r="E887" s="510"/>
      <c r="F887" s="964"/>
      <c r="G887" s="510"/>
      <c r="H887" s="726"/>
      <c r="I887" s="898"/>
      <c r="J887" s="114"/>
      <c r="K887" s="510"/>
      <c r="L887" s="343"/>
      <c r="M887" s="431"/>
    </row>
    <row r="888" spans="1:13" ht="14.25">
      <c r="A888" s="986"/>
      <c r="B888" s="898"/>
      <c r="C888" s="605"/>
      <c r="D888" s="114" t="s">
        <v>603</v>
      </c>
      <c r="E888" s="510"/>
      <c r="F888" s="964"/>
      <c r="G888" s="510"/>
      <c r="H888" s="726"/>
      <c r="I888" s="114"/>
      <c r="J888" s="114"/>
      <c r="K888" s="114"/>
      <c r="L888" s="114"/>
      <c r="M888" s="431"/>
    </row>
    <row r="889" spans="1:13" ht="14.25">
      <c r="A889" s="986"/>
      <c r="B889" s="898"/>
      <c r="C889" s="337"/>
      <c r="D889" s="114"/>
      <c r="E889" s="510"/>
      <c r="F889" s="114"/>
      <c r="G889" s="771"/>
      <c r="H889" s="731"/>
      <c r="I889" s="663"/>
      <c r="J889" s="114"/>
      <c r="K889" s="510"/>
      <c r="L889" s="114"/>
      <c r="M889" s="431"/>
    </row>
    <row r="890" spans="1:13" ht="14.25">
      <c r="A890" s="986"/>
      <c r="B890" s="898"/>
      <c r="C890" s="25"/>
      <c r="D890" s="114"/>
      <c r="E890" s="510"/>
      <c r="F890" s="337"/>
      <c r="G890" s="726"/>
      <c r="H890" s="731"/>
      <c r="I890" s="114"/>
      <c r="J890" s="114"/>
      <c r="K890" s="510"/>
      <c r="L890" s="114"/>
      <c r="M890" s="431"/>
    </row>
    <row r="891" spans="1:13" ht="15">
      <c r="A891" s="986"/>
      <c r="B891" s="898"/>
      <c r="C891" s="25"/>
      <c r="D891" s="247"/>
      <c r="E891" s="510"/>
      <c r="F891" s="345"/>
      <c r="G891" s="726"/>
      <c r="H891" s="731"/>
      <c r="I891" s="663"/>
      <c r="J891" s="114"/>
      <c r="K891" s="510"/>
      <c r="L891" s="52"/>
      <c r="M891" s="431">
        <f>SUM(M885:M890)</f>
        <v>0</v>
      </c>
    </row>
    <row r="892" spans="1:13" ht="14.25">
      <c r="A892" s="986"/>
      <c r="B892" s="811"/>
      <c r="C892" s="25"/>
      <c r="D892" s="114"/>
      <c r="E892" s="510"/>
      <c r="F892" s="337"/>
      <c r="G892" s="726"/>
      <c r="H892" s="731"/>
      <c r="I892" s="663"/>
      <c r="J892" s="114"/>
      <c r="K892" s="510"/>
      <c r="L892" s="52"/>
      <c r="M892" s="431"/>
    </row>
    <row r="893" spans="1:13" ht="15">
      <c r="A893" s="982"/>
      <c r="B893" s="940"/>
      <c r="C893" s="941"/>
      <c r="D893" s="351"/>
      <c r="E893" s="679"/>
      <c r="F893" s="758"/>
      <c r="G893" s="431"/>
      <c r="H893" s="731"/>
      <c r="I893" s="663"/>
      <c r="J893" s="114"/>
      <c r="K893" s="510"/>
      <c r="L893" s="52"/>
      <c r="M893" s="431"/>
    </row>
    <row r="894" spans="1:13" ht="15.75">
      <c r="A894" s="982"/>
      <c r="B894" s="52"/>
      <c r="C894" s="52"/>
      <c r="D894" s="52"/>
      <c r="E894" s="715">
        <f>SUM(E885:E893)</f>
        <v>1900000</v>
      </c>
      <c r="F894" s="52"/>
      <c r="G894" s="556">
        <f>SUM(G885:G893)</f>
        <v>0</v>
      </c>
      <c r="H894" s="340"/>
      <c r="I894" s="399"/>
      <c r="J894" s="247"/>
      <c r="K894" s="342"/>
      <c r="L894" s="407"/>
      <c r="M894" s="648">
        <f>M891+G894</f>
        <v>0</v>
      </c>
    </row>
    <row r="895" spans="1:13" ht="18">
      <c r="A895" s="983" t="s">
        <v>318</v>
      </c>
      <c r="B895" s="983"/>
      <c r="C895" s="983"/>
      <c r="D895" s="983"/>
      <c r="E895" s="983"/>
      <c r="F895" s="983"/>
      <c r="G895" s="984"/>
      <c r="H895" s="984"/>
      <c r="I895" s="985"/>
      <c r="J895" s="985"/>
      <c r="K895" s="985"/>
      <c r="L895" s="985"/>
      <c r="M895" s="985"/>
    </row>
    <row r="896" spans="1:13" ht="18">
      <c r="A896" s="939" t="s">
        <v>2</v>
      </c>
      <c r="B896" s="149" t="s">
        <v>3</v>
      </c>
      <c r="C896" s="149" t="s">
        <v>4</v>
      </c>
      <c r="D896" s="149" t="s">
        <v>5</v>
      </c>
      <c r="E896" s="149" t="s">
        <v>6</v>
      </c>
      <c r="F896" s="149" t="s">
        <v>7</v>
      </c>
      <c r="G896" s="103" t="s">
        <v>8</v>
      </c>
      <c r="H896" s="103" t="s">
        <v>9</v>
      </c>
      <c r="I896" s="103" t="s">
        <v>3</v>
      </c>
      <c r="J896" s="103" t="s">
        <v>5</v>
      </c>
      <c r="K896" s="104" t="s">
        <v>10</v>
      </c>
      <c r="L896" s="105" t="s">
        <v>7</v>
      </c>
      <c r="M896" s="105" t="s">
        <v>11</v>
      </c>
    </row>
    <row r="897" spans="1:13" ht="14.25">
      <c r="A897" s="986"/>
      <c r="B897" s="898"/>
      <c r="C897" s="337"/>
      <c r="D897" s="114"/>
      <c r="E897" s="510"/>
      <c r="F897" s="964"/>
      <c r="G897" s="510"/>
      <c r="H897" s="726"/>
      <c r="I897" s="898"/>
      <c r="J897" s="114"/>
      <c r="K897" s="510"/>
      <c r="L897" s="343"/>
      <c r="M897" s="431"/>
    </row>
    <row r="898" spans="1:13" ht="14.25">
      <c r="A898" s="986"/>
      <c r="B898" s="898"/>
      <c r="C898" s="343"/>
      <c r="D898" s="114"/>
      <c r="E898" s="510"/>
      <c r="F898" s="966"/>
      <c r="G898" s="510"/>
      <c r="H898" s="965"/>
      <c r="I898" s="898"/>
      <c r="J898" s="247"/>
      <c r="K898" s="510"/>
      <c r="L898" s="343"/>
      <c r="M898" s="431"/>
    </row>
    <row r="899" spans="1:13" ht="14.25">
      <c r="A899" s="986"/>
      <c r="B899" s="898"/>
      <c r="C899" s="343"/>
      <c r="D899" s="114"/>
      <c r="E899" s="510"/>
      <c r="F899" s="964"/>
      <c r="G899" s="510"/>
      <c r="H899" s="726"/>
      <c r="I899" s="898"/>
      <c r="J899" s="114"/>
      <c r="K899" s="510"/>
      <c r="L899" s="343"/>
      <c r="M899" s="431"/>
    </row>
    <row r="900" spans="1:13" ht="14.25">
      <c r="A900" s="986"/>
      <c r="B900" s="898"/>
      <c r="C900" s="605"/>
      <c r="D900" s="114"/>
      <c r="E900" s="510"/>
      <c r="F900" s="964"/>
      <c r="G900" s="510"/>
      <c r="H900" s="726"/>
      <c r="I900" s="114"/>
      <c r="J900" s="114"/>
      <c r="K900" s="114"/>
      <c r="L900" s="114"/>
      <c r="M900" s="431"/>
    </row>
    <row r="901" spans="1:13" ht="14.25">
      <c r="A901" s="986"/>
      <c r="B901" s="898"/>
      <c r="C901" s="337"/>
      <c r="D901" s="114"/>
      <c r="E901" s="510"/>
      <c r="F901" s="114"/>
      <c r="G901" s="771"/>
      <c r="H901" s="731"/>
      <c r="I901" s="663"/>
      <c r="J901" s="114"/>
      <c r="K901" s="510"/>
      <c r="L901" s="114"/>
      <c r="M901" s="431"/>
    </row>
    <row r="902" spans="1:13" ht="14.25">
      <c r="A902" s="986"/>
      <c r="B902" s="898"/>
      <c r="C902" s="25"/>
      <c r="D902" s="114"/>
      <c r="E902" s="510"/>
      <c r="F902" s="337"/>
      <c r="G902" s="726"/>
      <c r="H902" s="731"/>
      <c r="I902" s="114"/>
      <c r="J902" s="114"/>
      <c r="K902" s="510"/>
      <c r="L902" s="114"/>
      <c r="M902" s="431"/>
    </row>
    <row r="903" spans="1:13" ht="15">
      <c r="A903" s="986"/>
      <c r="B903" s="898"/>
      <c r="C903" s="25"/>
      <c r="D903" s="247"/>
      <c r="E903" s="510"/>
      <c r="F903" s="345"/>
      <c r="G903" s="726"/>
      <c r="H903" s="731"/>
      <c r="I903" s="663"/>
      <c r="J903" s="114"/>
      <c r="K903" s="510"/>
      <c r="L903" s="52"/>
      <c r="M903" s="431">
        <f>SUM(M897:M902)</f>
        <v>0</v>
      </c>
    </row>
    <row r="904" spans="1:13" ht="14.25">
      <c r="A904" s="986"/>
      <c r="B904" s="811"/>
      <c r="C904" s="25"/>
      <c r="D904" s="114"/>
      <c r="E904" s="510"/>
      <c r="F904" s="337"/>
      <c r="G904" s="726"/>
      <c r="H904" s="731"/>
      <c r="I904" s="663"/>
      <c r="J904" s="114"/>
      <c r="K904" s="510"/>
      <c r="L904" s="52"/>
      <c r="M904" s="431"/>
    </row>
    <row r="905" spans="1:13" ht="15">
      <c r="A905" s="982"/>
      <c r="B905" s="940"/>
      <c r="C905" s="941"/>
      <c r="D905" s="351"/>
      <c r="E905" s="679"/>
      <c r="F905" s="758"/>
      <c r="G905" s="431"/>
      <c r="H905" s="731"/>
      <c r="I905" s="663"/>
      <c r="J905" s="114"/>
      <c r="K905" s="510"/>
      <c r="L905" s="52"/>
      <c r="M905" s="431"/>
    </row>
    <row r="906" spans="1:13" ht="15.75">
      <c r="A906" s="982"/>
      <c r="B906" s="52"/>
      <c r="C906" s="52"/>
      <c r="D906" s="52"/>
      <c r="E906" s="715">
        <f>SUM(E897:E905)</f>
        <v>0</v>
      </c>
      <c r="F906" s="52"/>
      <c r="G906" s="556">
        <f>SUM(G897:G905)</f>
        <v>0</v>
      </c>
      <c r="H906" s="340"/>
      <c r="I906" s="399"/>
      <c r="J906" s="247"/>
      <c r="K906" s="342"/>
      <c r="L906" s="407"/>
      <c r="M906" s="648">
        <f>M903+G906</f>
        <v>0</v>
      </c>
    </row>
    <row r="907" spans="1:13" ht="18">
      <c r="A907" s="983" t="s">
        <v>511</v>
      </c>
      <c r="B907" s="983"/>
      <c r="C907" s="983"/>
      <c r="D907" s="983"/>
      <c r="E907" s="983"/>
      <c r="F907" s="983"/>
      <c r="G907" s="984"/>
      <c r="H907" s="984"/>
      <c r="I907" s="985"/>
      <c r="J907" s="985"/>
      <c r="K907" s="985"/>
      <c r="L907" s="985"/>
      <c r="M907" s="985"/>
    </row>
    <row r="908" spans="1:13" ht="18">
      <c r="A908" s="939" t="s">
        <v>2</v>
      </c>
      <c r="B908" s="149" t="s">
        <v>3</v>
      </c>
      <c r="C908" s="149" t="s">
        <v>4</v>
      </c>
      <c r="D908" s="149" t="s">
        <v>5</v>
      </c>
      <c r="E908" s="149" t="s">
        <v>6</v>
      </c>
      <c r="F908" s="149" t="s">
        <v>7</v>
      </c>
      <c r="G908" s="103" t="s">
        <v>8</v>
      </c>
      <c r="H908" s="103" t="s">
        <v>9</v>
      </c>
      <c r="I908" s="103" t="s">
        <v>3</v>
      </c>
      <c r="J908" s="103" t="s">
        <v>5</v>
      </c>
      <c r="K908" s="104" t="s">
        <v>10</v>
      </c>
      <c r="L908" s="105" t="s">
        <v>7</v>
      </c>
      <c r="M908" s="105" t="s">
        <v>11</v>
      </c>
    </row>
    <row r="909" spans="1:13" ht="14.25">
      <c r="A909" s="986"/>
      <c r="B909" s="955" t="s">
        <v>348</v>
      </c>
      <c r="C909" s="337"/>
      <c r="D909" s="114" t="s">
        <v>604</v>
      </c>
      <c r="E909" s="510"/>
      <c r="F909" s="964"/>
      <c r="G909" s="510"/>
      <c r="H909" s="726"/>
      <c r="I909" s="898"/>
      <c r="J909" s="114"/>
      <c r="K909" s="510"/>
      <c r="L909" s="343"/>
      <c r="M909" s="431"/>
    </row>
    <row r="910" spans="1:13" ht="14.25">
      <c r="A910" s="986"/>
      <c r="B910" s="898"/>
      <c r="C910" s="343"/>
      <c r="D910" s="114"/>
      <c r="E910" s="510"/>
      <c r="F910" s="966"/>
      <c r="G910" s="510"/>
      <c r="H910" s="965"/>
      <c r="I910" s="898"/>
      <c r="J910" s="247"/>
      <c r="K910" s="510"/>
      <c r="L910" s="343"/>
      <c r="M910" s="431"/>
    </row>
    <row r="911" spans="1:13" ht="14.25">
      <c r="A911" s="986"/>
      <c r="B911" s="898"/>
      <c r="C911" s="343"/>
      <c r="D911" s="114"/>
      <c r="E911" s="510"/>
      <c r="F911" s="964"/>
      <c r="G911" s="510"/>
      <c r="H911" s="726"/>
      <c r="I911" s="898"/>
      <c r="J911" s="114"/>
      <c r="K911" s="510"/>
      <c r="L911" s="343"/>
      <c r="M911" s="431"/>
    </row>
    <row r="912" spans="1:13" ht="14.25">
      <c r="A912" s="986"/>
      <c r="B912" s="898"/>
      <c r="C912" s="605"/>
      <c r="D912" s="114"/>
      <c r="E912" s="510"/>
      <c r="F912" s="964"/>
      <c r="G912" s="510"/>
      <c r="H912" s="726"/>
      <c r="I912" s="114"/>
      <c r="J912" s="114"/>
      <c r="K912" s="114"/>
      <c r="L912" s="114"/>
      <c r="M912" s="431"/>
    </row>
    <row r="913" spans="1:13" ht="14.25">
      <c r="A913" s="986"/>
      <c r="B913" s="898"/>
      <c r="C913" s="337"/>
      <c r="D913" s="114"/>
      <c r="E913" s="510"/>
      <c r="F913" s="114"/>
      <c r="G913" s="771"/>
      <c r="H913" s="731"/>
      <c r="I913" s="663"/>
      <c r="J913" s="114"/>
      <c r="K913" s="510"/>
      <c r="L913" s="114"/>
      <c r="M913" s="431"/>
    </row>
    <row r="914" spans="1:13" ht="14.25">
      <c r="A914" s="986"/>
      <c r="B914" s="898"/>
      <c r="C914" s="25"/>
      <c r="D914" s="114"/>
      <c r="E914" s="510"/>
      <c r="F914" s="337"/>
      <c r="G914" s="726"/>
      <c r="H914" s="731"/>
      <c r="I914" s="114"/>
      <c r="J914" s="114"/>
      <c r="K914" s="510"/>
      <c r="L914" s="114"/>
      <c r="M914" s="431"/>
    </row>
    <row r="915" spans="1:13" ht="15">
      <c r="A915" s="986"/>
      <c r="B915" s="898"/>
      <c r="C915" s="25"/>
      <c r="D915" s="247"/>
      <c r="E915" s="510"/>
      <c r="F915" s="345"/>
      <c r="G915" s="726"/>
      <c r="H915" s="731"/>
      <c r="I915" s="663"/>
      <c r="J915" s="114"/>
      <c r="K915" s="510"/>
      <c r="L915" s="52"/>
      <c r="M915" s="431">
        <f>SUM(M909:M914)</f>
        <v>0</v>
      </c>
    </row>
    <row r="916" spans="1:13" ht="14.25">
      <c r="A916" s="986"/>
      <c r="B916" s="811"/>
      <c r="C916" s="25"/>
      <c r="D916" s="114"/>
      <c r="E916" s="510"/>
      <c r="F916" s="337"/>
      <c r="G916" s="726"/>
      <c r="H916" s="731"/>
      <c r="I916" s="663"/>
      <c r="J916" s="114"/>
      <c r="K916" s="510"/>
      <c r="L916" s="52"/>
      <c r="M916" s="431"/>
    </row>
    <row r="917" spans="1:13" ht="15">
      <c r="A917" s="982"/>
      <c r="B917" s="940"/>
      <c r="C917" s="941"/>
      <c r="D917" s="351"/>
      <c r="E917" s="679"/>
      <c r="F917" s="758"/>
      <c r="G917" s="431"/>
      <c r="H917" s="731"/>
      <c r="I917" s="663"/>
      <c r="J917" s="114"/>
      <c r="K917" s="510"/>
      <c r="L917" s="52"/>
      <c r="M917" s="431"/>
    </row>
    <row r="918" spans="1:13" ht="15.75">
      <c r="A918" s="982"/>
      <c r="B918" s="52"/>
      <c r="C918" s="52"/>
      <c r="D918" s="52"/>
      <c r="E918" s="715">
        <f>SUM(E909:E917)</f>
        <v>0</v>
      </c>
      <c r="F918" s="52"/>
      <c r="G918" s="556">
        <f>SUM(G909:G917)</f>
        <v>0</v>
      </c>
      <c r="H918" s="340"/>
      <c r="I918" s="399"/>
      <c r="J918" s="247"/>
      <c r="K918" s="342"/>
      <c r="L918" s="407"/>
      <c r="M918" s="648">
        <f>M915+G918</f>
        <v>0</v>
      </c>
    </row>
    <row r="919" spans="1:13" ht="18">
      <c r="A919" s="983" t="s">
        <v>49</v>
      </c>
      <c r="B919" s="983"/>
      <c r="C919" s="983"/>
      <c r="D919" s="983"/>
      <c r="E919" s="983"/>
      <c r="F919" s="983"/>
      <c r="G919" s="984"/>
      <c r="H919" s="984"/>
      <c r="I919" s="985"/>
      <c r="J919" s="985"/>
      <c r="K919" s="985"/>
      <c r="L919" s="985"/>
      <c r="M919" s="985"/>
    </row>
    <row r="920" spans="1:13" ht="18">
      <c r="A920" s="939" t="s">
        <v>2</v>
      </c>
      <c r="B920" s="149" t="s">
        <v>3</v>
      </c>
      <c r="C920" s="149" t="s">
        <v>4</v>
      </c>
      <c r="D920" s="149" t="s">
        <v>5</v>
      </c>
      <c r="E920" s="149" t="s">
        <v>6</v>
      </c>
      <c r="F920" s="149" t="s">
        <v>7</v>
      </c>
      <c r="G920" s="103" t="s">
        <v>8</v>
      </c>
      <c r="H920" s="103" t="s">
        <v>9</v>
      </c>
      <c r="I920" s="103" t="s">
        <v>3</v>
      </c>
      <c r="J920" s="103" t="s">
        <v>5</v>
      </c>
      <c r="K920" s="104" t="s">
        <v>10</v>
      </c>
      <c r="L920" s="105" t="s">
        <v>7</v>
      </c>
      <c r="M920" s="105" t="s">
        <v>11</v>
      </c>
    </row>
    <row r="921" spans="1:13" ht="14.25">
      <c r="A921" s="986"/>
      <c r="B921" s="898"/>
      <c r="C921" s="337"/>
      <c r="D921" s="114"/>
      <c r="E921" s="510"/>
      <c r="F921" s="964"/>
      <c r="G921" s="510"/>
      <c r="H921" s="726"/>
      <c r="I921" s="898"/>
      <c r="J921" s="114"/>
      <c r="K921" s="510"/>
      <c r="L921" s="343"/>
      <c r="M921" s="431"/>
    </row>
    <row r="922" spans="1:13" ht="14.25">
      <c r="A922" s="986"/>
      <c r="B922" s="898"/>
      <c r="C922" s="343"/>
      <c r="D922" s="114"/>
      <c r="E922" s="510"/>
      <c r="F922" s="966"/>
      <c r="G922" s="510"/>
      <c r="H922" s="965"/>
      <c r="I922" s="898"/>
      <c r="J922" s="247"/>
      <c r="K922" s="510"/>
      <c r="L922" s="343"/>
      <c r="M922" s="431"/>
    </row>
    <row r="923" spans="1:13" ht="14.25">
      <c r="A923" s="986"/>
      <c r="B923" s="898"/>
      <c r="C923" s="343"/>
      <c r="D923" s="114"/>
      <c r="E923" s="510"/>
      <c r="F923" s="964"/>
      <c r="G923" s="510"/>
      <c r="H923" s="726"/>
      <c r="I923" s="898"/>
      <c r="J923" s="114"/>
      <c r="K923" s="510"/>
      <c r="L923" s="343"/>
      <c r="M923" s="431"/>
    </row>
    <row r="924" spans="1:13" ht="14.25">
      <c r="A924" s="986"/>
      <c r="B924" s="898"/>
      <c r="C924" s="605"/>
      <c r="D924" s="114"/>
      <c r="E924" s="510"/>
      <c r="F924" s="964"/>
      <c r="G924" s="510"/>
      <c r="H924" s="726"/>
      <c r="I924" s="114"/>
      <c r="J924" s="114"/>
      <c r="K924" s="114"/>
      <c r="L924" s="114"/>
      <c r="M924" s="431"/>
    </row>
    <row r="925" spans="1:13" ht="14.25">
      <c r="A925" s="986"/>
      <c r="B925" s="898"/>
      <c r="C925" s="337"/>
      <c r="D925" s="114"/>
      <c r="E925" s="510"/>
      <c r="F925" s="114"/>
      <c r="G925" s="771"/>
      <c r="H925" s="731"/>
      <c r="I925" s="663"/>
      <c r="J925" s="114"/>
      <c r="K925" s="510"/>
      <c r="L925" s="114"/>
      <c r="M925" s="431"/>
    </row>
    <row r="926" spans="1:13" ht="14.25">
      <c r="A926" s="986"/>
      <c r="B926" s="898"/>
      <c r="C926" s="25"/>
      <c r="D926" s="114"/>
      <c r="E926" s="510"/>
      <c r="F926" s="337"/>
      <c r="G926" s="726"/>
      <c r="H926" s="731"/>
      <c r="I926" s="114"/>
      <c r="J926" s="114"/>
      <c r="K926" s="510"/>
      <c r="L926" s="114"/>
      <c r="M926" s="431"/>
    </row>
    <row r="927" spans="1:13" ht="15">
      <c r="A927" s="986"/>
      <c r="B927" s="898"/>
      <c r="C927" s="25"/>
      <c r="D927" s="247"/>
      <c r="E927" s="510"/>
      <c r="F927" s="345"/>
      <c r="G927" s="726"/>
      <c r="H927" s="731"/>
      <c r="I927" s="663"/>
      <c r="J927" s="114"/>
      <c r="K927" s="510"/>
      <c r="L927" s="52"/>
      <c r="M927" s="431">
        <f>SUM(M921:M926)</f>
        <v>0</v>
      </c>
    </row>
    <row r="928" spans="1:13" ht="14.25">
      <c r="A928" s="986"/>
      <c r="B928" s="811"/>
      <c r="C928" s="25"/>
      <c r="D928" s="114"/>
      <c r="E928" s="510"/>
      <c r="F928" s="337"/>
      <c r="G928" s="726"/>
      <c r="H928" s="731"/>
      <c r="I928" s="663"/>
      <c r="J928" s="114"/>
      <c r="K928" s="510"/>
      <c r="L928" s="52"/>
      <c r="M928" s="431"/>
    </row>
    <row r="929" spans="1:13" ht="15">
      <c r="A929" s="982"/>
      <c r="B929" s="940"/>
      <c r="C929" s="941"/>
      <c r="D929" s="351"/>
      <c r="E929" s="679"/>
      <c r="F929" s="758"/>
      <c r="G929" s="431"/>
      <c r="H929" s="731"/>
      <c r="I929" s="663"/>
      <c r="J929" s="114"/>
      <c r="K929" s="510"/>
      <c r="L929" s="52"/>
      <c r="M929" s="431"/>
    </row>
    <row r="930" spans="1:13" ht="15.75">
      <c r="A930" s="982"/>
      <c r="B930" s="52"/>
      <c r="C930" s="52"/>
      <c r="D930" s="52"/>
      <c r="E930" s="715">
        <f>SUM(E921:E929)</f>
        <v>0</v>
      </c>
      <c r="F930" s="52"/>
      <c r="G930" s="556">
        <f>SUM(G921:G929)</f>
        <v>0</v>
      </c>
      <c r="H930" s="340"/>
      <c r="I930" s="399"/>
      <c r="J930" s="247"/>
      <c r="K930" s="342"/>
      <c r="L930" s="407"/>
      <c r="M930" s="648">
        <f>M927+G930</f>
        <v>0</v>
      </c>
    </row>
    <row r="932" spans="1:13" ht="18">
      <c r="A932" s="930" t="s">
        <v>50</v>
      </c>
      <c r="B932" s="930"/>
      <c r="C932" s="930"/>
      <c r="D932" s="147">
        <v>2900000</v>
      </c>
    </row>
    <row r="933" spans="1:13" ht="18">
      <c r="A933" s="937" t="s">
        <v>597</v>
      </c>
      <c r="B933" s="931"/>
      <c r="C933" s="931"/>
      <c r="D933" s="416">
        <v>9800000</v>
      </c>
    </row>
    <row r="934" spans="1:13" ht="18">
      <c r="A934" s="932" t="s">
        <v>52</v>
      </c>
      <c r="B934" s="932"/>
      <c r="C934" s="932"/>
      <c r="D934" s="416"/>
    </row>
    <row r="935" spans="1:13" ht="18">
      <c r="A935" s="710" t="s">
        <v>59</v>
      </c>
      <c r="B935" s="710"/>
      <c r="C935" s="710"/>
      <c r="D935" s="147">
        <f>SUM(D932:D934)</f>
        <v>12700000</v>
      </c>
    </row>
  </sheetData>
  <mergeCells count="371">
    <mergeCell ref="A897:A906"/>
    <mergeCell ref="A907:H907"/>
    <mergeCell ref="I907:M907"/>
    <mergeCell ref="A909:A918"/>
    <mergeCell ref="A919:H919"/>
    <mergeCell ref="I919:M919"/>
    <mergeCell ref="A921:A930"/>
    <mergeCell ref="A870:M870"/>
    <mergeCell ref="A871:H871"/>
    <mergeCell ref="I871:M871"/>
    <mergeCell ref="A873:A882"/>
    <mergeCell ref="A883:H883"/>
    <mergeCell ref="I883:M883"/>
    <mergeCell ref="A885:A894"/>
    <mergeCell ref="A895:H895"/>
    <mergeCell ref="I895:M895"/>
    <mergeCell ref="B566:D566"/>
    <mergeCell ref="B567:D567"/>
    <mergeCell ref="B568:D568"/>
    <mergeCell ref="B569:D569"/>
    <mergeCell ref="A556:A563"/>
    <mergeCell ref="A475:A486"/>
    <mergeCell ref="A487:H487"/>
    <mergeCell ref="I487:M487"/>
    <mergeCell ref="A489:A493"/>
    <mergeCell ref="A494:H494"/>
    <mergeCell ref="I494:M494"/>
    <mergeCell ref="A496:A500"/>
    <mergeCell ref="A507:A509"/>
    <mergeCell ref="B507:D507"/>
    <mergeCell ref="B508:D508"/>
    <mergeCell ref="B509:D509"/>
    <mergeCell ref="B510:D510"/>
    <mergeCell ref="A436:M436"/>
    <mergeCell ref="A437:H437"/>
    <mergeCell ref="I437:M437"/>
    <mergeCell ref="A439:A456"/>
    <mergeCell ref="A457:H457"/>
    <mergeCell ref="I457:M457"/>
    <mergeCell ref="A459:A472"/>
    <mergeCell ref="A473:H473"/>
    <mergeCell ref="I473:M473"/>
    <mergeCell ref="A435:C435"/>
    <mergeCell ref="A432:C432"/>
    <mergeCell ref="A433:C433"/>
    <mergeCell ref="A434:C434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17:A419"/>
    <mergeCell ref="B417:D417"/>
    <mergeCell ref="B418:D418"/>
    <mergeCell ref="B419:D419"/>
    <mergeCell ref="A422:A423"/>
    <mergeCell ref="B422:B423"/>
    <mergeCell ref="C422:C423"/>
    <mergeCell ref="D422:D423"/>
    <mergeCell ref="B420:D420"/>
    <mergeCell ref="A389:A396"/>
    <mergeCell ref="A397:D397"/>
    <mergeCell ref="H397:I397"/>
    <mergeCell ref="J397:L397"/>
    <mergeCell ref="A400:H400"/>
    <mergeCell ref="I400:M400"/>
    <mergeCell ref="A402:A407"/>
    <mergeCell ref="A412:D412"/>
    <mergeCell ref="H412:I412"/>
    <mergeCell ref="J412:L412"/>
    <mergeCell ref="J360:L360"/>
    <mergeCell ref="A363:H363"/>
    <mergeCell ref="I363:M363"/>
    <mergeCell ref="A385:D385"/>
    <mergeCell ref="H385:I385"/>
    <mergeCell ref="J385:L385"/>
    <mergeCell ref="A376:A378"/>
    <mergeCell ref="A387:H387"/>
    <mergeCell ref="I387:M387"/>
    <mergeCell ref="A206:H206"/>
    <mergeCell ref="I206:M206"/>
    <mergeCell ref="A210:D210"/>
    <mergeCell ref="H210:I210"/>
    <mergeCell ref="J210:L210"/>
    <mergeCell ref="A215:A217"/>
    <mergeCell ref="B215:D215"/>
    <mergeCell ref="B216:D216"/>
    <mergeCell ref="B217:D217"/>
    <mergeCell ref="A208:A209"/>
    <mergeCell ref="A71:A86"/>
    <mergeCell ref="A196:H196"/>
    <mergeCell ref="A182:H182"/>
    <mergeCell ref="A163:H163"/>
    <mergeCell ref="A87:D87"/>
    <mergeCell ref="H87:I87"/>
    <mergeCell ref="A109:H109"/>
    <mergeCell ref="I109:M109"/>
    <mergeCell ref="A117:A118"/>
    <mergeCell ref="A119:D119"/>
    <mergeCell ref="H119:I119"/>
    <mergeCell ref="J119:L119"/>
    <mergeCell ref="A92:A105"/>
    <mergeCell ref="I182:M182"/>
    <mergeCell ref="A194:D194"/>
    <mergeCell ref="H194:I194"/>
    <mergeCell ref="J194:L194"/>
    <mergeCell ref="I196:M196"/>
    <mergeCell ref="I121:M121"/>
    <mergeCell ref="A124:D124"/>
    <mergeCell ref="H124:I124"/>
    <mergeCell ref="J124:L124"/>
    <mergeCell ref="B128:D128"/>
    <mergeCell ref="B127:D127"/>
    <mergeCell ref="A203:D203"/>
    <mergeCell ref="H203:I203"/>
    <mergeCell ref="J203:L203"/>
    <mergeCell ref="I163:M163"/>
    <mergeCell ref="A179:D179"/>
    <mergeCell ref="H179:I179"/>
    <mergeCell ref="J179:L179"/>
    <mergeCell ref="A141:M141"/>
    <mergeCell ref="A142:H142"/>
    <mergeCell ref="I142:M142"/>
    <mergeCell ref="A160:D160"/>
    <mergeCell ref="H160:I160"/>
    <mergeCell ref="J160:L160"/>
    <mergeCell ref="A144:A159"/>
    <mergeCell ref="A184:A193"/>
    <mergeCell ref="A198:A202"/>
    <mergeCell ref="A165:A178"/>
    <mergeCell ref="B126:D126"/>
    <mergeCell ref="A126:A128"/>
    <mergeCell ref="A121:H121"/>
    <mergeCell ref="A2:M2"/>
    <mergeCell ref="C62:C63"/>
    <mergeCell ref="D62:D63"/>
    <mergeCell ref="A64:A65"/>
    <mergeCell ref="B64:B65"/>
    <mergeCell ref="C64:C65"/>
    <mergeCell ref="D64:D65"/>
    <mergeCell ref="A21:D21"/>
    <mergeCell ref="H21:I21"/>
    <mergeCell ref="J21:L21"/>
    <mergeCell ref="A5:A20"/>
    <mergeCell ref="A3:H3"/>
    <mergeCell ref="I3:M3"/>
    <mergeCell ref="A24:H24"/>
    <mergeCell ref="I24:M24"/>
    <mergeCell ref="A26:A41"/>
    <mergeCell ref="A47:A48"/>
    <mergeCell ref="A54:A56"/>
    <mergeCell ref="B54:D54"/>
    <mergeCell ref="B55:D55"/>
    <mergeCell ref="B56:D56"/>
    <mergeCell ref="A49:D49"/>
    <mergeCell ref="A42:D42"/>
    <mergeCell ref="H42:I42"/>
    <mergeCell ref="J42:L42"/>
    <mergeCell ref="A45:H45"/>
    <mergeCell ref="I45:M45"/>
    <mergeCell ref="H49:I49"/>
    <mergeCell ref="J49:L49"/>
    <mergeCell ref="A68:M68"/>
    <mergeCell ref="A69:H69"/>
    <mergeCell ref="I69:M69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A111:A112"/>
    <mergeCell ref="A113:D113"/>
    <mergeCell ref="H113:I113"/>
    <mergeCell ref="J113:L113"/>
    <mergeCell ref="A115:H115"/>
    <mergeCell ref="I115:M115"/>
    <mergeCell ref="J87:L87"/>
    <mergeCell ref="A90:H90"/>
    <mergeCell ref="I90:M90"/>
    <mergeCell ref="A106:D106"/>
    <mergeCell ref="H106:I106"/>
    <mergeCell ref="J106:L106"/>
    <mergeCell ref="D136:D137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A220:A221"/>
    <mergeCell ref="B220:B221"/>
    <mergeCell ref="C220:C221"/>
    <mergeCell ref="D220:D221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31:M231"/>
    <mergeCell ref="A232:H232"/>
    <mergeCell ref="I232:M232"/>
    <mergeCell ref="A234:A250"/>
    <mergeCell ref="A251:D251"/>
    <mergeCell ref="H251:I251"/>
    <mergeCell ref="J251:L251"/>
    <mergeCell ref="A254:H254"/>
    <mergeCell ref="I254:M254"/>
    <mergeCell ref="A266:D266"/>
    <mergeCell ref="H266:I266"/>
    <mergeCell ref="J266:L266"/>
    <mergeCell ref="A269:H269"/>
    <mergeCell ref="I269:M269"/>
    <mergeCell ref="A283:D283"/>
    <mergeCell ref="H283:I283"/>
    <mergeCell ref="J283:L283"/>
    <mergeCell ref="A256:A265"/>
    <mergeCell ref="A271:A282"/>
    <mergeCell ref="A285:H285"/>
    <mergeCell ref="I285:M285"/>
    <mergeCell ref="A294:D294"/>
    <mergeCell ref="H294:I294"/>
    <mergeCell ref="J294:L294"/>
    <mergeCell ref="A297:H297"/>
    <mergeCell ref="I297:M297"/>
    <mergeCell ref="A299:A300"/>
    <mergeCell ref="A287:A293"/>
    <mergeCell ref="A302:D302"/>
    <mergeCell ref="H302:I302"/>
    <mergeCell ref="J302:L302"/>
    <mergeCell ref="A307:A309"/>
    <mergeCell ref="B307:D307"/>
    <mergeCell ref="B308:D308"/>
    <mergeCell ref="B309:D30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27:M327"/>
    <mergeCell ref="A328:H328"/>
    <mergeCell ref="I328:M328"/>
    <mergeCell ref="A330:A345"/>
    <mergeCell ref="A346:D346"/>
    <mergeCell ref="H346:I346"/>
    <mergeCell ref="J346:L346"/>
    <mergeCell ref="A554:H554"/>
    <mergeCell ref="I554:M554"/>
    <mergeCell ref="A515:H515"/>
    <mergeCell ref="I515:M515"/>
    <mergeCell ref="A517:A523"/>
    <mergeCell ref="A514:M514"/>
    <mergeCell ref="A524:H524"/>
    <mergeCell ref="I524:M524"/>
    <mergeCell ref="A526:A537"/>
    <mergeCell ref="A538:H538"/>
    <mergeCell ref="I538:M538"/>
    <mergeCell ref="A540:A553"/>
    <mergeCell ref="A349:H349"/>
    <mergeCell ref="I349:M349"/>
    <mergeCell ref="A353:A359"/>
    <mergeCell ref="A360:D360"/>
    <mergeCell ref="H360:I360"/>
    <mergeCell ref="A571:M571"/>
    <mergeCell ref="A572:H572"/>
    <mergeCell ref="I572:M572"/>
    <mergeCell ref="A591:H591"/>
    <mergeCell ref="I591:M591"/>
    <mergeCell ref="A593:A610"/>
    <mergeCell ref="A612:H612"/>
    <mergeCell ref="I612:M612"/>
    <mergeCell ref="A574:A590"/>
    <mergeCell ref="A651:C651"/>
    <mergeCell ref="A614:A625"/>
    <mergeCell ref="A627:H627"/>
    <mergeCell ref="I627:M627"/>
    <mergeCell ref="A629:A635"/>
    <mergeCell ref="A637:H637"/>
    <mergeCell ref="I637:M637"/>
    <mergeCell ref="A639:A645"/>
    <mergeCell ref="A649:C649"/>
    <mergeCell ref="A650:C650"/>
    <mergeCell ref="A725:M725"/>
    <mergeCell ref="A690:A700"/>
    <mergeCell ref="A701:H701"/>
    <mergeCell ref="I701:M701"/>
    <mergeCell ref="A703:A709"/>
    <mergeCell ref="A720:C720"/>
    <mergeCell ref="A721:C721"/>
    <mergeCell ref="A722:C722"/>
    <mergeCell ref="A655:M655"/>
    <mergeCell ref="A656:H656"/>
    <mergeCell ref="I656:M656"/>
    <mergeCell ref="A658:A672"/>
    <mergeCell ref="A674:H674"/>
    <mergeCell ref="I674:M674"/>
    <mergeCell ref="A676:A687"/>
    <mergeCell ref="A688:H688"/>
    <mergeCell ref="I688:M688"/>
    <mergeCell ref="A711:H711"/>
    <mergeCell ref="I711:M711"/>
    <mergeCell ref="A713:A719"/>
    <mergeCell ref="A768:H768"/>
    <mergeCell ref="I768:M768"/>
    <mergeCell ref="A770:A779"/>
    <mergeCell ref="A780:H780"/>
    <mergeCell ref="I780:M780"/>
    <mergeCell ref="A782:A791"/>
    <mergeCell ref="A726:H726"/>
    <mergeCell ref="I726:M726"/>
    <mergeCell ref="A728:A737"/>
    <mergeCell ref="A738:H738"/>
    <mergeCell ref="I738:M738"/>
    <mergeCell ref="A740:A752"/>
    <mergeCell ref="A753:H753"/>
    <mergeCell ref="I753:M753"/>
    <mergeCell ref="A755:A767"/>
    <mergeCell ref="A832:A839"/>
    <mergeCell ref="A840:H840"/>
    <mergeCell ref="I840:M840"/>
    <mergeCell ref="A842:A850"/>
    <mergeCell ref="A851:H851"/>
    <mergeCell ref="I851:M851"/>
    <mergeCell ref="A853:A863"/>
    <mergeCell ref="A798:M798"/>
    <mergeCell ref="A799:H799"/>
    <mergeCell ref="I799:M799"/>
    <mergeCell ref="A801:A815"/>
    <mergeCell ref="A816:H816"/>
    <mergeCell ref="I816:M816"/>
    <mergeCell ref="A818:A829"/>
    <mergeCell ref="A830:H830"/>
    <mergeCell ref="I830:M830"/>
  </mergeCells>
  <printOptions horizontalCentered="1" gridLines="1"/>
  <pageMargins left="0.7" right="0.7" top="0.75" bottom="0.75" header="0.51180555555555496" footer="0.51180555555555496"/>
  <pageSetup firstPageNumber="0" fitToHeight="0" pageOrder="overThenDown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A2:N1137"/>
  <sheetViews>
    <sheetView topLeftCell="A1091" zoomScaleNormal="100" workbookViewId="0">
      <selection activeCell="B1103" sqref="B1103:D1103"/>
    </sheetView>
  </sheetViews>
  <sheetFormatPr defaultColWidth="9.140625" defaultRowHeight="12.75"/>
  <cols>
    <col min="1" max="1" width="43.85546875" style="1" customWidth="1"/>
    <col min="2" max="2" width="16.85546875" style="1" customWidth="1"/>
    <col min="3" max="3" width="51.42578125" style="1" customWidth="1"/>
    <col min="4" max="4" width="23.7109375" style="1" customWidth="1"/>
    <col min="5" max="5" width="8" style="1" customWidth="1"/>
    <col min="6" max="6" width="18.28515625" style="1" customWidth="1"/>
    <col min="7" max="7" width="8.42578125" style="31" customWidth="1"/>
    <col min="8" max="8" width="7.5703125" style="31" customWidth="1"/>
    <col min="9" max="9" width="4.5703125" style="31" customWidth="1"/>
    <col min="10" max="10" width="4.42578125" style="31" customWidth="1"/>
    <col min="11" max="1022" width="14.42578125" style="31" customWidth="1"/>
    <col min="1023" max="16384" width="9.140625" style="31"/>
  </cols>
  <sheetData>
    <row r="2" spans="1:6" ht="63" customHeight="1">
      <c r="A2" s="1070" t="s">
        <v>0</v>
      </c>
      <c r="B2" s="1070"/>
      <c r="C2" s="1070"/>
      <c r="D2" s="1070"/>
      <c r="E2" s="1070"/>
      <c r="F2" s="1070"/>
    </row>
    <row r="3" spans="1:6" ht="15" hidden="1">
      <c r="A3" s="18"/>
      <c r="B3" s="18"/>
      <c r="C3" s="18"/>
      <c r="D3" s="18"/>
      <c r="E3" s="18"/>
    </row>
    <row r="4" spans="1:6" ht="23.25" hidden="1">
      <c r="A4" s="1073" t="s">
        <v>605</v>
      </c>
      <c r="B4" s="1074"/>
      <c r="C4" s="1074"/>
      <c r="D4" s="1074"/>
      <c r="E4" s="1074"/>
      <c r="F4" s="1074"/>
    </row>
    <row r="5" spans="1:6" ht="23.25" hidden="1">
      <c r="A5" s="100" t="s">
        <v>3</v>
      </c>
      <c r="B5" s="100" t="s">
        <v>606</v>
      </c>
      <c r="C5" s="100" t="s">
        <v>5</v>
      </c>
      <c r="D5" s="101" t="s">
        <v>6</v>
      </c>
      <c r="E5" s="101" t="s">
        <v>7</v>
      </c>
      <c r="F5" s="101" t="s">
        <v>607</v>
      </c>
    </row>
    <row r="6" spans="1:6" ht="15" hidden="1">
      <c r="A6" s="127">
        <v>12942</v>
      </c>
      <c r="B6" s="190">
        <v>0.1</v>
      </c>
      <c r="C6" s="191" t="s">
        <v>19</v>
      </c>
      <c r="D6" s="192">
        <v>2100000</v>
      </c>
      <c r="E6" s="196">
        <v>0.05</v>
      </c>
      <c r="F6" s="197">
        <f>D6*E6</f>
        <v>105000</v>
      </c>
    </row>
    <row r="7" spans="1:6" ht="15" hidden="1">
      <c r="A7" s="127">
        <v>12969</v>
      </c>
      <c r="B7" s="190">
        <v>0.1</v>
      </c>
      <c r="C7" s="191" t="s">
        <v>20</v>
      </c>
      <c r="D7" s="192">
        <v>1500000</v>
      </c>
      <c r="E7" s="195">
        <v>0.02</v>
      </c>
      <c r="F7" s="197">
        <f t="shared" ref="F7:F22" si="0">D7*E7</f>
        <v>30000</v>
      </c>
    </row>
    <row r="8" spans="1:6" ht="15" hidden="1">
      <c r="A8" s="127">
        <v>12988</v>
      </c>
      <c r="B8" s="190">
        <v>0.1</v>
      </c>
      <c r="C8" s="191" t="s">
        <v>21</v>
      </c>
      <c r="D8" s="192">
        <v>2400000</v>
      </c>
      <c r="E8" s="239">
        <v>0.05</v>
      </c>
      <c r="F8" s="197">
        <f t="shared" si="0"/>
        <v>120000</v>
      </c>
    </row>
    <row r="9" spans="1:6" ht="15" hidden="1">
      <c r="A9" s="127">
        <v>13051</v>
      </c>
      <c r="B9" s="190">
        <v>0.1</v>
      </c>
      <c r="C9" s="191" t="s">
        <v>22</v>
      </c>
      <c r="D9" s="192">
        <v>2100000</v>
      </c>
      <c r="E9" s="196">
        <v>0.05</v>
      </c>
      <c r="F9" s="197">
        <f t="shared" si="0"/>
        <v>105000</v>
      </c>
    </row>
    <row r="10" spans="1:6" ht="15" hidden="1">
      <c r="A10" s="127">
        <v>13068</v>
      </c>
      <c r="B10" s="190">
        <v>0.1</v>
      </c>
      <c r="C10" s="191" t="s">
        <v>23</v>
      </c>
      <c r="D10" s="192">
        <v>1500000</v>
      </c>
      <c r="E10" s="195">
        <v>0.02</v>
      </c>
      <c r="F10" s="197">
        <f t="shared" si="0"/>
        <v>30000</v>
      </c>
    </row>
    <row r="11" spans="1:6" ht="15" hidden="1">
      <c r="A11" s="127">
        <v>13071</v>
      </c>
      <c r="B11" s="190">
        <v>0.1</v>
      </c>
      <c r="C11" s="191" t="s">
        <v>24</v>
      </c>
      <c r="D11" s="192">
        <v>1500000</v>
      </c>
      <c r="E11" s="196">
        <v>0.05</v>
      </c>
      <c r="F11" s="197">
        <f t="shared" si="0"/>
        <v>75000</v>
      </c>
    </row>
    <row r="12" spans="1:6" ht="15" hidden="1">
      <c r="A12" s="127">
        <v>13128</v>
      </c>
      <c r="B12" s="190">
        <v>0.1</v>
      </c>
      <c r="C12" s="191" t="s">
        <v>25</v>
      </c>
      <c r="D12" s="192">
        <v>2100000</v>
      </c>
      <c r="E12" s="196">
        <v>0.05</v>
      </c>
      <c r="F12" s="197">
        <f t="shared" si="0"/>
        <v>105000</v>
      </c>
    </row>
    <row r="13" spans="1:6" ht="15" hidden="1">
      <c r="A13" s="171">
        <v>13106</v>
      </c>
      <c r="B13" s="190">
        <v>0.1</v>
      </c>
      <c r="C13" s="201" t="s">
        <v>26</v>
      </c>
      <c r="D13" s="192">
        <v>1400000</v>
      </c>
      <c r="E13" s="196">
        <v>0.05</v>
      </c>
      <c r="F13" s="197">
        <f t="shared" si="0"/>
        <v>70000</v>
      </c>
    </row>
    <row r="14" spans="1:6" ht="15" hidden="1">
      <c r="A14" s="171">
        <v>13116</v>
      </c>
      <c r="B14" s="190">
        <v>0.1</v>
      </c>
      <c r="C14" s="201" t="s">
        <v>27</v>
      </c>
      <c r="D14" s="192">
        <v>2200000</v>
      </c>
      <c r="E14" s="196">
        <v>0.05</v>
      </c>
      <c r="F14" s="197">
        <f t="shared" si="0"/>
        <v>110000</v>
      </c>
    </row>
    <row r="15" spans="1:6" ht="15" hidden="1">
      <c r="A15" s="134">
        <v>12948</v>
      </c>
      <c r="B15" s="180">
        <v>0.1</v>
      </c>
      <c r="C15" s="202" t="s">
        <v>38</v>
      </c>
      <c r="D15" s="203">
        <v>1650000</v>
      </c>
      <c r="E15" s="196">
        <v>0.05</v>
      </c>
      <c r="F15" s="197">
        <f t="shared" si="0"/>
        <v>82500</v>
      </c>
    </row>
    <row r="16" spans="1:6" ht="15" hidden="1">
      <c r="A16" s="134">
        <v>12968</v>
      </c>
      <c r="B16" s="180">
        <v>0.1</v>
      </c>
      <c r="C16" s="202" t="s">
        <v>39</v>
      </c>
      <c r="D16" s="203">
        <v>1550000</v>
      </c>
      <c r="E16" s="196">
        <v>0.05</v>
      </c>
      <c r="F16" s="197">
        <f t="shared" si="0"/>
        <v>77500</v>
      </c>
    </row>
    <row r="17" spans="1:6" ht="15" hidden="1">
      <c r="A17" s="14">
        <v>13049</v>
      </c>
      <c r="B17" s="179">
        <v>0.1</v>
      </c>
      <c r="C17" s="204" t="s">
        <v>40</v>
      </c>
      <c r="D17" s="194">
        <v>1400000</v>
      </c>
      <c r="E17" s="196">
        <v>0.05</v>
      </c>
      <c r="F17" s="197">
        <f t="shared" si="0"/>
        <v>70000</v>
      </c>
    </row>
    <row r="18" spans="1:6" ht="15" hidden="1">
      <c r="A18" s="135">
        <v>13072</v>
      </c>
      <c r="B18" s="181">
        <v>0.1</v>
      </c>
      <c r="C18" s="205" t="s">
        <v>41</v>
      </c>
      <c r="D18" s="206">
        <v>1800000</v>
      </c>
      <c r="E18" s="196">
        <v>0.05</v>
      </c>
      <c r="F18" s="197">
        <f t="shared" si="0"/>
        <v>90000</v>
      </c>
    </row>
    <row r="19" spans="1:6" ht="15" hidden="1">
      <c r="A19" s="14">
        <v>13133</v>
      </c>
      <c r="B19" s="182">
        <v>0.08</v>
      </c>
      <c r="C19" s="207" t="s">
        <v>42</v>
      </c>
      <c r="D19" s="194">
        <v>1550000</v>
      </c>
      <c r="E19" s="195">
        <v>0.04</v>
      </c>
      <c r="F19" s="197">
        <f t="shared" si="0"/>
        <v>62000</v>
      </c>
    </row>
    <row r="20" spans="1:6" ht="15" hidden="1">
      <c r="A20" s="90">
        <v>13079</v>
      </c>
      <c r="B20" s="181">
        <v>0.1</v>
      </c>
      <c r="C20" s="207" t="s">
        <v>43</v>
      </c>
      <c r="D20" s="194">
        <v>2500000</v>
      </c>
      <c r="E20" s="196">
        <v>0.05</v>
      </c>
      <c r="F20" s="197">
        <f t="shared" si="0"/>
        <v>125000</v>
      </c>
    </row>
    <row r="21" spans="1:6" ht="15" hidden="1">
      <c r="A21" s="14">
        <v>12935</v>
      </c>
      <c r="B21" s="179">
        <v>0.1</v>
      </c>
      <c r="C21" s="193" t="s">
        <v>44</v>
      </c>
      <c r="D21" s="194">
        <v>2100000</v>
      </c>
      <c r="E21" s="196">
        <v>0.05</v>
      </c>
      <c r="F21" s="197">
        <f t="shared" si="0"/>
        <v>105000</v>
      </c>
    </row>
    <row r="22" spans="1:6" ht="15" hidden="1">
      <c r="A22" s="14">
        <v>13134</v>
      </c>
      <c r="B22" s="179">
        <v>0.1</v>
      </c>
      <c r="C22" s="208" t="s">
        <v>608</v>
      </c>
      <c r="D22" s="194">
        <v>1450000</v>
      </c>
      <c r="E22" s="196">
        <v>0.05</v>
      </c>
      <c r="F22" s="197">
        <f t="shared" si="0"/>
        <v>72500</v>
      </c>
    </row>
    <row r="23" spans="1:6" ht="15" hidden="1">
      <c r="A23" s="55" t="s">
        <v>28</v>
      </c>
      <c r="B23" s="74" t="s">
        <v>609</v>
      </c>
      <c r="C23" s="37" t="s">
        <v>610</v>
      </c>
      <c r="D23" s="20"/>
      <c r="E23" s="112"/>
      <c r="F23" s="113"/>
    </row>
    <row r="24" spans="1:6" ht="18.75" hidden="1" customHeight="1">
      <c r="A24" s="77" t="s">
        <v>28</v>
      </c>
      <c r="B24" s="38" t="s">
        <v>611</v>
      </c>
      <c r="C24" s="85" t="s">
        <v>25</v>
      </c>
      <c r="D24" s="78"/>
      <c r="E24" s="79"/>
      <c r="F24" s="80"/>
    </row>
    <row r="25" spans="1:6" ht="19.5" hidden="1" customHeight="1">
      <c r="A25" s="77" t="s">
        <v>28</v>
      </c>
      <c r="B25" s="38" t="s">
        <v>612</v>
      </c>
      <c r="C25" s="85" t="s">
        <v>29</v>
      </c>
      <c r="D25" s="78"/>
      <c r="E25" s="79"/>
      <c r="F25" s="80"/>
    </row>
    <row r="26" spans="1:6" ht="19.5" hidden="1" customHeight="1">
      <c r="A26" s="77" t="s">
        <v>28</v>
      </c>
      <c r="B26" s="38" t="s">
        <v>613</v>
      </c>
      <c r="C26" s="85" t="s">
        <v>48</v>
      </c>
      <c r="D26" s="78"/>
      <c r="E26" s="79"/>
      <c r="F26" s="80"/>
    </row>
    <row r="27" spans="1:6" ht="15" hidden="1">
      <c r="A27" s="56"/>
      <c r="B27" s="56"/>
      <c r="C27" s="57" t="s">
        <v>614</v>
      </c>
      <c r="D27" s="58">
        <f>SUM(D6:D26)</f>
        <v>30800000</v>
      </c>
      <c r="E27" s="44"/>
      <c r="F27" s="73">
        <f>SUM(F1:F26)</f>
        <v>1434500</v>
      </c>
    </row>
    <row r="28" spans="1:6" ht="15" hidden="1">
      <c r="A28" s="21"/>
      <c r="B28" s="21"/>
      <c r="C28" s="21"/>
      <c r="D28" s="22"/>
      <c r="E28" s="23"/>
    </row>
    <row r="29" spans="1:6" ht="23.25" hidden="1">
      <c r="A29" s="1067" t="s">
        <v>615</v>
      </c>
      <c r="B29" s="1067"/>
      <c r="C29" s="1067"/>
      <c r="D29" s="1067"/>
      <c r="E29" s="1067"/>
      <c r="F29" s="1067"/>
    </row>
    <row r="30" spans="1:6" ht="23.25" hidden="1">
      <c r="A30" s="100" t="s">
        <v>3</v>
      </c>
      <c r="B30" s="100" t="s">
        <v>606</v>
      </c>
      <c r="C30" s="100" t="s">
        <v>5</v>
      </c>
      <c r="D30" s="101" t="s">
        <v>6</v>
      </c>
      <c r="E30" s="101" t="s">
        <v>7</v>
      </c>
      <c r="F30" s="101" t="s">
        <v>533</v>
      </c>
    </row>
    <row r="31" spans="1:6" ht="15" hidden="1">
      <c r="A31" s="127">
        <v>12928</v>
      </c>
      <c r="B31" s="190">
        <v>0.1</v>
      </c>
      <c r="C31" s="191" t="s">
        <v>12</v>
      </c>
      <c r="D31" s="192">
        <v>1650000</v>
      </c>
      <c r="E31" s="196">
        <v>0.02</v>
      </c>
      <c r="F31" s="197">
        <f>D31*E31</f>
        <v>33000</v>
      </c>
    </row>
    <row r="32" spans="1:6" ht="15" hidden="1">
      <c r="A32" s="127">
        <v>12914</v>
      </c>
      <c r="B32" s="190">
        <v>0.1</v>
      </c>
      <c r="C32" s="191" t="s">
        <v>616</v>
      </c>
      <c r="D32" s="192">
        <v>1850000</v>
      </c>
      <c r="E32" s="196">
        <v>0.02</v>
      </c>
      <c r="F32" s="197">
        <f t="shared" ref="F32:F37" si="1">D32*E32</f>
        <v>37000</v>
      </c>
    </row>
    <row r="33" spans="1:6" ht="15" hidden="1">
      <c r="A33" s="127">
        <v>13018</v>
      </c>
      <c r="B33" s="190">
        <v>0.1</v>
      </c>
      <c r="C33" s="191" t="s">
        <v>17</v>
      </c>
      <c r="D33" s="192">
        <v>1800000</v>
      </c>
      <c r="E33" s="196">
        <v>0.02</v>
      </c>
      <c r="F33" s="197">
        <f t="shared" si="1"/>
        <v>36000</v>
      </c>
    </row>
    <row r="34" spans="1:6" ht="15" hidden="1">
      <c r="A34" s="133">
        <v>12977</v>
      </c>
      <c r="B34" s="179">
        <v>0.1</v>
      </c>
      <c r="C34" s="193" t="s">
        <v>34</v>
      </c>
      <c r="D34" s="194">
        <v>1650000</v>
      </c>
      <c r="E34" s="196">
        <v>0.02</v>
      </c>
      <c r="F34" s="197">
        <f t="shared" si="1"/>
        <v>33000</v>
      </c>
    </row>
    <row r="35" spans="1:6" ht="15" hidden="1">
      <c r="A35" s="133">
        <v>12994</v>
      </c>
      <c r="B35" s="179">
        <v>0.1</v>
      </c>
      <c r="C35" s="193" t="s">
        <v>35</v>
      </c>
      <c r="D35" s="194">
        <v>1900000</v>
      </c>
      <c r="E35" s="195">
        <v>0.02</v>
      </c>
      <c r="F35" s="197">
        <f t="shared" si="1"/>
        <v>38000</v>
      </c>
    </row>
    <row r="36" spans="1:6" ht="15" hidden="1">
      <c r="A36" s="133">
        <v>13053</v>
      </c>
      <c r="B36" s="179">
        <v>0.1</v>
      </c>
      <c r="C36" s="193" t="s">
        <v>36</v>
      </c>
      <c r="D36" s="194">
        <v>1300000</v>
      </c>
      <c r="E36" s="196">
        <v>0.02</v>
      </c>
      <c r="F36" s="197">
        <f t="shared" si="1"/>
        <v>26000</v>
      </c>
    </row>
    <row r="37" spans="1:6" ht="15" hidden="1">
      <c r="A37" s="133">
        <v>12943</v>
      </c>
      <c r="B37" s="178">
        <v>0.08</v>
      </c>
      <c r="C37" s="193" t="s">
        <v>37</v>
      </c>
      <c r="D37" s="194">
        <v>1050000</v>
      </c>
      <c r="E37" s="195">
        <v>0.01</v>
      </c>
      <c r="F37" s="197">
        <f t="shared" si="1"/>
        <v>10500</v>
      </c>
    </row>
    <row r="38" spans="1:6" ht="36" hidden="1">
      <c r="A38" s="77" t="s">
        <v>28</v>
      </c>
      <c r="B38" s="59" t="s">
        <v>617</v>
      </c>
      <c r="C38" s="88" t="s">
        <v>30</v>
      </c>
      <c r="D38" s="78"/>
      <c r="E38" s="89"/>
      <c r="F38" s="88"/>
    </row>
    <row r="39" spans="1:6" ht="24" hidden="1">
      <c r="A39" s="77" t="s">
        <v>28</v>
      </c>
      <c r="B39" s="87" t="s">
        <v>618</v>
      </c>
      <c r="C39" s="88" t="s">
        <v>31</v>
      </c>
      <c r="D39" s="78"/>
      <c r="E39" s="89"/>
      <c r="F39" s="88"/>
    </row>
    <row r="40" spans="1:6" ht="34.5" hidden="1" customHeight="1">
      <c r="A40" s="55" t="s">
        <v>28</v>
      </c>
      <c r="B40" s="59" t="s">
        <v>619</v>
      </c>
      <c r="C40" s="83" t="s">
        <v>31</v>
      </c>
      <c r="D40" s="20"/>
      <c r="E40" s="82"/>
      <c r="F40" s="83"/>
    </row>
    <row r="41" spans="1:6" ht="15.75" hidden="1">
      <c r="A41" s="56"/>
      <c r="B41" s="56"/>
      <c r="C41" s="199" t="s">
        <v>614</v>
      </c>
      <c r="D41" s="198">
        <f>SUM(D31:D40)</f>
        <v>11200000</v>
      </c>
      <c r="E41" s="200"/>
      <c r="F41" s="209">
        <f>SUM(F31:F40)</f>
        <v>213500</v>
      </c>
    </row>
    <row r="42" spans="1:6" ht="15" hidden="1">
      <c r="A42" s="21"/>
      <c r="B42" s="21"/>
      <c r="C42" s="21"/>
      <c r="D42" s="22"/>
      <c r="E42" s="23"/>
    </row>
    <row r="43" spans="1:6" ht="23.25" hidden="1">
      <c r="A43" s="1067" t="s">
        <v>620</v>
      </c>
      <c r="B43" s="1067"/>
      <c r="C43" s="1067"/>
      <c r="D43" s="1067"/>
      <c r="E43" s="1067"/>
      <c r="F43" s="1067"/>
    </row>
    <row r="44" spans="1:6" ht="23.25" hidden="1">
      <c r="A44" s="108" t="s">
        <v>3</v>
      </c>
      <c r="B44" s="108" t="s">
        <v>606</v>
      </c>
      <c r="C44" s="108" t="s">
        <v>5</v>
      </c>
      <c r="D44" s="109" t="s">
        <v>6</v>
      </c>
      <c r="E44" s="110" t="s">
        <v>7</v>
      </c>
      <c r="F44" s="109" t="s">
        <v>49</v>
      </c>
    </row>
    <row r="45" spans="1:6" ht="15" hidden="1">
      <c r="A45" s="39"/>
      <c r="B45" s="40"/>
      <c r="C45" s="13"/>
      <c r="D45" s="41"/>
      <c r="E45" s="75"/>
      <c r="F45" s="52"/>
    </row>
    <row r="46" spans="1:6" ht="15" hidden="1">
      <c r="A46" s="39"/>
      <c r="B46" s="40"/>
      <c r="C46" s="13"/>
      <c r="D46" s="41"/>
      <c r="E46" s="75"/>
      <c r="F46" s="52"/>
    </row>
    <row r="47" spans="1:6" ht="15" hidden="1">
      <c r="A47" s="32"/>
      <c r="B47" s="32"/>
      <c r="C47" s="33" t="s">
        <v>614</v>
      </c>
      <c r="D47" s="34">
        <f>SUM(D45:D46)</f>
        <v>0</v>
      </c>
      <c r="E47" s="81"/>
      <c r="F47" s="52"/>
    </row>
    <row r="48" spans="1:6" ht="15" hidden="1">
      <c r="A48" s="18"/>
      <c r="B48" s="18"/>
      <c r="C48" s="18"/>
      <c r="D48" s="18"/>
      <c r="E48" s="18"/>
    </row>
    <row r="49" spans="1:8" ht="20.25" hidden="1">
      <c r="A49" s="1075" t="s">
        <v>621</v>
      </c>
      <c r="B49" s="1075"/>
      <c r="C49" s="1075"/>
      <c r="D49" s="1075"/>
      <c r="E49" s="1075"/>
      <c r="F49" s="1075"/>
      <c r="G49" s="1075"/>
    </row>
    <row r="50" spans="1:8" ht="20.25" hidden="1">
      <c r="A50" s="106" t="s">
        <v>3</v>
      </c>
      <c r="B50" s="106" t="s">
        <v>606</v>
      </c>
      <c r="C50" s="106" t="s">
        <v>5</v>
      </c>
      <c r="D50" s="107" t="s">
        <v>6</v>
      </c>
      <c r="E50" s="107" t="s">
        <v>7</v>
      </c>
      <c r="F50" s="111" t="s">
        <v>622</v>
      </c>
      <c r="G50" s="111" t="s">
        <v>623</v>
      </c>
    </row>
    <row r="51" spans="1:8" ht="15" hidden="1">
      <c r="A51" s="84">
        <v>12928</v>
      </c>
      <c r="B51" s="157">
        <v>0.1</v>
      </c>
      <c r="C51" s="158" t="s">
        <v>12</v>
      </c>
      <c r="D51" s="159">
        <v>1650000</v>
      </c>
      <c r="E51" s="160">
        <v>0.02</v>
      </c>
      <c r="F51" s="161">
        <f t="shared" ref="F51:F61" si="2">E51*D51</f>
        <v>33000</v>
      </c>
      <c r="G51" s="162" t="s">
        <v>104</v>
      </c>
      <c r="H51" s="163" t="s">
        <v>624</v>
      </c>
    </row>
    <row r="52" spans="1:8" ht="15" hidden="1">
      <c r="A52" s="84">
        <v>12914</v>
      </c>
      <c r="B52" s="157">
        <v>0.1</v>
      </c>
      <c r="C52" s="158" t="s">
        <v>15</v>
      </c>
      <c r="D52" s="159">
        <v>1850000</v>
      </c>
      <c r="E52" s="160">
        <v>0.02</v>
      </c>
      <c r="F52" s="161">
        <f t="shared" si="2"/>
        <v>37000</v>
      </c>
      <c r="G52" s="162" t="s">
        <v>104</v>
      </c>
      <c r="H52" s="163" t="s">
        <v>624</v>
      </c>
    </row>
    <row r="53" spans="1:8" ht="15" hidden="1">
      <c r="A53" s="84">
        <v>12935</v>
      </c>
      <c r="B53" s="157">
        <v>0.1</v>
      </c>
      <c r="C53" s="158" t="s">
        <v>44</v>
      </c>
      <c r="D53" s="159">
        <v>2100000</v>
      </c>
      <c r="E53" s="160">
        <v>0.02</v>
      </c>
      <c r="F53" s="161">
        <f t="shared" si="2"/>
        <v>42000</v>
      </c>
      <c r="G53" s="162" t="s">
        <v>104</v>
      </c>
      <c r="H53" s="163" t="s">
        <v>624</v>
      </c>
    </row>
    <row r="54" spans="1:8" ht="15" hidden="1">
      <c r="A54" s="84">
        <v>12942</v>
      </c>
      <c r="B54" s="157">
        <v>0.1</v>
      </c>
      <c r="C54" s="158" t="s">
        <v>19</v>
      </c>
      <c r="D54" s="159">
        <v>2100000</v>
      </c>
      <c r="E54" s="160">
        <v>0.02</v>
      </c>
      <c r="F54" s="161">
        <f t="shared" si="2"/>
        <v>42000</v>
      </c>
      <c r="G54" s="162" t="s">
        <v>104</v>
      </c>
      <c r="H54" s="163" t="s">
        <v>624</v>
      </c>
    </row>
    <row r="55" spans="1:8" ht="15" hidden="1">
      <c r="A55" s="84">
        <v>12943</v>
      </c>
      <c r="B55" s="164">
        <v>0.08</v>
      </c>
      <c r="C55" s="158" t="s">
        <v>625</v>
      </c>
      <c r="D55" s="159">
        <v>1050000</v>
      </c>
      <c r="E55" s="165">
        <v>0.01</v>
      </c>
      <c r="F55" s="161">
        <f t="shared" si="2"/>
        <v>10500</v>
      </c>
      <c r="G55" s="162" t="s">
        <v>104</v>
      </c>
      <c r="H55" s="163" t="s">
        <v>624</v>
      </c>
    </row>
    <row r="56" spans="1:8" ht="15" hidden="1">
      <c r="A56" s="84">
        <v>12948</v>
      </c>
      <c r="B56" s="157">
        <v>0.1</v>
      </c>
      <c r="C56" s="158" t="s">
        <v>626</v>
      </c>
      <c r="D56" s="159">
        <v>1650000</v>
      </c>
      <c r="E56" s="160">
        <v>0.02</v>
      </c>
      <c r="F56" s="161">
        <f t="shared" si="2"/>
        <v>33000</v>
      </c>
      <c r="G56" s="162" t="s">
        <v>104</v>
      </c>
      <c r="H56" s="163" t="s">
        <v>624</v>
      </c>
    </row>
    <row r="57" spans="1:8" ht="15" hidden="1">
      <c r="A57" s="84">
        <v>12968</v>
      </c>
      <c r="B57" s="157">
        <v>0.1</v>
      </c>
      <c r="C57" s="158" t="s">
        <v>39</v>
      </c>
      <c r="D57" s="159">
        <v>1550000</v>
      </c>
      <c r="E57" s="160">
        <v>0.02</v>
      </c>
      <c r="F57" s="161">
        <f t="shared" si="2"/>
        <v>31000</v>
      </c>
      <c r="G57" s="162" t="s">
        <v>104</v>
      </c>
      <c r="H57" s="163" t="s">
        <v>624</v>
      </c>
    </row>
    <row r="58" spans="1:8" ht="15" hidden="1">
      <c r="A58" s="156">
        <v>12969</v>
      </c>
      <c r="B58" s="166">
        <v>0.1</v>
      </c>
      <c r="C58" s="167" t="s">
        <v>20</v>
      </c>
      <c r="D58" s="168">
        <v>1500000</v>
      </c>
      <c r="E58" s="169">
        <v>0.02</v>
      </c>
      <c r="F58" s="170">
        <f t="shared" si="2"/>
        <v>30000</v>
      </c>
      <c r="G58" s="162" t="s">
        <v>104</v>
      </c>
      <c r="H58" s="163" t="s">
        <v>624</v>
      </c>
    </row>
    <row r="59" spans="1:8" ht="15" hidden="1">
      <c r="A59" s="84">
        <v>12977</v>
      </c>
      <c r="B59" s="157">
        <v>0.1</v>
      </c>
      <c r="C59" s="158" t="s">
        <v>34</v>
      </c>
      <c r="D59" s="159">
        <v>1650000</v>
      </c>
      <c r="E59" s="160">
        <v>0.02</v>
      </c>
      <c r="F59" s="161">
        <f t="shared" si="2"/>
        <v>33000</v>
      </c>
      <c r="G59" s="162" t="s">
        <v>104</v>
      </c>
      <c r="H59" s="163" t="s">
        <v>624</v>
      </c>
    </row>
    <row r="60" spans="1:8" ht="15" hidden="1">
      <c r="A60" s="84">
        <v>12988</v>
      </c>
      <c r="B60" s="157">
        <v>0.1</v>
      </c>
      <c r="C60" s="158" t="s">
        <v>21</v>
      </c>
      <c r="D60" s="159">
        <v>2400000</v>
      </c>
      <c r="E60" s="160">
        <v>0.02</v>
      </c>
      <c r="F60" s="161">
        <f t="shared" si="2"/>
        <v>48000</v>
      </c>
      <c r="G60" s="162" t="s">
        <v>104</v>
      </c>
      <c r="H60" s="163" t="s">
        <v>624</v>
      </c>
    </row>
    <row r="61" spans="1:8" ht="15" hidden="1">
      <c r="A61" s="156">
        <v>12994</v>
      </c>
      <c r="B61" s="166">
        <v>0.1</v>
      </c>
      <c r="C61" s="167" t="s">
        <v>35</v>
      </c>
      <c r="D61" s="168">
        <v>1900000</v>
      </c>
      <c r="E61" s="169">
        <v>0.02</v>
      </c>
      <c r="F61" s="170">
        <f t="shared" si="2"/>
        <v>38000</v>
      </c>
      <c r="G61" s="241" t="s">
        <v>104</v>
      </c>
      <c r="H61" s="163" t="s">
        <v>624</v>
      </c>
    </row>
    <row r="62" spans="1:8" ht="15" hidden="1">
      <c r="A62" s="14">
        <v>13018</v>
      </c>
      <c r="B62" s="242">
        <v>0.1</v>
      </c>
      <c r="C62" s="204" t="s">
        <v>627</v>
      </c>
      <c r="D62" s="243">
        <v>1800000</v>
      </c>
      <c r="E62" s="196"/>
      <c r="F62" s="197"/>
      <c r="G62" s="162" t="s">
        <v>104</v>
      </c>
    </row>
    <row r="63" spans="1:8" ht="15" hidden="1">
      <c r="A63" s="14">
        <v>13049</v>
      </c>
      <c r="B63" s="242">
        <v>0.1</v>
      </c>
      <c r="C63" s="244" t="s">
        <v>40</v>
      </c>
      <c r="D63" s="245">
        <v>1400000</v>
      </c>
      <c r="E63" s="239"/>
      <c r="F63" s="246"/>
      <c r="G63" s="247" t="s">
        <v>104</v>
      </c>
    </row>
    <row r="64" spans="1:8" ht="15" hidden="1">
      <c r="A64" s="54">
        <v>13051</v>
      </c>
      <c r="B64" s="242">
        <v>0.1</v>
      </c>
      <c r="C64" s="204" t="s">
        <v>22</v>
      </c>
      <c r="D64" s="243">
        <v>2100000</v>
      </c>
      <c r="E64" s="196"/>
      <c r="F64" s="197"/>
      <c r="G64" s="247" t="s">
        <v>104</v>
      </c>
    </row>
    <row r="65" spans="1:8" ht="15" hidden="1">
      <c r="A65" s="54">
        <v>13053</v>
      </c>
      <c r="B65" s="179">
        <v>0.1</v>
      </c>
      <c r="C65" s="193" t="s">
        <v>36</v>
      </c>
      <c r="D65" s="243">
        <v>1300000</v>
      </c>
      <c r="E65" s="193"/>
      <c r="F65" s="193"/>
      <c r="G65" s="162" t="s">
        <v>104</v>
      </c>
    </row>
    <row r="66" spans="1:8" ht="15" hidden="1">
      <c r="A66" s="133">
        <v>13072</v>
      </c>
      <c r="B66" s="179">
        <v>0.1</v>
      </c>
      <c r="C66" s="204" t="s">
        <v>41</v>
      </c>
      <c r="D66" s="194">
        <v>1800000</v>
      </c>
      <c r="E66" s="196"/>
      <c r="F66" s="197"/>
      <c r="G66" s="247" t="s">
        <v>104</v>
      </c>
    </row>
    <row r="67" spans="1:8" ht="15" hidden="1">
      <c r="A67" s="14">
        <v>13079</v>
      </c>
      <c r="B67" s="179">
        <v>0.1</v>
      </c>
      <c r="C67" s="204" t="s">
        <v>43</v>
      </c>
      <c r="D67" s="194">
        <v>2500000</v>
      </c>
      <c r="E67" s="196"/>
      <c r="F67" s="197"/>
      <c r="G67" s="247" t="s">
        <v>104</v>
      </c>
    </row>
    <row r="68" spans="1:8" ht="15" hidden="1">
      <c r="A68" s="127">
        <v>13068</v>
      </c>
      <c r="B68" s="190">
        <v>0.1</v>
      </c>
      <c r="C68" s="191" t="s">
        <v>23</v>
      </c>
      <c r="D68" s="192">
        <v>1500000</v>
      </c>
      <c r="E68" s="196"/>
      <c r="F68" s="197"/>
      <c r="G68" s="247" t="s">
        <v>104</v>
      </c>
      <c r="H68" s="31">
        <v>1</v>
      </c>
    </row>
    <row r="69" spans="1:8" ht="15" hidden="1">
      <c r="A69" s="127">
        <v>13071</v>
      </c>
      <c r="B69" s="190">
        <v>0.1</v>
      </c>
      <c r="C69" s="191" t="s">
        <v>24</v>
      </c>
      <c r="D69" s="192">
        <v>1500000</v>
      </c>
      <c r="E69" s="196"/>
      <c r="F69" s="193"/>
      <c r="G69" s="247" t="s">
        <v>104</v>
      </c>
    </row>
    <row r="70" spans="1:8" ht="15" hidden="1">
      <c r="A70" s="127">
        <v>13128</v>
      </c>
      <c r="B70" s="190">
        <v>0.1</v>
      </c>
      <c r="C70" s="191" t="s">
        <v>25</v>
      </c>
      <c r="D70" s="192">
        <v>2100000</v>
      </c>
      <c r="E70" s="196"/>
      <c r="F70" s="193"/>
      <c r="G70" s="247" t="s">
        <v>104</v>
      </c>
      <c r="H70" s="31">
        <v>1</v>
      </c>
    </row>
    <row r="71" spans="1:8" ht="15" hidden="1">
      <c r="A71" s="171">
        <v>13106</v>
      </c>
      <c r="B71" s="190">
        <v>0.1</v>
      </c>
      <c r="C71" s="201" t="s">
        <v>26</v>
      </c>
      <c r="D71" s="192">
        <v>1400000</v>
      </c>
      <c r="E71" s="196"/>
      <c r="F71" s="193"/>
      <c r="G71" s="247" t="s">
        <v>104</v>
      </c>
      <c r="H71" s="31">
        <v>29</v>
      </c>
    </row>
    <row r="72" spans="1:8" ht="15" hidden="1">
      <c r="A72" s="171">
        <v>13116</v>
      </c>
      <c r="B72" s="190">
        <v>0.1</v>
      </c>
      <c r="C72" s="201" t="s">
        <v>27</v>
      </c>
      <c r="D72" s="192">
        <v>2200000</v>
      </c>
      <c r="E72" s="196"/>
      <c r="F72" s="193"/>
      <c r="G72" s="247" t="s">
        <v>104</v>
      </c>
      <c r="H72" s="31">
        <v>29</v>
      </c>
    </row>
    <row r="73" spans="1:8" ht="15" hidden="1">
      <c r="A73" s="14">
        <v>13133</v>
      </c>
      <c r="B73" s="178">
        <v>0.08</v>
      </c>
      <c r="C73" s="204" t="s">
        <v>42</v>
      </c>
      <c r="D73" s="194">
        <v>1550000</v>
      </c>
      <c r="E73" s="196"/>
      <c r="F73" s="193"/>
      <c r="G73" s="247" t="s">
        <v>104</v>
      </c>
      <c r="H73" s="31">
        <v>1</v>
      </c>
    </row>
    <row r="74" spans="1:8" ht="16.5" hidden="1" customHeight="1">
      <c r="A74" s="14">
        <v>13134</v>
      </c>
      <c r="B74" s="179">
        <v>0.1</v>
      </c>
      <c r="C74" s="193" t="s">
        <v>608</v>
      </c>
      <c r="D74" s="194">
        <v>1450000</v>
      </c>
      <c r="E74" s="196"/>
      <c r="F74" s="202"/>
      <c r="G74" s="248" t="s">
        <v>104</v>
      </c>
      <c r="H74" s="31">
        <v>4</v>
      </c>
    </row>
    <row r="75" spans="1:8" ht="18.75" hidden="1">
      <c r="A75" s="42"/>
      <c r="B75" s="42"/>
      <c r="C75" s="43" t="s">
        <v>614</v>
      </c>
      <c r="D75" s="58">
        <f>SUM(D51:D74)</f>
        <v>42000000</v>
      </c>
      <c r="E75" s="76" t="s">
        <v>628</v>
      </c>
      <c r="F75" s="52"/>
      <c r="G75" s="114"/>
    </row>
    <row r="76" spans="1:8" ht="16.5" hidden="1" customHeight="1">
      <c r="A76" s="18"/>
      <c r="B76" s="18"/>
      <c r="C76" s="18"/>
      <c r="D76" s="18"/>
      <c r="E76" s="18"/>
    </row>
    <row r="77" spans="1:8" hidden="1"/>
    <row r="78" spans="1:8" hidden="1"/>
    <row r="79" spans="1:8" ht="45">
      <c r="A79" s="1070" t="s">
        <v>60</v>
      </c>
      <c r="B79" s="1070"/>
      <c r="C79" s="1070"/>
      <c r="D79" s="1070"/>
      <c r="E79" s="1070"/>
      <c r="F79" s="1070"/>
    </row>
    <row r="80" spans="1:8" ht="15" hidden="1">
      <c r="A80" s="18"/>
      <c r="B80" s="18"/>
      <c r="C80" s="18"/>
      <c r="D80" s="18"/>
      <c r="E80" s="18"/>
    </row>
    <row r="81" spans="1:6" ht="23.25" hidden="1">
      <c r="A81" s="1073" t="s">
        <v>629</v>
      </c>
      <c r="B81" s="1074"/>
      <c r="C81" s="1074"/>
      <c r="D81" s="1074"/>
      <c r="E81" s="1074"/>
      <c r="F81" s="1074"/>
    </row>
    <row r="82" spans="1:6" ht="23.25" hidden="1">
      <c r="A82" s="259" t="s">
        <v>3</v>
      </c>
      <c r="B82" s="259" t="s">
        <v>606</v>
      </c>
      <c r="C82" s="259" t="s">
        <v>5</v>
      </c>
      <c r="D82" s="260" t="s">
        <v>6</v>
      </c>
      <c r="E82" s="260" t="s">
        <v>7</v>
      </c>
      <c r="F82" s="260" t="s">
        <v>607</v>
      </c>
    </row>
    <row r="83" spans="1:6" ht="15" hidden="1">
      <c r="A83" s="287">
        <v>13203</v>
      </c>
      <c r="B83" s="261">
        <v>0.1</v>
      </c>
      <c r="C83" s="263" t="s">
        <v>69</v>
      </c>
      <c r="D83" s="289">
        <v>1450000</v>
      </c>
      <c r="E83" s="308">
        <v>0.05</v>
      </c>
      <c r="F83" s="309">
        <f>D83*E83</f>
        <v>72500</v>
      </c>
    </row>
    <row r="84" spans="1:6" ht="15" hidden="1">
      <c r="A84" s="287">
        <v>13254</v>
      </c>
      <c r="B84" s="281">
        <v>0.08</v>
      </c>
      <c r="C84" s="263" t="s">
        <v>70</v>
      </c>
      <c r="D84" s="289">
        <v>1600000</v>
      </c>
      <c r="E84" s="310">
        <v>0.04</v>
      </c>
      <c r="F84" s="309">
        <f t="shared" ref="F84:F96" si="3">D84*E84</f>
        <v>64000</v>
      </c>
    </row>
    <row r="85" spans="1:6" ht="15" hidden="1">
      <c r="A85" s="287">
        <v>13294</v>
      </c>
      <c r="B85" s="261">
        <v>0.1</v>
      </c>
      <c r="C85" s="263" t="s">
        <v>71</v>
      </c>
      <c r="D85" s="289">
        <v>1720000</v>
      </c>
      <c r="E85" s="308">
        <v>0.05</v>
      </c>
      <c r="F85" s="309">
        <f t="shared" si="3"/>
        <v>86000</v>
      </c>
    </row>
    <row r="86" spans="1:6" ht="15" hidden="1">
      <c r="A86" s="287">
        <v>13310</v>
      </c>
      <c r="B86" s="261">
        <v>0.1</v>
      </c>
      <c r="C86" s="263" t="s">
        <v>73</v>
      </c>
      <c r="D86" s="289">
        <v>1850000</v>
      </c>
      <c r="E86" s="308">
        <v>0.05</v>
      </c>
      <c r="F86" s="309">
        <f t="shared" si="3"/>
        <v>92500</v>
      </c>
    </row>
    <row r="87" spans="1:6" ht="15" hidden="1">
      <c r="A87" s="287">
        <v>13409</v>
      </c>
      <c r="B87" s="261">
        <v>0.1</v>
      </c>
      <c r="C87" s="263" t="s">
        <v>74</v>
      </c>
      <c r="D87" s="289">
        <v>1400000</v>
      </c>
      <c r="E87" s="308">
        <v>0.05</v>
      </c>
      <c r="F87" s="309">
        <f t="shared" si="3"/>
        <v>70000</v>
      </c>
    </row>
    <row r="88" spans="1:6" ht="15" hidden="1">
      <c r="A88" s="287">
        <v>13329</v>
      </c>
      <c r="B88" s="261">
        <v>0.1</v>
      </c>
      <c r="C88" s="263" t="s">
        <v>75</v>
      </c>
      <c r="D88" s="289">
        <v>1900000</v>
      </c>
      <c r="E88" s="308">
        <v>0.05</v>
      </c>
      <c r="F88" s="309">
        <f t="shared" si="3"/>
        <v>95000</v>
      </c>
    </row>
    <row r="89" spans="1:6" ht="15" hidden="1">
      <c r="A89" s="287">
        <v>13314</v>
      </c>
      <c r="B89" s="261">
        <v>0.1</v>
      </c>
      <c r="C89" s="263" t="s">
        <v>76</v>
      </c>
      <c r="D89" s="289">
        <v>2000000</v>
      </c>
      <c r="E89" s="308">
        <v>0.05</v>
      </c>
      <c r="F89" s="309">
        <f t="shared" si="3"/>
        <v>100000</v>
      </c>
    </row>
    <row r="90" spans="1:6" ht="15" hidden="1">
      <c r="A90" s="287">
        <v>13170</v>
      </c>
      <c r="B90" s="261">
        <v>0.1</v>
      </c>
      <c r="C90" s="290" t="s">
        <v>630</v>
      </c>
      <c r="D90" s="289">
        <v>2650000</v>
      </c>
      <c r="E90" s="308">
        <v>0.05</v>
      </c>
      <c r="F90" s="309">
        <f t="shared" si="3"/>
        <v>132500</v>
      </c>
    </row>
    <row r="91" spans="1:6" ht="15" hidden="1">
      <c r="A91" s="311">
        <v>13300</v>
      </c>
      <c r="B91" s="281">
        <v>0.08</v>
      </c>
      <c r="C91" s="290" t="s">
        <v>95</v>
      </c>
      <c r="D91" s="312">
        <v>3100000</v>
      </c>
      <c r="E91" s="310">
        <v>0.04</v>
      </c>
      <c r="F91" s="309">
        <f t="shared" si="3"/>
        <v>124000</v>
      </c>
    </row>
    <row r="92" spans="1:6" ht="15" hidden="1">
      <c r="A92" s="287">
        <v>13271</v>
      </c>
      <c r="B92" s="261">
        <v>0.1</v>
      </c>
      <c r="C92" s="263" t="s">
        <v>96</v>
      </c>
      <c r="D92" s="289">
        <v>1750000</v>
      </c>
      <c r="E92" s="308">
        <v>0.05</v>
      </c>
      <c r="F92" s="309">
        <f t="shared" si="3"/>
        <v>87500</v>
      </c>
    </row>
    <row r="93" spans="1:6" ht="15" hidden="1">
      <c r="A93" s="311">
        <v>13226</v>
      </c>
      <c r="B93" s="261">
        <v>0.1</v>
      </c>
      <c r="C93" s="290" t="s">
        <v>97</v>
      </c>
      <c r="D93" s="312">
        <v>2300000</v>
      </c>
      <c r="E93" s="308">
        <v>0.05</v>
      </c>
      <c r="F93" s="309">
        <f t="shared" si="3"/>
        <v>115000</v>
      </c>
    </row>
    <row r="94" spans="1:6" ht="15" hidden="1">
      <c r="A94" s="311"/>
      <c r="B94" s="261">
        <v>0.1</v>
      </c>
      <c r="C94" s="290" t="s">
        <v>98</v>
      </c>
      <c r="D94" s="312">
        <v>2100000</v>
      </c>
      <c r="E94" s="308">
        <v>0.05</v>
      </c>
      <c r="F94" s="309">
        <f t="shared" si="3"/>
        <v>105000</v>
      </c>
    </row>
    <row r="95" spans="1:6" ht="15" hidden="1">
      <c r="A95" s="287">
        <v>13168</v>
      </c>
      <c r="B95" s="261">
        <v>0.1</v>
      </c>
      <c r="C95" s="288" t="s">
        <v>103</v>
      </c>
      <c r="D95" s="289">
        <v>1450000</v>
      </c>
      <c r="E95" s="308">
        <v>0.05</v>
      </c>
      <c r="F95" s="309">
        <f t="shared" si="3"/>
        <v>72500</v>
      </c>
    </row>
    <row r="96" spans="1:6" ht="15" hidden="1">
      <c r="A96" s="287">
        <v>13357</v>
      </c>
      <c r="B96" s="261">
        <v>0.1</v>
      </c>
      <c r="C96" s="288" t="s">
        <v>105</v>
      </c>
      <c r="D96" s="289">
        <v>1850000</v>
      </c>
      <c r="E96" s="308">
        <v>0.05</v>
      </c>
      <c r="F96" s="309">
        <f t="shared" si="3"/>
        <v>92500</v>
      </c>
    </row>
    <row r="97" spans="1:6" ht="18.75" hidden="1">
      <c r="A97" s="301"/>
      <c r="B97" s="301"/>
      <c r="C97" s="300" t="s">
        <v>614</v>
      </c>
      <c r="D97" s="297">
        <f>SUM(D83:D96)</f>
        <v>27120000</v>
      </c>
      <c r="E97" s="298"/>
      <c r="F97" s="302">
        <f>SUM(F78:F96)</f>
        <v>1309000</v>
      </c>
    </row>
    <row r="98" spans="1:6" ht="15" hidden="1">
      <c r="A98" s="21"/>
      <c r="B98" s="21"/>
      <c r="C98" s="21"/>
      <c r="D98" s="22"/>
      <c r="E98" s="23"/>
    </row>
    <row r="99" spans="1:6" ht="23.25" hidden="1">
      <c r="A99" s="1067" t="s">
        <v>631</v>
      </c>
      <c r="B99" s="1067"/>
      <c r="C99" s="1067"/>
      <c r="D99" s="1067"/>
      <c r="E99" s="1067"/>
      <c r="F99" s="1067"/>
    </row>
    <row r="100" spans="1:6" ht="23.25" hidden="1">
      <c r="A100" s="259" t="s">
        <v>3</v>
      </c>
      <c r="B100" s="259" t="s">
        <v>606</v>
      </c>
      <c r="C100" s="259" t="s">
        <v>5</v>
      </c>
      <c r="D100" s="260" t="s">
        <v>6</v>
      </c>
      <c r="E100" s="260" t="s">
        <v>7</v>
      </c>
      <c r="F100" s="260" t="s">
        <v>533</v>
      </c>
    </row>
    <row r="101" spans="1:6" ht="15" hidden="1">
      <c r="A101" s="287">
        <v>13233</v>
      </c>
      <c r="B101" s="261">
        <v>0.1</v>
      </c>
      <c r="C101" s="288" t="s">
        <v>62</v>
      </c>
      <c r="D101" s="289">
        <v>2000000</v>
      </c>
      <c r="E101" s="250">
        <v>0.05</v>
      </c>
      <c r="F101" s="251">
        <f>D101*E101</f>
        <v>100000</v>
      </c>
    </row>
    <row r="102" spans="1:6" ht="15" hidden="1">
      <c r="A102" s="287">
        <v>13141</v>
      </c>
      <c r="B102" s="261">
        <v>0.1</v>
      </c>
      <c r="C102" s="290" t="s">
        <v>64</v>
      </c>
      <c r="D102" s="289">
        <v>1400000</v>
      </c>
      <c r="E102" s="249">
        <v>0.02</v>
      </c>
      <c r="F102" s="251">
        <f t="shared" ref="F102:F112" si="4">D102*E102</f>
        <v>28000</v>
      </c>
    </row>
    <row r="103" spans="1:6" ht="15" hidden="1">
      <c r="A103" s="287">
        <v>13318</v>
      </c>
      <c r="B103" s="261">
        <v>0.1</v>
      </c>
      <c r="C103" s="263" t="s">
        <v>65</v>
      </c>
      <c r="D103" s="289">
        <v>3500000</v>
      </c>
      <c r="E103" s="250">
        <v>0.05</v>
      </c>
      <c r="F103" s="251">
        <f t="shared" si="4"/>
        <v>175000</v>
      </c>
    </row>
    <row r="104" spans="1:6" ht="15" hidden="1">
      <c r="A104" s="287">
        <v>13195</v>
      </c>
      <c r="B104" s="281">
        <v>0.08</v>
      </c>
      <c r="C104" s="263" t="s">
        <v>67</v>
      </c>
      <c r="D104" s="289">
        <v>1950000</v>
      </c>
      <c r="E104" s="249">
        <v>0.04</v>
      </c>
      <c r="F104" s="251">
        <f t="shared" si="4"/>
        <v>78000</v>
      </c>
    </row>
    <row r="105" spans="1:6" ht="15" hidden="1">
      <c r="A105" s="287">
        <v>13292</v>
      </c>
      <c r="B105" s="261">
        <v>0.1</v>
      </c>
      <c r="C105" s="263" t="s">
        <v>68</v>
      </c>
      <c r="D105" s="289">
        <v>1500000</v>
      </c>
      <c r="E105" s="250">
        <v>0.05</v>
      </c>
      <c r="F105" s="251">
        <f t="shared" si="4"/>
        <v>75000</v>
      </c>
    </row>
    <row r="106" spans="1:6" ht="15" hidden="1">
      <c r="A106" s="291">
        <v>13193</v>
      </c>
      <c r="B106" s="242">
        <v>0.1</v>
      </c>
      <c r="C106" s="292" t="s">
        <v>85</v>
      </c>
      <c r="D106" s="293">
        <v>1900000</v>
      </c>
      <c r="E106" s="250">
        <v>0.05</v>
      </c>
      <c r="F106" s="251">
        <f t="shared" si="4"/>
        <v>95000</v>
      </c>
    </row>
    <row r="107" spans="1:6" ht="15" hidden="1">
      <c r="A107" s="54">
        <v>13212</v>
      </c>
      <c r="B107" s="294">
        <v>0.08</v>
      </c>
      <c r="C107" s="273" t="s">
        <v>87</v>
      </c>
      <c r="D107" s="293">
        <v>1820000</v>
      </c>
      <c r="E107" s="249">
        <v>0.04</v>
      </c>
      <c r="F107" s="251">
        <f t="shared" si="4"/>
        <v>72800</v>
      </c>
    </row>
    <row r="108" spans="1:6" ht="15" hidden="1">
      <c r="A108" s="291">
        <v>13241</v>
      </c>
      <c r="B108" s="242">
        <v>0.1</v>
      </c>
      <c r="C108" s="273" t="s">
        <v>88</v>
      </c>
      <c r="D108" s="293">
        <v>1000000</v>
      </c>
      <c r="E108" s="250">
        <v>0.05</v>
      </c>
      <c r="F108" s="251">
        <f t="shared" si="4"/>
        <v>50000</v>
      </c>
    </row>
    <row r="109" spans="1:6" ht="15" hidden="1">
      <c r="A109" s="54">
        <v>13215</v>
      </c>
      <c r="B109" s="242">
        <v>0.1</v>
      </c>
      <c r="C109" s="295" t="s">
        <v>90</v>
      </c>
      <c r="D109" s="296">
        <v>1300000</v>
      </c>
      <c r="E109" s="250">
        <v>0.05</v>
      </c>
      <c r="F109" s="251">
        <f t="shared" si="4"/>
        <v>65000</v>
      </c>
    </row>
    <row r="110" spans="1:6" ht="15" hidden="1">
      <c r="A110" s="54">
        <v>13287</v>
      </c>
      <c r="B110" s="242">
        <v>0.1</v>
      </c>
      <c r="C110" s="295" t="s">
        <v>91</v>
      </c>
      <c r="D110" s="296">
        <v>1000000</v>
      </c>
      <c r="E110" s="250">
        <v>0.05</v>
      </c>
      <c r="F110" s="251">
        <f t="shared" si="4"/>
        <v>50000</v>
      </c>
    </row>
    <row r="111" spans="1:6" ht="15" hidden="1">
      <c r="A111" s="54">
        <v>13358</v>
      </c>
      <c r="B111" s="242">
        <v>0.1</v>
      </c>
      <c r="C111" s="295" t="s">
        <v>92</v>
      </c>
      <c r="D111" s="296">
        <v>1300000</v>
      </c>
      <c r="E111" s="250">
        <v>0.05</v>
      </c>
      <c r="F111" s="251">
        <f t="shared" si="4"/>
        <v>65000</v>
      </c>
    </row>
    <row r="112" spans="1:6" ht="15" hidden="1">
      <c r="A112" s="54">
        <v>13376</v>
      </c>
      <c r="B112" s="242">
        <v>0.1</v>
      </c>
      <c r="C112" s="295" t="s">
        <v>93</v>
      </c>
      <c r="D112" s="296">
        <v>1700000</v>
      </c>
      <c r="E112" s="250">
        <v>0.05</v>
      </c>
      <c r="F112" s="251">
        <f t="shared" si="4"/>
        <v>85000</v>
      </c>
    </row>
    <row r="113" spans="1:8" ht="18.75" hidden="1">
      <c r="A113" s="32"/>
      <c r="B113" s="32"/>
      <c r="C113" s="300" t="s">
        <v>614</v>
      </c>
      <c r="D113" s="297">
        <f>SUM(D101:D112)</f>
        <v>20370000</v>
      </c>
      <c r="E113" s="298"/>
      <c r="F113" s="299">
        <f>SUM(F101:F112)</f>
        <v>938800</v>
      </c>
    </row>
    <row r="114" spans="1:8" ht="15" hidden="1">
      <c r="A114" s="21"/>
      <c r="B114" s="21"/>
      <c r="C114" s="21"/>
      <c r="D114" s="22"/>
      <c r="E114" s="23"/>
    </row>
    <row r="115" spans="1:8" ht="23.25" hidden="1">
      <c r="A115" s="1067" t="s">
        <v>632</v>
      </c>
      <c r="B115" s="1067"/>
      <c r="C115" s="1067"/>
      <c r="D115" s="1067"/>
      <c r="E115" s="1067"/>
      <c r="F115" s="1067"/>
    </row>
    <row r="116" spans="1:8" ht="23.25" hidden="1">
      <c r="A116" s="108" t="s">
        <v>3</v>
      </c>
      <c r="B116" s="108" t="s">
        <v>606</v>
      </c>
      <c r="C116" s="108" t="s">
        <v>5</v>
      </c>
      <c r="D116" s="109" t="s">
        <v>6</v>
      </c>
      <c r="E116" s="110" t="s">
        <v>7</v>
      </c>
      <c r="F116" s="109" t="s">
        <v>633</v>
      </c>
    </row>
    <row r="117" spans="1:8" ht="15" hidden="1">
      <c r="A117" s="54">
        <v>13259</v>
      </c>
      <c r="B117" s="242">
        <v>0.1</v>
      </c>
      <c r="C117" s="295" t="s">
        <v>99</v>
      </c>
      <c r="D117" s="296">
        <v>1450000</v>
      </c>
      <c r="E117" s="307">
        <v>0.02</v>
      </c>
      <c r="F117" s="251">
        <f t="shared" ref="F117:F118" si="5">D117*E117</f>
        <v>29000</v>
      </c>
    </row>
    <row r="118" spans="1:8" ht="15" hidden="1">
      <c r="A118" s="287">
        <v>13391</v>
      </c>
      <c r="B118" s="261">
        <v>0.1</v>
      </c>
      <c r="C118" s="263" t="s">
        <v>77</v>
      </c>
      <c r="D118" s="289">
        <v>3500000</v>
      </c>
      <c r="E118" s="307">
        <v>0.02</v>
      </c>
      <c r="F118" s="251">
        <f t="shared" si="5"/>
        <v>70000</v>
      </c>
    </row>
    <row r="119" spans="1:8" ht="18.75" hidden="1">
      <c r="A119" s="32"/>
      <c r="B119" s="32"/>
      <c r="C119" s="300" t="s">
        <v>614</v>
      </c>
      <c r="D119" s="297">
        <f>SUM(D117:D118)</f>
        <v>4950000</v>
      </c>
      <c r="E119" s="313"/>
      <c r="F119" s="314">
        <f>SUM(F117:F118)</f>
        <v>99000</v>
      </c>
    </row>
    <row r="120" spans="1:8" ht="15" hidden="1">
      <c r="A120" s="18"/>
      <c r="B120" s="18"/>
      <c r="C120" s="18"/>
      <c r="D120" s="18"/>
      <c r="E120" s="18"/>
    </row>
    <row r="121" spans="1:8" ht="20.25" hidden="1">
      <c r="A121" s="1075" t="s">
        <v>634</v>
      </c>
      <c r="B121" s="1075"/>
      <c r="C121" s="1075"/>
      <c r="D121" s="1075"/>
      <c r="E121" s="1075"/>
      <c r="F121" s="1075"/>
      <c r="G121" s="1075"/>
    </row>
    <row r="122" spans="1:8" ht="20.25" hidden="1">
      <c r="A122" s="283" t="s">
        <v>3</v>
      </c>
      <c r="B122" s="283" t="s">
        <v>606</v>
      </c>
      <c r="C122" s="283" t="s">
        <v>5</v>
      </c>
      <c r="D122" s="111" t="s">
        <v>6</v>
      </c>
      <c r="E122" s="111" t="s">
        <v>7</v>
      </c>
      <c r="F122" s="111" t="s">
        <v>635</v>
      </c>
      <c r="G122" s="111" t="s">
        <v>623</v>
      </c>
    </row>
    <row r="123" spans="1:8" ht="15" hidden="1">
      <c r="A123" s="287">
        <v>13203</v>
      </c>
      <c r="B123" s="261">
        <v>0.1</v>
      </c>
      <c r="C123" s="263" t="s">
        <v>69</v>
      </c>
      <c r="D123" s="289">
        <v>1450000</v>
      </c>
      <c r="E123" s="252">
        <v>0.03</v>
      </c>
      <c r="F123" s="253">
        <f>D123*E123</f>
        <v>43500</v>
      </c>
      <c r="G123" s="162" t="s">
        <v>104</v>
      </c>
      <c r="H123" s="163"/>
    </row>
    <row r="124" spans="1:8" ht="15" hidden="1">
      <c r="A124" s="287">
        <v>13254</v>
      </c>
      <c r="B124" s="281">
        <v>0.08</v>
      </c>
      <c r="C124" s="263" t="s">
        <v>70</v>
      </c>
      <c r="D124" s="289">
        <v>1600000</v>
      </c>
      <c r="E124" s="165">
        <v>0.02</v>
      </c>
      <c r="F124" s="253">
        <f t="shared" ref="F124:G151" si="6">D124*E124</f>
        <v>32000</v>
      </c>
      <c r="G124" s="162" t="s">
        <v>104</v>
      </c>
      <c r="H124" s="163"/>
    </row>
    <row r="125" spans="1:8" ht="15" hidden="1">
      <c r="A125" s="287">
        <v>13294</v>
      </c>
      <c r="B125" s="261">
        <v>0.1</v>
      </c>
      <c r="C125" s="263" t="s">
        <v>71</v>
      </c>
      <c r="D125" s="289">
        <v>1720000</v>
      </c>
      <c r="E125" s="252">
        <v>0.03</v>
      </c>
      <c r="F125" s="253">
        <f t="shared" si="6"/>
        <v>51600</v>
      </c>
      <c r="G125" s="162" t="s">
        <v>104</v>
      </c>
      <c r="H125" s="163"/>
    </row>
    <row r="126" spans="1:8" ht="15" hidden="1">
      <c r="A126" s="287">
        <v>13310</v>
      </c>
      <c r="B126" s="261">
        <v>0.1</v>
      </c>
      <c r="C126" s="263" t="s">
        <v>73</v>
      </c>
      <c r="D126" s="289">
        <v>1850000</v>
      </c>
      <c r="E126" s="252">
        <v>0.03</v>
      </c>
      <c r="F126" s="253">
        <f t="shared" si="6"/>
        <v>55500</v>
      </c>
      <c r="G126" s="162" t="s">
        <v>104</v>
      </c>
      <c r="H126" s="163"/>
    </row>
    <row r="127" spans="1:8" ht="15" hidden="1">
      <c r="A127" s="287">
        <v>13409</v>
      </c>
      <c r="B127" s="261">
        <v>0.1</v>
      </c>
      <c r="C127" s="263" t="s">
        <v>74</v>
      </c>
      <c r="D127" s="289">
        <v>1400000</v>
      </c>
      <c r="E127" s="252">
        <v>0.03</v>
      </c>
      <c r="F127" s="253">
        <f t="shared" si="6"/>
        <v>42000</v>
      </c>
      <c r="G127" s="162" t="s">
        <v>104</v>
      </c>
      <c r="H127" s="163"/>
    </row>
    <row r="128" spans="1:8" ht="15" hidden="1">
      <c r="A128" s="287">
        <v>13329</v>
      </c>
      <c r="B128" s="261">
        <v>0.1</v>
      </c>
      <c r="C128" s="263" t="s">
        <v>75</v>
      </c>
      <c r="D128" s="289">
        <v>1900000</v>
      </c>
      <c r="E128" s="252">
        <v>0.03</v>
      </c>
      <c r="F128" s="253">
        <f t="shared" si="6"/>
        <v>57000</v>
      </c>
      <c r="G128" s="162" t="s">
        <v>104</v>
      </c>
      <c r="H128" s="163"/>
    </row>
    <row r="129" spans="1:8" ht="15" hidden="1">
      <c r="A129" s="287">
        <v>13314</v>
      </c>
      <c r="B129" s="261">
        <v>0.1</v>
      </c>
      <c r="C129" s="263" t="s">
        <v>76</v>
      </c>
      <c r="D129" s="289">
        <v>2000000</v>
      </c>
      <c r="E129" s="252">
        <v>0.03</v>
      </c>
      <c r="F129" s="253">
        <f t="shared" si="6"/>
        <v>60000</v>
      </c>
      <c r="G129" s="162" t="s">
        <v>104</v>
      </c>
      <c r="H129" s="163"/>
    </row>
    <row r="130" spans="1:8" ht="15" hidden="1">
      <c r="A130" s="291">
        <v>13170</v>
      </c>
      <c r="B130" s="242">
        <v>0.1</v>
      </c>
      <c r="C130" s="295" t="s">
        <v>630</v>
      </c>
      <c r="D130" s="293">
        <v>2650000</v>
      </c>
      <c r="E130" s="252">
        <v>0.03</v>
      </c>
      <c r="F130" s="253">
        <f t="shared" si="6"/>
        <v>79500</v>
      </c>
      <c r="G130" s="162" t="s">
        <v>104</v>
      </c>
      <c r="H130" s="163"/>
    </row>
    <row r="131" spans="1:8" ht="15" hidden="1">
      <c r="A131" s="54">
        <v>13300</v>
      </c>
      <c r="B131" s="294">
        <v>0.08</v>
      </c>
      <c r="C131" s="295" t="s">
        <v>95</v>
      </c>
      <c r="D131" s="296">
        <v>3100000</v>
      </c>
      <c r="E131" s="165">
        <v>0.02</v>
      </c>
      <c r="F131" s="253">
        <f t="shared" si="6"/>
        <v>62000</v>
      </c>
      <c r="G131" s="162" t="s">
        <v>104</v>
      </c>
      <c r="H131" s="163"/>
    </row>
    <row r="132" spans="1:8" ht="15" hidden="1">
      <c r="A132" s="291">
        <v>13271</v>
      </c>
      <c r="B132" s="242">
        <v>0.1</v>
      </c>
      <c r="C132" s="273" t="s">
        <v>96</v>
      </c>
      <c r="D132" s="293">
        <v>1750000</v>
      </c>
      <c r="E132" s="252">
        <v>0.03</v>
      </c>
      <c r="F132" s="253">
        <f t="shared" si="6"/>
        <v>52500</v>
      </c>
      <c r="G132" s="162" t="s">
        <v>104</v>
      </c>
      <c r="H132" s="163"/>
    </row>
    <row r="133" spans="1:8" ht="15" hidden="1">
      <c r="A133" s="54">
        <v>13226</v>
      </c>
      <c r="B133" s="242">
        <v>0.1</v>
      </c>
      <c r="C133" s="295" t="s">
        <v>97</v>
      </c>
      <c r="D133" s="296">
        <v>2300000</v>
      </c>
      <c r="E133" s="252">
        <v>0.03</v>
      </c>
      <c r="F133" s="253">
        <f t="shared" si="6"/>
        <v>69000</v>
      </c>
      <c r="G133" s="162" t="s">
        <v>104</v>
      </c>
      <c r="H133" s="163"/>
    </row>
    <row r="134" spans="1:8" ht="15" hidden="1">
      <c r="A134" s="54">
        <v>13392</v>
      </c>
      <c r="B134" s="242">
        <v>0.1</v>
      </c>
      <c r="C134" s="295" t="s">
        <v>98</v>
      </c>
      <c r="D134" s="296">
        <v>2100000</v>
      </c>
      <c r="E134" s="252">
        <v>0.03</v>
      </c>
      <c r="F134" s="253">
        <f t="shared" si="6"/>
        <v>63000</v>
      </c>
      <c r="G134" s="162" t="s">
        <v>104</v>
      </c>
    </row>
    <row r="135" spans="1:8" ht="15" hidden="1">
      <c r="A135" s="291">
        <v>13168</v>
      </c>
      <c r="B135" s="242">
        <v>0.1</v>
      </c>
      <c r="C135" s="292" t="s">
        <v>103</v>
      </c>
      <c r="D135" s="293">
        <v>1450000</v>
      </c>
      <c r="E135" s="252">
        <v>0.03</v>
      </c>
      <c r="F135" s="253">
        <f t="shared" si="6"/>
        <v>43500</v>
      </c>
      <c r="G135" s="162" t="s">
        <v>104</v>
      </c>
    </row>
    <row r="136" spans="1:8" ht="15" hidden="1">
      <c r="A136" s="291">
        <v>13357</v>
      </c>
      <c r="B136" s="242">
        <v>0.1</v>
      </c>
      <c r="C136" s="292" t="s">
        <v>105</v>
      </c>
      <c r="D136" s="293">
        <v>1850000</v>
      </c>
      <c r="E136" s="252">
        <v>0.03</v>
      </c>
      <c r="F136" s="253">
        <f t="shared" si="6"/>
        <v>55500</v>
      </c>
      <c r="G136" s="162" t="s">
        <v>104</v>
      </c>
    </row>
    <row r="137" spans="1:8" ht="15" hidden="1">
      <c r="A137" s="287">
        <v>13233</v>
      </c>
      <c r="B137" s="261">
        <v>0.1</v>
      </c>
      <c r="C137" s="288" t="s">
        <v>62</v>
      </c>
      <c r="D137" s="289">
        <v>2000000</v>
      </c>
      <c r="E137" s="252">
        <v>0.03</v>
      </c>
      <c r="F137" s="253">
        <f t="shared" si="6"/>
        <v>60000</v>
      </c>
      <c r="G137" s="162" t="s">
        <v>104</v>
      </c>
    </row>
    <row r="138" spans="1:8" ht="15" hidden="1">
      <c r="A138" s="287">
        <v>13141</v>
      </c>
      <c r="B138" s="261">
        <v>0.1</v>
      </c>
      <c r="C138" s="290" t="s">
        <v>64</v>
      </c>
      <c r="D138" s="289">
        <v>1400000</v>
      </c>
      <c r="E138" s="252">
        <v>0.03</v>
      </c>
      <c r="F138" s="253">
        <f t="shared" si="6"/>
        <v>42000</v>
      </c>
      <c r="G138" s="162" t="s">
        <v>104</v>
      </c>
    </row>
    <row r="139" spans="1:8" ht="15" hidden="1">
      <c r="A139" s="287">
        <v>13318</v>
      </c>
      <c r="B139" s="261">
        <v>0.1</v>
      </c>
      <c r="C139" s="263" t="s">
        <v>65</v>
      </c>
      <c r="D139" s="289">
        <v>3500000</v>
      </c>
      <c r="E139" s="252">
        <v>0.03</v>
      </c>
      <c r="F139" s="253">
        <f t="shared" si="6"/>
        <v>105000</v>
      </c>
      <c r="G139" s="162" t="s">
        <v>104</v>
      </c>
    </row>
    <row r="140" spans="1:8" ht="15" hidden="1">
      <c r="A140" s="287">
        <v>13195</v>
      </c>
      <c r="B140" s="281">
        <v>0.08</v>
      </c>
      <c r="C140" s="263" t="s">
        <v>67</v>
      </c>
      <c r="D140" s="289">
        <v>1950000</v>
      </c>
      <c r="E140" s="165">
        <v>0.02</v>
      </c>
      <c r="F140" s="253">
        <f t="shared" si="6"/>
        <v>39000</v>
      </c>
      <c r="G140" s="162" t="s">
        <v>104</v>
      </c>
    </row>
    <row r="141" spans="1:8" ht="15" hidden="1">
      <c r="A141" s="287">
        <v>13292</v>
      </c>
      <c r="B141" s="261">
        <v>0.1</v>
      </c>
      <c r="C141" s="263" t="s">
        <v>68</v>
      </c>
      <c r="D141" s="289">
        <v>1500000</v>
      </c>
      <c r="E141" s="252">
        <v>0.03</v>
      </c>
      <c r="F141" s="253">
        <f t="shared" si="6"/>
        <v>45000</v>
      </c>
      <c r="G141" s="162" t="s">
        <v>104</v>
      </c>
    </row>
    <row r="142" spans="1:8" ht="15" hidden="1">
      <c r="A142" s="291">
        <v>13193</v>
      </c>
      <c r="B142" s="242">
        <v>0.1</v>
      </c>
      <c r="C142" s="292" t="s">
        <v>85</v>
      </c>
      <c r="D142" s="293">
        <v>1900000</v>
      </c>
      <c r="E142" s="252">
        <v>0.03</v>
      </c>
      <c r="F142" s="253">
        <f t="shared" si="6"/>
        <v>57000</v>
      </c>
      <c r="G142" s="162" t="s">
        <v>104</v>
      </c>
    </row>
    <row r="143" spans="1:8" ht="15" hidden="1">
      <c r="A143" s="54">
        <v>13212</v>
      </c>
      <c r="B143" s="294">
        <v>0.08</v>
      </c>
      <c r="C143" s="273" t="s">
        <v>87</v>
      </c>
      <c r="D143" s="293">
        <v>1820000</v>
      </c>
      <c r="E143" s="165">
        <v>0.02</v>
      </c>
      <c r="F143" s="253">
        <f t="shared" si="6"/>
        <v>36400</v>
      </c>
      <c r="G143" s="162" t="s">
        <v>104</v>
      </c>
    </row>
    <row r="144" spans="1:8" ht="15" hidden="1">
      <c r="A144" s="291">
        <v>13241</v>
      </c>
      <c r="B144" s="242">
        <v>0.1</v>
      </c>
      <c r="C144" s="273" t="s">
        <v>88</v>
      </c>
      <c r="D144" s="293">
        <v>1000000</v>
      </c>
      <c r="E144" s="252">
        <v>0.03</v>
      </c>
      <c r="F144" s="253">
        <f t="shared" si="6"/>
        <v>30000</v>
      </c>
      <c r="G144" s="162" t="s">
        <v>104</v>
      </c>
    </row>
    <row r="145" spans="1:7" ht="15" hidden="1">
      <c r="A145" s="54">
        <v>13215</v>
      </c>
      <c r="B145" s="242">
        <v>0.1</v>
      </c>
      <c r="C145" s="295" t="s">
        <v>90</v>
      </c>
      <c r="D145" s="296">
        <v>1300000</v>
      </c>
      <c r="E145" s="252">
        <v>0.03</v>
      </c>
      <c r="F145" s="253">
        <f t="shared" si="6"/>
        <v>39000</v>
      </c>
      <c r="G145" s="162" t="s">
        <v>104</v>
      </c>
    </row>
    <row r="146" spans="1:7" ht="15" hidden="1">
      <c r="A146" s="54">
        <v>13287</v>
      </c>
      <c r="B146" s="242">
        <v>0.1</v>
      </c>
      <c r="C146" s="295" t="s">
        <v>91</v>
      </c>
      <c r="D146" s="296">
        <v>1000000</v>
      </c>
      <c r="E146" s="252">
        <v>0.03</v>
      </c>
      <c r="F146" s="253">
        <f t="shared" si="6"/>
        <v>30000</v>
      </c>
      <c r="G146" s="162" t="s">
        <v>104</v>
      </c>
    </row>
    <row r="147" spans="1:7" ht="15" hidden="1">
      <c r="A147" s="54">
        <v>13358</v>
      </c>
      <c r="B147" s="242">
        <v>0.1</v>
      </c>
      <c r="C147" s="295" t="s">
        <v>92</v>
      </c>
      <c r="D147" s="296">
        <v>1300000</v>
      </c>
      <c r="E147" s="252">
        <v>0.03</v>
      </c>
      <c r="F147" s="253">
        <f t="shared" si="6"/>
        <v>39000</v>
      </c>
      <c r="G147" s="162" t="s">
        <v>104</v>
      </c>
    </row>
    <row r="148" spans="1:7" ht="15" hidden="1">
      <c r="A148" s="54">
        <v>13376</v>
      </c>
      <c r="B148" s="242">
        <v>0.1</v>
      </c>
      <c r="C148" s="295" t="s">
        <v>93</v>
      </c>
      <c r="D148" s="296">
        <v>1700000</v>
      </c>
      <c r="E148" s="252">
        <v>0.03</v>
      </c>
      <c r="F148" s="253">
        <f t="shared" si="6"/>
        <v>51000</v>
      </c>
      <c r="G148" s="162" t="s">
        <v>104</v>
      </c>
    </row>
    <row r="149" spans="1:7" ht="15" hidden="1">
      <c r="A149" s="54">
        <v>13259</v>
      </c>
      <c r="B149" s="242">
        <v>0.1</v>
      </c>
      <c r="C149" s="295" t="s">
        <v>99</v>
      </c>
      <c r="D149" s="296">
        <v>1450000</v>
      </c>
      <c r="E149" s="252">
        <v>0.03</v>
      </c>
      <c r="F149" s="253">
        <f t="shared" si="6"/>
        <v>43500</v>
      </c>
      <c r="G149" s="162" t="s">
        <v>104</v>
      </c>
    </row>
    <row r="150" spans="1:7" ht="15" hidden="1">
      <c r="A150" s="287">
        <v>13391</v>
      </c>
      <c r="B150" s="261">
        <v>0.1</v>
      </c>
      <c r="C150" s="263" t="s">
        <v>77</v>
      </c>
      <c r="D150" s="289">
        <v>3500000</v>
      </c>
      <c r="E150" s="252">
        <v>0.03</v>
      </c>
      <c r="F150" s="253">
        <f t="shared" si="6"/>
        <v>105000</v>
      </c>
      <c r="G150" s="162" t="s">
        <v>104</v>
      </c>
    </row>
    <row r="151" spans="1:7" ht="15" hidden="1">
      <c r="A151" s="291">
        <v>13356</v>
      </c>
      <c r="B151" s="242">
        <v>0.1</v>
      </c>
      <c r="C151" s="273" t="s">
        <v>106</v>
      </c>
      <c r="D151" s="293">
        <v>1500000</v>
      </c>
      <c r="E151" s="252">
        <v>0.03</v>
      </c>
      <c r="F151" s="253">
        <f t="shared" si="6"/>
        <v>45000</v>
      </c>
      <c r="G151" s="162" t="s">
        <v>104</v>
      </c>
    </row>
    <row r="152" spans="1:7" ht="18.75" hidden="1">
      <c r="A152" s="32"/>
      <c r="B152" s="32"/>
      <c r="C152" s="300" t="s">
        <v>614</v>
      </c>
      <c r="D152" s="297">
        <f>SUM(D123:D151)</f>
        <v>53940000</v>
      </c>
      <c r="E152" s="282" t="s">
        <v>628</v>
      </c>
      <c r="F152" s="315">
        <f>SUM(F123:F151)</f>
        <v>1533500</v>
      </c>
      <c r="G152" s="114"/>
    </row>
    <row r="153" spans="1:7" hidden="1"/>
    <row r="154" spans="1:7" hidden="1"/>
    <row r="155" spans="1:7" hidden="1"/>
    <row r="156" spans="1:7" hidden="1"/>
    <row r="157" spans="1:7" hidden="1"/>
    <row r="158" spans="1:7" hidden="1"/>
    <row r="159" spans="1:7" ht="45">
      <c r="A159" s="1070" t="s">
        <v>108</v>
      </c>
      <c r="B159" s="1070"/>
      <c r="C159" s="1070"/>
      <c r="D159" s="1070"/>
      <c r="E159" s="1070"/>
      <c r="F159" s="1070"/>
    </row>
    <row r="160" spans="1:7" ht="15" hidden="1">
      <c r="A160" s="18"/>
      <c r="B160" s="18"/>
      <c r="C160" s="18"/>
      <c r="D160" s="18"/>
      <c r="E160" s="18"/>
    </row>
    <row r="161" spans="1:7" ht="23.25" hidden="1">
      <c r="A161" s="1073" t="s">
        <v>636</v>
      </c>
      <c r="B161" s="1074"/>
      <c r="C161" s="1074"/>
      <c r="D161" s="1074"/>
      <c r="E161" s="1074"/>
      <c r="F161" s="1074"/>
    </row>
    <row r="162" spans="1:7" ht="23.25" hidden="1">
      <c r="A162" s="259" t="s">
        <v>3</v>
      </c>
      <c r="B162" s="259" t="s">
        <v>606</v>
      </c>
      <c r="C162" s="259" t="s">
        <v>5</v>
      </c>
      <c r="D162" s="260" t="s">
        <v>6</v>
      </c>
      <c r="E162" s="260" t="s">
        <v>7</v>
      </c>
      <c r="F162" s="260" t="s">
        <v>607</v>
      </c>
    </row>
    <row r="163" spans="1:7" ht="15" hidden="1">
      <c r="A163" s="127">
        <v>13578</v>
      </c>
      <c r="B163" s="186">
        <v>0.08</v>
      </c>
      <c r="C163" s="218" t="s">
        <v>116</v>
      </c>
      <c r="D163" s="192">
        <v>3500000</v>
      </c>
      <c r="E163" s="310">
        <v>0.04</v>
      </c>
      <c r="F163" s="309">
        <f>D163*E163</f>
        <v>140000</v>
      </c>
      <c r="G163" s="355"/>
    </row>
    <row r="164" spans="1:7" ht="15" hidden="1">
      <c r="A164" s="127">
        <v>13619</v>
      </c>
      <c r="B164" s="186">
        <v>0.08</v>
      </c>
      <c r="C164" s="244" t="s">
        <v>117</v>
      </c>
      <c r="D164" s="192">
        <v>2500000</v>
      </c>
      <c r="E164" s="310">
        <v>0.04</v>
      </c>
      <c r="F164" s="309">
        <f t="shared" ref="F164:F174" si="7">D164*E164</f>
        <v>100000</v>
      </c>
      <c r="G164" s="355"/>
    </row>
    <row r="165" spans="1:7" ht="15" hidden="1">
      <c r="A165" s="127">
        <v>13568</v>
      </c>
      <c r="B165" s="190">
        <v>0.1</v>
      </c>
      <c r="C165" s="244" t="s">
        <v>118</v>
      </c>
      <c r="D165" s="192">
        <v>2200000</v>
      </c>
      <c r="E165" s="310">
        <v>0.05</v>
      </c>
      <c r="F165" s="309">
        <f t="shared" si="7"/>
        <v>110000</v>
      </c>
      <c r="G165" s="355"/>
    </row>
    <row r="166" spans="1:7" ht="15" hidden="1">
      <c r="A166" s="14">
        <v>13495</v>
      </c>
      <c r="B166" s="179">
        <v>0.1</v>
      </c>
      <c r="C166" s="193" t="s">
        <v>131</v>
      </c>
      <c r="D166" s="194">
        <v>2500000</v>
      </c>
      <c r="E166" s="345">
        <v>0.05</v>
      </c>
      <c r="F166" s="309">
        <f t="shared" si="7"/>
        <v>125000</v>
      </c>
      <c r="G166" s="355"/>
    </row>
    <row r="167" spans="1:7" ht="15" hidden="1">
      <c r="A167" s="133">
        <v>13502</v>
      </c>
      <c r="B167" s="179">
        <v>0.1</v>
      </c>
      <c r="C167" s="244" t="s">
        <v>128</v>
      </c>
      <c r="D167" s="264">
        <v>1850000</v>
      </c>
      <c r="E167" s="345">
        <v>0.05</v>
      </c>
      <c r="F167" s="309">
        <f t="shared" si="7"/>
        <v>92500</v>
      </c>
      <c r="G167" s="355"/>
    </row>
    <row r="168" spans="1:7" ht="15" hidden="1">
      <c r="A168" s="133">
        <v>13515</v>
      </c>
      <c r="B168" s="179">
        <v>0.1</v>
      </c>
      <c r="C168" s="244" t="s">
        <v>134</v>
      </c>
      <c r="D168" s="264">
        <v>1800000</v>
      </c>
      <c r="E168" s="345">
        <v>0.05</v>
      </c>
      <c r="F168" s="309">
        <f t="shared" si="7"/>
        <v>90000</v>
      </c>
      <c r="G168" s="355"/>
    </row>
    <row r="169" spans="1:7" ht="15" hidden="1">
      <c r="A169" s="133">
        <v>13575</v>
      </c>
      <c r="B169" s="178">
        <v>0.08</v>
      </c>
      <c r="C169" s="244" t="s">
        <v>136</v>
      </c>
      <c r="D169" s="264">
        <v>1350000</v>
      </c>
      <c r="E169" s="310">
        <v>0.04</v>
      </c>
      <c r="F169" s="309">
        <f t="shared" si="7"/>
        <v>54000</v>
      </c>
      <c r="G169" s="355"/>
    </row>
    <row r="170" spans="1:7" ht="12.75" hidden="1" customHeight="1">
      <c r="A170" s="133">
        <v>13630</v>
      </c>
      <c r="B170" s="178">
        <v>0.08</v>
      </c>
      <c r="C170" s="244" t="s">
        <v>138</v>
      </c>
      <c r="D170" s="264">
        <v>1400000</v>
      </c>
      <c r="E170" s="310">
        <v>0.04</v>
      </c>
      <c r="F170" s="309">
        <f t="shared" si="7"/>
        <v>56000</v>
      </c>
      <c r="G170" s="355"/>
    </row>
    <row r="171" spans="1:7" ht="12.75" hidden="1" customHeight="1">
      <c r="A171" s="127">
        <v>13656</v>
      </c>
      <c r="B171" s="190">
        <v>0.1</v>
      </c>
      <c r="C171" s="218" t="s">
        <v>157</v>
      </c>
      <c r="D171" s="192">
        <v>1200000</v>
      </c>
      <c r="E171" s="345">
        <v>0.05</v>
      </c>
      <c r="F171" s="309">
        <f t="shared" si="7"/>
        <v>60000</v>
      </c>
      <c r="G171" s="355"/>
    </row>
    <row r="172" spans="1:7" ht="15" hidden="1">
      <c r="A172" s="127">
        <v>13663</v>
      </c>
      <c r="B172" s="190">
        <v>0.1</v>
      </c>
      <c r="C172" s="218" t="s">
        <v>159</v>
      </c>
      <c r="D172" s="192">
        <v>1400000</v>
      </c>
      <c r="E172" s="345">
        <v>0.05</v>
      </c>
      <c r="F172" s="309">
        <f t="shared" si="7"/>
        <v>70000</v>
      </c>
      <c r="G172" s="355"/>
    </row>
    <row r="173" spans="1:7" ht="15" hidden="1">
      <c r="A173" s="14">
        <v>13487</v>
      </c>
      <c r="B173" s="179">
        <v>0.1</v>
      </c>
      <c r="C173" s="204" t="s">
        <v>164</v>
      </c>
      <c r="D173" s="194">
        <v>1700000</v>
      </c>
      <c r="E173" s="345">
        <v>0.05</v>
      </c>
      <c r="F173" s="309">
        <f t="shared" si="7"/>
        <v>85000</v>
      </c>
      <c r="G173" s="355"/>
    </row>
    <row r="174" spans="1:7" ht="15" hidden="1">
      <c r="A174" s="363">
        <v>13662</v>
      </c>
      <c r="B174" s="181">
        <v>0.1</v>
      </c>
      <c r="C174" s="240" t="s">
        <v>171</v>
      </c>
      <c r="D174" s="364">
        <v>1730000</v>
      </c>
      <c r="E174" s="345">
        <v>0.05</v>
      </c>
      <c r="F174" s="309">
        <f t="shared" si="7"/>
        <v>86500</v>
      </c>
    </row>
    <row r="175" spans="1:7" ht="18.75" hidden="1">
      <c r="A175" s="301"/>
      <c r="B175" s="301"/>
      <c r="C175" s="300" t="s">
        <v>614</v>
      </c>
      <c r="D175" s="297">
        <f>SUM(D163:D174)</f>
        <v>23130000</v>
      </c>
      <c r="E175" s="298"/>
      <c r="F175" s="302">
        <f>SUM(F163:F174)</f>
        <v>1069000</v>
      </c>
    </row>
    <row r="176" spans="1:7" ht="15" hidden="1">
      <c r="A176" s="21"/>
      <c r="B176" s="21"/>
      <c r="C176" s="21"/>
      <c r="D176" s="22"/>
      <c r="E176" s="23"/>
    </row>
    <row r="177" spans="1:7" ht="23.25" hidden="1">
      <c r="A177" s="1067" t="s">
        <v>637</v>
      </c>
      <c r="B177" s="1067"/>
      <c r="C177" s="1067"/>
      <c r="D177" s="1067"/>
      <c r="E177" s="1067"/>
      <c r="F177" s="1067"/>
    </row>
    <row r="178" spans="1:7" ht="23.25" hidden="1">
      <c r="A178" s="259" t="s">
        <v>3</v>
      </c>
      <c r="B178" s="259" t="s">
        <v>606</v>
      </c>
      <c r="C178" s="259" t="s">
        <v>5</v>
      </c>
      <c r="D178" s="260" t="s">
        <v>6</v>
      </c>
      <c r="E178" s="260" t="s">
        <v>7</v>
      </c>
      <c r="F178" s="260" t="s">
        <v>533</v>
      </c>
    </row>
    <row r="179" spans="1:7" ht="15" hidden="1">
      <c r="A179" s="127">
        <v>13441</v>
      </c>
      <c r="B179" s="190">
        <v>0.1</v>
      </c>
      <c r="C179" s="218" t="s">
        <v>119</v>
      </c>
      <c r="D179" s="192">
        <v>1780000</v>
      </c>
      <c r="E179" s="250">
        <v>0.05</v>
      </c>
      <c r="F179" s="251">
        <f>D179*E179</f>
        <v>89000</v>
      </c>
      <c r="G179" s="355"/>
    </row>
    <row r="180" spans="1:7" ht="15" hidden="1">
      <c r="A180" s="127">
        <v>13600</v>
      </c>
      <c r="B180" s="190">
        <v>0.1</v>
      </c>
      <c r="C180" s="218" t="s">
        <v>120</v>
      </c>
      <c r="D180" s="192">
        <v>1400000</v>
      </c>
      <c r="E180" s="250">
        <v>0.05</v>
      </c>
      <c r="F180" s="251">
        <f t="shared" ref="F180:G193" si="8">D180*E180</f>
        <v>70000</v>
      </c>
      <c r="G180" s="355"/>
    </row>
    <row r="181" spans="1:7" ht="15" hidden="1">
      <c r="A181" s="127">
        <v>13636</v>
      </c>
      <c r="B181" s="186">
        <v>0.08</v>
      </c>
      <c r="C181" s="218" t="s">
        <v>121</v>
      </c>
      <c r="D181" s="192">
        <v>1300000</v>
      </c>
      <c r="E181" s="249">
        <v>0.04</v>
      </c>
      <c r="F181" s="251">
        <f t="shared" si="8"/>
        <v>52000</v>
      </c>
      <c r="G181" s="355"/>
    </row>
    <row r="182" spans="1:7" ht="15" hidden="1">
      <c r="A182" s="133">
        <v>13463</v>
      </c>
      <c r="B182" s="178">
        <v>0.08</v>
      </c>
      <c r="C182" s="193" t="s">
        <v>139</v>
      </c>
      <c r="D182" s="194">
        <v>1700000</v>
      </c>
      <c r="E182" s="249">
        <v>0.04</v>
      </c>
      <c r="F182" s="251">
        <f t="shared" si="8"/>
        <v>68000</v>
      </c>
      <c r="G182" s="355"/>
    </row>
    <row r="183" spans="1:7" ht="15" hidden="1">
      <c r="A183" s="133">
        <v>13539</v>
      </c>
      <c r="B183" s="179">
        <v>0.1</v>
      </c>
      <c r="C183" s="244" t="s">
        <v>140</v>
      </c>
      <c r="D183" s="264">
        <v>1400000</v>
      </c>
      <c r="E183" s="249">
        <v>0.02</v>
      </c>
      <c r="F183" s="251">
        <f t="shared" si="8"/>
        <v>28000</v>
      </c>
      <c r="G183" s="355"/>
    </row>
    <row r="184" spans="1:7" ht="15" hidden="1">
      <c r="A184" s="133">
        <v>13477</v>
      </c>
      <c r="B184" s="178">
        <v>0.08</v>
      </c>
      <c r="C184" s="244" t="s">
        <v>141</v>
      </c>
      <c r="D184" s="264">
        <v>1650000</v>
      </c>
      <c r="E184" s="249">
        <v>0.04</v>
      </c>
      <c r="F184" s="251">
        <f t="shared" si="8"/>
        <v>66000</v>
      </c>
      <c r="G184" s="355"/>
    </row>
    <row r="185" spans="1:7" ht="15" hidden="1">
      <c r="A185" s="133">
        <v>13593</v>
      </c>
      <c r="B185" s="179">
        <v>0.1</v>
      </c>
      <c r="C185" s="244" t="s">
        <v>142</v>
      </c>
      <c r="D185" s="264">
        <v>1500000</v>
      </c>
      <c r="E185" s="249">
        <v>0.02</v>
      </c>
      <c r="F185" s="251">
        <f t="shared" si="8"/>
        <v>30000</v>
      </c>
      <c r="G185" s="355"/>
    </row>
    <row r="186" spans="1:7" ht="15" hidden="1">
      <c r="A186" s="133">
        <v>13661</v>
      </c>
      <c r="B186" s="179">
        <v>0.1</v>
      </c>
      <c r="C186" s="244" t="s">
        <v>143</v>
      </c>
      <c r="D186" s="264">
        <v>2500000</v>
      </c>
      <c r="E186" s="250">
        <v>0.05</v>
      </c>
      <c r="F186" s="251">
        <f t="shared" si="8"/>
        <v>125000</v>
      </c>
      <c r="G186" s="355"/>
    </row>
    <row r="187" spans="1:7" ht="15" hidden="1">
      <c r="A187" s="14">
        <v>13427</v>
      </c>
      <c r="B187" s="179">
        <v>0.1</v>
      </c>
      <c r="C187" s="204" t="s">
        <v>151</v>
      </c>
      <c r="D187" s="194">
        <v>2500000</v>
      </c>
      <c r="E187" s="250">
        <v>0.05</v>
      </c>
      <c r="F187" s="251">
        <f t="shared" si="8"/>
        <v>125000</v>
      </c>
      <c r="G187" s="355"/>
    </row>
    <row r="188" spans="1:7" ht="15" hidden="1">
      <c r="A188" s="14">
        <v>13437</v>
      </c>
      <c r="B188" s="179">
        <v>0.1</v>
      </c>
      <c r="C188" s="204" t="s">
        <v>152</v>
      </c>
      <c r="D188" s="194">
        <v>1250000</v>
      </c>
      <c r="E188" s="250">
        <v>0.05</v>
      </c>
      <c r="F188" s="251">
        <f t="shared" si="8"/>
        <v>62500</v>
      </c>
      <c r="G188" s="355"/>
    </row>
    <row r="189" spans="1:7" ht="15" hidden="1">
      <c r="A189" s="14">
        <v>13432</v>
      </c>
      <c r="B189" s="179">
        <v>0.1</v>
      </c>
      <c r="C189" s="193" t="s">
        <v>154</v>
      </c>
      <c r="D189" s="194">
        <v>1200000</v>
      </c>
      <c r="E189" s="250">
        <v>0.05</v>
      </c>
      <c r="F189" s="251">
        <f t="shared" si="8"/>
        <v>60000</v>
      </c>
      <c r="G189" s="355"/>
    </row>
    <row r="190" spans="1:7" ht="15" hidden="1">
      <c r="A190" s="14">
        <v>13528</v>
      </c>
      <c r="B190" s="179">
        <v>0.1</v>
      </c>
      <c r="C190" s="193" t="s">
        <v>155</v>
      </c>
      <c r="D190" s="194">
        <v>1700000</v>
      </c>
      <c r="E190" s="250">
        <v>0.05</v>
      </c>
      <c r="F190" s="251">
        <f t="shared" si="8"/>
        <v>85000</v>
      </c>
      <c r="G190" s="355"/>
    </row>
    <row r="191" spans="1:7" ht="15" hidden="1">
      <c r="A191" s="14">
        <v>13571</v>
      </c>
      <c r="B191" s="179">
        <v>0.1</v>
      </c>
      <c r="C191" s="193" t="s">
        <v>156</v>
      </c>
      <c r="D191" s="194">
        <v>1250000</v>
      </c>
      <c r="E191" s="250">
        <v>0.05</v>
      </c>
      <c r="F191" s="251">
        <f t="shared" si="8"/>
        <v>62500</v>
      </c>
      <c r="G191" s="355"/>
    </row>
    <row r="192" spans="1:7" ht="15" hidden="1">
      <c r="A192" s="14">
        <v>13485</v>
      </c>
      <c r="B192" s="179">
        <v>0.1</v>
      </c>
      <c r="C192" s="193" t="s">
        <v>166</v>
      </c>
      <c r="D192" s="194">
        <v>1400000</v>
      </c>
      <c r="E192" s="250">
        <v>0.05</v>
      </c>
      <c r="F192" s="251">
        <f t="shared" si="8"/>
        <v>70000</v>
      </c>
      <c r="G192" s="355"/>
    </row>
    <row r="193" spans="1:7" ht="15" hidden="1">
      <c r="A193" s="14">
        <v>13488</v>
      </c>
      <c r="B193" s="179">
        <v>0.1</v>
      </c>
      <c r="C193" s="193" t="s">
        <v>167</v>
      </c>
      <c r="D193" s="194">
        <v>1700000</v>
      </c>
      <c r="E193" s="250">
        <v>0.05</v>
      </c>
      <c r="F193" s="251">
        <f t="shared" si="8"/>
        <v>85000</v>
      </c>
      <c r="G193" s="355"/>
    </row>
    <row r="194" spans="1:7" ht="18.75" hidden="1">
      <c r="A194" s="32"/>
      <c r="B194" s="32"/>
      <c r="C194" s="300" t="s">
        <v>614</v>
      </c>
      <c r="D194" s="297">
        <f>SUM(D179:D193)</f>
        <v>24230000</v>
      </c>
      <c r="E194" s="298"/>
      <c r="F194" s="299">
        <f>SUM(F179:F193)</f>
        <v>1078000</v>
      </c>
    </row>
    <row r="195" spans="1:7" ht="15" hidden="1">
      <c r="A195" s="21"/>
      <c r="B195" s="21"/>
      <c r="C195" s="21"/>
      <c r="D195" s="22"/>
      <c r="E195" s="23"/>
    </row>
    <row r="196" spans="1:7" ht="23.25" hidden="1">
      <c r="A196" s="1067" t="s">
        <v>638</v>
      </c>
      <c r="B196" s="1067"/>
      <c r="C196" s="1067"/>
      <c r="D196" s="1067"/>
      <c r="E196" s="1067"/>
      <c r="F196" s="1067"/>
    </row>
    <row r="197" spans="1:7" ht="23.25" hidden="1">
      <c r="A197" s="108" t="s">
        <v>3</v>
      </c>
      <c r="B197" s="108" t="s">
        <v>606</v>
      </c>
      <c r="C197" s="108" t="s">
        <v>5</v>
      </c>
      <c r="D197" s="109" t="s">
        <v>6</v>
      </c>
      <c r="E197" s="110" t="s">
        <v>7</v>
      </c>
      <c r="F197" s="109" t="s">
        <v>633</v>
      </c>
    </row>
    <row r="198" spans="1:7" ht="15" hidden="1">
      <c r="A198" s="171">
        <v>13414</v>
      </c>
      <c r="B198" s="190">
        <v>0.1</v>
      </c>
      <c r="C198" s="201" t="s">
        <v>109</v>
      </c>
      <c r="D198" s="316">
        <v>3000000</v>
      </c>
      <c r="E198" s="307">
        <v>0.05</v>
      </c>
      <c r="F198" s="251">
        <f>D198*E198</f>
        <v>150000</v>
      </c>
      <c r="G198" s="355"/>
    </row>
    <row r="199" spans="1:7" ht="15" hidden="1">
      <c r="A199" s="127">
        <v>13490</v>
      </c>
      <c r="B199" s="190">
        <v>0.1</v>
      </c>
      <c r="C199" s="218" t="s">
        <v>110</v>
      </c>
      <c r="D199" s="192">
        <v>1900000</v>
      </c>
      <c r="E199" s="307">
        <v>0.05</v>
      </c>
      <c r="F199" s="251">
        <f t="shared" ref="F199:F209" si="9">D199*E199</f>
        <v>95000</v>
      </c>
      <c r="G199" s="355"/>
    </row>
    <row r="200" spans="1:7" ht="15" hidden="1">
      <c r="A200" s="127">
        <v>13535</v>
      </c>
      <c r="B200" s="190">
        <v>0.1</v>
      </c>
      <c r="C200" s="218" t="s">
        <v>111</v>
      </c>
      <c r="D200" s="192">
        <v>2300000</v>
      </c>
      <c r="E200" s="307">
        <v>0.05</v>
      </c>
      <c r="F200" s="251">
        <f t="shared" si="9"/>
        <v>115000</v>
      </c>
      <c r="G200" s="355"/>
    </row>
    <row r="201" spans="1:7" ht="15" hidden="1">
      <c r="A201" s="127">
        <v>13526</v>
      </c>
      <c r="B201" s="190">
        <v>0.1</v>
      </c>
      <c r="C201" s="218" t="s">
        <v>112</v>
      </c>
      <c r="D201" s="192">
        <v>1600000</v>
      </c>
      <c r="E201" s="307">
        <v>0.05</v>
      </c>
      <c r="F201" s="251">
        <f t="shared" si="9"/>
        <v>80000</v>
      </c>
      <c r="G201" s="355"/>
    </row>
    <row r="202" spans="1:7" ht="15" hidden="1">
      <c r="A202" s="127">
        <v>13588</v>
      </c>
      <c r="B202" s="190">
        <v>0.1</v>
      </c>
      <c r="C202" s="218" t="s">
        <v>113</v>
      </c>
      <c r="D202" s="192">
        <v>1800000</v>
      </c>
      <c r="E202" s="307">
        <v>0.05</v>
      </c>
      <c r="F202" s="251">
        <f t="shared" si="9"/>
        <v>90000</v>
      </c>
      <c r="G202" s="355"/>
    </row>
    <row r="203" spans="1:7" ht="15" hidden="1">
      <c r="A203" s="127">
        <v>13657</v>
      </c>
      <c r="B203" s="190">
        <v>0.1</v>
      </c>
      <c r="C203" s="218" t="s">
        <v>114</v>
      </c>
      <c r="D203" s="192">
        <v>2100000</v>
      </c>
      <c r="E203" s="307">
        <v>0.05</v>
      </c>
      <c r="F203" s="251">
        <f t="shared" si="9"/>
        <v>105000</v>
      </c>
      <c r="G203" s="355"/>
    </row>
    <row r="204" spans="1:7" ht="15" hidden="1">
      <c r="A204" s="133">
        <v>13509</v>
      </c>
      <c r="B204" s="179">
        <v>0.1</v>
      </c>
      <c r="C204" s="244" t="s">
        <v>144</v>
      </c>
      <c r="D204" s="264">
        <v>1900000</v>
      </c>
      <c r="E204" s="307">
        <v>0.05</v>
      </c>
      <c r="F204" s="251">
        <f t="shared" si="9"/>
        <v>95000</v>
      </c>
      <c r="G204" s="355"/>
    </row>
    <row r="205" spans="1:7" ht="15" hidden="1">
      <c r="A205" s="127">
        <v>13440</v>
      </c>
      <c r="B205" s="261">
        <v>0.1</v>
      </c>
      <c r="C205" s="201" t="s">
        <v>160</v>
      </c>
      <c r="D205" s="192">
        <v>2000000</v>
      </c>
      <c r="E205" s="307">
        <v>0.05</v>
      </c>
      <c r="F205" s="251">
        <f t="shared" si="9"/>
        <v>100000</v>
      </c>
      <c r="G205" s="355"/>
    </row>
    <row r="206" spans="1:7" ht="15" hidden="1">
      <c r="A206" s="14">
        <v>13624</v>
      </c>
      <c r="B206" s="179">
        <v>0.1</v>
      </c>
      <c r="C206" s="193" t="s">
        <v>161</v>
      </c>
      <c r="D206" s="194">
        <v>4500000</v>
      </c>
      <c r="E206" s="307">
        <v>0.05</v>
      </c>
      <c r="F206" s="251">
        <f t="shared" si="9"/>
        <v>225000</v>
      </c>
      <c r="G206" s="355"/>
    </row>
    <row r="207" spans="1:7" ht="15" hidden="1">
      <c r="A207" s="14">
        <v>13623</v>
      </c>
      <c r="B207" s="179">
        <v>0.1</v>
      </c>
      <c r="C207" s="193" t="s">
        <v>168</v>
      </c>
      <c r="D207" s="194">
        <v>1850000</v>
      </c>
      <c r="E207" s="307">
        <v>0.05</v>
      </c>
      <c r="F207" s="251">
        <f t="shared" si="9"/>
        <v>92500</v>
      </c>
      <c r="G207" s="355"/>
    </row>
    <row r="208" spans="1:7" ht="15" hidden="1">
      <c r="A208" s="14">
        <v>13582</v>
      </c>
      <c r="B208" s="179">
        <v>0.1</v>
      </c>
      <c r="C208" s="193" t="s">
        <v>169</v>
      </c>
      <c r="D208" s="194">
        <v>1200000</v>
      </c>
      <c r="E208" s="307">
        <v>0.05</v>
      </c>
      <c r="F208" s="251">
        <f t="shared" si="9"/>
        <v>60000</v>
      </c>
      <c r="G208" s="355"/>
    </row>
    <row r="209" spans="1:8" ht="15" hidden="1">
      <c r="A209" s="14">
        <v>13531</v>
      </c>
      <c r="B209" s="179">
        <v>0.1</v>
      </c>
      <c r="C209" s="207" t="s">
        <v>170</v>
      </c>
      <c r="D209" s="194">
        <v>1300000</v>
      </c>
      <c r="E209" s="307">
        <v>0.05</v>
      </c>
      <c r="F209" s="251">
        <f t="shared" si="9"/>
        <v>65000</v>
      </c>
      <c r="G209" s="355"/>
    </row>
    <row r="210" spans="1:8" ht="18.75" hidden="1">
      <c r="A210" s="32"/>
      <c r="B210" s="32"/>
      <c r="C210" s="300" t="s">
        <v>614</v>
      </c>
      <c r="D210" s="297">
        <f>SUM(D198:D209)</f>
        <v>25450000</v>
      </c>
      <c r="E210" s="313"/>
      <c r="F210" s="314">
        <f>SUM(F198:F209)</f>
        <v>1272500</v>
      </c>
    </row>
    <row r="211" spans="1:8" ht="15" hidden="1">
      <c r="A211" s="18"/>
      <c r="B211" s="18"/>
      <c r="C211" s="18"/>
      <c r="D211" s="18"/>
      <c r="E211" s="18"/>
    </row>
    <row r="212" spans="1:8" ht="20.25" hidden="1">
      <c r="A212" s="1075" t="s">
        <v>639</v>
      </c>
      <c r="B212" s="1075"/>
      <c r="C212" s="1075"/>
      <c r="D212" s="1075"/>
      <c r="E212" s="1075"/>
      <c r="F212" s="1075"/>
      <c r="G212" s="1075"/>
    </row>
    <row r="213" spans="1:8" ht="20.25" hidden="1">
      <c r="A213" s="283" t="s">
        <v>3</v>
      </c>
      <c r="B213" s="283" t="s">
        <v>606</v>
      </c>
      <c r="C213" s="283" t="s">
        <v>5</v>
      </c>
      <c r="D213" s="111" t="s">
        <v>6</v>
      </c>
      <c r="E213" s="111" t="s">
        <v>7</v>
      </c>
      <c r="F213" s="111" t="s">
        <v>635</v>
      </c>
      <c r="G213" s="111" t="s">
        <v>623</v>
      </c>
    </row>
    <row r="214" spans="1:8" ht="15" hidden="1">
      <c r="A214" s="127">
        <v>13578</v>
      </c>
      <c r="B214" s="186">
        <v>0.08</v>
      </c>
      <c r="C214" s="218" t="s">
        <v>116</v>
      </c>
      <c r="D214" s="192">
        <v>3500000</v>
      </c>
      <c r="E214" s="249">
        <v>0.02</v>
      </c>
      <c r="F214" s="253">
        <f>D214*E214</f>
        <v>70000</v>
      </c>
      <c r="G214" s="373" t="s">
        <v>104</v>
      </c>
      <c r="H214" s="163"/>
    </row>
    <row r="215" spans="1:8" ht="15" hidden="1">
      <c r="A215" s="127">
        <v>13619</v>
      </c>
      <c r="B215" s="186">
        <v>0.08</v>
      </c>
      <c r="C215" s="244" t="s">
        <v>117</v>
      </c>
      <c r="D215" s="192">
        <v>2500000</v>
      </c>
      <c r="E215" s="249">
        <v>0.02</v>
      </c>
      <c r="F215" s="253">
        <f t="shared" ref="F215:F252" si="10">D215*E215</f>
        <v>50000</v>
      </c>
      <c r="G215" s="373" t="s">
        <v>104</v>
      </c>
      <c r="H215" s="163"/>
    </row>
    <row r="216" spans="1:8" ht="15" hidden="1">
      <c r="A216" s="127">
        <v>13568</v>
      </c>
      <c r="B216" s="190">
        <v>0.1</v>
      </c>
      <c r="C216" s="244" t="s">
        <v>118</v>
      </c>
      <c r="D216" s="192">
        <v>2200000</v>
      </c>
      <c r="E216" s="252">
        <v>0.03</v>
      </c>
      <c r="F216" s="253">
        <f t="shared" si="10"/>
        <v>66000</v>
      </c>
      <c r="G216" s="373" t="s">
        <v>104</v>
      </c>
      <c r="H216" s="163"/>
    </row>
    <row r="217" spans="1:8" ht="15" hidden="1">
      <c r="A217" s="14">
        <v>13495</v>
      </c>
      <c r="B217" s="179">
        <v>0.1</v>
      </c>
      <c r="C217" s="193" t="s">
        <v>131</v>
      </c>
      <c r="D217" s="194">
        <v>2500000</v>
      </c>
      <c r="E217" s="252">
        <v>0.03</v>
      </c>
      <c r="F217" s="253">
        <f t="shared" si="10"/>
        <v>75000</v>
      </c>
      <c r="G217" s="373" t="s">
        <v>104</v>
      </c>
      <c r="H217" s="163"/>
    </row>
    <row r="218" spans="1:8" ht="15" hidden="1">
      <c r="A218" s="133">
        <v>13502</v>
      </c>
      <c r="B218" s="179">
        <v>0.1</v>
      </c>
      <c r="C218" s="244" t="s">
        <v>128</v>
      </c>
      <c r="D218" s="264">
        <v>1850000</v>
      </c>
      <c r="E218" s="252">
        <v>0.03</v>
      </c>
      <c r="F218" s="253">
        <f t="shared" si="10"/>
        <v>55500</v>
      </c>
      <c r="G218" s="373" t="s">
        <v>104</v>
      </c>
      <c r="H218" s="163"/>
    </row>
    <row r="219" spans="1:8" ht="15" hidden="1">
      <c r="A219" s="133">
        <v>13515</v>
      </c>
      <c r="B219" s="179">
        <v>0.1</v>
      </c>
      <c r="C219" s="244" t="s">
        <v>134</v>
      </c>
      <c r="D219" s="264">
        <v>1800000</v>
      </c>
      <c r="E219" s="252">
        <v>0.03</v>
      </c>
      <c r="F219" s="253">
        <f t="shared" si="10"/>
        <v>54000</v>
      </c>
      <c r="G219" s="373" t="s">
        <v>104</v>
      </c>
      <c r="H219" s="163"/>
    </row>
    <row r="220" spans="1:8" ht="15" hidden="1">
      <c r="A220" s="133">
        <v>13575</v>
      </c>
      <c r="B220" s="178">
        <v>0.08</v>
      </c>
      <c r="C220" s="244" t="s">
        <v>136</v>
      </c>
      <c r="D220" s="264">
        <v>1350000</v>
      </c>
      <c r="E220" s="249">
        <v>0.02</v>
      </c>
      <c r="F220" s="253">
        <f t="shared" si="10"/>
        <v>27000</v>
      </c>
      <c r="G220" s="373" t="s">
        <v>104</v>
      </c>
      <c r="H220" s="163"/>
    </row>
    <row r="221" spans="1:8" ht="15" hidden="1">
      <c r="A221" s="133">
        <v>13630</v>
      </c>
      <c r="B221" s="178">
        <v>0.08</v>
      </c>
      <c r="C221" s="244" t="s">
        <v>138</v>
      </c>
      <c r="D221" s="264">
        <v>1400000</v>
      </c>
      <c r="E221" s="249">
        <v>0.02</v>
      </c>
      <c r="F221" s="253">
        <f t="shared" si="10"/>
        <v>28000</v>
      </c>
      <c r="G221" s="373" t="s">
        <v>104</v>
      </c>
      <c r="H221" s="163"/>
    </row>
    <row r="222" spans="1:8" ht="15" hidden="1">
      <c r="A222" s="127">
        <v>13657</v>
      </c>
      <c r="B222" s="190">
        <v>0.1</v>
      </c>
      <c r="C222" s="218" t="s">
        <v>157</v>
      </c>
      <c r="D222" s="192">
        <v>1200000</v>
      </c>
      <c r="E222" s="250">
        <v>0.03</v>
      </c>
      <c r="F222" s="253">
        <f t="shared" si="10"/>
        <v>36000</v>
      </c>
      <c r="G222" s="373" t="s">
        <v>104</v>
      </c>
      <c r="H222" s="163"/>
    </row>
    <row r="223" spans="1:8" ht="15" hidden="1">
      <c r="A223" s="127">
        <v>13663</v>
      </c>
      <c r="B223" s="190">
        <v>0.1</v>
      </c>
      <c r="C223" s="218" t="s">
        <v>159</v>
      </c>
      <c r="D223" s="192">
        <v>1400000</v>
      </c>
      <c r="E223" s="252">
        <v>0.03</v>
      </c>
      <c r="F223" s="253">
        <f t="shared" si="10"/>
        <v>42000</v>
      </c>
      <c r="G223" s="373" t="s">
        <v>104</v>
      </c>
      <c r="H223" s="163"/>
    </row>
    <row r="224" spans="1:8" ht="15" hidden="1">
      <c r="A224" s="14">
        <v>13487</v>
      </c>
      <c r="B224" s="179">
        <v>0.1</v>
      </c>
      <c r="C224" s="204" t="s">
        <v>164</v>
      </c>
      <c r="D224" s="194">
        <v>1700000</v>
      </c>
      <c r="E224" s="252">
        <v>0.03</v>
      </c>
      <c r="F224" s="253">
        <f t="shared" si="10"/>
        <v>51000</v>
      </c>
      <c r="G224" s="373" t="s">
        <v>104</v>
      </c>
      <c r="H224" s="163"/>
    </row>
    <row r="225" spans="1:7" ht="15" hidden="1">
      <c r="A225" s="363">
        <v>13662</v>
      </c>
      <c r="B225" s="181">
        <v>0.1</v>
      </c>
      <c r="C225" s="240" t="s">
        <v>171</v>
      </c>
      <c r="D225" s="364">
        <v>1730000</v>
      </c>
      <c r="E225" s="252">
        <v>0.03</v>
      </c>
      <c r="F225" s="253">
        <f t="shared" si="10"/>
        <v>51900</v>
      </c>
      <c r="G225" s="373" t="s">
        <v>104</v>
      </c>
    </row>
    <row r="226" spans="1:7" ht="15" hidden="1">
      <c r="A226" s="127">
        <v>13441</v>
      </c>
      <c r="B226" s="190">
        <v>0.1</v>
      </c>
      <c r="C226" s="218" t="s">
        <v>119</v>
      </c>
      <c r="D226" s="192">
        <v>1780000</v>
      </c>
      <c r="E226" s="252">
        <v>0.03</v>
      </c>
      <c r="F226" s="253">
        <f t="shared" si="10"/>
        <v>53400</v>
      </c>
      <c r="G226" s="373" t="s">
        <v>104</v>
      </c>
    </row>
    <row r="227" spans="1:7" ht="15" hidden="1">
      <c r="A227" s="127">
        <v>13600</v>
      </c>
      <c r="B227" s="190">
        <v>0.1</v>
      </c>
      <c r="C227" s="218" t="s">
        <v>120</v>
      </c>
      <c r="D227" s="192">
        <v>1400000</v>
      </c>
      <c r="E227" s="252">
        <v>0.03</v>
      </c>
      <c r="F227" s="253">
        <f t="shared" si="10"/>
        <v>42000</v>
      </c>
      <c r="G227" s="373" t="s">
        <v>104</v>
      </c>
    </row>
    <row r="228" spans="1:7" ht="15" hidden="1">
      <c r="A228" s="127">
        <v>13657</v>
      </c>
      <c r="B228" s="186">
        <v>0.08</v>
      </c>
      <c r="C228" s="218" t="s">
        <v>121</v>
      </c>
      <c r="D228" s="192">
        <v>1300000</v>
      </c>
      <c r="E228" s="249">
        <v>0.02</v>
      </c>
      <c r="F228" s="253">
        <f t="shared" si="10"/>
        <v>26000</v>
      </c>
      <c r="G228" s="373" t="s">
        <v>104</v>
      </c>
    </row>
    <row r="229" spans="1:7" ht="15" hidden="1">
      <c r="A229" s="133">
        <v>13463</v>
      </c>
      <c r="B229" s="178">
        <v>0.08</v>
      </c>
      <c r="C229" s="193" t="s">
        <v>139</v>
      </c>
      <c r="D229" s="194">
        <v>1700000</v>
      </c>
      <c r="E229" s="249">
        <v>0.02</v>
      </c>
      <c r="F229" s="253">
        <f t="shared" si="10"/>
        <v>34000</v>
      </c>
      <c r="G229" s="373" t="s">
        <v>104</v>
      </c>
    </row>
    <row r="230" spans="1:7" ht="15" hidden="1">
      <c r="A230" s="133">
        <v>13539</v>
      </c>
      <c r="B230" s="179">
        <v>0.1</v>
      </c>
      <c r="C230" s="244" t="s">
        <v>140</v>
      </c>
      <c r="D230" s="264">
        <v>1400000</v>
      </c>
      <c r="E230" s="252">
        <v>0.03</v>
      </c>
      <c r="F230" s="253">
        <f t="shared" si="10"/>
        <v>42000</v>
      </c>
      <c r="G230" s="373" t="s">
        <v>104</v>
      </c>
    </row>
    <row r="231" spans="1:7" ht="15" hidden="1">
      <c r="A231" s="133">
        <v>13477</v>
      </c>
      <c r="B231" s="178">
        <v>0.08</v>
      </c>
      <c r="C231" s="244" t="s">
        <v>141</v>
      </c>
      <c r="D231" s="264">
        <v>1650000</v>
      </c>
      <c r="E231" s="249">
        <v>0.02</v>
      </c>
      <c r="F231" s="253">
        <f t="shared" si="10"/>
        <v>33000</v>
      </c>
      <c r="G231" s="373" t="s">
        <v>104</v>
      </c>
    </row>
    <row r="232" spans="1:7" ht="15" hidden="1">
      <c r="A232" s="133">
        <v>13593</v>
      </c>
      <c r="B232" s="179">
        <v>0.1</v>
      </c>
      <c r="C232" s="244" t="s">
        <v>142</v>
      </c>
      <c r="D232" s="264">
        <v>1500000</v>
      </c>
      <c r="E232" s="252">
        <v>0.03</v>
      </c>
      <c r="F232" s="253">
        <f t="shared" si="10"/>
        <v>45000</v>
      </c>
      <c r="G232" s="373" t="s">
        <v>104</v>
      </c>
    </row>
    <row r="233" spans="1:7" ht="15" hidden="1">
      <c r="A233" s="133">
        <v>13661</v>
      </c>
      <c r="B233" s="179">
        <v>0.1</v>
      </c>
      <c r="C233" s="244" t="s">
        <v>143</v>
      </c>
      <c r="D233" s="264">
        <v>2500000</v>
      </c>
      <c r="E233" s="252">
        <v>0.03</v>
      </c>
      <c r="F233" s="253">
        <f t="shared" si="10"/>
        <v>75000</v>
      </c>
      <c r="G233" s="373" t="s">
        <v>104</v>
      </c>
    </row>
    <row r="234" spans="1:7" ht="15" hidden="1">
      <c r="A234" s="14">
        <v>13427</v>
      </c>
      <c r="B234" s="179">
        <v>0.1</v>
      </c>
      <c r="C234" s="204" t="s">
        <v>151</v>
      </c>
      <c r="D234" s="194">
        <v>2500000</v>
      </c>
      <c r="E234" s="252">
        <v>0.03</v>
      </c>
      <c r="F234" s="253">
        <f t="shared" si="10"/>
        <v>75000</v>
      </c>
      <c r="G234" s="373" t="s">
        <v>104</v>
      </c>
    </row>
    <row r="235" spans="1:7" ht="15" hidden="1">
      <c r="A235" s="14">
        <v>13437</v>
      </c>
      <c r="B235" s="179">
        <v>0.1</v>
      </c>
      <c r="C235" s="204" t="s">
        <v>152</v>
      </c>
      <c r="D235" s="194">
        <v>1250000</v>
      </c>
      <c r="E235" s="252">
        <v>0.03</v>
      </c>
      <c r="F235" s="253">
        <f t="shared" si="10"/>
        <v>37500</v>
      </c>
      <c r="G235" s="373" t="s">
        <v>104</v>
      </c>
    </row>
    <row r="236" spans="1:7" ht="15" hidden="1">
      <c r="A236" s="14">
        <v>13432</v>
      </c>
      <c r="B236" s="179">
        <v>0.1</v>
      </c>
      <c r="C236" s="193" t="s">
        <v>154</v>
      </c>
      <c r="D236" s="194">
        <v>1200000</v>
      </c>
      <c r="E236" s="252">
        <v>0.03</v>
      </c>
      <c r="F236" s="253">
        <f t="shared" si="10"/>
        <v>36000</v>
      </c>
      <c r="G236" s="373" t="s">
        <v>104</v>
      </c>
    </row>
    <row r="237" spans="1:7" ht="15" hidden="1">
      <c r="A237" s="14">
        <v>13528</v>
      </c>
      <c r="B237" s="179">
        <v>0.1</v>
      </c>
      <c r="C237" s="193" t="s">
        <v>155</v>
      </c>
      <c r="D237" s="194">
        <v>1700000</v>
      </c>
      <c r="E237" s="252">
        <v>0.03</v>
      </c>
      <c r="F237" s="253">
        <f t="shared" si="10"/>
        <v>51000</v>
      </c>
      <c r="G237" s="373" t="s">
        <v>104</v>
      </c>
    </row>
    <row r="238" spans="1:7" ht="15" hidden="1">
      <c r="A238" s="14">
        <v>13571</v>
      </c>
      <c r="B238" s="179">
        <v>0.1</v>
      </c>
      <c r="C238" s="193" t="s">
        <v>156</v>
      </c>
      <c r="D238" s="194">
        <v>1250000</v>
      </c>
      <c r="E238" s="252">
        <v>0.03</v>
      </c>
      <c r="F238" s="253">
        <f t="shared" si="10"/>
        <v>37500</v>
      </c>
      <c r="G238" s="373" t="s">
        <v>104</v>
      </c>
    </row>
    <row r="239" spans="1:7" ht="15" hidden="1">
      <c r="A239" s="14">
        <v>13485</v>
      </c>
      <c r="B239" s="179">
        <v>0.1</v>
      </c>
      <c r="C239" s="193" t="s">
        <v>166</v>
      </c>
      <c r="D239" s="194">
        <v>1400000</v>
      </c>
      <c r="E239" s="252">
        <v>0.03</v>
      </c>
      <c r="F239" s="253">
        <f t="shared" si="10"/>
        <v>42000</v>
      </c>
      <c r="G239" s="373" t="s">
        <v>104</v>
      </c>
    </row>
    <row r="240" spans="1:7" ht="15" hidden="1">
      <c r="A240" s="14">
        <v>13488</v>
      </c>
      <c r="B240" s="179">
        <v>0.1</v>
      </c>
      <c r="C240" s="193" t="s">
        <v>167</v>
      </c>
      <c r="D240" s="194">
        <v>1700000</v>
      </c>
      <c r="E240" s="252">
        <v>0.03</v>
      </c>
      <c r="F240" s="253">
        <f t="shared" si="10"/>
        <v>51000</v>
      </c>
      <c r="G240" s="373" t="s">
        <v>104</v>
      </c>
    </row>
    <row r="241" spans="1:7" ht="15" hidden="1">
      <c r="A241" s="171">
        <v>13414</v>
      </c>
      <c r="B241" s="190">
        <v>0.1</v>
      </c>
      <c r="C241" s="201" t="s">
        <v>109</v>
      </c>
      <c r="D241" s="316">
        <v>3000000</v>
      </c>
      <c r="E241" s="252">
        <v>0.03</v>
      </c>
      <c r="F241" s="253">
        <f t="shared" si="10"/>
        <v>90000</v>
      </c>
      <c r="G241" s="373" t="s">
        <v>104</v>
      </c>
    </row>
    <row r="242" spans="1:7" ht="15" hidden="1">
      <c r="A242" s="127">
        <v>13490</v>
      </c>
      <c r="B242" s="190">
        <v>0.1</v>
      </c>
      <c r="C242" s="218" t="s">
        <v>110</v>
      </c>
      <c r="D242" s="192">
        <v>1900000</v>
      </c>
      <c r="E242" s="252">
        <v>0.03</v>
      </c>
      <c r="F242" s="253">
        <f t="shared" si="10"/>
        <v>57000</v>
      </c>
      <c r="G242" s="373" t="s">
        <v>104</v>
      </c>
    </row>
    <row r="243" spans="1:7" ht="15" hidden="1">
      <c r="A243" s="127">
        <v>13535</v>
      </c>
      <c r="B243" s="190">
        <v>0.1</v>
      </c>
      <c r="C243" s="218" t="s">
        <v>111</v>
      </c>
      <c r="D243" s="192">
        <v>2300000</v>
      </c>
      <c r="E243" s="252">
        <v>0.03</v>
      </c>
      <c r="F243" s="253">
        <f t="shared" si="10"/>
        <v>69000</v>
      </c>
      <c r="G243" s="373" t="s">
        <v>104</v>
      </c>
    </row>
    <row r="244" spans="1:7" ht="15" hidden="1">
      <c r="A244" s="127">
        <v>13526</v>
      </c>
      <c r="B244" s="190">
        <v>0.1</v>
      </c>
      <c r="C244" s="218" t="s">
        <v>112</v>
      </c>
      <c r="D244" s="192">
        <v>1600000</v>
      </c>
      <c r="E244" s="252">
        <v>0.03</v>
      </c>
      <c r="F244" s="253">
        <f t="shared" si="10"/>
        <v>48000</v>
      </c>
      <c r="G244" s="373" t="s">
        <v>104</v>
      </c>
    </row>
    <row r="245" spans="1:7" ht="15" hidden="1">
      <c r="A245" s="127">
        <v>13588</v>
      </c>
      <c r="B245" s="190">
        <v>0.1</v>
      </c>
      <c r="C245" s="218" t="s">
        <v>113</v>
      </c>
      <c r="D245" s="192">
        <v>1800000</v>
      </c>
      <c r="E245" s="252">
        <v>0.03</v>
      </c>
      <c r="F245" s="253">
        <f t="shared" si="10"/>
        <v>54000</v>
      </c>
      <c r="G245" s="373" t="s">
        <v>104</v>
      </c>
    </row>
    <row r="246" spans="1:7" ht="15" hidden="1">
      <c r="A246" s="127">
        <v>13657</v>
      </c>
      <c r="B246" s="190">
        <v>0.1</v>
      </c>
      <c r="C246" s="218" t="s">
        <v>114</v>
      </c>
      <c r="D246" s="192">
        <v>2100000</v>
      </c>
      <c r="E246" s="252">
        <v>0.03</v>
      </c>
      <c r="F246" s="253">
        <f t="shared" si="10"/>
        <v>63000</v>
      </c>
      <c r="G246" s="373" t="s">
        <v>104</v>
      </c>
    </row>
    <row r="247" spans="1:7" ht="15" hidden="1">
      <c r="A247" s="133">
        <v>13509</v>
      </c>
      <c r="B247" s="179">
        <v>0.1</v>
      </c>
      <c r="C247" s="244" t="s">
        <v>144</v>
      </c>
      <c r="D247" s="264">
        <v>1900000</v>
      </c>
      <c r="E247" s="252">
        <v>0.03</v>
      </c>
      <c r="F247" s="253">
        <f t="shared" si="10"/>
        <v>57000</v>
      </c>
      <c r="G247" s="373" t="s">
        <v>104</v>
      </c>
    </row>
    <row r="248" spans="1:7" ht="15" hidden="1">
      <c r="A248" s="127">
        <v>13440</v>
      </c>
      <c r="B248" s="261">
        <v>0.1</v>
      </c>
      <c r="C248" s="201" t="s">
        <v>160</v>
      </c>
      <c r="D248" s="192">
        <v>2000000</v>
      </c>
      <c r="E248" s="252">
        <v>0.03</v>
      </c>
      <c r="F248" s="253">
        <f t="shared" si="10"/>
        <v>60000</v>
      </c>
      <c r="G248" s="373" t="s">
        <v>104</v>
      </c>
    </row>
    <row r="249" spans="1:7" ht="15" hidden="1">
      <c r="A249" s="14">
        <v>13624</v>
      </c>
      <c r="B249" s="179">
        <v>0.1</v>
      </c>
      <c r="C249" s="193" t="s">
        <v>161</v>
      </c>
      <c r="D249" s="194">
        <v>4500000</v>
      </c>
      <c r="E249" s="252">
        <v>0.03</v>
      </c>
      <c r="F249" s="253">
        <f t="shared" si="10"/>
        <v>135000</v>
      </c>
      <c r="G249" s="373" t="s">
        <v>104</v>
      </c>
    </row>
    <row r="250" spans="1:7" ht="15" hidden="1">
      <c r="A250" s="14">
        <v>13623</v>
      </c>
      <c r="B250" s="179">
        <v>0.1</v>
      </c>
      <c r="C250" s="193" t="s">
        <v>168</v>
      </c>
      <c r="D250" s="194">
        <v>1850000</v>
      </c>
      <c r="E250" s="252">
        <v>0.03</v>
      </c>
      <c r="F250" s="253">
        <f t="shared" si="10"/>
        <v>55500</v>
      </c>
      <c r="G250" s="373" t="s">
        <v>104</v>
      </c>
    </row>
    <row r="251" spans="1:7" ht="15" hidden="1">
      <c r="A251" s="14">
        <v>13582</v>
      </c>
      <c r="B251" s="179">
        <v>0.1</v>
      </c>
      <c r="C251" s="193" t="s">
        <v>169</v>
      </c>
      <c r="D251" s="194">
        <v>1200000</v>
      </c>
      <c r="E251" s="252">
        <v>0.03</v>
      </c>
      <c r="F251" s="253">
        <f t="shared" si="10"/>
        <v>36000</v>
      </c>
      <c r="G251" s="373" t="s">
        <v>104</v>
      </c>
    </row>
    <row r="252" spans="1:7" ht="15" hidden="1">
      <c r="A252" s="14">
        <v>13531</v>
      </c>
      <c r="B252" s="179">
        <v>0.1</v>
      </c>
      <c r="C252" s="207" t="s">
        <v>170</v>
      </c>
      <c r="D252" s="194">
        <v>1300000</v>
      </c>
      <c r="E252" s="252">
        <v>0.03</v>
      </c>
      <c r="F252" s="253">
        <f t="shared" si="10"/>
        <v>39000</v>
      </c>
      <c r="G252" s="373" t="s">
        <v>104</v>
      </c>
    </row>
    <row r="253" spans="1:7" ht="18.75" hidden="1">
      <c r="A253" s="32"/>
      <c r="B253" s="32"/>
      <c r="C253" s="300" t="s">
        <v>614</v>
      </c>
      <c r="D253" s="297">
        <f>SUM(D214:D252)</f>
        <v>72810000</v>
      </c>
      <c r="E253" s="282" t="s">
        <v>628</v>
      </c>
      <c r="F253" s="315">
        <f>SUM(F214:F252)</f>
        <v>2050300</v>
      </c>
      <c r="G253" s="374"/>
    </row>
    <row r="254" spans="1:7" hidden="1"/>
    <row r="255" spans="1:7" hidden="1"/>
    <row r="256" spans="1:7" hidden="1"/>
    <row r="257" spans="1:7" hidden="1"/>
    <row r="258" spans="1:7" ht="45">
      <c r="A258" s="1070" t="s">
        <v>172</v>
      </c>
      <c r="B258" s="1070"/>
      <c r="C258" s="1070"/>
      <c r="D258" s="1070"/>
      <c r="E258" s="1070"/>
      <c r="F258" s="1070"/>
    </row>
    <row r="259" spans="1:7" ht="15" hidden="1">
      <c r="A259" s="18"/>
      <c r="B259" s="18"/>
      <c r="C259" s="18"/>
      <c r="D259" s="18"/>
      <c r="E259" s="18"/>
    </row>
    <row r="260" spans="1:7" ht="23.25" hidden="1">
      <c r="A260" s="1073" t="s">
        <v>640</v>
      </c>
      <c r="B260" s="1074"/>
      <c r="C260" s="1074"/>
      <c r="D260" s="1074"/>
      <c r="E260" s="1074"/>
      <c r="F260" s="1074"/>
    </row>
    <row r="261" spans="1:7" ht="23.25" hidden="1">
      <c r="A261" s="259" t="s">
        <v>3</v>
      </c>
      <c r="B261" s="259" t="s">
        <v>606</v>
      </c>
      <c r="C261" s="259" t="s">
        <v>5</v>
      </c>
      <c r="D261" s="260" t="s">
        <v>6</v>
      </c>
      <c r="E261" s="260" t="s">
        <v>7</v>
      </c>
      <c r="F261" s="260" t="s">
        <v>607</v>
      </c>
    </row>
    <row r="262" spans="1:7" ht="15" hidden="1">
      <c r="A262" s="127">
        <v>13691</v>
      </c>
      <c r="B262" s="186">
        <v>0.08</v>
      </c>
      <c r="C262" s="218" t="s">
        <v>181</v>
      </c>
      <c r="D262" s="192">
        <v>2850000</v>
      </c>
      <c r="E262" s="310">
        <v>0.04</v>
      </c>
      <c r="F262" s="309">
        <f>D262*E262</f>
        <v>114000</v>
      </c>
      <c r="G262" s="355"/>
    </row>
    <row r="263" spans="1:7" ht="15" hidden="1">
      <c r="A263" s="127">
        <v>13770</v>
      </c>
      <c r="B263" s="190">
        <v>0.1</v>
      </c>
      <c r="C263" s="218" t="s">
        <v>182</v>
      </c>
      <c r="D263" s="192">
        <v>1900000</v>
      </c>
      <c r="E263" s="345">
        <v>0.05</v>
      </c>
      <c r="F263" s="309">
        <f>D263*E263</f>
        <v>95000</v>
      </c>
      <c r="G263" s="355"/>
    </row>
    <row r="264" spans="1:7" ht="15" hidden="1">
      <c r="A264" s="127">
        <v>13823</v>
      </c>
      <c r="B264" s="190">
        <v>0.1</v>
      </c>
      <c r="C264" s="244" t="s">
        <v>641</v>
      </c>
      <c r="D264" s="192">
        <v>1100000</v>
      </c>
      <c r="E264" s="345">
        <v>0.05</v>
      </c>
      <c r="F264" s="309">
        <f>D264*E264</f>
        <v>55000</v>
      </c>
      <c r="G264" s="355"/>
    </row>
    <row r="265" spans="1:7" ht="15" hidden="1">
      <c r="A265" s="127">
        <v>13816</v>
      </c>
      <c r="B265" s="190">
        <v>0.1</v>
      </c>
      <c r="C265" s="244" t="s">
        <v>185</v>
      </c>
      <c r="D265" s="192">
        <v>2050000</v>
      </c>
      <c r="E265" s="345">
        <v>0.05</v>
      </c>
      <c r="F265" s="309">
        <f>D265*E265</f>
        <v>102500</v>
      </c>
      <c r="G265" s="355"/>
    </row>
    <row r="266" spans="1:7" ht="15" hidden="1">
      <c r="A266" s="127">
        <v>13854</v>
      </c>
      <c r="B266" s="179">
        <v>0.1</v>
      </c>
      <c r="C266" s="193" t="s">
        <v>186</v>
      </c>
      <c r="D266" s="194">
        <v>3500000</v>
      </c>
      <c r="E266" s="345">
        <v>0.05</v>
      </c>
      <c r="F266" s="309">
        <f>D266*E266</f>
        <v>175000</v>
      </c>
      <c r="G266" s="355"/>
    </row>
    <row r="267" spans="1:7" ht="15" hidden="1">
      <c r="A267" s="133">
        <v>13711</v>
      </c>
      <c r="B267" s="179">
        <v>0.1</v>
      </c>
      <c r="C267" s="244" t="s">
        <v>208</v>
      </c>
      <c r="D267" s="264">
        <v>2300000</v>
      </c>
      <c r="E267" s="345">
        <v>0.05</v>
      </c>
      <c r="F267" s="309">
        <f>D267*E267</f>
        <v>115000</v>
      </c>
      <c r="G267" s="355"/>
    </row>
    <row r="268" spans="1:7" ht="15" hidden="1">
      <c r="A268" s="133">
        <v>13871</v>
      </c>
      <c r="B268" s="178">
        <v>0.08</v>
      </c>
      <c r="C268" s="244" t="s">
        <v>209</v>
      </c>
      <c r="D268" s="264">
        <v>1230000</v>
      </c>
      <c r="E268" s="310">
        <v>0.04</v>
      </c>
      <c r="F268" s="309">
        <f>D268*E268</f>
        <v>49200</v>
      </c>
      <c r="G268" s="355"/>
    </row>
    <row r="269" spans="1:7" ht="12.75" hidden="1" customHeight="1">
      <c r="A269" s="133">
        <v>13841</v>
      </c>
      <c r="B269" s="179">
        <v>0.1</v>
      </c>
      <c r="C269" s="244" t="s">
        <v>211</v>
      </c>
      <c r="D269" s="264">
        <v>1650000</v>
      </c>
      <c r="E269" s="345">
        <v>0.05</v>
      </c>
      <c r="F269" s="309">
        <f>D269*E269</f>
        <v>82500</v>
      </c>
      <c r="G269" s="355"/>
    </row>
    <row r="270" spans="1:7" ht="15" hidden="1">
      <c r="A270" s="14">
        <v>13747</v>
      </c>
      <c r="B270" s="179">
        <v>0.1</v>
      </c>
      <c r="C270" s="193" t="s">
        <v>225</v>
      </c>
      <c r="D270" s="194">
        <v>1600000</v>
      </c>
      <c r="E270" s="345">
        <v>0.05</v>
      </c>
      <c r="F270" s="309">
        <f>D270*E270</f>
        <v>80000</v>
      </c>
      <c r="G270" s="355"/>
    </row>
    <row r="271" spans="1:7" ht="15" hidden="1">
      <c r="A271" s="14">
        <v>13764</v>
      </c>
      <c r="B271" s="179">
        <v>0.1</v>
      </c>
      <c r="C271" s="193" t="s">
        <v>226</v>
      </c>
      <c r="D271" s="194">
        <v>2700000</v>
      </c>
      <c r="E271" s="345">
        <v>0.05</v>
      </c>
      <c r="F271" s="309">
        <f>D271*E271</f>
        <v>135000</v>
      </c>
      <c r="G271" s="355"/>
    </row>
    <row r="272" spans="1:7" ht="15" hidden="1">
      <c r="A272" s="14">
        <v>13771</v>
      </c>
      <c r="B272" s="179">
        <v>0.1</v>
      </c>
      <c r="C272" s="193" t="s">
        <v>227</v>
      </c>
      <c r="D272" s="194">
        <v>1150000</v>
      </c>
      <c r="E272" s="345">
        <v>0.05</v>
      </c>
      <c r="F272" s="309">
        <f>D272*E272</f>
        <v>57500</v>
      </c>
      <c r="G272" s="355"/>
    </row>
    <row r="273" spans="1:7" ht="15" hidden="1">
      <c r="A273" s="14">
        <v>13681</v>
      </c>
      <c r="B273" s="179">
        <v>0.1</v>
      </c>
      <c r="C273" s="193" t="s">
        <v>237</v>
      </c>
      <c r="D273" s="194">
        <v>1100000</v>
      </c>
      <c r="E273" s="345">
        <v>0.05</v>
      </c>
      <c r="F273" s="309">
        <f>D273*E273</f>
        <v>55000</v>
      </c>
      <c r="G273" s="355"/>
    </row>
    <row r="274" spans="1:7" ht="15" hidden="1">
      <c r="A274" s="14">
        <v>13698</v>
      </c>
      <c r="B274" s="179">
        <v>0.1</v>
      </c>
      <c r="C274" s="193" t="s">
        <v>240</v>
      </c>
      <c r="D274" s="194">
        <v>1200000</v>
      </c>
      <c r="E274" s="345">
        <v>0.05</v>
      </c>
      <c r="F274" s="309">
        <f>D274*E274</f>
        <v>60000</v>
      </c>
      <c r="G274" s="355"/>
    </row>
    <row r="275" spans="1:7" ht="18.75" hidden="1">
      <c r="A275" s="301"/>
      <c r="B275" s="301"/>
      <c r="C275" s="300" t="s">
        <v>614</v>
      </c>
      <c r="D275" s="297">
        <f>SUM(D262:D274)</f>
        <v>24330000</v>
      </c>
      <c r="E275" s="298"/>
      <c r="F275" s="302">
        <f>SUM(F262:F274)</f>
        <v>1175700</v>
      </c>
    </row>
    <row r="276" spans="1:7" ht="15" hidden="1">
      <c r="A276" s="21"/>
      <c r="B276" s="21"/>
      <c r="C276" s="21"/>
      <c r="D276" s="22"/>
      <c r="E276" s="23"/>
    </row>
    <row r="277" spans="1:7" ht="23.25" hidden="1">
      <c r="A277" s="1067" t="s">
        <v>642</v>
      </c>
      <c r="B277" s="1067"/>
      <c r="C277" s="1067"/>
      <c r="D277" s="1067"/>
      <c r="E277" s="1067"/>
      <c r="F277" s="1067"/>
    </row>
    <row r="278" spans="1:7" ht="23.25" hidden="1">
      <c r="A278" s="259" t="s">
        <v>3</v>
      </c>
      <c r="B278" s="259" t="s">
        <v>606</v>
      </c>
      <c r="C278" s="259" t="s">
        <v>5</v>
      </c>
      <c r="D278" s="260" t="s">
        <v>6</v>
      </c>
      <c r="E278" s="260" t="s">
        <v>7</v>
      </c>
      <c r="F278" s="260" t="s">
        <v>533</v>
      </c>
    </row>
    <row r="279" spans="1:7" ht="15" hidden="1">
      <c r="A279" s="127">
        <v>13670</v>
      </c>
      <c r="B279" s="186">
        <v>0.08</v>
      </c>
      <c r="C279" s="218" t="s">
        <v>173</v>
      </c>
      <c r="D279" s="192">
        <v>1950000</v>
      </c>
      <c r="E279" s="249">
        <v>0.04</v>
      </c>
      <c r="F279" s="251">
        <f>D279*E279</f>
        <v>78000</v>
      </c>
      <c r="G279" s="355"/>
    </row>
    <row r="280" spans="1:7" ht="15" hidden="1">
      <c r="A280" s="127">
        <v>13778</v>
      </c>
      <c r="B280" s="190">
        <v>0.1</v>
      </c>
      <c r="C280" s="218" t="s">
        <v>176</v>
      </c>
      <c r="D280" s="192">
        <v>2000000</v>
      </c>
      <c r="E280" s="250">
        <v>0.05</v>
      </c>
      <c r="F280" s="251">
        <f>D280*E280</f>
        <v>100000</v>
      </c>
      <c r="G280" s="355"/>
    </row>
    <row r="281" spans="1:7" ht="15" hidden="1">
      <c r="A281" s="127">
        <v>13844</v>
      </c>
      <c r="B281" s="190">
        <v>0.1</v>
      </c>
      <c r="C281" s="244" t="s">
        <v>179</v>
      </c>
      <c r="D281" s="192">
        <v>1800000</v>
      </c>
      <c r="E281" s="250">
        <v>0.05</v>
      </c>
      <c r="F281" s="251">
        <f>D281*E281</f>
        <v>90000</v>
      </c>
      <c r="G281" s="355"/>
    </row>
    <row r="282" spans="1:7" ht="15" hidden="1">
      <c r="A282" s="14">
        <v>13859</v>
      </c>
      <c r="B282" s="186">
        <v>0.08</v>
      </c>
      <c r="C282" s="244" t="s">
        <v>213</v>
      </c>
      <c r="D282" s="192">
        <v>2150000</v>
      </c>
      <c r="E282" s="249">
        <v>0.04</v>
      </c>
      <c r="F282" s="251">
        <f>D282*E282</f>
        <v>86000</v>
      </c>
      <c r="G282" s="355"/>
    </row>
    <row r="283" spans="1:7" ht="15" hidden="1">
      <c r="A283" s="14">
        <v>13722</v>
      </c>
      <c r="B283" s="179">
        <v>0.1</v>
      </c>
      <c r="C283" s="193" t="s">
        <v>201</v>
      </c>
      <c r="D283" s="194">
        <v>1650000</v>
      </c>
      <c r="E283" s="250">
        <v>0.05</v>
      </c>
      <c r="F283" s="251">
        <f>D283*E283</f>
        <v>82500</v>
      </c>
      <c r="G283" s="355"/>
    </row>
    <row r="284" spans="1:7" ht="15" hidden="1">
      <c r="A284" s="133">
        <v>13727</v>
      </c>
      <c r="B284" s="179">
        <v>0.1</v>
      </c>
      <c r="C284" s="193" t="s">
        <v>202</v>
      </c>
      <c r="D284" s="194">
        <v>1800000</v>
      </c>
      <c r="E284" s="250">
        <v>0.05</v>
      </c>
      <c r="F284" s="251">
        <f>D284*E284</f>
        <v>90000</v>
      </c>
      <c r="G284" s="355"/>
    </row>
    <row r="285" spans="1:7" ht="15" hidden="1">
      <c r="A285" s="133">
        <v>13797</v>
      </c>
      <c r="B285" s="179">
        <v>0.1</v>
      </c>
      <c r="C285" s="244" t="s">
        <v>203</v>
      </c>
      <c r="D285" s="264">
        <v>1900000</v>
      </c>
      <c r="E285" s="250">
        <v>0.05</v>
      </c>
      <c r="F285" s="251">
        <f>D285*E285</f>
        <v>95000</v>
      </c>
      <c r="G285" s="355"/>
    </row>
    <row r="286" spans="1:7" ht="15" hidden="1">
      <c r="A286" s="14">
        <v>13715</v>
      </c>
      <c r="B286" s="179">
        <v>0.1</v>
      </c>
      <c r="C286" s="193" t="s">
        <v>216</v>
      </c>
      <c r="D286" s="194">
        <v>2400000</v>
      </c>
      <c r="E286" s="250">
        <v>0.05</v>
      </c>
      <c r="F286" s="251">
        <f>D286*E286</f>
        <v>120000</v>
      </c>
      <c r="G286" s="355"/>
    </row>
    <row r="287" spans="1:7" ht="15" hidden="1">
      <c r="A287" s="14">
        <v>13692</v>
      </c>
      <c r="B287" s="179">
        <v>0.1</v>
      </c>
      <c r="C287" s="193" t="s">
        <v>217</v>
      </c>
      <c r="D287" s="194">
        <v>1800000</v>
      </c>
      <c r="E287" s="250">
        <v>0.05</v>
      </c>
      <c r="F287" s="251">
        <f>D287*E287</f>
        <v>90000</v>
      </c>
      <c r="G287" s="355"/>
    </row>
    <row r="288" spans="1:7" ht="15" hidden="1">
      <c r="A288" s="14">
        <v>13705</v>
      </c>
      <c r="B288" s="179">
        <v>0.1</v>
      </c>
      <c r="C288" s="193" t="s">
        <v>218</v>
      </c>
      <c r="D288" s="194">
        <v>1600000</v>
      </c>
      <c r="E288" s="250">
        <v>0.05</v>
      </c>
      <c r="F288" s="251">
        <f>D288*E288</f>
        <v>80000</v>
      </c>
      <c r="G288" s="355"/>
    </row>
    <row r="289" spans="1:7" ht="15" hidden="1">
      <c r="A289" s="127">
        <v>13792</v>
      </c>
      <c r="B289" s="261">
        <v>0.1</v>
      </c>
      <c r="C289" s="201" t="s">
        <v>219</v>
      </c>
      <c r="D289" s="192">
        <v>1650000</v>
      </c>
      <c r="E289" s="250">
        <v>0.05</v>
      </c>
      <c r="F289" s="251">
        <f>D289*E289</f>
        <v>82500</v>
      </c>
      <c r="G289" s="355"/>
    </row>
    <row r="290" spans="1:7" ht="15" hidden="1">
      <c r="A290" s="14">
        <v>13819</v>
      </c>
      <c r="B290" s="179">
        <v>0.1</v>
      </c>
      <c r="C290" s="193" t="s">
        <v>220</v>
      </c>
      <c r="D290" s="194">
        <v>1100000</v>
      </c>
      <c r="E290" s="250">
        <v>0.05</v>
      </c>
      <c r="F290" s="251">
        <f>D290*E290</f>
        <v>55000</v>
      </c>
      <c r="G290" s="355"/>
    </row>
    <row r="291" spans="1:7" ht="15" hidden="1">
      <c r="A291" s="14">
        <v>13672</v>
      </c>
      <c r="B291" s="179">
        <v>0.1</v>
      </c>
      <c r="C291" s="193" t="s">
        <v>231</v>
      </c>
      <c r="D291" s="194">
        <v>1650000</v>
      </c>
      <c r="E291" s="250">
        <v>0.05</v>
      </c>
      <c r="F291" s="251">
        <f>D291*E291</f>
        <v>82500</v>
      </c>
      <c r="G291" s="355"/>
    </row>
    <row r="292" spans="1:7" ht="15" hidden="1">
      <c r="A292" s="14">
        <v>13756</v>
      </c>
      <c r="B292" s="178">
        <v>0.08</v>
      </c>
      <c r="C292" s="193" t="s">
        <v>234</v>
      </c>
      <c r="D292" s="194">
        <v>1600000</v>
      </c>
      <c r="E292" s="249">
        <v>0.04</v>
      </c>
      <c r="F292" s="251">
        <f>D292*E292</f>
        <v>64000</v>
      </c>
      <c r="G292" s="355"/>
    </row>
    <row r="293" spans="1:7" ht="18.75" hidden="1">
      <c r="A293" s="32"/>
      <c r="B293" s="32"/>
      <c r="C293" s="300" t="s">
        <v>614</v>
      </c>
      <c r="D293" s="297">
        <f>SUM(D279:D292)</f>
        <v>25050000</v>
      </c>
      <c r="E293" s="298"/>
      <c r="F293" s="299">
        <f>SUM(F279:F292)</f>
        <v>1195500</v>
      </c>
    </row>
    <row r="294" spans="1:7" ht="15" hidden="1">
      <c r="A294" s="21"/>
      <c r="B294" s="21"/>
      <c r="C294" s="21"/>
      <c r="D294" s="22"/>
      <c r="E294" s="23"/>
    </row>
    <row r="295" spans="1:7" ht="23.25" hidden="1">
      <c r="A295" s="1067" t="s">
        <v>643</v>
      </c>
      <c r="B295" s="1067"/>
      <c r="C295" s="1067"/>
      <c r="D295" s="1067"/>
      <c r="E295" s="1067"/>
      <c r="F295" s="1067"/>
    </row>
    <row r="296" spans="1:7" ht="23.25" hidden="1">
      <c r="A296" s="108" t="s">
        <v>3</v>
      </c>
      <c r="B296" s="108" t="s">
        <v>606</v>
      </c>
      <c r="C296" s="108" t="s">
        <v>5</v>
      </c>
      <c r="D296" s="109" t="s">
        <v>6</v>
      </c>
      <c r="E296" s="110" t="s">
        <v>7</v>
      </c>
      <c r="F296" s="109" t="s">
        <v>633</v>
      </c>
    </row>
    <row r="297" spans="1:7" ht="15" hidden="1">
      <c r="A297" s="14">
        <v>13834</v>
      </c>
      <c r="B297" s="190">
        <v>0.1</v>
      </c>
      <c r="C297" s="244" t="s">
        <v>188</v>
      </c>
      <c r="D297" s="192">
        <v>1800000</v>
      </c>
      <c r="E297" s="409">
        <v>0.04</v>
      </c>
      <c r="F297" s="251">
        <f>D297*E297</f>
        <v>72000</v>
      </c>
      <c r="G297" s="355"/>
    </row>
    <row r="298" spans="1:7" ht="15" hidden="1">
      <c r="A298" s="14">
        <v>13856</v>
      </c>
      <c r="B298" s="179">
        <v>0.1</v>
      </c>
      <c r="C298" s="193" t="s">
        <v>189</v>
      </c>
      <c r="D298" s="194">
        <v>1500000</v>
      </c>
      <c r="E298" s="409">
        <v>0.04</v>
      </c>
      <c r="F298" s="251">
        <f>D298*E298</f>
        <v>60000</v>
      </c>
      <c r="G298" s="355"/>
    </row>
    <row r="299" spans="1:7" ht="15" hidden="1">
      <c r="A299" s="127">
        <v>13831</v>
      </c>
      <c r="B299" s="190">
        <v>0.1</v>
      </c>
      <c r="C299" s="244" t="s">
        <v>191</v>
      </c>
      <c r="D299" s="192">
        <v>1800000</v>
      </c>
      <c r="E299" s="409">
        <v>0.04</v>
      </c>
      <c r="F299" s="251">
        <f>D299*E299</f>
        <v>72000</v>
      </c>
      <c r="G299" s="355"/>
    </row>
    <row r="300" spans="1:7" ht="15" hidden="1">
      <c r="A300" s="127">
        <v>13741</v>
      </c>
      <c r="B300" s="190">
        <v>0.1</v>
      </c>
      <c r="C300" s="218" t="s">
        <v>192</v>
      </c>
      <c r="D300" s="192">
        <v>1950000</v>
      </c>
      <c r="E300" s="409">
        <v>0.04</v>
      </c>
      <c r="F300" s="251">
        <f>D300*E300</f>
        <v>78000</v>
      </c>
      <c r="G300" s="355"/>
    </row>
    <row r="301" spans="1:7" ht="15" hidden="1">
      <c r="A301" s="127">
        <v>13824</v>
      </c>
      <c r="B301" s="179">
        <v>0.1</v>
      </c>
      <c r="C301" s="193" t="s">
        <v>193</v>
      </c>
      <c r="D301" s="194">
        <v>1700000</v>
      </c>
      <c r="E301" s="409">
        <v>0.04</v>
      </c>
      <c r="F301" s="251">
        <f>D301*E301</f>
        <v>68000</v>
      </c>
      <c r="G301" s="355"/>
    </row>
    <row r="302" spans="1:7" ht="15" hidden="1">
      <c r="A302" s="133">
        <v>13772</v>
      </c>
      <c r="B302" s="179">
        <v>0.1</v>
      </c>
      <c r="C302" s="244" t="s">
        <v>204</v>
      </c>
      <c r="D302" s="264">
        <v>1700000</v>
      </c>
      <c r="E302" s="409">
        <v>0.04</v>
      </c>
      <c r="F302" s="251">
        <f>D302*E302</f>
        <v>68000</v>
      </c>
      <c r="G302" s="355"/>
    </row>
    <row r="303" spans="1:7" ht="15" hidden="1">
      <c r="A303" s="269"/>
      <c r="B303" s="179">
        <v>0.1</v>
      </c>
      <c r="C303" s="244" t="s">
        <v>206</v>
      </c>
      <c r="D303" s="264">
        <v>1750000</v>
      </c>
      <c r="E303" s="409">
        <v>0.04</v>
      </c>
      <c r="F303" s="251">
        <f>D303*E303</f>
        <v>70000</v>
      </c>
      <c r="G303" s="355"/>
    </row>
    <row r="304" spans="1:7" ht="15" hidden="1">
      <c r="A304" s="14">
        <v>13668</v>
      </c>
      <c r="B304" s="179">
        <v>0.1</v>
      </c>
      <c r="C304" s="204" t="s">
        <v>221</v>
      </c>
      <c r="D304" s="194">
        <v>1300000</v>
      </c>
      <c r="E304" s="409">
        <v>0.04</v>
      </c>
      <c r="F304" s="251">
        <f>D304*E304</f>
        <v>52000</v>
      </c>
      <c r="G304" s="355"/>
    </row>
    <row r="305" spans="1:8" ht="15" hidden="1">
      <c r="A305" s="14">
        <v>13795</v>
      </c>
      <c r="B305" s="179">
        <v>0.1</v>
      </c>
      <c r="C305" s="193" t="s">
        <v>222</v>
      </c>
      <c r="D305" s="194">
        <v>1300000</v>
      </c>
      <c r="E305" s="409">
        <v>0.04</v>
      </c>
      <c r="F305" s="251">
        <f>D305*E305</f>
        <v>52000</v>
      </c>
      <c r="G305" s="355"/>
    </row>
    <row r="306" spans="1:8" ht="15" hidden="1">
      <c r="A306" s="14">
        <v>13867</v>
      </c>
      <c r="B306" s="179">
        <v>0.1</v>
      </c>
      <c r="C306" s="193" t="s">
        <v>223</v>
      </c>
      <c r="D306" s="194">
        <v>1200000</v>
      </c>
      <c r="E306" s="409">
        <v>0.04</v>
      </c>
      <c r="F306" s="251">
        <f>D306*E306</f>
        <v>48000</v>
      </c>
      <c r="G306" s="355"/>
    </row>
    <row r="307" spans="1:8" ht="18.75" hidden="1">
      <c r="A307" s="32"/>
      <c r="B307" s="32"/>
      <c r="C307" s="300" t="s">
        <v>614</v>
      </c>
      <c r="D307" s="297">
        <f>SUM(D297:D306)</f>
        <v>16000000</v>
      </c>
      <c r="E307" s="313"/>
      <c r="F307" s="314">
        <f>SUM(F297:F306)</f>
        <v>640000</v>
      </c>
    </row>
    <row r="308" spans="1:8" ht="15" hidden="1">
      <c r="A308" s="18"/>
      <c r="B308" s="18"/>
      <c r="C308" s="18"/>
      <c r="D308" s="18"/>
      <c r="E308" s="18"/>
    </row>
    <row r="309" spans="1:8" ht="20.25" hidden="1">
      <c r="A309" s="1075" t="s">
        <v>639</v>
      </c>
      <c r="B309" s="1075"/>
      <c r="C309" s="1075"/>
      <c r="D309" s="1075"/>
      <c r="E309" s="1075"/>
      <c r="F309" s="1075"/>
      <c r="G309" s="1075"/>
    </row>
    <row r="310" spans="1:8" ht="20.25" hidden="1">
      <c r="A310" s="283" t="s">
        <v>3</v>
      </c>
      <c r="B310" s="283" t="s">
        <v>606</v>
      </c>
      <c r="C310" s="283" t="s">
        <v>5</v>
      </c>
      <c r="D310" s="111" t="s">
        <v>6</v>
      </c>
      <c r="E310" s="111" t="s">
        <v>7</v>
      </c>
      <c r="F310" s="111" t="s">
        <v>635</v>
      </c>
      <c r="G310" s="111" t="s">
        <v>623</v>
      </c>
    </row>
    <row r="311" spans="1:8" ht="15" hidden="1">
      <c r="A311" s="14">
        <v>13691</v>
      </c>
      <c r="B311" s="178">
        <v>0.08</v>
      </c>
      <c r="C311" s="193" t="s">
        <v>181</v>
      </c>
      <c r="D311" s="194">
        <v>2850000</v>
      </c>
      <c r="E311" s="411">
        <v>2.5000000000000001E-2</v>
      </c>
      <c r="F311" s="412">
        <f>D311*E311</f>
        <v>71250</v>
      </c>
      <c r="G311" s="373"/>
      <c r="H311" s="163"/>
    </row>
    <row r="312" spans="1:8" ht="15" hidden="1">
      <c r="A312" s="14">
        <v>13770</v>
      </c>
      <c r="B312" s="179">
        <v>0.1</v>
      </c>
      <c r="C312" s="193" t="s">
        <v>182</v>
      </c>
      <c r="D312" s="194">
        <v>1900000</v>
      </c>
      <c r="E312" s="411">
        <v>2.5000000000000001E-2</v>
      </c>
      <c r="F312" s="412">
        <f>D312*E312</f>
        <v>47500</v>
      </c>
      <c r="G312" s="162"/>
      <c r="H312" s="163"/>
    </row>
    <row r="313" spans="1:8" ht="15" hidden="1">
      <c r="A313" s="14">
        <v>13823</v>
      </c>
      <c r="B313" s="179">
        <v>0.1</v>
      </c>
      <c r="C313" s="244" t="s">
        <v>183</v>
      </c>
      <c r="D313" s="194">
        <v>1100000</v>
      </c>
      <c r="E313" s="411">
        <v>2.5000000000000001E-2</v>
      </c>
      <c r="F313" s="412">
        <f>D313*E313</f>
        <v>27500</v>
      </c>
      <c r="G313" s="373"/>
      <c r="H313" s="163"/>
    </row>
    <row r="314" spans="1:8" ht="15" hidden="1">
      <c r="A314" s="14">
        <v>13816</v>
      </c>
      <c r="B314" s="179">
        <v>0.1</v>
      </c>
      <c r="C314" s="244" t="s">
        <v>185</v>
      </c>
      <c r="D314" s="194">
        <v>2050000</v>
      </c>
      <c r="E314" s="411">
        <v>2.5000000000000001E-2</v>
      </c>
      <c r="F314" s="412">
        <f>D314*E314</f>
        <v>51250</v>
      </c>
      <c r="G314" s="373"/>
      <c r="H314" s="163"/>
    </row>
    <row r="315" spans="1:8" ht="15" hidden="1">
      <c r="A315" s="14">
        <v>13854</v>
      </c>
      <c r="B315" s="179">
        <v>0.1</v>
      </c>
      <c r="C315" s="193" t="s">
        <v>186</v>
      </c>
      <c r="D315" s="194">
        <v>3500000</v>
      </c>
      <c r="E315" s="411">
        <v>2.5000000000000001E-2</v>
      </c>
      <c r="F315" s="412">
        <f>D315*E315</f>
        <v>87500</v>
      </c>
      <c r="G315" s="373"/>
      <c r="H315" s="163"/>
    </row>
    <row r="316" spans="1:8" ht="15" hidden="1">
      <c r="A316" s="133">
        <v>13711</v>
      </c>
      <c r="B316" s="179">
        <v>0.1</v>
      </c>
      <c r="C316" s="244" t="s">
        <v>208</v>
      </c>
      <c r="D316" s="264">
        <v>2300000</v>
      </c>
      <c r="E316" s="411">
        <v>2.5000000000000001E-2</v>
      </c>
      <c r="F316" s="412">
        <f>D316*E316</f>
        <v>57500</v>
      </c>
      <c r="G316" s="373"/>
      <c r="H316" s="163"/>
    </row>
    <row r="317" spans="1:8" ht="15" hidden="1">
      <c r="A317" s="133">
        <v>13871</v>
      </c>
      <c r="B317" s="178">
        <v>0.08</v>
      </c>
      <c r="C317" s="244" t="s">
        <v>209</v>
      </c>
      <c r="D317" s="264">
        <v>1230000</v>
      </c>
      <c r="E317" s="411">
        <v>2.5000000000000001E-2</v>
      </c>
      <c r="F317" s="412">
        <f>D317*E317</f>
        <v>30750</v>
      </c>
      <c r="G317" s="373"/>
      <c r="H317" s="163"/>
    </row>
    <row r="318" spans="1:8" ht="15" hidden="1">
      <c r="A318" s="133">
        <v>13841</v>
      </c>
      <c r="B318" s="179">
        <v>0.1</v>
      </c>
      <c r="C318" s="244" t="s">
        <v>211</v>
      </c>
      <c r="D318" s="264">
        <v>1650000</v>
      </c>
      <c r="E318" s="411">
        <v>2.5000000000000001E-2</v>
      </c>
      <c r="F318" s="412">
        <f>D318*E318</f>
        <v>41250</v>
      </c>
      <c r="G318" s="162"/>
      <c r="H318" s="163"/>
    </row>
    <row r="319" spans="1:8" ht="15" hidden="1">
      <c r="A319" s="14">
        <v>13747</v>
      </c>
      <c r="B319" s="179">
        <v>0.1</v>
      </c>
      <c r="C319" s="193" t="s">
        <v>225</v>
      </c>
      <c r="D319" s="194">
        <v>1600000</v>
      </c>
      <c r="E319" s="411">
        <v>2.5000000000000001E-2</v>
      </c>
      <c r="F319" s="412">
        <f>D319*E319</f>
        <v>40000</v>
      </c>
      <c r="G319" s="162"/>
      <c r="H319" s="163"/>
    </row>
    <row r="320" spans="1:8" ht="15" hidden="1">
      <c r="A320" s="14">
        <v>13764</v>
      </c>
      <c r="B320" s="179">
        <v>0.1</v>
      </c>
      <c r="C320" s="193" t="s">
        <v>226</v>
      </c>
      <c r="D320" s="194">
        <v>2700000</v>
      </c>
      <c r="E320" s="411">
        <v>2.5000000000000001E-2</v>
      </c>
      <c r="F320" s="412">
        <f>D320*E320</f>
        <v>67500</v>
      </c>
      <c r="G320" s="162"/>
      <c r="H320" s="163"/>
    </row>
    <row r="321" spans="1:8" ht="15" hidden="1">
      <c r="A321" s="14">
        <v>13771</v>
      </c>
      <c r="B321" s="179">
        <v>0.1</v>
      </c>
      <c r="C321" s="193" t="s">
        <v>227</v>
      </c>
      <c r="D321" s="194">
        <v>1150000</v>
      </c>
      <c r="E321" s="411">
        <v>2.5000000000000001E-2</v>
      </c>
      <c r="F321" s="412">
        <f>D321*E321</f>
        <v>28750</v>
      </c>
      <c r="G321" s="373"/>
      <c r="H321" s="163"/>
    </row>
    <row r="322" spans="1:8" ht="15" hidden="1">
      <c r="A322" s="14">
        <v>13681</v>
      </c>
      <c r="B322" s="179">
        <v>0.1</v>
      </c>
      <c r="C322" s="193" t="s">
        <v>237</v>
      </c>
      <c r="D322" s="194">
        <v>1100000</v>
      </c>
      <c r="E322" s="411">
        <v>2.5000000000000001E-2</v>
      </c>
      <c r="F322" s="412">
        <f>D322*E322</f>
        <v>27500</v>
      </c>
      <c r="G322" s="162"/>
    </row>
    <row r="323" spans="1:8" ht="15" hidden="1">
      <c r="A323" s="14">
        <v>13698</v>
      </c>
      <c r="B323" s="179">
        <v>0.1</v>
      </c>
      <c r="C323" s="193" t="s">
        <v>240</v>
      </c>
      <c r="D323" s="194">
        <v>1200000</v>
      </c>
      <c r="E323" s="411">
        <v>2.5000000000000001E-2</v>
      </c>
      <c r="F323" s="412">
        <f>D323*E323</f>
        <v>30000</v>
      </c>
      <c r="G323" s="373"/>
    </row>
    <row r="324" spans="1:8" ht="15" hidden="1">
      <c r="A324" s="14">
        <v>13670</v>
      </c>
      <c r="B324" s="178">
        <v>0.08</v>
      </c>
      <c r="C324" s="193" t="s">
        <v>173</v>
      </c>
      <c r="D324" s="194">
        <v>1950000</v>
      </c>
      <c r="E324" s="411">
        <v>2.5000000000000001E-2</v>
      </c>
      <c r="F324" s="412">
        <f>D324*E324</f>
        <v>48750</v>
      </c>
      <c r="G324" s="373"/>
    </row>
    <row r="325" spans="1:8" ht="15" hidden="1">
      <c r="A325" s="14">
        <v>13778</v>
      </c>
      <c r="B325" s="179">
        <v>0.1</v>
      </c>
      <c r="C325" s="193" t="s">
        <v>176</v>
      </c>
      <c r="D325" s="194">
        <v>2000000</v>
      </c>
      <c r="E325" s="411">
        <v>2.5000000000000001E-2</v>
      </c>
      <c r="F325" s="412">
        <f>D325*E325</f>
        <v>50000</v>
      </c>
      <c r="G325" s="162"/>
    </row>
    <row r="326" spans="1:8" ht="15" hidden="1">
      <c r="A326" s="14">
        <v>13844</v>
      </c>
      <c r="B326" s="179">
        <v>0.1</v>
      </c>
      <c r="C326" s="244" t="s">
        <v>179</v>
      </c>
      <c r="D326" s="194">
        <v>1800000</v>
      </c>
      <c r="E326" s="411">
        <v>2.5000000000000001E-2</v>
      </c>
      <c r="F326" s="412">
        <f>D326*E326</f>
        <v>45000</v>
      </c>
      <c r="G326" s="373"/>
    </row>
    <row r="327" spans="1:8" ht="15" hidden="1">
      <c r="A327" s="14">
        <v>13859</v>
      </c>
      <c r="B327" s="178">
        <v>0.08</v>
      </c>
      <c r="C327" s="244" t="s">
        <v>213</v>
      </c>
      <c r="D327" s="194">
        <v>2150000</v>
      </c>
      <c r="E327" s="411">
        <v>2.5000000000000001E-2</v>
      </c>
      <c r="F327" s="412">
        <f>D327*E327</f>
        <v>53750</v>
      </c>
      <c r="G327" s="373"/>
    </row>
    <row r="328" spans="1:8" ht="15" hidden="1">
      <c r="A328" s="14">
        <v>13722</v>
      </c>
      <c r="B328" s="179">
        <v>0.1</v>
      </c>
      <c r="C328" s="193" t="s">
        <v>201</v>
      </c>
      <c r="D328" s="194">
        <v>1650000</v>
      </c>
      <c r="E328" s="411">
        <v>2.5000000000000001E-2</v>
      </c>
      <c r="F328" s="412">
        <f>D328*E328</f>
        <v>41250</v>
      </c>
      <c r="G328" s="373"/>
    </row>
    <row r="329" spans="1:8" ht="15" hidden="1">
      <c r="A329" s="133">
        <v>13727</v>
      </c>
      <c r="B329" s="179">
        <v>0.1</v>
      </c>
      <c r="C329" s="193" t="s">
        <v>202</v>
      </c>
      <c r="D329" s="194">
        <v>1800000</v>
      </c>
      <c r="E329" s="411">
        <v>2.5000000000000001E-2</v>
      </c>
      <c r="F329" s="412">
        <f>D329*E329</f>
        <v>45000</v>
      </c>
      <c r="G329" s="373"/>
    </row>
    <row r="330" spans="1:8" ht="15" hidden="1">
      <c r="A330" s="133">
        <v>13797</v>
      </c>
      <c r="B330" s="179">
        <v>0.1</v>
      </c>
      <c r="C330" s="244" t="s">
        <v>203</v>
      </c>
      <c r="D330" s="264">
        <v>1900000</v>
      </c>
      <c r="E330" s="411">
        <v>2.5000000000000001E-2</v>
      </c>
      <c r="F330" s="412">
        <f>D330*E330</f>
        <v>47500</v>
      </c>
      <c r="G330" s="162"/>
    </row>
    <row r="331" spans="1:8" ht="15" hidden="1">
      <c r="A331" s="14">
        <v>13715</v>
      </c>
      <c r="B331" s="179">
        <v>0.1</v>
      </c>
      <c r="C331" s="193" t="s">
        <v>216</v>
      </c>
      <c r="D331" s="194">
        <v>2400000</v>
      </c>
      <c r="E331" s="411">
        <v>2.5000000000000001E-2</v>
      </c>
      <c r="F331" s="412">
        <f>D331*E331</f>
        <v>60000</v>
      </c>
      <c r="G331" s="373"/>
    </row>
    <row r="332" spans="1:8" ht="15" hidden="1">
      <c r="A332" s="14">
        <v>13692</v>
      </c>
      <c r="B332" s="179">
        <v>0.1</v>
      </c>
      <c r="C332" s="193" t="s">
        <v>217</v>
      </c>
      <c r="D332" s="194">
        <v>1800000</v>
      </c>
      <c r="E332" s="411">
        <v>2.5000000000000001E-2</v>
      </c>
      <c r="F332" s="412">
        <f>D332*E332</f>
        <v>45000</v>
      </c>
      <c r="G332" s="373"/>
    </row>
    <row r="333" spans="1:8" ht="15" hidden="1">
      <c r="A333" s="14">
        <v>13705</v>
      </c>
      <c r="B333" s="179">
        <v>0.1</v>
      </c>
      <c r="C333" s="193" t="s">
        <v>218</v>
      </c>
      <c r="D333" s="194">
        <v>1600000</v>
      </c>
      <c r="E333" s="411">
        <v>2.5000000000000001E-2</v>
      </c>
      <c r="F333" s="412">
        <f>D333*E333</f>
        <v>40000</v>
      </c>
      <c r="G333" s="373"/>
    </row>
    <row r="334" spans="1:8" ht="15" hidden="1">
      <c r="A334" s="14">
        <v>13792</v>
      </c>
      <c r="B334" s="242">
        <v>0.1</v>
      </c>
      <c r="C334" s="244" t="s">
        <v>219</v>
      </c>
      <c r="D334" s="194">
        <v>1650000</v>
      </c>
      <c r="E334" s="411">
        <v>2.5000000000000001E-2</v>
      </c>
      <c r="F334" s="412">
        <f>D334*E334</f>
        <v>41250</v>
      </c>
      <c r="G334" s="373"/>
    </row>
    <row r="335" spans="1:8" ht="15" hidden="1">
      <c r="A335" s="14">
        <v>13819</v>
      </c>
      <c r="B335" s="179">
        <v>0.1</v>
      </c>
      <c r="C335" s="193" t="s">
        <v>220</v>
      </c>
      <c r="D335" s="194">
        <v>1100000</v>
      </c>
      <c r="E335" s="411">
        <v>2.5000000000000001E-2</v>
      </c>
      <c r="F335" s="412">
        <f>D335*E335</f>
        <v>27500</v>
      </c>
      <c r="G335" s="373"/>
    </row>
    <row r="336" spans="1:8" ht="15" hidden="1">
      <c r="A336" s="14">
        <v>13672</v>
      </c>
      <c r="B336" s="179">
        <v>0.1</v>
      </c>
      <c r="C336" s="193" t="s">
        <v>231</v>
      </c>
      <c r="D336" s="194">
        <v>1650000</v>
      </c>
      <c r="E336" s="411">
        <v>2.5000000000000001E-2</v>
      </c>
      <c r="F336" s="412">
        <f>D336*E336</f>
        <v>41250</v>
      </c>
      <c r="G336" s="373"/>
    </row>
    <row r="337" spans="1:9" ht="15" hidden="1">
      <c r="A337" s="14">
        <v>13756</v>
      </c>
      <c r="B337" s="178">
        <v>0.08</v>
      </c>
      <c r="C337" s="193" t="s">
        <v>234</v>
      </c>
      <c r="D337" s="194">
        <v>1600000</v>
      </c>
      <c r="E337" s="411">
        <v>2.5000000000000001E-2</v>
      </c>
      <c r="F337" s="412">
        <f>D337*E337</f>
        <v>40000</v>
      </c>
      <c r="G337" s="373"/>
    </row>
    <row r="338" spans="1:9" ht="15" hidden="1">
      <c r="A338" s="14">
        <v>13834</v>
      </c>
      <c r="B338" s="179">
        <v>0.1</v>
      </c>
      <c r="C338" s="244" t="s">
        <v>188</v>
      </c>
      <c r="D338" s="194">
        <v>1800000</v>
      </c>
      <c r="E338" s="411">
        <v>2.5000000000000001E-2</v>
      </c>
      <c r="F338" s="412">
        <f>D338*E338</f>
        <v>45000</v>
      </c>
      <c r="G338" s="373"/>
    </row>
    <row r="339" spans="1:9" ht="15" hidden="1">
      <c r="A339" s="14">
        <v>13856</v>
      </c>
      <c r="B339" s="179">
        <v>0.1</v>
      </c>
      <c r="C339" s="193" t="s">
        <v>189</v>
      </c>
      <c r="D339" s="194">
        <v>1500000</v>
      </c>
      <c r="E339" s="411">
        <v>2.5000000000000001E-2</v>
      </c>
      <c r="F339" s="412">
        <f>D339*E339</f>
        <v>37500</v>
      </c>
      <c r="G339" s="373"/>
    </row>
    <row r="340" spans="1:9" ht="15" hidden="1">
      <c r="A340" s="14">
        <v>13831</v>
      </c>
      <c r="B340" s="179">
        <v>0.1</v>
      </c>
      <c r="C340" s="244" t="s">
        <v>191</v>
      </c>
      <c r="D340" s="194">
        <v>1800000</v>
      </c>
      <c r="E340" s="411">
        <v>2.5000000000000001E-2</v>
      </c>
      <c r="F340" s="412">
        <f>D340*E340</f>
        <v>45000</v>
      </c>
      <c r="G340" s="373"/>
    </row>
    <row r="341" spans="1:9" ht="15" hidden="1">
      <c r="A341" s="14">
        <v>13741</v>
      </c>
      <c r="B341" s="179">
        <v>0.1</v>
      </c>
      <c r="C341" s="193" t="s">
        <v>192</v>
      </c>
      <c r="D341" s="194">
        <v>1950000</v>
      </c>
      <c r="E341" s="411">
        <v>2.5000000000000001E-2</v>
      </c>
      <c r="F341" s="412">
        <f>D341*E341</f>
        <v>48750</v>
      </c>
      <c r="G341" s="373"/>
    </row>
    <row r="342" spans="1:9" ht="15" hidden="1">
      <c r="A342" s="14">
        <v>13824</v>
      </c>
      <c r="B342" s="179">
        <v>0.1</v>
      </c>
      <c r="C342" s="193" t="s">
        <v>193</v>
      </c>
      <c r="D342" s="194">
        <v>1700000</v>
      </c>
      <c r="E342" s="411">
        <v>2.5000000000000001E-2</v>
      </c>
      <c r="F342" s="412">
        <f>D342*E342</f>
        <v>42500</v>
      </c>
      <c r="G342" s="373"/>
    </row>
    <row r="343" spans="1:9" ht="15" hidden="1">
      <c r="A343" s="133">
        <v>13772</v>
      </c>
      <c r="B343" s="179">
        <v>0.1</v>
      </c>
      <c r="C343" s="244" t="s">
        <v>204</v>
      </c>
      <c r="D343" s="264">
        <v>1700000</v>
      </c>
      <c r="E343" s="411">
        <v>2.5000000000000001E-2</v>
      </c>
      <c r="F343" s="412">
        <f>D343*E343</f>
        <v>42500</v>
      </c>
      <c r="G343" s="162"/>
    </row>
    <row r="344" spans="1:9" ht="15" hidden="1">
      <c r="A344" s="133">
        <v>13878</v>
      </c>
      <c r="B344" s="179">
        <v>0.1</v>
      </c>
      <c r="C344" s="244" t="s">
        <v>206</v>
      </c>
      <c r="D344" s="264">
        <v>1750000</v>
      </c>
      <c r="E344" s="411">
        <v>2.5000000000000001E-2</v>
      </c>
      <c r="F344" s="412">
        <f>D344*E344</f>
        <v>43750</v>
      </c>
      <c r="G344" s="373"/>
    </row>
    <row r="345" spans="1:9" ht="15" hidden="1">
      <c r="A345" s="14">
        <v>13668</v>
      </c>
      <c r="B345" s="179">
        <v>0.1</v>
      </c>
      <c r="C345" s="204" t="s">
        <v>221</v>
      </c>
      <c r="D345" s="194">
        <v>1300000</v>
      </c>
      <c r="E345" s="411">
        <v>2.5000000000000001E-2</v>
      </c>
      <c r="F345" s="412">
        <f>D345*E345</f>
        <v>32500</v>
      </c>
      <c r="G345" s="373"/>
    </row>
    <row r="346" spans="1:9" ht="15" hidden="1">
      <c r="A346" s="14">
        <v>13795</v>
      </c>
      <c r="B346" s="179">
        <v>0.1</v>
      </c>
      <c r="C346" s="193" t="s">
        <v>222</v>
      </c>
      <c r="D346" s="194">
        <v>1300000</v>
      </c>
      <c r="E346" s="411">
        <v>2.5000000000000001E-2</v>
      </c>
      <c r="F346" s="412">
        <f>D346*E346</f>
        <v>32500</v>
      </c>
      <c r="G346" s="162"/>
    </row>
    <row r="347" spans="1:9" ht="15" hidden="1">
      <c r="A347" s="14">
        <v>13867</v>
      </c>
      <c r="B347" s="179">
        <v>0.1</v>
      </c>
      <c r="C347" s="193" t="s">
        <v>223</v>
      </c>
      <c r="D347" s="194">
        <v>1200000</v>
      </c>
      <c r="E347" s="411">
        <v>2.5000000000000001E-2</v>
      </c>
      <c r="F347" s="412">
        <f>D347*E347</f>
        <v>30000</v>
      </c>
      <c r="G347" s="373"/>
    </row>
    <row r="348" spans="1:9" ht="18.75" hidden="1">
      <c r="A348" s="32"/>
      <c r="B348" s="32"/>
      <c r="C348" s="300" t="s">
        <v>614</v>
      </c>
      <c r="D348" s="297">
        <f>SUM(D311:D347)</f>
        <v>65380000</v>
      </c>
      <c r="E348" s="282" t="s">
        <v>628</v>
      </c>
      <c r="F348" s="315">
        <f>SUM(F311:F347)</f>
        <v>1634500</v>
      </c>
      <c r="G348" s="114"/>
    </row>
    <row r="349" spans="1:9" hidden="1"/>
    <row r="350" spans="1:9" ht="45">
      <c r="A350" s="1079" t="s">
        <v>246</v>
      </c>
      <c r="B350" s="1080"/>
      <c r="C350" s="1080"/>
      <c r="D350" s="1080"/>
      <c r="E350" s="1080"/>
      <c r="F350" s="1080"/>
      <c r="G350" s="1080"/>
      <c r="H350" s="1080"/>
    </row>
    <row r="351" spans="1:9" ht="23.25" hidden="1">
      <c r="A351" s="1077" t="s">
        <v>644</v>
      </c>
      <c r="B351" s="1078"/>
      <c r="C351" s="1078"/>
      <c r="D351" s="1078"/>
      <c r="E351" s="1078"/>
      <c r="F351" s="1078"/>
      <c r="G351" s="1078"/>
      <c r="H351" s="1078"/>
    </row>
    <row r="352" spans="1:9" ht="23.25" hidden="1">
      <c r="A352" s="259" t="s">
        <v>3</v>
      </c>
      <c r="B352" s="259" t="s">
        <v>606</v>
      </c>
      <c r="C352" s="259" t="s">
        <v>5</v>
      </c>
      <c r="D352" s="260" t="s">
        <v>6</v>
      </c>
      <c r="E352" s="260" t="s">
        <v>7</v>
      </c>
      <c r="F352" s="260" t="s">
        <v>645</v>
      </c>
      <c r="G352" s="260" t="s">
        <v>646</v>
      </c>
      <c r="H352" s="423" t="s">
        <v>647</v>
      </c>
      <c r="I352" s="448" t="s">
        <v>648</v>
      </c>
    </row>
    <row r="353" spans="1:9" ht="15" hidden="1">
      <c r="A353" s="532">
        <v>13954</v>
      </c>
      <c r="B353" s="337">
        <v>0.1</v>
      </c>
      <c r="C353" s="408" t="s">
        <v>649</v>
      </c>
      <c r="D353" s="420">
        <v>1900000</v>
      </c>
      <c r="E353" s="457">
        <v>0.05</v>
      </c>
      <c r="F353" s="432">
        <f>D353*E353</f>
        <v>95000</v>
      </c>
      <c r="G353" s="445" t="s">
        <v>104</v>
      </c>
      <c r="H353" s="445" t="s">
        <v>606</v>
      </c>
      <c r="I353" s="445" t="s">
        <v>104</v>
      </c>
    </row>
    <row r="354" spans="1:9" ht="15" hidden="1">
      <c r="A354" s="532">
        <v>13972</v>
      </c>
      <c r="B354" s="337">
        <v>0.1</v>
      </c>
      <c r="C354" s="408" t="s">
        <v>650</v>
      </c>
      <c r="D354" s="420">
        <v>1550000</v>
      </c>
      <c r="E354" s="457">
        <v>0.05</v>
      </c>
      <c r="F354" s="432">
        <f t="shared" ref="F354:F368" si="11">D354*E354</f>
        <v>77500</v>
      </c>
      <c r="G354" s="445" t="s">
        <v>104</v>
      </c>
      <c r="H354" s="445" t="s">
        <v>606</v>
      </c>
      <c r="I354" s="445" t="s">
        <v>104</v>
      </c>
    </row>
    <row r="355" spans="1:9" ht="15" hidden="1">
      <c r="A355" s="532" t="s">
        <v>651</v>
      </c>
      <c r="B355" s="337">
        <v>0.1</v>
      </c>
      <c r="C355" s="408" t="s">
        <v>652</v>
      </c>
      <c r="D355" s="420">
        <v>2700000</v>
      </c>
      <c r="E355" s="457">
        <v>0.05</v>
      </c>
      <c r="F355" s="432">
        <f t="shared" si="11"/>
        <v>135000</v>
      </c>
      <c r="G355" s="445" t="s">
        <v>104</v>
      </c>
      <c r="H355" s="445" t="s">
        <v>49</v>
      </c>
      <c r="I355" s="445" t="s">
        <v>104</v>
      </c>
    </row>
    <row r="356" spans="1:9" ht="15" hidden="1">
      <c r="A356" s="528">
        <v>13924</v>
      </c>
      <c r="B356" s="337">
        <v>0.1</v>
      </c>
      <c r="C356" s="408" t="s">
        <v>653</v>
      </c>
      <c r="D356" s="565">
        <v>1900000</v>
      </c>
      <c r="E356" s="457">
        <v>0.05</v>
      </c>
      <c r="F356" s="432">
        <f t="shared" si="11"/>
        <v>95000</v>
      </c>
      <c r="G356" s="445" t="s">
        <v>104</v>
      </c>
      <c r="H356" s="445" t="s">
        <v>49</v>
      </c>
      <c r="I356" s="445" t="s">
        <v>104</v>
      </c>
    </row>
    <row r="357" spans="1:9" ht="15" hidden="1">
      <c r="A357" s="530">
        <v>13982</v>
      </c>
      <c r="B357" s="531">
        <v>0.1</v>
      </c>
      <c r="C357" s="408" t="s">
        <v>654</v>
      </c>
      <c r="D357" s="566">
        <v>3100000</v>
      </c>
      <c r="E357" s="457">
        <v>0.05</v>
      </c>
      <c r="F357" s="432">
        <f t="shared" si="11"/>
        <v>155000</v>
      </c>
      <c r="G357" s="445" t="s">
        <v>104</v>
      </c>
      <c r="H357" s="445" t="s">
        <v>49</v>
      </c>
      <c r="I357" s="445" t="s">
        <v>104</v>
      </c>
    </row>
    <row r="358" spans="1:9" ht="15" hidden="1">
      <c r="A358" s="533" t="s">
        <v>655</v>
      </c>
      <c r="B358" s="337">
        <v>0.1</v>
      </c>
      <c r="C358" s="408" t="s">
        <v>656</v>
      </c>
      <c r="D358" s="420">
        <v>1750000</v>
      </c>
      <c r="E358" s="498">
        <v>0.02</v>
      </c>
      <c r="F358" s="432">
        <f t="shared" si="11"/>
        <v>35000</v>
      </c>
      <c r="G358" s="445" t="s">
        <v>104</v>
      </c>
      <c r="H358" s="445" t="s">
        <v>606</v>
      </c>
      <c r="I358" s="445" t="s">
        <v>104</v>
      </c>
    </row>
    <row r="359" spans="1:9" ht="15" hidden="1">
      <c r="A359" s="533">
        <v>13984</v>
      </c>
      <c r="B359" s="337">
        <v>0.1</v>
      </c>
      <c r="C359" s="408" t="s">
        <v>256</v>
      </c>
      <c r="D359" s="420">
        <v>1300000</v>
      </c>
      <c r="E359" s="457">
        <v>0.05</v>
      </c>
      <c r="F359" s="432">
        <f t="shared" si="11"/>
        <v>65000</v>
      </c>
      <c r="G359" s="445" t="s">
        <v>104</v>
      </c>
      <c r="H359" s="445" t="s">
        <v>606</v>
      </c>
      <c r="I359" s="445" t="s">
        <v>104</v>
      </c>
    </row>
    <row r="360" spans="1:9" ht="15" hidden="1">
      <c r="A360" s="528">
        <v>14067</v>
      </c>
      <c r="B360" s="337">
        <v>0.1</v>
      </c>
      <c r="C360" s="408" t="s">
        <v>657</v>
      </c>
      <c r="D360" s="420">
        <v>1750000</v>
      </c>
      <c r="E360" s="457">
        <v>0.05</v>
      </c>
      <c r="F360" s="432">
        <f t="shared" si="11"/>
        <v>87500</v>
      </c>
      <c r="G360" s="445" t="s">
        <v>104</v>
      </c>
      <c r="H360" s="445" t="s">
        <v>49</v>
      </c>
      <c r="I360" s="445" t="s">
        <v>104</v>
      </c>
    </row>
    <row r="361" spans="1:9" ht="15" hidden="1">
      <c r="A361" s="528">
        <v>14087</v>
      </c>
      <c r="B361" s="337">
        <v>0.1</v>
      </c>
      <c r="C361" s="408" t="s">
        <v>658</v>
      </c>
      <c r="D361" s="567">
        <v>2200000</v>
      </c>
      <c r="E361" s="457">
        <v>0.05</v>
      </c>
      <c r="F361" s="432">
        <f t="shared" si="11"/>
        <v>110000</v>
      </c>
      <c r="G361" s="445" t="s">
        <v>104</v>
      </c>
      <c r="H361" s="114" t="s">
        <v>606</v>
      </c>
      <c r="I361" s="445" t="s">
        <v>104</v>
      </c>
    </row>
    <row r="362" spans="1:9" ht="15" hidden="1">
      <c r="A362" s="528">
        <v>14091</v>
      </c>
      <c r="B362" s="526">
        <v>0.08</v>
      </c>
      <c r="C362" s="114" t="s">
        <v>659</v>
      </c>
      <c r="D362" s="567">
        <v>2650000</v>
      </c>
      <c r="E362" s="498">
        <v>0.04</v>
      </c>
      <c r="F362" s="432">
        <f t="shared" si="11"/>
        <v>106000</v>
      </c>
      <c r="G362" s="445" t="s">
        <v>104</v>
      </c>
      <c r="H362" s="424" t="s">
        <v>49</v>
      </c>
      <c r="I362" s="445" t="s">
        <v>104</v>
      </c>
    </row>
    <row r="363" spans="1:9" ht="15" hidden="1">
      <c r="A363" s="528">
        <v>13938</v>
      </c>
      <c r="B363" s="337">
        <v>0.1</v>
      </c>
      <c r="C363" s="408" t="s">
        <v>660</v>
      </c>
      <c r="D363" s="420">
        <v>2000000</v>
      </c>
      <c r="E363" s="457">
        <v>0.05</v>
      </c>
      <c r="F363" s="432">
        <f t="shared" si="11"/>
        <v>100000</v>
      </c>
      <c r="G363" s="445" t="s">
        <v>104</v>
      </c>
      <c r="H363" s="445" t="s">
        <v>49</v>
      </c>
      <c r="I363" s="445" t="s">
        <v>104</v>
      </c>
    </row>
    <row r="364" spans="1:9" ht="15" hidden="1">
      <c r="A364" s="530">
        <v>13981</v>
      </c>
      <c r="B364" s="531">
        <v>0.1</v>
      </c>
      <c r="C364" s="408" t="s">
        <v>661</v>
      </c>
      <c r="D364" s="566">
        <v>1600000</v>
      </c>
      <c r="E364" s="457">
        <v>0.05</v>
      </c>
      <c r="F364" s="432">
        <f t="shared" si="11"/>
        <v>80000</v>
      </c>
      <c r="G364" s="445" t="s">
        <v>104</v>
      </c>
      <c r="H364" s="445" t="s">
        <v>49</v>
      </c>
      <c r="I364" s="445" t="s">
        <v>104</v>
      </c>
    </row>
    <row r="365" spans="1:9" ht="15" hidden="1">
      <c r="A365" s="532" t="s">
        <v>662</v>
      </c>
      <c r="B365" s="337">
        <v>0.1</v>
      </c>
      <c r="C365" s="408" t="s">
        <v>663</v>
      </c>
      <c r="D365" s="567">
        <v>1700000</v>
      </c>
      <c r="E365" s="457">
        <v>0.05</v>
      </c>
      <c r="F365" s="432">
        <f t="shared" si="11"/>
        <v>85000</v>
      </c>
      <c r="G365" s="445" t="s">
        <v>104</v>
      </c>
      <c r="H365" s="445" t="s">
        <v>606</v>
      </c>
      <c r="I365" s="445" t="s">
        <v>104</v>
      </c>
    </row>
    <row r="366" spans="1:9" ht="15" hidden="1">
      <c r="A366" s="532">
        <v>14089</v>
      </c>
      <c r="B366" s="343">
        <v>0.08</v>
      </c>
      <c r="C366" s="208" t="s">
        <v>664</v>
      </c>
      <c r="D366" s="420">
        <v>1050000</v>
      </c>
      <c r="E366" s="498">
        <v>0.04</v>
      </c>
      <c r="F366" s="432">
        <f t="shared" si="11"/>
        <v>42000</v>
      </c>
      <c r="G366" s="499"/>
      <c r="H366" s="445" t="s">
        <v>665</v>
      </c>
      <c r="I366" s="499"/>
    </row>
    <row r="367" spans="1:9" ht="15" hidden="1">
      <c r="A367" s="528">
        <v>13918</v>
      </c>
      <c r="B367" s="337">
        <v>0.1</v>
      </c>
      <c r="C367" s="408" t="s">
        <v>302</v>
      </c>
      <c r="D367" s="420">
        <v>1550000</v>
      </c>
      <c r="E367" s="457">
        <v>0.05</v>
      </c>
      <c r="F367" s="432">
        <f t="shared" si="11"/>
        <v>77500</v>
      </c>
      <c r="G367" s="445" t="s">
        <v>104</v>
      </c>
      <c r="H367" s="445" t="s">
        <v>49</v>
      </c>
      <c r="I367" s="445" t="s">
        <v>104</v>
      </c>
    </row>
    <row r="368" spans="1:9" ht="15" hidden="1">
      <c r="A368" s="528">
        <v>14109</v>
      </c>
      <c r="B368" s="337">
        <v>0.1</v>
      </c>
      <c r="C368" s="114" t="s">
        <v>666</v>
      </c>
      <c r="D368" s="567">
        <v>2600000</v>
      </c>
      <c r="E368" s="457">
        <v>0.05</v>
      </c>
      <c r="F368" s="432">
        <f t="shared" si="11"/>
        <v>130000</v>
      </c>
      <c r="G368" s="83"/>
      <c r="H368" s="114" t="s">
        <v>49</v>
      </c>
      <c r="I368" s="83"/>
    </row>
    <row r="369" spans="1:9" hidden="1">
      <c r="A369" s="492" t="s">
        <v>667</v>
      </c>
      <c r="B369" s="493"/>
      <c r="C369" s="494" t="s">
        <v>264</v>
      </c>
      <c r="D369" s="495"/>
      <c r="E369" s="114"/>
      <c r="F369" s="114"/>
      <c r="G369" s="114"/>
      <c r="H369" s="114"/>
      <c r="I369" s="114"/>
    </row>
    <row r="370" spans="1:9" ht="15" hidden="1">
      <c r="A370" s="418" t="s">
        <v>32</v>
      </c>
      <c r="B370" s="421"/>
      <c r="C370" s="114"/>
      <c r="D370" s="434">
        <f>SUM(D353:D369)</f>
        <v>31300000</v>
      </c>
      <c r="E370" s="345"/>
      <c r="F370" s="309">
        <f>SUM(F353:F369)</f>
        <v>1475500</v>
      </c>
      <c r="G370" s="114"/>
      <c r="H370" s="114"/>
      <c r="I370" s="114"/>
    </row>
    <row r="371" spans="1:9" ht="15" hidden="1">
      <c r="A371" s="466"/>
      <c r="B371" s="467"/>
      <c r="C371" s="436" t="s">
        <v>668</v>
      </c>
      <c r="D371" s="468"/>
      <c r="E371" s="469"/>
      <c r="F371" s="470"/>
      <c r="G371" s="484"/>
      <c r="H371" s="484"/>
    </row>
    <row r="372" spans="1:9" ht="15" hidden="1">
      <c r="A372" s="128" t="s">
        <v>669</v>
      </c>
      <c r="B372" s="219"/>
      <c r="C372" s="270" t="s">
        <v>670</v>
      </c>
      <c r="D372" s="221"/>
      <c r="E372" s="425"/>
      <c r="F372" s="426"/>
      <c r="G372" s="83"/>
      <c r="H372" s="83"/>
    </row>
    <row r="373" spans="1:9" ht="23.25" hidden="1">
      <c r="A373" s="1077" t="s">
        <v>671</v>
      </c>
      <c r="B373" s="1078"/>
      <c r="C373" s="1078"/>
      <c r="D373" s="1078"/>
      <c r="E373" s="1078"/>
      <c r="F373" s="1078"/>
      <c r="G373" s="1078"/>
      <c r="H373" s="1078"/>
    </row>
    <row r="374" spans="1:9" ht="23.25" hidden="1">
      <c r="A374" s="259" t="s">
        <v>3</v>
      </c>
      <c r="B374" s="259" t="s">
        <v>606</v>
      </c>
      <c r="C374" s="259" t="s">
        <v>5</v>
      </c>
      <c r="D374" s="260" t="s">
        <v>6</v>
      </c>
      <c r="E374" s="260" t="s">
        <v>7</v>
      </c>
      <c r="F374" s="260" t="s">
        <v>645</v>
      </c>
      <c r="G374" s="260" t="s">
        <v>646</v>
      </c>
      <c r="H374" s="423" t="s">
        <v>647</v>
      </c>
      <c r="I374" s="448" t="s">
        <v>648</v>
      </c>
    </row>
    <row r="375" spans="1:9" ht="15.75" hidden="1">
      <c r="A375" s="568">
        <v>13890</v>
      </c>
      <c r="B375" s="569">
        <v>0.08</v>
      </c>
      <c r="C375" s="570" t="s">
        <v>672</v>
      </c>
      <c r="D375" s="571">
        <v>2000000</v>
      </c>
      <c r="E375" s="542">
        <v>0.04</v>
      </c>
      <c r="F375" s="543">
        <f>D375*E375</f>
        <v>80000</v>
      </c>
      <c r="G375" s="410" t="s">
        <v>104</v>
      </c>
      <c r="H375" s="544" t="s">
        <v>606</v>
      </c>
      <c r="I375" s="410" t="s">
        <v>104</v>
      </c>
    </row>
    <row r="376" spans="1:9" ht="15.75" hidden="1">
      <c r="A376" s="572">
        <v>13925</v>
      </c>
      <c r="B376" s="573">
        <v>0.1</v>
      </c>
      <c r="C376" s="570" t="s">
        <v>673</v>
      </c>
      <c r="D376" s="571">
        <v>1450000</v>
      </c>
      <c r="E376" s="545">
        <v>0.05</v>
      </c>
      <c r="F376" s="543">
        <f t="shared" ref="F376:F389" si="12">D376*E376</f>
        <v>72500</v>
      </c>
      <c r="G376" s="410" t="s">
        <v>104</v>
      </c>
      <c r="H376" s="546" t="s">
        <v>49</v>
      </c>
      <c r="I376" s="410" t="s">
        <v>104</v>
      </c>
    </row>
    <row r="377" spans="1:9" ht="15.75" hidden="1">
      <c r="A377" s="572">
        <v>14001</v>
      </c>
      <c r="B377" s="573">
        <v>0.1</v>
      </c>
      <c r="C377" s="570" t="s">
        <v>674</v>
      </c>
      <c r="D377" s="571">
        <v>1450000</v>
      </c>
      <c r="E377" s="545">
        <v>0.05</v>
      </c>
      <c r="F377" s="543">
        <f t="shared" si="12"/>
        <v>72500</v>
      </c>
      <c r="G377" s="410" t="s">
        <v>104</v>
      </c>
      <c r="H377" s="546" t="s">
        <v>49</v>
      </c>
      <c r="I377" s="410" t="s">
        <v>104</v>
      </c>
    </row>
    <row r="378" spans="1:9" ht="15.75" hidden="1">
      <c r="A378" s="574">
        <v>14076</v>
      </c>
      <c r="B378" s="573">
        <v>0.1</v>
      </c>
      <c r="C378" s="541" t="s">
        <v>675</v>
      </c>
      <c r="D378" s="571">
        <v>2250000</v>
      </c>
      <c r="E378" s="545">
        <v>0.05</v>
      </c>
      <c r="F378" s="543">
        <f t="shared" si="12"/>
        <v>112500</v>
      </c>
      <c r="G378" s="547"/>
      <c r="H378" s="547"/>
      <c r="I378" s="547"/>
    </row>
    <row r="379" spans="1:9" ht="15.75" hidden="1">
      <c r="A379" s="572">
        <v>13941</v>
      </c>
      <c r="B379" s="575">
        <v>0.08</v>
      </c>
      <c r="C379" s="570" t="s">
        <v>676</v>
      </c>
      <c r="D379" s="571">
        <v>1700000</v>
      </c>
      <c r="E379" s="542">
        <v>0.04</v>
      </c>
      <c r="F379" s="543">
        <f t="shared" si="12"/>
        <v>68000</v>
      </c>
      <c r="G379" s="410" t="s">
        <v>104</v>
      </c>
      <c r="H379" s="546" t="s">
        <v>49</v>
      </c>
      <c r="I379" s="410" t="s">
        <v>104</v>
      </c>
    </row>
    <row r="380" spans="1:9" ht="15.75" hidden="1">
      <c r="A380" s="572">
        <v>14009</v>
      </c>
      <c r="B380" s="573">
        <v>0.1</v>
      </c>
      <c r="C380" s="570" t="s">
        <v>677</v>
      </c>
      <c r="D380" s="571">
        <v>1800000</v>
      </c>
      <c r="E380" s="545">
        <v>0.05</v>
      </c>
      <c r="F380" s="543">
        <f t="shared" si="12"/>
        <v>90000</v>
      </c>
      <c r="G380" s="410" t="s">
        <v>104</v>
      </c>
      <c r="H380" s="410" t="s">
        <v>49</v>
      </c>
      <c r="I380" s="410" t="s">
        <v>104</v>
      </c>
    </row>
    <row r="381" spans="1:9" ht="15.75" hidden="1">
      <c r="A381" s="568">
        <v>13867</v>
      </c>
      <c r="B381" s="573">
        <v>0.1</v>
      </c>
      <c r="C381" s="570" t="s">
        <v>678</v>
      </c>
      <c r="D381" s="571">
        <v>1250000</v>
      </c>
      <c r="E381" s="545">
        <v>0.05</v>
      </c>
      <c r="F381" s="543">
        <f t="shared" si="12"/>
        <v>62500</v>
      </c>
      <c r="G381" s="410" t="s">
        <v>104</v>
      </c>
      <c r="H381" s="546" t="s">
        <v>49</v>
      </c>
      <c r="I381" s="410" t="s">
        <v>104</v>
      </c>
    </row>
    <row r="382" spans="1:9" ht="15.75" hidden="1">
      <c r="A382" s="568">
        <v>13955</v>
      </c>
      <c r="B382" s="573">
        <v>0.1</v>
      </c>
      <c r="C382" s="570" t="s">
        <v>679</v>
      </c>
      <c r="D382" s="571">
        <v>1700000</v>
      </c>
      <c r="E382" s="545">
        <v>0.05</v>
      </c>
      <c r="F382" s="543">
        <f t="shared" si="12"/>
        <v>85000</v>
      </c>
      <c r="G382" s="410" t="s">
        <v>104</v>
      </c>
      <c r="H382" s="546" t="s">
        <v>49</v>
      </c>
      <c r="I382" s="410" t="s">
        <v>104</v>
      </c>
    </row>
    <row r="383" spans="1:9" ht="15.75" hidden="1">
      <c r="A383" s="576">
        <v>13927</v>
      </c>
      <c r="B383" s="577">
        <v>0.1</v>
      </c>
      <c r="C383" s="570" t="s">
        <v>680</v>
      </c>
      <c r="D383" s="578">
        <v>1200000</v>
      </c>
      <c r="E383" s="545">
        <v>0.05</v>
      </c>
      <c r="F383" s="543">
        <f t="shared" si="12"/>
        <v>60000</v>
      </c>
      <c r="G383" s="548" t="s">
        <v>104</v>
      </c>
      <c r="H383" s="544" t="s">
        <v>606</v>
      </c>
      <c r="I383" s="410" t="s">
        <v>104</v>
      </c>
    </row>
    <row r="384" spans="1:9" ht="15.75" hidden="1">
      <c r="A384" s="572">
        <v>13917</v>
      </c>
      <c r="B384" s="573">
        <v>0.1</v>
      </c>
      <c r="C384" s="570" t="s">
        <v>681</v>
      </c>
      <c r="D384" s="571">
        <v>1000000</v>
      </c>
      <c r="E384" s="545">
        <v>0.05</v>
      </c>
      <c r="F384" s="543">
        <f t="shared" si="12"/>
        <v>50000</v>
      </c>
      <c r="G384" s="410" t="s">
        <v>104</v>
      </c>
      <c r="H384" s="410" t="s">
        <v>49</v>
      </c>
      <c r="I384" s="410" t="s">
        <v>104</v>
      </c>
    </row>
    <row r="385" spans="1:9" ht="15.75" hidden="1">
      <c r="A385" s="576">
        <v>13962</v>
      </c>
      <c r="B385" s="580">
        <v>0.08</v>
      </c>
      <c r="C385" s="570" t="s">
        <v>682</v>
      </c>
      <c r="D385" s="571">
        <v>1800000</v>
      </c>
      <c r="E385" s="549">
        <v>0.04</v>
      </c>
      <c r="F385" s="543">
        <f t="shared" si="12"/>
        <v>72000</v>
      </c>
      <c r="G385" s="410" t="s">
        <v>104</v>
      </c>
      <c r="H385" s="410" t="s">
        <v>49</v>
      </c>
      <c r="I385" s="410" t="s">
        <v>104</v>
      </c>
    </row>
    <row r="386" spans="1:9" ht="15.75" hidden="1">
      <c r="A386" s="572">
        <v>14015</v>
      </c>
      <c r="B386" s="573">
        <v>0.1</v>
      </c>
      <c r="C386" s="570" t="s">
        <v>683</v>
      </c>
      <c r="D386" s="571">
        <v>1250000</v>
      </c>
      <c r="E386" s="545">
        <v>0.05</v>
      </c>
      <c r="F386" s="543">
        <f t="shared" si="12"/>
        <v>62500</v>
      </c>
      <c r="G386" s="410" t="s">
        <v>104</v>
      </c>
      <c r="H386" s="410" t="s">
        <v>49</v>
      </c>
      <c r="I386" s="410" t="s">
        <v>104</v>
      </c>
    </row>
    <row r="387" spans="1:9" ht="15.75" hidden="1">
      <c r="A387" s="572">
        <v>13999</v>
      </c>
      <c r="B387" s="573">
        <v>0.1</v>
      </c>
      <c r="C387" s="570" t="s">
        <v>684</v>
      </c>
      <c r="D387" s="571">
        <v>1200000</v>
      </c>
      <c r="E387" s="545">
        <v>0.05</v>
      </c>
      <c r="F387" s="543">
        <f t="shared" si="12"/>
        <v>60000</v>
      </c>
      <c r="G387" s="410" t="s">
        <v>104</v>
      </c>
      <c r="H387" s="410" t="s">
        <v>606</v>
      </c>
      <c r="I387" s="410" t="s">
        <v>104</v>
      </c>
    </row>
    <row r="388" spans="1:9" ht="15.75" hidden="1">
      <c r="A388" s="410">
        <v>14068</v>
      </c>
      <c r="B388" s="573">
        <v>0.1</v>
      </c>
      <c r="C388" s="570" t="s">
        <v>310</v>
      </c>
      <c r="D388" s="571">
        <v>1150000</v>
      </c>
      <c r="E388" s="545">
        <v>0.05</v>
      </c>
      <c r="F388" s="543">
        <f t="shared" si="12"/>
        <v>57500</v>
      </c>
      <c r="G388" s="410" t="s">
        <v>104</v>
      </c>
      <c r="H388" s="410" t="s">
        <v>49</v>
      </c>
      <c r="I388" s="410" t="s">
        <v>104</v>
      </c>
    </row>
    <row r="389" spans="1:9" ht="15.75" hidden="1">
      <c r="A389" s="410">
        <v>14099</v>
      </c>
      <c r="B389" s="575">
        <v>0.08</v>
      </c>
      <c r="C389" s="570" t="s">
        <v>685</v>
      </c>
      <c r="D389" s="571">
        <v>1200000</v>
      </c>
      <c r="E389" s="549">
        <v>0.04</v>
      </c>
      <c r="F389" s="543">
        <f t="shared" si="12"/>
        <v>48000</v>
      </c>
      <c r="G389" s="410" t="s">
        <v>104</v>
      </c>
      <c r="H389" s="410" t="s">
        <v>49</v>
      </c>
      <c r="I389" s="410" t="s">
        <v>104</v>
      </c>
    </row>
    <row r="390" spans="1:9" ht="15.75" hidden="1">
      <c r="A390" s="581" t="s">
        <v>667</v>
      </c>
      <c r="B390" s="582"/>
      <c r="C390" s="550" t="s">
        <v>686</v>
      </c>
      <c r="D390" s="551"/>
      <c r="E390" s="552"/>
      <c r="F390" s="543" t="s">
        <v>502</v>
      </c>
      <c r="G390" s="410"/>
      <c r="H390" s="410"/>
      <c r="I390" s="410"/>
    </row>
    <row r="391" spans="1:9" ht="15.75" hidden="1">
      <c r="A391" s="553" t="s">
        <v>265</v>
      </c>
      <c r="B391" s="554"/>
      <c r="C391" s="555" t="s">
        <v>266</v>
      </c>
      <c r="D391" s="556"/>
      <c r="E391" s="554"/>
      <c r="F391" s="557" t="s">
        <v>502</v>
      </c>
      <c r="G391" s="410"/>
      <c r="H391" s="410"/>
      <c r="I391" s="410"/>
    </row>
    <row r="392" spans="1:9" ht="15.75" hidden="1">
      <c r="A392" s="558" t="s">
        <v>32</v>
      </c>
      <c r="B392" s="559"/>
      <c r="C392" s="560"/>
      <c r="D392" s="561">
        <f>SUM(D375:D391)</f>
        <v>22400000</v>
      </c>
      <c r="E392" s="559"/>
      <c r="F392" s="562">
        <f>SUM(F375:F391)</f>
        <v>1053000</v>
      </c>
      <c r="G392" s="563"/>
      <c r="H392" s="564"/>
      <c r="I392" s="563"/>
    </row>
    <row r="393" spans="1:9" ht="23.25" hidden="1">
      <c r="A393" s="1077" t="s">
        <v>687</v>
      </c>
      <c r="B393" s="1078"/>
      <c r="C393" s="1078"/>
      <c r="D393" s="1078"/>
      <c r="E393" s="1078"/>
      <c r="F393" s="1078"/>
      <c r="G393" s="1078"/>
      <c r="H393" s="1078"/>
    </row>
    <row r="394" spans="1:9" ht="23.25" hidden="1">
      <c r="A394" s="259" t="s">
        <v>3</v>
      </c>
      <c r="B394" s="259" t="s">
        <v>606</v>
      </c>
      <c r="C394" s="259" t="s">
        <v>5</v>
      </c>
      <c r="D394" s="260" t="s">
        <v>6</v>
      </c>
      <c r="E394" s="260" t="s">
        <v>7</v>
      </c>
      <c r="F394" s="260" t="s">
        <v>645</v>
      </c>
      <c r="G394" s="101" t="s">
        <v>646</v>
      </c>
      <c r="H394" s="101" t="s">
        <v>647</v>
      </c>
      <c r="I394" s="496"/>
    </row>
    <row r="395" spans="1:9" ht="15.75" hidden="1">
      <c r="A395" s="525">
        <v>14034</v>
      </c>
      <c r="B395" s="348">
        <v>0.1</v>
      </c>
      <c r="C395" s="534" t="s">
        <v>688</v>
      </c>
      <c r="D395" s="420">
        <v>2900000</v>
      </c>
      <c r="E395" s="545">
        <v>0.04</v>
      </c>
      <c r="F395" s="543">
        <f>D395*E395</f>
        <v>116000</v>
      </c>
      <c r="G395" s="114" t="s">
        <v>104</v>
      </c>
      <c r="H395" s="446" t="s">
        <v>606</v>
      </c>
      <c r="I395" s="114" t="s">
        <v>648</v>
      </c>
    </row>
    <row r="396" spans="1:9" ht="15.75" hidden="1">
      <c r="A396" s="525">
        <v>13949</v>
      </c>
      <c r="B396" s="337">
        <v>0.1</v>
      </c>
      <c r="C396" s="535" t="s">
        <v>689</v>
      </c>
      <c r="D396" s="420">
        <v>1900000</v>
      </c>
      <c r="E396" s="545">
        <v>0.04</v>
      </c>
      <c r="F396" s="543">
        <f t="shared" ref="F396:F405" si="13">D396*E396</f>
        <v>76000</v>
      </c>
      <c r="G396" s="114" t="s">
        <v>104</v>
      </c>
      <c r="H396" s="446" t="s">
        <v>49</v>
      </c>
      <c r="I396" s="114" t="s">
        <v>648</v>
      </c>
    </row>
    <row r="397" spans="1:9" ht="15.75" hidden="1">
      <c r="A397" s="525">
        <v>13998</v>
      </c>
      <c r="B397" s="337">
        <v>0.1</v>
      </c>
      <c r="C397" s="534" t="s">
        <v>690</v>
      </c>
      <c r="D397" s="420">
        <v>900000</v>
      </c>
      <c r="E397" s="545">
        <v>0.04</v>
      </c>
      <c r="F397" s="543">
        <f t="shared" si="13"/>
        <v>36000</v>
      </c>
      <c r="G397" s="114" t="s">
        <v>104</v>
      </c>
      <c r="H397" s="446" t="s">
        <v>665</v>
      </c>
      <c r="I397" s="114" t="s">
        <v>648</v>
      </c>
    </row>
    <row r="398" spans="1:9" ht="15.75" hidden="1">
      <c r="A398" s="525">
        <v>14035</v>
      </c>
      <c r="B398" s="348">
        <v>0.1</v>
      </c>
      <c r="C398" s="408" t="s">
        <v>691</v>
      </c>
      <c r="D398" s="420">
        <v>1300000</v>
      </c>
      <c r="E398" s="545">
        <v>0.04</v>
      </c>
      <c r="F398" s="543">
        <f t="shared" si="13"/>
        <v>52000</v>
      </c>
      <c r="G398" s="114" t="s">
        <v>104</v>
      </c>
      <c r="H398" s="446" t="s">
        <v>49</v>
      </c>
      <c r="I398" s="114" t="s">
        <v>648</v>
      </c>
    </row>
    <row r="399" spans="1:9" ht="15.75" hidden="1">
      <c r="A399" s="525">
        <v>14081</v>
      </c>
      <c r="B399" s="348">
        <v>0.1</v>
      </c>
      <c r="C399" s="408" t="s">
        <v>692</v>
      </c>
      <c r="D399" s="420">
        <v>1000000</v>
      </c>
      <c r="E399" s="545">
        <v>0.04</v>
      </c>
      <c r="F399" s="543">
        <f t="shared" si="13"/>
        <v>40000</v>
      </c>
      <c r="G399" s="114" t="s">
        <v>104</v>
      </c>
      <c r="H399" s="446" t="s">
        <v>606</v>
      </c>
      <c r="I399" s="114" t="s">
        <v>648</v>
      </c>
    </row>
    <row r="400" spans="1:9" ht="15.75" hidden="1">
      <c r="A400" s="525">
        <v>13930</v>
      </c>
      <c r="B400" s="337">
        <v>0.1</v>
      </c>
      <c r="C400" s="535" t="s">
        <v>693</v>
      </c>
      <c r="D400" s="420">
        <v>1200000</v>
      </c>
      <c r="E400" s="545">
        <v>0.04</v>
      </c>
      <c r="F400" s="543">
        <f t="shared" si="13"/>
        <v>48000</v>
      </c>
      <c r="G400" s="114" t="s">
        <v>104</v>
      </c>
      <c r="H400" s="446" t="s">
        <v>49</v>
      </c>
      <c r="I400" s="114" t="s">
        <v>648</v>
      </c>
    </row>
    <row r="401" spans="1:9" ht="15.75" hidden="1">
      <c r="A401" s="528">
        <v>14055</v>
      </c>
      <c r="B401" s="343">
        <v>0.08</v>
      </c>
      <c r="C401" s="247" t="s">
        <v>694</v>
      </c>
      <c r="D401" s="420">
        <v>1800000</v>
      </c>
      <c r="E401" s="310">
        <v>0.03</v>
      </c>
      <c r="F401" s="543">
        <f t="shared" si="13"/>
        <v>54000</v>
      </c>
      <c r="G401" s="114" t="s">
        <v>104</v>
      </c>
      <c r="H401" s="446" t="s">
        <v>49</v>
      </c>
      <c r="I401" s="114" t="s">
        <v>648</v>
      </c>
    </row>
    <row r="402" spans="1:9" ht="15.75" hidden="1">
      <c r="A402" s="528">
        <v>14084</v>
      </c>
      <c r="B402" s="348">
        <v>0.1</v>
      </c>
      <c r="C402" s="408" t="s">
        <v>695</v>
      </c>
      <c r="D402" s="420">
        <v>1500000</v>
      </c>
      <c r="E402" s="545">
        <v>0.04</v>
      </c>
      <c r="F402" s="543">
        <f t="shared" si="13"/>
        <v>60000</v>
      </c>
      <c r="G402" s="83"/>
      <c r="H402" s="539"/>
      <c r="I402" s="114" t="s">
        <v>648</v>
      </c>
    </row>
    <row r="403" spans="1:9" ht="15.75" hidden="1">
      <c r="A403" s="587">
        <v>14114</v>
      </c>
      <c r="B403" s="348">
        <v>0.1</v>
      </c>
      <c r="C403" s="408" t="s">
        <v>696</v>
      </c>
      <c r="D403" s="420">
        <v>1300000</v>
      </c>
      <c r="E403" s="545">
        <v>0.04</v>
      </c>
      <c r="F403" s="543">
        <f t="shared" si="13"/>
        <v>52000</v>
      </c>
      <c r="G403" s="83"/>
      <c r="H403" s="539"/>
      <c r="I403" s="83"/>
    </row>
    <row r="404" spans="1:9" ht="15.75" hidden="1">
      <c r="A404" s="528">
        <v>14120</v>
      </c>
      <c r="B404" s="348">
        <v>0.1</v>
      </c>
      <c r="C404" s="408" t="s">
        <v>697</v>
      </c>
      <c r="D404" s="420">
        <v>1900000</v>
      </c>
      <c r="E404" s="545">
        <v>0.04</v>
      </c>
      <c r="F404" s="543">
        <f t="shared" si="13"/>
        <v>76000</v>
      </c>
      <c r="G404" s="83"/>
      <c r="H404" s="446" t="s">
        <v>606</v>
      </c>
      <c r="I404" s="114" t="s">
        <v>648</v>
      </c>
    </row>
    <row r="405" spans="1:9" ht="15.75" hidden="1">
      <c r="A405" s="528">
        <v>14097</v>
      </c>
      <c r="B405" s="348">
        <v>0.1</v>
      </c>
      <c r="C405" s="408" t="s">
        <v>698</v>
      </c>
      <c r="D405" s="420">
        <v>1900000</v>
      </c>
      <c r="E405" s="545">
        <v>0.04</v>
      </c>
      <c r="F405" s="543">
        <f t="shared" si="13"/>
        <v>76000</v>
      </c>
      <c r="G405" s="114" t="s">
        <v>104</v>
      </c>
      <c r="H405" s="446" t="s">
        <v>665</v>
      </c>
      <c r="I405" s="114" t="s">
        <v>648</v>
      </c>
    </row>
    <row r="406" spans="1:9" ht="15" hidden="1">
      <c r="A406" s="497" t="s">
        <v>348</v>
      </c>
      <c r="B406" s="451">
        <v>0.1</v>
      </c>
      <c r="C406" s="479" t="s">
        <v>699</v>
      </c>
      <c r="D406" s="444"/>
      <c r="E406" s="345"/>
      <c r="F406" s="449" t="s">
        <v>502</v>
      </c>
      <c r="G406" s="114"/>
      <c r="H406" s="446"/>
      <c r="I406" s="114"/>
    </row>
    <row r="407" spans="1:9" ht="15" hidden="1">
      <c r="A407" s="452" t="s">
        <v>348</v>
      </c>
      <c r="B407" s="413">
        <v>0.08</v>
      </c>
      <c r="C407" s="473" t="s">
        <v>274</v>
      </c>
      <c r="D407" s="221"/>
      <c r="E407" s="345"/>
      <c r="F407" s="449"/>
      <c r="G407" s="114"/>
      <c r="H407" s="446"/>
      <c r="I407" s="114"/>
    </row>
    <row r="408" spans="1:9" ht="15" hidden="1">
      <c r="A408" s="418"/>
      <c r="B408" s="443"/>
      <c r="C408" s="336"/>
      <c r="D408" s="434">
        <f>SUM(D395:D407)</f>
        <v>17600000</v>
      </c>
      <c r="E408" s="345"/>
      <c r="F408" s="579">
        <f>SUM(F395:F407)</f>
        <v>686000</v>
      </c>
      <c r="G408" s="114"/>
      <c r="H408" s="446"/>
      <c r="I408" s="114"/>
    </row>
    <row r="409" spans="1:9" ht="23.25" hidden="1">
      <c r="A409" s="1077" t="s">
        <v>700</v>
      </c>
      <c r="B409" s="1078"/>
      <c r="C409" s="1078"/>
      <c r="D409" s="1078"/>
      <c r="E409" s="1078"/>
      <c r="F409" s="1078"/>
      <c r="G409" s="1078"/>
      <c r="H409" s="1078"/>
      <c r="I409" s="496"/>
    </row>
    <row r="410" spans="1:9" ht="23.25" hidden="1">
      <c r="A410" s="259" t="s">
        <v>3</v>
      </c>
      <c r="B410" s="259" t="s">
        <v>606</v>
      </c>
      <c r="C410" s="259" t="s">
        <v>5</v>
      </c>
      <c r="D410" s="260" t="s">
        <v>6</v>
      </c>
      <c r="E410" s="260" t="s">
        <v>7</v>
      </c>
      <c r="F410" s="260" t="s">
        <v>645</v>
      </c>
      <c r="G410" s="101" t="s">
        <v>646</v>
      </c>
      <c r="H410" s="101" t="s">
        <v>647</v>
      </c>
      <c r="I410" s="496"/>
    </row>
    <row r="411" spans="1:9" ht="15" hidden="1">
      <c r="A411" s="585" t="s">
        <v>299</v>
      </c>
      <c r="B411" s="337">
        <v>0.1</v>
      </c>
      <c r="C411" s="419" t="s">
        <v>701</v>
      </c>
      <c r="D411" s="510">
        <v>1700000</v>
      </c>
      <c r="E411" s="310"/>
      <c r="F411" s="431" t="s">
        <v>153</v>
      </c>
      <c r="G411" s="114" t="s">
        <v>104</v>
      </c>
      <c r="H411" s="114" t="s">
        <v>49</v>
      </c>
      <c r="I411" s="424" t="s">
        <v>648</v>
      </c>
    </row>
    <row r="412" spans="1:9" ht="14.25" hidden="1" customHeight="1">
      <c r="A412" s="418"/>
      <c r="B412" s="421"/>
      <c r="C412" s="419"/>
      <c r="D412" s="420"/>
      <c r="E412" s="345"/>
      <c r="F412" s="422"/>
      <c r="G412" s="114"/>
      <c r="H412" s="446"/>
      <c r="I412" s="114"/>
    </row>
    <row r="413" spans="1:9" ht="15" hidden="1">
      <c r="A413" s="418"/>
      <c r="B413" s="421"/>
      <c r="C413" s="336"/>
      <c r="D413" s="420"/>
      <c r="E413" s="345"/>
      <c r="F413" s="422"/>
      <c r="G413" s="114"/>
      <c r="H413" s="446"/>
      <c r="I413" s="114"/>
    </row>
    <row r="414" spans="1:9" ht="15" hidden="1">
      <c r="A414" s="518" t="s">
        <v>32</v>
      </c>
      <c r="B414" s="519"/>
      <c r="C414" s="520"/>
      <c r="D414" s="521">
        <f>SUM(D411:D413)</f>
        <v>1700000</v>
      </c>
      <c r="E414" s="522"/>
      <c r="F414" s="523"/>
      <c r="G414" s="424"/>
      <c r="H414" s="447"/>
      <c r="I414" s="424"/>
    </row>
    <row r="415" spans="1:9" hidden="1">
      <c r="A415" s="52"/>
      <c r="B415" s="52"/>
      <c r="C415" s="52"/>
      <c r="D415" s="52"/>
      <c r="E415" s="52"/>
      <c r="F415" s="52"/>
      <c r="G415" s="114"/>
      <c r="H415" s="114"/>
      <c r="I415" s="114"/>
    </row>
    <row r="416" spans="1:9" hidden="1">
      <c r="A416" s="52"/>
      <c r="B416" s="52"/>
      <c r="C416" s="52"/>
      <c r="D416" s="52"/>
      <c r="E416" s="52"/>
      <c r="F416" s="52"/>
      <c r="G416" s="114"/>
      <c r="H416" s="114"/>
      <c r="I416" s="114"/>
    </row>
    <row r="417" spans="1:9" hidden="1">
      <c r="A417" s="114"/>
      <c r="B417" s="114"/>
      <c r="C417" s="114"/>
      <c r="D417" s="114"/>
      <c r="E417" s="52"/>
      <c r="F417" s="52"/>
      <c r="G417" s="114"/>
      <c r="H417" s="114"/>
      <c r="I417" s="114"/>
    </row>
    <row r="418" spans="1:9" ht="23.25" hidden="1">
      <c r="A418" s="1077" t="s">
        <v>702</v>
      </c>
      <c r="B418" s="1078"/>
      <c r="C418" s="1078"/>
      <c r="D418" s="1078"/>
      <c r="E418" s="1078"/>
      <c r="F418" s="1078"/>
      <c r="G418" s="1078"/>
      <c r="H418" s="1078"/>
    </row>
    <row r="419" spans="1:9" ht="23.25" hidden="1">
      <c r="A419" s="259" t="s">
        <v>3</v>
      </c>
      <c r="B419" s="259" t="s">
        <v>606</v>
      </c>
      <c r="C419" s="259" t="s">
        <v>5</v>
      </c>
      <c r="D419" s="260" t="s">
        <v>6</v>
      </c>
      <c r="E419" s="260" t="s">
        <v>7</v>
      </c>
      <c r="F419" s="260" t="s">
        <v>645</v>
      </c>
      <c r="G419" s="260" t="s">
        <v>646</v>
      </c>
      <c r="H419" s="423" t="s">
        <v>647</v>
      </c>
    </row>
    <row r="420" spans="1:9" ht="15" hidden="1">
      <c r="A420" s="525">
        <v>13890</v>
      </c>
      <c r="B420" s="526">
        <v>0.08</v>
      </c>
      <c r="C420" s="408" t="s">
        <v>672</v>
      </c>
      <c r="D420" s="527">
        <v>2000000</v>
      </c>
      <c r="E420" s="583">
        <v>0.01</v>
      </c>
      <c r="F420" s="431">
        <f>D420*E420</f>
        <v>20000</v>
      </c>
      <c r="G420" s="114" t="s">
        <v>104</v>
      </c>
      <c r="H420" s="447" t="s">
        <v>606</v>
      </c>
      <c r="I420" s="114" t="s">
        <v>104</v>
      </c>
    </row>
    <row r="421" spans="1:9" ht="15" hidden="1">
      <c r="A421" s="528">
        <v>13925</v>
      </c>
      <c r="B421" s="337">
        <v>0.1</v>
      </c>
      <c r="C421" s="408" t="s">
        <v>673</v>
      </c>
      <c r="D421" s="527">
        <v>1450000</v>
      </c>
      <c r="E421" s="598">
        <v>0.02</v>
      </c>
      <c r="F421" s="431">
        <f>D421*E421</f>
        <v>29000</v>
      </c>
      <c r="G421" s="114" t="s">
        <v>104</v>
      </c>
      <c r="H421" s="446" t="s">
        <v>49</v>
      </c>
      <c r="I421" s="114" t="s">
        <v>104</v>
      </c>
    </row>
    <row r="422" spans="1:9" ht="15" hidden="1">
      <c r="A422" s="528">
        <v>14001</v>
      </c>
      <c r="B422" s="337">
        <v>0.1</v>
      </c>
      <c r="C422" s="408" t="s">
        <v>674</v>
      </c>
      <c r="D422" s="527">
        <v>1450000</v>
      </c>
      <c r="E422" s="598">
        <v>0.02</v>
      </c>
      <c r="F422" s="431">
        <f>D422*E422</f>
        <v>29000</v>
      </c>
      <c r="G422" s="114" t="s">
        <v>104</v>
      </c>
      <c r="H422" s="446" t="s">
        <v>49</v>
      </c>
      <c r="I422" s="114" t="s">
        <v>104</v>
      </c>
    </row>
    <row r="423" spans="1:9" ht="15" hidden="1">
      <c r="A423" s="529">
        <v>14076</v>
      </c>
      <c r="B423" s="337">
        <v>0.1</v>
      </c>
      <c r="C423" s="408" t="s">
        <v>253</v>
      </c>
      <c r="D423" s="527">
        <v>2250000</v>
      </c>
      <c r="E423" s="598">
        <v>0.02</v>
      </c>
      <c r="F423" s="431">
        <f>D423*E423</f>
        <v>45000</v>
      </c>
      <c r="G423" s="114" t="s">
        <v>104</v>
      </c>
      <c r="H423" s="446" t="s">
        <v>49</v>
      </c>
      <c r="I423" s="114" t="s">
        <v>104</v>
      </c>
    </row>
    <row r="424" spans="1:9" ht="15" hidden="1">
      <c r="A424" s="528">
        <v>13941</v>
      </c>
      <c r="B424" s="343">
        <v>0.08</v>
      </c>
      <c r="C424" s="408" t="s">
        <v>676</v>
      </c>
      <c r="D424" s="527">
        <v>1700000</v>
      </c>
      <c r="E424" s="583">
        <v>0.01</v>
      </c>
      <c r="F424" s="431">
        <f>D424*E424</f>
        <v>17000</v>
      </c>
      <c r="G424" s="114" t="s">
        <v>104</v>
      </c>
      <c r="H424" s="446" t="s">
        <v>49</v>
      </c>
      <c r="I424" s="114" t="s">
        <v>104</v>
      </c>
    </row>
    <row r="425" spans="1:9" ht="15" hidden="1">
      <c r="A425" s="528">
        <v>14009</v>
      </c>
      <c r="B425" s="337">
        <v>0.1</v>
      </c>
      <c r="C425" s="408" t="s">
        <v>677</v>
      </c>
      <c r="D425" s="527">
        <v>1800000</v>
      </c>
      <c r="E425" s="598">
        <v>0.02</v>
      </c>
      <c r="F425" s="431">
        <f>D425*E425</f>
        <v>36000</v>
      </c>
      <c r="G425" s="114" t="s">
        <v>104</v>
      </c>
      <c r="H425" s="114" t="s">
        <v>49</v>
      </c>
      <c r="I425" s="114" t="s">
        <v>104</v>
      </c>
    </row>
    <row r="426" spans="1:9" ht="15" hidden="1">
      <c r="A426" s="525">
        <v>13867</v>
      </c>
      <c r="B426" s="337">
        <v>0.1</v>
      </c>
      <c r="C426" s="408" t="s">
        <v>678</v>
      </c>
      <c r="D426" s="527">
        <v>1250000</v>
      </c>
      <c r="E426" s="598">
        <v>0.02</v>
      </c>
      <c r="F426" s="431">
        <f>D426*E426</f>
        <v>25000</v>
      </c>
      <c r="G426" s="114" t="s">
        <v>104</v>
      </c>
      <c r="H426" s="446" t="s">
        <v>49</v>
      </c>
      <c r="I426" s="114" t="s">
        <v>104</v>
      </c>
    </row>
    <row r="427" spans="1:9" ht="15" hidden="1">
      <c r="A427" s="525">
        <v>13955</v>
      </c>
      <c r="B427" s="337">
        <v>0.1</v>
      </c>
      <c r="C427" s="408" t="s">
        <v>679</v>
      </c>
      <c r="D427" s="527">
        <v>1700000</v>
      </c>
      <c r="E427" s="598">
        <v>0.02</v>
      </c>
      <c r="F427" s="431">
        <f>D427*E427</f>
        <v>34000</v>
      </c>
      <c r="G427" s="114" t="s">
        <v>104</v>
      </c>
      <c r="H427" s="446" t="s">
        <v>49</v>
      </c>
      <c r="I427" s="114" t="s">
        <v>104</v>
      </c>
    </row>
    <row r="428" spans="1:9" ht="15" hidden="1">
      <c r="A428" s="530">
        <v>13927</v>
      </c>
      <c r="B428" s="531">
        <v>0.1</v>
      </c>
      <c r="C428" s="408" t="s">
        <v>680</v>
      </c>
      <c r="D428" s="527">
        <v>1200000</v>
      </c>
      <c r="E428" s="598">
        <v>0.02</v>
      </c>
      <c r="F428" s="431">
        <f>D428*E428</f>
        <v>24000</v>
      </c>
      <c r="G428" s="424" t="s">
        <v>104</v>
      </c>
      <c r="H428" s="447" t="s">
        <v>606</v>
      </c>
      <c r="I428" s="114" t="s">
        <v>104</v>
      </c>
    </row>
    <row r="429" spans="1:9" ht="15" hidden="1">
      <c r="A429" s="528">
        <v>13917</v>
      </c>
      <c r="B429" s="337">
        <v>0.1</v>
      </c>
      <c r="C429" s="408" t="s">
        <v>681</v>
      </c>
      <c r="D429" s="527">
        <v>1000000</v>
      </c>
      <c r="E429" s="598">
        <v>0.02</v>
      </c>
      <c r="F429" s="431">
        <f>D429*E429</f>
        <v>20000</v>
      </c>
      <c r="G429" s="114" t="s">
        <v>104</v>
      </c>
      <c r="H429" s="114" t="s">
        <v>49</v>
      </c>
      <c r="I429" s="114" t="s">
        <v>104</v>
      </c>
    </row>
    <row r="430" spans="1:9" ht="15" hidden="1">
      <c r="A430" s="528">
        <v>13962</v>
      </c>
      <c r="B430" s="343">
        <v>0.08</v>
      </c>
      <c r="C430" s="408" t="s">
        <v>682</v>
      </c>
      <c r="D430" s="527">
        <v>1800000</v>
      </c>
      <c r="E430" s="583">
        <v>0.01</v>
      </c>
      <c r="F430" s="431">
        <f>D430*E430</f>
        <v>18000</v>
      </c>
      <c r="G430" s="114" t="s">
        <v>104</v>
      </c>
      <c r="H430" s="114" t="s">
        <v>49</v>
      </c>
      <c r="I430" s="114" t="s">
        <v>104</v>
      </c>
    </row>
    <row r="431" spans="1:9" ht="15" hidden="1">
      <c r="A431" s="528">
        <v>14015</v>
      </c>
      <c r="B431" s="337">
        <v>0.1</v>
      </c>
      <c r="C431" s="408" t="s">
        <v>683</v>
      </c>
      <c r="D431" s="527">
        <v>1250000</v>
      </c>
      <c r="E431" s="598">
        <v>0.02</v>
      </c>
      <c r="F431" s="431">
        <f>D431*E431</f>
        <v>25000</v>
      </c>
      <c r="G431" s="114" t="s">
        <v>104</v>
      </c>
      <c r="H431" s="114" t="s">
        <v>49</v>
      </c>
      <c r="I431" s="114" t="s">
        <v>104</v>
      </c>
    </row>
    <row r="432" spans="1:9" ht="15" hidden="1">
      <c r="A432" s="528">
        <v>13999</v>
      </c>
      <c r="B432" s="337">
        <v>0.1</v>
      </c>
      <c r="C432" s="408" t="s">
        <v>684</v>
      </c>
      <c r="D432" s="527">
        <v>1200000</v>
      </c>
      <c r="E432" s="598">
        <v>0.02</v>
      </c>
      <c r="F432" s="431">
        <f>D432*E432</f>
        <v>24000</v>
      </c>
      <c r="G432" s="114" t="s">
        <v>104</v>
      </c>
      <c r="H432" s="114" t="s">
        <v>606</v>
      </c>
      <c r="I432" s="114" t="s">
        <v>104</v>
      </c>
    </row>
    <row r="433" spans="1:9" ht="15" hidden="1">
      <c r="A433" s="529">
        <v>14068</v>
      </c>
      <c r="B433" s="337">
        <v>0.1</v>
      </c>
      <c r="C433" s="408" t="s">
        <v>285</v>
      </c>
      <c r="D433" s="527">
        <v>1150000</v>
      </c>
      <c r="E433" s="598">
        <v>0.02</v>
      </c>
      <c r="F433" s="431">
        <f>D433*E433</f>
        <v>23000</v>
      </c>
      <c r="G433" s="114" t="s">
        <v>104</v>
      </c>
      <c r="H433" s="114" t="s">
        <v>49</v>
      </c>
      <c r="I433" s="114" t="s">
        <v>104</v>
      </c>
    </row>
    <row r="434" spans="1:9" ht="15" hidden="1">
      <c r="A434" s="529">
        <v>14099</v>
      </c>
      <c r="B434" s="343">
        <v>0.08</v>
      </c>
      <c r="C434" s="114" t="s">
        <v>287</v>
      </c>
      <c r="D434" s="527">
        <v>1200000</v>
      </c>
      <c r="E434" s="583">
        <v>0.01</v>
      </c>
      <c r="F434" s="431">
        <f>D434*E434</f>
        <v>12000</v>
      </c>
      <c r="G434" s="114" t="s">
        <v>104</v>
      </c>
      <c r="H434" s="114" t="s">
        <v>49</v>
      </c>
      <c r="I434" s="114" t="s">
        <v>104</v>
      </c>
    </row>
    <row r="435" spans="1:9" ht="15" hidden="1">
      <c r="A435" s="532">
        <v>13954</v>
      </c>
      <c r="B435" s="337">
        <v>0.1</v>
      </c>
      <c r="C435" s="408" t="s">
        <v>649</v>
      </c>
      <c r="D435" s="527">
        <v>1900000</v>
      </c>
      <c r="E435" s="598">
        <v>0.02</v>
      </c>
      <c r="F435" s="431">
        <f>D435*E435</f>
        <v>38000</v>
      </c>
      <c r="G435" s="445" t="s">
        <v>104</v>
      </c>
      <c r="H435" s="445" t="s">
        <v>606</v>
      </c>
      <c r="I435" s="445" t="s">
        <v>104</v>
      </c>
    </row>
    <row r="436" spans="1:9" ht="15" hidden="1">
      <c r="A436" s="532">
        <v>13972</v>
      </c>
      <c r="B436" s="337">
        <v>0.1</v>
      </c>
      <c r="C436" s="408" t="s">
        <v>650</v>
      </c>
      <c r="D436" s="527">
        <v>1550000</v>
      </c>
      <c r="E436" s="598">
        <v>0.02</v>
      </c>
      <c r="F436" s="431">
        <f>D436*E436</f>
        <v>31000</v>
      </c>
      <c r="G436" s="445" t="s">
        <v>104</v>
      </c>
      <c r="H436" s="445" t="s">
        <v>606</v>
      </c>
      <c r="I436" s="445" t="s">
        <v>104</v>
      </c>
    </row>
    <row r="437" spans="1:9" ht="15" hidden="1">
      <c r="A437" s="532" t="s">
        <v>651</v>
      </c>
      <c r="B437" s="337">
        <v>0.1</v>
      </c>
      <c r="C437" s="408" t="s">
        <v>652</v>
      </c>
      <c r="D437" s="527">
        <v>2700000</v>
      </c>
      <c r="E437" s="598">
        <v>0.02</v>
      </c>
      <c r="F437" s="431">
        <f>D437*E437</f>
        <v>54000</v>
      </c>
      <c r="G437" s="445" t="s">
        <v>104</v>
      </c>
      <c r="H437" s="445" t="s">
        <v>49</v>
      </c>
      <c r="I437" s="445" t="s">
        <v>104</v>
      </c>
    </row>
    <row r="438" spans="1:9" ht="15" hidden="1">
      <c r="A438" s="528">
        <v>13924</v>
      </c>
      <c r="B438" s="337">
        <v>0.1</v>
      </c>
      <c r="C438" s="408" t="s">
        <v>653</v>
      </c>
      <c r="D438" s="527">
        <v>1900000</v>
      </c>
      <c r="E438" s="598">
        <v>0.02</v>
      </c>
      <c r="F438" s="431">
        <f>D438*E438</f>
        <v>38000</v>
      </c>
      <c r="G438" s="445" t="s">
        <v>104</v>
      </c>
      <c r="H438" s="445" t="s">
        <v>49</v>
      </c>
      <c r="I438" s="445" t="s">
        <v>104</v>
      </c>
    </row>
    <row r="439" spans="1:9" ht="15" hidden="1">
      <c r="A439" s="530">
        <v>13982</v>
      </c>
      <c r="B439" s="531">
        <v>0.1</v>
      </c>
      <c r="C439" s="408" t="s">
        <v>654</v>
      </c>
      <c r="D439" s="527">
        <v>3100000</v>
      </c>
      <c r="E439" s="598">
        <v>0.02</v>
      </c>
      <c r="F439" s="431">
        <f>D439*E439</f>
        <v>62000</v>
      </c>
      <c r="G439" s="445" t="s">
        <v>104</v>
      </c>
      <c r="H439" s="445" t="s">
        <v>49</v>
      </c>
      <c r="I439" s="445" t="s">
        <v>104</v>
      </c>
    </row>
    <row r="440" spans="1:9" ht="15" hidden="1">
      <c r="A440" s="533" t="s">
        <v>655</v>
      </c>
      <c r="B440" s="337">
        <v>0.1</v>
      </c>
      <c r="C440" s="408" t="s">
        <v>703</v>
      </c>
      <c r="D440" s="527">
        <v>1750000</v>
      </c>
      <c r="E440" s="598">
        <v>0.02</v>
      </c>
      <c r="F440" s="431">
        <f>D440*E440</f>
        <v>35000</v>
      </c>
      <c r="G440" s="445" t="s">
        <v>104</v>
      </c>
      <c r="H440" s="445" t="s">
        <v>606</v>
      </c>
      <c r="I440" s="445" t="s">
        <v>104</v>
      </c>
    </row>
    <row r="441" spans="1:9" ht="15" hidden="1">
      <c r="A441" s="533">
        <v>13984</v>
      </c>
      <c r="B441" s="337">
        <v>0.1</v>
      </c>
      <c r="C441" s="408" t="s">
        <v>256</v>
      </c>
      <c r="D441" s="527">
        <v>1300000</v>
      </c>
      <c r="E441" s="598">
        <v>0.02</v>
      </c>
      <c r="F441" s="431">
        <f>D441*E441</f>
        <v>26000</v>
      </c>
      <c r="G441" s="445" t="s">
        <v>104</v>
      </c>
      <c r="H441" s="445" t="s">
        <v>606</v>
      </c>
      <c r="I441" s="445" t="s">
        <v>104</v>
      </c>
    </row>
    <row r="442" spans="1:9" ht="15" hidden="1">
      <c r="A442" s="528">
        <v>14067</v>
      </c>
      <c r="B442" s="337">
        <v>0.1</v>
      </c>
      <c r="C442" s="408" t="s">
        <v>657</v>
      </c>
      <c r="D442" s="527">
        <v>1750000</v>
      </c>
      <c r="E442" s="598">
        <v>0.02</v>
      </c>
      <c r="F442" s="431">
        <f>D442*E442</f>
        <v>35000</v>
      </c>
      <c r="G442" s="445" t="s">
        <v>104</v>
      </c>
      <c r="H442" s="445" t="s">
        <v>49</v>
      </c>
      <c r="I442" s="445" t="s">
        <v>104</v>
      </c>
    </row>
    <row r="443" spans="1:9" ht="15" hidden="1">
      <c r="A443" s="528">
        <v>14087</v>
      </c>
      <c r="B443" s="337">
        <v>0.1</v>
      </c>
      <c r="C443" s="408" t="s">
        <v>704</v>
      </c>
      <c r="D443" s="527">
        <v>2200000</v>
      </c>
      <c r="E443" s="598">
        <v>0.02</v>
      </c>
      <c r="F443" s="431">
        <f>D443*E443</f>
        <v>44000</v>
      </c>
      <c r="G443" s="445" t="s">
        <v>104</v>
      </c>
      <c r="H443" s="114" t="s">
        <v>606</v>
      </c>
      <c r="I443" s="445" t="s">
        <v>104</v>
      </c>
    </row>
    <row r="444" spans="1:9" ht="15" hidden="1">
      <c r="A444" s="528">
        <v>14091</v>
      </c>
      <c r="B444" s="337">
        <v>0.1</v>
      </c>
      <c r="C444" s="114" t="s">
        <v>260</v>
      </c>
      <c r="D444" s="527">
        <v>2650000</v>
      </c>
      <c r="E444" s="598">
        <v>0.02</v>
      </c>
      <c r="F444" s="431">
        <f>D444*E444</f>
        <v>53000</v>
      </c>
      <c r="G444" s="445" t="s">
        <v>104</v>
      </c>
      <c r="H444" s="424" t="s">
        <v>49</v>
      </c>
      <c r="I444" s="445" t="s">
        <v>104</v>
      </c>
    </row>
    <row r="445" spans="1:9" ht="15" hidden="1">
      <c r="A445" s="528">
        <v>13938</v>
      </c>
      <c r="B445" s="337">
        <v>0.1</v>
      </c>
      <c r="C445" s="408" t="s">
        <v>660</v>
      </c>
      <c r="D445" s="527">
        <v>2000000</v>
      </c>
      <c r="E445" s="598">
        <v>0.02</v>
      </c>
      <c r="F445" s="431">
        <f>D445*E445</f>
        <v>40000</v>
      </c>
      <c r="G445" s="445" t="s">
        <v>104</v>
      </c>
      <c r="H445" s="445" t="s">
        <v>49</v>
      </c>
      <c r="I445" s="445" t="s">
        <v>104</v>
      </c>
    </row>
    <row r="446" spans="1:9" ht="15" hidden="1">
      <c r="A446" s="530">
        <v>13981</v>
      </c>
      <c r="B446" s="531">
        <v>0.1</v>
      </c>
      <c r="C446" s="408" t="s">
        <v>661</v>
      </c>
      <c r="D446" s="527">
        <v>1600000</v>
      </c>
      <c r="E446" s="598">
        <v>0.02</v>
      </c>
      <c r="F446" s="431">
        <f>D446*E446</f>
        <v>32000</v>
      </c>
      <c r="G446" s="445" t="s">
        <v>104</v>
      </c>
      <c r="H446" s="445" t="s">
        <v>49</v>
      </c>
      <c r="I446" s="445" t="s">
        <v>104</v>
      </c>
    </row>
    <row r="447" spans="1:9" ht="15" hidden="1">
      <c r="A447" s="532" t="s">
        <v>662</v>
      </c>
      <c r="B447" s="337">
        <v>0.1</v>
      </c>
      <c r="C447" s="408" t="s">
        <v>663</v>
      </c>
      <c r="D447" s="527">
        <v>1700000</v>
      </c>
      <c r="E447" s="598">
        <v>0.02</v>
      </c>
      <c r="F447" s="431">
        <f>D447*E447</f>
        <v>34000</v>
      </c>
      <c r="G447" s="445" t="s">
        <v>104</v>
      </c>
      <c r="H447" s="445" t="s">
        <v>606</v>
      </c>
      <c r="I447" s="445" t="s">
        <v>104</v>
      </c>
    </row>
    <row r="448" spans="1:9" ht="15" hidden="1">
      <c r="A448" s="532">
        <v>14089</v>
      </c>
      <c r="B448" s="343">
        <v>0.08</v>
      </c>
      <c r="C448" s="408" t="s">
        <v>292</v>
      </c>
      <c r="D448" s="527">
        <v>1050000</v>
      </c>
      <c r="E448" s="583">
        <v>0.01</v>
      </c>
      <c r="F448" s="431">
        <f>D448*E448</f>
        <v>10500</v>
      </c>
      <c r="G448" s="499"/>
      <c r="H448" s="499"/>
      <c r="I448" s="499"/>
    </row>
    <row r="449" spans="1:9" ht="15" hidden="1">
      <c r="A449" s="528">
        <v>13918</v>
      </c>
      <c r="B449" s="337">
        <v>0.1</v>
      </c>
      <c r="C449" s="408" t="s">
        <v>302</v>
      </c>
      <c r="D449" s="527">
        <v>1550000</v>
      </c>
      <c r="E449" s="598">
        <v>0.02</v>
      </c>
      <c r="F449" s="431">
        <f>D449*E449</f>
        <v>31000</v>
      </c>
      <c r="G449" s="445" t="s">
        <v>104</v>
      </c>
      <c r="H449" s="445" t="s">
        <v>49</v>
      </c>
      <c r="I449" s="445" t="s">
        <v>104</v>
      </c>
    </row>
    <row r="450" spans="1:9" ht="15" hidden="1">
      <c r="A450" s="528">
        <v>14109</v>
      </c>
      <c r="B450" s="348">
        <v>0.1</v>
      </c>
      <c r="C450" s="408" t="s">
        <v>705</v>
      </c>
      <c r="D450" s="527">
        <v>2600000</v>
      </c>
      <c r="E450" s="598">
        <v>0.02</v>
      </c>
      <c r="F450" s="431">
        <f>D450*E450</f>
        <v>52000</v>
      </c>
      <c r="G450" s="499"/>
      <c r="H450" s="538"/>
      <c r="I450" s="499"/>
    </row>
    <row r="451" spans="1:9" ht="15" hidden="1">
      <c r="A451" s="525">
        <v>14034</v>
      </c>
      <c r="B451" s="348">
        <v>0.1</v>
      </c>
      <c r="C451" s="534" t="s">
        <v>706</v>
      </c>
      <c r="D451" s="527">
        <v>2900000</v>
      </c>
      <c r="E451" s="598">
        <v>0.02</v>
      </c>
      <c r="F451" s="431">
        <f>D451*E451</f>
        <v>58000</v>
      </c>
      <c r="G451" s="114" t="s">
        <v>104</v>
      </c>
      <c r="H451" s="446" t="s">
        <v>606</v>
      </c>
      <c r="I451" s="114" t="s">
        <v>648</v>
      </c>
    </row>
    <row r="452" spans="1:9" ht="15" hidden="1">
      <c r="A452" s="525">
        <v>13949</v>
      </c>
      <c r="B452" s="337">
        <v>0.1</v>
      </c>
      <c r="C452" s="535" t="s">
        <v>689</v>
      </c>
      <c r="D452" s="527">
        <v>1900000</v>
      </c>
      <c r="E452" s="598">
        <v>0.02</v>
      </c>
      <c r="F452" s="431">
        <f>D452*E452</f>
        <v>38000</v>
      </c>
      <c r="G452" s="114" t="s">
        <v>104</v>
      </c>
      <c r="H452" s="446" t="s">
        <v>49</v>
      </c>
      <c r="I452" s="114" t="s">
        <v>648</v>
      </c>
    </row>
    <row r="453" spans="1:9" ht="15" hidden="1">
      <c r="A453" s="525">
        <v>13998</v>
      </c>
      <c r="B453" s="337">
        <v>0.1</v>
      </c>
      <c r="C453" s="534" t="s">
        <v>690</v>
      </c>
      <c r="D453" s="527">
        <v>900000</v>
      </c>
      <c r="E453" s="598">
        <v>0.02</v>
      </c>
      <c r="F453" s="431">
        <f>D453*E453</f>
        <v>18000</v>
      </c>
      <c r="G453" s="114" t="s">
        <v>104</v>
      </c>
      <c r="H453" s="446" t="s">
        <v>665</v>
      </c>
      <c r="I453" s="114" t="s">
        <v>648</v>
      </c>
    </row>
    <row r="454" spans="1:9" ht="15" hidden="1">
      <c r="A454" s="525">
        <v>14035</v>
      </c>
      <c r="B454" s="348">
        <v>0.1</v>
      </c>
      <c r="C454" s="408" t="s">
        <v>691</v>
      </c>
      <c r="D454" s="527">
        <v>1300000</v>
      </c>
      <c r="E454" s="598">
        <v>0.02</v>
      </c>
      <c r="F454" s="431">
        <f>D454*E454</f>
        <v>26000</v>
      </c>
      <c r="G454" s="114" t="s">
        <v>104</v>
      </c>
      <c r="H454" s="446" t="s">
        <v>49</v>
      </c>
      <c r="I454" s="114" t="s">
        <v>648</v>
      </c>
    </row>
    <row r="455" spans="1:9" ht="15" hidden="1">
      <c r="A455" s="525">
        <v>14081</v>
      </c>
      <c r="B455" s="348">
        <v>0.1</v>
      </c>
      <c r="C455" s="408" t="s">
        <v>296</v>
      </c>
      <c r="D455" s="527">
        <v>1000000</v>
      </c>
      <c r="E455" s="598">
        <v>0.02</v>
      </c>
      <c r="F455" s="431">
        <f>D455*E455</f>
        <v>20000</v>
      </c>
      <c r="G455" s="83"/>
      <c r="H455" s="446" t="s">
        <v>606</v>
      </c>
      <c r="I455" s="114" t="s">
        <v>648</v>
      </c>
    </row>
    <row r="456" spans="1:9" ht="15" hidden="1">
      <c r="A456" s="525">
        <v>13930</v>
      </c>
      <c r="B456" s="337">
        <v>0.1</v>
      </c>
      <c r="C456" s="535" t="s">
        <v>693</v>
      </c>
      <c r="D456" s="527">
        <v>1200000</v>
      </c>
      <c r="E456" s="598">
        <v>0.02</v>
      </c>
      <c r="F456" s="431">
        <f>D456*E456</f>
        <v>24000</v>
      </c>
      <c r="G456" s="114" t="s">
        <v>104</v>
      </c>
      <c r="H456" s="446" t="s">
        <v>49</v>
      </c>
      <c r="I456" s="114" t="s">
        <v>648</v>
      </c>
    </row>
    <row r="457" spans="1:9" ht="15" hidden="1">
      <c r="A457" s="530">
        <v>14055</v>
      </c>
      <c r="B457" s="343">
        <v>0.08</v>
      </c>
      <c r="C457" s="247" t="s">
        <v>306</v>
      </c>
      <c r="D457" s="527">
        <v>1800000</v>
      </c>
      <c r="E457" s="583">
        <v>0.01</v>
      </c>
      <c r="F457" s="431">
        <f>D457*E457</f>
        <v>18000</v>
      </c>
      <c r="G457" s="114" t="s">
        <v>104</v>
      </c>
      <c r="H457" s="446" t="s">
        <v>49</v>
      </c>
      <c r="I457" s="114" t="s">
        <v>648</v>
      </c>
    </row>
    <row r="458" spans="1:9" ht="15" hidden="1">
      <c r="A458" s="528">
        <v>14084</v>
      </c>
      <c r="B458" s="610">
        <v>0.1</v>
      </c>
      <c r="C458" s="408" t="s">
        <v>262</v>
      </c>
      <c r="D458" s="527">
        <v>1500000</v>
      </c>
      <c r="E458" s="598">
        <v>0.02</v>
      </c>
      <c r="F458" s="431">
        <f>D458*E458</f>
        <v>30000</v>
      </c>
      <c r="G458" s="83"/>
      <c r="H458" s="539"/>
      <c r="I458" s="83"/>
    </row>
    <row r="459" spans="1:9" ht="15" hidden="1">
      <c r="A459" s="609">
        <v>14114</v>
      </c>
      <c r="B459" s="610">
        <v>0.1</v>
      </c>
      <c r="C459" s="408" t="s">
        <v>297</v>
      </c>
      <c r="D459" s="527">
        <v>1300000</v>
      </c>
      <c r="E459" s="598">
        <v>0.02</v>
      </c>
      <c r="F459" s="431">
        <f>D459*E459</f>
        <v>26000</v>
      </c>
      <c r="G459" s="83"/>
      <c r="H459" s="539"/>
      <c r="I459" s="83"/>
    </row>
    <row r="460" spans="1:9" ht="15" hidden="1">
      <c r="A460" s="609">
        <v>14120</v>
      </c>
      <c r="B460" s="611">
        <v>0.1</v>
      </c>
      <c r="C460" s="536" t="s">
        <v>707</v>
      </c>
      <c r="D460" s="537">
        <v>1900000</v>
      </c>
      <c r="E460" s="598">
        <v>0.02</v>
      </c>
      <c r="F460" s="431">
        <f>D460*E460</f>
        <v>38000</v>
      </c>
      <c r="G460" s="507"/>
      <c r="H460" s="540"/>
      <c r="I460" s="507"/>
    </row>
    <row r="461" spans="1:9" ht="15" hidden="1">
      <c r="A461" s="612">
        <v>14097</v>
      </c>
      <c r="B461" s="337">
        <v>0.1</v>
      </c>
      <c r="C461" s="247" t="s">
        <v>298</v>
      </c>
      <c r="D461" s="527">
        <v>1900000</v>
      </c>
      <c r="E461" s="598">
        <v>0.02</v>
      </c>
      <c r="F461" s="431">
        <f>D461*E461</f>
        <v>38000</v>
      </c>
      <c r="G461" s="83"/>
      <c r="H461" s="83"/>
      <c r="I461" s="83"/>
    </row>
    <row r="462" spans="1:9" ht="15" hidden="1">
      <c r="A462" s="585" t="s">
        <v>299</v>
      </c>
      <c r="B462" s="337">
        <v>0.1</v>
      </c>
      <c r="C462" s="419" t="s">
        <v>701</v>
      </c>
      <c r="D462" s="510">
        <v>1700000</v>
      </c>
      <c r="E462" s="598">
        <v>0.02</v>
      </c>
      <c r="F462" s="431">
        <f>D462*E462</f>
        <v>34000</v>
      </c>
      <c r="G462" s="507"/>
      <c r="H462" s="599"/>
      <c r="I462" s="88"/>
    </row>
    <row r="463" spans="1:9" hidden="1">
      <c r="A463" s="1076" t="s">
        <v>32</v>
      </c>
      <c r="B463" s="1076"/>
      <c r="C463" s="1076"/>
      <c r="D463" s="586">
        <f>SUM(D420:D462)</f>
        <v>73000000</v>
      </c>
      <c r="E463" s="52"/>
      <c r="F463" s="524">
        <f>SUM(F420:F462)</f>
        <v>1364500</v>
      </c>
      <c r="G463" s="114"/>
      <c r="H463" s="584"/>
      <c r="I463" s="461"/>
    </row>
    <row r="464" spans="1:9" hidden="1">
      <c r="F464" s="31"/>
    </row>
    <row r="465" spans="1:9" hidden="1"/>
    <row r="466" spans="1:9" ht="18" hidden="1">
      <c r="A466" s="992"/>
      <c r="B466" s="992"/>
      <c r="C466" s="147">
        <f>D370+D392+D408+D414</f>
        <v>73000000</v>
      </c>
    </row>
    <row r="467" spans="1:9" ht="18" hidden="1">
      <c r="A467" s="993"/>
      <c r="B467" s="993"/>
      <c r="C467" s="416"/>
    </row>
    <row r="468" spans="1:9" ht="18" hidden="1">
      <c r="A468" s="1060"/>
      <c r="B468" s="1060"/>
      <c r="C468" s="450"/>
    </row>
    <row r="469" spans="1:9" ht="18" hidden="1">
      <c r="A469" s="1062"/>
      <c r="B469" s="1062"/>
      <c r="C469" s="147">
        <f>SUM(C466:C468)</f>
        <v>73000000</v>
      </c>
    </row>
    <row r="470" spans="1:9" hidden="1"/>
    <row r="471" spans="1:9" hidden="1"/>
    <row r="472" spans="1:9" hidden="1"/>
    <row r="473" spans="1:9" ht="45">
      <c r="A473" s="1084" t="s">
        <v>311</v>
      </c>
      <c r="B473" s="1084"/>
      <c r="C473" s="1084"/>
      <c r="D473" s="1084"/>
      <c r="E473" s="1084"/>
      <c r="F473" s="1084"/>
      <c r="G473" s="1084"/>
      <c r="H473" s="1084"/>
      <c r="I473" s="424"/>
    </row>
    <row r="474" spans="1:9" ht="15.75" hidden="1" customHeight="1">
      <c r="A474" s="1081"/>
      <c r="B474" s="1082"/>
      <c r="C474" s="1082"/>
      <c r="D474" s="1082"/>
      <c r="E474" s="1082"/>
      <c r="F474" s="1082"/>
      <c r="G474" s="1082"/>
      <c r="H474" s="1082"/>
      <c r="I474" s="1083"/>
    </row>
    <row r="475" spans="1:9" ht="23.25" hidden="1">
      <c r="A475" s="1067" t="s">
        <v>708</v>
      </c>
      <c r="B475" s="1067"/>
      <c r="C475" s="1067"/>
      <c r="D475" s="1067"/>
      <c r="E475" s="1067"/>
      <c r="F475" s="1067"/>
      <c r="G475" s="1067"/>
      <c r="H475" s="1067"/>
      <c r="I475" s="1067"/>
    </row>
    <row r="476" spans="1:9" ht="23.25" hidden="1">
      <c r="A476" s="259" t="s">
        <v>3</v>
      </c>
      <c r="B476" s="259" t="s">
        <v>606</v>
      </c>
      <c r="C476" s="259" t="s">
        <v>5</v>
      </c>
      <c r="D476" s="260" t="s">
        <v>6</v>
      </c>
      <c r="E476" s="101" t="s">
        <v>7</v>
      </c>
      <c r="F476" s="101" t="s">
        <v>645</v>
      </c>
      <c r="G476" s="101" t="s">
        <v>646</v>
      </c>
      <c r="H476" s="101" t="s">
        <v>647</v>
      </c>
      <c r="I476" s="448" t="s">
        <v>648</v>
      </c>
    </row>
    <row r="477" spans="1:9" ht="15" hidden="1">
      <c r="A477" s="532">
        <v>14173</v>
      </c>
      <c r="B477" s="337">
        <v>0.1</v>
      </c>
      <c r="C477" s="660" t="s">
        <v>356</v>
      </c>
      <c r="D477" s="510">
        <v>1900000</v>
      </c>
      <c r="E477" s="615">
        <v>0.05</v>
      </c>
      <c r="F477" s="431">
        <f>D477*E477</f>
        <v>95000</v>
      </c>
      <c r="G477" s="613" t="s">
        <v>104</v>
      </c>
      <c r="H477" s="613"/>
      <c r="I477" s="613" t="s">
        <v>104</v>
      </c>
    </row>
    <row r="478" spans="1:9" ht="15" hidden="1">
      <c r="A478" s="661">
        <v>14215</v>
      </c>
      <c r="B478" s="662">
        <v>0.08</v>
      </c>
      <c r="C478" s="351" t="s">
        <v>709</v>
      </c>
      <c r="D478" s="510">
        <v>2000000</v>
      </c>
      <c r="E478" s="669">
        <v>0.04</v>
      </c>
      <c r="F478" s="431">
        <f t="shared" ref="F478:F487" si="14">D478*E478</f>
        <v>80000</v>
      </c>
      <c r="G478" s="613" t="s">
        <v>104</v>
      </c>
      <c r="H478" s="613"/>
      <c r="I478" s="613" t="s">
        <v>104</v>
      </c>
    </row>
    <row r="479" spans="1:9" ht="15" hidden="1">
      <c r="A479" s="661">
        <v>14233</v>
      </c>
      <c r="B479" s="348">
        <v>0.1</v>
      </c>
      <c r="C479" s="351" t="s">
        <v>710</v>
      </c>
      <c r="D479" s="510">
        <v>1900000</v>
      </c>
      <c r="E479" s="615">
        <v>0.05</v>
      </c>
      <c r="F479" s="431">
        <f t="shared" si="14"/>
        <v>95000</v>
      </c>
      <c r="G479" s="613" t="s">
        <v>104</v>
      </c>
      <c r="H479" s="613"/>
      <c r="I479" s="613" t="s">
        <v>104</v>
      </c>
    </row>
    <row r="480" spans="1:9" ht="15" hidden="1">
      <c r="A480" s="532">
        <v>14224</v>
      </c>
      <c r="B480" s="348">
        <v>0.1</v>
      </c>
      <c r="C480" s="351" t="s">
        <v>711</v>
      </c>
      <c r="D480" s="510">
        <v>2400000</v>
      </c>
      <c r="E480" s="615">
        <v>0.05</v>
      </c>
      <c r="F480" s="431">
        <f t="shared" si="14"/>
        <v>120000</v>
      </c>
      <c r="G480" s="613" t="s">
        <v>104</v>
      </c>
      <c r="H480" s="613"/>
      <c r="I480" s="613" t="s">
        <v>104</v>
      </c>
    </row>
    <row r="481" spans="1:9" ht="15" hidden="1">
      <c r="A481" s="532">
        <v>14247</v>
      </c>
      <c r="B481" s="348">
        <v>0.1</v>
      </c>
      <c r="C481" s="351" t="s">
        <v>712</v>
      </c>
      <c r="D481" s="510">
        <v>1650000</v>
      </c>
      <c r="E481" s="615">
        <v>0.05</v>
      </c>
      <c r="F481" s="431">
        <f t="shared" si="14"/>
        <v>82500</v>
      </c>
      <c r="G481" s="613" t="s">
        <v>104</v>
      </c>
      <c r="H481" s="613"/>
      <c r="I481" s="613" t="s">
        <v>104</v>
      </c>
    </row>
    <row r="482" spans="1:9" ht="15" hidden="1">
      <c r="A482" s="532">
        <v>14275</v>
      </c>
      <c r="B482" s="348">
        <v>0.1</v>
      </c>
      <c r="C482" s="351" t="s">
        <v>713</v>
      </c>
      <c r="D482" s="510">
        <v>1900000</v>
      </c>
      <c r="E482" s="615">
        <v>0.05</v>
      </c>
      <c r="F482" s="431">
        <f t="shared" si="14"/>
        <v>95000</v>
      </c>
      <c r="G482" s="613" t="s">
        <v>104</v>
      </c>
      <c r="H482" s="613"/>
      <c r="I482" s="613" t="s">
        <v>104</v>
      </c>
    </row>
    <row r="483" spans="1:9" ht="15" hidden="1">
      <c r="A483" s="532">
        <v>14289</v>
      </c>
      <c r="B483" s="348">
        <v>0.1</v>
      </c>
      <c r="C483" s="351" t="s">
        <v>714</v>
      </c>
      <c r="D483" s="510">
        <v>1900000</v>
      </c>
      <c r="E483" s="615">
        <v>0.05</v>
      </c>
      <c r="F483" s="431">
        <f t="shared" si="14"/>
        <v>95000</v>
      </c>
      <c r="G483" s="613" t="s">
        <v>104</v>
      </c>
      <c r="H483" s="613"/>
      <c r="I483" s="613" t="s">
        <v>104</v>
      </c>
    </row>
    <row r="484" spans="1:9" ht="15" hidden="1">
      <c r="A484" s="532" t="s">
        <v>345</v>
      </c>
      <c r="B484" s="348">
        <v>0.1</v>
      </c>
      <c r="C484" s="351" t="s">
        <v>715</v>
      </c>
      <c r="D484" s="510">
        <v>4000000</v>
      </c>
      <c r="E484" s="615">
        <v>0.05</v>
      </c>
      <c r="F484" s="431">
        <f t="shared" si="14"/>
        <v>200000</v>
      </c>
      <c r="G484" s="613" t="s">
        <v>104</v>
      </c>
      <c r="H484" s="639"/>
      <c r="I484" s="613" t="s">
        <v>104</v>
      </c>
    </row>
    <row r="485" spans="1:9" ht="15" hidden="1">
      <c r="A485" s="587">
        <v>14313</v>
      </c>
      <c r="B485" s="662">
        <v>0.08</v>
      </c>
      <c r="C485" s="351" t="s">
        <v>716</v>
      </c>
      <c r="D485" s="510">
        <v>1750000</v>
      </c>
      <c r="E485" s="669">
        <v>0.04</v>
      </c>
      <c r="F485" s="431">
        <f t="shared" si="14"/>
        <v>70000</v>
      </c>
      <c r="G485" s="613" t="s">
        <v>104</v>
      </c>
      <c r="H485" s="639"/>
      <c r="I485" s="613" t="s">
        <v>104</v>
      </c>
    </row>
    <row r="486" spans="1:9" ht="15" hidden="1">
      <c r="A486" s="587">
        <v>14323</v>
      </c>
      <c r="B486" s="662">
        <v>0.08</v>
      </c>
      <c r="C486" s="351" t="s">
        <v>717</v>
      </c>
      <c r="D486" s="510">
        <v>2500000</v>
      </c>
      <c r="E486" s="669">
        <v>0.04</v>
      </c>
      <c r="F486" s="431">
        <f t="shared" si="14"/>
        <v>100000</v>
      </c>
      <c r="G486" s="613" t="s">
        <v>104</v>
      </c>
      <c r="H486" s="639"/>
      <c r="I486" s="613" t="s">
        <v>104</v>
      </c>
    </row>
    <row r="487" spans="1:9" ht="15" hidden="1">
      <c r="A487" s="532">
        <v>14324</v>
      </c>
      <c r="B487" s="337">
        <v>0.1</v>
      </c>
      <c r="C487" s="247" t="s">
        <v>366</v>
      </c>
      <c r="D487" s="510">
        <v>1700000</v>
      </c>
      <c r="E487" s="615">
        <v>0.05</v>
      </c>
      <c r="F487" s="431">
        <f t="shared" si="14"/>
        <v>85000</v>
      </c>
      <c r="G487" s="613" t="s">
        <v>104</v>
      </c>
      <c r="H487" s="639"/>
      <c r="I487" s="613" t="s">
        <v>104</v>
      </c>
    </row>
    <row r="488" spans="1:9" ht="15" hidden="1">
      <c r="A488" s="628" t="s">
        <v>718</v>
      </c>
      <c r="B488" s="234"/>
      <c r="C488" s="228" t="s">
        <v>719</v>
      </c>
      <c r="D488" s="647"/>
      <c r="E488" s="615"/>
      <c r="F488" s="431"/>
      <c r="G488" s="613"/>
      <c r="H488" s="613"/>
      <c r="I488" s="613"/>
    </row>
    <row r="489" spans="1:9" ht="15" hidden="1">
      <c r="A489" s="628" t="s">
        <v>348</v>
      </c>
      <c r="B489" s="234"/>
      <c r="C489" s="228" t="s">
        <v>363</v>
      </c>
      <c r="D489" s="647"/>
      <c r="E489" s="615"/>
      <c r="F489" s="431"/>
      <c r="G489" s="613"/>
      <c r="H489" s="613"/>
      <c r="I489" s="613"/>
    </row>
    <row r="490" spans="1:9" ht="15" hidden="1">
      <c r="A490" s="628" t="s">
        <v>348</v>
      </c>
      <c r="B490" s="234"/>
      <c r="C490" s="228" t="s">
        <v>349</v>
      </c>
      <c r="D490" s="629"/>
      <c r="E490" s="615"/>
      <c r="F490" s="431"/>
      <c r="G490" s="613"/>
      <c r="H490" s="613"/>
      <c r="I490" s="613"/>
    </row>
    <row r="491" spans="1:9" ht="15" hidden="1">
      <c r="A491" s="628" t="s">
        <v>348</v>
      </c>
      <c r="B491" s="229"/>
      <c r="C491" s="235" t="s">
        <v>332</v>
      </c>
      <c r="D491" s="221"/>
      <c r="E491" s="615"/>
      <c r="F491" s="431"/>
      <c r="G491" s="613"/>
      <c r="H491" s="613"/>
      <c r="I491" s="613"/>
    </row>
    <row r="492" spans="1:9" ht="18" hidden="1">
      <c r="A492" s="528"/>
      <c r="B492" s="337"/>
      <c r="C492" s="247"/>
      <c r="D492" s="420">
        <f>SUM(D477:D491)</f>
        <v>23600000</v>
      </c>
      <c r="E492" s="615"/>
      <c r="F492" s="670">
        <f>SUM(F477:F491)</f>
        <v>1117500</v>
      </c>
      <c r="G492" s="613"/>
      <c r="H492" s="613"/>
      <c r="I492" s="613"/>
    </row>
    <row r="493" spans="1:9" ht="23.25" hidden="1">
      <c r="A493" s="1066" t="s">
        <v>720</v>
      </c>
      <c r="B493" s="1066"/>
      <c r="C493" s="1066"/>
      <c r="D493" s="1066"/>
      <c r="E493" s="1067"/>
      <c r="F493" s="1067"/>
      <c r="G493" s="1067"/>
      <c r="H493" s="1067"/>
      <c r="I493" s="1067"/>
    </row>
    <row r="494" spans="1:9" ht="23.25" hidden="1">
      <c r="A494" s="259" t="s">
        <v>3</v>
      </c>
      <c r="B494" s="259" t="s">
        <v>606</v>
      </c>
      <c r="C494" s="259" t="s">
        <v>5</v>
      </c>
      <c r="D494" s="260" t="s">
        <v>6</v>
      </c>
      <c r="E494" s="260" t="s">
        <v>7</v>
      </c>
      <c r="F494" s="260" t="s">
        <v>645</v>
      </c>
      <c r="G494" s="260" t="s">
        <v>646</v>
      </c>
      <c r="H494" s="260" t="s">
        <v>647</v>
      </c>
      <c r="I494" s="496" t="s">
        <v>648</v>
      </c>
    </row>
    <row r="495" spans="1:9" ht="15" hidden="1">
      <c r="A495" s="663">
        <v>14143</v>
      </c>
      <c r="B495" s="337">
        <v>0.1</v>
      </c>
      <c r="C495" s="408" t="s">
        <v>721</v>
      </c>
      <c r="D495" s="510">
        <v>1350000</v>
      </c>
      <c r="E495" s="615">
        <v>0.05</v>
      </c>
      <c r="F495" s="431">
        <f>D495*E495</f>
        <v>67500</v>
      </c>
      <c r="G495" s="613" t="s">
        <v>104</v>
      </c>
      <c r="H495" s="613"/>
      <c r="I495" s="613" t="s">
        <v>104</v>
      </c>
    </row>
    <row r="496" spans="1:9" ht="15" hidden="1">
      <c r="A496" s="663">
        <v>14144</v>
      </c>
      <c r="B496" s="337">
        <v>0.1</v>
      </c>
      <c r="C496" s="247" t="s">
        <v>722</v>
      </c>
      <c r="D496" s="510">
        <v>1900000</v>
      </c>
      <c r="E496" s="615">
        <v>0.05</v>
      </c>
      <c r="F496" s="431">
        <f t="shared" ref="F496:F505" si="15">D496*E496</f>
        <v>95000</v>
      </c>
      <c r="G496" s="613" t="s">
        <v>104</v>
      </c>
      <c r="H496" s="613"/>
      <c r="I496" s="613" t="s">
        <v>104</v>
      </c>
    </row>
    <row r="497" spans="1:9" ht="15" hidden="1">
      <c r="A497" s="663">
        <v>14153</v>
      </c>
      <c r="B497" s="337">
        <v>0.1</v>
      </c>
      <c r="C497" s="247" t="s">
        <v>723</v>
      </c>
      <c r="D497" s="510">
        <v>1100000</v>
      </c>
      <c r="E497" s="615">
        <v>0.05</v>
      </c>
      <c r="F497" s="431">
        <f t="shared" si="15"/>
        <v>55000</v>
      </c>
      <c r="G497" s="613" t="s">
        <v>104</v>
      </c>
      <c r="H497" s="613"/>
      <c r="I497" s="613" t="s">
        <v>104</v>
      </c>
    </row>
    <row r="498" spans="1:9" ht="15" hidden="1">
      <c r="A498" s="663">
        <v>14261</v>
      </c>
      <c r="B498" s="337">
        <v>0.1</v>
      </c>
      <c r="C498" s="247" t="s">
        <v>338</v>
      </c>
      <c r="D498" s="510">
        <v>1200000</v>
      </c>
      <c r="E498" s="615">
        <v>0.05</v>
      </c>
      <c r="F498" s="431">
        <f t="shared" si="15"/>
        <v>60000</v>
      </c>
      <c r="G498" s="613" t="s">
        <v>104</v>
      </c>
      <c r="H498" s="613"/>
      <c r="I498" s="613" t="s">
        <v>104</v>
      </c>
    </row>
    <row r="499" spans="1:9" ht="15" hidden="1">
      <c r="A499" s="663">
        <v>14291</v>
      </c>
      <c r="B499" s="337">
        <v>0.1</v>
      </c>
      <c r="C499" s="247" t="s">
        <v>724</v>
      </c>
      <c r="D499" s="510">
        <v>2500000</v>
      </c>
      <c r="E499" s="615">
        <v>0.05</v>
      </c>
      <c r="F499" s="431">
        <f t="shared" si="15"/>
        <v>125000</v>
      </c>
      <c r="G499" s="613" t="s">
        <v>104</v>
      </c>
      <c r="H499" s="613"/>
      <c r="I499" s="613" t="s">
        <v>104</v>
      </c>
    </row>
    <row r="500" spans="1:9" ht="15" hidden="1">
      <c r="A500" s="532">
        <v>14232</v>
      </c>
      <c r="B500" s="337">
        <v>0.1</v>
      </c>
      <c r="C500" s="247" t="s">
        <v>355</v>
      </c>
      <c r="D500" s="510">
        <v>1800000</v>
      </c>
      <c r="E500" s="615">
        <v>0.05</v>
      </c>
      <c r="F500" s="431">
        <f t="shared" si="15"/>
        <v>90000</v>
      </c>
      <c r="G500" s="613" t="s">
        <v>104</v>
      </c>
      <c r="H500" s="613"/>
      <c r="I500" s="613" t="s">
        <v>104</v>
      </c>
    </row>
    <row r="501" spans="1:9" ht="15" hidden="1">
      <c r="A501" s="664" t="s">
        <v>725</v>
      </c>
      <c r="B501" s="337">
        <v>0.1</v>
      </c>
      <c r="C501" s="247" t="s">
        <v>726</v>
      </c>
      <c r="D501" s="510">
        <v>2200000</v>
      </c>
      <c r="E501" s="615">
        <v>0.05</v>
      </c>
      <c r="F501" s="431">
        <f t="shared" si="15"/>
        <v>110000</v>
      </c>
      <c r="G501" s="613" t="s">
        <v>104</v>
      </c>
      <c r="H501" s="613"/>
      <c r="I501" s="613" t="s">
        <v>104</v>
      </c>
    </row>
    <row r="502" spans="1:9" ht="15" hidden="1">
      <c r="A502" s="663">
        <v>14206</v>
      </c>
      <c r="B502" s="337">
        <v>0.1</v>
      </c>
      <c r="C502" s="247" t="s">
        <v>727</v>
      </c>
      <c r="D502" s="510">
        <v>2300000</v>
      </c>
      <c r="E502" s="615">
        <v>0.05</v>
      </c>
      <c r="F502" s="431">
        <f t="shared" si="15"/>
        <v>115000</v>
      </c>
      <c r="G502" s="613" t="s">
        <v>104</v>
      </c>
      <c r="H502" s="613"/>
      <c r="I502" s="613" t="s">
        <v>104</v>
      </c>
    </row>
    <row r="503" spans="1:9" ht="15" hidden="1">
      <c r="A503" s="587">
        <v>14326</v>
      </c>
      <c r="B503" s="337">
        <v>0.1</v>
      </c>
      <c r="C503" s="247" t="s">
        <v>336</v>
      </c>
      <c r="D503" s="510">
        <v>2800000</v>
      </c>
      <c r="E503" s="615">
        <v>0.05</v>
      </c>
      <c r="F503" s="431">
        <f t="shared" si="15"/>
        <v>140000</v>
      </c>
      <c r="G503" s="613" t="s">
        <v>104</v>
      </c>
      <c r="H503" s="613"/>
      <c r="I503" s="613" t="s">
        <v>104</v>
      </c>
    </row>
    <row r="504" spans="1:9" ht="15" hidden="1">
      <c r="A504" s="663">
        <v>14281</v>
      </c>
      <c r="B504" s="337">
        <v>0.1</v>
      </c>
      <c r="C504" s="408" t="s">
        <v>360</v>
      </c>
      <c r="D504" s="510">
        <v>3300000</v>
      </c>
      <c r="E504" s="615">
        <v>0.05</v>
      </c>
      <c r="F504" s="431">
        <f t="shared" si="15"/>
        <v>165000</v>
      </c>
      <c r="G504" s="613" t="s">
        <v>104</v>
      </c>
      <c r="H504" s="613"/>
      <c r="I504" s="613" t="s">
        <v>104</v>
      </c>
    </row>
    <row r="505" spans="1:9" ht="15" hidden="1">
      <c r="A505" s="665">
        <v>14305</v>
      </c>
      <c r="B505" s="337">
        <v>0.1</v>
      </c>
      <c r="C505" s="536" t="s">
        <v>728</v>
      </c>
      <c r="D505" s="510">
        <v>2250000</v>
      </c>
      <c r="E505" s="615">
        <v>0.05</v>
      </c>
      <c r="F505" s="431">
        <f t="shared" si="15"/>
        <v>112500</v>
      </c>
      <c r="G505" s="613" t="s">
        <v>104</v>
      </c>
      <c r="H505" s="613"/>
      <c r="I505" s="613" t="s">
        <v>104</v>
      </c>
    </row>
    <row r="506" spans="1:9" hidden="1">
      <c r="A506" s="114"/>
      <c r="B506" s="114"/>
      <c r="C506" s="114"/>
      <c r="D506" s="114"/>
      <c r="E506" s="114"/>
      <c r="F506" s="114"/>
      <c r="G506" s="114"/>
      <c r="H506" s="114"/>
      <c r="I506" s="114"/>
    </row>
    <row r="507" spans="1:9" ht="15" hidden="1">
      <c r="A507" s="528"/>
      <c r="B507" s="337"/>
      <c r="C507" s="247"/>
      <c r="D507" s="420">
        <f>SUM(D496:D506)</f>
        <v>21350000</v>
      </c>
      <c r="E507" s="345"/>
      <c r="F507" s="431">
        <f>SUM(F495:F506)</f>
        <v>1135000</v>
      </c>
      <c r="G507" s="613"/>
      <c r="H507" s="613"/>
      <c r="I507" s="613"/>
    </row>
    <row r="508" spans="1:9" ht="23.25" hidden="1">
      <c r="A508" s="1066" t="s">
        <v>729</v>
      </c>
      <c r="B508" s="1066"/>
      <c r="C508" s="1066"/>
      <c r="D508" s="1066"/>
      <c r="E508" s="1066"/>
      <c r="F508" s="1066"/>
      <c r="G508" s="1066"/>
      <c r="H508" s="1066"/>
      <c r="I508" s="1066"/>
    </row>
    <row r="509" spans="1:9" ht="23.25" hidden="1">
      <c r="A509" s="100" t="s">
        <v>3</v>
      </c>
      <c r="B509" s="100" t="s">
        <v>606</v>
      </c>
      <c r="C509" s="100" t="s">
        <v>5</v>
      </c>
      <c r="D509" s="101" t="s">
        <v>6</v>
      </c>
      <c r="E509" s="101" t="s">
        <v>7</v>
      </c>
      <c r="F509" s="101" t="s">
        <v>645</v>
      </c>
      <c r="G509" s="101" t="s">
        <v>646</v>
      </c>
      <c r="H509" s="101" t="s">
        <v>647</v>
      </c>
      <c r="I509" s="448" t="s">
        <v>648</v>
      </c>
    </row>
    <row r="510" spans="1:9" ht="15" hidden="1">
      <c r="A510" s="663">
        <v>14130</v>
      </c>
      <c r="B510" s="337">
        <v>0.1</v>
      </c>
      <c r="C510" s="408" t="s">
        <v>730</v>
      </c>
      <c r="D510" s="510">
        <v>1850000</v>
      </c>
      <c r="E510" s="669">
        <v>0.04</v>
      </c>
      <c r="F510" s="431">
        <f>D510*E510</f>
        <v>74000</v>
      </c>
      <c r="G510" s="613" t="s">
        <v>104</v>
      </c>
      <c r="H510" s="613"/>
      <c r="I510" s="613" t="s">
        <v>104</v>
      </c>
    </row>
    <row r="511" spans="1:9" ht="15" hidden="1">
      <c r="A511" s="663">
        <v>14129</v>
      </c>
      <c r="B511" s="337">
        <v>0.1</v>
      </c>
      <c r="C511" s="408" t="s">
        <v>731</v>
      </c>
      <c r="D511" s="510">
        <v>1450000</v>
      </c>
      <c r="E511" s="345">
        <v>0.05</v>
      </c>
      <c r="F511" s="431">
        <f t="shared" ref="F511:F520" si="16">D511*E511</f>
        <v>72500</v>
      </c>
      <c r="G511" s="613" t="s">
        <v>104</v>
      </c>
      <c r="H511" s="613"/>
      <c r="I511" s="613" t="s">
        <v>104</v>
      </c>
    </row>
    <row r="512" spans="1:9" ht="15" hidden="1">
      <c r="A512" s="663">
        <v>14179</v>
      </c>
      <c r="B512" s="337">
        <v>0.1</v>
      </c>
      <c r="C512" s="247" t="s">
        <v>732</v>
      </c>
      <c r="D512" s="510">
        <v>2500000</v>
      </c>
      <c r="E512" s="345">
        <v>0.05</v>
      </c>
      <c r="F512" s="431">
        <f t="shared" si="16"/>
        <v>125000</v>
      </c>
      <c r="G512" s="613" t="s">
        <v>104</v>
      </c>
      <c r="H512" s="613"/>
      <c r="I512" s="613" t="s">
        <v>104</v>
      </c>
    </row>
    <row r="513" spans="1:9" ht="15" hidden="1">
      <c r="A513" s="663">
        <v>14146</v>
      </c>
      <c r="B513" s="337">
        <v>0.1</v>
      </c>
      <c r="C513" s="247" t="s">
        <v>733</v>
      </c>
      <c r="D513" s="510">
        <v>2000000</v>
      </c>
      <c r="E513" s="345">
        <v>0.05</v>
      </c>
      <c r="F513" s="431">
        <f t="shared" si="16"/>
        <v>100000</v>
      </c>
      <c r="G513" s="613" t="s">
        <v>104</v>
      </c>
      <c r="H513" s="613"/>
      <c r="I513" s="613" t="s">
        <v>104</v>
      </c>
    </row>
    <row r="514" spans="1:9" ht="15" hidden="1">
      <c r="A514" s="665">
        <v>14163</v>
      </c>
      <c r="B514" s="343">
        <v>0.08</v>
      </c>
      <c r="C514" s="247" t="s">
        <v>734</v>
      </c>
      <c r="D514" s="510">
        <v>2400000</v>
      </c>
      <c r="E514" s="669">
        <v>0.04</v>
      </c>
      <c r="F514" s="431">
        <f t="shared" si="16"/>
        <v>96000</v>
      </c>
      <c r="G514" s="613" t="s">
        <v>104</v>
      </c>
      <c r="H514" s="613"/>
      <c r="I514" s="613" t="s">
        <v>104</v>
      </c>
    </row>
    <row r="515" spans="1:9" ht="15" hidden="1">
      <c r="A515" s="663">
        <v>14245</v>
      </c>
      <c r="B515" s="337">
        <v>0.1</v>
      </c>
      <c r="C515" s="114" t="s">
        <v>735</v>
      </c>
      <c r="D515" s="510">
        <v>2500000</v>
      </c>
      <c r="E515" s="345">
        <v>0.05</v>
      </c>
      <c r="F515" s="431">
        <f t="shared" si="16"/>
        <v>125000</v>
      </c>
      <c r="G515" s="613" t="s">
        <v>104</v>
      </c>
      <c r="H515" s="613"/>
      <c r="I515" s="613" t="s">
        <v>104</v>
      </c>
    </row>
    <row r="516" spans="1:9" ht="15" hidden="1">
      <c r="A516" s="663">
        <v>14269</v>
      </c>
      <c r="B516" s="337">
        <v>0.1</v>
      </c>
      <c r="C516" s="114" t="s">
        <v>736</v>
      </c>
      <c r="D516" s="510">
        <v>1800000</v>
      </c>
      <c r="E516" s="345">
        <v>0.05</v>
      </c>
      <c r="F516" s="431">
        <f t="shared" si="16"/>
        <v>90000</v>
      </c>
      <c r="G516" s="613" t="s">
        <v>104</v>
      </c>
      <c r="H516" s="613"/>
      <c r="I516" s="613" t="s">
        <v>104</v>
      </c>
    </row>
    <row r="517" spans="1:9" ht="15" hidden="1">
      <c r="A517" s="667">
        <v>14251</v>
      </c>
      <c r="B517" s="337">
        <v>0.1</v>
      </c>
      <c r="C517" s="424" t="s">
        <v>737</v>
      </c>
      <c r="D517" s="510">
        <v>2500000</v>
      </c>
      <c r="E517" s="345">
        <v>0.05</v>
      </c>
      <c r="F517" s="431">
        <f t="shared" si="16"/>
        <v>125000</v>
      </c>
      <c r="G517" s="613" t="s">
        <v>104</v>
      </c>
      <c r="H517" s="613"/>
      <c r="I517" s="613" t="s">
        <v>104</v>
      </c>
    </row>
    <row r="518" spans="1:9" ht="15" hidden="1">
      <c r="A518" s="663">
        <v>14189</v>
      </c>
      <c r="B518" s="668">
        <v>0.1</v>
      </c>
      <c r="C518" s="248" t="s">
        <v>738</v>
      </c>
      <c r="D518" s="510">
        <v>1150000</v>
      </c>
      <c r="E518" s="345">
        <v>0.05</v>
      </c>
      <c r="F518" s="431">
        <f t="shared" si="16"/>
        <v>57500</v>
      </c>
      <c r="G518" s="445" t="s">
        <v>104</v>
      </c>
      <c r="H518" s="499"/>
      <c r="I518" s="445" t="s">
        <v>104</v>
      </c>
    </row>
    <row r="519" spans="1:9" ht="15" hidden="1">
      <c r="A519" s="664" t="s">
        <v>739</v>
      </c>
      <c r="B519" s="337">
        <v>0.1</v>
      </c>
      <c r="C519" s="114" t="s">
        <v>740</v>
      </c>
      <c r="D519" s="510">
        <v>1500000</v>
      </c>
      <c r="E519" s="345">
        <v>0.05</v>
      </c>
      <c r="F519" s="431">
        <f t="shared" si="16"/>
        <v>75000</v>
      </c>
      <c r="G519" s="445" t="s">
        <v>104</v>
      </c>
      <c r="H519" s="499"/>
      <c r="I519" s="445" t="s">
        <v>104</v>
      </c>
    </row>
    <row r="520" spans="1:9" ht="15" hidden="1">
      <c r="A520" s="665">
        <v>14162</v>
      </c>
      <c r="B520" s="531">
        <v>0.1</v>
      </c>
      <c r="C520" s="248" t="s">
        <v>741</v>
      </c>
      <c r="D520" s="510">
        <v>1650000</v>
      </c>
      <c r="E520" s="345">
        <v>0.05</v>
      </c>
      <c r="F520" s="431">
        <f t="shared" si="16"/>
        <v>82500</v>
      </c>
      <c r="G520" s="613" t="s">
        <v>104</v>
      </c>
      <c r="H520" s="613"/>
      <c r="I520" s="613" t="s">
        <v>104</v>
      </c>
    </row>
    <row r="521" spans="1:9" ht="15" hidden="1">
      <c r="A521" s="645"/>
      <c r="B521" s="616"/>
      <c r="C521" s="479" t="s">
        <v>742</v>
      </c>
      <c r="D521" s="462"/>
      <c r="E521" s="641"/>
      <c r="F521" s="431"/>
      <c r="G521" s="640"/>
      <c r="H521" s="640"/>
      <c r="I521" s="640"/>
    </row>
    <row r="522" spans="1:9" ht="15" hidden="1">
      <c r="A522" s="658"/>
      <c r="B522" s="229"/>
      <c r="C522" s="235" t="s">
        <v>347</v>
      </c>
      <c r="D522" s="632"/>
      <c r="E522" s="641"/>
      <c r="F522" s="431"/>
      <c r="G522" s="640"/>
      <c r="H522" s="640"/>
      <c r="I522" s="640"/>
    </row>
    <row r="523" spans="1:9" ht="15" hidden="1">
      <c r="A523" s="269"/>
      <c r="B523" s="229"/>
      <c r="C523" s="83" t="s">
        <v>329</v>
      </c>
      <c r="D523" s="221"/>
      <c r="E523" s="345"/>
      <c r="F523" s="431"/>
      <c r="G523" s="639"/>
      <c r="H523" s="639"/>
      <c r="I523" s="639"/>
    </row>
    <row r="524" spans="1:9" ht="15" hidden="1">
      <c r="A524" s="269" t="s">
        <v>743</v>
      </c>
      <c r="B524" s="229"/>
      <c r="C524" s="235" t="s">
        <v>364</v>
      </c>
      <c r="D524" s="632"/>
      <c r="E524" s="641"/>
      <c r="F524" s="625"/>
      <c r="G524" s="640"/>
      <c r="H524" s="640"/>
      <c r="I524" s="640"/>
    </row>
    <row r="525" spans="1:9" ht="15" hidden="1">
      <c r="A525" s="646"/>
      <c r="B525" s="234"/>
      <c r="C525" s="88" t="s">
        <v>744</v>
      </c>
      <c r="D525" s="647"/>
      <c r="E525" s="641"/>
      <c r="F525" s="625"/>
      <c r="G525" s="640"/>
      <c r="H525" s="640"/>
      <c r="I525" s="640"/>
    </row>
    <row r="526" spans="1:9" hidden="1">
      <c r="A526" s="269"/>
      <c r="B526" s="83"/>
      <c r="C526" s="83" t="s">
        <v>350</v>
      </c>
      <c r="D526" s="221"/>
      <c r="E526" s="584"/>
      <c r="F526" s="625"/>
      <c r="G526" s="461"/>
      <c r="H526" s="461"/>
      <c r="I526" s="461"/>
    </row>
    <row r="527" spans="1:9" ht="15" hidden="1">
      <c r="A527" s="269" t="s">
        <v>743</v>
      </c>
      <c r="B527" s="229"/>
      <c r="C527" s="83" t="s">
        <v>352</v>
      </c>
      <c r="D527" s="221"/>
      <c r="E527" s="641"/>
      <c r="F527" s="625"/>
      <c r="G527" s="626"/>
      <c r="H527" s="626"/>
      <c r="I527" s="626"/>
    </row>
    <row r="528" spans="1:9" ht="15" hidden="1">
      <c r="A528" s="612"/>
      <c r="B528" s="348"/>
      <c r="C528" s="351"/>
      <c r="D528" s="642">
        <f>SUM(D510:D527)</f>
        <v>21300000</v>
      </c>
      <c r="E528" s="345"/>
      <c r="F528" s="431">
        <f>SUM(F510:F527)</f>
        <v>1022500</v>
      </c>
      <c r="G528" s="613"/>
      <c r="H528" s="613"/>
      <c r="I528" s="613"/>
    </row>
    <row r="529" spans="1:9" ht="23.25" hidden="1">
      <c r="A529" s="1067" t="s">
        <v>745</v>
      </c>
      <c r="B529" s="1067"/>
      <c r="C529" s="1067"/>
      <c r="D529" s="1067"/>
      <c r="E529" s="1067"/>
      <c r="F529" s="1067"/>
      <c r="G529" s="1067"/>
      <c r="H529" s="1067"/>
      <c r="I529" s="1067"/>
    </row>
    <row r="530" spans="1:9" ht="23.25" hidden="1">
      <c r="A530" s="259" t="s">
        <v>3</v>
      </c>
      <c r="B530" s="259" t="s">
        <v>606</v>
      </c>
      <c r="C530" s="259" t="s">
        <v>5</v>
      </c>
      <c r="D530" s="260" t="s">
        <v>6</v>
      </c>
      <c r="E530" s="260" t="s">
        <v>7</v>
      </c>
      <c r="F530" s="260" t="s">
        <v>645</v>
      </c>
      <c r="G530" s="260" t="s">
        <v>646</v>
      </c>
      <c r="H530" s="260" t="s">
        <v>647</v>
      </c>
      <c r="I530" s="496" t="s">
        <v>648</v>
      </c>
    </row>
    <row r="531" spans="1:9" ht="15" hidden="1">
      <c r="A531" s="114"/>
      <c r="B531" s="114"/>
      <c r="C531" s="114"/>
      <c r="D531" s="114"/>
      <c r="E531" s="345"/>
      <c r="F531" s="431"/>
      <c r="G531" s="613"/>
      <c r="H531" s="613"/>
      <c r="I531" s="613"/>
    </row>
    <row r="532" spans="1:9" ht="15" hidden="1">
      <c r="A532" s="663">
        <v>14329</v>
      </c>
      <c r="B532" s="337">
        <v>0.1</v>
      </c>
      <c r="C532" s="247" t="s">
        <v>746</v>
      </c>
      <c r="D532" s="420">
        <v>1900000</v>
      </c>
      <c r="E532" s="345"/>
      <c r="F532" s="431"/>
      <c r="G532" s="613" t="s">
        <v>104</v>
      </c>
      <c r="H532" s="613"/>
      <c r="I532" s="613" t="s">
        <v>104</v>
      </c>
    </row>
    <row r="533" spans="1:9" ht="15" hidden="1">
      <c r="A533" s="532"/>
      <c r="B533" s="337"/>
      <c r="C533" s="247"/>
      <c r="D533" s="420"/>
      <c r="E533" s="345"/>
      <c r="F533" s="431"/>
      <c r="G533" s="613"/>
      <c r="H533" s="613"/>
      <c r="I533" s="613"/>
    </row>
    <row r="534" spans="1:9" ht="15" hidden="1">
      <c r="A534" s="528"/>
      <c r="B534" s="337"/>
      <c r="C534" s="247"/>
      <c r="D534" s="420"/>
      <c r="E534" s="345"/>
      <c r="F534" s="431"/>
      <c r="G534" s="613"/>
      <c r="H534" s="613"/>
      <c r="I534" s="613"/>
    </row>
    <row r="535" spans="1:9" ht="15" hidden="1">
      <c r="A535" s="528"/>
      <c r="B535" s="337"/>
      <c r="C535" s="247"/>
      <c r="D535" s="420"/>
      <c r="E535" s="345"/>
      <c r="F535" s="431"/>
      <c r="G535" s="613"/>
      <c r="H535" s="613"/>
      <c r="I535" s="613"/>
    </row>
    <row r="536" spans="1:9" hidden="1"/>
    <row r="537" spans="1:9" hidden="1"/>
    <row r="538" spans="1:9" hidden="1"/>
    <row r="539" spans="1:9" ht="23.25" hidden="1">
      <c r="A539" s="1067" t="s">
        <v>747</v>
      </c>
      <c r="B539" s="1067"/>
      <c r="C539" s="1067"/>
      <c r="D539" s="1067"/>
      <c r="E539" s="1067"/>
      <c r="F539" s="1067"/>
      <c r="G539" s="1067"/>
      <c r="H539" s="1067"/>
      <c r="I539" s="1067"/>
    </row>
    <row r="540" spans="1:9" ht="23.25" hidden="1">
      <c r="A540" s="100" t="s">
        <v>3</v>
      </c>
      <c r="B540" s="100" t="s">
        <v>606</v>
      </c>
      <c r="C540" s="100" t="s">
        <v>5</v>
      </c>
      <c r="D540" s="101" t="s">
        <v>6</v>
      </c>
      <c r="E540" s="101" t="s">
        <v>7</v>
      </c>
      <c r="F540" s="101" t="s">
        <v>645</v>
      </c>
      <c r="G540" s="101" t="s">
        <v>646</v>
      </c>
      <c r="H540" s="101" t="s">
        <v>647</v>
      </c>
      <c r="I540" s="448" t="s">
        <v>648</v>
      </c>
    </row>
    <row r="541" spans="1:9" ht="15" hidden="1">
      <c r="A541" s="532">
        <v>14173</v>
      </c>
      <c r="B541" s="337">
        <v>0.1</v>
      </c>
      <c r="C541" s="660" t="s">
        <v>356</v>
      </c>
      <c r="D541" s="510">
        <v>1900000</v>
      </c>
      <c r="E541" s="598">
        <v>2.5000000000000001E-2</v>
      </c>
      <c r="F541" s="431">
        <f>D541*E541</f>
        <v>47500</v>
      </c>
      <c r="G541" s="613"/>
      <c r="H541" s="613"/>
      <c r="I541" s="613"/>
    </row>
    <row r="542" spans="1:9" ht="15" hidden="1">
      <c r="A542" s="661">
        <v>14215</v>
      </c>
      <c r="B542" s="343">
        <v>0.08</v>
      </c>
      <c r="C542" s="351" t="s">
        <v>327</v>
      </c>
      <c r="D542" s="510">
        <v>2000000</v>
      </c>
      <c r="E542" s="598">
        <v>0.02</v>
      </c>
      <c r="F542" s="431">
        <f t="shared" ref="F542:F573" si="17">D542*E542</f>
        <v>40000</v>
      </c>
      <c r="G542" s="613"/>
      <c r="H542" s="613"/>
      <c r="I542" s="613"/>
    </row>
    <row r="543" spans="1:9" ht="15" hidden="1">
      <c r="A543" s="661">
        <v>14233</v>
      </c>
      <c r="B543" s="337">
        <v>0.1</v>
      </c>
      <c r="C543" s="351" t="s">
        <v>748</v>
      </c>
      <c r="D543" s="510">
        <v>1900000</v>
      </c>
      <c r="E543" s="598">
        <v>2.5000000000000001E-2</v>
      </c>
      <c r="F543" s="431">
        <f t="shared" si="17"/>
        <v>47500</v>
      </c>
      <c r="G543" s="613"/>
      <c r="H543" s="613"/>
      <c r="I543" s="613"/>
    </row>
    <row r="544" spans="1:9" ht="15" hidden="1">
      <c r="A544" s="683">
        <v>14224</v>
      </c>
      <c r="B544" s="337">
        <v>0.1</v>
      </c>
      <c r="C544" s="351" t="s">
        <v>328</v>
      </c>
      <c r="D544" s="510">
        <v>2400000</v>
      </c>
      <c r="E544" s="598">
        <v>2.5000000000000001E-2</v>
      </c>
      <c r="F544" s="431">
        <f t="shared" si="17"/>
        <v>60000</v>
      </c>
      <c r="G544" s="613"/>
      <c r="H544" s="613"/>
      <c r="I544" s="613"/>
    </row>
    <row r="545" spans="1:9" ht="15" hidden="1">
      <c r="A545" s="532">
        <v>14247</v>
      </c>
      <c r="B545" s="605">
        <v>0.1</v>
      </c>
      <c r="C545" s="351" t="s">
        <v>341</v>
      </c>
      <c r="D545" s="510">
        <v>1650000</v>
      </c>
      <c r="E545" s="598">
        <v>2.5000000000000001E-2</v>
      </c>
      <c r="F545" s="431">
        <f t="shared" si="17"/>
        <v>41250</v>
      </c>
      <c r="G545" s="445"/>
      <c r="H545" s="445"/>
      <c r="I545" s="445"/>
    </row>
    <row r="546" spans="1:9" ht="15" hidden="1">
      <c r="A546" s="532">
        <v>14275</v>
      </c>
      <c r="B546" s="605">
        <v>0.1</v>
      </c>
      <c r="C546" s="351" t="s">
        <v>749</v>
      </c>
      <c r="D546" s="510">
        <v>1900000</v>
      </c>
      <c r="E546" s="598">
        <v>2.5000000000000001E-2</v>
      </c>
      <c r="F546" s="431">
        <f t="shared" si="17"/>
        <v>47500</v>
      </c>
      <c r="G546" s="114"/>
      <c r="H546" s="114"/>
      <c r="I546" s="114"/>
    </row>
    <row r="547" spans="1:9" ht="15" hidden="1">
      <c r="A547" s="532">
        <v>14289</v>
      </c>
      <c r="B547" s="605">
        <v>0.1</v>
      </c>
      <c r="C547" s="351" t="s">
        <v>750</v>
      </c>
      <c r="D547" s="510">
        <v>1900000</v>
      </c>
      <c r="E547" s="598">
        <v>2.5000000000000001E-2</v>
      </c>
      <c r="F547" s="431">
        <f t="shared" si="17"/>
        <v>47500</v>
      </c>
      <c r="G547" s="114"/>
      <c r="H547" s="114"/>
      <c r="I547" s="114"/>
    </row>
    <row r="548" spans="1:9" ht="15" hidden="1">
      <c r="A548" s="532" t="s">
        <v>345</v>
      </c>
      <c r="B548" s="605">
        <v>0.1</v>
      </c>
      <c r="C548" s="351" t="s">
        <v>346</v>
      </c>
      <c r="D548" s="510">
        <v>4000000</v>
      </c>
      <c r="E548" s="598">
        <v>2.5000000000000001E-2</v>
      </c>
      <c r="F548" s="431">
        <f t="shared" si="17"/>
        <v>100000</v>
      </c>
      <c r="G548" s="114"/>
      <c r="H548" s="114"/>
      <c r="I548" s="114"/>
    </row>
    <row r="549" spans="1:9" ht="15" hidden="1">
      <c r="A549" s="609">
        <v>14313</v>
      </c>
      <c r="B549" s="526">
        <v>0.08</v>
      </c>
      <c r="C549" s="351" t="s">
        <v>344</v>
      </c>
      <c r="D549" s="510">
        <v>1750000</v>
      </c>
      <c r="E549" s="598">
        <v>0.02</v>
      </c>
      <c r="F549" s="431">
        <f t="shared" si="17"/>
        <v>35000</v>
      </c>
      <c r="G549" s="114"/>
      <c r="H549" s="114"/>
      <c r="I549" s="114"/>
    </row>
    <row r="550" spans="1:9" ht="15" hidden="1">
      <c r="A550" s="609">
        <v>14323</v>
      </c>
      <c r="B550" s="526">
        <v>0.08</v>
      </c>
      <c r="C550" s="351" t="s">
        <v>362</v>
      </c>
      <c r="D550" s="510">
        <v>2500000</v>
      </c>
      <c r="E550" s="598">
        <v>0.02</v>
      </c>
      <c r="F550" s="431">
        <f t="shared" si="17"/>
        <v>50000</v>
      </c>
      <c r="G550" s="114"/>
      <c r="H550" s="114"/>
      <c r="I550" s="114"/>
    </row>
    <row r="551" spans="1:9" ht="15" hidden="1">
      <c r="A551" s="532">
        <v>14324</v>
      </c>
      <c r="B551" s="605">
        <v>0.1</v>
      </c>
      <c r="C551" s="247" t="s">
        <v>751</v>
      </c>
      <c r="D551" s="510">
        <v>1700000</v>
      </c>
      <c r="E551" s="598">
        <v>2.5000000000000001E-2</v>
      </c>
      <c r="F551" s="431">
        <f t="shared" si="17"/>
        <v>42500</v>
      </c>
      <c r="G551" s="114"/>
      <c r="H551" s="114"/>
      <c r="I551" s="114"/>
    </row>
    <row r="552" spans="1:9" ht="15" hidden="1">
      <c r="A552" s="663">
        <v>14144</v>
      </c>
      <c r="B552" s="605">
        <v>0.1</v>
      </c>
      <c r="C552" s="247" t="s">
        <v>722</v>
      </c>
      <c r="D552" s="510">
        <v>1900000</v>
      </c>
      <c r="E552" s="598">
        <v>2.5000000000000001E-2</v>
      </c>
      <c r="F552" s="431">
        <f t="shared" si="17"/>
        <v>47500</v>
      </c>
      <c r="G552" s="114"/>
      <c r="H552" s="114"/>
      <c r="I552" s="114"/>
    </row>
    <row r="553" spans="1:9" ht="15" hidden="1">
      <c r="A553" s="663">
        <v>14153</v>
      </c>
      <c r="B553" s="605">
        <v>0.1</v>
      </c>
      <c r="C553" s="247" t="s">
        <v>723</v>
      </c>
      <c r="D553" s="510">
        <v>1100000</v>
      </c>
      <c r="E553" s="598">
        <v>2.5000000000000001E-2</v>
      </c>
      <c r="F553" s="431">
        <f t="shared" si="17"/>
        <v>27500</v>
      </c>
      <c r="G553" s="114"/>
      <c r="H553" s="114"/>
      <c r="I553" s="114"/>
    </row>
    <row r="554" spans="1:9" ht="15" hidden="1">
      <c r="A554" s="663">
        <v>14261</v>
      </c>
      <c r="B554" s="605">
        <v>0.1</v>
      </c>
      <c r="C554" s="247" t="s">
        <v>338</v>
      </c>
      <c r="D554" s="510">
        <v>1200000</v>
      </c>
      <c r="E554" s="598">
        <v>2.5000000000000001E-2</v>
      </c>
      <c r="F554" s="431">
        <f t="shared" si="17"/>
        <v>30000</v>
      </c>
      <c r="G554" s="114"/>
      <c r="H554" s="114"/>
      <c r="I554" s="114"/>
    </row>
    <row r="555" spans="1:9" ht="15" hidden="1">
      <c r="A555" s="663">
        <v>14291</v>
      </c>
      <c r="B555" s="605">
        <v>0.1</v>
      </c>
      <c r="C555" s="247" t="s">
        <v>724</v>
      </c>
      <c r="D555" s="510">
        <v>2500000</v>
      </c>
      <c r="E555" s="598">
        <v>2.5000000000000001E-2</v>
      </c>
      <c r="F555" s="431">
        <f t="shared" si="17"/>
        <v>62500</v>
      </c>
      <c r="G555" s="114"/>
      <c r="H555" s="114"/>
      <c r="I555" s="114"/>
    </row>
    <row r="556" spans="1:9" ht="15" hidden="1">
      <c r="A556" s="532">
        <v>14232</v>
      </c>
      <c r="B556" s="605">
        <v>0.1</v>
      </c>
      <c r="C556" s="247" t="s">
        <v>355</v>
      </c>
      <c r="D556" s="510">
        <v>1800000</v>
      </c>
      <c r="E556" s="598">
        <v>2.5000000000000001E-2</v>
      </c>
      <c r="F556" s="431">
        <f t="shared" si="17"/>
        <v>45000</v>
      </c>
      <c r="G556" s="114"/>
      <c r="H556" s="114"/>
      <c r="I556" s="114"/>
    </row>
    <row r="557" spans="1:9" ht="15" hidden="1">
      <c r="A557" s="664" t="s">
        <v>725</v>
      </c>
      <c r="B557" s="605">
        <v>0.1</v>
      </c>
      <c r="C557" s="247" t="s">
        <v>726</v>
      </c>
      <c r="D557" s="510">
        <v>2200000</v>
      </c>
      <c r="E557" s="598">
        <v>2.5000000000000001E-2</v>
      </c>
      <c r="F557" s="431">
        <f t="shared" si="17"/>
        <v>55000</v>
      </c>
      <c r="G557" s="114"/>
      <c r="H557" s="114"/>
      <c r="I557" s="114"/>
    </row>
    <row r="558" spans="1:9" ht="15" hidden="1">
      <c r="A558" s="663">
        <v>14206</v>
      </c>
      <c r="B558" s="605">
        <v>0.1</v>
      </c>
      <c r="C558" s="247" t="s">
        <v>727</v>
      </c>
      <c r="D558" s="510">
        <v>2300000</v>
      </c>
      <c r="E558" s="598">
        <v>2.5000000000000001E-2</v>
      </c>
      <c r="F558" s="431">
        <f t="shared" si="17"/>
        <v>57500</v>
      </c>
      <c r="G558" s="114"/>
      <c r="H558" s="114"/>
      <c r="I558" s="114"/>
    </row>
    <row r="559" spans="1:9" ht="15" hidden="1">
      <c r="A559" s="587">
        <v>14326</v>
      </c>
      <c r="B559" s="337">
        <v>0.1</v>
      </c>
      <c r="C559" s="247" t="s">
        <v>336</v>
      </c>
      <c r="D559" s="510">
        <v>2800000</v>
      </c>
      <c r="E559" s="598">
        <v>2.5000000000000001E-2</v>
      </c>
      <c r="F559" s="431">
        <f t="shared" si="17"/>
        <v>70000</v>
      </c>
      <c r="G559" s="114"/>
      <c r="H559" s="114"/>
      <c r="I559" s="114"/>
    </row>
    <row r="560" spans="1:9" ht="15" hidden="1">
      <c r="A560" s="663">
        <v>14281</v>
      </c>
      <c r="B560" s="337">
        <v>0.1</v>
      </c>
      <c r="C560" s="408" t="s">
        <v>360</v>
      </c>
      <c r="D560" s="510">
        <v>3300000</v>
      </c>
      <c r="E560" s="598">
        <v>2.5000000000000001E-2</v>
      </c>
      <c r="F560" s="431">
        <f t="shared" si="17"/>
        <v>82500</v>
      </c>
      <c r="G560" s="114"/>
      <c r="H560" s="114"/>
      <c r="I560" s="114"/>
    </row>
    <row r="561" spans="1:9" ht="15" hidden="1">
      <c r="A561" s="665">
        <v>14305</v>
      </c>
      <c r="B561" s="337">
        <v>0.1</v>
      </c>
      <c r="C561" s="536" t="s">
        <v>728</v>
      </c>
      <c r="D561" s="510">
        <v>2250000</v>
      </c>
      <c r="E561" s="598">
        <v>2.5000000000000001E-2</v>
      </c>
      <c r="F561" s="431">
        <f t="shared" si="17"/>
        <v>56250</v>
      </c>
      <c r="G561" s="114"/>
      <c r="H561" s="114"/>
      <c r="I561" s="114"/>
    </row>
    <row r="562" spans="1:9" ht="15" hidden="1">
      <c r="A562" s="663">
        <v>14130</v>
      </c>
      <c r="B562" s="337">
        <v>0.1</v>
      </c>
      <c r="C562" s="408" t="s">
        <v>730</v>
      </c>
      <c r="D562" s="510">
        <v>1850000</v>
      </c>
      <c r="E562" s="598">
        <v>2.5000000000000001E-2</v>
      </c>
      <c r="F562" s="431">
        <f t="shared" si="17"/>
        <v>46250</v>
      </c>
      <c r="G562" s="114"/>
      <c r="H562" s="114"/>
      <c r="I562" s="114"/>
    </row>
    <row r="563" spans="1:9" ht="15" hidden="1">
      <c r="A563" s="663">
        <v>14129</v>
      </c>
      <c r="B563" s="337">
        <v>0.1</v>
      </c>
      <c r="C563" s="408" t="s">
        <v>731</v>
      </c>
      <c r="D563" s="510">
        <v>1450000</v>
      </c>
      <c r="E563" s="598">
        <v>2.5000000000000001E-2</v>
      </c>
      <c r="F563" s="431">
        <f t="shared" si="17"/>
        <v>36250</v>
      </c>
      <c r="G563" s="114"/>
      <c r="H563" s="114"/>
      <c r="I563" s="114"/>
    </row>
    <row r="564" spans="1:9" ht="15" hidden="1">
      <c r="A564" s="663">
        <v>14179</v>
      </c>
      <c r="B564" s="337">
        <v>0.1</v>
      </c>
      <c r="C564" s="247" t="s">
        <v>732</v>
      </c>
      <c r="D564" s="510">
        <v>2500000</v>
      </c>
      <c r="E564" s="598">
        <v>2.5000000000000001E-2</v>
      </c>
      <c r="F564" s="431">
        <f t="shared" si="17"/>
        <v>62500</v>
      </c>
      <c r="G564" s="114"/>
      <c r="H564" s="114"/>
      <c r="I564" s="114"/>
    </row>
    <row r="565" spans="1:9" ht="15" hidden="1">
      <c r="A565" s="663">
        <v>14146</v>
      </c>
      <c r="B565" s="337">
        <v>0.1</v>
      </c>
      <c r="C565" s="247" t="s">
        <v>315</v>
      </c>
      <c r="D565" s="510">
        <v>2000000</v>
      </c>
      <c r="E565" s="598">
        <v>2.5000000000000001E-2</v>
      </c>
      <c r="F565" s="431">
        <f t="shared" si="17"/>
        <v>50000</v>
      </c>
      <c r="G565" s="114"/>
      <c r="H565" s="114"/>
      <c r="I565" s="114"/>
    </row>
    <row r="566" spans="1:9" ht="15" hidden="1">
      <c r="A566" s="665">
        <v>14163</v>
      </c>
      <c r="B566" s="343">
        <v>0.08</v>
      </c>
      <c r="C566" s="247" t="s">
        <v>317</v>
      </c>
      <c r="D566" s="510">
        <v>2400000</v>
      </c>
      <c r="E566" s="598">
        <v>0.02</v>
      </c>
      <c r="F566" s="431">
        <f t="shared" si="17"/>
        <v>48000</v>
      </c>
      <c r="G566" s="114"/>
      <c r="H566" s="114"/>
      <c r="I566" s="114"/>
    </row>
    <row r="567" spans="1:9" ht="15" hidden="1">
      <c r="A567" s="663">
        <v>14245</v>
      </c>
      <c r="B567" s="337">
        <v>0.1</v>
      </c>
      <c r="C567" s="114" t="s">
        <v>752</v>
      </c>
      <c r="D567" s="510">
        <v>2500000</v>
      </c>
      <c r="E567" s="598">
        <v>2.5000000000000001E-2</v>
      </c>
      <c r="F567" s="431">
        <f t="shared" si="17"/>
        <v>62500</v>
      </c>
      <c r="G567" s="114"/>
      <c r="H567" s="114"/>
      <c r="I567" s="114"/>
    </row>
    <row r="568" spans="1:9" ht="15" hidden="1">
      <c r="A568" s="663">
        <v>14269</v>
      </c>
      <c r="B568" s="337">
        <v>0.1</v>
      </c>
      <c r="C568" s="114" t="s">
        <v>753</v>
      </c>
      <c r="D568" s="510">
        <v>1800000</v>
      </c>
      <c r="E568" s="598">
        <v>2.5000000000000001E-2</v>
      </c>
      <c r="F568" s="431">
        <f t="shared" si="17"/>
        <v>45000</v>
      </c>
      <c r="G568" s="114"/>
      <c r="H568" s="114"/>
      <c r="I568" s="114"/>
    </row>
    <row r="569" spans="1:9" ht="15" hidden="1">
      <c r="A569" s="667">
        <v>14251</v>
      </c>
      <c r="B569" s="337">
        <v>0.1</v>
      </c>
      <c r="C569" s="424" t="s">
        <v>322</v>
      </c>
      <c r="D569" s="510">
        <v>2500000</v>
      </c>
      <c r="E569" s="598">
        <v>2.5000000000000001E-2</v>
      </c>
      <c r="F569" s="431">
        <f t="shared" si="17"/>
        <v>62500</v>
      </c>
      <c r="G569" s="114"/>
      <c r="H569" s="114"/>
      <c r="I569" s="114"/>
    </row>
    <row r="570" spans="1:9" ht="15" hidden="1">
      <c r="A570" s="663">
        <v>14189</v>
      </c>
      <c r="B570" s="337">
        <v>0.1</v>
      </c>
      <c r="C570" s="248" t="s">
        <v>335</v>
      </c>
      <c r="D570" s="510">
        <v>1150000</v>
      </c>
      <c r="E570" s="598">
        <v>2.5000000000000001E-2</v>
      </c>
      <c r="F570" s="431">
        <f t="shared" si="17"/>
        <v>28750</v>
      </c>
      <c r="G570" s="114"/>
      <c r="H570" s="114"/>
      <c r="I570" s="114"/>
    </row>
    <row r="571" spans="1:9" ht="15" hidden="1">
      <c r="A571" s="663">
        <v>14308</v>
      </c>
      <c r="B571" s="337">
        <v>0.1</v>
      </c>
      <c r="C571" s="114" t="s">
        <v>329</v>
      </c>
      <c r="D571" s="510">
        <v>1500000</v>
      </c>
      <c r="E571" s="598">
        <v>2.5000000000000001E-2</v>
      </c>
      <c r="F571" s="431">
        <f t="shared" si="17"/>
        <v>37500</v>
      </c>
      <c r="G571" s="114"/>
      <c r="H571" s="114"/>
      <c r="I571" s="114"/>
    </row>
    <row r="572" spans="1:9" ht="15" hidden="1">
      <c r="A572" s="665">
        <v>14162</v>
      </c>
      <c r="B572" s="337">
        <v>0.1</v>
      </c>
      <c r="C572" s="248" t="s">
        <v>741</v>
      </c>
      <c r="D572" s="510">
        <v>1650000</v>
      </c>
      <c r="E572" s="598">
        <v>2.5000000000000001E-2</v>
      </c>
      <c r="F572" s="431">
        <f t="shared" si="17"/>
        <v>41250</v>
      </c>
      <c r="G572" s="114"/>
      <c r="H572" s="114"/>
      <c r="I572" s="114"/>
    </row>
    <row r="573" spans="1:9" ht="15" hidden="1">
      <c r="A573" s="587">
        <v>14329</v>
      </c>
      <c r="B573" s="531">
        <v>0.1</v>
      </c>
      <c r="C573" s="248" t="s">
        <v>754</v>
      </c>
      <c r="D573" s="682">
        <v>1900000</v>
      </c>
      <c r="E573" s="598">
        <v>2.5000000000000001E-2</v>
      </c>
      <c r="F573" s="431">
        <f t="shared" si="17"/>
        <v>47500</v>
      </c>
      <c r="G573" s="424"/>
      <c r="H573" s="424"/>
      <c r="I573" s="424"/>
    </row>
    <row r="574" spans="1:9" hidden="1">
      <c r="A574" s="114"/>
      <c r="B574" s="114"/>
      <c r="C574" s="52"/>
      <c r="D574" s="510">
        <f>SUM(D541:D573)</f>
        <v>68150000</v>
      </c>
      <c r="E574" s="114"/>
      <c r="F574" s="567">
        <f>SUM(F541:F573)</f>
        <v>1660500</v>
      </c>
      <c r="G574" s="114"/>
      <c r="H574" s="114"/>
      <c r="I574" s="114"/>
    </row>
    <row r="575" spans="1:9" hidden="1"/>
    <row r="576" spans="1:9" hidden="1"/>
    <row r="577" spans="1:9" hidden="1"/>
    <row r="578" spans="1:9" ht="18" hidden="1">
      <c r="A578" s="992" t="s">
        <v>50</v>
      </c>
      <c r="B578" s="992"/>
      <c r="C578" s="992"/>
      <c r="D578" s="147">
        <v>68150000</v>
      </c>
    </row>
    <row r="579" spans="1:9" ht="18" hidden="1">
      <c r="A579" s="993" t="s">
        <v>51</v>
      </c>
      <c r="B579" s="993"/>
      <c r="C579" s="993"/>
      <c r="D579" s="416"/>
    </row>
    <row r="580" spans="1:9" ht="18" hidden="1">
      <c r="A580" s="1060" t="s">
        <v>52</v>
      </c>
      <c r="B580" s="1060"/>
      <c r="C580" s="1060"/>
      <c r="D580" s="450"/>
    </row>
    <row r="581" spans="1:9" ht="18" hidden="1">
      <c r="A581" s="1062" t="s">
        <v>59</v>
      </c>
      <c r="B581" s="1062"/>
      <c r="C581" s="1062"/>
      <c r="D581" s="147"/>
    </row>
    <row r="582" spans="1:9" hidden="1"/>
    <row r="583" spans="1:9" ht="45">
      <c r="A583" s="1070" t="s">
        <v>368</v>
      </c>
      <c r="B583" s="1070"/>
      <c r="C583" s="1070"/>
      <c r="D583" s="1070"/>
      <c r="E583" s="1070"/>
      <c r="F583" s="1070"/>
      <c r="G583" s="1070"/>
      <c r="H583" s="1070"/>
      <c r="I583" s="114"/>
    </row>
    <row r="584" spans="1:9" ht="23.25" hidden="1">
      <c r="A584" s="1067" t="s">
        <v>755</v>
      </c>
      <c r="B584" s="1067"/>
      <c r="C584" s="1067"/>
      <c r="D584" s="1067"/>
      <c r="E584" s="1067"/>
      <c r="F584" s="1067"/>
      <c r="G584" s="1067"/>
      <c r="H584" s="1067"/>
      <c r="I584" s="1067"/>
    </row>
    <row r="585" spans="1:9" ht="23.25" hidden="1">
      <c r="A585" s="690" t="s">
        <v>3</v>
      </c>
      <c r="B585" s="690" t="s">
        <v>606</v>
      </c>
      <c r="C585" s="690" t="s">
        <v>5</v>
      </c>
      <c r="D585" s="691" t="s">
        <v>6</v>
      </c>
      <c r="E585" s="691" t="s">
        <v>7</v>
      </c>
      <c r="F585" s="691" t="s">
        <v>645</v>
      </c>
      <c r="G585" s="691" t="s">
        <v>646</v>
      </c>
      <c r="H585" s="691" t="s">
        <v>647</v>
      </c>
      <c r="I585" s="692" t="s">
        <v>648</v>
      </c>
    </row>
    <row r="586" spans="1:9" ht="15" hidden="1">
      <c r="A586" s="483">
        <v>14360</v>
      </c>
      <c r="B586" s="178">
        <v>0.08</v>
      </c>
      <c r="C586" s="193" t="s">
        <v>384</v>
      </c>
      <c r="D586" s="510">
        <v>1800000</v>
      </c>
      <c r="E586" s="310">
        <v>0.01</v>
      </c>
      <c r="F586" s="431">
        <f>D586*E586</f>
        <v>18000</v>
      </c>
      <c r="G586" s="613"/>
      <c r="H586" s="613"/>
      <c r="I586" s="613"/>
    </row>
    <row r="587" spans="1:9" ht="15" hidden="1">
      <c r="A587" s="483">
        <v>14548</v>
      </c>
      <c r="B587" s="180">
        <v>0.1</v>
      </c>
      <c r="C587" s="430" t="s">
        <v>381</v>
      </c>
      <c r="D587" s="510">
        <v>3000000</v>
      </c>
      <c r="E587" s="345">
        <v>0.02</v>
      </c>
      <c r="F587" s="431">
        <f t="shared" ref="F587:F591" si="18">D587*E587</f>
        <v>60000</v>
      </c>
      <c r="G587" s="613"/>
      <c r="H587" s="613"/>
      <c r="I587" s="613"/>
    </row>
    <row r="588" spans="1:9" ht="15" hidden="1">
      <c r="A588" s="483">
        <v>14588</v>
      </c>
      <c r="B588" s="180">
        <v>0.1</v>
      </c>
      <c r="C588" s="430" t="s">
        <v>756</v>
      </c>
      <c r="D588" s="510">
        <v>1450000</v>
      </c>
      <c r="E588" s="345">
        <v>0.02</v>
      </c>
      <c r="F588" s="431">
        <f t="shared" si="18"/>
        <v>29000</v>
      </c>
      <c r="G588" s="613"/>
      <c r="H588" s="613"/>
      <c r="I588" s="613"/>
    </row>
    <row r="589" spans="1:9" ht="15" hidden="1">
      <c r="A589" s="456">
        <v>14545</v>
      </c>
      <c r="B589" s="180">
        <v>0.1</v>
      </c>
      <c r="C589" s="456" t="s">
        <v>393</v>
      </c>
      <c r="D589" s="682">
        <v>2000000</v>
      </c>
      <c r="E589" s="345">
        <v>0.02</v>
      </c>
      <c r="F589" s="431">
        <f t="shared" si="18"/>
        <v>40000</v>
      </c>
      <c r="G589" s="445"/>
      <c r="H589" s="445"/>
      <c r="I589" s="445"/>
    </row>
    <row r="590" spans="1:9" ht="15" hidden="1">
      <c r="A590" s="483" t="s">
        <v>406</v>
      </c>
      <c r="B590" s="179">
        <v>0.1</v>
      </c>
      <c r="C590" s="193" t="s">
        <v>407</v>
      </c>
      <c r="D590" s="510">
        <v>1800000</v>
      </c>
      <c r="E590" s="345">
        <v>0.02</v>
      </c>
      <c r="F590" s="431">
        <f t="shared" si="18"/>
        <v>36000</v>
      </c>
      <c r="G590" s="613"/>
      <c r="H590" s="613"/>
      <c r="I590" s="613"/>
    </row>
    <row r="591" spans="1:9" ht="15" hidden="1">
      <c r="A591" s="483">
        <v>14591</v>
      </c>
      <c r="B591" s="179">
        <v>0.1</v>
      </c>
      <c r="C591" s="193" t="s">
        <v>405</v>
      </c>
      <c r="D591" s="510">
        <v>1700000</v>
      </c>
      <c r="E591" s="345">
        <v>0.02</v>
      </c>
      <c r="F591" s="431">
        <f t="shared" si="18"/>
        <v>34000</v>
      </c>
      <c r="G591" s="613"/>
      <c r="H591" s="613"/>
      <c r="I591" s="613"/>
    </row>
    <row r="592" spans="1:9" hidden="1">
      <c r="A592" s="114"/>
      <c r="B592" s="114"/>
      <c r="C592" s="114"/>
      <c r="D592" s="114"/>
      <c r="E592" s="114"/>
      <c r="F592" s="114"/>
      <c r="G592" s="613"/>
      <c r="H592" s="613"/>
      <c r="I592" s="613"/>
    </row>
    <row r="593" spans="1:9" ht="15" hidden="1">
      <c r="A593" s="52"/>
      <c r="B593" s="52"/>
      <c r="C593" s="52"/>
      <c r="D593" s="510">
        <f>SUM(D586:D592)</f>
        <v>11750000</v>
      </c>
      <c r="E593" s="310"/>
      <c r="F593" s="701">
        <f>SUM(F586:F592)</f>
        <v>217000</v>
      </c>
      <c r="G593" s="613"/>
      <c r="H593" s="613"/>
      <c r="I593" s="613"/>
    </row>
    <row r="594" spans="1:9" ht="15" hidden="1">
      <c r="A594" s="646">
        <v>14343</v>
      </c>
      <c r="B594" s="234"/>
      <c r="C594" s="693" t="s">
        <v>386</v>
      </c>
      <c r="D594" s="647"/>
      <c r="E594" s="694"/>
      <c r="F594" s="695" t="s">
        <v>153</v>
      </c>
      <c r="G594" s="626" t="s">
        <v>104</v>
      </c>
      <c r="H594" s="626"/>
      <c r="I594" s="626" t="s">
        <v>104</v>
      </c>
    </row>
    <row r="595" spans="1:9" ht="23.25" hidden="1">
      <c r="A595" s="1066" t="s">
        <v>757</v>
      </c>
      <c r="B595" s="1066"/>
      <c r="C595" s="1066"/>
      <c r="D595" s="1067"/>
      <c r="E595" s="1067"/>
      <c r="F595" s="1067"/>
      <c r="G595" s="1067"/>
      <c r="H595" s="1067"/>
      <c r="I595" s="1067"/>
    </row>
    <row r="596" spans="1:9" ht="23.25" hidden="1">
      <c r="A596" s="259" t="s">
        <v>3</v>
      </c>
      <c r="B596" s="259" t="s">
        <v>606</v>
      </c>
      <c r="C596" s="259" t="s">
        <v>5</v>
      </c>
      <c r="D596" s="260" t="s">
        <v>6</v>
      </c>
      <c r="E596" s="260" t="s">
        <v>7</v>
      </c>
      <c r="F596" s="260" t="s">
        <v>645</v>
      </c>
      <c r="G596" s="260" t="s">
        <v>646</v>
      </c>
      <c r="H596" s="260" t="s">
        <v>647</v>
      </c>
      <c r="I596" s="496" t="s">
        <v>648</v>
      </c>
    </row>
    <row r="597" spans="1:9" ht="15" hidden="1">
      <c r="A597" s="588">
        <v>14356</v>
      </c>
      <c r="B597" s="179">
        <v>0.1</v>
      </c>
      <c r="C597" s="193" t="s">
        <v>373</v>
      </c>
      <c r="D597" s="510">
        <v>2300000</v>
      </c>
      <c r="E597" s="345">
        <v>0.05</v>
      </c>
      <c r="F597" s="431">
        <f>D597*E597</f>
        <v>115000</v>
      </c>
      <c r="G597" s="613"/>
      <c r="H597" s="613"/>
      <c r="I597" s="613"/>
    </row>
    <row r="598" spans="1:9" ht="15" hidden="1">
      <c r="A598" s="588">
        <v>14376</v>
      </c>
      <c r="B598" s="179">
        <v>0.1</v>
      </c>
      <c r="C598" s="193" t="s">
        <v>385</v>
      </c>
      <c r="D598" s="510">
        <v>1850000</v>
      </c>
      <c r="E598" s="345">
        <v>0.05</v>
      </c>
      <c r="F598" s="431">
        <f t="shared" ref="F598:F609" si="19">D598*E598</f>
        <v>92500</v>
      </c>
      <c r="G598" s="613"/>
      <c r="H598" s="613"/>
      <c r="I598" s="613"/>
    </row>
    <row r="599" spans="1:9" ht="15" hidden="1">
      <c r="A599" s="588">
        <v>14343</v>
      </c>
      <c r="B599" s="179">
        <v>0.1</v>
      </c>
      <c r="C599" s="193" t="s">
        <v>386</v>
      </c>
      <c r="D599" s="510">
        <v>1700000</v>
      </c>
      <c r="E599" s="345">
        <v>0.05</v>
      </c>
      <c r="F599" s="431">
        <f t="shared" si="19"/>
        <v>85000</v>
      </c>
      <c r="G599" s="613"/>
      <c r="H599" s="613"/>
      <c r="I599" s="613"/>
    </row>
    <row r="600" spans="1:9" ht="15" hidden="1">
      <c r="A600" s="588">
        <v>14540</v>
      </c>
      <c r="B600" s="179">
        <v>0.1</v>
      </c>
      <c r="C600" s="430" t="s">
        <v>387</v>
      </c>
      <c r="D600" s="510">
        <v>1100000</v>
      </c>
      <c r="E600" s="345">
        <v>0.05</v>
      </c>
      <c r="F600" s="431">
        <f t="shared" si="19"/>
        <v>55000</v>
      </c>
      <c r="G600" s="613"/>
      <c r="H600" s="613"/>
      <c r="I600" s="613"/>
    </row>
    <row r="601" spans="1:9" ht="15" hidden="1">
      <c r="A601" s="687" t="s">
        <v>394</v>
      </c>
      <c r="B601" s="179">
        <v>0.1</v>
      </c>
      <c r="C601" s="193" t="s">
        <v>395</v>
      </c>
      <c r="D601" s="510">
        <v>2000000</v>
      </c>
      <c r="E601" s="345">
        <v>0.05</v>
      </c>
      <c r="F601" s="431">
        <f t="shared" si="19"/>
        <v>100000</v>
      </c>
      <c r="G601" s="613"/>
      <c r="H601" s="613"/>
      <c r="I601" s="613"/>
    </row>
    <row r="602" spans="1:9" ht="15" hidden="1">
      <c r="A602" s="588">
        <v>14425</v>
      </c>
      <c r="B602" s="179">
        <v>0.1</v>
      </c>
      <c r="C602" s="430" t="s">
        <v>396</v>
      </c>
      <c r="D602" s="510">
        <v>1900000</v>
      </c>
      <c r="E602" s="345">
        <v>0.05</v>
      </c>
      <c r="F602" s="431">
        <f t="shared" si="19"/>
        <v>95000</v>
      </c>
      <c r="G602" s="613"/>
      <c r="H602" s="613"/>
      <c r="I602" s="613"/>
    </row>
    <row r="603" spans="1:9" ht="15" hidden="1">
      <c r="A603" s="588">
        <v>14408</v>
      </c>
      <c r="B603" s="179">
        <v>0.1</v>
      </c>
      <c r="C603" s="193" t="s">
        <v>397</v>
      </c>
      <c r="D603" s="510">
        <v>2000000</v>
      </c>
      <c r="E603" s="345">
        <v>0.05</v>
      </c>
      <c r="F603" s="431">
        <f t="shared" si="19"/>
        <v>100000</v>
      </c>
      <c r="G603" s="613"/>
      <c r="H603" s="613"/>
      <c r="I603" s="613"/>
    </row>
    <row r="604" spans="1:9" ht="15" hidden="1">
      <c r="A604" s="588">
        <v>14476</v>
      </c>
      <c r="B604" s="179">
        <v>0.1</v>
      </c>
      <c r="C604" s="430" t="s">
        <v>758</v>
      </c>
      <c r="D604" s="510">
        <v>1800000</v>
      </c>
      <c r="E604" s="310">
        <v>0.04</v>
      </c>
      <c r="F604" s="431">
        <f t="shared" si="19"/>
        <v>72000</v>
      </c>
      <c r="G604" s="613"/>
      <c r="H604" s="613"/>
      <c r="I604" s="613"/>
    </row>
    <row r="605" spans="1:9" ht="15" hidden="1">
      <c r="A605" s="588">
        <v>14529</v>
      </c>
      <c r="B605" s="179">
        <v>0.1</v>
      </c>
      <c r="C605" s="430" t="s">
        <v>399</v>
      </c>
      <c r="D605" s="510">
        <v>1950000</v>
      </c>
      <c r="E605" s="345">
        <v>0.05</v>
      </c>
      <c r="F605" s="431">
        <f t="shared" si="19"/>
        <v>97500</v>
      </c>
      <c r="G605" s="613"/>
      <c r="H605" s="613"/>
      <c r="I605" s="613"/>
    </row>
    <row r="606" spans="1:9" ht="15" hidden="1">
      <c r="A606" s="588">
        <v>14498</v>
      </c>
      <c r="B606" s="179">
        <v>0.1</v>
      </c>
      <c r="C606" s="193" t="s">
        <v>371</v>
      </c>
      <c r="D606" s="510">
        <v>2000000</v>
      </c>
      <c r="E606" s="345">
        <v>0.05</v>
      </c>
      <c r="F606" s="431">
        <f t="shared" si="19"/>
        <v>100000</v>
      </c>
      <c r="G606" s="613"/>
      <c r="H606" s="613"/>
      <c r="I606" s="613"/>
    </row>
    <row r="607" spans="1:9" ht="15" hidden="1">
      <c r="A607" s="588">
        <v>14473</v>
      </c>
      <c r="B607" s="179">
        <v>0.1</v>
      </c>
      <c r="C607" s="193" t="s">
        <v>374</v>
      </c>
      <c r="D607" s="510">
        <v>1800000</v>
      </c>
      <c r="E607" s="345">
        <v>0.05</v>
      </c>
      <c r="F607" s="431">
        <f t="shared" si="19"/>
        <v>90000</v>
      </c>
      <c r="G607" s="613"/>
      <c r="H607" s="613"/>
      <c r="I607" s="613"/>
    </row>
    <row r="608" spans="1:9" ht="15" hidden="1">
      <c r="A608" s="588">
        <v>14440</v>
      </c>
      <c r="B608" s="179">
        <v>0.1</v>
      </c>
      <c r="C608" s="193" t="s">
        <v>408</v>
      </c>
      <c r="D608" s="510">
        <v>1600000</v>
      </c>
      <c r="E608" s="345">
        <v>0.05</v>
      </c>
      <c r="F608" s="431">
        <f t="shared" si="19"/>
        <v>80000</v>
      </c>
      <c r="G608" s="114"/>
      <c r="H608" s="114"/>
      <c r="I608" s="114"/>
    </row>
    <row r="609" spans="1:9" ht="15" hidden="1">
      <c r="A609" s="588">
        <v>14539</v>
      </c>
      <c r="B609" s="179">
        <v>0.1</v>
      </c>
      <c r="C609" s="430" t="s">
        <v>409</v>
      </c>
      <c r="D609" s="510">
        <v>1500000</v>
      </c>
      <c r="E609" s="345">
        <v>0.05</v>
      </c>
      <c r="F609" s="431">
        <f t="shared" si="19"/>
        <v>75000</v>
      </c>
      <c r="G609" s="114"/>
      <c r="H609" s="114"/>
      <c r="I609" s="114"/>
    </row>
    <row r="610" spans="1:9" ht="15" hidden="1">
      <c r="A610" s="532"/>
      <c r="B610" s="337"/>
      <c r="C610" s="31"/>
      <c r="D610" s="510">
        <f>SUM(D597:D609)</f>
        <v>23500000</v>
      </c>
      <c r="E610" s="345"/>
      <c r="F610" s="701">
        <f>SUM(F597:F609)</f>
        <v>1157000</v>
      </c>
      <c r="G610" s="613"/>
      <c r="H610" s="613"/>
      <c r="I610" s="613"/>
    </row>
    <row r="611" spans="1:9" ht="23.25" hidden="1">
      <c r="A611" s="1066" t="s">
        <v>759</v>
      </c>
      <c r="B611" s="1066"/>
      <c r="C611" s="1066"/>
      <c r="D611" s="1066"/>
      <c r="E611" s="1066"/>
      <c r="F611" s="1066"/>
      <c r="G611" s="1066"/>
      <c r="H611" s="1066"/>
      <c r="I611" s="1066"/>
    </row>
    <row r="612" spans="1:9" ht="23.25" hidden="1">
      <c r="A612" s="259" t="s">
        <v>3</v>
      </c>
      <c r="B612" s="259" t="s">
        <v>606</v>
      </c>
      <c r="C612" s="259" t="s">
        <v>5</v>
      </c>
      <c r="D612" s="260" t="s">
        <v>6</v>
      </c>
      <c r="E612" s="260" t="s">
        <v>7</v>
      </c>
      <c r="F612" s="260" t="s">
        <v>645</v>
      </c>
      <c r="G612" s="260" t="s">
        <v>646</v>
      </c>
      <c r="H612" s="260" t="s">
        <v>647</v>
      </c>
      <c r="I612" s="496" t="s">
        <v>648</v>
      </c>
    </row>
    <row r="613" spans="1:9" ht="15" hidden="1">
      <c r="A613" s="588">
        <v>14341</v>
      </c>
      <c r="B613" s="179">
        <v>0.1</v>
      </c>
      <c r="C613" s="193" t="s">
        <v>389</v>
      </c>
      <c r="D613" s="510">
        <v>1900000</v>
      </c>
      <c r="E613" s="345">
        <v>0.05</v>
      </c>
      <c r="F613" s="431">
        <f>D613*E613</f>
        <v>95000</v>
      </c>
      <c r="G613" s="613" t="s">
        <v>104</v>
      </c>
      <c r="H613" s="613"/>
      <c r="I613" s="613"/>
    </row>
    <row r="614" spans="1:9" ht="15" hidden="1">
      <c r="A614" s="588">
        <v>14431</v>
      </c>
      <c r="B614" s="179">
        <v>0.1</v>
      </c>
      <c r="C614" s="193" t="s">
        <v>390</v>
      </c>
      <c r="D614" s="510">
        <v>1150000</v>
      </c>
      <c r="E614" s="345">
        <v>0.05</v>
      </c>
      <c r="F614" s="431">
        <f t="shared" ref="F614:F625" si="20">D614*E614</f>
        <v>57500</v>
      </c>
      <c r="G614" s="613"/>
      <c r="H614" s="613"/>
      <c r="I614" s="613"/>
    </row>
    <row r="615" spans="1:9" ht="15" hidden="1">
      <c r="A615" s="588">
        <v>14434</v>
      </c>
      <c r="B615" s="179">
        <v>0.1</v>
      </c>
      <c r="C615" s="193" t="s">
        <v>391</v>
      </c>
      <c r="D615" s="510">
        <v>1400000</v>
      </c>
      <c r="E615" s="345">
        <v>0.05</v>
      </c>
      <c r="F615" s="431">
        <f t="shared" si="20"/>
        <v>70000</v>
      </c>
      <c r="G615" s="613"/>
      <c r="H615" s="613"/>
      <c r="I615" s="613"/>
    </row>
    <row r="616" spans="1:9" ht="15" hidden="1">
      <c r="A616" s="588">
        <v>14457</v>
      </c>
      <c r="B616" s="178">
        <v>0.08</v>
      </c>
      <c r="C616" s="193" t="s">
        <v>392</v>
      </c>
      <c r="D616" s="510">
        <v>2000000</v>
      </c>
      <c r="E616" s="310">
        <v>0.04</v>
      </c>
      <c r="F616" s="431">
        <f t="shared" si="20"/>
        <v>80000</v>
      </c>
      <c r="G616" s="613"/>
      <c r="H616" s="613"/>
      <c r="I616" s="613"/>
    </row>
    <row r="617" spans="1:9" ht="15" hidden="1">
      <c r="A617" s="588">
        <v>14395</v>
      </c>
      <c r="B617" s="179">
        <v>0.1</v>
      </c>
      <c r="C617" s="193" t="s">
        <v>400</v>
      </c>
      <c r="D617" s="510">
        <v>1350000</v>
      </c>
      <c r="E617" s="345">
        <v>0.05</v>
      </c>
      <c r="F617" s="431">
        <f t="shared" si="20"/>
        <v>67500</v>
      </c>
      <c r="G617" s="613"/>
      <c r="H617" s="613"/>
      <c r="I617" s="613"/>
    </row>
    <row r="618" spans="1:9" ht="15" hidden="1">
      <c r="A618" s="588">
        <v>14471</v>
      </c>
      <c r="B618" s="179">
        <v>0.1</v>
      </c>
      <c r="C618" s="193" t="s">
        <v>402</v>
      </c>
      <c r="D618" s="510">
        <v>2300000</v>
      </c>
      <c r="E618" s="345">
        <v>0.05</v>
      </c>
      <c r="F618" s="431">
        <f t="shared" si="20"/>
        <v>115000</v>
      </c>
      <c r="G618" s="613"/>
      <c r="H618" s="613"/>
      <c r="I618" s="613"/>
    </row>
    <row r="619" spans="1:9" ht="15" hidden="1">
      <c r="A619" s="588">
        <v>14486</v>
      </c>
      <c r="B619" s="179">
        <v>0.1</v>
      </c>
      <c r="C619" s="430" t="s">
        <v>377</v>
      </c>
      <c r="D619" s="510">
        <v>2300000</v>
      </c>
      <c r="E619" s="345">
        <v>0.05</v>
      </c>
      <c r="F619" s="431">
        <f t="shared" si="20"/>
        <v>115000</v>
      </c>
      <c r="G619" s="613"/>
      <c r="H619" s="613"/>
      <c r="I619" s="613"/>
    </row>
    <row r="620" spans="1:9" ht="15" hidden="1">
      <c r="A620" s="588">
        <v>14484</v>
      </c>
      <c r="B620" s="179">
        <v>0.1</v>
      </c>
      <c r="C620" s="430" t="s">
        <v>403</v>
      </c>
      <c r="D620" s="510">
        <v>1200000</v>
      </c>
      <c r="E620" s="345">
        <v>0.05</v>
      </c>
      <c r="F620" s="431">
        <f t="shared" si="20"/>
        <v>60000</v>
      </c>
      <c r="G620" s="613"/>
      <c r="H620" s="613"/>
      <c r="I620" s="613"/>
    </row>
    <row r="621" spans="1:9" ht="15" hidden="1">
      <c r="A621" s="588">
        <v>14537</v>
      </c>
      <c r="B621" s="179">
        <v>0.1</v>
      </c>
      <c r="C621" s="430" t="s">
        <v>404</v>
      </c>
      <c r="D621" s="510">
        <v>2000000</v>
      </c>
      <c r="E621" s="345">
        <v>0.05</v>
      </c>
      <c r="F621" s="431">
        <f t="shared" si="20"/>
        <v>100000</v>
      </c>
      <c r="G621" s="613"/>
      <c r="H621" s="613"/>
      <c r="I621" s="613"/>
    </row>
    <row r="622" spans="1:9" ht="15" hidden="1">
      <c r="A622" s="588">
        <v>14513</v>
      </c>
      <c r="B622" s="179">
        <v>0.1</v>
      </c>
      <c r="C622" s="193" t="s">
        <v>376</v>
      </c>
      <c r="D622" s="510">
        <v>2500000</v>
      </c>
      <c r="E622" s="345">
        <v>0.05</v>
      </c>
      <c r="F622" s="431">
        <f t="shared" si="20"/>
        <v>125000</v>
      </c>
      <c r="G622" s="613"/>
      <c r="H622" s="613"/>
      <c r="I622" s="613"/>
    </row>
    <row r="623" spans="1:9" ht="15" hidden="1">
      <c r="A623" s="588">
        <v>14483</v>
      </c>
      <c r="B623" s="179">
        <v>0.1</v>
      </c>
      <c r="C623" s="430" t="s">
        <v>378</v>
      </c>
      <c r="D623" s="510">
        <v>1100000</v>
      </c>
      <c r="E623" s="345">
        <v>0.05</v>
      </c>
      <c r="F623" s="431">
        <f t="shared" si="20"/>
        <v>55000</v>
      </c>
      <c r="G623" s="613"/>
      <c r="H623" s="613"/>
      <c r="I623" s="613"/>
    </row>
    <row r="624" spans="1:9" ht="15" hidden="1">
      <c r="A624" s="588">
        <v>14480</v>
      </c>
      <c r="B624" s="178">
        <v>0.08</v>
      </c>
      <c r="C624" s="430" t="s">
        <v>380</v>
      </c>
      <c r="D624" s="510">
        <v>2000000</v>
      </c>
      <c r="E624" s="310">
        <v>0.04</v>
      </c>
      <c r="F624" s="431">
        <f t="shared" si="20"/>
        <v>80000</v>
      </c>
      <c r="G624" s="613"/>
      <c r="H624" s="613"/>
      <c r="I624" s="613"/>
    </row>
    <row r="625" spans="1:14" ht="15" hidden="1">
      <c r="A625" s="588">
        <v>14512</v>
      </c>
      <c r="B625" s="179">
        <v>0.1</v>
      </c>
      <c r="C625" s="430" t="s">
        <v>382</v>
      </c>
      <c r="D625" s="510">
        <v>3400000</v>
      </c>
      <c r="E625" s="345">
        <v>0.05</v>
      </c>
      <c r="F625" s="431">
        <f t="shared" si="20"/>
        <v>170000</v>
      </c>
      <c r="G625" s="613"/>
      <c r="H625" s="613"/>
      <c r="I625" s="613"/>
    </row>
    <row r="626" spans="1:14" hidden="1">
      <c r="A626" s="31"/>
      <c r="B626" s="31"/>
      <c r="C626" s="31"/>
      <c r="D626" s="31"/>
      <c r="E626" s="31"/>
      <c r="F626" s="31"/>
      <c r="G626" s="613"/>
      <c r="H626" s="613"/>
      <c r="I626" s="613"/>
    </row>
    <row r="627" spans="1:14" ht="15" hidden="1">
      <c r="A627" s="663"/>
      <c r="B627" s="337"/>
      <c r="C627" s="114"/>
      <c r="D627" s="510">
        <f>SUM(D613:D626)</f>
        <v>24600000</v>
      </c>
      <c r="E627" s="345"/>
      <c r="F627" s="701">
        <f>SUM(F613:F626)</f>
        <v>1190000</v>
      </c>
      <c r="G627" s="613"/>
      <c r="H627" s="613"/>
      <c r="I627" s="613"/>
    </row>
    <row r="628" spans="1:14" ht="18" hidden="1">
      <c r="A628" s="114"/>
      <c r="B628" s="114"/>
      <c r="C628" s="114"/>
      <c r="D628" s="114"/>
      <c r="E628" s="114"/>
      <c r="F628" s="114"/>
      <c r="G628" s="114"/>
      <c r="H628" s="114"/>
      <c r="I628" s="114"/>
      <c r="K628" s="1065" t="s">
        <v>50</v>
      </c>
      <c r="L628" s="1065"/>
      <c r="M628" s="1065"/>
      <c r="N628" s="686">
        <f>D627+D610+D593</f>
        <v>59850000</v>
      </c>
    </row>
    <row r="629" spans="1:14" ht="18" hidden="1">
      <c r="K629" s="993" t="s">
        <v>51</v>
      </c>
      <c r="L629" s="993"/>
      <c r="M629" s="993"/>
      <c r="N629" s="416">
        <v>6500000</v>
      </c>
    </row>
    <row r="630" spans="1:14" ht="23.25" hidden="1">
      <c r="A630" s="1067" t="s">
        <v>747</v>
      </c>
      <c r="B630" s="1067"/>
      <c r="C630" s="1067"/>
      <c r="D630" s="1067"/>
      <c r="E630" s="1067"/>
      <c r="F630" s="1067"/>
      <c r="G630" s="1067"/>
      <c r="H630" s="1067"/>
      <c r="I630" s="1067"/>
      <c r="K630" s="1060" t="s">
        <v>52</v>
      </c>
      <c r="L630" s="1060"/>
      <c r="M630" s="1060"/>
      <c r="N630" s="450"/>
    </row>
    <row r="631" spans="1:14" ht="23.25" hidden="1">
      <c r="A631" s="100" t="s">
        <v>3</v>
      </c>
      <c r="B631" s="100" t="s">
        <v>606</v>
      </c>
      <c r="C631" s="100" t="s">
        <v>5</v>
      </c>
      <c r="D631" s="101" t="s">
        <v>6</v>
      </c>
      <c r="E631" s="101" t="s">
        <v>7</v>
      </c>
      <c r="F631" s="101" t="s">
        <v>645</v>
      </c>
      <c r="G631" s="101" t="s">
        <v>646</v>
      </c>
      <c r="H631" s="101" t="s">
        <v>647</v>
      </c>
      <c r="I631" s="448" t="s">
        <v>648</v>
      </c>
      <c r="K631" s="1062" t="s">
        <v>59</v>
      </c>
      <c r="L631" s="1062"/>
      <c r="M631" s="1062"/>
      <c r="N631" s="147">
        <f>SUM(N628:N630)</f>
        <v>66350000</v>
      </c>
    </row>
    <row r="632" spans="1:14" ht="15" hidden="1">
      <c r="A632" s="532">
        <v>14360</v>
      </c>
      <c r="B632" s="343">
        <v>0.08</v>
      </c>
      <c r="C632" s="247" t="s">
        <v>384</v>
      </c>
      <c r="D632" s="510">
        <v>1800000</v>
      </c>
      <c r="E632" s="310">
        <v>0.02</v>
      </c>
      <c r="F632" s="431">
        <f>D632*E632</f>
        <v>36000</v>
      </c>
      <c r="G632" s="613" t="s">
        <v>104</v>
      </c>
      <c r="H632" s="613"/>
      <c r="I632" s="613"/>
    </row>
    <row r="633" spans="1:14" ht="15" hidden="1">
      <c r="A633" s="532">
        <v>14548</v>
      </c>
      <c r="B633" s="337">
        <v>0.1</v>
      </c>
      <c r="C633" s="114" t="s">
        <v>381</v>
      </c>
      <c r="D633" s="510">
        <v>3000000</v>
      </c>
      <c r="E633" s="598">
        <v>2.5000000000000001E-2</v>
      </c>
      <c r="F633" s="431">
        <f t="shared" ref="F633:F663" si="21">D633*E633</f>
        <v>75000</v>
      </c>
      <c r="G633" s="613" t="s">
        <v>104</v>
      </c>
      <c r="H633" s="613"/>
      <c r="I633" s="613"/>
    </row>
    <row r="634" spans="1:14" ht="15" hidden="1">
      <c r="A634" s="587">
        <v>14588</v>
      </c>
      <c r="B634" s="337">
        <v>0.1</v>
      </c>
      <c r="C634" s="114" t="s">
        <v>756</v>
      </c>
      <c r="D634" s="510">
        <v>1450000</v>
      </c>
      <c r="E634" s="598">
        <v>2.5000000000000001E-2</v>
      </c>
      <c r="F634" s="431">
        <f t="shared" si="21"/>
        <v>36250</v>
      </c>
      <c r="G634" s="699"/>
      <c r="H634" s="613"/>
      <c r="I634" s="613"/>
    </row>
    <row r="635" spans="1:14" ht="15" hidden="1">
      <c r="A635" s="114">
        <v>14545</v>
      </c>
      <c r="B635" s="337">
        <v>0.1</v>
      </c>
      <c r="C635" s="114" t="s">
        <v>393</v>
      </c>
      <c r="D635" s="510">
        <v>2000000</v>
      </c>
      <c r="E635" s="598">
        <v>2.5000000000000001E-2</v>
      </c>
      <c r="F635" s="431">
        <f t="shared" si="21"/>
        <v>50000</v>
      </c>
      <c r="G635" s="613" t="s">
        <v>104</v>
      </c>
      <c r="H635" s="613"/>
      <c r="I635" s="613"/>
    </row>
    <row r="636" spans="1:14" ht="15" hidden="1">
      <c r="A636" s="532" t="s">
        <v>406</v>
      </c>
      <c r="B636" s="337">
        <v>0.1</v>
      </c>
      <c r="C636" s="247" t="s">
        <v>407</v>
      </c>
      <c r="D636" s="510">
        <v>1800000</v>
      </c>
      <c r="E636" s="598">
        <v>2.5000000000000001E-2</v>
      </c>
      <c r="F636" s="431">
        <f t="shared" si="21"/>
        <v>45000</v>
      </c>
      <c r="G636" s="613" t="s">
        <v>104</v>
      </c>
      <c r="H636" s="613"/>
      <c r="I636" s="613"/>
    </row>
    <row r="637" spans="1:14" ht="15" hidden="1">
      <c r="A637" s="587">
        <v>14591</v>
      </c>
      <c r="B637" s="337">
        <v>0.1</v>
      </c>
      <c r="C637" s="247" t="s">
        <v>405</v>
      </c>
      <c r="D637" s="510">
        <v>1700000</v>
      </c>
      <c r="E637" s="598">
        <v>2.5000000000000001E-2</v>
      </c>
      <c r="F637" s="431">
        <f t="shared" si="21"/>
        <v>42500</v>
      </c>
      <c r="G637" s="699"/>
      <c r="H637" s="613"/>
      <c r="I637" s="613"/>
    </row>
    <row r="638" spans="1:14" ht="15" hidden="1">
      <c r="A638" s="663">
        <v>14356</v>
      </c>
      <c r="B638" s="337">
        <v>0.1</v>
      </c>
      <c r="C638" s="247" t="s">
        <v>373</v>
      </c>
      <c r="D638" s="510">
        <v>2300000</v>
      </c>
      <c r="E638" s="598">
        <v>2.5000000000000001E-2</v>
      </c>
      <c r="F638" s="431">
        <f t="shared" si="21"/>
        <v>57500</v>
      </c>
      <c r="G638" s="613" t="s">
        <v>104</v>
      </c>
      <c r="H638" s="613"/>
      <c r="I638" s="613"/>
    </row>
    <row r="639" spans="1:14" ht="15" hidden="1">
      <c r="A639" s="663">
        <v>14376</v>
      </c>
      <c r="B639" s="337">
        <v>0.1</v>
      </c>
      <c r="C639" s="247" t="s">
        <v>385</v>
      </c>
      <c r="D639" s="510">
        <v>1850000</v>
      </c>
      <c r="E639" s="598">
        <v>2.5000000000000001E-2</v>
      </c>
      <c r="F639" s="431">
        <f t="shared" si="21"/>
        <v>46250</v>
      </c>
      <c r="G639" s="613" t="s">
        <v>104</v>
      </c>
      <c r="H639" s="613"/>
      <c r="I639" s="613"/>
    </row>
    <row r="640" spans="1:14" ht="15" hidden="1">
      <c r="A640" s="663">
        <v>14343</v>
      </c>
      <c r="B640" s="337">
        <v>0.1</v>
      </c>
      <c r="C640" s="247" t="s">
        <v>386</v>
      </c>
      <c r="D640" s="510">
        <v>1700000</v>
      </c>
      <c r="E640" s="598">
        <v>2.5000000000000001E-2</v>
      </c>
      <c r="F640" s="431">
        <f t="shared" si="21"/>
        <v>42500</v>
      </c>
      <c r="G640" s="613" t="s">
        <v>104</v>
      </c>
      <c r="H640" s="613"/>
      <c r="I640" s="613"/>
    </row>
    <row r="641" spans="1:9" ht="15" hidden="1">
      <c r="A641" s="663">
        <v>14540</v>
      </c>
      <c r="B641" s="337">
        <v>0.1</v>
      </c>
      <c r="C641" s="114" t="s">
        <v>760</v>
      </c>
      <c r="D641" s="510">
        <v>1100000</v>
      </c>
      <c r="E641" s="598">
        <v>2.5000000000000001E-2</v>
      </c>
      <c r="F641" s="431">
        <f t="shared" si="21"/>
        <v>27500</v>
      </c>
      <c r="G641" s="699"/>
      <c r="H641" s="613"/>
      <c r="I641" s="613"/>
    </row>
    <row r="642" spans="1:9" ht="15" hidden="1">
      <c r="A642" s="664" t="s">
        <v>394</v>
      </c>
      <c r="B642" s="337">
        <v>0.1</v>
      </c>
      <c r="C642" s="247" t="s">
        <v>395</v>
      </c>
      <c r="D642" s="510">
        <v>2000000</v>
      </c>
      <c r="E642" s="598">
        <v>2.5000000000000001E-2</v>
      </c>
      <c r="F642" s="431">
        <f t="shared" si="21"/>
        <v>50000</v>
      </c>
      <c r="G642" s="613" t="s">
        <v>104</v>
      </c>
      <c r="H642" s="613"/>
      <c r="I642" s="613"/>
    </row>
    <row r="643" spans="1:9" ht="15" hidden="1">
      <c r="A643" s="663">
        <v>14425</v>
      </c>
      <c r="B643" s="337">
        <v>0.1</v>
      </c>
      <c r="C643" s="114" t="s">
        <v>396</v>
      </c>
      <c r="D643" s="510">
        <v>1900000</v>
      </c>
      <c r="E643" s="598">
        <v>2.5000000000000001E-2</v>
      </c>
      <c r="F643" s="431">
        <f t="shared" si="21"/>
        <v>47500</v>
      </c>
      <c r="G643" s="613" t="s">
        <v>104</v>
      </c>
      <c r="H643" s="613"/>
      <c r="I643" s="613"/>
    </row>
    <row r="644" spans="1:9" ht="15" hidden="1">
      <c r="A644" s="663">
        <v>14408</v>
      </c>
      <c r="B644" s="337">
        <v>0.1</v>
      </c>
      <c r="C644" s="247" t="s">
        <v>397</v>
      </c>
      <c r="D644" s="510">
        <v>2000000</v>
      </c>
      <c r="E644" s="598">
        <v>2.5000000000000001E-2</v>
      </c>
      <c r="F644" s="431">
        <f t="shared" si="21"/>
        <v>50000</v>
      </c>
      <c r="G644" s="613" t="s">
        <v>104</v>
      </c>
      <c r="H644" s="613"/>
      <c r="I644" s="613"/>
    </row>
    <row r="645" spans="1:9" ht="15" hidden="1">
      <c r="A645" s="663">
        <v>14476</v>
      </c>
      <c r="B645" s="337">
        <v>0.1</v>
      </c>
      <c r="C645" s="114" t="s">
        <v>398</v>
      </c>
      <c r="D645" s="510">
        <v>1800000</v>
      </c>
      <c r="E645" s="598">
        <v>2.5000000000000001E-2</v>
      </c>
      <c r="F645" s="431">
        <f t="shared" si="21"/>
        <v>45000</v>
      </c>
      <c r="G645" s="613" t="s">
        <v>104</v>
      </c>
      <c r="H645" s="613"/>
      <c r="I645" s="613"/>
    </row>
    <row r="646" spans="1:9" ht="15" hidden="1">
      <c r="A646" s="663">
        <v>14529</v>
      </c>
      <c r="B646" s="337">
        <v>0.1</v>
      </c>
      <c r="C646" s="114" t="s">
        <v>399</v>
      </c>
      <c r="D646" s="510">
        <v>1950000</v>
      </c>
      <c r="E646" s="598">
        <v>2.5000000000000001E-2</v>
      </c>
      <c r="F646" s="431">
        <f t="shared" si="21"/>
        <v>48750</v>
      </c>
      <c r="G646" s="613" t="s">
        <v>104</v>
      </c>
      <c r="H646" s="613"/>
      <c r="I646" s="613"/>
    </row>
    <row r="647" spans="1:9" ht="15" hidden="1">
      <c r="A647" s="663">
        <v>14498</v>
      </c>
      <c r="B647" s="337">
        <v>0.1</v>
      </c>
      <c r="C647" s="247" t="s">
        <v>371</v>
      </c>
      <c r="D647" s="510">
        <v>2000000</v>
      </c>
      <c r="E647" s="598">
        <v>2.5000000000000001E-2</v>
      </c>
      <c r="F647" s="431">
        <f t="shared" si="21"/>
        <v>50000</v>
      </c>
      <c r="G647" s="613" t="s">
        <v>104</v>
      </c>
      <c r="H647" s="613"/>
      <c r="I647" s="613"/>
    </row>
    <row r="648" spans="1:9" ht="15" hidden="1">
      <c r="A648" s="663">
        <v>14473</v>
      </c>
      <c r="B648" s="337">
        <v>0.1</v>
      </c>
      <c r="C648" s="247" t="s">
        <v>374</v>
      </c>
      <c r="D648" s="510">
        <v>1800000</v>
      </c>
      <c r="E648" s="598">
        <v>2.5000000000000001E-2</v>
      </c>
      <c r="F648" s="431">
        <f t="shared" si="21"/>
        <v>45000</v>
      </c>
      <c r="G648" s="613" t="s">
        <v>104</v>
      </c>
      <c r="H648" s="613"/>
      <c r="I648" s="613"/>
    </row>
    <row r="649" spans="1:9" ht="15" hidden="1">
      <c r="A649" s="663">
        <v>14440</v>
      </c>
      <c r="B649" s="337">
        <v>0.1</v>
      </c>
      <c r="C649" s="247" t="s">
        <v>408</v>
      </c>
      <c r="D649" s="510">
        <v>1600000</v>
      </c>
      <c r="E649" s="598">
        <v>2.5000000000000001E-2</v>
      </c>
      <c r="F649" s="431">
        <f t="shared" si="21"/>
        <v>40000</v>
      </c>
      <c r="G649" s="114" t="s">
        <v>104</v>
      </c>
      <c r="H649" s="114"/>
      <c r="I649" s="114"/>
    </row>
    <row r="650" spans="1:9" ht="15" hidden="1">
      <c r="A650" s="663">
        <v>14539</v>
      </c>
      <c r="B650" s="337">
        <v>0.1</v>
      </c>
      <c r="C650" s="114" t="s">
        <v>409</v>
      </c>
      <c r="D650" s="510">
        <v>1500000</v>
      </c>
      <c r="E650" s="598">
        <v>2.5000000000000001E-2</v>
      </c>
      <c r="F650" s="431">
        <f t="shared" si="21"/>
        <v>37500</v>
      </c>
      <c r="G650" s="83"/>
      <c r="H650" s="114"/>
      <c r="I650" s="114"/>
    </row>
    <row r="651" spans="1:9" ht="15" hidden="1">
      <c r="A651" s="663">
        <v>14341</v>
      </c>
      <c r="B651" s="337">
        <v>0.1</v>
      </c>
      <c r="C651" s="247" t="s">
        <v>389</v>
      </c>
      <c r="D651" s="510">
        <v>1900000</v>
      </c>
      <c r="E651" s="598">
        <v>2.5000000000000001E-2</v>
      </c>
      <c r="F651" s="431">
        <f t="shared" si="21"/>
        <v>47500</v>
      </c>
      <c r="G651" s="445" t="s">
        <v>104</v>
      </c>
      <c r="H651" s="445"/>
      <c r="I651" s="445"/>
    </row>
    <row r="652" spans="1:9" ht="15" hidden="1">
      <c r="A652" s="663">
        <v>14431</v>
      </c>
      <c r="B652" s="337">
        <v>0.1</v>
      </c>
      <c r="C652" s="247" t="s">
        <v>390</v>
      </c>
      <c r="D652" s="510">
        <v>1150000</v>
      </c>
      <c r="E652" s="598">
        <v>2.5000000000000001E-2</v>
      </c>
      <c r="F652" s="431">
        <f t="shared" si="21"/>
        <v>28750</v>
      </c>
      <c r="G652" s="114" t="s">
        <v>104</v>
      </c>
      <c r="H652" s="114"/>
      <c r="I652" s="114"/>
    </row>
    <row r="653" spans="1:9" ht="15" hidden="1">
      <c r="A653" s="663">
        <v>14434</v>
      </c>
      <c r="B653" s="337">
        <v>0.1</v>
      </c>
      <c r="C653" s="247" t="s">
        <v>391</v>
      </c>
      <c r="D653" s="510">
        <v>1400000</v>
      </c>
      <c r="E653" s="310">
        <v>0.02</v>
      </c>
      <c r="F653" s="431">
        <f t="shared" si="21"/>
        <v>28000</v>
      </c>
      <c r="G653" s="114" t="s">
        <v>104</v>
      </c>
      <c r="H653" s="114"/>
      <c r="I653" s="114"/>
    </row>
    <row r="654" spans="1:9" ht="15" hidden="1">
      <c r="A654" s="663">
        <v>14457</v>
      </c>
      <c r="B654" s="343">
        <v>0.08</v>
      </c>
      <c r="C654" s="247" t="s">
        <v>392</v>
      </c>
      <c r="D654" s="510">
        <v>2000000</v>
      </c>
      <c r="E654" s="598">
        <v>2.5000000000000001E-2</v>
      </c>
      <c r="F654" s="431">
        <f t="shared" si="21"/>
        <v>50000</v>
      </c>
      <c r="G654" s="114" t="s">
        <v>104</v>
      </c>
      <c r="H654" s="114"/>
      <c r="I654" s="114"/>
    </row>
    <row r="655" spans="1:9" ht="15" hidden="1">
      <c r="A655" s="663">
        <v>14395</v>
      </c>
      <c r="B655" s="337">
        <v>0.1</v>
      </c>
      <c r="C655" s="247" t="s">
        <v>400</v>
      </c>
      <c r="D655" s="510">
        <v>1350000</v>
      </c>
      <c r="E655" s="598">
        <v>2.5000000000000001E-2</v>
      </c>
      <c r="F655" s="431">
        <f t="shared" si="21"/>
        <v>33750</v>
      </c>
      <c r="G655" s="114" t="s">
        <v>104</v>
      </c>
      <c r="H655" s="114"/>
      <c r="I655" s="114"/>
    </row>
    <row r="656" spans="1:9" ht="15" hidden="1">
      <c r="A656" s="663">
        <v>14471</v>
      </c>
      <c r="B656" s="337">
        <v>0.1</v>
      </c>
      <c r="C656" s="247" t="s">
        <v>402</v>
      </c>
      <c r="D656" s="510">
        <v>2300000</v>
      </c>
      <c r="E656" s="598">
        <v>2.5000000000000001E-2</v>
      </c>
      <c r="F656" s="431">
        <f t="shared" si="21"/>
        <v>57500</v>
      </c>
      <c r="G656" s="114" t="s">
        <v>104</v>
      </c>
      <c r="H656" s="114"/>
      <c r="I656" s="114"/>
    </row>
    <row r="657" spans="1:10" ht="15" hidden="1">
      <c r="A657" s="663">
        <v>14486</v>
      </c>
      <c r="B657" s="337">
        <v>0.1</v>
      </c>
      <c r="C657" s="114" t="s">
        <v>377</v>
      </c>
      <c r="D657" s="510">
        <v>2300000</v>
      </c>
      <c r="E657" s="598">
        <v>2.5000000000000001E-2</v>
      </c>
      <c r="F657" s="431">
        <f t="shared" si="21"/>
        <v>57500</v>
      </c>
      <c r="G657" s="114" t="s">
        <v>104</v>
      </c>
      <c r="H657" s="114"/>
      <c r="I657" s="114"/>
    </row>
    <row r="658" spans="1:10" ht="15" hidden="1">
      <c r="A658" s="663">
        <v>14484</v>
      </c>
      <c r="B658" s="337">
        <v>0.1</v>
      </c>
      <c r="C658" s="114" t="s">
        <v>403</v>
      </c>
      <c r="D658" s="510">
        <v>1200000</v>
      </c>
      <c r="E658" s="598">
        <v>2.5000000000000001E-2</v>
      </c>
      <c r="F658" s="431">
        <f t="shared" si="21"/>
        <v>30000</v>
      </c>
      <c r="G658" s="114" t="s">
        <v>104</v>
      </c>
      <c r="H658" s="114"/>
      <c r="I658" s="114"/>
    </row>
    <row r="659" spans="1:10" ht="15" hidden="1">
      <c r="A659" s="663">
        <v>14537</v>
      </c>
      <c r="B659" s="337">
        <v>0.1</v>
      </c>
      <c r="C659" s="114" t="s">
        <v>404</v>
      </c>
      <c r="D659" s="510">
        <v>2000000</v>
      </c>
      <c r="E659" s="598">
        <v>2.5000000000000001E-2</v>
      </c>
      <c r="F659" s="431">
        <f t="shared" si="21"/>
        <v>50000</v>
      </c>
      <c r="G659" s="114" t="s">
        <v>104</v>
      </c>
      <c r="H659" s="114"/>
      <c r="I659" s="114"/>
    </row>
    <row r="660" spans="1:10" ht="15" hidden="1">
      <c r="A660" s="663">
        <v>14513</v>
      </c>
      <c r="B660" s="337">
        <v>0.1</v>
      </c>
      <c r="C660" s="247" t="s">
        <v>376</v>
      </c>
      <c r="D660" s="510">
        <v>2500000</v>
      </c>
      <c r="E660" s="598">
        <v>2.5000000000000001E-2</v>
      </c>
      <c r="F660" s="431">
        <f t="shared" si="21"/>
        <v>62500</v>
      </c>
      <c r="G660" s="114" t="s">
        <v>104</v>
      </c>
      <c r="H660" s="114"/>
      <c r="I660" s="114"/>
    </row>
    <row r="661" spans="1:10" ht="15" hidden="1">
      <c r="A661" s="663">
        <v>14483</v>
      </c>
      <c r="B661" s="337">
        <v>0.1</v>
      </c>
      <c r="C661" s="114" t="s">
        <v>378</v>
      </c>
      <c r="D661" s="510">
        <v>1100000</v>
      </c>
      <c r="E661" s="598">
        <v>2.5000000000000001E-2</v>
      </c>
      <c r="F661" s="431">
        <f t="shared" si="21"/>
        <v>27500</v>
      </c>
      <c r="G661" s="114" t="s">
        <v>104</v>
      </c>
      <c r="H661" s="114"/>
      <c r="I661" s="114"/>
    </row>
    <row r="662" spans="1:10" ht="15" hidden="1">
      <c r="A662" s="663">
        <v>14480</v>
      </c>
      <c r="B662" s="343">
        <v>0.08</v>
      </c>
      <c r="C662" s="114" t="s">
        <v>380</v>
      </c>
      <c r="D662" s="510">
        <v>2000000</v>
      </c>
      <c r="E662" s="310">
        <v>0.02</v>
      </c>
      <c r="F662" s="431">
        <f t="shared" si="21"/>
        <v>40000</v>
      </c>
      <c r="G662" s="114" t="s">
        <v>104</v>
      </c>
      <c r="H662" s="114"/>
      <c r="I662" s="114"/>
    </row>
    <row r="663" spans="1:10" ht="15" hidden="1">
      <c r="A663" s="665">
        <v>14512</v>
      </c>
      <c r="B663" s="531">
        <v>0.1</v>
      </c>
      <c r="C663" s="424" t="s">
        <v>382</v>
      </c>
      <c r="D663" s="682">
        <v>3400000</v>
      </c>
      <c r="E663" s="598">
        <v>2.5000000000000001E-2</v>
      </c>
      <c r="F663" s="431">
        <f t="shared" si="21"/>
        <v>85000</v>
      </c>
      <c r="G663" s="114" t="s">
        <v>104</v>
      </c>
      <c r="H663" s="114"/>
      <c r="I663" s="114"/>
    </row>
    <row r="664" spans="1:10" hidden="1">
      <c r="A664" s="1071" t="s">
        <v>32</v>
      </c>
      <c r="B664" s="1071"/>
      <c r="C664" s="1072"/>
      <c r="D664" s="510">
        <f>SUM(D632:D663)</f>
        <v>59850000</v>
      </c>
      <c r="E664" s="114"/>
      <c r="F664" s="698">
        <f>SUM(F632:F663)</f>
        <v>1470250</v>
      </c>
      <c r="G664" s="114"/>
      <c r="H664" s="114"/>
      <c r="I664" s="114"/>
    </row>
    <row r="665" spans="1:10" hidden="1"/>
    <row r="666" spans="1:10" hidden="1"/>
    <row r="667" spans="1:10" ht="45">
      <c r="A667" s="1070" t="s">
        <v>412</v>
      </c>
      <c r="B667" s="1070"/>
      <c r="C667" s="1070"/>
      <c r="D667" s="1070"/>
      <c r="E667" s="1070"/>
      <c r="F667" s="1070"/>
      <c r="G667" s="1070"/>
      <c r="H667" s="1070"/>
    </row>
    <row r="668" spans="1:10" ht="23.25" hidden="1">
      <c r="A668" s="1067" t="s">
        <v>761</v>
      </c>
      <c r="B668" s="1067"/>
      <c r="C668" s="1067"/>
      <c r="D668" s="1067"/>
      <c r="E668" s="1067"/>
      <c r="F668" s="1067"/>
      <c r="G668" s="1067"/>
      <c r="H668" s="1067"/>
      <c r="I668" s="1067"/>
    </row>
    <row r="669" spans="1:10" ht="23.25" hidden="1">
      <c r="A669" s="690" t="s">
        <v>3</v>
      </c>
      <c r="B669" s="690" t="s">
        <v>606</v>
      </c>
      <c r="C669" s="690" t="s">
        <v>5</v>
      </c>
      <c r="D669" s="691" t="s">
        <v>6</v>
      </c>
      <c r="E669" s="691" t="s">
        <v>7</v>
      </c>
      <c r="F669" s="691" t="s">
        <v>645</v>
      </c>
      <c r="G669" s="691" t="s">
        <v>646</v>
      </c>
      <c r="H669" s="691" t="s">
        <v>647</v>
      </c>
      <c r="I669" s="772" t="s">
        <v>762</v>
      </c>
    </row>
    <row r="670" spans="1:10" ht="15" hidden="1">
      <c r="A670" s="663">
        <v>14638</v>
      </c>
      <c r="B670" s="337">
        <v>0.1</v>
      </c>
      <c r="C670" s="247" t="s">
        <v>414</v>
      </c>
      <c r="D670" s="729">
        <v>1500000</v>
      </c>
      <c r="E670" s="345">
        <v>0.05</v>
      </c>
      <c r="F670" s="726">
        <f>D670*E670</f>
        <v>75000</v>
      </c>
      <c r="G670" s="613" t="s">
        <v>104</v>
      </c>
      <c r="H670" s="613"/>
      <c r="I670" s="778"/>
      <c r="J670" s="776"/>
    </row>
    <row r="671" spans="1:10" ht="15" hidden="1">
      <c r="A671" s="663">
        <v>14718</v>
      </c>
      <c r="B671" s="337">
        <v>0.1</v>
      </c>
      <c r="C671" s="247" t="s">
        <v>416</v>
      </c>
      <c r="D671" s="729">
        <v>1800000</v>
      </c>
      <c r="E671" s="345">
        <v>0.05</v>
      </c>
      <c r="F671" s="726">
        <f t="shared" ref="F671:F686" si="22">D671*E671</f>
        <v>90000</v>
      </c>
      <c r="G671" s="613" t="s">
        <v>104</v>
      </c>
      <c r="H671" s="613"/>
      <c r="I671" s="613" t="s">
        <v>104</v>
      </c>
      <c r="J671" s="776"/>
    </row>
    <row r="672" spans="1:10" ht="15" hidden="1">
      <c r="A672" s="663">
        <v>14675</v>
      </c>
      <c r="B672" s="337">
        <v>0.1</v>
      </c>
      <c r="C672" s="247" t="s">
        <v>418</v>
      </c>
      <c r="D672" s="729">
        <v>2200000</v>
      </c>
      <c r="E672" s="345">
        <v>0.05</v>
      </c>
      <c r="F672" s="726">
        <f t="shared" si="22"/>
        <v>110000</v>
      </c>
      <c r="G672" s="613" t="s">
        <v>104</v>
      </c>
      <c r="H672" s="613"/>
      <c r="I672" s="613" t="s">
        <v>104</v>
      </c>
      <c r="J672" s="776"/>
    </row>
    <row r="673" spans="1:10" ht="15" hidden="1">
      <c r="A673" s="663">
        <v>14728</v>
      </c>
      <c r="B673" s="343">
        <v>0.08</v>
      </c>
      <c r="C673" s="247" t="s">
        <v>419</v>
      </c>
      <c r="D673" s="729">
        <v>2200000</v>
      </c>
      <c r="E673" s="310">
        <v>0.04</v>
      </c>
      <c r="F673" s="726">
        <f t="shared" si="22"/>
        <v>88000</v>
      </c>
      <c r="G673" s="613" t="s">
        <v>104</v>
      </c>
      <c r="H673" s="613"/>
      <c r="I673" s="613" t="s">
        <v>104</v>
      </c>
      <c r="J673" s="776"/>
    </row>
    <row r="674" spans="1:10" ht="15" hidden="1">
      <c r="A674" s="587">
        <v>14760</v>
      </c>
      <c r="B674" s="666">
        <v>0.08</v>
      </c>
      <c r="C674" s="248" t="s">
        <v>420</v>
      </c>
      <c r="D674" s="770">
        <v>2000000</v>
      </c>
      <c r="E674" s="310">
        <v>0.04</v>
      </c>
      <c r="F674" s="726">
        <f t="shared" si="22"/>
        <v>80000</v>
      </c>
      <c r="G674" s="613" t="s">
        <v>104</v>
      </c>
      <c r="H674" s="613"/>
      <c r="I674" s="613" t="s">
        <v>104</v>
      </c>
      <c r="J674" s="776"/>
    </row>
    <row r="675" spans="1:10" ht="15" hidden="1">
      <c r="A675" s="587">
        <v>14761</v>
      </c>
      <c r="B675" s="343">
        <v>0.08</v>
      </c>
      <c r="C675" s="247" t="s">
        <v>421</v>
      </c>
      <c r="D675" s="703">
        <v>2400000</v>
      </c>
      <c r="E675" s="310">
        <v>0.04</v>
      </c>
      <c r="F675" s="726">
        <f t="shared" si="22"/>
        <v>96000</v>
      </c>
      <c r="G675" s="613" t="s">
        <v>104</v>
      </c>
      <c r="H675" s="748"/>
      <c r="I675" s="613" t="s">
        <v>104</v>
      </c>
      <c r="J675" s="776"/>
    </row>
    <row r="676" spans="1:10" ht="15" hidden="1">
      <c r="A676" s="764">
        <v>14632</v>
      </c>
      <c r="B676" s="343">
        <v>0.08</v>
      </c>
      <c r="C676" s="114" t="s">
        <v>451</v>
      </c>
      <c r="D676" s="703">
        <v>3000000</v>
      </c>
      <c r="E676" s="310">
        <v>0.04</v>
      </c>
      <c r="F676" s="726">
        <f t="shared" si="22"/>
        <v>120000</v>
      </c>
      <c r="G676" s="445" t="s">
        <v>104</v>
      </c>
      <c r="H676" s="445"/>
      <c r="I676" s="613" t="s">
        <v>104</v>
      </c>
      <c r="J676" s="776"/>
    </row>
    <row r="677" spans="1:10" ht="15" hidden="1">
      <c r="A677" s="745" t="s">
        <v>452</v>
      </c>
      <c r="B677" s="337">
        <v>0.1</v>
      </c>
      <c r="C677" s="114" t="s">
        <v>453</v>
      </c>
      <c r="D677" s="703">
        <v>2200000</v>
      </c>
      <c r="E677" s="345">
        <v>0.05</v>
      </c>
      <c r="F677" s="726">
        <f t="shared" si="22"/>
        <v>110000</v>
      </c>
      <c r="G677" s="83"/>
      <c r="H677" s="83"/>
      <c r="I677" s="83"/>
      <c r="J677" s="776"/>
    </row>
    <row r="678" spans="1:10" ht="15" hidden="1">
      <c r="A678" s="765">
        <v>14799</v>
      </c>
      <c r="B678" s="337">
        <v>0.1</v>
      </c>
      <c r="C678" s="114" t="s">
        <v>454</v>
      </c>
      <c r="D678" s="703">
        <v>1100000</v>
      </c>
      <c r="E678" s="345">
        <v>0.05</v>
      </c>
      <c r="F678" s="726">
        <f t="shared" si="22"/>
        <v>55000</v>
      </c>
      <c r="G678" s="88"/>
      <c r="H678" s="88"/>
      <c r="I678" s="88"/>
      <c r="J678" s="776"/>
    </row>
    <row r="679" spans="1:10" ht="15" hidden="1">
      <c r="A679" s="764">
        <v>14814</v>
      </c>
      <c r="B679" s="343">
        <v>0.09</v>
      </c>
      <c r="C679" s="247" t="s">
        <v>457</v>
      </c>
      <c r="D679" s="703">
        <v>2100000</v>
      </c>
      <c r="E679" s="310">
        <v>0.04</v>
      </c>
      <c r="F679" s="726">
        <f t="shared" si="22"/>
        <v>84000</v>
      </c>
      <c r="G679" s="699"/>
      <c r="H679" s="699"/>
      <c r="I679" s="699"/>
      <c r="J679" s="776"/>
    </row>
    <row r="680" spans="1:10" ht="15" hidden="1">
      <c r="A680" s="745" t="s">
        <v>433</v>
      </c>
      <c r="B680" s="343">
        <v>0.08</v>
      </c>
      <c r="C680" s="114" t="s">
        <v>434</v>
      </c>
      <c r="D680" s="703">
        <v>4200000</v>
      </c>
      <c r="E680" s="310">
        <v>0.04</v>
      </c>
      <c r="F680" s="726">
        <f t="shared" si="22"/>
        <v>168000</v>
      </c>
      <c r="G680" s="723" t="s">
        <v>104</v>
      </c>
      <c r="H680" s="723"/>
      <c r="I680" s="613" t="s">
        <v>104</v>
      </c>
      <c r="J680" s="776"/>
    </row>
    <row r="681" spans="1:10" ht="15" hidden="1">
      <c r="A681" s="765">
        <v>14754</v>
      </c>
      <c r="B681" s="337">
        <v>0.1</v>
      </c>
      <c r="C681" s="114" t="s">
        <v>436</v>
      </c>
      <c r="D681" s="703">
        <v>1700000</v>
      </c>
      <c r="E681" s="345">
        <v>0.05</v>
      </c>
      <c r="F681" s="726">
        <f t="shared" si="22"/>
        <v>85000</v>
      </c>
      <c r="G681" s="613" t="s">
        <v>104</v>
      </c>
      <c r="H681" s="613"/>
      <c r="I681" s="613" t="s">
        <v>104</v>
      </c>
      <c r="J681" s="776"/>
    </row>
    <row r="682" spans="1:10" ht="15" hidden="1">
      <c r="A682" s="764">
        <v>14712</v>
      </c>
      <c r="B682" s="337">
        <v>0.1</v>
      </c>
      <c r="C682" s="247" t="s">
        <v>438</v>
      </c>
      <c r="D682" s="703">
        <v>1700000</v>
      </c>
      <c r="E682" s="345">
        <v>0.05</v>
      </c>
      <c r="F682" s="726">
        <f t="shared" si="22"/>
        <v>85000</v>
      </c>
      <c r="G682" s="613" t="s">
        <v>104</v>
      </c>
      <c r="H682" s="613"/>
      <c r="I682" s="613" t="s">
        <v>104</v>
      </c>
      <c r="J682" s="776"/>
    </row>
    <row r="683" spans="1:10" ht="15" hidden="1">
      <c r="A683" s="587">
        <v>14849</v>
      </c>
      <c r="B683" s="337">
        <v>0.1</v>
      </c>
      <c r="C683" s="247" t="s">
        <v>763</v>
      </c>
      <c r="D683" s="703">
        <v>1900000</v>
      </c>
      <c r="E683" s="345">
        <v>0.05</v>
      </c>
      <c r="F683" s="726">
        <f t="shared" si="22"/>
        <v>95000</v>
      </c>
      <c r="G683" s="699"/>
      <c r="H683" s="699"/>
      <c r="I683" s="699"/>
      <c r="J683" s="776"/>
    </row>
    <row r="684" spans="1:10" ht="15" hidden="1">
      <c r="A684" s="663">
        <v>14850</v>
      </c>
      <c r="B684" s="605">
        <v>0.1</v>
      </c>
      <c r="C684" s="248" t="s">
        <v>441</v>
      </c>
      <c r="D684" s="729">
        <v>1700000</v>
      </c>
      <c r="E684" s="345">
        <v>0.05</v>
      </c>
      <c r="F684" s="726">
        <f t="shared" si="22"/>
        <v>85000</v>
      </c>
      <c r="G684" s="699"/>
      <c r="H684" s="699"/>
      <c r="I684" s="699"/>
      <c r="J684" s="776"/>
    </row>
    <row r="685" spans="1:10" ht="15" hidden="1">
      <c r="A685" s="609">
        <v>14748</v>
      </c>
      <c r="B685" s="526">
        <v>0.08</v>
      </c>
      <c r="C685" s="248" t="s">
        <v>764</v>
      </c>
      <c r="D685" s="729">
        <v>2700000</v>
      </c>
      <c r="E685" s="310">
        <v>0.04</v>
      </c>
      <c r="F685" s="726">
        <f t="shared" si="22"/>
        <v>108000</v>
      </c>
      <c r="G685" s="613" t="s">
        <v>104</v>
      </c>
      <c r="H685" s="613"/>
      <c r="I685" s="778"/>
      <c r="J685" s="776"/>
    </row>
    <row r="686" spans="1:10" ht="15" hidden="1">
      <c r="A686" s="664">
        <v>14788</v>
      </c>
      <c r="B686" s="605">
        <v>0.1</v>
      </c>
      <c r="C686" s="248" t="s">
        <v>437</v>
      </c>
      <c r="D686" s="729">
        <v>2400000</v>
      </c>
      <c r="E686" s="345">
        <v>0.05</v>
      </c>
      <c r="F686" s="726">
        <f t="shared" si="22"/>
        <v>120000</v>
      </c>
      <c r="G686" s="699"/>
      <c r="H686" s="699"/>
      <c r="I686" s="699"/>
      <c r="J686" s="776"/>
    </row>
    <row r="687" spans="1:10" ht="14.25" hidden="1" customHeight="1">
      <c r="A687" s="768" t="s">
        <v>669</v>
      </c>
      <c r="B687" s="769">
        <v>0.08</v>
      </c>
      <c r="C687" s="735" t="s">
        <v>765</v>
      </c>
      <c r="D687" s="766"/>
      <c r="E687" s="736"/>
      <c r="F687" s="432"/>
      <c r="G687" s="613"/>
      <c r="H687" s="613"/>
      <c r="I687" s="613"/>
      <c r="J687" s="777"/>
    </row>
    <row r="688" spans="1:10" ht="14.25" hidden="1">
      <c r="A688" s="722" t="s">
        <v>669</v>
      </c>
      <c r="B688" s="83"/>
      <c r="C688" s="539" t="s">
        <v>450</v>
      </c>
      <c r="D688" s="52"/>
      <c r="E688" s="52"/>
      <c r="F688" s="431"/>
      <c r="G688" s="114"/>
      <c r="H688" s="114"/>
      <c r="I688" s="114"/>
    </row>
    <row r="689" spans="1:9" ht="24.75" hidden="1" customHeight="1">
      <c r="A689" s="1087" t="s">
        <v>32</v>
      </c>
      <c r="B689" s="1088"/>
      <c r="C689" s="1088"/>
      <c r="D689" s="749">
        <f>SUM(D670:D688)</f>
        <v>36800000</v>
      </c>
      <c r="E689" s="720"/>
      <c r="F689" s="809">
        <f>SUM(F670:F688)</f>
        <v>1654000</v>
      </c>
      <c r="G689" s="613"/>
      <c r="H689" s="613"/>
      <c r="I689" s="773"/>
    </row>
    <row r="690" spans="1:9" ht="23.25" hidden="1">
      <c r="A690" s="1066" t="s">
        <v>766</v>
      </c>
      <c r="B690" s="1066"/>
      <c r="C690" s="1066"/>
      <c r="D690" s="1066"/>
      <c r="E690" s="1066"/>
      <c r="F690" s="1066"/>
      <c r="G690" s="1066"/>
      <c r="H690" s="1066"/>
      <c r="I690" s="1066"/>
    </row>
    <row r="691" spans="1:9" ht="23.25" hidden="1">
      <c r="A691" s="259" t="s">
        <v>3</v>
      </c>
      <c r="B691" s="259" t="s">
        <v>606</v>
      </c>
      <c r="C691" s="259" t="s">
        <v>5</v>
      </c>
      <c r="D691" s="260" t="s">
        <v>6</v>
      </c>
      <c r="E691" s="260" t="s">
        <v>7</v>
      </c>
      <c r="F691" s="260" t="s">
        <v>645</v>
      </c>
      <c r="G691" s="260" t="s">
        <v>646</v>
      </c>
      <c r="H691" s="260" t="s">
        <v>647</v>
      </c>
      <c r="I691" s="496" t="s">
        <v>648</v>
      </c>
    </row>
    <row r="692" spans="1:9" ht="15" hidden="1">
      <c r="A692" s="663">
        <v>14630</v>
      </c>
      <c r="B692" s="337">
        <v>0.1</v>
      </c>
      <c r="C692" s="247" t="s">
        <v>767</v>
      </c>
      <c r="D692" s="510">
        <v>2700000</v>
      </c>
      <c r="E692" s="345">
        <v>0.05</v>
      </c>
      <c r="F692" s="431">
        <f>D692*E692</f>
        <v>135000</v>
      </c>
      <c r="G692" s="613" t="s">
        <v>104</v>
      </c>
      <c r="H692" s="613"/>
      <c r="I692" s="613" t="s">
        <v>104</v>
      </c>
    </row>
    <row r="693" spans="1:9" ht="15" hidden="1">
      <c r="A693" s="663">
        <v>14623</v>
      </c>
      <c r="B693" s="343">
        <v>0.08</v>
      </c>
      <c r="C693" s="247" t="s">
        <v>768</v>
      </c>
      <c r="D693" s="510">
        <v>2300000</v>
      </c>
      <c r="E693" s="310">
        <v>0.04</v>
      </c>
      <c r="F693" s="431">
        <f t="shared" ref="F693:F703" si="23">D693*E693</f>
        <v>92000</v>
      </c>
      <c r="G693" s="613" t="s">
        <v>104</v>
      </c>
      <c r="H693" s="613"/>
      <c r="I693" s="613" t="s">
        <v>104</v>
      </c>
    </row>
    <row r="694" spans="1:9" ht="15" hidden="1">
      <c r="A694" s="663">
        <v>14679</v>
      </c>
      <c r="B694" s="337">
        <v>0.1</v>
      </c>
      <c r="C694" s="248" t="s">
        <v>769</v>
      </c>
      <c r="D694" s="682">
        <v>1700000</v>
      </c>
      <c r="E694" s="345">
        <v>0.05</v>
      </c>
      <c r="F694" s="431">
        <f t="shared" si="23"/>
        <v>85000</v>
      </c>
      <c r="G694" s="613" t="s">
        <v>104</v>
      </c>
      <c r="H694" s="613"/>
      <c r="I694" s="613" t="s">
        <v>104</v>
      </c>
    </row>
    <row r="695" spans="1:9" ht="15" hidden="1">
      <c r="A695" s="663">
        <v>14733</v>
      </c>
      <c r="B695" s="343">
        <v>0.08</v>
      </c>
      <c r="C695" s="248" t="s">
        <v>425</v>
      </c>
      <c r="D695" s="682">
        <v>1900000</v>
      </c>
      <c r="E695" s="310">
        <v>0.04</v>
      </c>
      <c r="F695" s="431">
        <f t="shared" si="23"/>
        <v>76000</v>
      </c>
      <c r="G695" s="613" t="s">
        <v>104</v>
      </c>
      <c r="H695" s="613"/>
      <c r="I695" s="613" t="s">
        <v>104</v>
      </c>
    </row>
    <row r="696" spans="1:9" ht="15" hidden="1">
      <c r="A696" s="587">
        <v>14736</v>
      </c>
      <c r="B696" s="337">
        <v>0.1</v>
      </c>
      <c r="C696" s="247" t="s">
        <v>426</v>
      </c>
      <c r="D696" s="682">
        <v>2300000</v>
      </c>
      <c r="E696" s="345">
        <v>0.05</v>
      </c>
      <c r="F696" s="431">
        <f t="shared" si="23"/>
        <v>115000</v>
      </c>
      <c r="G696" s="613" t="s">
        <v>104</v>
      </c>
      <c r="H696" s="613"/>
      <c r="I696" s="613" t="s">
        <v>104</v>
      </c>
    </row>
    <row r="697" spans="1:9" ht="15" hidden="1">
      <c r="A697" s="587">
        <v>14826</v>
      </c>
      <c r="B697" s="337">
        <v>0.1</v>
      </c>
      <c r="C697" s="248" t="s">
        <v>770</v>
      </c>
      <c r="D697" s="682">
        <v>1950000</v>
      </c>
      <c r="E697" s="345">
        <v>0.05</v>
      </c>
      <c r="F697" s="431">
        <f t="shared" si="23"/>
        <v>97500</v>
      </c>
      <c r="G697" s="699"/>
      <c r="H697" s="699"/>
      <c r="I697" s="699"/>
    </row>
    <row r="698" spans="1:9" ht="15" hidden="1">
      <c r="A698" s="663">
        <v>14641</v>
      </c>
      <c r="B698" s="605">
        <v>0.1</v>
      </c>
      <c r="C698" s="247" t="s">
        <v>771</v>
      </c>
      <c r="D698" s="510">
        <v>1300000</v>
      </c>
      <c r="E698" s="345">
        <v>0.05</v>
      </c>
      <c r="F698" s="431">
        <f t="shared" si="23"/>
        <v>65000</v>
      </c>
      <c r="G698" s="613" t="s">
        <v>104</v>
      </c>
      <c r="H698" s="613"/>
      <c r="I698" s="613" t="s">
        <v>104</v>
      </c>
    </row>
    <row r="699" spans="1:9" ht="15" hidden="1">
      <c r="A699" s="663">
        <v>14664</v>
      </c>
      <c r="B699" s="605">
        <v>0.1</v>
      </c>
      <c r="C699" s="247" t="s">
        <v>772</v>
      </c>
      <c r="D699" s="510">
        <v>1700000</v>
      </c>
      <c r="E699" s="345">
        <v>0.05</v>
      </c>
      <c r="F699" s="431">
        <f t="shared" si="23"/>
        <v>85000</v>
      </c>
      <c r="G699" s="613" t="s">
        <v>104</v>
      </c>
      <c r="H699" s="613"/>
      <c r="I699" s="613" t="s">
        <v>104</v>
      </c>
    </row>
    <row r="700" spans="1:9" ht="15" hidden="1">
      <c r="A700" s="774">
        <v>14715</v>
      </c>
      <c r="B700" s="337">
        <v>0.1</v>
      </c>
      <c r="C700" s="248" t="s">
        <v>773</v>
      </c>
      <c r="D700" s="682">
        <v>1800000</v>
      </c>
      <c r="E700" s="345">
        <v>0.05</v>
      </c>
      <c r="F700" s="431">
        <f t="shared" si="23"/>
        <v>90000</v>
      </c>
      <c r="G700" s="713" t="s">
        <v>104</v>
      </c>
      <c r="H700" s="445"/>
      <c r="I700" s="445" t="s">
        <v>104</v>
      </c>
    </row>
    <row r="701" spans="1:9" ht="15" hidden="1">
      <c r="A701" s="532">
        <v>14727</v>
      </c>
      <c r="B701" s="337">
        <v>0.1</v>
      </c>
      <c r="C701" s="247" t="s">
        <v>774</v>
      </c>
      <c r="D701" s="634">
        <v>1900000</v>
      </c>
      <c r="E701" s="345">
        <v>0.05</v>
      </c>
      <c r="F701" s="431">
        <f t="shared" si="23"/>
        <v>95000</v>
      </c>
      <c r="G701" s="613" t="s">
        <v>104</v>
      </c>
      <c r="H701" s="613"/>
      <c r="I701" s="613" t="s">
        <v>104</v>
      </c>
    </row>
    <row r="702" spans="1:9" ht="15" hidden="1">
      <c r="A702" s="664">
        <v>14755</v>
      </c>
      <c r="B702" s="337">
        <v>0.1</v>
      </c>
      <c r="C702" s="424" t="s">
        <v>775</v>
      </c>
      <c r="D702" s="716">
        <v>1500000</v>
      </c>
      <c r="E702" s="345">
        <v>0.05</v>
      </c>
      <c r="F702" s="431">
        <f t="shared" si="23"/>
        <v>75000</v>
      </c>
      <c r="G702" s="713" t="s">
        <v>104</v>
      </c>
      <c r="H702" s="445"/>
      <c r="I702" s="445" t="s">
        <v>104</v>
      </c>
    </row>
    <row r="703" spans="1:9" ht="15" hidden="1">
      <c r="A703" s="734">
        <v>14700</v>
      </c>
      <c r="B703" s="531">
        <v>0.1</v>
      </c>
      <c r="C703" s="447" t="s">
        <v>776</v>
      </c>
      <c r="D703" s="510">
        <v>1800000</v>
      </c>
      <c r="E703" s="345">
        <v>0.05</v>
      </c>
      <c r="F703" s="431">
        <f t="shared" si="23"/>
        <v>90000</v>
      </c>
      <c r="G703" s="613" t="s">
        <v>104</v>
      </c>
      <c r="H703" s="613"/>
      <c r="I703" s="613" t="s">
        <v>104</v>
      </c>
    </row>
    <row r="704" spans="1:9" ht="22.5" hidden="1" customHeight="1">
      <c r="A704" s="1087" t="s">
        <v>32</v>
      </c>
      <c r="B704" s="1088"/>
      <c r="C704" s="1088"/>
      <c r="D704" s="792">
        <f>SUM(D692:D703)</f>
        <v>22850000</v>
      </c>
      <c r="E704" s="114"/>
      <c r="F704" s="809">
        <f>SUM(F692:F703)</f>
        <v>1100500</v>
      </c>
      <c r="G704" s="613"/>
      <c r="H704" s="613"/>
      <c r="I704" s="613"/>
    </row>
    <row r="705" spans="1:9" ht="23.25" hidden="1">
      <c r="A705" s="1066" t="s">
        <v>777</v>
      </c>
      <c r="B705" s="1066"/>
      <c r="C705" s="1066"/>
      <c r="D705" s="1066"/>
      <c r="E705" s="1066"/>
      <c r="F705" s="1066"/>
      <c r="G705" s="1066"/>
      <c r="H705" s="1066"/>
      <c r="I705" s="1066"/>
    </row>
    <row r="706" spans="1:9" ht="23.25" hidden="1">
      <c r="A706" s="259" t="s">
        <v>3</v>
      </c>
      <c r="B706" s="259" t="s">
        <v>606</v>
      </c>
      <c r="C706" s="259" t="s">
        <v>5</v>
      </c>
      <c r="D706" s="260" t="s">
        <v>6</v>
      </c>
      <c r="E706" s="260" t="s">
        <v>7</v>
      </c>
      <c r="F706" s="260" t="s">
        <v>645</v>
      </c>
      <c r="G706" s="260" t="s">
        <v>646</v>
      </c>
      <c r="H706" s="260" t="s">
        <v>647</v>
      </c>
      <c r="I706" s="496" t="s">
        <v>648</v>
      </c>
    </row>
    <row r="707" spans="1:9" ht="15" hidden="1">
      <c r="A707" s="702" t="s">
        <v>428</v>
      </c>
      <c r="B707" s="343">
        <v>0.08</v>
      </c>
      <c r="C707" s="247" t="s">
        <v>429</v>
      </c>
      <c r="D707" s="510">
        <v>1500000</v>
      </c>
      <c r="E707" s="310">
        <v>0.04</v>
      </c>
      <c r="F707" s="431">
        <f>D707*E707</f>
        <v>60000</v>
      </c>
      <c r="G707" s="613" t="s">
        <v>104</v>
      </c>
      <c r="H707" s="613"/>
      <c r="I707" s="613" t="s">
        <v>104</v>
      </c>
    </row>
    <row r="708" spans="1:9" ht="16.5" hidden="1">
      <c r="A708" s="763">
        <v>14792</v>
      </c>
      <c r="B708" s="337">
        <v>0.1</v>
      </c>
      <c r="C708" s="248" t="s">
        <v>778</v>
      </c>
      <c r="D708" s="510">
        <v>2500000</v>
      </c>
      <c r="E708" s="522">
        <v>0.05</v>
      </c>
      <c r="F708" s="431">
        <f t="shared" ref="F708:F721" si="24">D708*E708</f>
        <v>125000</v>
      </c>
      <c r="G708" s="499"/>
      <c r="H708" s="499"/>
      <c r="I708" s="499"/>
    </row>
    <row r="709" spans="1:9" ht="15" hidden="1">
      <c r="A709" s="587">
        <v>14807</v>
      </c>
      <c r="B709" s="337">
        <v>0.1</v>
      </c>
      <c r="C709" s="248" t="s">
        <v>431</v>
      </c>
      <c r="D709" s="510">
        <v>2800000</v>
      </c>
      <c r="E709" s="522">
        <v>0.05</v>
      </c>
      <c r="F709" s="431">
        <f t="shared" si="24"/>
        <v>140000</v>
      </c>
      <c r="G709" s="499"/>
      <c r="H709" s="499"/>
      <c r="I709" s="499"/>
    </row>
    <row r="710" spans="1:9" ht="15" hidden="1">
      <c r="A710" s="663">
        <v>14626</v>
      </c>
      <c r="B710" s="337">
        <v>0.1</v>
      </c>
      <c r="C710" s="424" t="s">
        <v>779</v>
      </c>
      <c r="D710" s="510">
        <v>1750000</v>
      </c>
      <c r="E710" s="522">
        <v>0.05</v>
      </c>
      <c r="F710" s="431">
        <f t="shared" si="24"/>
        <v>87500</v>
      </c>
      <c r="G710" s="445" t="s">
        <v>104</v>
      </c>
      <c r="H710" s="445"/>
      <c r="I710" s="445" t="s">
        <v>104</v>
      </c>
    </row>
    <row r="711" spans="1:9" ht="15" hidden="1">
      <c r="A711" s="663">
        <v>14662</v>
      </c>
      <c r="B711" s="337">
        <v>0.1</v>
      </c>
      <c r="C711" s="114" t="s">
        <v>780</v>
      </c>
      <c r="D711" s="510">
        <v>2300000</v>
      </c>
      <c r="E711" s="522">
        <v>0.05</v>
      </c>
      <c r="F711" s="431">
        <f t="shared" si="24"/>
        <v>115000</v>
      </c>
      <c r="G711" s="613" t="s">
        <v>104</v>
      </c>
      <c r="H711" s="613"/>
      <c r="I711" s="613" t="s">
        <v>104</v>
      </c>
    </row>
    <row r="712" spans="1:9" ht="15" hidden="1">
      <c r="A712" s="663">
        <v>14654</v>
      </c>
      <c r="B712" s="337">
        <v>0.1</v>
      </c>
      <c r="C712" s="114" t="s">
        <v>781</v>
      </c>
      <c r="D712" s="510">
        <v>1650000</v>
      </c>
      <c r="E712" s="522">
        <v>0.05</v>
      </c>
      <c r="F712" s="431">
        <f t="shared" si="24"/>
        <v>82500</v>
      </c>
      <c r="G712" s="613" t="s">
        <v>104</v>
      </c>
      <c r="H712" s="613"/>
      <c r="I712" s="613" t="s">
        <v>104</v>
      </c>
    </row>
    <row r="713" spans="1:9" ht="15" hidden="1">
      <c r="A713" s="532">
        <v>14723</v>
      </c>
      <c r="B713" s="337">
        <v>0.1</v>
      </c>
      <c r="C713" s="114" t="s">
        <v>782</v>
      </c>
      <c r="D713" s="510">
        <v>2000000</v>
      </c>
      <c r="E713" s="522">
        <v>0.05</v>
      </c>
      <c r="F713" s="431">
        <f t="shared" si="24"/>
        <v>100000</v>
      </c>
      <c r="G713" s="613" t="s">
        <v>104</v>
      </c>
      <c r="H713" s="613"/>
      <c r="I713" s="613" t="s">
        <v>104</v>
      </c>
    </row>
    <row r="714" spans="1:9" ht="15" hidden="1">
      <c r="A714" s="683">
        <v>14773</v>
      </c>
      <c r="B714" s="343">
        <v>0.08</v>
      </c>
      <c r="C714" s="114" t="s">
        <v>783</v>
      </c>
      <c r="D714" s="510">
        <v>2080000</v>
      </c>
      <c r="E714" s="310">
        <v>0.04</v>
      </c>
      <c r="F714" s="431">
        <f t="shared" si="24"/>
        <v>83200</v>
      </c>
      <c r="G714" s="699"/>
      <c r="H714" s="699"/>
      <c r="I714" s="699"/>
    </row>
    <row r="715" spans="1:9" ht="15" hidden="1">
      <c r="A715" s="663">
        <v>14696</v>
      </c>
      <c r="B715" s="605">
        <v>0.1</v>
      </c>
      <c r="C715" s="114" t="s">
        <v>784</v>
      </c>
      <c r="D715" s="703">
        <v>1900000</v>
      </c>
      <c r="E715" s="522">
        <v>0.05</v>
      </c>
      <c r="F715" s="431">
        <f t="shared" si="24"/>
        <v>95000</v>
      </c>
      <c r="G715" s="751"/>
      <c r="H715" s="699"/>
      <c r="I715" s="699"/>
    </row>
    <row r="716" spans="1:9" ht="15" hidden="1">
      <c r="A716" s="609">
        <v>14739</v>
      </c>
      <c r="B716" s="605">
        <v>0.1</v>
      </c>
      <c r="C716" s="424" t="s">
        <v>785</v>
      </c>
      <c r="D716" s="730">
        <v>2000000</v>
      </c>
      <c r="E716" s="522">
        <v>0.05</v>
      </c>
      <c r="F716" s="431">
        <f t="shared" si="24"/>
        <v>100000</v>
      </c>
      <c r="G716" s="752"/>
      <c r="H716" s="499"/>
      <c r="I716" s="499"/>
    </row>
    <row r="717" spans="1:9" ht="15" hidden="1">
      <c r="A717" s="609">
        <v>14749</v>
      </c>
      <c r="B717" s="747">
        <v>0.08</v>
      </c>
      <c r="C717" s="424" t="s">
        <v>786</v>
      </c>
      <c r="D717" s="703">
        <v>2600000</v>
      </c>
      <c r="E717" s="310">
        <v>0.04</v>
      </c>
      <c r="F717" s="431">
        <f t="shared" si="24"/>
        <v>104000</v>
      </c>
      <c r="G717" s="721" t="s">
        <v>104</v>
      </c>
      <c r="H717" s="424"/>
      <c r="I717" s="711"/>
    </row>
    <row r="718" spans="1:9" ht="15" hidden="1">
      <c r="A718" s="587">
        <v>14855</v>
      </c>
      <c r="B718" s="531">
        <v>0.1</v>
      </c>
      <c r="C718" s="767" t="s">
        <v>787</v>
      </c>
      <c r="D718" s="746">
        <v>2500000</v>
      </c>
      <c r="E718" s="522">
        <v>0.05</v>
      </c>
      <c r="F718" s="431">
        <f t="shared" si="24"/>
        <v>125000</v>
      </c>
      <c r="G718" s="750"/>
      <c r="H718" s="507"/>
      <c r="I718" s="507"/>
    </row>
    <row r="719" spans="1:9" ht="15.75" hidden="1">
      <c r="A719" s="795">
        <v>14836</v>
      </c>
      <c r="B719" s="666">
        <v>0.08</v>
      </c>
      <c r="C719" s="767" t="s">
        <v>788</v>
      </c>
      <c r="D719" s="746">
        <v>2500000</v>
      </c>
      <c r="E719" s="310">
        <v>0.04</v>
      </c>
      <c r="F719" s="431">
        <f t="shared" si="24"/>
        <v>100000</v>
      </c>
      <c r="G719" s="750"/>
      <c r="H719" s="507"/>
      <c r="I719" s="507"/>
    </row>
    <row r="720" spans="1:9" hidden="1">
      <c r="A720" s="714" t="s">
        <v>348</v>
      </c>
      <c r="B720" s="714">
        <v>0.1</v>
      </c>
      <c r="C720" s="437" t="s">
        <v>514</v>
      </c>
      <c r="D720" s="746"/>
      <c r="E720" s="114"/>
      <c r="F720" s="431">
        <f t="shared" si="24"/>
        <v>0</v>
      </c>
      <c r="G720" s="750"/>
      <c r="H720" s="507"/>
      <c r="I720" s="507"/>
    </row>
    <row r="721" spans="1:14" ht="15" hidden="1">
      <c r="A721" s="745">
        <v>14660</v>
      </c>
      <c r="B721" s="337">
        <v>0.1</v>
      </c>
      <c r="C721" s="114" t="s">
        <v>468</v>
      </c>
      <c r="D721" s="746">
        <v>1500000</v>
      </c>
      <c r="E721" s="522">
        <v>0.05</v>
      </c>
      <c r="F721" s="431">
        <f t="shared" si="24"/>
        <v>75000</v>
      </c>
      <c r="G721" s="393" t="s">
        <v>104</v>
      </c>
      <c r="H721" s="114"/>
      <c r="I721" s="494"/>
    </row>
    <row r="722" spans="1:14" ht="18" hidden="1">
      <c r="A722" s="733" t="s">
        <v>669</v>
      </c>
      <c r="B722" s="484"/>
      <c r="C722" s="484" t="s">
        <v>789</v>
      </c>
      <c r="D722" s="447"/>
      <c r="E722" s="114"/>
      <c r="F722" s="702" t="s">
        <v>153</v>
      </c>
      <c r="G722" s="393"/>
      <c r="H722" s="114"/>
      <c r="I722" s="114"/>
      <c r="K722" s="710" t="s">
        <v>59</v>
      </c>
      <c r="L722" s="710"/>
      <c r="M722" s="710"/>
      <c r="N722" s="147">
        <f>SUM(D773:D773)</f>
        <v>89230000</v>
      </c>
    </row>
    <row r="723" spans="1:14" ht="23.25" hidden="1">
      <c r="A723" s="1085" t="s">
        <v>32</v>
      </c>
      <c r="B723" s="1086"/>
      <c r="C723" s="1086"/>
      <c r="D723" s="749">
        <f>SUM(D707:D722)</f>
        <v>29580000</v>
      </c>
      <c r="E723" s="52"/>
      <c r="F723" s="809">
        <f>SUM(F707:F722)</f>
        <v>1392200</v>
      </c>
      <c r="G723" s="393"/>
      <c r="H723" s="114"/>
      <c r="I723" s="114"/>
    </row>
    <row r="724" spans="1:14" hidden="1">
      <c r="A724" s="31"/>
      <c r="B724" s="31"/>
      <c r="C724" s="31"/>
      <c r="D724" s="31"/>
    </row>
    <row r="725" spans="1:14" hidden="1">
      <c r="A725" s="114"/>
      <c r="B725" s="114"/>
      <c r="C725" s="114"/>
      <c r="D725" s="114"/>
    </row>
    <row r="726" spans="1:14" ht="23.25" hidden="1">
      <c r="A726" s="1067" t="s">
        <v>790</v>
      </c>
      <c r="B726" s="1067"/>
      <c r="C726" s="1067"/>
      <c r="D726" s="1067"/>
      <c r="E726" s="1067"/>
      <c r="F726" s="1067"/>
      <c r="G726" s="1067"/>
      <c r="H726" s="1067"/>
      <c r="I726" s="1067"/>
    </row>
    <row r="727" spans="1:14" ht="23.25" hidden="1">
      <c r="A727" s="259" t="s">
        <v>3</v>
      </c>
      <c r="B727" s="259" t="s">
        <v>606</v>
      </c>
      <c r="C727" s="259" t="s">
        <v>5</v>
      </c>
      <c r="D727" s="260" t="s">
        <v>6</v>
      </c>
      <c r="E727" s="260" t="s">
        <v>7</v>
      </c>
      <c r="F727" s="260" t="s">
        <v>645</v>
      </c>
      <c r="G727" s="260" t="s">
        <v>646</v>
      </c>
      <c r="H727" s="260" t="s">
        <v>647</v>
      </c>
      <c r="I727" s="496" t="s">
        <v>648</v>
      </c>
    </row>
    <row r="728" spans="1:14" ht="15" hidden="1">
      <c r="A728" s="663">
        <v>14638</v>
      </c>
      <c r="B728" s="780">
        <v>0.1</v>
      </c>
      <c r="C728" s="247" t="s">
        <v>414</v>
      </c>
      <c r="D728" s="510">
        <v>1500000</v>
      </c>
      <c r="E728" s="779">
        <v>0.03</v>
      </c>
      <c r="F728" s="431">
        <f>D728*E728</f>
        <v>45000</v>
      </c>
      <c r="G728" s="613"/>
      <c r="H728" s="613"/>
      <c r="I728" s="613"/>
    </row>
    <row r="729" spans="1:14" ht="15" hidden="1">
      <c r="A729" s="663">
        <v>14718</v>
      </c>
      <c r="B729" s="780">
        <v>0.1</v>
      </c>
      <c r="C729" s="247" t="s">
        <v>416</v>
      </c>
      <c r="D729" s="510">
        <v>1800000</v>
      </c>
      <c r="E729" s="779">
        <v>0.03</v>
      </c>
      <c r="F729" s="431">
        <f t="shared" ref="F729:F770" si="25">D729*E729</f>
        <v>54000</v>
      </c>
      <c r="G729" s="613"/>
      <c r="H729" s="613"/>
      <c r="I729" s="613"/>
    </row>
    <row r="730" spans="1:14" ht="15" hidden="1">
      <c r="A730" s="663">
        <v>14675</v>
      </c>
      <c r="B730" s="780">
        <v>0.1</v>
      </c>
      <c r="C730" s="247" t="s">
        <v>418</v>
      </c>
      <c r="D730" s="510">
        <v>2200000</v>
      </c>
      <c r="E730" s="779">
        <v>0.03</v>
      </c>
      <c r="F730" s="431">
        <f t="shared" si="25"/>
        <v>66000</v>
      </c>
      <c r="G730" s="613"/>
      <c r="H730" s="613"/>
      <c r="I730" s="613"/>
    </row>
    <row r="731" spans="1:14" ht="14.25" hidden="1">
      <c r="A731" s="663">
        <v>14728</v>
      </c>
      <c r="B731" s="781">
        <v>0.08</v>
      </c>
      <c r="C731" s="247" t="s">
        <v>419</v>
      </c>
      <c r="D731" s="510">
        <v>2200000</v>
      </c>
      <c r="E731" s="808">
        <v>2.5000000000000001E-2</v>
      </c>
      <c r="F731" s="431">
        <f t="shared" si="25"/>
        <v>55000</v>
      </c>
      <c r="G731" s="613"/>
      <c r="H731" s="613"/>
      <c r="I731" s="613"/>
    </row>
    <row r="732" spans="1:14" ht="14.25" hidden="1">
      <c r="A732" s="609">
        <v>14760</v>
      </c>
      <c r="B732" s="781">
        <v>0.08</v>
      </c>
      <c r="C732" s="247" t="s">
        <v>791</v>
      </c>
      <c r="D732" s="510">
        <v>2000000</v>
      </c>
      <c r="E732" s="808">
        <v>2.5000000000000001E-2</v>
      </c>
      <c r="F732" s="431">
        <f t="shared" si="25"/>
        <v>50000</v>
      </c>
      <c r="G732" s="114"/>
      <c r="H732" s="114"/>
      <c r="I732" s="114"/>
    </row>
    <row r="733" spans="1:14" ht="14.25" hidden="1">
      <c r="A733" s="609">
        <v>14761</v>
      </c>
      <c r="B733" s="781">
        <v>0.08</v>
      </c>
      <c r="C733" s="247" t="s">
        <v>421</v>
      </c>
      <c r="D733" s="510">
        <v>2400000</v>
      </c>
      <c r="E733" s="808">
        <v>2.5000000000000001E-2</v>
      </c>
      <c r="F733" s="431">
        <f t="shared" si="25"/>
        <v>60000</v>
      </c>
      <c r="G733" s="114"/>
      <c r="H733" s="114"/>
      <c r="I733" s="114"/>
    </row>
    <row r="734" spans="1:14" ht="14.25" hidden="1">
      <c r="A734" s="663">
        <v>14632</v>
      </c>
      <c r="B734" s="781">
        <v>0.08</v>
      </c>
      <c r="C734" s="114" t="s">
        <v>792</v>
      </c>
      <c r="D734" s="510">
        <v>3000000</v>
      </c>
      <c r="E734" s="808">
        <v>2.5000000000000001E-2</v>
      </c>
      <c r="F734" s="431">
        <f t="shared" si="25"/>
        <v>75000</v>
      </c>
      <c r="G734" s="114"/>
      <c r="H734" s="114"/>
      <c r="I734" s="114"/>
    </row>
    <row r="735" spans="1:14" ht="15" hidden="1">
      <c r="A735" s="664" t="s">
        <v>452</v>
      </c>
      <c r="B735" s="780">
        <v>0.1</v>
      </c>
      <c r="C735" s="114" t="s">
        <v>453</v>
      </c>
      <c r="D735" s="510">
        <v>2200000</v>
      </c>
      <c r="E735" s="779">
        <v>0.03</v>
      </c>
      <c r="F735" s="431">
        <f t="shared" si="25"/>
        <v>66000</v>
      </c>
      <c r="G735" s="114"/>
      <c r="H735" s="114"/>
      <c r="I735" s="114"/>
    </row>
    <row r="736" spans="1:14" ht="15" hidden="1">
      <c r="A736" s="609">
        <v>14798</v>
      </c>
      <c r="B736" s="780">
        <v>0.1</v>
      </c>
      <c r="C736" s="114" t="s">
        <v>793</v>
      </c>
      <c r="D736" s="510">
        <v>1100000</v>
      </c>
      <c r="E736" s="779">
        <v>0.03</v>
      </c>
      <c r="F736" s="431">
        <f t="shared" si="25"/>
        <v>33000</v>
      </c>
      <c r="G736" s="114"/>
      <c r="H736" s="114"/>
      <c r="I736" s="114"/>
    </row>
    <row r="737" spans="1:9" ht="14.25" hidden="1">
      <c r="A737" s="783" t="s">
        <v>433</v>
      </c>
      <c r="B737" s="784">
        <v>0.08</v>
      </c>
      <c r="C737" s="461" t="s">
        <v>434</v>
      </c>
      <c r="D737" s="785">
        <v>4200000</v>
      </c>
      <c r="E737" s="808">
        <v>2.5000000000000001E-2</v>
      </c>
      <c r="F737" s="431">
        <f t="shared" si="25"/>
        <v>105000</v>
      </c>
      <c r="G737" s="461"/>
      <c r="H737" s="461"/>
      <c r="I737" s="461"/>
    </row>
    <row r="738" spans="1:9" ht="15" hidden="1">
      <c r="A738" s="765">
        <v>14754</v>
      </c>
      <c r="B738" s="780">
        <v>0.1</v>
      </c>
      <c r="C738" s="114" t="s">
        <v>794</v>
      </c>
      <c r="D738" s="703">
        <v>1700000</v>
      </c>
      <c r="E738" s="779">
        <v>0.03</v>
      </c>
      <c r="F738" s="431">
        <f t="shared" si="25"/>
        <v>51000</v>
      </c>
      <c r="G738" s="114"/>
      <c r="H738" s="114"/>
      <c r="I738" s="114"/>
    </row>
    <row r="739" spans="1:9" ht="15" hidden="1">
      <c r="A739" s="764">
        <v>14712</v>
      </c>
      <c r="B739" s="780">
        <v>0.1</v>
      </c>
      <c r="C739" s="247" t="s">
        <v>438</v>
      </c>
      <c r="D739" s="703">
        <v>1700000</v>
      </c>
      <c r="E739" s="779">
        <v>0.03</v>
      </c>
      <c r="F739" s="431">
        <f t="shared" si="25"/>
        <v>51000</v>
      </c>
      <c r="G739" s="114"/>
      <c r="H739" s="114"/>
      <c r="I739" s="114"/>
    </row>
    <row r="740" spans="1:9" ht="15" hidden="1">
      <c r="A740" s="587">
        <v>14849</v>
      </c>
      <c r="B740" s="780">
        <v>0.1</v>
      </c>
      <c r="C740" s="247" t="s">
        <v>795</v>
      </c>
      <c r="D740" s="703">
        <v>1900000</v>
      </c>
      <c r="E740" s="779">
        <v>0.03</v>
      </c>
      <c r="F740" s="431">
        <f t="shared" si="25"/>
        <v>57000</v>
      </c>
      <c r="G740" s="114"/>
      <c r="H740" s="114"/>
      <c r="I740" s="114"/>
    </row>
    <row r="741" spans="1:9" ht="14.25" hidden="1">
      <c r="A741" s="663">
        <v>14814</v>
      </c>
      <c r="B741" s="796">
        <v>0.09</v>
      </c>
      <c r="C741" s="247" t="s">
        <v>457</v>
      </c>
      <c r="D741" s="703">
        <v>2100000</v>
      </c>
      <c r="E741" s="808">
        <v>2.5000000000000001E-2</v>
      </c>
      <c r="F741" s="431">
        <f t="shared" si="25"/>
        <v>52500</v>
      </c>
      <c r="G741" s="114"/>
      <c r="H741" s="114"/>
      <c r="I741" s="114"/>
    </row>
    <row r="742" spans="1:9" ht="15" hidden="1">
      <c r="A742" s="663">
        <v>14850</v>
      </c>
      <c r="B742" s="782">
        <v>0.1</v>
      </c>
      <c r="C742" s="248" t="s">
        <v>441</v>
      </c>
      <c r="D742" s="729">
        <v>1700000</v>
      </c>
      <c r="E742" s="779">
        <v>0.03</v>
      </c>
      <c r="F742" s="431">
        <f t="shared" si="25"/>
        <v>51000</v>
      </c>
      <c r="G742" s="114"/>
      <c r="H742" s="114"/>
      <c r="I742" s="114"/>
    </row>
    <row r="743" spans="1:9" ht="14.25" hidden="1">
      <c r="A743" s="609">
        <v>14748</v>
      </c>
      <c r="B743" s="796">
        <v>0.08</v>
      </c>
      <c r="C743" s="248" t="s">
        <v>764</v>
      </c>
      <c r="D743" s="729">
        <v>2700000</v>
      </c>
      <c r="E743" s="808">
        <v>2.5000000000000001E-2</v>
      </c>
      <c r="F743" s="431">
        <f t="shared" si="25"/>
        <v>67500</v>
      </c>
      <c r="G743" s="114"/>
      <c r="H743" s="114"/>
      <c r="I743" s="114"/>
    </row>
    <row r="744" spans="1:9" ht="15" hidden="1">
      <c r="A744" s="664">
        <v>14788</v>
      </c>
      <c r="B744" s="782">
        <v>0.1</v>
      </c>
      <c r="C744" s="248" t="s">
        <v>796</v>
      </c>
      <c r="D744" s="729">
        <v>2400000</v>
      </c>
      <c r="E744" s="779">
        <v>0.03</v>
      </c>
      <c r="F744" s="431">
        <f t="shared" si="25"/>
        <v>72000</v>
      </c>
      <c r="G744" s="114"/>
      <c r="H744" s="114"/>
      <c r="I744" s="114"/>
    </row>
    <row r="745" spans="1:9" ht="15" hidden="1">
      <c r="A745" s="757">
        <v>14630</v>
      </c>
      <c r="B745" s="780">
        <v>0.1</v>
      </c>
      <c r="C745" s="247" t="s">
        <v>767</v>
      </c>
      <c r="D745" s="703">
        <v>2700000</v>
      </c>
      <c r="E745" s="779">
        <v>0.03</v>
      </c>
      <c r="F745" s="431">
        <f t="shared" si="25"/>
        <v>81000</v>
      </c>
      <c r="G745" s="114"/>
      <c r="H745" s="114"/>
      <c r="I745" s="114"/>
    </row>
    <row r="746" spans="1:9" ht="14.25" hidden="1">
      <c r="A746" s="663">
        <v>14623</v>
      </c>
      <c r="B746" s="781">
        <v>0.08</v>
      </c>
      <c r="C746" s="247" t="s">
        <v>768</v>
      </c>
      <c r="D746" s="703">
        <v>2300000</v>
      </c>
      <c r="E746" s="808">
        <v>2.5000000000000001E-2</v>
      </c>
      <c r="F746" s="431">
        <f t="shared" si="25"/>
        <v>57500</v>
      </c>
      <c r="G746" s="114"/>
      <c r="H746" s="114"/>
      <c r="I746" s="114"/>
    </row>
    <row r="747" spans="1:9" ht="15" hidden="1">
      <c r="A747" s="663">
        <v>14679</v>
      </c>
      <c r="B747" s="780">
        <v>0.1</v>
      </c>
      <c r="C747" s="248" t="s">
        <v>424</v>
      </c>
      <c r="D747" s="730">
        <v>1700000</v>
      </c>
      <c r="E747" s="779">
        <v>0.03</v>
      </c>
      <c r="F747" s="431">
        <f t="shared" si="25"/>
        <v>51000</v>
      </c>
      <c r="G747" s="114"/>
      <c r="H747" s="114"/>
      <c r="I747" s="114"/>
    </row>
    <row r="748" spans="1:9" ht="14.25" hidden="1">
      <c r="A748" s="663">
        <v>14733</v>
      </c>
      <c r="B748" s="781">
        <v>0.08</v>
      </c>
      <c r="C748" s="248" t="s">
        <v>425</v>
      </c>
      <c r="D748" s="730">
        <v>1900000</v>
      </c>
      <c r="E748" s="808">
        <v>2.5000000000000001E-2</v>
      </c>
      <c r="F748" s="431">
        <f t="shared" si="25"/>
        <v>47500</v>
      </c>
      <c r="G748" s="114"/>
      <c r="H748" s="114"/>
      <c r="I748" s="114"/>
    </row>
    <row r="749" spans="1:9" ht="15" hidden="1">
      <c r="A749" s="587">
        <v>14736</v>
      </c>
      <c r="B749" s="780">
        <v>0.1</v>
      </c>
      <c r="C749" s="247" t="s">
        <v>426</v>
      </c>
      <c r="D749" s="730">
        <v>2300000</v>
      </c>
      <c r="E749" s="779">
        <v>0.03</v>
      </c>
      <c r="F749" s="431">
        <f t="shared" si="25"/>
        <v>69000</v>
      </c>
      <c r="G749" s="114"/>
      <c r="H749" s="114"/>
      <c r="I749" s="114"/>
    </row>
    <row r="750" spans="1:9" ht="15" hidden="1">
      <c r="A750" s="587">
        <v>14826</v>
      </c>
      <c r="B750" s="780">
        <v>0.1</v>
      </c>
      <c r="C750" s="248" t="s">
        <v>770</v>
      </c>
      <c r="D750" s="730">
        <v>1950000</v>
      </c>
      <c r="E750" s="779">
        <v>0.03</v>
      </c>
      <c r="F750" s="431">
        <f t="shared" si="25"/>
        <v>58500</v>
      </c>
      <c r="G750" s="114"/>
      <c r="H750" s="114"/>
      <c r="I750" s="114"/>
    </row>
    <row r="751" spans="1:9" ht="15" hidden="1">
      <c r="A751" s="663">
        <v>14641</v>
      </c>
      <c r="B751" s="782">
        <v>0.1</v>
      </c>
      <c r="C751" s="247" t="s">
        <v>771</v>
      </c>
      <c r="D751" s="703">
        <v>1300000</v>
      </c>
      <c r="E751" s="779">
        <v>0.03</v>
      </c>
      <c r="F751" s="431">
        <f t="shared" si="25"/>
        <v>39000</v>
      </c>
      <c r="G751" s="114"/>
      <c r="H751" s="114"/>
      <c r="I751" s="114"/>
    </row>
    <row r="752" spans="1:9" ht="15" hidden="1">
      <c r="A752" s="663">
        <v>14664</v>
      </c>
      <c r="B752" s="782">
        <v>0.1</v>
      </c>
      <c r="C752" s="247" t="s">
        <v>772</v>
      </c>
      <c r="D752" s="703">
        <v>1700000</v>
      </c>
      <c r="E752" s="779">
        <v>0.03</v>
      </c>
      <c r="F752" s="431">
        <f t="shared" si="25"/>
        <v>51000</v>
      </c>
      <c r="G752" s="114"/>
      <c r="H752" s="114"/>
      <c r="I752" s="114"/>
    </row>
    <row r="753" spans="1:9" ht="15" hidden="1">
      <c r="A753" s="774">
        <v>14715</v>
      </c>
      <c r="B753" s="780">
        <v>0.1</v>
      </c>
      <c r="C753" s="248" t="s">
        <v>773</v>
      </c>
      <c r="D753" s="730">
        <v>1800000</v>
      </c>
      <c r="E753" s="779">
        <v>0.03</v>
      </c>
      <c r="F753" s="431">
        <f t="shared" si="25"/>
        <v>54000</v>
      </c>
      <c r="G753" s="114"/>
      <c r="H753" s="114"/>
      <c r="I753" s="114"/>
    </row>
    <row r="754" spans="1:9" ht="15" hidden="1">
      <c r="A754" s="532">
        <v>14727</v>
      </c>
      <c r="B754" s="780">
        <v>0.1</v>
      </c>
      <c r="C754" s="247" t="s">
        <v>774</v>
      </c>
      <c r="D754" s="729">
        <v>1900000</v>
      </c>
      <c r="E754" s="779">
        <v>0.03</v>
      </c>
      <c r="F754" s="431">
        <f t="shared" si="25"/>
        <v>57000</v>
      </c>
      <c r="G754" s="114"/>
      <c r="H754" s="114"/>
      <c r="I754" s="114"/>
    </row>
    <row r="755" spans="1:9" ht="15" hidden="1">
      <c r="A755" s="664">
        <v>14755</v>
      </c>
      <c r="B755" s="780">
        <v>0.1</v>
      </c>
      <c r="C755" s="424" t="s">
        <v>775</v>
      </c>
      <c r="D755" s="729">
        <v>1500000</v>
      </c>
      <c r="E755" s="779">
        <v>0.03</v>
      </c>
      <c r="F755" s="431">
        <f t="shared" si="25"/>
        <v>45000</v>
      </c>
      <c r="G755" s="114"/>
      <c r="H755" s="114"/>
      <c r="I755" s="114"/>
    </row>
    <row r="756" spans="1:9" ht="15" hidden="1">
      <c r="A756" s="734">
        <v>14700</v>
      </c>
      <c r="B756" s="767">
        <v>0.1</v>
      </c>
      <c r="C756" s="424" t="s">
        <v>776</v>
      </c>
      <c r="D756" s="730">
        <v>1800000</v>
      </c>
      <c r="E756" s="779">
        <v>0.03</v>
      </c>
      <c r="F756" s="431">
        <f t="shared" si="25"/>
        <v>54000</v>
      </c>
      <c r="G756" s="114"/>
      <c r="H756" s="114"/>
      <c r="I756" s="114"/>
    </row>
    <row r="757" spans="1:9" hidden="1">
      <c r="A757" s="702" t="s">
        <v>428</v>
      </c>
      <c r="B757" s="781">
        <v>0.08</v>
      </c>
      <c r="C757" s="247" t="s">
        <v>429</v>
      </c>
      <c r="D757" s="703">
        <v>1500000</v>
      </c>
      <c r="E757" s="808">
        <v>2.5000000000000001E-2</v>
      </c>
      <c r="F757" s="431">
        <f t="shared" si="25"/>
        <v>37500</v>
      </c>
      <c r="G757" s="114"/>
      <c r="H757" s="114"/>
      <c r="I757" s="114"/>
    </row>
    <row r="758" spans="1:9" ht="16.5" hidden="1">
      <c r="A758" s="763">
        <v>14792</v>
      </c>
      <c r="B758" s="780">
        <v>0.1</v>
      </c>
      <c r="C758" s="248" t="s">
        <v>430</v>
      </c>
      <c r="D758" s="703">
        <v>2500000</v>
      </c>
      <c r="E758" s="779">
        <v>0.03</v>
      </c>
      <c r="F758" s="431">
        <f t="shared" si="25"/>
        <v>75000</v>
      </c>
      <c r="G758" s="114"/>
      <c r="H758" s="114"/>
      <c r="I758" s="114"/>
    </row>
    <row r="759" spans="1:9" ht="15" hidden="1">
      <c r="A759" s="587">
        <v>14807</v>
      </c>
      <c r="B759" s="780">
        <v>0.1</v>
      </c>
      <c r="C759" s="248" t="s">
        <v>431</v>
      </c>
      <c r="D759" s="703">
        <v>2800000</v>
      </c>
      <c r="E759" s="779">
        <v>0.03</v>
      </c>
      <c r="F759" s="431">
        <f t="shared" si="25"/>
        <v>84000</v>
      </c>
      <c r="G759" s="114"/>
      <c r="H759" s="114"/>
      <c r="I759" s="114"/>
    </row>
    <row r="760" spans="1:9" ht="15" hidden="1">
      <c r="A760" s="663">
        <v>14626</v>
      </c>
      <c r="B760" s="780">
        <v>0.1</v>
      </c>
      <c r="C760" s="424" t="s">
        <v>779</v>
      </c>
      <c r="D760" s="703">
        <v>1750000</v>
      </c>
      <c r="E760" s="779">
        <v>0.03</v>
      </c>
      <c r="F760" s="431">
        <f t="shared" si="25"/>
        <v>52500</v>
      </c>
      <c r="G760" s="114"/>
      <c r="H760" s="114"/>
      <c r="I760" s="114"/>
    </row>
    <row r="761" spans="1:9" ht="15" hidden="1">
      <c r="A761" s="663">
        <v>14662</v>
      </c>
      <c r="B761" s="780">
        <v>0.1</v>
      </c>
      <c r="C761" s="114" t="s">
        <v>780</v>
      </c>
      <c r="D761" s="703">
        <v>2300000</v>
      </c>
      <c r="E761" s="779">
        <v>0.03</v>
      </c>
      <c r="F761" s="431">
        <f t="shared" si="25"/>
        <v>69000</v>
      </c>
      <c r="G761" s="114"/>
      <c r="H761" s="114"/>
      <c r="I761" s="114"/>
    </row>
    <row r="762" spans="1:9" ht="15" hidden="1">
      <c r="A762" s="663">
        <v>14654</v>
      </c>
      <c r="B762" s="780">
        <v>0.1</v>
      </c>
      <c r="C762" s="114" t="s">
        <v>781</v>
      </c>
      <c r="D762" s="703">
        <v>1650000</v>
      </c>
      <c r="E762" s="779">
        <v>0.03</v>
      </c>
      <c r="F762" s="431">
        <f t="shared" si="25"/>
        <v>49500</v>
      </c>
      <c r="G762" s="114"/>
      <c r="H762" s="114"/>
      <c r="I762" s="114"/>
    </row>
    <row r="763" spans="1:9" ht="15" hidden="1">
      <c r="A763" s="532">
        <v>14723</v>
      </c>
      <c r="B763" s="780">
        <v>0.1</v>
      </c>
      <c r="C763" s="114" t="s">
        <v>782</v>
      </c>
      <c r="D763" s="703">
        <v>2000000</v>
      </c>
      <c r="E763" s="779">
        <v>0.03</v>
      </c>
      <c r="F763" s="431">
        <f t="shared" si="25"/>
        <v>60000</v>
      </c>
      <c r="G763" s="114"/>
      <c r="H763" s="114"/>
      <c r="I763" s="114"/>
    </row>
    <row r="764" spans="1:9" hidden="1">
      <c r="A764" s="683">
        <v>14773</v>
      </c>
      <c r="B764" s="781">
        <v>0.08</v>
      </c>
      <c r="C764" s="114" t="s">
        <v>783</v>
      </c>
      <c r="D764" s="703">
        <v>2080000</v>
      </c>
      <c r="E764" s="808">
        <v>2.5000000000000001E-2</v>
      </c>
      <c r="F764" s="431">
        <f t="shared" si="25"/>
        <v>52000</v>
      </c>
      <c r="G764" s="114"/>
      <c r="H764" s="114"/>
      <c r="I764" s="114"/>
    </row>
    <row r="765" spans="1:9" ht="15" hidden="1">
      <c r="A765" s="663">
        <v>14696</v>
      </c>
      <c r="B765" s="782">
        <v>0.1</v>
      </c>
      <c r="C765" s="114" t="s">
        <v>784</v>
      </c>
      <c r="D765" s="703">
        <v>1900000</v>
      </c>
      <c r="E765" s="779">
        <v>0.03</v>
      </c>
      <c r="F765" s="431">
        <f t="shared" si="25"/>
        <v>57000</v>
      </c>
      <c r="G765" s="114"/>
      <c r="H765" s="114"/>
      <c r="I765" s="114"/>
    </row>
    <row r="766" spans="1:9" ht="15" hidden="1">
      <c r="A766" s="609">
        <v>14739</v>
      </c>
      <c r="B766" s="782">
        <v>0.1</v>
      </c>
      <c r="C766" s="424" t="s">
        <v>785</v>
      </c>
      <c r="D766" s="730">
        <v>2000000</v>
      </c>
      <c r="E766" s="779">
        <v>0.03</v>
      </c>
      <c r="F766" s="431">
        <f t="shared" si="25"/>
        <v>60000</v>
      </c>
      <c r="G766" s="114"/>
      <c r="H766" s="114"/>
      <c r="I766" s="114"/>
    </row>
    <row r="767" spans="1:9" ht="14.25" hidden="1">
      <c r="A767" s="609">
        <v>14749</v>
      </c>
      <c r="B767" s="781">
        <v>0.08</v>
      </c>
      <c r="C767" s="424" t="s">
        <v>786</v>
      </c>
      <c r="D767" s="703">
        <v>2600000</v>
      </c>
      <c r="E767" s="808">
        <v>2.5000000000000001E-2</v>
      </c>
      <c r="F767" s="431">
        <f t="shared" si="25"/>
        <v>65000</v>
      </c>
      <c r="G767" s="114"/>
      <c r="H767" s="114"/>
      <c r="I767" s="114"/>
    </row>
    <row r="768" spans="1:9" ht="15" hidden="1">
      <c r="A768" s="587">
        <v>14855</v>
      </c>
      <c r="B768" s="767">
        <v>0.1</v>
      </c>
      <c r="C768" s="767" t="s">
        <v>787</v>
      </c>
      <c r="D768" s="746">
        <v>2500000</v>
      </c>
      <c r="E768" s="779">
        <v>0.03</v>
      </c>
      <c r="F768" s="431">
        <f t="shared" si="25"/>
        <v>75000</v>
      </c>
      <c r="G768" s="114"/>
      <c r="H768" s="114"/>
      <c r="I768" s="114"/>
    </row>
    <row r="769" spans="1:10" ht="14.25" hidden="1">
      <c r="A769" s="794" t="s">
        <v>797</v>
      </c>
      <c r="B769" s="781">
        <v>0.08</v>
      </c>
      <c r="C769" s="767" t="s">
        <v>788</v>
      </c>
      <c r="D769" s="746">
        <v>2500000</v>
      </c>
      <c r="E769" s="808">
        <v>2.5000000000000001E-2</v>
      </c>
      <c r="F769" s="431">
        <f t="shared" si="25"/>
        <v>62500</v>
      </c>
      <c r="G769" s="114"/>
      <c r="H769" s="114"/>
      <c r="I769" s="114"/>
    </row>
    <row r="770" spans="1:10" ht="15" hidden="1">
      <c r="A770" s="793">
        <v>14660</v>
      </c>
      <c r="B770" s="767">
        <v>0.1</v>
      </c>
      <c r="C770" s="424" t="s">
        <v>798</v>
      </c>
      <c r="D770" s="776">
        <v>1500000</v>
      </c>
      <c r="E770" s="779">
        <v>0.03</v>
      </c>
      <c r="F770" s="432">
        <f t="shared" si="25"/>
        <v>45000</v>
      </c>
      <c r="G770" s="424"/>
      <c r="H770" s="424"/>
      <c r="I770" s="424"/>
    </row>
    <row r="771" spans="1:10" ht="27" hidden="1" customHeight="1">
      <c r="A771" s="1089" t="s">
        <v>59</v>
      </c>
      <c r="B771" s="1089"/>
      <c r="C771" s="1089"/>
      <c r="D771" s="792">
        <f>SUM(D728:D770)</f>
        <v>89230000</v>
      </c>
      <c r="E771" s="225"/>
      <c r="F771" s="792">
        <f>SUM(F728:F770)</f>
        <v>2519500</v>
      </c>
      <c r="G771" s="114"/>
      <c r="H771" s="114"/>
      <c r="I771" s="114"/>
    </row>
    <row r="772" spans="1:10" hidden="1"/>
    <row r="773" spans="1:10" ht="18" hidden="1">
      <c r="A773" s="992" t="s">
        <v>50</v>
      </c>
      <c r="B773" s="992"/>
      <c r="C773" s="992"/>
      <c r="D773" s="147">
        <f>D723+D704+D689</f>
        <v>89230000</v>
      </c>
    </row>
    <row r="774" spans="1:10" ht="45">
      <c r="A774" s="1070" t="s">
        <v>469</v>
      </c>
      <c r="B774" s="1070"/>
      <c r="C774" s="1070"/>
      <c r="D774" s="1070"/>
      <c r="E774" s="1070"/>
      <c r="F774" s="1070"/>
      <c r="G774" s="1070"/>
      <c r="H774" s="1070"/>
    </row>
    <row r="775" spans="1:10" ht="23.25" hidden="1">
      <c r="A775" s="1067" t="s">
        <v>799</v>
      </c>
      <c r="B775" s="1067"/>
      <c r="C775" s="1067"/>
      <c r="D775" s="1067"/>
      <c r="E775" s="1067"/>
      <c r="F775" s="1067"/>
      <c r="G775" s="1067"/>
      <c r="H775" s="1067"/>
      <c r="I775" s="1067"/>
    </row>
    <row r="776" spans="1:10" ht="23.25" hidden="1">
      <c r="A776" s="690" t="s">
        <v>3</v>
      </c>
      <c r="B776" s="690" t="s">
        <v>606</v>
      </c>
      <c r="C776" s="690" t="s">
        <v>5</v>
      </c>
      <c r="D776" s="691" t="s">
        <v>6</v>
      </c>
      <c r="E776" s="691" t="s">
        <v>7</v>
      </c>
      <c r="F776" s="691" t="s">
        <v>645</v>
      </c>
      <c r="G776" s="691" t="s">
        <v>646</v>
      </c>
      <c r="H776" s="691" t="s">
        <v>647</v>
      </c>
      <c r="I776" s="772" t="s">
        <v>762</v>
      </c>
      <c r="J776" s="772" t="s">
        <v>648</v>
      </c>
    </row>
    <row r="777" spans="1:10" ht="15" hidden="1">
      <c r="A777" s="609">
        <v>14873</v>
      </c>
      <c r="B777" s="337">
        <v>0.1</v>
      </c>
      <c r="C777" s="247" t="s">
        <v>471</v>
      </c>
      <c r="D777" s="510">
        <v>1900000</v>
      </c>
      <c r="E777" s="345">
        <v>0.05</v>
      </c>
      <c r="F777" s="431">
        <f>D777*E777</f>
        <v>95000</v>
      </c>
      <c r="G777" s="613" t="s">
        <v>104</v>
      </c>
      <c r="H777" s="613"/>
      <c r="I777" s="773" t="s">
        <v>104</v>
      </c>
      <c r="J777" s="114" t="s">
        <v>104</v>
      </c>
    </row>
    <row r="778" spans="1:10" ht="14.25" hidden="1">
      <c r="A778" s="609">
        <v>14952</v>
      </c>
      <c r="B778" s="343">
        <v>0.08</v>
      </c>
      <c r="C778" s="114" t="s">
        <v>473</v>
      </c>
      <c r="D778" s="510">
        <v>2000000</v>
      </c>
      <c r="E778" s="343">
        <v>0.04</v>
      </c>
      <c r="F778" s="431">
        <f t="shared" ref="F778:F790" si="26">D778*E778</f>
        <v>80000</v>
      </c>
      <c r="G778" s="613" t="s">
        <v>104</v>
      </c>
      <c r="H778" s="613"/>
      <c r="I778" s="773" t="s">
        <v>104</v>
      </c>
      <c r="J778" s="114" t="s">
        <v>104</v>
      </c>
    </row>
    <row r="779" spans="1:10" ht="14.25" hidden="1">
      <c r="A779" s="587">
        <v>15059</v>
      </c>
      <c r="B779" s="343">
        <v>0.08</v>
      </c>
      <c r="C779" s="114" t="s">
        <v>474</v>
      </c>
      <c r="D779" s="510">
        <v>2100000</v>
      </c>
      <c r="E779" s="343">
        <v>0.04</v>
      </c>
      <c r="F779" s="431">
        <f t="shared" si="26"/>
        <v>84000</v>
      </c>
      <c r="G779" s="778"/>
      <c r="H779" s="778"/>
      <c r="I779" s="866"/>
      <c r="J779" s="494"/>
    </row>
    <row r="780" spans="1:10" ht="15" hidden="1">
      <c r="A780" s="587">
        <v>15069</v>
      </c>
      <c r="B780" s="337">
        <v>0.1</v>
      </c>
      <c r="C780" s="114" t="s">
        <v>475</v>
      </c>
      <c r="D780" s="510">
        <v>2200000</v>
      </c>
      <c r="E780" s="345">
        <v>0.05</v>
      </c>
      <c r="F780" s="431">
        <f t="shared" si="26"/>
        <v>110000</v>
      </c>
      <c r="G780" s="613" t="s">
        <v>104</v>
      </c>
      <c r="H780" s="613"/>
      <c r="I780" s="773" t="s">
        <v>104</v>
      </c>
      <c r="J780" s="114" t="s">
        <v>104</v>
      </c>
    </row>
    <row r="781" spans="1:10" ht="15" hidden="1">
      <c r="A781" s="609">
        <v>14939</v>
      </c>
      <c r="B781" s="337">
        <v>0.1</v>
      </c>
      <c r="C781" s="114" t="s">
        <v>476</v>
      </c>
      <c r="D781" s="510">
        <v>3300000</v>
      </c>
      <c r="E781" s="345">
        <v>0.05</v>
      </c>
      <c r="F781" s="431">
        <f t="shared" si="26"/>
        <v>165000</v>
      </c>
      <c r="G781" s="613" t="s">
        <v>104</v>
      </c>
      <c r="H781" s="613"/>
      <c r="I781" s="773" t="s">
        <v>104</v>
      </c>
      <c r="J781" s="114" t="s">
        <v>104</v>
      </c>
    </row>
    <row r="782" spans="1:10" ht="15" hidden="1">
      <c r="A782" s="587">
        <v>15053</v>
      </c>
      <c r="B782" s="337">
        <v>0.1</v>
      </c>
      <c r="C782" s="114" t="s">
        <v>477</v>
      </c>
      <c r="D782" s="510">
        <v>2300000</v>
      </c>
      <c r="E782" s="345">
        <v>0.05</v>
      </c>
      <c r="F782" s="431">
        <f t="shared" si="26"/>
        <v>115000</v>
      </c>
      <c r="G782" s="613" t="s">
        <v>104</v>
      </c>
      <c r="H782" s="613"/>
      <c r="I782" s="773" t="s">
        <v>104</v>
      </c>
      <c r="J782" s="114" t="s">
        <v>104</v>
      </c>
    </row>
    <row r="783" spans="1:10" ht="15" hidden="1">
      <c r="A783" s="587">
        <v>15130</v>
      </c>
      <c r="B783" s="337">
        <v>0.1</v>
      </c>
      <c r="C783" s="114" t="s">
        <v>800</v>
      </c>
      <c r="D783" s="510">
        <v>2500000</v>
      </c>
      <c r="E783" s="345">
        <v>0.05</v>
      </c>
      <c r="F783" s="431">
        <f t="shared" si="26"/>
        <v>125000</v>
      </c>
      <c r="G783" s="613" t="s">
        <v>104</v>
      </c>
      <c r="H783" s="613"/>
      <c r="I783" s="773" t="s">
        <v>104</v>
      </c>
      <c r="J783" s="114" t="s">
        <v>104</v>
      </c>
    </row>
    <row r="784" spans="1:10" ht="15" hidden="1">
      <c r="A784" s="609">
        <v>14892</v>
      </c>
      <c r="B784" s="337">
        <v>0.1</v>
      </c>
      <c r="C784" s="247" t="s">
        <v>488</v>
      </c>
      <c r="D784" s="510">
        <v>1750000</v>
      </c>
      <c r="E784" s="345">
        <v>0.05</v>
      </c>
      <c r="F784" s="431">
        <f t="shared" si="26"/>
        <v>87500</v>
      </c>
      <c r="G784" s="613" t="s">
        <v>104</v>
      </c>
      <c r="H784" s="613"/>
      <c r="I784" s="773" t="s">
        <v>104</v>
      </c>
      <c r="J784" s="114" t="s">
        <v>104</v>
      </c>
    </row>
    <row r="785" spans="1:10" ht="14.25" hidden="1">
      <c r="A785" s="812">
        <v>14866</v>
      </c>
      <c r="B785" s="666">
        <v>0.08</v>
      </c>
      <c r="C785" s="248" t="s">
        <v>489</v>
      </c>
      <c r="D785" s="682">
        <v>2700000</v>
      </c>
      <c r="E785" s="343">
        <v>0.04</v>
      </c>
      <c r="F785" s="431">
        <f t="shared" si="26"/>
        <v>108000</v>
      </c>
      <c r="G785" s="445" t="s">
        <v>104</v>
      </c>
      <c r="H785" s="445"/>
      <c r="I785" s="852" t="s">
        <v>104</v>
      </c>
      <c r="J785" s="424" t="s">
        <v>104</v>
      </c>
    </row>
    <row r="786" spans="1:10" ht="15" hidden="1">
      <c r="A786" s="609">
        <v>14922</v>
      </c>
      <c r="B786" s="337">
        <v>0.1</v>
      </c>
      <c r="C786" s="114" t="s">
        <v>490</v>
      </c>
      <c r="D786" s="510">
        <v>1900000</v>
      </c>
      <c r="E786" s="345">
        <v>0.05</v>
      </c>
      <c r="F786" s="431">
        <f t="shared" si="26"/>
        <v>95000</v>
      </c>
      <c r="G786" s="114" t="s">
        <v>104</v>
      </c>
      <c r="H786" s="114"/>
      <c r="I786" s="114" t="s">
        <v>104</v>
      </c>
      <c r="J786" s="114" t="s">
        <v>104</v>
      </c>
    </row>
    <row r="787" spans="1:10" ht="15" hidden="1">
      <c r="A787" s="812">
        <v>15033</v>
      </c>
      <c r="B787" s="531">
        <v>0.1</v>
      </c>
      <c r="C787" s="424" t="s">
        <v>491</v>
      </c>
      <c r="D787" s="682">
        <v>1650000</v>
      </c>
      <c r="E787" s="345">
        <v>0.05</v>
      </c>
      <c r="F787" s="431">
        <f t="shared" si="26"/>
        <v>82500</v>
      </c>
      <c r="G787" s="424" t="s">
        <v>104</v>
      </c>
      <c r="H787" s="424"/>
      <c r="I787" s="424" t="s">
        <v>104</v>
      </c>
      <c r="J787" s="424" t="s">
        <v>104</v>
      </c>
    </row>
    <row r="788" spans="1:10" ht="15" hidden="1">
      <c r="A788" s="609">
        <v>15020</v>
      </c>
      <c r="B788" s="337">
        <v>0.1</v>
      </c>
      <c r="C788" s="114" t="s">
        <v>472</v>
      </c>
      <c r="D788" s="510">
        <v>2100000</v>
      </c>
      <c r="E788" s="345">
        <v>0.05</v>
      </c>
      <c r="F788" s="431">
        <f t="shared" si="26"/>
        <v>105000</v>
      </c>
      <c r="G788" s="114" t="s">
        <v>104</v>
      </c>
      <c r="H788" s="114"/>
      <c r="I788" s="114" t="s">
        <v>104</v>
      </c>
      <c r="J788" s="114" t="s">
        <v>104</v>
      </c>
    </row>
    <row r="789" spans="1:10" ht="14.25" hidden="1">
      <c r="A789" s="587">
        <v>15124</v>
      </c>
      <c r="B789" s="666">
        <v>0.08</v>
      </c>
      <c r="C789" s="114" t="s">
        <v>801</v>
      </c>
      <c r="D789" s="510">
        <v>1350000</v>
      </c>
      <c r="E789" s="343">
        <v>0.04</v>
      </c>
      <c r="F789" s="431">
        <f t="shared" si="26"/>
        <v>54000</v>
      </c>
      <c r="G789" s="494"/>
      <c r="H789" s="494"/>
      <c r="I789" s="494"/>
      <c r="J789" s="494"/>
    </row>
    <row r="790" spans="1:10" ht="14.25" hidden="1">
      <c r="A790" s="867" t="s">
        <v>486</v>
      </c>
      <c r="B790" s="493">
        <v>0.1</v>
      </c>
      <c r="C790" s="494" t="s">
        <v>510</v>
      </c>
      <c r="D790" s="510"/>
      <c r="E790" s="114"/>
      <c r="F790" s="431">
        <f t="shared" si="26"/>
        <v>0</v>
      </c>
      <c r="G790" s="114"/>
      <c r="H790" s="114"/>
      <c r="I790" s="114"/>
      <c r="J790" s="114"/>
    </row>
    <row r="791" spans="1:10" hidden="1">
      <c r="A791" s="52"/>
      <c r="B791" s="52"/>
      <c r="C791" s="52"/>
      <c r="D791" s="52"/>
      <c r="E791" s="52"/>
      <c r="F791" s="52"/>
      <c r="G791" s="114"/>
      <c r="H791" s="114"/>
      <c r="I791" s="114"/>
      <c r="J791" s="114"/>
    </row>
    <row r="792" spans="1:10" hidden="1">
      <c r="A792" s="83" t="s">
        <v>802</v>
      </c>
      <c r="B792" s="413">
        <v>0.08</v>
      </c>
      <c r="C792" s="83" t="s">
        <v>803</v>
      </c>
      <c r="D792" s="510"/>
      <c r="E792" s="114"/>
      <c r="F792" s="431"/>
      <c r="G792" s="114"/>
      <c r="H792" s="114"/>
      <c r="I792" s="114"/>
      <c r="J792" s="114"/>
    </row>
    <row r="793" spans="1:10" hidden="1">
      <c r="A793" s="88" t="s">
        <v>802</v>
      </c>
      <c r="B793" s="234"/>
      <c r="C793" s="88" t="s">
        <v>804</v>
      </c>
      <c r="D793" s="679"/>
      <c r="E793" s="429"/>
      <c r="F793" s="625"/>
      <c r="G793" s="461"/>
      <c r="H793" s="461"/>
      <c r="I793" s="461"/>
      <c r="J793" s="461"/>
    </row>
    <row r="794" spans="1:10" hidden="1">
      <c r="A794" s="83" t="s">
        <v>802</v>
      </c>
      <c r="B794" s="229"/>
      <c r="C794" s="83" t="s">
        <v>805</v>
      </c>
      <c r="D794" s="510"/>
      <c r="E794" s="52"/>
      <c r="F794" s="431"/>
      <c r="G794" s="613"/>
      <c r="H794" s="613"/>
      <c r="I794" s="773"/>
      <c r="J794" s="114"/>
    </row>
    <row r="795" spans="1:10" hidden="1">
      <c r="A795" s="83" t="s">
        <v>802</v>
      </c>
      <c r="B795" s="229"/>
      <c r="C795" s="83" t="s">
        <v>480</v>
      </c>
      <c r="D795" s="510"/>
      <c r="E795" s="52"/>
      <c r="F795" s="431" t="s">
        <v>372</v>
      </c>
      <c r="G795" s="613"/>
      <c r="H795" s="613"/>
      <c r="I795" s="773"/>
      <c r="J795" s="114"/>
    </row>
    <row r="796" spans="1:10" ht="30.75" hidden="1" customHeight="1">
      <c r="A796" s="52"/>
      <c r="B796" s="52"/>
      <c r="C796" s="52"/>
      <c r="D796" s="874">
        <f>SUM(D777:D795)</f>
        <v>27750000</v>
      </c>
      <c r="E796" s="376"/>
      <c r="F796" s="887">
        <f>SUM(F777:F795)</f>
        <v>1306000</v>
      </c>
      <c r="G796" s="114"/>
      <c r="H796" s="114"/>
      <c r="I796" s="114"/>
      <c r="J796" s="114"/>
    </row>
    <row r="797" spans="1:10" ht="23.25" hidden="1">
      <c r="A797" s="1066" t="s">
        <v>806</v>
      </c>
      <c r="B797" s="1066"/>
      <c r="C797" s="1066"/>
      <c r="D797" s="1066"/>
      <c r="E797" s="1066"/>
      <c r="F797" s="1066"/>
      <c r="G797" s="1066"/>
      <c r="H797" s="1066"/>
      <c r="I797" s="1066"/>
    </row>
    <row r="798" spans="1:10" ht="23.25" hidden="1">
      <c r="A798" s="690" t="s">
        <v>3</v>
      </c>
      <c r="B798" s="690" t="s">
        <v>606</v>
      </c>
      <c r="C798" s="690" t="s">
        <v>5</v>
      </c>
      <c r="D798" s="691" t="s">
        <v>6</v>
      </c>
      <c r="E798" s="691" t="s">
        <v>7</v>
      </c>
      <c r="F798" s="691" t="s">
        <v>645</v>
      </c>
      <c r="G798" s="691" t="s">
        <v>646</v>
      </c>
      <c r="H798" s="691" t="s">
        <v>647</v>
      </c>
      <c r="I798" s="772" t="s">
        <v>762</v>
      </c>
      <c r="J798" s="772" t="s">
        <v>648</v>
      </c>
    </row>
    <row r="799" spans="1:10" ht="15" hidden="1">
      <c r="A799" s="609">
        <v>15098</v>
      </c>
      <c r="B799" s="605">
        <v>0.1</v>
      </c>
      <c r="C799" s="114" t="s">
        <v>807</v>
      </c>
      <c r="D799" s="510">
        <v>3100000</v>
      </c>
      <c r="E799" s="345">
        <v>0.04</v>
      </c>
      <c r="F799" s="431">
        <f>D799*E799</f>
        <v>124000</v>
      </c>
      <c r="G799" s="778"/>
      <c r="H799" s="778"/>
      <c r="I799" s="866"/>
      <c r="J799" s="494"/>
    </row>
    <row r="800" spans="1:10" ht="14.25" hidden="1">
      <c r="A800" s="609">
        <v>15028</v>
      </c>
      <c r="B800" s="526">
        <v>0.08</v>
      </c>
      <c r="C800" s="114" t="s">
        <v>481</v>
      </c>
      <c r="D800" s="510">
        <v>2000000</v>
      </c>
      <c r="E800" s="343">
        <v>0.03</v>
      </c>
      <c r="F800" s="431">
        <f t="shared" ref="F800:F808" si="27">D800*E800</f>
        <v>60000</v>
      </c>
      <c r="G800" s="114" t="s">
        <v>104</v>
      </c>
      <c r="H800" s="114"/>
      <c r="I800" s="114" t="s">
        <v>104</v>
      </c>
      <c r="J800" s="114" t="s">
        <v>104</v>
      </c>
    </row>
    <row r="801" spans="1:10" ht="15" hidden="1">
      <c r="A801" s="587">
        <v>15117</v>
      </c>
      <c r="B801" s="605">
        <v>0.1</v>
      </c>
      <c r="C801" s="114" t="s">
        <v>808</v>
      </c>
      <c r="D801" s="510">
        <v>2100000</v>
      </c>
      <c r="E801" s="345">
        <v>0.04</v>
      </c>
      <c r="F801" s="431">
        <f t="shared" si="27"/>
        <v>84000</v>
      </c>
      <c r="G801" s="494"/>
      <c r="H801" s="494"/>
      <c r="I801" s="494"/>
      <c r="J801" s="494"/>
    </row>
    <row r="802" spans="1:10" ht="15" hidden="1">
      <c r="A802" s="663">
        <v>14969</v>
      </c>
      <c r="B802" s="605">
        <v>0.1</v>
      </c>
      <c r="C802" s="114" t="s">
        <v>493</v>
      </c>
      <c r="D802" s="510">
        <v>1300000</v>
      </c>
      <c r="E802" s="345">
        <v>0.04</v>
      </c>
      <c r="F802" s="431">
        <f t="shared" si="27"/>
        <v>52000</v>
      </c>
      <c r="G802" s="114" t="s">
        <v>104</v>
      </c>
      <c r="H802" s="114"/>
      <c r="I802" s="114" t="s">
        <v>104</v>
      </c>
      <c r="J802" s="114" t="s">
        <v>104</v>
      </c>
    </row>
    <row r="803" spans="1:10" ht="14.25" hidden="1">
      <c r="A803" s="609">
        <v>14888</v>
      </c>
      <c r="B803" s="526">
        <v>0.08</v>
      </c>
      <c r="C803" s="247" t="s">
        <v>494</v>
      </c>
      <c r="D803" s="510">
        <v>1200000</v>
      </c>
      <c r="E803" s="343">
        <v>0.03</v>
      </c>
      <c r="F803" s="431">
        <f t="shared" si="27"/>
        <v>36000</v>
      </c>
      <c r="G803" s="613" t="s">
        <v>104</v>
      </c>
      <c r="H803" s="613"/>
      <c r="I803" s="613" t="s">
        <v>104</v>
      </c>
      <c r="J803" s="114" t="s">
        <v>104</v>
      </c>
    </row>
    <row r="804" spans="1:10" ht="15" hidden="1">
      <c r="A804" s="875">
        <v>14993</v>
      </c>
      <c r="B804" s="337">
        <v>0.1</v>
      </c>
      <c r="C804" s="28" t="s">
        <v>496</v>
      </c>
      <c r="D804" s="510">
        <v>1700000</v>
      </c>
      <c r="E804" s="345">
        <v>0.04</v>
      </c>
      <c r="F804" s="431">
        <f t="shared" si="27"/>
        <v>68000</v>
      </c>
      <c r="G804" s="114" t="s">
        <v>104</v>
      </c>
      <c r="H804" s="114"/>
      <c r="I804" s="114" t="s">
        <v>104</v>
      </c>
      <c r="J804" s="114" t="s">
        <v>104</v>
      </c>
    </row>
    <row r="805" spans="1:10" ht="15" hidden="1">
      <c r="A805" s="587">
        <v>15068</v>
      </c>
      <c r="B805" s="337">
        <v>0.1</v>
      </c>
      <c r="C805" s="114" t="s">
        <v>497</v>
      </c>
      <c r="D805" s="510">
        <v>1200000</v>
      </c>
      <c r="E805" s="345">
        <v>0.04</v>
      </c>
      <c r="F805" s="431">
        <f t="shared" si="27"/>
        <v>48000</v>
      </c>
      <c r="G805" s="114" t="s">
        <v>104</v>
      </c>
      <c r="H805" s="114"/>
      <c r="I805" s="114" t="s">
        <v>104</v>
      </c>
      <c r="J805" s="114" t="s">
        <v>104</v>
      </c>
    </row>
    <row r="806" spans="1:10" ht="15" hidden="1">
      <c r="A806" s="812">
        <v>14908</v>
      </c>
      <c r="B806" s="531">
        <v>0.1</v>
      </c>
      <c r="C806" s="248" t="s">
        <v>503</v>
      </c>
      <c r="D806" s="682">
        <v>3200000</v>
      </c>
      <c r="E806" s="345">
        <v>0.04</v>
      </c>
      <c r="F806" s="431">
        <f t="shared" si="27"/>
        <v>128000</v>
      </c>
      <c r="G806" s="445" t="s">
        <v>104</v>
      </c>
      <c r="H806" s="445"/>
      <c r="I806" s="445" t="s">
        <v>104</v>
      </c>
      <c r="J806" s="424" t="s">
        <v>104</v>
      </c>
    </row>
    <row r="807" spans="1:10" ht="15" hidden="1">
      <c r="A807" s="609">
        <v>14921</v>
      </c>
      <c r="B807" s="337">
        <v>0.1</v>
      </c>
      <c r="C807" s="114" t="s">
        <v>505</v>
      </c>
      <c r="D807" s="510">
        <v>1300000</v>
      </c>
      <c r="E807" s="345">
        <v>0.04</v>
      </c>
      <c r="F807" s="431">
        <f t="shared" si="27"/>
        <v>52000</v>
      </c>
      <c r="G807" s="114" t="s">
        <v>104</v>
      </c>
      <c r="H807" s="114"/>
      <c r="I807" s="114" t="s">
        <v>104</v>
      </c>
      <c r="J807" s="114" t="s">
        <v>104</v>
      </c>
    </row>
    <row r="808" spans="1:10" ht="15" hidden="1">
      <c r="A808" s="609">
        <v>15135</v>
      </c>
      <c r="B808" s="337"/>
      <c r="C808" s="114" t="s">
        <v>500</v>
      </c>
      <c r="D808" s="510">
        <v>2100000</v>
      </c>
      <c r="E808" s="345">
        <v>0.04</v>
      </c>
      <c r="F808" s="431">
        <f t="shared" si="27"/>
        <v>84000</v>
      </c>
      <c r="G808" s="494"/>
      <c r="H808" s="494"/>
      <c r="I808" s="494"/>
      <c r="J808" s="494"/>
    </row>
    <row r="809" spans="1:10" ht="15" hidden="1">
      <c r="A809" s="645" t="s">
        <v>348</v>
      </c>
      <c r="B809" s="616"/>
      <c r="C809" s="437" t="s">
        <v>512</v>
      </c>
      <c r="D809" s="510"/>
      <c r="E809" s="345"/>
      <c r="F809" s="431"/>
      <c r="G809" s="114"/>
      <c r="H809" s="114"/>
      <c r="I809" s="114"/>
      <c r="J809" s="114"/>
    </row>
    <row r="810" spans="1:10" hidden="1">
      <c r="A810" s="494" t="s">
        <v>486</v>
      </c>
      <c r="B810" s="494"/>
      <c r="C810" s="494" t="s">
        <v>809</v>
      </c>
      <c r="D810" s="52"/>
      <c r="E810" s="52"/>
      <c r="F810" s="415"/>
      <c r="G810" s="114"/>
      <c r="H810" s="114"/>
      <c r="I810" s="114"/>
      <c r="J810" s="114"/>
    </row>
    <row r="811" spans="1:10" hidden="1">
      <c r="A811" s="494" t="s">
        <v>486</v>
      </c>
      <c r="B811" s="872"/>
      <c r="C811" s="494" t="s">
        <v>487</v>
      </c>
      <c r="D811" s="510"/>
      <c r="E811" s="114"/>
      <c r="F811" s="431"/>
      <c r="G811" s="114"/>
      <c r="H811" s="114"/>
      <c r="I811" s="114"/>
      <c r="J811" s="114"/>
    </row>
    <row r="812" spans="1:10" ht="18" hidden="1">
      <c r="A812" s="461"/>
      <c r="B812" s="610"/>
      <c r="C812" s="461"/>
      <c r="D812" s="874">
        <f>SUM(D799:D811)</f>
        <v>19200000</v>
      </c>
      <c r="E812" s="461"/>
      <c r="F812" s="886">
        <f>SUM(F799:F811)</f>
        <v>736000</v>
      </c>
      <c r="G812" s="461"/>
      <c r="H812" s="461"/>
      <c r="I812" s="461"/>
      <c r="J812" s="461"/>
    </row>
    <row r="813" spans="1:10" hidden="1">
      <c r="A813" s="461"/>
      <c r="B813" s="610"/>
      <c r="C813" s="461"/>
      <c r="D813" s="679"/>
      <c r="E813" s="461"/>
      <c r="F813" s="865"/>
      <c r="G813" s="461"/>
      <c r="H813" s="461"/>
      <c r="I813" s="461"/>
      <c r="J813" s="461"/>
    </row>
    <row r="814" spans="1:10" hidden="1">
      <c r="A814" s="88" t="s">
        <v>802</v>
      </c>
      <c r="B814" s="88"/>
      <c r="C814" s="88" t="s">
        <v>810</v>
      </c>
      <c r="D814" s="679"/>
      <c r="E814" s="461"/>
      <c r="F814" s="865" t="s">
        <v>49</v>
      </c>
      <c r="G814" s="461"/>
      <c r="H814" s="461"/>
      <c r="I814" s="461"/>
      <c r="J814" s="461"/>
    </row>
    <row r="815" spans="1:10" hidden="1">
      <c r="A815" s="88" t="s">
        <v>802</v>
      </c>
      <c r="B815" s="83"/>
      <c r="C815" s="83" t="s">
        <v>811</v>
      </c>
      <c r="D815" s="510"/>
      <c r="E815" s="114"/>
      <c r="F815" s="431" t="s">
        <v>153</v>
      </c>
      <c r="G815" s="778"/>
      <c r="H815" s="778"/>
      <c r="I815" s="778"/>
      <c r="J815" s="494"/>
    </row>
    <row r="816" spans="1:10" hidden="1">
      <c r="A816" s="429" t="s">
        <v>812</v>
      </c>
      <c r="B816" s="429"/>
      <c r="C816" s="429" t="s">
        <v>813</v>
      </c>
      <c r="D816" s="461"/>
      <c r="E816" s="461"/>
      <c r="F816" s="705"/>
      <c r="G816" s="114"/>
      <c r="H816" s="114"/>
      <c r="I816" s="114"/>
      <c r="J816" s="114"/>
    </row>
    <row r="817" spans="1:10" hidden="1">
      <c r="A817" s="429" t="s">
        <v>812</v>
      </c>
      <c r="B817" s="114"/>
      <c r="C817" s="114" t="s">
        <v>814</v>
      </c>
      <c r="D817" s="697"/>
      <c r="E817" s="52"/>
      <c r="F817" s="706"/>
      <c r="G817" s="114"/>
      <c r="H817" s="114"/>
      <c r="I817" s="114"/>
      <c r="J817" s="114"/>
    </row>
    <row r="818" spans="1:10" hidden="1">
      <c r="A818" s="429" t="s">
        <v>812</v>
      </c>
      <c r="B818" s="114"/>
      <c r="C818" s="114" t="s">
        <v>815</v>
      </c>
      <c r="D818" s="697"/>
      <c r="E818" s="52"/>
      <c r="F818" s="706"/>
      <c r="G818" s="114"/>
      <c r="H818" s="114"/>
      <c r="I818" s="114"/>
      <c r="J818" s="114"/>
    </row>
    <row r="819" spans="1:10" hidden="1">
      <c r="A819" s="429" t="s">
        <v>812</v>
      </c>
      <c r="B819" s="114"/>
      <c r="C819" s="114" t="s">
        <v>816</v>
      </c>
      <c r="D819" s="697">
        <f>SUM(D799:D818)</f>
        <v>38400000</v>
      </c>
      <c r="E819" s="52"/>
      <c r="F819" s="706"/>
      <c r="G819" s="114"/>
      <c r="H819" s="114"/>
      <c r="I819" s="114"/>
      <c r="J819" s="114"/>
    </row>
    <row r="820" spans="1:10" ht="23.25" hidden="1">
      <c r="A820" s="1066" t="s">
        <v>817</v>
      </c>
      <c r="B820" s="1066"/>
      <c r="C820" s="1066"/>
      <c r="D820" s="1066"/>
      <c r="E820" s="1066"/>
      <c r="F820" s="1066"/>
      <c r="G820" s="1066"/>
      <c r="H820" s="1066"/>
      <c r="I820" s="1066"/>
    </row>
    <row r="821" spans="1:10" ht="23.25" hidden="1">
      <c r="A821" s="690" t="s">
        <v>3</v>
      </c>
      <c r="B821" s="690" t="s">
        <v>606</v>
      </c>
      <c r="C821" s="690" t="s">
        <v>5</v>
      </c>
      <c r="D821" s="691" t="s">
        <v>6</v>
      </c>
      <c r="E821" s="691" t="s">
        <v>7</v>
      </c>
      <c r="F821" s="691" t="s">
        <v>645</v>
      </c>
      <c r="G821" s="691" t="s">
        <v>646</v>
      </c>
      <c r="H821" s="691" t="s">
        <v>647</v>
      </c>
      <c r="I821" s="772" t="s">
        <v>762</v>
      </c>
      <c r="J821" s="772" t="s">
        <v>648</v>
      </c>
    </row>
    <row r="822" spans="1:10" ht="14.25" hidden="1">
      <c r="A822" s="864">
        <v>15046</v>
      </c>
      <c r="B822" s="337">
        <v>0.1</v>
      </c>
      <c r="C822" s="114" t="s">
        <v>483</v>
      </c>
      <c r="D822" s="510">
        <v>2100000</v>
      </c>
      <c r="E822" s="337">
        <v>0.03</v>
      </c>
      <c r="F822" s="431">
        <f>D822*E822</f>
        <v>63000</v>
      </c>
      <c r="G822" s="778"/>
      <c r="H822" s="778"/>
      <c r="I822" s="778"/>
      <c r="J822" s="114" t="s">
        <v>104</v>
      </c>
    </row>
    <row r="823" spans="1:10" ht="14.25" hidden="1">
      <c r="A823" s="864" t="s">
        <v>484</v>
      </c>
      <c r="B823" s="337">
        <v>0.1</v>
      </c>
      <c r="C823" s="114" t="s">
        <v>485</v>
      </c>
      <c r="D823" s="510">
        <v>2400000</v>
      </c>
      <c r="E823" s="337">
        <v>0.03</v>
      </c>
      <c r="F823" s="431">
        <f t="shared" ref="F823:F829" si="28">D823*E823</f>
        <v>72000</v>
      </c>
      <c r="G823" s="778"/>
      <c r="H823" s="778"/>
      <c r="I823" s="778"/>
      <c r="J823" s="114"/>
    </row>
    <row r="824" spans="1:10" ht="14.25" hidden="1">
      <c r="A824" s="864">
        <v>15016</v>
      </c>
      <c r="B824" s="337">
        <v>0.1</v>
      </c>
      <c r="C824" s="114" t="s">
        <v>498</v>
      </c>
      <c r="D824" s="510">
        <v>1650000</v>
      </c>
      <c r="E824" s="337">
        <v>0.03</v>
      </c>
      <c r="F824" s="431">
        <f t="shared" si="28"/>
        <v>49500</v>
      </c>
      <c r="G824" s="613" t="s">
        <v>104</v>
      </c>
      <c r="H824" s="613"/>
      <c r="I824" s="613" t="s">
        <v>104</v>
      </c>
      <c r="J824" s="114" t="s">
        <v>104</v>
      </c>
    </row>
    <row r="825" spans="1:10" ht="14.25" hidden="1">
      <c r="A825" s="864">
        <v>15096</v>
      </c>
      <c r="B825" s="337">
        <v>0.1</v>
      </c>
      <c r="C825" s="114" t="s">
        <v>499</v>
      </c>
      <c r="D825" s="510">
        <v>1300000</v>
      </c>
      <c r="E825" s="337">
        <v>0.03</v>
      </c>
      <c r="F825" s="431">
        <f t="shared" si="28"/>
        <v>39000</v>
      </c>
      <c r="G825" s="778"/>
      <c r="H825" s="778"/>
      <c r="I825" s="778"/>
      <c r="J825" s="494"/>
    </row>
    <row r="826" spans="1:10" ht="14.25" hidden="1">
      <c r="A826" s="864">
        <v>14872</v>
      </c>
      <c r="B826" s="337">
        <v>0.1</v>
      </c>
      <c r="C826" s="247" t="s">
        <v>506</v>
      </c>
      <c r="D826" s="510">
        <v>1900000</v>
      </c>
      <c r="E826" s="337">
        <v>0.03</v>
      </c>
      <c r="F826" s="431">
        <f t="shared" si="28"/>
        <v>57000</v>
      </c>
      <c r="G826" s="613" t="s">
        <v>104</v>
      </c>
      <c r="H826" s="613"/>
      <c r="I826" s="613" t="s">
        <v>104</v>
      </c>
      <c r="J826" s="114" t="s">
        <v>104</v>
      </c>
    </row>
    <row r="827" spans="1:10" ht="14.25" hidden="1">
      <c r="A827" s="864">
        <v>14918</v>
      </c>
      <c r="B827" s="337">
        <v>0.1</v>
      </c>
      <c r="C827" s="52" t="s">
        <v>507</v>
      </c>
      <c r="D827" s="510">
        <v>1900000</v>
      </c>
      <c r="E827" s="337">
        <v>0.03</v>
      </c>
      <c r="F827" s="431">
        <f t="shared" si="28"/>
        <v>57000</v>
      </c>
      <c r="G827" s="114" t="s">
        <v>104</v>
      </c>
      <c r="H827" s="114"/>
      <c r="I827" s="114" t="s">
        <v>104</v>
      </c>
      <c r="J827" s="114" t="s">
        <v>104</v>
      </c>
    </row>
    <row r="828" spans="1:10" ht="14.25" hidden="1">
      <c r="A828" s="864">
        <v>14865</v>
      </c>
      <c r="B828" s="337">
        <v>0.1</v>
      </c>
      <c r="C828" s="114" t="s">
        <v>46</v>
      </c>
      <c r="D828" s="510">
        <v>1200000</v>
      </c>
      <c r="E828" s="337">
        <v>0.03</v>
      </c>
      <c r="F828" s="431">
        <f t="shared" si="28"/>
        <v>36000</v>
      </c>
      <c r="G828" s="114" t="s">
        <v>104</v>
      </c>
      <c r="H828" s="114"/>
      <c r="I828" s="114" t="s">
        <v>104</v>
      </c>
      <c r="J828" s="114" t="s">
        <v>104</v>
      </c>
    </row>
    <row r="829" spans="1:10" ht="14.25" hidden="1">
      <c r="A829" s="864">
        <v>15120</v>
      </c>
      <c r="B829" s="337">
        <v>0.1</v>
      </c>
      <c r="C829" s="114" t="s">
        <v>508</v>
      </c>
      <c r="D829" s="510">
        <v>2300000</v>
      </c>
      <c r="E829" s="337">
        <v>0.03</v>
      </c>
      <c r="F829" s="431">
        <f t="shared" si="28"/>
        <v>69000</v>
      </c>
      <c r="G829" s="114"/>
      <c r="H829" s="114"/>
      <c r="I829" s="114"/>
      <c r="J829" s="114"/>
    </row>
    <row r="830" spans="1:10" hidden="1">
      <c r="A830" s="31"/>
      <c r="B830" s="114"/>
      <c r="C830" s="114"/>
      <c r="D830" s="114"/>
      <c r="E830" s="114"/>
      <c r="F830" s="114"/>
      <c r="G830" s="114"/>
      <c r="H830" s="114"/>
      <c r="I830" s="114"/>
      <c r="J830" s="114"/>
    </row>
    <row r="831" spans="1:10" ht="15" hidden="1">
      <c r="A831" s="871" t="s">
        <v>802</v>
      </c>
      <c r="B831" s="114"/>
      <c r="C831" s="114" t="s">
        <v>543</v>
      </c>
      <c r="D831" s="510"/>
      <c r="E831" s="345"/>
      <c r="F831" s="431" t="s">
        <v>153</v>
      </c>
      <c r="G831" s="778"/>
      <c r="H831" s="778"/>
      <c r="I831" s="778"/>
      <c r="J831" s="494"/>
    </row>
    <row r="832" spans="1:10" hidden="1">
      <c r="A832" s="539" t="s">
        <v>812</v>
      </c>
      <c r="B832" s="114"/>
      <c r="C832" s="114" t="s">
        <v>818</v>
      </c>
      <c r="D832" s="114"/>
      <c r="E832" s="114"/>
      <c r="F832" s="114"/>
      <c r="G832" s="114"/>
      <c r="H832" s="114"/>
      <c r="I832" s="114"/>
      <c r="J832" s="114"/>
    </row>
    <row r="833" spans="1:10" hidden="1">
      <c r="A833" s="83" t="s">
        <v>812</v>
      </c>
      <c r="B833" s="348"/>
      <c r="C833" s="461" t="s">
        <v>819</v>
      </c>
      <c r="D833" s="679"/>
      <c r="E833" s="461"/>
      <c r="F833" s="625"/>
      <c r="G833" s="461"/>
      <c r="H833" s="461"/>
      <c r="I833" s="461"/>
      <c r="J833" s="461"/>
    </row>
    <row r="834" spans="1:10" hidden="1">
      <c r="A834" s="83" t="s">
        <v>812</v>
      </c>
      <c r="B834" s="337"/>
      <c r="C834" s="114" t="s">
        <v>820</v>
      </c>
      <c r="D834" s="510"/>
      <c r="E834" s="114"/>
      <c r="F834" s="431"/>
      <c r="G834" s="114"/>
      <c r="H834" s="114"/>
      <c r="I834" s="114"/>
      <c r="J834" s="114"/>
    </row>
    <row r="835" spans="1:10" ht="18" hidden="1">
      <c r="A835" s="52"/>
      <c r="B835" s="52"/>
      <c r="C835" s="52"/>
      <c r="D835" s="874">
        <f>SUM(D822:D834)</f>
        <v>14750000</v>
      </c>
      <c r="E835" s="52"/>
      <c r="F835" s="886">
        <f>SUM(F822:F834)</f>
        <v>442500</v>
      </c>
      <c r="G835" s="114"/>
      <c r="H835" s="114"/>
      <c r="I835" s="114"/>
      <c r="J835" s="114"/>
    </row>
    <row r="836" spans="1:10" ht="23.25" hidden="1">
      <c r="A836" s="1066" t="s">
        <v>821</v>
      </c>
      <c r="B836" s="1066"/>
      <c r="C836" s="1066"/>
      <c r="D836" s="1066"/>
      <c r="E836" s="1066"/>
      <c r="F836" s="1066"/>
      <c r="G836" s="1066"/>
      <c r="H836" s="1066"/>
      <c r="I836" s="1066"/>
    </row>
    <row r="837" spans="1:10" ht="23.25" hidden="1">
      <c r="A837" s="690" t="s">
        <v>3</v>
      </c>
      <c r="B837" s="690" t="s">
        <v>606</v>
      </c>
      <c r="C837" s="690" t="s">
        <v>5</v>
      </c>
      <c r="D837" s="691" t="s">
        <v>6</v>
      </c>
      <c r="E837" s="691" t="s">
        <v>7</v>
      </c>
      <c r="F837" s="691" t="s">
        <v>645</v>
      </c>
      <c r="G837" s="691" t="s">
        <v>646</v>
      </c>
      <c r="H837" s="691" t="s">
        <v>647</v>
      </c>
      <c r="I837" s="772" t="s">
        <v>762</v>
      </c>
      <c r="J837" s="772" t="s">
        <v>648</v>
      </c>
    </row>
    <row r="838" spans="1:10" ht="14.25" hidden="1">
      <c r="A838" s="811">
        <v>14972</v>
      </c>
      <c r="B838" s="337">
        <v>0.1</v>
      </c>
      <c r="C838" s="52" t="s">
        <v>509</v>
      </c>
      <c r="D838" s="510">
        <v>2300000</v>
      </c>
      <c r="E838" s="52"/>
      <c r="F838" s="853"/>
      <c r="G838" s="613"/>
      <c r="H838" s="613"/>
      <c r="I838" s="613"/>
      <c r="J838" s="114"/>
    </row>
    <row r="839" spans="1:10" ht="15" hidden="1">
      <c r="A839" s="663"/>
      <c r="B839" s="337"/>
      <c r="C839" s="247"/>
      <c r="D839" s="510"/>
      <c r="E839" s="345"/>
      <c r="F839" s="853"/>
      <c r="G839" s="613"/>
      <c r="H839" s="613"/>
      <c r="I839" s="613"/>
      <c r="J839" s="114"/>
    </row>
    <row r="840" spans="1:10" ht="15" hidden="1">
      <c r="A840" s="663"/>
      <c r="B840" s="337"/>
      <c r="C840" s="247"/>
      <c r="D840" s="510"/>
      <c r="E840" s="345"/>
      <c r="F840" s="853"/>
      <c r="G840" s="613"/>
      <c r="H840" s="613"/>
      <c r="I840" s="613"/>
      <c r="J840" s="114"/>
    </row>
    <row r="841" spans="1:10" hidden="1">
      <c r="A841" s="52"/>
      <c r="B841" s="52"/>
      <c r="C841" s="52"/>
      <c r="D841" s="52"/>
      <c r="E841" s="52"/>
      <c r="F841" s="706"/>
      <c r="G841" s="114"/>
      <c r="H841" s="114"/>
      <c r="I841" s="114"/>
      <c r="J841" s="114"/>
    </row>
    <row r="842" spans="1:10" hidden="1">
      <c r="A842" s="52"/>
      <c r="B842" s="52"/>
      <c r="C842" s="52"/>
      <c r="D842" s="52"/>
      <c r="E842" s="52"/>
      <c r="F842" s="706"/>
      <c r="G842" s="114"/>
      <c r="H842" s="114"/>
      <c r="I842" s="114"/>
      <c r="J842" s="114"/>
    </row>
    <row r="843" spans="1:10" hidden="1">
      <c r="A843" s="52"/>
      <c r="B843" s="52"/>
      <c r="C843" s="52"/>
      <c r="D843" s="52"/>
      <c r="E843" s="52"/>
      <c r="F843" s="706"/>
      <c r="G843" s="114"/>
      <c r="H843" s="114"/>
      <c r="I843" s="114"/>
      <c r="J843" s="114"/>
    </row>
    <row r="844" spans="1:10" hidden="1">
      <c r="A844" s="52"/>
      <c r="B844" s="52"/>
      <c r="C844" s="52"/>
      <c r="D844" s="52"/>
      <c r="E844" s="52"/>
      <c r="F844" s="706"/>
      <c r="G844" s="114"/>
      <c r="H844" s="114"/>
      <c r="I844" s="114"/>
      <c r="J844" s="114"/>
    </row>
    <row r="845" spans="1:10" hidden="1">
      <c r="A845" s="52"/>
      <c r="B845" s="52"/>
      <c r="C845" s="52"/>
      <c r="D845" s="52"/>
      <c r="E845" s="52"/>
      <c r="F845" s="706"/>
      <c r="G845" s="114"/>
      <c r="H845" s="114"/>
      <c r="I845" s="114"/>
      <c r="J845" s="114"/>
    </row>
    <row r="846" spans="1:10" ht="18" hidden="1">
      <c r="A846" s="52"/>
      <c r="B846" s="52"/>
      <c r="C846" s="52"/>
      <c r="D846" s="874">
        <f>SUM(D838:D845)</f>
        <v>2300000</v>
      </c>
      <c r="E846" s="52"/>
      <c r="F846" s="706"/>
      <c r="G846" s="114"/>
      <c r="H846" s="114"/>
      <c r="I846" s="114"/>
      <c r="J846" s="114"/>
    </row>
    <row r="847" spans="1:10" ht="23.25" hidden="1">
      <c r="A847" s="1066" t="s">
        <v>822</v>
      </c>
      <c r="B847" s="1066"/>
      <c r="C847" s="1066"/>
      <c r="D847" s="1066"/>
      <c r="E847" s="1066"/>
      <c r="F847" s="1066"/>
      <c r="G847" s="1066"/>
      <c r="H847" s="1066"/>
      <c r="I847" s="1066"/>
    </row>
    <row r="848" spans="1:10" ht="23.25" hidden="1">
      <c r="A848" s="690" t="s">
        <v>3</v>
      </c>
      <c r="B848" s="690" t="s">
        <v>606</v>
      </c>
      <c r="C848" s="690" t="s">
        <v>5</v>
      </c>
      <c r="D848" s="691" t="s">
        <v>6</v>
      </c>
      <c r="E848" s="691" t="s">
        <v>7</v>
      </c>
      <c r="F848" s="691" t="s">
        <v>645</v>
      </c>
      <c r="G848" s="691" t="s">
        <v>646</v>
      </c>
      <c r="H848" s="691" t="s">
        <v>647</v>
      </c>
      <c r="I848" s="772" t="s">
        <v>762</v>
      </c>
      <c r="J848" s="772" t="s">
        <v>648</v>
      </c>
    </row>
    <row r="849" spans="1:10" ht="15" hidden="1">
      <c r="A849" s="609">
        <v>14873</v>
      </c>
      <c r="B849" s="337">
        <v>0.1</v>
      </c>
      <c r="C849" s="247" t="s">
        <v>471</v>
      </c>
      <c r="D849" s="510">
        <v>1900000</v>
      </c>
      <c r="E849" s="598">
        <v>2.5000000000000001E-2</v>
      </c>
      <c r="F849" s="431">
        <f>D849*E849</f>
        <v>47500</v>
      </c>
      <c r="G849" s="613" t="s">
        <v>104</v>
      </c>
      <c r="H849" s="613"/>
      <c r="I849" s="773" t="s">
        <v>104</v>
      </c>
      <c r="J849" s="114" t="s">
        <v>104</v>
      </c>
    </row>
    <row r="850" spans="1:10" ht="15" hidden="1">
      <c r="A850" s="609">
        <v>14952</v>
      </c>
      <c r="B850" s="343">
        <v>0.08</v>
      </c>
      <c r="C850" s="114" t="s">
        <v>473</v>
      </c>
      <c r="D850" s="510">
        <v>2000000</v>
      </c>
      <c r="E850" s="310">
        <v>0.02</v>
      </c>
      <c r="F850" s="431">
        <f t="shared" ref="F850:F880" si="29">D850*E850</f>
        <v>40000</v>
      </c>
      <c r="G850" s="114" t="s">
        <v>104</v>
      </c>
      <c r="H850" s="613"/>
      <c r="I850" s="773" t="s">
        <v>104</v>
      </c>
      <c r="J850" s="114" t="s">
        <v>104</v>
      </c>
    </row>
    <row r="851" spans="1:10" ht="15" hidden="1">
      <c r="A851" s="587">
        <v>15059</v>
      </c>
      <c r="B851" s="343">
        <v>0.08</v>
      </c>
      <c r="C851" s="114" t="s">
        <v>474</v>
      </c>
      <c r="D851" s="510">
        <v>2100000</v>
      </c>
      <c r="E851" s="310">
        <v>0.02</v>
      </c>
      <c r="F851" s="431">
        <f t="shared" si="29"/>
        <v>42000</v>
      </c>
      <c r="G851" s="114" t="s">
        <v>104</v>
      </c>
      <c r="H851" s="613"/>
      <c r="I851" s="866"/>
      <c r="J851" s="114" t="s">
        <v>104</v>
      </c>
    </row>
    <row r="852" spans="1:10" ht="15" hidden="1">
      <c r="A852" s="587">
        <v>15069</v>
      </c>
      <c r="B852" s="337">
        <v>0.1</v>
      </c>
      <c r="C852" s="114" t="s">
        <v>475</v>
      </c>
      <c r="D852" s="510">
        <v>2200000</v>
      </c>
      <c r="E852" s="598">
        <v>2.5000000000000001E-2</v>
      </c>
      <c r="F852" s="431">
        <f t="shared" si="29"/>
        <v>55000</v>
      </c>
      <c r="G852" s="114" t="s">
        <v>104</v>
      </c>
      <c r="H852" s="778"/>
      <c r="I852" s="866"/>
      <c r="J852" s="114" t="s">
        <v>104</v>
      </c>
    </row>
    <row r="853" spans="1:10" ht="15" hidden="1">
      <c r="A853" s="609">
        <v>14939</v>
      </c>
      <c r="B853" s="337">
        <v>0.1</v>
      </c>
      <c r="C853" s="114" t="s">
        <v>476</v>
      </c>
      <c r="D853" s="888">
        <v>3300000</v>
      </c>
      <c r="E853" s="598">
        <v>2.5000000000000001E-2</v>
      </c>
      <c r="F853" s="431">
        <f>D853*E853</f>
        <v>82500</v>
      </c>
      <c r="G853" s="613" t="s">
        <v>104</v>
      </c>
      <c r="H853" s="613"/>
      <c r="I853" s="773" t="s">
        <v>104</v>
      </c>
      <c r="J853" s="114" t="s">
        <v>104</v>
      </c>
    </row>
    <row r="854" spans="1:10" ht="15" hidden="1">
      <c r="A854" s="587">
        <v>15053</v>
      </c>
      <c r="B854" s="337">
        <v>0.1</v>
      </c>
      <c r="C854" s="114" t="s">
        <v>477</v>
      </c>
      <c r="D854" s="510">
        <v>2300000</v>
      </c>
      <c r="E854" s="598">
        <v>2.5000000000000001E-2</v>
      </c>
      <c r="F854" s="431">
        <f>D854*E854</f>
        <v>57500</v>
      </c>
      <c r="G854" s="613" t="s">
        <v>104</v>
      </c>
      <c r="H854" s="613"/>
      <c r="I854" s="773" t="s">
        <v>104</v>
      </c>
      <c r="J854" s="114" t="s">
        <v>104</v>
      </c>
    </row>
    <row r="855" spans="1:10" ht="15" hidden="1">
      <c r="A855" s="587">
        <v>15130</v>
      </c>
      <c r="B855" s="337">
        <v>0.1</v>
      </c>
      <c r="C855" s="114" t="s">
        <v>479</v>
      </c>
      <c r="D855" s="510">
        <v>2500000</v>
      </c>
      <c r="E855" s="598">
        <v>2.5000000000000001E-2</v>
      </c>
      <c r="F855" s="431">
        <f t="shared" si="29"/>
        <v>62500</v>
      </c>
      <c r="G855" s="613" t="s">
        <v>104</v>
      </c>
      <c r="H855" s="613"/>
      <c r="I855" s="773" t="s">
        <v>104</v>
      </c>
      <c r="J855" s="114" t="s">
        <v>104</v>
      </c>
    </row>
    <row r="856" spans="1:10" ht="15" hidden="1">
      <c r="A856" s="609">
        <v>14892</v>
      </c>
      <c r="B856" s="337">
        <v>0.1</v>
      </c>
      <c r="C856" s="247" t="s">
        <v>488</v>
      </c>
      <c r="D856" s="510">
        <v>1750000</v>
      </c>
      <c r="E856" s="598">
        <v>2.5000000000000001E-2</v>
      </c>
      <c r="F856" s="431">
        <f t="shared" si="29"/>
        <v>43750</v>
      </c>
      <c r="G856" s="613" t="s">
        <v>104</v>
      </c>
      <c r="H856" s="613"/>
      <c r="I856" s="773" t="s">
        <v>104</v>
      </c>
      <c r="J856" s="114" t="s">
        <v>104</v>
      </c>
    </row>
    <row r="857" spans="1:10" ht="15" hidden="1">
      <c r="A857" s="812">
        <v>14866</v>
      </c>
      <c r="B857" s="666">
        <v>0.08</v>
      </c>
      <c r="C857" s="248" t="s">
        <v>489</v>
      </c>
      <c r="D857" s="682">
        <v>2700000</v>
      </c>
      <c r="E857" s="310">
        <v>0.02</v>
      </c>
      <c r="F857" s="431">
        <f t="shared" si="29"/>
        <v>54000</v>
      </c>
      <c r="G857" s="445" t="s">
        <v>104</v>
      </c>
      <c r="H857" s="445"/>
      <c r="I857" s="852" t="s">
        <v>104</v>
      </c>
      <c r="J857" s="424" t="s">
        <v>104</v>
      </c>
    </row>
    <row r="858" spans="1:10" ht="15" hidden="1">
      <c r="A858" s="609">
        <v>14922</v>
      </c>
      <c r="B858" s="337">
        <v>0.1</v>
      </c>
      <c r="C858" s="114" t="s">
        <v>490</v>
      </c>
      <c r="D858" s="510">
        <v>1900000</v>
      </c>
      <c r="E858" s="598">
        <v>2.5000000000000001E-2</v>
      </c>
      <c r="F858" s="431">
        <f t="shared" si="29"/>
        <v>47500</v>
      </c>
      <c r="G858" s="114" t="s">
        <v>104</v>
      </c>
      <c r="H858" s="114"/>
      <c r="I858" s="114" t="s">
        <v>104</v>
      </c>
      <c r="J858" s="114" t="s">
        <v>104</v>
      </c>
    </row>
    <row r="859" spans="1:10" ht="15" hidden="1">
      <c r="A859" s="812">
        <v>15033</v>
      </c>
      <c r="B859" s="531">
        <v>0.1</v>
      </c>
      <c r="C859" s="424" t="s">
        <v>491</v>
      </c>
      <c r="D859" s="682">
        <v>1650000</v>
      </c>
      <c r="E859" s="598">
        <v>2.5000000000000001E-2</v>
      </c>
      <c r="F859" s="431">
        <f t="shared" si="29"/>
        <v>41250</v>
      </c>
      <c r="G859" s="424" t="s">
        <v>104</v>
      </c>
      <c r="H859" s="424"/>
      <c r="I859" s="424" t="s">
        <v>104</v>
      </c>
      <c r="J859" s="424" t="s">
        <v>104</v>
      </c>
    </row>
    <row r="860" spans="1:10" ht="15" hidden="1">
      <c r="A860" s="609">
        <v>15020</v>
      </c>
      <c r="B860" s="337">
        <v>0.1</v>
      </c>
      <c r="C860" s="114" t="s">
        <v>472</v>
      </c>
      <c r="D860" s="510">
        <v>2100000</v>
      </c>
      <c r="E860" s="598">
        <v>2.5000000000000001E-2</v>
      </c>
      <c r="F860" s="431">
        <f t="shared" si="29"/>
        <v>52500</v>
      </c>
      <c r="G860" s="114" t="s">
        <v>104</v>
      </c>
      <c r="H860" s="114"/>
      <c r="I860" s="114" t="s">
        <v>104</v>
      </c>
      <c r="J860" s="114" t="s">
        <v>104</v>
      </c>
    </row>
    <row r="861" spans="1:10" ht="15" hidden="1">
      <c r="A861" s="587">
        <v>15124</v>
      </c>
      <c r="B861" s="666">
        <v>0.08</v>
      </c>
      <c r="C861" s="114" t="s">
        <v>823</v>
      </c>
      <c r="D861" s="510">
        <v>1350000</v>
      </c>
      <c r="E861" s="310">
        <v>0.02</v>
      </c>
      <c r="F861" s="431">
        <f t="shared" si="29"/>
        <v>27000</v>
      </c>
      <c r="G861" s="114" t="s">
        <v>104</v>
      </c>
      <c r="H861" s="114"/>
      <c r="I861" s="114" t="s">
        <v>104</v>
      </c>
      <c r="J861" s="114" t="s">
        <v>104</v>
      </c>
    </row>
    <row r="862" spans="1:10" ht="15" hidden="1">
      <c r="A862" s="587">
        <v>15098</v>
      </c>
      <c r="B862" s="337">
        <v>0.1</v>
      </c>
      <c r="C862" s="114" t="s">
        <v>480</v>
      </c>
      <c r="D862" s="510">
        <v>3100000</v>
      </c>
      <c r="E862" s="598">
        <v>2.5000000000000001E-2</v>
      </c>
      <c r="F862" s="431">
        <f t="shared" si="29"/>
        <v>77500</v>
      </c>
      <c r="G862" s="114" t="s">
        <v>104</v>
      </c>
      <c r="H862" s="114"/>
      <c r="I862" s="114" t="s">
        <v>104</v>
      </c>
      <c r="J862" s="114" t="s">
        <v>104</v>
      </c>
    </row>
    <row r="863" spans="1:10" ht="15" hidden="1">
      <c r="A863" s="587">
        <v>15028</v>
      </c>
      <c r="B863" s="343">
        <v>0.08</v>
      </c>
      <c r="C863" s="114" t="s">
        <v>481</v>
      </c>
      <c r="D863" s="510">
        <v>2000000</v>
      </c>
      <c r="E863" s="310">
        <v>0.02</v>
      </c>
      <c r="F863" s="431">
        <f t="shared" si="29"/>
        <v>40000</v>
      </c>
      <c r="G863" s="114" t="s">
        <v>104</v>
      </c>
      <c r="H863" s="114"/>
      <c r="I863" s="114" t="s">
        <v>104</v>
      </c>
      <c r="J863" s="114" t="s">
        <v>104</v>
      </c>
    </row>
    <row r="864" spans="1:10" ht="15" hidden="1">
      <c r="A864" s="587">
        <v>15117</v>
      </c>
      <c r="B864" s="337">
        <v>0.1</v>
      </c>
      <c r="C864" s="114" t="s">
        <v>482</v>
      </c>
      <c r="D864" s="510">
        <v>2100000</v>
      </c>
      <c r="E864" s="598">
        <v>2.5000000000000001E-2</v>
      </c>
      <c r="F864" s="431">
        <f t="shared" si="29"/>
        <v>52500</v>
      </c>
      <c r="G864" s="114" t="s">
        <v>104</v>
      </c>
      <c r="H864" s="114"/>
      <c r="I864" s="114" t="s">
        <v>104</v>
      </c>
      <c r="J864" s="114" t="s">
        <v>104</v>
      </c>
    </row>
    <row r="865" spans="1:10" ht="15" hidden="1">
      <c r="A865" s="663">
        <v>14969</v>
      </c>
      <c r="B865" s="337">
        <v>0.1</v>
      </c>
      <c r="C865" s="114" t="s">
        <v>493</v>
      </c>
      <c r="D865" s="510">
        <v>1300000</v>
      </c>
      <c r="E865" s="598">
        <v>2.5000000000000001E-2</v>
      </c>
      <c r="F865" s="431">
        <f t="shared" si="29"/>
        <v>32500</v>
      </c>
      <c r="G865" s="114" t="s">
        <v>104</v>
      </c>
      <c r="H865" s="114"/>
      <c r="I865" s="114" t="s">
        <v>104</v>
      </c>
      <c r="J865" s="114" t="s">
        <v>104</v>
      </c>
    </row>
    <row r="866" spans="1:10" ht="15" hidden="1">
      <c r="A866" s="609">
        <v>14888</v>
      </c>
      <c r="B866" s="343">
        <v>0.08</v>
      </c>
      <c r="C866" s="247" t="s">
        <v>494</v>
      </c>
      <c r="D866" s="510">
        <v>1200000</v>
      </c>
      <c r="E866" s="598">
        <v>2.5000000000000001E-2</v>
      </c>
      <c r="F866" s="431">
        <f t="shared" si="29"/>
        <v>30000</v>
      </c>
      <c r="G866" s="613" t="s">
        <v>104</v>
      </c>
      <c r="H866" s="613"/>
      <c r="I866" s="613" t="s">
        <v>104</v>
      </c>
      <c r="J866" s="114" t="s">
        <v>104</v>
      </c>
    </row>
    <row r="867" spans="1:10" ht="15" hidden="1">
      <c r="A867" s="609">
        <v>14993</v>
      </c>
      <c r="B867" s="337">
        <v>0.1</v>
      </c>
      <c r="C867" s="28" t="s">
        <v>496</v>
      </c>
      <c r="D867" s="510">
        <v>1700000</v>
      </c>
      <c r="E867" s="598">
        <v>2.5000000000000001E-2</v>
      </c>
      <c r="F867" s="431">
        <f t="shared" si="29"/>
        <v>42500</v>
      </c>
      <c r="G867" s="114" t="s">
        <v>104</v>
      </c>
      <c r="H867" s="114"/>
      <c r="I867" s="114" t="s">
        <v>104</v>
      </c>
      <c r="J867" s="114" t="s">
        <v>104</v>
      </c>
    </row>
    <row r="868" spans="1:10" ht="15" hidden="1">
      <c r="A868" s="587">
        <v>15068</v>
      </c>
      <c r="B868" s="337">
        <v>0.1</v>
      </c>
      <c r="C868" s="114" t="s">
        <v>497</v>
      </c>
      <c r="D868" s="510">
        <v>1200000</v>
      </c>
      <c r="E868" s="598">
        <v>2.5000000000000001E-2</v>
      </c>
      <c r="F868" s="431">
        <f t="shared" si="29"/>
        <v>30000</v>
      </c>
      <c r="G868" s="114" t="s">
        <v>104</v>
      </c>
      <c r="H868" s="114"/>
      <c r="I868" s="114" t="s">
        <v>104</v>
      </c>
      <c r="J868" s="114" t="s">
        <v>104</v>
      </c>
    </row>
    <row r="869" spans="1:10" ht="15" hidden="1">
      <c r="A869" s="812">
        <v>14908</v>
      </c>
      <c r="B869" s="531">
        <v>0.1</v>
      </c>
      <c r="C869" s="248" t="s">
        <v>503</v>
      </c>
      <c r="D869" s="682">
        <v>3200000</v>
      </c>
      <c r="E869" s="598">
        <v>2.5000000000000001E-2</v>
      </c>
      <c r="F869" s="431">
        <f t="shared" si="29"/>
        <v>80000</v>
      </c>
      <c r="G869" s="445" t="s">
        <v>104</v>
      </c>
      <c r="H869" s="445"/>
      <c r="I869" s="445" t="s">
        <v>104</v>
      </c>
      <c r="J869" s="424" t="s">
        <v>104</v>
      </c>
    </row>
    <row r="870" spans="1:10" ht="15" hidden="1">
      <c r="A870" s="609">
        <v>14921</v>
      </c>
      <c r="B870" s="337">
        <v>0.1</v>
      </c>
      <c r="C870" s="114" t="s">
        <v>505</v>
      </c>
      <c r="D870" s="510">
        <v>1300000</v>
      </c>
      <c r="E870" s="598">
        <v>2.5000000000000001E-2</v>
      </c>
      <c r="F870" s="431">
        <f t="shared" si="29"/>
        <v>32500</v>
      </c>
      <c r="G870" s="114" t="s">
        <v>104</v>
      </c>
      <c r="H870" s="114"/>
      <c r="I870" s="114" t="s">
        <v>104</v>
      </c>
      <c r="J870" s="114" t="s">
        <v>104</v>
      </c>
    </row>
    <row r="871" spans="1:10" ht="15" hidden="1">
      <c r="A871" s="609">
        <v>15135</v>
      </c>
      <c r="B871" s="337">
        <v>0.1</v>
      </c>
      <c r="C871" s="114" t="s">
        <v>500</v>
      </c>
      <c r="D871" s="510">
        <v>2100000</v>
      </c>
      <c r="E871" s="598">
        <v>2.5000000000000001E-2</v>
      </c>
      <c r="F871" s="431">
        <f t="shared" si="29"/>
        <v>52500</v>
      </c>
      <c r="G871" s="114" t="s">
        <v>104</v>
      </c>
      <c r="H871" s="114"/>
      <c r="I871" s="114" t="s">
        <v>104</v>
      </c>
      <c r="J871" s="114" t="s">
        <v>104</v>
      </c>
    </row>
    <row r="872" spans="1:10" ht="15" hidden="1">
      <c r="A872" s="609">
        <v>15046</v>
      </c>
      <c r="B872" s="337">
        <v>0.1</v>
      </c>
      <c r="C872" s="114" t="s">
        <v>483</v>
      </c>
      <c r="D872" s="510">
        <v>2100000</v>
      </c>
      <c r="E872" s="598">
        <v>2.5000000000000001E-2</v>
      </c>
      <c r="F872" s="431">
        <f t="shared" si="29"/>
        <v>52500</v>
      </c>
      <c r="G872" s="114" t="s">
        <v>104</v>
      </c>
      <c r="H872" s="114"/>
      <c r="I872" s="114" t="s">
        <v>104</v>
      </c>
      <c r="J872" s="114" t="s">
        <v>104</v>
      </c>
    </row>
    <row r="873" spans="1:10" ht="15" hidden="1">
      <c r="A873" s="794" t="s">
        <v>484</v>
      </c>
      <c r="B873" s="337">
        <v>0.1</v>
      </c>
      <c r="C873" s="114" t="s">
        <v>485</v>
      </c>
      <c r="D873" s="510">
        <v>2400000</v>
      </c>
      <c r="E873" s="598">
        <v>2.5000000000000001E-2</v>
      </c>
      <c r="F873" s="431">
        <f t="shared" si="29"/>
        <v>60000</v>
      </c>
      <c r="G873" s="114" t="s">
        <v>104</v>
      </c>
      <c r="H873" s="114"/>
      <c r="I873" s="114" t="s">
        <v>104</v>
      </c>
      <c r="J873" s="114" t="s">
        <v>104</v>
      </c>
    </row>
    <row r="874" spans="1:10" ht="15" hidden="1">
      <c r="A874" s="609">
        <v>15016</v>
      </c>
      <c r="B874" s="337">
        <v>0.1</v>
      </c>
      <c r="C874" s="114" t="s">
        <v>498</v>
      </c>
      <c r="D874" s="510">
        <v>1650000</v>
      </c>
      <c r="E874" s="598">
        <v>2.5000000000000001E-2</v>
      </c>
      <c r="F874" s="431">
        <f t="shared" si="29"/>
        <v>41250</v>
      </c>
      <c r="G874" s="613" t="s">
        <v>104</v>
      </c>
      <c r="H874" s="613"/>
      <c r="I874" s="613" t="s">
        <v>104</v>
      </c>
      <c r="J874" s="114" t="s">
        <v>104</v>
      </c>
    </row>
    <row r="875" spans="1:10" ht="15" hidden="1">
      <c r="A875" s="609">
        <v>15096</v>
      </c>
      <c r="B875" s="337">
        <v>0.1</v>
      </c>
      <c r="C875" s="114" t="s">
        <v>499</v>
      </c>
      <c r="D875" s="510">
        <v>1300000</v>
      </c>
      <c r="E875" s="598">
        <v>2.5000000000000001E-2</v>
      </c>
      <c r="F875" s="431">
        <f t="shared" si="29"/>
        <v>32500</v>
      </c>
      <c r="G875" s="613" t="s">
        <v>104</v>
      </c>
      <c r="H875" s="613"/>
      <c r="I875" s="778"/>
      <c r="J875" s="114" t="s">
        <v>104</v>
      </c>
    </row>
    <row r="876" spans="1:10" ht="15" hidden="1">
      <c r="A876" s="609">
        <v>14872</v>
      </c>
      <c r="B876" s="337">
        <v>0.1</v>
      </c>
      <c r="C876" s="247" t="s">
        <v>506</v>
      </c>
      <c r="D876" s="510">
        <v>1900000</v>
      </c>
      <c r="E876" s="598">
        <v>2.5000000000000001E-2</v>
      </c>
      <c r="F876" s="431">
        <f t="shared" si="29"/>
        <v>47500</v>
      </c>
      <c r="G876" s="613" t="s">
        <v>104</v>
      </c>
      <c r="H876" s="613"/>
      <c r="I876" s="613" t="s">
        <v>104</v>
      </c>
      <c r="J876" s="114" t="s">
        <v>104</v>
      </c>
    </row>
    <row r="877" spans="1:10" ht="15" hidden="1">
      <c r="A877" s="609">
        <v>14918</v>
      </c>
      <c r="B877" s="337">
        <v>0.1</v>
      </c>
      <c r="C877" s="52" t="s">
        <v>507</v>
      </c>
      <c r="D877" s="510">
        <v>1900000</v>
      </c>
      <c r="E877" s="598">
        <v>2.5000000000000001E-2</v>
      </c>
      <c r="F877" s="431">
        <f t="shared" si="29"/>
        <v>47500</v>
      </c>
      <c r="G877" s="114" t="s">
        <v>104</v>
      </c>
      <c r="H877" s="114"/>
      <c r="I877" s="114" t="s">
        <v>104</v>
      </c>
      <c r="J877" s="114" t="s">
        <v>104</v>
      </c>
    </row>
    <row r="878" spans="1:10" ht="15" hidden="1">
      <c r="A878" s="609">
        <v>14865</v>
      </c>
      <c r="B878" s="337">
        <v>0.1</v>
      </c>
      <c r="C878" s="114" t="s">
        <v>46</v>
      </c>
      <c r="D878" s="510">
        <v>1200000</v>
      </c>
      <c r="E878" s="598">
        <v>2.5000000000000001E-2</v>
      </c>
      <c r="F878" s="431">
        <f t="shared" si="29"/>
        <v>30000</v>
      </c>
      <c r="G878" s="114" t="s">
        <v>104</v>
      </c>
      <c r="H878" s="114"/>
      <c r="I878" s="114" t="s">
        <v>104</v>
      </c>
      <c r="J878" s="114" t="s">
        <v>104</v>
      </c>
    </row>
    <row r="879" spans="1:10" ht="15" hidden="1">
      <c r="A879" s="587">
        <v>15120</v>
      </c>
      <c r="B879" s="337">
        <v>0.1</v>
      </c>
      <c r="C879" s="114" t="s">
        <v>508</v>
      </c>
      <c r="D879" s="510">
        <v>2300000</v>
      </c>
      <c r="E879" s="598">
        <v>2.5000000000000001E-2</v>
      </c>
      <c r="F879" s="431">
        <f t="shared" si="29"/>
        <v>57500</v>
      </c>
      <c r="G879" s="114" t="s">
        <v>104</v>
      </c>
      <c r="H879" s="114"/>
      <c r="I879" s="494"/>
      <c r="J879" s="114" t="s">
        <v>104</v>
      </c>
    </row>
    <row r="880" spans="1:10" ht="15" hidden="1">
      <c r="A880" s="609">
        <v>14972</v>
      </c>
      <c r="B880" s="531">
        <v>0.1</v>
      </c>
      <c r="C880" s="709" t="s">
        <v>509</v>
      </c>
      <c r="D880" s="682">
        <v>2300000</v>
      </c>
      <c r="E880" s="876">
        <v>2.5000000000000001E-2</v>
      </c>
      <c r="F880" s="432">
        <f t="shared" si="29"/>
        <v>57500</v>
      </c>
      <c r="G880" s="445" t="s">
        <v>104</v>
      </c>
      <c r="H880" s="445"/>
      <c r="I880" s="445" t="s">
        <v>104</v>
      </c>
      <c r="J880" s="424" t="s">
        <v>104</v>
      </c>
    </row>
    <row r="881" spans="1:11" ht="18" hidden="1">
      <c r="A881" s="1044" t="s">
        <v>32</v>
      </c>
      <c r="B881" s="1044"/>
      <c r="C881" s="1044"/>
      <c r="D881" s="877">
        <f>SUM(D849:D880)</f>
        <v>64000000</v>
      </c>
      <c r="E881" s="52"/>
      <c r="F881" s="885">
        <v>1136116</v>
      </c>
      <c r="G881" s="114"/>
      <c r="H881" s="393"/>
      <c r="I881" s="114"/>
      <c r="J881" s="114"/>
    </row>
    <row r="882" spans="1:11" hidden="1"/>
    <row r="883" spans="1:11" ht="45">
      <c r="A883" s="1070" t="s">
        <v>824</v>
      </c>
      <c r="B883" s="1070"/>
      <c r="C883" s="1070"/>
      <c r="D883" s="1070"/>
      <c r="E883" s="1070"/>
      <c r="F883" s="1070"/>
      <c r="G883" s="1070"/>
      <c r="H883" s="1070"/>
    </row>
    <row r="884" spans="1:11" ht="23.25" hidden="1">
      <c r="A884" s="1067" t="s">
        <v>825</v>
      </c>
      <c r="B884" s="1067"/>
      <c r="C884" s="1067"/>
      <c r="D884" s="1067"/>
      <c r="E884" s="1067"/>
      <c r="F884" s="1067"/>
      <c r="G884" s="1067"/>
      <c r="H884" s="1067"/>
      <c r="I884" s="1067"/>
    </row>
    <row r="885" spans="1:11" ht="23.25" hidden="1">
      <c r="A885" s="690" t="s">
        <v>3</v>
      </c>
      <c r="B885" s="690" t="s">
        <v>606</v>
      </c>
      <c r="C885" s="690" t="s">
        <v>5</v>
      </c>
      <c r="D885" s="691" t="s">
        <v>6</v>
      </c>
      <c r="E885" s="691" t="s">
        <v>7</v>
      </c>
      <c r="F885" s="691" t="s">
        <v>645</v>
      </c>
      <c r="G885" s="691" t="s">
        <v>646</v>
      </c>
      <c r="H885" s="691" t="s">
        <v>647</v>
      </c>
      <c r="I885" s="772" t="s">
        <v>762</v>
      </c>
      <c r="J885" s="772" t="s">
        <v>648</v>
      </c>
    </row>
    <row r="886" spans="1:11" ht="14.25" hidden="1">
      <c r="A886" s="811">
        <v>15252</v>
      </c>
      <c r="B886" s="343">
        <v>0.08</v>
      </c>
      <c r="C886" s="114" t="s">
        <v>516</v>
      </c>
      <c r="D886" s="510">
        <v>2250000</v>
      </c>
      <c r="E886" s="343">
        <v>0.04</v>
      </c>
      <c r="F886" s="431">
        <f>D886*E886</f>
        <v>90000</v>
      </c>
      <c r="G886" s="114" t="s">
        <v>104</v>
      </c>
      <c r="H886" s="114"/>
      <c r="I886" s="114" t="s">
        <v>104</v>
      </c>
      <c r="J886" s="83"/>
    </row>
    <row r="887" spans="1:11" ht="14.25" hidden="1">
      <c r="A887" s="811">
        <v>15268</v>
      </c>
      <c r="B887" s="343">
        <v>0.08</v>
      </c>
      <c r="C887" s="114" t="s">
        <v>517</v>
      </c>
      <c r="D887" s="510">
        <v>2350000</v>
      </c>
      <c r="E887" s="343">
        <v>0.04</v>
      </c>
      <c r="F887" s="431">
        <f t="shared" ref="F887:F901" si="30">D887*E887</f>
        <v>94000</v>
      </c>
      <c r="G887" s="114" t="s">
        <v>104</v>
      </c>
      <c r="H887" s="114"/>
      <c r="I887" s="114" t="s">
        <v>104</v>
      </c>
      <c r="J887" s="83"/>
    </row>
    <row r="888" spans="1:11" ht="14.25" hidden="1">
      <c r="A888" s="811">
        <v>15308</v>
      </c>
      <c r="B888" s="337">
        <v>0.1</v>
      </c>
      <c r="C888" s="114" t="s">
        <v>519</v>
      </c>
      <c r="D888" s="510">
        <v>2200000</v>
      </c>
      <c r="E888" s="337">
        <v>0.05</v>
      </c>
      <c r="F888" s="431">
        <f t="shared" si="30"/>
        <v>110000</v>
      </c>
      <c r="G888" s="114" t="s">
        <v>104</v>
      </c>
      <c r="H888" s="114"/>
      <c r="I888" s="114" t="s">
        <v>104</v>
      </c>
      <c r="J888" s="114" t="s">
        <v>104</v>
      </c>
    </row>
    <row r="889" spans="1:11" ht="14.25" hidden="1">
      <c r="A889" s="811">
        <v>15331</v>
      </c>
      <c r="B889" s="343">
        <v>0.09</v>
      </c>
      <c r="C889" s="114" t="s">
        <v>521</v>
      </c>
      <c r="D889" s="510">
        <v>6000000</v>
      </c>
      <c r="E889" s="343">
        <v>0.04</v>
      </c>
      <c r="F889" s="431">
        <f t="shared" si="30"/>
        <v>240000</v>
      </c>
      <c r="G889" s="430"/>
      <c r="H889" s="430"/>
      <c r="I889" s="430"/>
      <c r="J889" s="430"/>
      <c r="K889" s="31" t="s">
        <v>826</v>
      </c>
    </row>
    <row r="890" spans="1:11" ht="14.25" hidden="1">
      <c r="A890" s="893" t="s">
        <v>348</v>
      </c>
      <c r="B890" s="337">
        <v>0.1</v>
      </c>
      <c r="C890" s="437" t="s">
        <v>522</v>
      </c>
      <c r="D890" s="510"/>
      <c r="E890" s="337">
        <v>0.05</v>
      </c>
      <c r="F890" s="431">
        <f t="shared" si="30"/>
        <v>0</v>
      </c>
      <c r="G890" s="437"/>
      <c r="H890" s="437"/>
      <c r="I890" s="437"/>
      <c r="J890" s="437"/>
    </row>
    <row r="891" spans="1:11" ht="14.25" hidden="1">
      <c r="A891" s="811" t="s">
        <v>526</v>
      </c>
      <c r="B891" s="337">
        <v>0.1</v>
      </c>
      <c r="C891" s="114" t="s">
        <v>527</v>
      </c>
      <c r="D891" s="510">
        <v>1450000</v>
      </c>
      <c r="E891" s="337">
        <v>0.05</v>
      </c>
      <c r="F891" s="431">
        <f t="shared" si="30"/>
        <v>72500</v>
      </c>
      <c r="G891" s="613" t="s">
        <v>104</v>
      </c>
      <c r="H891" s="613"/>
      <c r="I891" s="613" t="s">
        <v>104</v>
      </c>
      <c r="J891" s="114" t="s">
        <v>104</v>
      </c>
    </row>
    <row r="892" spans="1:11" ht="14.25" hidden="1">
      <c r="A892" s="811">
        <v>15154</v>
      </c>
      <c r="B892" s="25">
        <v>0.1</v>
      </c>
      <c r="C892" s="114" t="s">
        <v>529</v>
      </c>
      <c r="D892" s="510">
        <v>1750000</v>
      </c>
      <c r="E892" s="337">
        <v>0.05</v>
      </c>
      <c r="F892" s="431">
        <f t="shared" si="30"/>
        <v>87500</v>
      </c>
      <c r="G892" s="613" t="s">
        <v>104</v>
      </c>
      <c r="H892" s="613"/>
      <c r="I892" s="613" t="s">
        <v>104</v>
      </c>
      <c r="J892" s="114" t="s">
        <v>104</v>
      </c>
    </row>
    <row r="893" spans="1:11" ht="14.25" hidden="1">
      <c r="A893" s="811" t="s">
        <v>531</v>
      </c>
      <c r="B893" s="343">
        <v>0.08</v>
      </c>
      <c r="C893" s="114" t="s">
        <v>532</v>
      </c>
      <c r="D893" s="510">
        <v>2100000</v>
      </c>
      <c r="E893" s="343">
        <v>0.04</v>
      </c>
      <c r="F893" s="431">
        <f t="shared" si="30"/>
        <v>84000</v>
      </c>
      <c r="G893" s="613" t="s">
        <v>104</v>
      </c>
      <c r="H893" s="613"/>
      <c r="I893" s="613" t="s">
        <v>104</v>
      </c>
      <c r="J893" s="114" t="s">
        <v>104</v>
      </c>
    </row>
    <row r="894" spans="1:11" ht="14.25" hidden="1">
      <c r="A894" s="811">
        <v>15208</v>
      </c>
      <c r="B894" s="25">
        <v>0.1</v>
      </c>
      <c r="C894" s="114" t="s">
        <v>543</v>
      </c>
      <c r="D894" s="510">
        <v>2500000</v>
      </c>
      <c r="E894" s="337">
        <v>0.05</v>
      </c>
      <c r="F894" s="431">
        <f t="shared" si="30"/>
        <v>125000</v>
      </c>
      <c r="G894" s="613" t="s">
        <v>104</v>
      </c>
      <c r="H894" s="613"/>
      <c r="I894" s="613" t="s">
        <v>104</v>
      </c>
      <c r="J894" s="114" t="s">
        <v>104</v>
      </c>
    </row>
    <row r="895" spans="1:11" ht="14.25" hidden="1">
      <c r="A895" s="811">
        <v>15229</v>
      </c>
      <c r="B895" s="25">
        <v>0.1</v>
      </c>
      <c r="C895" s="114" t="s">
        <v>544</v>
      </c>
      <c r="D895" s="510">
        <v>1700000</v>
      </c>
      <c r="E895" s="337">
        <v>0.05</v>
      </c>
      <c r="F895" s="431">
        <f t="shared" si="30"/>
        <v>85000</v>
      </c>
      <c r="G895" s="613" t="s">
        <v>104</v>
      </c>
      <c r="H895" s="613"/>
      <c r="I895" s="613" t="s">
        <v>104</v>
      </c>
      <c r="J895" s="114" t="s">
        <v>104</v>
      </c>
    </row>
    <row r="896" spans="1:11" ht="14.25" hidden="1">
      <c r="A896" s="811">
        <v>15190</v>
      </c>
      <c r="B896" s="25">
        <v>0.1</v>
      </c>
      <c r="C896" s="114" t="s">
        <v>545</v>
      </c>
      <c r="D896" s="510">
        <v>2000000</v>
      </c>
      <c r="E896" s="337">
        <v>0.05</v>
      </c>
      <c r="F896" s="431">
        <f t="shared" si="30"/>
        <v>100000</v>
      </c>
      <c r="G896" s="613" t="s">
        <v>104</v>
      </c>
      <c r="H896" s="613"/>
      <c r="I896" s="613" t="s">
        <v>104</v>
      </c>
      <c r="J896" s="114" t="s">
        <v>104</v>
      </c>
    </row>
    <row r="897" spans="1:11" ht="14.25" hidden="1">
      <c r="A897" s="811">
        <v>15253</v>
      </c>
      <c r="B897" s="25">
        <v>0.1</v>
      </c>
      <c r="C897" s="114" t="s">
        <v>546</v>
      </c>
      <c r="D897" s="510">
        <v>2300000</v>
      </c>
      <c r="E897" s="337">
        <v>0.05</v>
      </c>
      <c r="F897" s="431">
        <f t="shared" si="30"/>
        <v>115000</v>
      </c>
      <c r="G897" s="613" t="s">
        <v>104</v>
      </c>
      <c r="H897" s="613"/>
      <c r="I897" s="613" t="s">
        <v>104</v>
      </c>
      <c r="J897" s="114" t="s">
        <v>104</v>
      </c>
    </row>
    <row r="898" spans="1:11" ht="14.25" hidden="1">
      <c r="A898" s="811">
        <v>15354</v>
      </c>
      <c r="B898" s="25">
        <v>0.1</v>
      </c>
      <c r="C898" s="114" t="s">
        <v>528</v>
      </c>
      <c r="D898" s="510">
        <v>1800000</v>
      </c>
      <c r="E898" s="337">
        <v>0.05</v>
      </c>
      <c r="F898" s="431">
        <f t="shared" si="30"/>
        <v>90000</v>
      </c>
      <c r="G898" s="613" t="s">
        <v>104</v>
      </c>
      <c r="H898" s="613"/>
      <c r="I898" s="900"/>
      <c r="J898" s="613" t="s">
        <v>104</v>
      </c>
      <c r="K898" s="31" t="s">
        <v>827</v>
      </c>
    </row>
    <row r="899" spans="1:11" ht="14.25" hidden="1">
      <c r="A899" s="811">
        <v>15213</v>
      </c>
      <c r="B899" s="25">
        <v>0.1</v>
      </c>
      <c r="C899" s="247" t="s">
        <v>549</v>
      </c>
      <c r="D899" s="510">
        <v>1200000</v>
      </c>
      <c r="E899" s="337">
        <v>0.05</v>
      </c>
      <c r="F899" s="431">
        <f t="shared" si="30"/>
        <v>60000</v>
      </c>
      <c r="G899" s="613" t="s">
        <v>104</v>
      </c>
      <c r="H899" s="613"/>
      <c r="I899" s="613" t="s">
        <v>104</v>
      </c>
      <c r="J899" s="114" t="s">
        <v>104</v>
      </c>
    </row>
    <row r="900" spans="1:11" ht="14.25" hidden="1">
      <c r="A900" s="811">
        <v>15297</v>
      </c>
      <c r="B900" s="25">
        <v>0.1</v>
      </c>
      <c r="C900" s="247" t="s">
        <v>551</v>
      </c>
      <c r="D900" s="510">
        <v>1300000</v>
      </c>
      <c r="E900" s="337">
        <v>0.05</v>
      </c>
      <c r="F900" s="431">
        <f t="shared" si="30"/>
        <v>65000</v>
      </c>
      <c r="G900" s="900"/>
      <c r="H900" s="900"/>
      <c r="I900" s="900"/>
      <c r="J900" s="430"/>
      <c r="K900" s="31" t="s">
        <v>828</v>
      </c>
    </row>
    <row r="901" spans="1:11" ht="14.25" hidden="1">
      <c r="A901" s="811">
        <v>15336</v>
      </c>
      <c r="B901" s="25">
        <v>0.1</v>
      </c>
      <c r="C901" s="247" t="s">
        <v>552</v>
      </c>
      <c r="D901" s="510">
        <v>1250000</v>
      </c>
      <c r="E901" s="337">
        <v>0.05</v>
      </c>
      <c r="F901" s="431">
        <f t="shared" si="30"/>
        <v>62500</v>
      </c>
      <c r="G901" s="613" t="s">
        <v>104</v>
      </c>
      <c r="H901" s="613"/>
      <c r="I901" s="114" t="s">
        <v>104</v>
      </c>
      <c r="J901" s="114" t="s">
        <v>104</v>
      </c>
    </row>
    <row r="902" spans="1:11" ht="14.25" hidden="1">
      <c r="A902" s="892" t="s">
        <v>263</v>
      </c>
      <c r="B902" s="909">
        <v>0.1</v>
      </c>
      <c r="C902" s="235" t="s">
        <v>829</v>
      </c>
      <c r="D902" s="510"/>
      <c r="E902" s="343"/>
      <c r="F902" s="431"/>
      <c r="G902" s="613"/>
      <c r="H902" s="613"/>
      <c r="I902" s="613"/>
      <c r="J902" s="114"/>
    </row>
    <row r="903" spans="1:11" ht="14.25" hidden="1">
      <c r="A903" s="910" t="s">
        <v>830</v>
      </c>
      <c r="B903" s="911">
        <v>0.1</v>
      </c>
      <c r="C903" s="912" t="s">
        <v>831</v>
      </c>
      <c r="D903" s="510"/>
      <c r="E903" s="114"/>
      <c r="F903" s="431"/>
      <c r="G903" s="912"/>
      <c r="H903" s="912"/>
      <c r="I903" s="912"/>
      <c r="J903" s="912"/>
      <c r="K903" s="31" t="s">
        <v>832</v>
      </c>
    </row>
    <row r="904" spans="1:11" ht="14.25" hidden="1">
      <c r="A904" s="893" t="s">
        <v>348</v>
      </c>
      <c r="B904" s="883"/>
      <c r="C904" s="437" t="s">
        <v>833</v>
      </c>
      <c r="D904" s="510"/>
      <c r="E904" s="343"/>
      <c r="F904" s="431" t="s">
        <v>153</v>
      </c>
      <c r="G904" s="613"/>
      <c r="H904" s="613"/>
      <c r="I904" s="613"/>
      <c r="J904" s="114"/>
    </row>
    <row r="905" spans="1:11" ht="14.25" hidden="1">
      <c r="A905" s="898"/>
      <c r="B905" s="25"/>
      <c r="C905" s="247" t="s">
        <v>834</v>
      </c>
      <c r="D905" s="510"/>
      <c r="E905" s="343"/>
      <c r="F905" s="431" t="s">
        <v>550</v>
      </c>
      <c r="G905" s="613"/>
      <c r="H905" s="613"/>
      <c r="I905" s="613"/>
      <c r="J905" s="114"/>
    </row>
    <row r="906" spans="1:11" ht="14.25" hidden="1">
      <c r="A906" s="892" t="s">
        <v>835</v>
      </c>
      <c r="B906" s="413"/>
      <c r="C906" s="83" t="s">
        <v>836</v>
      </c>
      <c r="D906" s="510"/>
      <c r="E906" s="343"/>
      <c r="F906" s="431" t="s">
        <v>153</v>
      </c>
      <c r="G906" s="613"/>
      <c r="H906" s="613"/>
      <c r="I906" s="613"/>
      <c r="J906" s="114"/>
    </row>
    <row r="907" spans="1:11" ht="14.25" hidden="1">
      <c r="A907" s="892" t="s">
        <v>835</v>
      </c>
      <c r="B907" s="229"/>
      <c r="C907" s="235" t="s">
        <v>837</v>
      </c>
      <c r="D907" s="510"/>
      <c r="E907" s="343"/>
      <c r="F907" s="431" t="s">
        <v>550</v>
      </c>
      <c r="G907" s="613"/>
      <c r="H907" s="613"/>
      <c r="I907" s="613"/>
      <c r="J907" s="114"/>
    </row>
    <row r="908" spans="1:11" ht="14.25" hidden="1">
      <c r="A908" s="892" t="s">
        <v>835</v>
      </c>
      <c r="B908" s="413"/>
      <c r="C908" s="83" t="s">
        <v>838</v>
      </c>
      <c r="D908" s="510"/>
      <c r="E908" s="343"/>
      <c r="F908" s="431" t="s">
        <v>153</v>
      </c>
      <c r="G908" s="613"/>
      <c r="H908" s="613"/>
      <c r="I908" s="613"/>
      <c r="J908" s="114"/>
    </row>
    <row r="909" spans="1:11" ht="14.25" hidden="1">
      <c r="A909" s="892" t="s">
        <v>835</v>
      </c>
      <c r="B909" s="83"/>
      <c r="C909" s="83" t="s">
        <v>839</v>
      </c>
      <c r="D909" s="52"/>
      <c r="E909" s="52"/>
      <c r="F909" s="431" t="s">
        <v>372</v>
      </c>
      <c r="G909" s="114"/>
      <c r="H909" s="114"/>
      <c r="I909" s="114"/>
      <c r="J909" s="114"/>
    </row>
    <row r="910" spans="1:11" ht="14.25" hidden="1">
      <c r="A910" s="892" t="s">
        <v>835</v>
      </c>
      <c r="B910" s="229"/>
      <c r="C910" s="235" t="s">
        <v>840</v>
      </c>
      <c r="D910" s="510"/>
      <c r="E910" s="343"/>
      <c r="F910" s="431" t="s">
        <v>550</v>
      </c>
      <c r="G910" s="613"/>
      <c r="H910" s="613"/>
      <c r="I910" s="613"/>
      <c r="J910" s="114"/>
    </row>
    <row r="911" spans="1:11" ht="14.25" hidden="1">
      <c r="A911" s="892" t="s">
        <v>835</v>
      </c>
      <c r="B911" s="413"/>
      <c r="C911" s="83" t="s">
        <v>841</v>
      </c>
      <c r="D911" s="510"/>
      <c r="E911" s="343"/>
      <c r="F911" s="431" t="s">
        <v>153</v>
      </c>
      <c r="G911" s="613"/>
      <c r="H911" s="613"/>
      <c r="I911" s="613"/>
      <c r="J911" s="114"/>
    </row>
    <row r="912" spans="1:11" ht="15" hidden="1">
      <c r="A912" s="892" t="s">
        <v>835</v>
      </c>
      <c r="B912" s="229"/>
      <c r="C912" s="83" t="s">
        <v>487</v>
      </c>
      <c r="D912" s="510"/>
      <c r="E912" s="345"/>
      <c r="F912" s="431"/>
      <c r="G912" s="613"/>
      <c r="H912" s="613"/>
      <c r="I912" s="613"/>
      <c r="J912" s="114"/>
    </row>
    <row r="913" spans="1:11" ht="14.25" hidden="1">
      <c r="A913" s="892" t="s">
        <v>835</v>
      </c>
      <c r="B913" s="413"/>
      <c r="C913" s="83" t="s">
        <v>842</v>
      </c>
      <c r="D913" s="510"/>
      <c r="E913" s="343"/>
      <c r="F913" s="431" t="s">
        <v>372</v>
      </c>
      <c r="G913" s="114"/>
      <c r="H913" s="114"/>
      <c r="I913" s="114"/>
      <c r="J913" s="114"/>
    </row>
    <row r="914" spans="1:11" ht="24.75" hidden="1" customHeight="1">
      <c r="A914" s="663"/>
      <c r="B914" s="337"/>
      <c r="C914" s="114"/>
      <c r="D914" s="556">
        <f>SUM(D886:D913)</f>
        <v>32150000</v>
      </c>
      <c r="E914" s="345"/>
      <c r="F914" s="926">
        <f>SUM(F886:F913)</f>
        <v>1480500</v>
      </c>
      <c r="G914" s="613"/>
      <c r="H914" s="613"/>
      <c r="I914" s="613"/>
      <c r="J914" s="114"/>
    </row>
    <row r="915" spans="1:11" ht="23.25" hidden="1">
      <c r="A915" s="1066" t="s">
        <v>843</v>
      </c>
      <c r="B915" s="1066"/>
      <c r="C915" s="1066"/>
      <c r="D915" s="1066"/>
      <c r="E915" s="1066"/>
      <c r="F915" s="1066"/>
      <c r="G915" s="1066"/>
      <c r="H915" s="1066"/>
      <c r="I915" s="1066"/>
    </row>
    <row r="916" spans="1:11" ht="23.25" hidden="1">
      <c r="A916" s="690" t="s">
        <v>3</v>
      </c>
      <c r="B916" s="690" t="s">
        <v>606</v>
      </c>
      <c r="C916" s="690" t="s">
        <v>5</v>
      </c>
      <c r="D916" s="691" t="s">
        <v>6</v>
      </c>
      <c r="E916" s="691" t="s">
        <v>7</v>
      </c>
      <c r="F916" s="691" t="s">
        <v>645</v>
      </c>
      <c r="G916" s="691" t="s">
        <v>646</v>
      </c>
      <c r="H916" s="691" t="s">
        <v>647</v>
      </c>
      <c r="I916" s="772" t="s">
        <v>762</v>
      </c>
      <c r="J916" s="772" t="s">
        <v>648</v>
      </c>
    </row>
    <row r="917" spans="1:11" ht="14.25" hidden="1">
      <c r="A917" s="609">
        <v>15166</v>
      </c>
      <c r="B917" s="25">
        <v>0.1</v>
      </c>
      <c r="C917" s="114" t="s">
        <v>523</v>
      </c>
      <c r="D917" s="510">
        <v>5300000</v>
      </c>
      <c r="E917" s="337">
        <v>0.05</v>
      </c>
      <c r="F917" s="431">
        <f>D917*E917</f>
        <v>265000</v>
      </c>
      <c r="G917" s="613" t="s">
        <v>104</v>
      </c>
      <c r="H917" s="613"/>
      <c r="I917" s="613" t="s">
        <v>104</v>
      </c>
      <c r="J917" s="114" t="s">
        <v>104</v>
      </c>
    </row>
    <row r="918" spans="1:11" ht="14.25" hidden="1">
      <c r="A918" s="609">
        <v>15181</v>
      </c>
      <c r="B918" s="25">
        <v>0.1</v>
      </c>
      <c r="C918" s="114" t="s">
        <v>487</v>
      </c>
      <c r="D918" s="510">
        <v>2000000</v>
      </c>
      <c r="E918" s="337">
        <v>0.05</v>
      </c>
      <c r="F918" s="431">
        <f t="shared" ref="F918:F927" si="31">D918*E918</f>
        <v>100000</v>
      </c>
      <c r="G918" s="613" t="s">
        <v>104</v>
      </c>
      <c r="H918" s="613"/>
      <c r="I918" s="613" t="s">
        <v>104</v>
      </c>
      <c r="J918" s="114" t="s">
        <v>104</v>
      </c>
    </row>
    <row r="919" spans="1:11" ht="14.25" hidden="1">
      <c r="A919" s="609">
        <v>15280</v>
      </c>
      <c r="B919" s="25">
        <v>0.1</v>
      </c>
      <c r="C919" s="114" t="s">
        <v>536</v>
      </c>
      <c r="D919" s="510">
        <v>1800000</v>
      </c>
      <c r="E919" s="337">
        <v>0.05</v>
      </c>
      <c r="F919" s="431">
        <f t="shared" si="31"/>
        <v>90000</v>
      </c>
      <c r="G919" s="613" t="s">
        <v>104</v>
      </c>
      <c r="H919" s="613"/>
      <c r="I919" s="613" t="s">
        <v>104</v>
      </c>
      <c r="J919" s="114" t="s">
        <v>104</v>
      </c>
    </row>
    <row r="920" spans="1:11" ht="14.25" hidden="1">
      <c r="A920" s="609">
        <v>15289</v>
      </c>
      <c r="B920" s="25">
        <v>0.1</v>
      </c>
      <c r="C920" s="114" t="s">
        <v>538</v>
      </c>
      <c r="D920" s="510">
        <v>1600000</v>
      </c>
      <c r="E920" s="337">
        <v>0.05</v>
      </c>
      <c r="F920" s="431">
        <f t="shared" si="31"/>
        <v>80000</v>
      </c>
      <c r="G920" s="613" t="s">
        <v>104</v>
      </c>
      <c r="H920" s="613"/>
      <c r="I920" s="613" t="s">
        <v>104</v>
      </c>
      <c r="J920" s="114" t="s">
        <v>104</v>
      </c>
    </row>
    <row r="921" spans="1:11" ht="14.25" hidden="1">
      <c r="A921" s="587">
        <v>15397</v>
      </c>
      <c r="B921" s="25">
        <v>0.1</v>
      </c>
      <c r="C921" s="114" t="s">
        <v>844</v>
      </c>
      <c r="D921" s="510">
        <v>1350000</v>
      </c>
      <c r="E921" s="337">
        <v>0.05</v>
      </c>
      <c r="F921" s="431">
        <f t="shared" si="31"/>
        <v>67500</v>
      </c>
      <c r="G921" s="900"/>
      <c r="H921" s="900"/>
      <c r="I921" s="900"/>
      <c r="J921" s="430"/>
      <c r="K921" s="31" t="s">
        <v>845</v>
      </c>
    </row>
    <row r="922" spans="1:11" ht="14.25" hidden="1">
      <c r="A922" s="587">
        <v>15334</v>
      </c>
      <c r="B922" s="25">
        <v>0.1</v>
      </c>
      <c r="C922" s="114" t="s">
        <v>846</v>
      </c>
      <c r="D922" s="510">
        <v>1750000</v>
      </c>
      <c r="E922" s="337">
        <v>0.05</v>
      </c>
      <c r="F922" s="431">
        <f t="shared" si="31"/>
        <v>87500</v>
      </c>
      <c r="G922" s="900"/>
      <c r="H922" s="900"/>
      <c r="I922" s="900"/>
      <c r="J922" s="430"/>
      <c r="K922" s="31" t="s">
        <v>847</v>
      </c>
    </row>
    <row r="923" spans="1:11" ht="14.25" hidden="1">
      <c r="A923" s="609">
        <v>15305</v>
      </c>
      <c r="B923" s="25">
        <v>0.1</v>
      </c>
      <c r="C923" s="114" t="s">
        <v>547</v>
      </c>
      <c r="D923" s="510">
        <v>2500000</v>
      </c>
      <c r="E923" s="337">
        <v>0.05</v>
      </c>
      <c r="F923" s="431">
        <f t="shared" si="31"/>
        <v>125000</v>
      </c>
      <c r="G923" s="613" t="s">
        <v>104</v>
      </c>
      <c r="H923" s="613"/>
      <c r="I923" s="613" t="s">
        <v>104</v>
      </c>
      <c r="J923" s="114" t="s">
        <v>104</v>
      </c>
    </row>
    <row r="924" spans="1:11" ht="14.25" hidden="1">
      <c r="A924" s="587">
        <v>15388</v>
      </c>
      <c r="B924" s="343">
        <v>0.08</v>
      </c>
      <c r="C924" s="114" t="s">
        <v>535</v>
      </c>
      <c r="D924" s="510">
        <v>2000000</v>
      </c>
      <c r="E924" s="343">
        <v>0.04</v>
      </c>
      <c r="F924" s="431">
        <f t="shared" si="31"/>
        <v>80000</v>
      </c>
      <c r="G924" s="900"/>
      <c r="H924" s="900"/>
      <c r="I924" s="900"/>
      <c r="J924" s="430"/>
      <c r="K924" s="31" t="s">
        <v>848</v>
      </c>
    </row>
    <row r="925" spans="1:11" ht="14.25" hidden="1">
      <c r="A925" s="609">
        <v>15139</v>
      </c>
      <c r="B925" s="25">
        <v>0.1</v>
      </c>
      <c r="C925" s="114" t="s">
        <v>512</v>
      </c>
      <c r="D925" s="510">
        <v>1400000</v>
      </c>
      <c r="E925" s="337">
        <v>0.05</v>
      </c>
      <c r="F925" s="431">
        <f t="shared" si="31"/>
        <v>70000</v>
      </c>
      <c r="G925" s="613" t="s">
        <v>104</v>
      </c>
      <c r="H925" s="613"/>
      <c r="I925" s="613" t="s">
        <v>104</v>
      </c>
      <c r="J925" s="114" t="s">
        <v>104</v>
      </c>
    </row>
    <row r="926" spans="1:11" ht="14.25" hidden="1">
      <c r="A926" s="609">
        <v>15310</v>
      </c>
      <c r="B926" s="25">
        <v>0.1</v>
      </c>
      <c r="C926" s="114" t="s">
        <v>513</v>
      </c>
      <c r="D926" s="510">
        <v>950000</v>
      </c>
      <c r="E926" s="337">
        <v>0.05</v>
      </c>
      <c r="F926" s="431">
        <f t="shared" si="31"/>
        <v>47500</v>
      </c>
      <c r="G926" s="613" t="s">
        <v>104</v>
      </c>
      <c r="H926" s="613"/>
      <c r="I926" s="613" t="s">
        <v>104</v>
      </c>
      <c r="J926" s="114" t="s">
        <v>104</v>
      </c>
    </row>
    <row r="927" spans="1:11" ht="14.25" hidden="1">
      <c r="A927" s="609">
        <v>15202</v>
      </c>
      <c r="B927" s="25">
        <v>0.1</v>
      </c>
      <c r="C927" s="114" t="s">
        <v>554</v>
      </c>
      <c r="D927" s="510">
        <v>1200000</v>
      </c>
      <c r="E927" s="337">
        <v>0.05</v>
      </c>
      <c r="F927" s="431">
        <f t="shared" si="31"/>
        <v>60000</v>
      </c>
      <c r="G927" s="613" t="s">
        <v>104</v>
      </c>
      <c r="H927" s="613"/>
      <c r="I927" s="613" t="s">
        <v>104</v>
      </c>
      <c r="J927" s="114" t="s">
        <v>104</v>
      </c>
    </row>
    <row r="928" spans="1:11" ht="14.25" hidden="1">
      <c r="A928" s="910" t="s">
        <v>830</v>
      </c>
      <c r="B928" s="913">
        <v>0.1</v>
      </c>
      <c r="C928" s="912" t="s">
        <v>849</v>
      </c>
      <c r="D928" s="510"/>
      <c r="E928" s="343"/>
      <c r="F928" s="431"/>
      <c r="G928" s="613"/>
      <c r="H928" s="613"/>
      <c r="I928" s="613"/>
      <c r="J928" s="114"/>
      <c r="K928" s="31" t="s">
        <v>828</v>
      </c>
    </row>
    <row r="929" spans="1:11" ht="15" hidden="1">
      <c r="A929" s="658" t="s">
        <v>265</v>
      </c>
      <c r="B929" s="909"/>
      <c r="C929" s="83" t="s">
        <v>850</v>
      </c>
      <c r="D929" s="510"/>
      <c r="E929" s="345"/>
      <c r="F929" s="431"/>
      <c r="G929" s="613"/>
      <c r="H929" s="613"/>
      <c r="I929" s="613"/>
      <c r="J929" s="114"/>
    </row>
    <row r="930" spans="1:11" ht="14.25" hidden="1">
      <c r="A930" s="658" t="s">
        <v>348</v>
      </c>
      <c r="B930" s="909"/>
      <c r="C930" s="83" t="s">
        <v>582</v>
      </c>
      <c r="D930" s="510"/>
      <c r="E930" s="343"/>
      <c r="F930" s="431"/>
      <c r="G930" s="613"/>
      <c r="H930" s="613"/>
      <c r="I930" s="613"/>
      <c r="J930" s="114"/>
    </row>
    <row r="931" spans="1:11" ht="15" hidden="1">
      <c r="A931" s="658" t="s">
        <v>265</v>
      </c>
      <c r="B931" s="229"/>
      <c r="C931" s="83" t="s">
        <v>839</v>
      </c>
      <c r="D931" s="510"/>
      <c r="E931" s="345"/>
      <c r="F931" s="431"/>
      <c r="G931" s="613"/>
      <c r="H931" s="613"/>
      <c r="I931" s="613"/>
      <c r="J931" s="114"/>
    </row>
    <row r="932" spans="1:11" ht="15.75" hidden="1">
      <c r="A932" s="663"/>
      <c r="B932" s="337"/>
      <c r="C932" s="114"/>
      <c r="D932" s="556">
        <f>SUM(D917:D931)</f>
        <v>21850000</v>
      </c>
      <c r="E932" s="345"/>
      <c r="F932" s="556">
        <f>SUM(F917:F931)</f>
        <v>1072500</v>
      </c>
      <c r="G932" s="613"/>
      <c r="H932" s="613"/>
      <c r="I932" s="613"/>
      <c r="J932" s="114"/>
    </row>
    <row r="933" spans="1:11" ht="23.25" hidden="1">
      <c r="A933" s="1066" t="s">
        <v>851</v>
      </c>
      <c r="B933" s="1066"/>
      <c r="C933" s="1066"/>
      <c r="D933" s="1066"/>
      <c r="E933" s="1066"/>
      <c r="F933" s="1066"/>
      <c r="G933" s="1066"/>
      <c r="H933" s="1066"/>
      <c r="I933" s="1066"/>
    </row>
    <row r="934" spans="1:11" ht="23.25" hidden="1">
      <c r="A934" s="690" t="s">
        <v>3</v>
      </c>
      <c r="B934" s="690" t="s">
        <v>606</v>
      </c>
      <c r="C934" s="690" t="s">
        <v>5</v>
      </c>
      <c r="D934" s="691" t="s">
        <v>6</v>
      </c>
      <c r="E934" s="691" t="s">
        <v>7</v>
      </c>
      <c r="F934" s="691" t="s">
        <v>645</v>
      </c>
      <c r="G934" s="691" t="s">
        <v>646</v>
      </c>
      <c r="H934" s="691" t="s">
        <v>647</v>
      </c>
      <c r="I934" s="772" t="s">
        <v>762</v>
      </c>
      <c r="J934" s="772" t="s">
        <v>648</v>
      </c>
    </row>
    <row r="935" spans="1:11" ht="14.25" hidden="1">
      <c r="A935" s="609">
        <v>15184</v>
      </c>
      <c r="B935" s="25">
        <v>0.1</v>
      </c>
      <c r="C935" s="408" t="s">
        <v>524</v>
      </c>
      <c r="D935" s="682">
        <v>2500000</v>
      </c>
      <c r="E935" s="337">
        <v>0.05</v>
      </c>
      <c r="F935" s="431">
        <f>D935*E935</f>
        <v>125000</v>
      </c>
      <c r="G935" s="613" t="s">
        <v>104</v>
      </c>
      <c r="H935" s="613"/>
      <c r="I935" s="773" t="s">
        <v>104</v>
      </c>
      <c r="J935" s="114" t="s">
        <v>104</v>
      </c>
    </row>
    <row r="936" spans="1:11" ht="14.25" hidden="1">
      <c r="A936" s="587">
        <v>15234</v>
      </c>
      <c r="B936" s="25">
        <v>0.1</v>
      </c>
      <c r="C936" s="721" t="s">
        <v>525</v>
      </c>
      <c r="D936" s="682">
        <v>3400000</v>
      </c>
      <c r="E936" s="337">
        <v>0.05</v>
      </c>
      <c r="F936" s="431">
        <f t="shared" ref="F936:F949" si="32">D936*E936</f>
        <v>170000</v>
      </c>
      <c r="G936" s="613" t="s">
        <v>104</v>
      </c>
      <c r="H936" s="613"/>
      <c r="I936" s="773" t="s">
        <v>104</v>
      </c>
      <c r="J936" s="114" t="s">
        <v>104</v>
      </c>
    </row>
    <row r="937" spans="1:11" ht="14.25" hidden="1">
      <c r="A937" s="812">
        <v>15174</v>
      </c>
      <c r="B937" s="666">
        <v>0.08</v>
      </c>
      <c r="C937" s="424" t="s">
        <v>541</v>
      </c>
      <c r="D937" s="682">
        <v>1900000</v>
      </c>
      <c r="E937" s="343">
        <v>0.04</v>
      </c>
      <c r="F937" s="431">
        <f t="shared" si="32"/>
        <v>76000</v>
      </c>
      <c r="G937" s="713" t="s">
        <v>104</v>
      </c>
      <c r="H937" s="445"/>
      <c r="I937" s="852" t="s">
        <v>104</v>
      </c>
      <c r="J937" s="114" t="s">
        <v>104</v>
      </c>
    </row>
    <row r="938" spans="1:11" ht="14.25" hidden="1">
      <c r="A938" s="609">
        <v>15255</v>
      </c>
      <c r="B938" s="666">
        <v>0.08</v>
      </c>
      <c r="C938" s="114" t="s">
        <v>542</v>
      </c>
      <c r="D938" s="510">
        <v>2200000</v>
      </c>
      <c r="E938" s="343">
        <v>0.04</v>
      </c>
      <c r="F938" s="431">
        <f t="shared" si="32"/>
        <v>88000</v>
      </c>
      <c r="G938" s="613" t="s">
        <v>104</v>
      </c>
      <c r="H938" s="613"/>
      <c r="I938" s="613" t="s">
        <v>104</v>
      </c>
      <c r="J938" s="393" t="s">
        <v>104</v>
      </c>
    </row>
    <row r="939" spans="1:11" ht="14.25" hidden="1">
      <c r="A939" s="609">
        <v>15355</v>
      </c>
      <c r="B939" s="343">
        <v>0.08</v>
      </c>
      <c r="C939" s="114" t="s">
        <v>520</v>
      </c>
      <c r="D939" s="510">
        <v>2500000</v>
      </c>
      <c r="E939" s="343">
        <v>0.04</v>
      </c>
      <c r="F939" s="431">
        <f t="shared" si="32"/>
        <v>100000</v>
      </c>
      <c r="G939" s="900"/>
      <c r="H939" s="613"/>
      <c r="I939" s="900"/>
      <c r="J939" s="393" t="s">
        <v>104</v>
      </c>
      <c r="K939" s="31" t="s">
        <v>852</v>
      </c>
    </row>
    <row r="940" spans="1:11" ht="14.25" hidden="1">
      <c r="A940" s="609">
        <v>15273</v>
      </c>
      <c r="B940" s="25">
        <v>0.1</v>
      </c>
      <c r="C940" s="114" t="s">
        <v>548</v>
      </c>
      <c r="D940" s="510">
        <v>2800000</v>
      </c>
      <c r="E940" s="337">
        <v>0.05</v>
      </c>
      <c r="F940" s="431">
        <f t="shared" si="32"/>
        <v>140000</v>
      </c>
      <c r="G940" s="613" t="s">
        <v>104</v>
      </c>
      <c r="H940" s="613"/>
      <c r="I940" s="613" t="s">
        <v>104</v>
      </c>
      <c r="J940" s="393" t="s">
        <v>104</v>
      </c>
    </row>
    <row r="941" spans="1:11" ht="14.25" hidden="1">
      <c r="A941" s="609">
        <v>15291</v>
      </c>
      <c r="B941" s="25">
        <v>0.1</v>
      </c>
      <c r="C941" s="114" t="s">
        <v>530</v>
      </c>
      <c r="D941" s="510">
        <v>2600000</v>
      </c>
      <c r="E941" s="337">
        <v>0.05</v>
      </c>
      <c r="F941" s="431">
        <f t="shared" si="32"/>
        <v>130000</v>
      </c>
      <c r="G941" s="613" t="s">
        <v>104</v>
      </c>
      <c r="H941" s="613"/>
      <c r="I941" s="613" t="s">
        <v>104</v>
      </c>
      <c r="J941" s="393" t="s">
        <v>104</v>
      </c>
    </row>
    <row r="942" spans="1:11" ht="14.25" hidden="1">
      <c r="A942" s="609">
        <v>15350</v>
      </c>
      <c r="B942" s="25">
        <v>0.1</v>
      </c>
      <c r="C942" s="114" t="s">
        <v>534</v>
      </c>
      <c r="D942" s="510">
        <v>2550000</v>
      </c>
      <c r="E942" s="337">
        <v>0.05</v>
      </c>
      <c r="F942" s="431">
        <f t="shared" si="32"/>
        <v>127500</v>
      </c>
      <c r="G942" s="613" t="s">
        <v>104</v>
      </c>
      <c r="H942" s="613"/>
      <c r="I942" s="613" t="s">
        <v>104</v>
      </c>
      <c r="J942" s="393" t="s">
        <v>104</v>
      </c>
    </row>
    <row r="943" spans="1:11" ht="14.25" hidden="1">
      <c r="A943" s="609">
        <v>15163</v>
      </c>
      <c r="B943" s="25">
        <v>0.1</v>
      </c>
      <c r="C943" s="114" t="s">
        <v>537</v>
      </c>
      <c r="D943" s="510">
        <v>1500000</v>
      </c>
      <c r="E943" s="337">
        <v>0.05</v>
      </c>
      <c r="F943" s="431">
        <f t="shared" si="32"/>
        <v>75000</v>
      </c>
      <c r="G943" s="613" t="s">
        <v>104</v>
      </c>
      <c r="H943" s="613"/>
      <c r="I943" s="613" t="s">
        <v>104</v>
      </c>
      <c r="J943" s="393" t="s">
        <v>104</v>
      </c>
    </row>
    <row r="944" spans="1:11" ht="14.25" hidden="1">
      <c r="A944" s="901" t="s">
        <v>265</v>
      </c>
      <c r="B944" s="413"/>
      <c r="C944" s="83" t="s">
        <v>853</v>
      </c>
      <c r="D944" s="510"/>
      <c r="E944" s="343"/>
      <c r="F944" s="431"/>
      <c r="G944" s="613"/>
      <c r="H944" s="613"/>
      <c r="I944" s="613"/>
      <c r="J944" s="393"/>
    </row>
    <row r="945" spans="1:10" hidden="1">
      <c r="A945" s="83" t="s">
        <v>263</v>
      </c>
      <c r="B945" s="413"/>
      <c r="C945" s="83" t="s">
        <v>854</v>
      </c>
      <c r="D945" s="510"/>
      <c r="E945" s="343"/>
      <c r="F945" s="431"/>
      <c r="G945" s="613"/>
      <c r="H945" s="613"/>
      <c r="I945" s="613"/>
      <c r="J945" s="393"/>
    </row>
    <row r="946" spans="1:10" hidden="1">
      <c r="A946" s="83" t="s">
        <v>263</v>
      </c>
      <c r="B946" s="914"/>
      <c r="C946" s="88" t="s">
        <v>855</v>
      </c>
      <c r="D946" s="679"/>
      <c r="E946" s="662"/>
      <c r="F946" s="431"/>
      <c r="G946" s="915"/>
      <c r="H946" s="723"/>
      <c r="I946" s="916"/>
      <c r="J946" s="114"/>
    </row>
    <row r="947" spans="1:10" ht="14.25" hidden="1">
      <c r="A947" s="901" t="s">
        <v>265</v>
      </c>
      <c r="B947" s="914"/>
      <c r="C947" s="83" t="s">
        <v>840</v>
      </c>
      <c r="D947" s="510"/>
      <c r="E947" s="343"/>
      <c r="F947" s="431"/>
      <c r="G947" s="868"/>
      <c r="H947" s="613"/>
      <c r="I947" s="773"/>
      <c r="J947" s="114"/>
    </row>
    <row r="948" spans="1:10" hidden="1">
      <c r="A948" s="83" t="s">
        <v>263</v>
      </c>
      <c r="B948" s="539"/>
      <c r="C948" s="83" t="s">
        <v>538</v>
      </c>
      <c r="D948" s="510"/>
      <c r="E948" s="114"/>
      <c r="F948" s="431"/>
      <c r="G948" s="868"/>
      <c r="H948" s="613"/>
      <c r="I948" s="773"/>
      <c r="J948" s="114"/>
    </row>
    <row r="949" spans="1:10" ht="15.75" hidden="1">
      <c r="A949" s="757"/>
      <c r="B949" s="348"/>
      <c r="C949" s="461"/>
      <c r="D949" s="556">
        <f>SUM(D935:D948)</f>
        <v>21950000</v>
      </c>
      <c r="E949" s="758"/>
      <c r="F949" s="556">
        <f>SUM(F935:F948)</f>
        <v>1031500</v>
      </c>
      <c r="G949" s="868"/>
      <c r="H949" s="613"/>
      <c r="I949" s="773"/>
      <c r="J949" s="114"/>
    </row>
    <row r="950" spans="1:10" ht="23.25" hidden="1">
      <c r="A950" s="1066" t="s">
        <v>856</v>
      </c>
      <c r="B950" s="1066"/>
      <c r="C950" s="1066"/>
      <c r="D950" s="1066"/>
      <c r="E950" s="1066"/>
      <c r="F950" s="1066"/>
      <c r="G950" s="1067"/>
      <c r="H950" s="1067"/>
      <c r="I950" s="1067"/>
    </row>
    <row r="951" spans="1:10" ht="23.25" hidden="1">
      <c r="A951" s="690" t="s">
        <v>3</v>
      </c>
      <c r="B951" s="690" t="s">
        <v>606</v>
      </c>
      <c r="C951" s="690" t="s">
        <v>5</v>
      </c>
      <c r="D951" s="691" t="s">
        <v>6</v>
      </c>
      <c r="E951" s="691" t="s">
        <v>7</v>
      </c>
      <c r="F951" s="691" t="s">
        <v>645</v>
      </c>
      <c r="G951" s="691" t="s">
        <v>646</v>
      </c>
      <c r="H951" s="691" t="s">
        <v>647</v>
      </c>
      <c r="I951" s="772" t="s">
        <v>762</v>
      </c>
      <c r="J951" s="772" t="s">
        <v>648</v>
      </c>
    </row>
    <row r="952" spans="1:10" ht="15" hidden="1">
      <c r="A952" s="587">
        <v>15326</v>
      </c>
      <c r="B952" s="337">
        <v>0.1</v>
      </c>
      <c r="C952" s="908" t="s">
        <v>857</v>
      </c>
      <c r="D952" s="510">
        <v>1500000</v>
      </c>
      <c r="E952" s="345">
        <v>0.1</v>
      </c>
      <c r="F952" s="431">
        <f>D952*E952</f>
        <v>150000</v>
      </c>
      <c r="G952" s="613" t="s">
        <v>104</v>
      </c>
      <c r="H952" s="613"/>
      <c r="I952" s="613" t="s">
        <v>104</v>
      </c>
      <c r="J952" s="114" t="s">
        <v>104</v>
      </c>
    </row>
    <row r="953" spans="1:10" ht="14.25" hidden="1">
      <c r="A953" s="663"/>
      <c r="B953" s="343"/>
      <c r="C953" s="114"/>
      <c r="D953" s="510"/>
      <c r="E953" s="343"/>
      <c r="F953" s="431"/>
      <c r="G953" s="613"/>
      <c r="H953" s="613"/>
      <c r="I953" s="613"/>
      <c r="J953" s="114"/>
    </row>
    <row r="954" spans="1:10" ht="14.25" hidden="1">
      <c r="A954" s="663"/>
      <c r="B954" s="343"/>
      <c r="C954" s="114"/>
      <c r="D954" s="510"/>
      <c r="E954" s="343"/>
      <c r="F954" s="431"/>
      <c r="G954" s="613"/>
      <c r="H954" s="613"/>
      <c r="I954" s="613"/>
      <c r="J954" s="114"/>
    </row>
    <row r="955" spans="1:10" ht="15" hidden="1">
      <c r="A955" s="663"/>
      <c r="B955" s="337"/>
      <c r="C955" s="114"/>
      <c r="D955" s="510"/>
      <c r="E955" s="345"/>
      <c r="F955" s="431"/>
      <c r="G955" s="613"/>
      <c r="H955" s="613"/>
      <c r="I955" s="613"/>
      <c r="J955" s="114"/>
    </row>
    <row r="956" spans="1:10" ht="15" hidden="1">
      <c r="A956" s="663"/>
      <c r="B956" s="337"/>
      <c r="C956" s="114"/>
      <c r="D956" s="510"/>
      <c r="E956" s="345"/>
      <c r="F956" s="52"/>
      <c r="G956" s="613"/>
      <c r="H956" s="613"/>
      <c r="I956" s="613"/>
      <c r="J956" s="114"/>
    </row>
    <row r="957" spans="1:10" hidden="1"/>
    <row r="958" spans="1:10" hidden="1"/>
    <row r="959" spans="1:10" ht="23.25" hidden="1">
      <c r="A959" s="1066" t="s">
        <v>858</v>
      </c>
      <c r="B959" s="1066"/>
      <c r="C959" s="1066"/>
      <c r="D959" s="1066"/>
      <c r="E959" s="1066"/>
      <c r="F959" s="1066"/>
      <c r="G959" s="1067"/>
      <c r="H959" s="1067"/>
      <c r="I959" s="1067"/>
    </row>
    <row r="960" spans="1:10" ht="23.25" hidden="1">
      <c r="A960" s="690" t="s">
        <v>3</v>
      </c>
      <c r="B960" s="690" t="s">
        <v>606</v>
      </c>
      <c r="C960" s="690" t="s">
        <v>5</v>
      </c>
      <c r="D960" s="691" t="s">
        <v>6</v>
      </c>
      <c r="E960" s="691" t="s">
        <v>7</v>
      </c>
      <c r="F960" s="691" t="s">
        <v>645</v>
      </c>
      <c r="G960" s="691" t="s">
        <v>646</v>
      </c>
      <c r="H960" s="691" t="s">
        <v>647</v>
      </c>
      <c r="I960" s="772" t="s">
        <v>762</v>
      </c>
      <c r="J960" s="772" t="s">
        <v>648</v>
      </c>
    </row>
    <row r="961" spans="1:10" ht="15" hidden="1">
      <c r="A961" s="811">
        <v>15252</v>
      </c>
      <c r="B961" s="343">
        <v>0.08</v>
      </c>
      <c r="C961" s="114" t="s">
        <v>516</v>
      </c>
      <c r="D961" s="510">
        <v>2250000</v>
      </c>
      <c r="E961" s="310">
        <v>0.02</v>
      </c>
      <c r="F961" s="431">
        <f>D961*E961</f>
        <v>45000</v>
      </c>
      <c r="G961" s="114" t="s">
        <v>104</v>
      </c>
      <c r="H961" s="114"/>
      <c r="I961" s="114" t="s">
        <v>104</v>
      </c>
      <c r="J961" s="83"/>
    </row>
    <row r="962" spans="1:10" ht="15" hidden="1">
      <c r="A962" s="811">
        <v>15268</v>
      </c>
      <c r="B962" s="343">
        <v>0.08</v>
      </c>
      <c r="C962" s="114" t="s">
        <v>517</v>
      </c>
      <c r="D962" s="510">
        <v>2350000</v>
      </c>
      <c r="E962" s="598">
        <v>2.5000000000000001E-2</v>
      </c>
      <c r="F962" s="431">
        <f t="shared" ref="F962:F996" si="33">D962*E962</f>
        <v>58750</v>
      </c>
      <c r="G962" s="114" t="s">
        <v>104</v>
      </c>
      <c r="H962" s="114"/>
      <c r="I962" s="114" t="s">
        <v>104</v>
      </c>
      <c r="J962" s="83"/>
    </row>
    <row r="963" spans="1:10" ht="15" hidden="1">
      <c r="A963" s="811">
        <v>15308</v>
      </c>
      <c r="B963" s="337">
        <v>0.1</v>
      </c>
      <c r="C963" s="114" t="s">
        <v>519</v>
      </c>
      <c r="D963" s="510">
        <v>2200000</v>
      </c>
      <c r="E963" s="598">
        <v>2.5000000000000001E-2</v>
      </c>
      <c r="F963" s="431">
        <f t="shared" si="33"/>
        <v>55000</v>
      </c>
      <c r="G963" s="114" t="s">
        <v>104</v>
      </c>
      <c r="H963" s="114"/>
      <c r="I963" s="114" t="s">
        <v>104</v>
      </c>
      <c r="J963" s="114" t="s">
        <v>104</v>
      </c>
    </row>
    <row r="964" spans="1:10" ht="15" hidden="1">
      <c r="A964" s="811">
        <v>15331</v>
      </c>
      <c r="B964" s="343">
        <v>0.09</v>
      </c>
      <c r="C964" s="114" t="s">
        <v>521</v>
      </c>
      <c r="D964" s="510">
        <v>6000000</v>
      </c>
      <c r="E964" s="310">
        <v>0.02</v>
      </c>
      <c r="F964" s="431">
        <f t="shared" si="33"/>
        <v>120000</v>
      </c>
      <c r="G964" s="430"/>
      <c r="H964" s="430"/>
      <c r="I964" s="430"/>
      <c r="J964" s="430"/>
    </row>
    <row r="965" spans="1:10" ht="14.25" hidden="1">
      <c r="A965" s="893" t="s">
        <v>348</v>
      </c>
      <c r="B965" s="883"/>
      <c r="C965" s="437" t="s">
        <v>522</v>
      </c>
      <c r="D965" s="510"/>
      <c r="E965" s="114"/>
      <c r="F965" s="431">
        <f t="shared" si="33"/>
        <v>0</v>
      </c>
      <c r="G965" s="437"/>
      <c r="H965" s="437"/>
      <c r="I965" s="437"/>
      <c r="J965" s="437"/>
    </row>
    <row r="966" spans="1:10" ht="15" hidden="1">
      <c r="A966" s="811" t="s">
        <v>526</v>
      </c>
      <c r="B966" s="25">
        <v>0.1</v>
      </c>
      <c r="C966" s="114" t="s">
        <v>527</v>
      </c>
      <c r="D966" s="510">
        <v>1450000</v>
      </c>
      <c r="E966" s="598">
        <v>2.5000000000000001E-2</v>
      </c>
      <c r="F966" s="431">
        <f t="shared" si="33"/>
        <v>36250</v>
      </c>
      <c r="G966" s="613" t="s">
        <v>104</v>
      </c>
      <c r="H966" s="613"/>
      <c r="I966" s="613" t="s">
        <v>104</v>
      </c>
      <c r="J966" s="114" t="s">
        <v>104</v>
      </c>
    </row>
    <row r="967" spans="1:10" ht="15" hidden="1">
      <c r="A967" s="811">
        <v>15154</v>
      </c>
      <c r="B967" s="25">
        <v>0.1</v>
      </c>
      <c r="C967" s="114" t="s">
        <v>529</v>
      </c>
      <c r="D967" s="510">
        <v>1750000</v>
      </c>
      <c r="E967" s="598">
        <v>2.5000000000000001E-2</v>
      </c>
      <c r="F967" s="431">
        <f t="shared" si="33"/>
        <v>43750</v>
      </c>
      <c r="G967" s="613" t="s">
        <v>104</v>
      </c>
      <c r="H967" s="613"/>
      <c r="I967" s="613" t="s">
        <v>104</v>
      </c>
      <c r="J967" s="114" t="s">
        <v>104</v>
      </c>
    </row>
    <row r="968" spans="1:10" ht="15" hidden="1">
      <c r="A968" s="811" t="s">
        <v>531</v>
      </c>
      <c r="B968" s="343">
        <v>0.08</v>
      </c>
      <c r="C968" s="114" t="s">
        <v>532</v>
      </c>
      <c r="D968" s="510">
        <v>2100000</v>
      </c>
      <c r="E968" s="310">
        <v>0.02</v>
      </c>
      <c r="F968" s="431">
        <f t="shared" si="33"/>
        <v>42000</v>
      </c>
      <c r="G968" s="613" t="s">
        <v>104</v>
      </c>
      <c r="H968" s="613"/>
      <c r="I968" s="613" t="s">
        <v>104</v>
      </c>
      <c r="J968" s="114" t="s">
        <v>104</v>
      </c>
    </row>
    <row r="969" spans="1:10" ht="15" hidden="1">
      <c r="A969" s="811">
        <v>15208</v>
      </c>
      <c r="B969" s="25">
        <v>0.1</v>
      </c>
      <c r="C969" s="114" t="s">
        <v>543</v>
      </c>
      <c r="D969" s="510">
        <v>2500000</v>
      </c>
      <c r="E969" s="598">
        <v>2.5000000000000001E-2</v>
      </c>
      <c r="F969" s="431">
        <f t="shared" si="33"/>
        <v>62500</v>
      </c>
      <c r="G969" s="613" t="s">
        <v>104</v>
      </c>
      <c r="H969" s="613"/>
      <c r="I969" s="613" t="s">
        <v>104</v>
      </c>
      <c r="J969" s="114" t="s">
        <v>104</v>
      </c>
    </row>
    <row r="970" spans="1:10" ht="15" hidden="1">
      <c r="A970" s="811">
        <v>15229</v>
      </c>
      <c r="B970" s="25">
        <v>0.1</v>
      </c>
      <c r="C970" s="114" t="s">
        <v>544</v>
      </c>
      <c r="D970" s="510">
        <v>1700000</v>
      </c>
      <c r="E970" s="598">
        <v>2.5000000000000001E-2</v>
      </c>
      <c r="F970" s="431">
        <f t="shared" si="33"/>
        <v>42500</v>
      </c>
      <c r="G970" s="613" t="s">
        <v>104</v>
      </c>
      <c r="H970" s="613"/>
      <c r="I970" s="613" t="s">
        <v>104</v>
      </c>
      <c r="J970" s="114" t="s">
        <v>104</v>
      </c>
    </row>
    <row r="971" spans="1:10" ht="15" hidden="1">
      <c r="A971" s="811">
        <v>15190</v>
      </c>
      <c r="B971" s="25">
        <v>0.1</v>
      </c>
      <c r="C971" s="114" t="s">
        <v>545</v>
      </c>
      <c r="D971" s="510">
        <v>2000000</v>
      </c>
      <c r="E971" s="598">
        <v>2.5000000000000001E-2</v>
      </c>
      <c r="F971" s="431">
        <f t="shared" si="33"/>
        <v>50000</v>
      </c>
      <c r="G971" s="613" t="s">
        <v>104</v>
      </c>
      <c r="H971" s="613"/>
      <c r="I971" s="613" t="s">
        <v>104</v>
      </c>
      <c r="J971" s="114" t="s">
        <v>104</v>
      </c>
    </row>
    <row r="972" spans="1:10" ht="15" hidden="1">
      <c r="A972" s="811">
        <v>15253</v>
      </c>
      <c r="B972" s="25">
        <v>0.1</v>
      </c>
      <c r="C972" s="114" t="s">
        <v>546</v>
      </c>
      <c r="D972" s="510">
        <v>2300000</v>
      </c>
      <c r="E972" s="598">
        <v>2.5000000000000001E-2</v>
      </c>
      <c r="F972" s="431">
        <f t="shared" si="33"/>
        <v>57500</v>
      </c>
      <c r="G972" s="613" t="s">
        <v>104</v>
      </c>
      <c r="H972" s="613"/>
      <c r="I972" s="613" t="s">
        <v>104</v>
      </c>
      <c r="J972" s="114" t="s">
        <v>104</v>
      </c>
    </row>
    <row r="973" spans="1:10" ht="15" hidden="1">
      <c r="A973" s="811">
        <v>15354</v>
      </c>
      <c r="B973" s="25">
        <v>0.1</v>
      </c>
      <c r="C973" s="114" t="s">
        <v>528</v>
      </c>
      <c r="D973" s="510">
        <v>1800000</v>
      </c>
      <c r="E973" s="598">
        <v>2.5000000000000001E-2</v>
      </c>
      <c r="F973" s="431">
        <f t="shared" si="33"/>
        <v>45000</v>
      </c>
      <c r="G973" s="900"/>
      <c r="H973" s="900"/>
      <c r="I973" s="900"/>
      <c r="J973" s="430"/>
    </row>
    <row r="974" spans="1:10" ht="15" hidden="1">
      <c r="A974" s="811">
        <v>15213</v>
      </c>
      <c r="B974" s="25">
        <v>0.1</v>
      </c>
      <c r="C974" s="247" t="s">
        <v>549</v>
      </c>
      <c r="D974" s="510">
        <v>1200000</v>
      </c>
      <c r="E974" s="598">
        <v>2.5000000000000001E-2</v>
      </c>
      <c r="F974" s="431">
        <f t="shared" si="33"/>
        <v>30000</v>
      </c>
      <c r="G974" s="613" t="s">
        <v>104</v>
      </c>
      <c r="H974" s="613"/>
      <c r="I974" s="613" t="s">
        <v>104</v>
      </c>
      <c r="J974" s="114" t="s">
        <v>104</v>
      </c>
    </row>
    <row r="975" spans="1:10" ht="15" hidden="1">
      <c r="A975" s="811">
        <v>15297</v>
      </c>
      <c r="B975" s="25">
        <v>0.1</v>
      </c>
      <c r="C975" s="247" t="s">
        <v>551</v>
      </c>
      <c r="D975" s="510">
        <v>1300000</v>
      </c>
      <c r="E975" s="598">
        <v>2.5000000000000001E-2</v>
      </c>
      <c r="F975" s="431">
        <f t="shared" si="33"/>
        <v>32500</v>
      </c>
      <c r="G975" s="900"/>
      <c r="H975" s="900"/>
      <c r="I975" s="900"/>
      <c r="J975" s="430"/>
    </row>
    <row r="976" spans="1:10" ht="15" hidden="1">
      <c r="A976" s="811">
        <v>15336</v>
      </c>
      <c r="B976" s="25">
        <v>0.1</v>
      </c>
      <c r="C976" s="247" t="s">
        <v>552</v>
      </c>
      <c r="D976" s="510">
        <v>1250000</v>
      </c>
      <c r="E976" s="598">
        <v>2.5000000000000001E-2</v>
      </c>
      <c r="F976" s="431">
        <f t="shared" si="33"/>
        <v>31250</v>
      </c>
      <c r="G976" s="613" t="s">
        <v>104</v>
      </c>
      <c r="H976" s="613"/>
      <c r="I976" s="114" t="s">
        <v>104</v>
      </c>
      <c r="J976" s="114" t="s">
        <v>104</v>
      </c>
    </row>
    <row r="977" spans="1:10" ht="15" hidden="1">
      <c r="A977" s="811">
        <v>15166</v>
      </c>
      <c r="B977" s="25">
        <v>0.1</v>
      </c>
      <c r="C977" s="114" t="s">
        <v>523</v>
      </c>
      <c r="D977" s="510">
        <v>5300000</v>
      </c>
      <c r="E977" s="598">
        <v>2.5000000000000001E-2</v>
      </c>
      <c r="F977" s="431">
        <f t="shared" si="33"/>
        <v>132500</v>
      </c>
      <c r="G977" s="613" t="s">
        <v>104</v>
      </c>
      <c r="H977" s="613"/>
      <c r="I977" s="613" t="s">
        <v>104</v>
      </c>
      <c r="J977" s="114" t="s">
        <v>104</v>
      </c>
    </row>
    <row r="978" spans="1:10" ht="15" hidden="1">
      <c r="A978" s="811">
        <v>15181</v>
      </c>
      <c r="B978" s="25">
        <v>0.1</v>
      </c>
      <c r="C978" s="114" t="s">
        <v>487</v>
      </c>
      <c r="D978" s="510">
        <v>2000000</v>
      </c>
      <c r="E978" s="598">
        <v>2.5000000000000001E-2</v>
      </c>
      <c r="F978" s="431">
        <f t="shared" si="33"/>
        <v>50000</v>
      </c>
      <c r="G978" s="613" t="s">
        <v>104</v>
      </c>
      <c r="H978" s="613"/>
      <c r="I978" s="613" t="s">
        <v>104</v>
      </c>
      <c r="J978" s="114" t="s">
        <v>104</v>
      </c>
    </row>
    <row r="979" spans="1:10" ht="15" hidden="1">
      <c r="A979" s="811">
        <v>15280</v>
      </c>
      <c r="B979" s="25">
        <v>0.1</v>
      </c>
      <c r="C979" s="114" t="s">
        <v>536</v>
      </c>
      <c r="D979" s="510">
        <v>1800000</v>
      </c>
      <c r="E979" s="598">
        <v>2.5000000000000001E-2</v>
      </c>
      <c r="F979" s="431">
        <f t="shared" si="33"/>
        <v>45000</v>
      </c>
      <c r="G979" s="613" t="s">
        <v>104</v>
      </c>
      <c r="H979" s="613"/>
      <c r="I979" s="613" t="s">
        <v>104</v>
      </c>
      <c r="J979" s="114" t="s">
        <v>104</v>
      </c>
    </row>
    <row r="980" spans="1:10" ht="15" hidden="1">
      <c r="A980" s="811">
        <v>15289</v>
      </c>
      <c r="B980" s="25">
        <v>0.1</v>
      </c>
      <c r="C980" s="114" t="s">
        <v>538</v>
      </c>
      <c r="D980" s="510">
        <v>1600000</v>
      </c>
      <c r="E980" s="598">
        <v>2.5000000000000001E-2</v>
      </c>
      <c r="F980" s="431">
        <f t="shared" si="33"/>
        <v>40000</v>
      </c>
      <c r="G980" s="613" t="s">
        <v>104</v>
      </c>
      <c r="H980" s="613"/>
      <c r="I980" s="613" t="s">
        <v>104</v>
      </c>
      <c r="J980" s="114" t="s">
        <v>104</v>
      </c>
    </row>
    <row r="981" spans="1:10" ht="15" hidden="1">
      <c r="A981" s="811">
        <v>15397</v>
      </c>
      <c r="B981" s="25">
        <v>0.1</v>
      </c>
      <c r="C981" s="114" t="s">
        <v>844</v>
      </c>
      <c r="D981" s="510">
        <v>1350000</v>
      </c>
      <c r="E981" s="598">
        <v>2.5000000000000001E-2</v>
      </c>
      <c r="F981" s="431">
        <f t="shared" si="33"/>
        <v>33750</v>
      </c>
      <c r="G981" s="900"/>
      <c r="H981" s="900"/>
      <c r="I981" s="900"/>
      <c r="J981" s="430"/>
    </row>
    <row r="982" spans="1:10" ht="15" hidden="1">
      <c r="A982" s="811">
        <v>15334</v>
      </c>
      <c r="B982" s="25">
        <v>0.1</v>
      </c>
      <c r="C982" s="114" t="s">
        <v>846</v>
      </c>
      <c r="D982" s="510">
        <v>1750000</v>
      </c>
      <c r="E982" s="598">
        <v>2.5000000000000001E-2</v>
      </c>
      <c r="F982" s="431">
        <f t="shared" si="33"/>
        <v>43750</v>
      </c>
      <c r="G982" s="900"/>
      <c r="H982" s="900"/>
      <c r="I982" s="900"/>
      <c r="J982" s="430"/>
    </row>
    <row r="983" spans="1:10" ht="15" hidden="1">
      <c r="A983" s="811">
        <v>15305</v>
      </c>
      <c r="B983" s="25">
        <v>0.1</v>
      </c>
      <c r="C983" s="114" t="s">
        <v>547</v>
      </c>
      <c r="D983" s="510">
        <v>2500000</v>
      </c>
      <c r="E983" s="598">
        <v>2.5000000000000001E-2</v>
      </c>
      <c r="F983" s="431">
        <f t="shared" si="33"/>
        <v>62500</v>
      </c>
      <c r="G983" s="613" t="s">
        <v>104</v>
      </c>
      <c r="H983" s="613"/>
      <c r="I983" s="613" t="s">
        <v>104</v>
      </c>
      <c r="J983" s="114" t="s">
        <v>104</v>
      </c>
    </row>
    <row r="984" spans="1:10" ht="15" hidden="1">
      <c r="A984" s="811">
        <v>15388</v>
      </c>
      <c r="B984" s="343">
        <v>0.08</v>
      </c>
      <c r="C984" s="114" t="s">
        <v>535</v>
      </c>
      <c r="D984" s="510">
        <v>2000000</v>
      </c>
      <c r="E984" s="310">
        <v>0.02</v>
      </c>
      <c r="F984" s="431">
        <f t="shared" si="33"/>
        <v>40000</v>
      </c>
      <c r="G984" s="639"/>
      <c r="H984" s="639"/>
      <c r="I984" s="639"/>
      <c r="J984" s="437"/>
    </row>
    <row r="985" spans="1:10" ht="15" hidden="1">
      <c r="A985" s="811">
        <v>15139</v>
      </c>
      <c r="B985" s="25">
        <v>0.1</v>
      </c>
      <c r="C985" s="114" t="s">
        <v>512</v>
      </c>
      <c r="D985" s="510">
        <v>1400000</v>
      </c>
      <c r="E985" s="598">
        <v>2.5000000000000001E-2</v>
      </c>
      <c r="F985" s="431">
        <f t="shared" si="33"/>
        <v>35000</v>
      </c>
      <c r="G985" s="613" t="s">
        <v>104</v>
      </c>
      <c r="H985" s="613"/>
      <c r="I985" s="613" t="s">
        <v>104</v>
      </c>
      <c r="J985" s="114" t="s">
        <v>104</v>
      </c>
    </row>
    <row r="986" spans="1:10" ht="15" hidden="1">
      <c r="A986" s="811">
        <v>15310</v>
      </c>
      <c r="B986" s="25">
        <v>0.1</v>
      </c>
      <c r="C986" s="114" t="s">
        <v>513</v>
      </c>
      <c r="D986" s="510">
        <v>950000</v>
      </c>
      <c r="E986" s="598">
        <v>2.5000000000000001E-2</v>
      </c>
      <c r="F986" s="431">
        <f t="shared" si="33"/>
        <v>23750</v>
      </c>
      <c r="G986" s="613" t="s">
        <v>104</v>
      </c>
      <c r="H986" s="613"/>
      <c r="I986" s="613" t="s">
        <v>104</v>
      </c>
      <c r="J986" s="114" t="s">
        <v>104</v>
      </c>
    </row>
    <row r="987" spans="1:10" ht="15" hidden="1">
      <c r="A987" s="811">
        <v>15202</v>
      </c>
      <c r="B987" s="25">
        <v>0.1</v>
      </c>
      <c r="C987" s="114" t="s">
        <v>554</v>
      </c>
      <c r="D987" s="510">
        <v>1200000</v>
      </c>
      <c r="E987" s="598">
        <v>2.5000000000000001E-2</v>
      </c>
      <c r="F987" s="431">
        <f t="shared" si="33"/>
        <v>30000</v>
      </c>
      <c r="G987" s="613" t="s">
        <v>104</v>
      </c>
      <c r="H987" s="613"/>
      <c r="I987" s="613" t="s">
        <v>104</v>
      </c>
      <c r="J987" s="114" t="s">
        <v>104</v>
      </c>
    </row>
    <row r="988" spans="1:10" ht="15" hidden="1">
      <c r="A988" s="811">
        <v>15184</v>
      </c>
      <c r="B988" s="25">
        <v>0.1</v>
      </c>
      <c r="C988" s="408" t="s">
        <v>524</v>
      </c>
      <c r="D988" s="682">
        <v>2500000</v>
      </c>
      <c r="E988" s="598">
        <v>2.5000000000000001E-2</v>
      </c>
      <c r="F988" s="431">
        <f t="shared" si="33"/>
        <v>62500</v>
      </c>
      <c r="G988" s="613" t="s">
        <v>104</v>
      </c>
      <c r="H988" s="613"/>
      <c r="I988" s="773" t="s">
        <v>104</v>
      </c>
      <c r="J988" s="114" t="s">
        <v>104</v>
      </c>
    </row>
    <row r="989" spans="1:10" ht="15" hidden="1">
      <c r="A989" s="811">
        <v>15234</v>
      </c>
      <c r="B989" s="25">
        <v>0.1</v>
      </c>
      <c r="C989" s="721" t="s">
        <v>525</v>
      </c>
      <c r="D989" s="682">
        <v>3400000</v>
      </c>
      <c r="E989" s="598">
        <v>2.5000000000000001E-2</v>
      </c>
      <c r="F989" s="431">
        <f t="shared" si="33"/>
        <v>85000</v>
      </c>
      <c r="G989" s="613" t="s">
        <v>104</v>
      </c>
      <c r="H989" s="613"/>
      <c r="I989" s="773" t="s">
        <v>104</v>
      </c>
      <c r="J989" s="114" t="s">
        <v>104</v>
      </c>
    </row>
    <row r="990" spans="1:10" ht="15" hidden="1">
      <c r="A990" s="811">
        <v>15174</v>
      </c>
      <c r="B990" s="666">
        <v>0.08</v>
      </c>
      <c r="C990" s="424" t="s">
        <v>541</v>
      </c>
      <c r="D990" s="682">
        <v>1900000</v>
      </c>
      <c r="E990" s="310">
        <v>0.02</v>
      </c>
      <c r="F990" s="431">
        <f t="shared" si="33"/>
        <v>38000</v>
      </c>
      <c r="G990" s="713" t="s">
        <v>104</v>
      </c>
      <c r="H990" s="445"/>
      <c r="I990" s="852" t="s">
        <v>104</v>
      </c>
      <c r="J990" s="114" t="s">
        <v>104</v>
      </c>
    </row>
    <row r="991" spans="1:10" ht="15" hidden="1">
      <c r="A991" s="811">
        <v>15255</v>
      </c>
      <c r="B991" s="666">
        <v>0.08</v>
      </c>
      <c r="C991" s="114" t="s">
        <v>542</v>
      </c>
      <c r="D991" s="510">
        <v>2200000</v>
      </c>
      <c r="E991" s="310">
        <v>0.02</v>
      </c>
      <c r="F991" s="431">
        <f t="shared" si="33"/>
        <v>44000</v>
      </c>
      <c r="G991" s="613" t="s">
        <v>104</v>
      </c>
      <c r="H991" s="613"/>
      <c r="I991" s="613" t="s">
        <v>104</v>
      </c>
      <c r="J991" s="393" t="s">
        <v>104</v>
      </c>
    </row>
    <row r="992" spans="1:10" ht="15" hidden="1">
      <c r="A992" s="811">
        <v>15355</v>
      </c>
      <c r="B992" s="343">
        <v>0.08</v>
      </c>
      <c r="C992" s="114" t="s">
        <v>520</v>
      </c>
      <c r="D992" s="510">
        <v>2500000</v>
      </c>
      <c r="E992" s="310">
        <v>0.02</v>
      </c>
      <c r="F992" s="431">
        <f t="shared" si="33"/>
        <v>50000</v>
      </c>
      <c r="G992" s="900"/>
      <c r="H992" s="613"/>
      <c r="I992" s="900"/>
      <c r="J992" s="393" t="s">
        <v>104</v>
      </c>
    </row>
    <row r="993" spans="1:10" ht="15" hidden="1">
      <c r="A993" s="811">
        <v>15273</v>
      </c>
      <c r="B993" s="25">
        <v>0.1</v>
      </c>
      <c r="C993" s="114" t="s">
        <v>548</v>
      </c>
      <c r="D993" s="510">
        <v>2800000</v>
      </c>
      <c r="E993" s="598">
        <v>2.5000000000000001E-2</v>
      </c>
      <c r="F993" s="431">
        <f t="shared" si="33"/>
        <v>70000</v>
      </c>
      <c r="G993" s="613" t="s">
        <v>104</v>
      </c>
      <c r="H993" s="613"/>
      <c r="I993" s="613" t="s">
        <v>104</v>
      </c>
      <c r="J993" s="393" t="s">
        <v>104</v>
      </c>
    </row>
    <row r="994" spans="1:10" ht="15" hidden="1">
      <c r="A994" s="811">
        <v>15291</v>
      </c>
      <c r="B994" s="25">
        <v>0.1</v>
      </c>
      <c r="C994" s="114" t="s">
        <v>530</v>
      </c>
      <c r="D994" s="510">
        <v>2600000</v>
      </c>
      <c r="E994" s="598">
        <v>2.5000000000000001E-2</v>
      </c>
      <c r="F994" s="431">
        <f t="shared" si="33"/>
        <v>65000</v>
      </c>
      <c r="G994" s="613" t="s">
        <v>104</v>
      </c>
      <c r="H994" s="613"/>
      <c r="I994" s="613" t="s">
        <v>104</v>
      </c>
      <c r="J994" s="393" t="s">
        <v>104</v>
      </c>
    </row>
    <row r="995" spans="1:10" ht="15" hidden="1">
      <c r="A995" s="811">
        <v>15350</v>
      </c>
      <c r="B995" s="25">
        <v>0.1</v>
      </c>
      <c r="C995" s="114" t="s">
        <v>534</v>
      </c>
      <c r="D995" s="510">
        <v>2550000</v>
      </c>
      <c r="E995" s="598">
        <v>2.5000000000000001E-2</v>
      </c>
      <c r="F995" s="431">
        <f t="shared" si="33"/>
        <v>63750</v>
      </c>
      <c r="G995" s="613" t="s">
        <v>104</v>
      </c>
      <c r="H995" s="613"/>
      <c r="I995" s="613" t="s">
        <v>104</v>
      </c>
      <c r="J995" s="393" t="s">
        <v>104</v>
      </c>
    </row>
    <row r="996" spans="1:10" ht="15" hidden="1">
      <c r="A996" s="811">
        <v>15163</v>
      </c>
      <c r="B996" s="907">
        <v>0.1</v>
      </c>
      <c r="C996" s="424" t="s">
        <v>537</v>
      </c>
      <c r="D996" s="682">
        <v>1500000</v>
      </c>
      <c r="E996" s="598">
        <v>2.5000000000000001E-2</v>
      </c>
      <c r="F996" s="431">
        <f t="shared" si="33"/>
        <v>37500</v>
      </c>
      <c r="G996" s="445" t="s">
        <v>104</v>
      </c>
      <c r="H996" s="445"/>
      <c r="I996" s="445" t="s">
        <v>104</v>
      </c>
      <c r="J996" s="721" t="s">
        <v>104</v>
      </c>
    </row>
    <row r="997" spans="1:10" ht="22.5" hidden="1" customHeight="1">
      <c r="A997" s="1090" t="s">
        <v>32</v>
      </c>
      <c r="B997" s="1090"/>
      <c r="C997" s="1090"/>
      <c r="D997" s="917">
        <f>SUM(D961:D996)</f>
        <v>75950000</v>
      </c>
      <c r="E997" s="52"/>
      <c r="F997" s="524">
        <f>SUM(F961:F996)</f>
        <v>1804000</v>
      </c>
      <c r="G997" s="114"/>
      <c r="H997" s="114"/>
      <c r="I997" s="114"/>
      <c r="J997" s="114"/>
    </row>
    <row r="998" spans="1:10" hidden="1">
      <c r="D998" s="917">
        <v>77450000</v>
      </c>
    </row>
    <row r="999" spans="1:10" ht="18" hidden="1">
      <c r="A999" s="992" t="s">
        <v>50</v>
      </c>
      <c r="B999" s="992"/>
      <c r="C999" s="992"/>
      <c r="D999" s="147">
        <f>D914+D932+D949+D956</f>
        <v>75950000</v>
      </c>
    </row>
    <row r="1000" spans="1:10" ht="18" hidden="1">
      <c r="A1000" s="993" t="s">
        <v>51</v>
      </c>
      <c r="B1000" s="993"/>
      <c r="C1000" s="993"/>
      <c r="D1000" s="416"/>
    </row>
    <row r="1001" spans="1:10" ht="18" hidden="1">
      <c r="A1001" s="994" t="s">
        <v>52</v>
      </c>
      <c r="B1001" s="994"/>
      <c r="C1001" s="994"/>
      <c r="D1001" s="416"/>
    </row>
    <row r="1002" spans="1:10" ht="18" hidden="1">
      <c r="A1002" s="710" t="s">
        <v>59</v>
      </c>
      <c r="B1002" s="710"/>
      <c r="C1002" s="710"/>
      <c r="D1002" s="147">
        <f>SUM(D999:D1001)</f>
        <v>75950000</v>
      </c>
    </row>
    <row r="1003" spans="1:10" hidden="1"/>
    <row r="1004" spans="1:10" ht="45">
      <c r="A1004" s="1070" t="s">
        <v>555</v>
      </c>
      <c r="B1004" s="1070"/>
      <c r="C1004" s="1070"/>
      <c r="D1004" s="1070"/>
      <c r="E1004" s="1070"/>
      <c r="F1004" s="1070"/>
      <c r="G1004" s="1070"/>
      <c r="H1004" s="1070"/>
    </row>
    <row r="1005" spans="1:10" ht="23.25">
      <c r="A1005" s="1067" t="s">
        <v>859</v>
      </c>
      <c r="B1005" s="1067"/>
      <c r="C1005" s="1067"/>
      <c r="D1005" s="1067"/>
      <c r="E1005" s="1067"/>
      <c r="F1005" s="1067"/>
      <c r="G1005" s="1067"/>
      <c r="H1005" s="1067"/>
      <c r="I1005" s="1067"/>
    </row>
    <row r="1006" spans="1:10" ht="23.25">
      <c r="A1006" s="690" t="s">
        <v>3</v>
      </c>
      <c r="B1006" s="690" t="s">
        <v>606</v>
      </c>
      <c r="C1006" s="690" t="s">
        <v>5</v>
      </c>
      <c r="D1006" s="691" t="s">
        <v>6</v>
      </c>
      <c r="E1006" s="691" t="s">
        <v>7</v>
      </c>
      <c r="F1006" s="691" t="s">
        <v>645</v>
      </c>
      <c r="G1006" s="691" t="s">
        <v>646</v>
      </c>
      <c r="H1006" s="691" t="s">
        <v>647</v>
      </c>
      <c r="I1006" s="772" t="s">
        <v>762</v>
      </c>
      <c r="J1006" s="772" t="s">
        <v>648</v>
      </c>
    </row>
    <row r="1007" spans="1:10" ht="14.25">
      <c r="A1007" s="811">
        <v>15412</v>
      </c>
      <c r="B1007" s="605">
        <v>0.1</v>
      </c>
      <c r="C1007" s="114" t="s">
        <v>556</v>
      </c>
      <c r="D1007" s="510">
        <v>2000000</v>
      </c>
      <c r="E1007" s="337">
        <v>0.05</v>
      </c>
      <c r="F1007" s="431">
        <f>D1007*E1007</f>
        <v>100000</v>
      </c>
      <c r="G1007" s="114" t="s">
        <v>104</v>
      </c>
      <c r="H1007" s="114"/>
      <c r="I1007" s="114" t="s">
        <v>104</v>
      </c>
      <c r="J1007" s="114" t="s">
        <v>104</v>
      </c>
    </row>
    <row r="1008" spans="1:10" ht="14.25">
      <c r="A1008" s="811">
        <v>15494</v>
      </c>
      <c r="B1008" s="605">
        <v>0.1</v>
      </c>
      <c r="C1008" s="114" t="s">
        <v>558</v>
      </c>
      <c r="D1008" s="510">
        <v>2400000</v>
      </c>
      <c r="E1008" s="337">
        <v>0.05</v>
      </c>
      <c r="F1008" s="431">
        <f t="shared" ref="F1008:F1018" si="34">D1008*E1008</f>
        <v>120000</v>
      </c>
      <c r="G1008" s="114" t="s">
        <v>104</v>
      </c>
      <c r="H1008" s="114"/>
      <c r="I1008" s="114" t="s">
        <v>104</v>
      </c>
      <c r="J1008" s="114" t="s">
        <v>104</v>
      </c>
    </row>
    <row r="1009" spans="1:10" ht="14.25">
      <c r="A1009" s="811">
        <v>15537</v>
      </c>
      <c r="B1009" s="605">
        <v>0.1</v>
      </c>
      <c r="C1009" s="114" t="s">
        <v>559</v>
      </c>
      <c r="D1009" s="510">
        <v>2800000</v>
      </c>
      <c r="E1009" s="337">
        <v>0.05</v>
      </c>
      <c r="F1009" s="431">
        <f t="shared" si="34"/>
        <v>140000</v>
      </c>
      <c r="G1009" s="114" t="s">
        <v>104</v>
      </c>
      <c r="H1009" s="114"/>
      <c r="I1009" s="114" t="s">
        <v>104</v>
      </c>
      <c r="J1009" s="114" t="s">
        <v>104</v>
      </c>
    </row>
    <row r="1010" spans="1:10" ht="14.25">
      <c r="A1010" s="811">
        <v>15583</v>
      </c>
      <c r="B1010" s="605">
        <v>0.1</v>
      </c>
      <c r="C1010" s="114" t="s">
        <v>560</v>
      </c>
      <c r="D1010" s="510">
        <v>2000000</v>
      </c>
      <c r="E1010" s="337">
        <v>0.05</v>
      </c>
      <c r="F1010" s="431">
        <f t="shared" si="34"/>
        <v>100000</v>
      </c>
      <c r="G1010" s="114" t="s">
        <v>104</v>
      </c>
      <c r="H1010" s="83"/>
      <c r="I1010" s="83"/>
      <c r="J1010" s="83"/>
    </row>
    <row r="1011" spans="1:10" ht="14.25">
      <c r="A1011" s="811">
        <v>15538</v>
      </c>
      <c r="B1011" s="605">
        <v>0.1</v>
      </c>
      <c r="C1011" s="114" t="s">
        <v>572</v>
      </c>
      <c r="D1011" s="510">
        <v>1200000</v>
      </c>
      <c r="E1011" s="337">
        <v>0.05</v>
      </c>
      <c r="F1011" s="431">
        <f t="shared" si="34"/>
        <v>60000</v>
      </c>
      <c r="G1011" s="114" t="s">
        <v>104</v>
      </c>
      <c r="H1011" s="114"/>
      <c r="I1011" s="114" t="s">
        <v>104</v>
      </c>
      <c r="J1011" s="114" t="s">
        <v>104</v>
      </c>
    </row>
    <row r="1012" spans="1:10" ht="14.25">
      <c r="A1012" s="898">
        <v>15465</v>
      </c>
      <c r="B1012" s="605">
        <v>0.1</v>
      </c>
      <c r="C1012" s="114" t="s">
        <v>573</v>
      </c>
      <c r="D1012" s="510">
        <v>1800000</v>
      </c>
      <c r="E1012" s="337">
        <v>0.05</v>
      </c>
      <c r="F1012" s="431">
        <f t="shared" si="34"/>
        <v>90000</v>
      </c>
      <c r="G1012" s="114" t="s">
        <v>104</v>
      </c>
      <c r="H1012" s="114"/>
      <c r="I1012" s="114" t="s">
        <v>104</v>
      </c>
      <c r="J1012" s="114" t="s">
        <v>104</v>
      </c>
    </row>
    <row r="1013" spans="1:10" ht="14.25">
      <c r="A1013" s="898">
        <v>15584</v>
      </c>
      <c r="B1013" s="605">
        <v>0.1</v>
      </c>
      <c r="C1013" s="114" t="s">
        <v>575</v>
      </c>
      <c r="D1013" s="510">
        <v>1800000</v>
      </c>
      <c r="E1013" s="337">
        <v>0.05</v>
      </c>
      <c r="F1013" s="431">
        <f t="shared" si="34"/>
        <v>90000</v>
      </c>
      <c r="G1013" s="114" t="s">
        <v>104</v>
      </c>
      <c r="H1013" s="114"/>
      <c r="I1013" s="83"/>
      <c r="J1013" s="114" t="s">
        <v>104</v>
      </c>
    </row>
    <row r="1014" spans="1:10" ht="14.25">
      <c r="A1014" s="898">
        <v>15459</v>
      </c>
      <c r="B1014" s="526">
        <v>0.08</v>
      </c>
      <c r="C1014" s="114" t="s">
        <v>586</v>
      </c>
      <c r="D1014" s="510">
        <v>2150000</v>
      </c>
      <c r="E1014" s="337">
        <v>0.04</v>
      </c>
      <c r="F1014" s="431">
        <f t="shared" si="34"/>
        <v>86000</v>
      </c>
      <c r="G1014" s="114" t="s">
        <v>104</v>
      </c>
      <c r="H1014" s="114"/>
      <c r="I1014" s="114" t="s">
        <v>104</v>
      </c>
      <c r="J1014" s="114" t="s">
        <v>104</v>
      </c>
    </row>
    <row r="1015" spans="1:10" ht="14.25">
      <c r="A1015" s="954">
        <v>15557</v>
      </c>
      <c r="B1015" s="747">
        <v>0.08</v>
      </c>
      <c r="C1015" s="424" t="s">
        <v>587</v>
      </c>
      <c r="D1015" s="682">
        <v>2700000</v>
      </c>
      <c r="E1015" s="337">
        <v>0.04</v>
      </c>
      <c r="F1015" s="431">
        <f t="shared" si="34"/>
        <v>108000</v>
      </c>
      <c r="G1015" s="424" t="s">
        <v>104</v>
      </c>
      <c r="H1015" s="424"/>
      <c r="I1015" s="114" t="s">
        <v>104</v>
      </c>
      <c r="J1015" s="424" t="s">
        <v>104</v>
      </c>
    </row>
    <row r="1016" spans="1:10" ht="14.25">
      <c r="A1016" s="954">
        <v>15646</v>
      </c>
      <c r="B1016" s="747">
        <v>0.08</v>
      </c>
      <c r="C1016" s="424" t="s">
        <v>860</v>
      </c>
      <c r="D1016" s="682">
        <v>2200000</v>
      </c>
      <c r="E1016" s="337">
        <v>0.04</v>
      </c>
      <c r="F1016" s="431">
        <f t="shared" si="34"/>
        <v>88000</v>
      </c>
      <c r="G1016" s="424"/>
      <c r="H1016" s="424"/>
      <c r="I1016" s="424"/>
      <c r="J1016" s="424"/>
    </row>
    <row r="1017" spans="1:10" ht="14.25">
      <c r="A1017" s="898" t="s">
        <v>591</v>
      </c>
      <c r="B1017" s="337">
        <v>0.1</v>
      </c>
      <c r="C1017" s="52" t="s">
        <v>592</v>
      </c>
      <c r="D1017" s="510">
        <v>1200000</v>
      </c>
      <c r="E1017" s="337">
        <v>0.05</v>
      </c>
      <c r="F1017" s="431">
        <f t="shared" si="34"/>
        <v>60000</v>
      </c>
      <c r="G1017" s="114" t="s">
        <v>104</v>
      </c>
      <c r="H1017" s="114"/>
      <c r="I1017" s="114" t="s">
        <v>104</v>
      </c>
      <c r="J1017" s="114" t="s">
        <v>104</v>
      </c>
    </row>
    <row r="1018" spans="1:10" ht="14.25">
      <c r="A1018" s="898">
        <v>15603</v>
      </c>
      <c r="B1018" s="343">
        <v>0.08</v>
      </c>
      <c r="C1018" s="52" t="s">
        <v>593</v>
      </c>
      <c r="D1018" s="510">
        <v>1200000</v>
      </c>
      <c r="E1018" s="337">
        <v>0.04</v>
      </c>
      <c r="F1018" s="431">
        <f t="shared" si="34"/>
        <v>48000</v>
      </c>
      <c r="G1018" s="83"/>
      <c r="H1018" s="83"/>
      <c r="I1018" s="83"/>
      <c r="J1018" s="83"/>
    </row>
    <row r="1019" spans="1:10" ht="14.25" hidden="1">
      <c r="A1019" s="892" t="s">
        <v>802</v>
      </c>
      <c r="B1019" s="343"/>
      <c r="C1019" s="52" t="s">
        <v>861</v>
      </c>
      <c r="D1019" s="510"/>
      <c r="E1019" s="52"/>
      <c r="F1019" s="431"/>
      <c r="G1019" s="114"/>
      <c r="H1019" s="114"/>
      <c r="I1019" s="114"/>
      <c r="J1019" s="114"/>
    </row>
    <row r="1020" spans="1:10" ht="14.25">
      <c r="A1020" s="950" t="s">
        <v>569</v>
      </c>
      <c r="B1020" s="440"/>
      <c r="C1020" s="430" t="s">
        <v>570</v>
      </c>
      <c r="D1020" s="510"/>
      <c r="E1020" s="114"/>
      <c r="F1020" s="431"/>
      <c r="G1020" s="114"/>
      <c r="H1020" s="114"/>
      <c r="I1020" s="114"/>
      <c r="J1020" s="114"/>
    </row>
    <row r="1021" spans="1:10" ht="14.25">
      <c r="A1021" s="955" t="s">
        <v>348</v>
      </c>
      <c r="B1021" s="968">
        <v>0.1</v>
      </c>
      <c r="C1021" s="437" t="s">
        <v>862</v>
      </c>
      <c r="D1021" s="510"/>
      <c r="E1021" s="114"/>
      <c r="F1021" s="431"/>
      <c r="G1021" s="114"/>
      <c r="H1021" s="114"/>
      <c r="I1021" s="114"/>
      <c r="J1021" s="114"/>
    </row>
    <row r="1022" spans="1:10" ht="14.25">
      <c r="A1022" s="898"/>
      <c r="B1022" s="343"/>
      <c r="C1022" s="52"/>
      <c r="D1022" s="510"/>
      <c r="E1022" s="52"/>
      <c r="F1022" s="431"/>
      <c r="G1022" s="114"/>
      <c r="H1022" s="114"/>
      <c r="I1022" s="114"/>
      <c r="J1022" s="114"/>
    </row>
    <row r="1023" spans="1:10" ht="15">
      <c r="A1023" s="898"/>
      <c r="B1023" s="52"/>
      <c r="C1023" s="52"/>
      <c r="D1023" s="715">
        <f>SUM(D1007:D1022)</f>
        <v>23450000</v>
      </c>
      <c r="E1023" s="52"/>
      <c r="F1023" s="715">
        <f>SUM(F1007:F1022)</f>
        <v>1090000</v>
      </c>
      <c r="G1023" s="114"/>
      <c r="H1023" s="114"/>
      <c r="I1023" s="114"/>
      <c r="J1023" s="114"/>
    </row>
    <row r="1024" spans="1:10" ht="14.25" hidden="1">
      <c r="A1024" s="892" t="s">
        <v>835</v>
      </c>
      <c r="B1024" s="114"/>
      <c r="C1024" s="114" t="s">
        <v>863</v>
      </c>
      <c r="D1024" s="510"/>
      <c r="E1024" s="114"/>
      <c r="F1024" s="431" t="s">
        <v>388</v>
      </c>
      <c r="G1024" s="114"/>
      <c r="H1024" s="114"/>
      <c r="I1024" s="114"/>
      <c r="J1024" s="114"/>
    </row>
    <row r="1025" spans="1:11" ht="14.25" hidden="1">
      <c r="A1025" s="910" t="s">
        <v>864</v>
      </c>
      <c r="B1025" s="343"/>
      <c r="C1025" s="114" t="s">
        <v>865</v>
      </c>
      <c r="D1025" s="510"/>
      <c r="E1025" s="343"/>
      <c r="F1025" s="431" t="s">
        <v>372</v>
      </c>
      <c r="G1025" s="114"/>
      <c r="H1025" s="114"/>
      <c r="I1025" s="114"/>
      <c r="J1025" s="114"/>
    </row>
    <row r="1026" spans="1:11" ht="14.25" hidden="1">
      <c r="A1026" s="892" t="s">
        <v>835</v>
      </c>
      <c r="B1026" s="52"/>
      <c r="C1026" s="52" t="s">
        <v>866</v>
      </c>
      <c r="D1026" s="52"/>
      <c r="E1026" s="52"/>
      <c r="F1026" s="431" t="s">
        <v>550</v>
      </c>
      <c r="G1026" s="114"/>
      <c r="H1026" s="114"/>
      <c r="I1026" s="114"/>
      <c r="J1026" s="114"/>
    </row>
    <row r="1027" spans="1:11" ht="14.25" hidden="1">
      <c r="A1027" s="942" t="s">
        <v>835</v>
      </c>
      <c r="B1027" s="461"/>
      <c r="C1027" s="461" t="s">
        <v>867</v>
      </c>
      <c r="D1027" s="461"/>
      <c r="E1027" s="461"/>
      <c r="F1027" s="625" t="s">
        <v>372</v>
      </c>
      <c r="G1027" s="461"/>
      <c r="H1027" s="461"/>
      <c r="I1027" s="461"/>
      <c r="J1027" s="461"/>
    </row>
    <row r="1028" spans="1:11" ht="14.25" hidden="1">
      <c r="A1028" s="892" t="s">
        <v>835</v>
      </c>
      <c r="B1028" s="337"/>
      <c r="C1028" s="114" t="s">
        <v>868</v>
      </c>
      <c r="D1028" s="510"/>
      <c r="E1028" s="337"/>
      <c r="F1028" s="431" t="s">
        <v>388</v>
      </c>
      <c r="G1028" s="114"/>
      <c r="H1028" s="114"/>
      <c r="I1028" s="114"/>
      <c r="J1028" s="114"/>
    </row>
    <row r="1029" spans="1:11" ht="12.75" customHeight="1">
      <c r="A1029" s="52"/>
      <c r="B1029" s="52"/>
      <c r="C1029" s="52"/>
      <c r="D1029" s="697"/>
      <c r="E1029" s="52"/>
      <c r="F1029" s="52"/>
      <c r="G1029" s="114"/>
      <c r="H1029" s="114"/>
      <c r="I1029" s="114"/>
      <c r="J1029" s="114"/>
    </row>
    <row r="1030" spans="1:11" ht="23.25">
      <c r="A1030" s="1066" t="s">
        <v>869</v>
      </c>
      <c r="B1030" s="1066"/>
      <c r="C1030" s="1066"/>
      <c r="D1030" s="1066"/>
      <c r="E1030" s="1066"/>
      <c r="F1030" s="1066"/>
      <c r="G1030" s="1066"/>
      <c r="H1030" s="1066"/>
      <c r="I1030" s="1066"/>
    </row>
    <row r="1031" spans="1:11" ht="23.25">
      <c r="A1031" s="690" t="s">
        <v>3</v>
      </c>
      <c r="B1031" s="690" t="s">
        <v>606</v>
      </c>
      <c r="C1031" s="690" t="s">
        <v>5</v>
      </c>
      <c r="D1031" s="691" t="s">
        <v>6</v>
      </c>
      <c r="E1031" s="691" t="s">
        <v>7</v>
      </c>
      <c r="F1031" s="691" t="s">
        <v>645</v>
      </c>
      <c r="G1031" s="691" t="s">
        <v>646</v>
      </c>
      <c r="H1031" s="691" t="s">
        <v>647</v>
      </c>
      <c r="I1031" s="772" t="s">
        <v>762</v>
      </c>
      <c r="J1031" s="772" t="s">
        <v>648</v>
      </c>
    </row>
    <row r="1032" spans="1:11" ht="14.25">
      <c r="A1032" s="811">
        <v>15462</v>
      </c>
      <c r="B1032" s="605">
        <v>0.1</v>
      </c>
      <c r="C1032" s="52" t="s">
        <v>561</v>
      </c>
      <c r="D1032" s="510">
        <v>1500000</v>
      </c>
      <c r="E1032" s="605">
        <v>0.05</v>
      </c>
      <c r="F1032" s="431">
        <f>D1032*E1032</f>
        <v>75000</v>
      </c>
      <c r="G1032" s="114" t="s">
        <v>104</v>
      </c>
      <c r="H1032" s="114"/>
      <c r="I1032" s="114" t="s">
        <v>104</v>
      </c>
      <c r="J1032" s="114" t="s">
        <v>104</v>
      </c>
      <c r="K1032" s="431"/>
    </row>
    <row r="1033" spans="1:11" ht="14.25">
      <c r="A1033" s="811">
        <v>15413</v>
      </c>
      <c r="B1033" s="526">
        <v>0.08</v>
      </c>
      <c r="C1033" s="114" t="s">
        <v>562</v>
      </c>
      <c r="D1033" s="510">
        <v>2400000</v>
      </c>
      <c r="E1033" s="526">
        <v>0.04</v>
      </c>
      <c r="F1033" s="431">
        <f t="shared" ref="F1033:F1043" si="35">D1033*E1033</f>
        <v>96000</v>
      </c>
      <c r="G1033" s="114" t="s">
        <v>104</v>
      </c>
      <c r="H1033" s="114"/>
      <c r="I1033" s="114" t="s">
        <v>104</v>
      </c>
      <c r="J1033" s="114" t="s">
        <v>104</v>
      </c>
      <c r="K1033" s="431"/>
    </row>
    <row r="1034" spans="1:11" ht="14.25">
      <c r="A1034" s="811">
        <v>15450</v>
      </c>
      <c r="B1034" s="526">
        <v>0.08</v>
      </c>
      <c r="C1034" s="114" t="s">
        <v>870</v>
      </c>
      <c r="D1034" s="510">
        <v>2500000</v>
      </c>
      <c r="E1034" s="526">
        <v>0.04</v>
      </c>
      <c r="F1034" s="431">
        <f t="shared" si="35"/>
        <v>100000</v>
      </c>
      <c r="G1034" s="114" t="s">
        <v>104</v>
      </c>
      <c r="H1034" s="114"/>
      <c r="I1034" s="114" t="s">
        <v>104</v>
      </c>
      <c r="J1034" s="114" t="s">
        <v>104</v>
      </c>
      <c r="K1034" s="431"/>
    </row>
    <row r="1035" spans="1:11" ht="14.25">
      <c r="A1035" s="811">
        <v>15474</v>
      </c>
      <c r="B1035" s="605">
        <v>0.1</v>
      </c>
      <c r="C1035" s="114" t="s">
        <v>564</v>
      </c>
      <c r="D1035" s="510">
        <v>2700000</v>
      </c>
      <c r="E1035" s="605">
        <v>0.05</v>
      </c>
      <c r="F1035" s="431">
        <f t="shared" si="35"/>
        <v>135000</v>
      </c>
      <c r="G1035" s="114" t="s">
        <v>104</v>
      </c>
      <c r="H1035" s="114"/>
      <c r="I1035" s="114" t="s">
        <v>104</v>
      </c>
      <c r="J1035" s="114" t="s">
        <v>104</v>
      </c>
      <c r="K1035" s="431"/>
    </row>
    <row r="1036" spans="1:11" ht="14.25">
      <c r="A1036" s="811" t="s">
        <v>565</v>
      </c>
      <c r="B1036" s="605">
        <v>0.1</v>
      </c>
      <c r="C1036" s="114" t="s">
        <v>566</v>
      </c>
      <c r="D1036" s="510">
        <v>2250000</v>
      </c>
      <c r="E1036" s="605">
        <v>0.05</v>
      </c>
      <c r="F1036" s="431">
        <f t="shared" si="35"/>
        <v>112500</v>
      </c>
      <c r="G1036" s="114" t="s">
        <v>104</v>
      </c>
      <c r="H1036" s="114"/>
      <c r="I1036" s="114" t="s">
        <v>104</v>
      </c>
      <c r="J1036" s="114" t="s">
        <v>104</v>
      </c>
      <c r="K1036" s="431"/>
    </row>
    <row r="1037" spans="1:11" ht="14.25">
      <c r="A1037" s="811">
        <v>15545</v>
      </c>
      <c r="B1037" s="605">
        <v>0.1</v>
      </c>
      <c r="C1037" s="52" t="s">
        <v>578</v>
      </c>
      <c r="D1037" s="510">
        <v>1350000</v>
      </c>
      <c r="E1037" s="605">
        <v>0.05</v>
      </c>
      <c r="F1037" s="431">
        <f t="shared" si="35"/>
        <v>67500</v>
      </c>
      <c r="G1037" s="114" t="s">
        <v>104</v>
      </c>
      <c r="H1037" s="114"/>
      <c r="I1037" s="114" t="s">
        <v>104</v>
      </c>
      <c r="J1037" s="114" t="s">
        <v>104</v>
      </c>
      <c r="K1037" s="431"/>
    </row>
    <row r="1038" spans="1:11" ht="14.25">
      <c r="A1038" s="811">
        <v>15429</v>
      </c>
      <c r="B1038" s="605">
        <v>0.1</v>
      </c>
      <c r="C1038" s="114" t="s">
        <v>580</v>
      </c>
      <c r="D1038" s="510">
        <v>1800000</v>
      </c>
      <c r="E1038" s="605">
        <v>0.05</v>
      </c>
      <c r="F1038" s="431">
        <f t="shared" si="35"/>
        <v>90000</v>
      </c>
      <c r="G1038" s="114" t="s">
        <v>104</v>
      </c>
      <c r="H1038" s="114"/>
      <c r="I1038" s="114" t="s">
        <v>104</v>
      </c>
      <c r="J1038" s="114" t="s">
        <v>104</v>
      </c>
      <c r="K1038" s="431"/>
    </row>
    <row r="1039" spans="1:11" ht="14.25">
      <c r="A1039" s="811">
        <v>15530</v>
      </c>
      <c r="B1039" s="605">
        <v>0.1</v>
      </c>
      <c r="C1039" s="709" t="s">
        <v>581</v>
      </c>
      <c r="D1039" s="682">
        <v>2600000</v>
      </c>
      <c r="E1039" s="605">
        <v>0.05</v>
      </c>
      <c r="F1039" s="431">
        <f t="shared" si="35"/>
        <v>130000</v>
      </c>
      <c r="G1039" s="114" t="s">
        <v>104</v>
      </c>
      <c r="H1039" s="114"/>
      <c r="I1039" s="114" t="s">
        <v>104</v>
      </c>
      <c r="J1039" s="114" t="s">
        <v>104</v>
      </c>
      <c r="K1039" s="432"/>
    </row>
    <row r="1040" spans="1:11" ht="14.25">
      <c r="A1040" s="811">
        <v>15495</v>
      </c>
      <c r="B1040" s="605">
        <v>0.1</v>
      </c>
      <c r="C1040" s="52" t="s">
        <v>582</v>
      </c>
      <c r="D1040" s="510">
        <v>1300000</v>
      </c>
      <c r="E1040" s="605">
        <v>0.05</v>
      </c>
      <c r="F1040" s="431">
        <f t="shared" si="35"/>
        <v>65000</v>
      </c>
      <c r="G1040" s="114" t="s">
        <v>104</v>
      </c>
      <c r="H1040" s="114"/>
      <c r="I1040" s="114" t="s">
        <v>104</v>
      </c>
      <c r="J1040" s="114" t="s">
        <v>104</v>
      </c>
      <c r="K1040" s="431"/>
    </row>
    <row r="1041" spans="1:11" ht="14.25">
      <c r="A1041" s="811">
        <v>15539</v>
      </c>
      <c r="B1041" s="605">
        <v>0.1</v>
      </c>
      <c r="C1041" s="52" t="s">
        <v>583</v>
      </c>
      <c r="D1041" s="510">
        <v>1900000</v>
      </c>
      <c r="E1041" s="605">
        <v>0.05</v>
      </c>
      <c r="F1041" s="431">
        <f t="shared" si="35"/>
        <v>95000</v>
      </c>
      <c r="G1041" s="114" t="s">
        <v>104</v>
      </c>
      <c r="H1041" s="114"/>
      <c r="I1041" s="114" t="s">
        <v>104</v>
      </c>
      <c r="J1041" s="114" t="s">
        <v>104</v>
      </c>
      <c r="K1041" s="431"/>
    </row>
    <row r="1042" spans="1:11" ht="14.25">
      <c r="A1042" s="811">
        <v>15576</v>
      </c>
      <c r="B1042" s="526">
        <v>0.08</v>
      </c>
      <c r="C1042" s="52" t="s">
        <v>584</v>
      </c>
      <c r="D1042" s="510">
        <v>1900000</v>
      </c>
      <c r="E1042" s="526">
        <v>0.04</v>
      </c>
      <c r="F1042" s="431">
        <f t="shared" si="35"/>
        <v>76000</v>
      </c>
      <c r="G1042" s="114" t="s">
        <v>104</v>
      </c>
      <c r="H1042" s="114"/>
      <c r="I1042" s="114" t="s">
        <v>104</v>
      </c>
      <c r="J1042" s="114" t="s">
        <v>104</v>
      </c>
      <c r="K1042" s="431"/>
    </row>
    <row r="1043" spans="1:11" ht="14.25">
      <c r="A1043" s="811">
        <v>15569</v>
      </c>
      <c r="B1043" s="605">
        <v>0.1</v>
      </c>
      <c r="C1043" s="52" t="s">
        <v>595</v>
      </c>
      <c r="D1043" s="510">
        <v>1900000</v>
      </c>
      <c r="E1043" s="605">
        <v>0.05</v>
      </c>
      <c r="F1043" s="431">
        <f t="shared" si="35"/>
        <v>95000</v>
      </c>
      <c r="G1043" s="114" t="s">
        <v>104</v>
      </c>
      <c r="H1043" s="114"/>
      <c r="I1043" s="114" t="s">
        <v>104</v>
      </c>
      <c r="J1043" s="114" t="s">
        <v>104</v>
      </c>
      <c r="K1043" s="431"/>
    </row>
    <row r="1044" spans="1:11">
      <c r="A1044" s="114"/>
      <c r="B1044" s="114"/>
      <c r="C1044" s="52"/>
      <c r="D1044" s="114"/>
      <c r="E1044" s="114"/>
      <c r="F1044" s="114"/>
      <c r="G1044" s="114"/>
      <c r="H1044" s="114"/>
      <c r="I1044" s="114"/>
      <c r="J1044" s="114"/>
    </row>
    <row r="1045" spans="1:11" ht="14.25" hidden="1">
      <c r="A1045" s="893" t="s">
        <v>348</v>
      </c>
      <c r="B1045" s="526"/>
      <c r="C1045" s="114" t="s">
        <v>871</v>
      </c>
      <c r="D1045" s="510"/>
      <c r="E1045" s="343"/>
      <c r="F1045" s="431"/>
      <c r="G1045" s="114"/>
      <c r="H1045" s="114"/>
      <c r="I1045" s="114"/>
      <c r="J1045" s="114"/>
    </row>
    <row r="1046" spans="1:11" ht="14.25" hidden="1">
      <c r="A1046" s="942" t="s">
        <v>872</v>
      </c>
      <c r="B1046" s="114"/>
      <c r="C1046" s="52" t="s">
        <v>873</v>
      </c>
      <c r="D1046" s="114"/>
      <c r="E1046" s="114"/>
      <c r="F1046" s="431"/>
      <c r="G1046" s="114"/>
      <c r="H1046" s="114"/>
      <c r="I1046" s="114"/>
      <c r="J1046" s="114"/>
    </row>
    <row r="1047" spans="1:11" ht="14.25" hidden="1">
      <c r="A1047" s="892" t="s">
        <v>864</v>
      </c>
      <c r="B1047" s="52"/>
      <c r="C1047" s="52" t="s">
        <v>874</v>
      </c>
      <c r="D1047" s="510"/>
      <c r="E1047" s="52"/>
      <c r="F1047" s="431"/>
      <c r="G1047" s="114"/>
      <c r="H1047" s="114"/>
      <c r="I1047" s="114"/>
      <c r="J1047" s="114"/>
    </row>
    <row r="1048" spans="1:11" ht="14.25" hidden="1">
      <c r="A1048" s="942" t="s">
        <v>872</v>
      </c>
      <c r="B1048" s="461"/>
      <c r="C1048" s="461" t="s">
        <v>875</v>
      </c>
      <c r="D1048" s="679"/>
      <c r="E1048" s="429"/>
      <c r="F1048" s="625"/>
      <c r="G1048" s="461"/>
      <c r="H1048" s="461"/>
      <c r="I1048" s="461"/>
      <c r="J1048" s="461"/>
    </row>
    <row r="1049" spans="1:11" ht="23.25" customHeight="1">
      <c r="A1049" s="31"/>
      <c r="B1049" s="31"/>
      <c r="C1049" s="31"/>
      <c r="D1049" s="715">
        <f>SUM(D1032:D1047)</f>
        <v>24100000</v>
      </c>
      <c r="E1049" s="429"/>
      <c r="F1049" s="715">
        <f>SUM(F1032:F1047)</f>
        <v>1137000</v>
      </c>
      <c r="G1049" s="461"/>
      <c r="H1049" s="461"/>
      <c r="I1049" s="461"/>
      <c r="J1049" s="461"/>
    </row>
    <row r="1050" spans="1:11" ht="23.25">
      <c r="A1050" s="1067" t="s">
        <v>876</v>
      </c>
      <c r="B1050" s="1067"/>
      <c r="C1050" s="1067"/>
      <c r="D1050" s="1067"/>
      <c r="E1050" s="1067"/>
      <c r="F1050" s="1067"/>
      <c r="G1050" s="1067"/>
      <c r="H1050" s="1067"/>
      <c r="I1050" s="1067"/>
    </row>
    <row r="1051" spans="1:11" ht="23.25">
      <c r="A1051" s="690" t="s">
        <v>3</v>
      </c>
      <c r="B1051" s="690" t="s">
        <v>606</v>
      </c>
      <c r="C1051" s="690" t="s">
        <v>5</v>
      </c>
      <c r="D1051" s="691" t="s">
        <v>6</v>
      </c>
      <c r="E1051" s="691" t="s">
        <v>7</v>
      </c>
      <c r="F1051" s="691" t="s">
        <v>645</v>
      </c>
      <c r="G1051" s="691" t="s">
        <v>646</v>
      </c>
      <c r="H1051" s="691" t="s">
        <v>647</v>
      </c>
      <c r="I1051" s="772" t="s">
        <v>762</v>
      </c>
      <c r="J1051" s="772" t="s">
        <v>648</v>
      </c>
    </row>
    <row r="1052" spans="1:11" ht="16.5" customHeight="1">
      <c r="A1052" s="956">
        <v>15611</v>
      </c>
      <c r="B1052" s="337">
        <v>0.1</v>
      </c>
      <c r="C1052" s="709" t="s">
        <v>567</v>
      </c>
      <c r="D1052" s="510">
        <v>2100000</v>
      </c>
      <c r="E1052" s="964">
        <v>0.04</v>
      </c>
      <c r="F1052" s="697">
        <f>D1052*E1052</f>
        <v>84000</v>
      </c>
      <c r="G1052" s="114" t="s">
        <v>104</v>
      </c>
      <c r="H1052" s="114"/>
      <c r="I1052" s="114" t="s">
        <v>104</v>
      </c>
      <c r="J1052" s="114" t="s">
        <v>104</v>
      </c>
    </row>
    <row r="1053" spans="1:11" ht="16.5" customHeight="1">
      <c r="A1053" s="954">
        <v>15627</v>
      </c>
      <c r="B1053" s="337">
        <v>0.1</v>
      </c>
      <c r="C1053" s="424" t="s">
        <v>877</v>
      </c>
      <c r="D1053" s="510">
        <v>1600000</v>
      </c>
      <c r="E1053" s="964">
        <v>0.04</v>
      </c>
      <c r="F1053" s="697">
        <f t="shared" ref="F1053:F1059" si="36">D1053*E1053</f>
        <v>64000</v>
      </c>
      <c r="G1053" s="951"/>
      <c r="H1053" s="951"/>
      <c r="I1053" s="430"/>
      <c r="J1053" s="430"/>
    </row>
    <row r="1054" spans="1:11" ht="16.5" customHeight="1">
      <c r="A1054" s="811">
        <v>15563</v>
      </c>
      <c r="B1054" s="337">
        <v>0.1</v>
      </c>
      <c r="C1054" s="52" t="s">
        <v>585</v>
      </c>
      <c r="D1054" s="634">
        <v>1800000</v>
      </c>
      <c r="E1054" s="964">
        <v>0.04</v>
      </c>
      <c r="F1054" s="697">
        <f t="shared" si="36"/>
        <v>72000</v>
      </c>
      <c r="G1054" s="114" t="s">
        <v>104</v>
      </c>
      <c r="H1054" s="114"/>
      <c r="I1054" s="114" t="s">
        <v>104</v>
      </c>
      <c r="J1054" s="114" t="s">
        <v>104</v>
      </c>
    </row>
    <row r="1055" spans="1:11" ht="14.25">
      <c r="A1055" s="811">
        <v>15567</v>
      </c>
      <c r="B1055" s="337">
        <v>0.1</v>
      </c>
      <c r="C1055" s="52" t="s">
        <v>589</v>
      </c>
      <c r="D1055" s="634">
        <v>1700000</v>
      </c>
      <c r="E1055" s="964">
        <v>0.04</v>
      </c>
      <c r="F1055" s="697">
        <f t="shared" si="36"/>
        <v>68000</v>
      </c>
      <c r="G1055" s="114" t="s">
        <v>104</v>
      </c>
      <c r="H1055" s="114"/>
      <c r="I1055" s="114" t="s">
        <v>104</v>
      </c>
      <c r="J1055" s="114" t="s">
        <v>104</v>
      </c>
    </row>
    <row r="1056" spans="1:11" ht="14.25">
      <c r="A1056" s="811">
        <v>15632</v>
      </c>
      <c r="B1056" s="337">
        <v>0.1</v>
      </c>
      <c r="C1056" s="52" t="s">
        <v>878</v>
      </c>
      <c r="D1056" s="634">
        <v>2000000</v>
      </c>
      <c r="E1056" s="964">
        <v>0.04</v>
      </c>
      <c r="F1056" s="697">
        <f t="shared" si="36"/>
        <v>80000</v>
      </c>
      <c r="G1056" s="430"/>
      <c r="H1056" s="430"/>
      <c r="I1056" s="430"/>
      <c r="J1056" s="430"/>
    </row>
    <row r="1057" spans="1:10" ht="14.25">
      <c r="A1057" s="811">
        <v>15675</v>
      </c>
      <c r="B1057" s="337">
        <v>0.1</v>
      </c>
      <c r="C1057" s="52" t="s">
        <v>879</v>
      </c>
      <c r="D1057" s="634">
        <v>2700000</v>
      </c>
      <c r="E1057" s="964">
        <v>0.04</v>
      </c>
      <c r="F1057" s="697">
        <f t="shared" si="36"/>
        <v>108000</v>
      </c>
      <c r="G1057" s="430"/>
      <c r="H1057" s="430"/>
      <c r="I1057" s="430"/>
      <c r="J1057" s="430"/>
    </row>
    <row r="1058" spans="1:10" ht="14.25">
      <c r="A1058" s="811">
        <v>15619</v>
      </c>
      <c r="B1058" s="337">
        <v>0.1</v>
      </c>
      <c r="C1058" s="52" t="s">
        <v>880</v>
      </c>
      <c r="D1058" s="634">
        <v>2900000</v>
      </c>
      <c r="E1058" s="964">
        <v>0.04</v>
      </c>
      <c r="F1058" s="697">
        <f t="shared" si="36"/>
        <v>116000</v>
      </c>
      <c r="G1058" s="430"/>
      <c r="H1058" s="430"/>
      <c r="I1058" s="430"/>
      <c r="J1058" s="430"/>
    </row>
    <row r="1059" spans="1:10" ht="14.25">
      <c r="A1059" s="811">
        <v>15435</v>
      </c>
      <c r="B1059" s="343">
        <v>0.09</v>
      </c>
      <c r="C1059" s="52" t="s">
        <v>557</v>
      </c>
      <c r="D1059" s="634">
        <v>4300000</v>
      </c>
      <c r="E1059" s="964">
        <v>0.03</v>
      </c>
      <c r="F1059" s="697">
        <f t="shared" si="36"/>
        <v>129000</v>
      </c>
      <c r="G1059" s="114" t="s">
        <v>104</v>
      </c>
      <c r="H1059" s="114"/>
      <c r="I1059" s="114" t="s">
        <v>104</v>
      </c>
      <c r="J1059" s="114" t="s">
        <v>104</v>
      </c>
    </row>
    <row r="1060" spans="1:10">
      <c r="A1060" s="114"/>
      <c r="B1060" s="114"/>
      <c r="C1060" s="114"/>
      <c r="D1060" s="393"/>
      <c r="E1060" s="114"/>
      <c r="F1060" s="461"/>
      <c r="G1060" s="584"/>
      <c r="H1060" s="461"/>
      <c r="I1060" s="461"/>
      <c r="J1060" s="461"/>
    </row>
    <row r="1061" spans="1:10">
      <c r="A1061" s="429"/>
      <c r="B1061" s="461"/>
      <c r="C1061" s="461"/>
      <c r="D1061" s="461"/>
      <c r="E1061" s="461"/>
      <c r="F1061" s="461"/>
      <c r="G1061" s="114"/>
      <c r="H1061" s="114"/>
      <c r="I1061" s="114"/>
      <c r="J1061" s="114"/>
    </row>
    <row r="1062" spans="1:10" ht="15">
      <c r="A1062" s="52"/>
      <c r="B1062" s="52"/>
      <c r="C1062" s="52"/>
      <c r="D1062" s="715">
        <f>SUM(D1052:D1061)</f>
        <v>19100000</v>
      </c>
      <c r="E1062" s="52"/>
      <c r="F1062" s="715">
        <f>SUM(F1052:F1061)</f>
        <v>721000</v>
      </c>
      <c r="G1062" s="114"/>
      <c r="H1062" s="114"/>
      <c r="I1062" s="114"/>
      <c r="J1062" s="114"/>
    </row>
    <row r="1063" spans="1:10" ht="23.25">
      <c r="A1063" s="1066" t="s">
        <v>858</v>
      </c>
      <c r="B1063" s="1066"/>
      <c r="C1063" s="1066"/>
      <c r="D1063" s="1066"/>
      <c r="E1063" s="1066"/>
      <c r="F1063" s="1066"/>
      <c r="G1063" s="1067"/>
      <c r="H1063" s="1067"/>
      <c r="I1063" s="1067"/>
    </row>
    <row r="1064" spans="1:10" ht="23.25">
      <c r="A1064" s="690" t="s">
        <v>3</v>
      </c>
      <c r="B1064" s="690" t="s">
        <v>606</v>
      </c>
      <c r="C1064" s="690" t="s">
        <v>5</v>
      </c>
      <c r="D1064" s="691" t="s">
        <v>6</v>
      </c>
      <c r="E1064" s="691" t="s">
        <v>7</v>
      </c>
      <c r="F1064" s="691" t="s">
        <v>645</v>
      </c>
      <c r="G1064" s="691" t="s">
        <v>646</v>
      </c>
      <c r="H1064" s="691" t="s">
        <v>647</v>
      </c>
      <c r="I1064" s="772" t="s">
        <v>762</v>
      </c>
      <c r="J1064" s="772" t="s">
        <v>648</v>
      </c>
    </row>
    <row r="1065" spans="1:10" ht="15">
      <c r="A1065" s="811">
        <v>15412</v>
      </c>
      <c r="B1065" s="605">
        <v>0.1</v>
      </c>
      <c r="C1065" s="114" t="s">
        <v>556</v>
      </c>
      <c r="D1065" s="510">
        <v>2000000</v>
      </c>
      <c r="E1065" s="598">
        <v>2.5000000000000001E-2</v>
      </c>
      <c r="F1065" s="431">
        <f>D1065*E1065</f>
        <v>50000</v>
      </c>
      <c r="G1065" s="114" t="s">
        <v>104</v>
      </c>
      <c r="H1065" s="114"/>
      <c r="I1065" s="114" t="s">
        <v>104</v>
      </c>
      <c r="J1065" s="114" t="s">
        <v>104</v>
      </c>
    </row>
    <row r="1066" spans="1:10" ht="15">
      <c r="A1066" s="811">
        <v>15494</v>
      </c>
      <c r="B1066" s="605">
        <v>0.1</v>
      </c>
      <c r="C1066" s="114" t="s">
        <v>558</v>
      </c>
      <c r="D1066" s="510">
        <v>2400000</v>
      </c>
      <c r="E1066" s="598">
        <v>2.5000000000000001E-2</v>
      </c>
      <c r="F1066" s="431">
        <f t="shared" ref="F1066:F1095" si="37">D1066*E1066</f>
        <v>60000</v>
      </c>
      <c r="G1066" s="114" t="s">
        <v>104</v>
      </c>
      <c r="H1066" s="114"/>
      <c r="I1066" s="114" t="s">
        <v>104</v>
      </c>
      <c r="J1066" s="114" t="s">
        <v>104</v>
      </c>
    </row>
    <row r="1067" spans="1:10" ht="15">
      <c r="A1067" s="811">
        <v>15537</v>
      </c>
      <c r="B1067" s="605">
        <v>0.1</v>
      </c>
      <c r="C1067" s="114" t="s">
        <v>559</v>
      </c>
      <c r="D1067" s="510">
        <v>2800000</v>
      </c>
      <c r="E1067" s="598">
        <v>2.5000000000000001E-2</v>
      </c>
      <c r="F1067" s="431">
        <f t="shared" si="37"/>
        <v>70000</v>
      </c>
      <c r="G1067" s="114" t="s">
        <v>104</v>
      </c>
      <c r="H1067" s="114"/>
      <c r="I1067" s="114" t="s">
        <v>104</v>
      </c>
      <c r="J1067" s="114" t="s">
        <v>104</v>
      </c>
    </row>
    <row r="1068" spans="1:10" ht="15">
      <c r="A1068" s="811">
        <v>15583</v>
      </c>
      <c r="B1068" s="605">
        <v>0.1</v>
      </c>
      <c r="C1068" s="114" t="s">
        <v>560</v>
      </c>
      <c r="D1068" s="510">
        <v>2000000</v>
      </c>
      <c r="E1068" s="598">
        <v>2.5000000000000001E-2</v>
      </c>
      <c r="F1068" s="431">
        <f t="shared" si="37"/>
        <v>50000</v>
      </c>
      <c r="G1068" s="83"/>
      <c r="H1068" s="114"/>
      <c r="I1068" s="83"/>
      <c r="J1068" s="114" t="s">
        <v>104</v>
      </c>
    </row>
    <row r="1069" spans="1:10" ht="15">
      <c r="A1069" s="811">
        <v>15538</v>
      </c>
      <c r="B1069" s="605">
        <v>0.1</v>
      </c>
      <c r="C1069" s="114" t="s">
        <v>572</v>
      </c>
      <c r="D1069" s="510">
        <v>1200000</v>
      </c>
      <c r="E1069" s="598">
        <v>2.5000000000000001E-2</v>
      </c>
      <c r="F1069" s="431">
        <f t="shared" si="37"/>
        <v>30000</v>
      </c>
      <c r="G1069" s="114" t="s">
        <v>104</v>
      </c>
      <c r="H1069" s="114"/>
      <c r="I1069" s="114" t="s">
        <v>104</v>
      </c>
      <c r="J1069" s="114" t="s">
        <v>104</v>
      </c>
    </row>
    <row r="1070" spans="1:10" ht="15">
      <c r="A1070" s="898">
        <v>15465</v>
      </c>
      <c r="B1070" s="605">
        <v>0.1</v>
      </c>
      <c r="C1070" s="114" t="s">
        <v>573</v>
      </c>
      <c r="D1070" s="510">
        <v>1800000</v>
      </c>
      <c r="E1070" s="598">
        <v>2.5000000000000001E-2</v>
      </c>
      <c r="F1070" s="431">
        <f t="shared" si="37"/>
        <v>45000</v>
      </c>
      <c r="G1070" s="114" t="s">
        <v>104</v>
      </c>
      <c r="H1070" s="114"/>
      <c r="I1070" s="114" t="s">
        <v>104</v>
      </c>
      <c r="J1070" s="114" t="s">
        <v>104</v>
      </c>
    </row>
    <row r="1071" spans="1:10" ht="15">
      <c r="A1071" s="898">
        <v>15584</v>
      </c>
      <c r="B1071" s="605">
        <v>0.1</v>
      </c>
      <c r="C1071" s="114" t="s">
        <v>575</v>
      </c>
      <c r="D1071" s="510">
        <v>1800000</v>
      </c>
      <c r="E1071" s="598">
        <v>2.5000000000000001E-2</v>
      </c>
      <c r="F1071" s="431">
        <f t="shared" si="37"/>
        <v>45000</v>
      </c>
      <c r="G1071" s="424" t="s">
        <v>104</v>
      </c>
      <c r="H1071" s="424"/>
      <c r="I1071" s="424" t="s">
        <v>104</v>
      </c>
      <c r="J1071" s="424" t="s">
        <v>104</v>
      </c>
    </row>
    <row r="1072" spans="1:10" ht="15">
      <c r="A1072" s="898">
        <v>15459</v>
      </c>
      <c r="B1072" s="526">
        <v>0.08</v>
      </c>
      <c r="C1072" s="114" t="s">
        <v>586</v>
      </c>
      <c r="D1072" s="510">
        <v>2150000</v>
      </c>
      <c r="E1072" s="310">
        <v>0.02</v>
      </c>
      <c r="F1072" s="853">
        <f t="shared" si="37"/>
        <v>43000</v>
      </c>
      <c r="G1072" s="114" t="s">
        <v>104</v>
      </c>
      <c r="H1072" s="114"/>
      <c r="I1072" s="114" t="s">
        <v>104</v>
      </c>
      <c r="J1072" s="114" t="s">
        <v>104</v>
      </c>
    </row>
    <row r="1073" spans="1:10" ht="15">
      <c r="A1073" s="954">
        <v>15557</v>
      </c>
      <c r="B1073" s="747">
        <v>0.08</v>
      </c>
      <c r="C1073" s="424" t="s">
        <v>587</v>
      </c>
      <c r="D1073" s="682">
        <v>2700000</v>
      </c>
      <c r="E1073" s="310">
        <v>0.02</v>
      </c>
      <c r="F1073" s="853">
        <f t="shared" si="37"/>
        <v>54000</v>
      </c>
      <c r="G1073" s="114" t="s">
        <v>104</v>
      </c>
      <c r="H1073" s="114"/>
      <c r="I1073" s="114" t="s">
        <v>104</v>
      </c>
      <c r="J1073" s="114" t="s">
        <v>104</v>
      </c>
    </row>
    <row r="1074" spans="1:10" ht="15">
      <c r="A1074" s="954">
        <v>15646</v>
      </c>
      <c r="B1074" s="747">
        <v>0.08</v>
      </c>
      <c r="C1074" s="424" t="s">
        <v>860</v>
      </c>
      <c r="D1074" s="682">
        <v>2200000</v>
      </c>
      <c r="E1074" s="310">
        <v>0.02</v>
      </c>
      <c r="F1074" s="853">
        <f t="shared" si="37"/>
        <v>44000</v>
      </c>
      <c r="G1074" s="430"/>
      <c r="H1074" s="114"/>
      <c r="I1074" s="430"/>
      <c r="J1074" s="430"/>
    </row>
    <row r="1075" spans="1:10" ht="15">
      <c r="A1075" s="898" t="s">
        <v>591</v>
      </c>
      <c r="B1075" s="337">
        <v>0.1</v>
      </c>
      <c r="C1075" s="52" t="s">
        <v>592</v>
      </c>
      <c r="D1075" s="510">
        <v>1200000</v>
      </c>
      <c r="E1075" s="598">
        <v>2.5000000000000001E-2</v>
      </c>
      <c r="F1075" s="853">
        <f t="shared" si="37"/>
        <v>30000</v>
      </c>
      <c r="G1075" s="114" t="s">
        <v>104</v>
      </c>
      <c r="H1075" s="114"/>
      <c r="I1075" s="114" t="s">
        <v>104</v>
      </c>
      <c r="J1075" s="114" t="s">
        <v>104</v>
      </c>
    </row>
    <row r="1076" spans="1:10" ht="15">
      <c r="A1076" s="898">
        <v>15603</v>
      </c>
      <c r="B1076" s="343">
        <v>0.08</v>
      </c>
      <c r="C1076" s="52" t="s">
        <v>593</v>
      </c>
      <c r="D1076" s="510">
        <v>1200000</v>
      </c>
      <c r="E1076" s="310">
        <v>0.02</v>
      </c>
      <c r="F1076" s="853">
        <f t="shared" si="37"/>
        <v>24000</v>
      </c>
      <c r="G1076" s="83"/>
      <c r="H1076" s="114"/>
      <c r="I1076" s="83"/>
      <c r="J1076" s="83"/>
    </row>
    <row r="1077" spans="1:10" ht="15">
      <c r="A1077" s="811">
        <v>15462</v>
      </c>
      <c r="B1077" s="605">
        <v>0.1</v>
      </c>
      <c r="C1077" s="52" t="s">
        <v>561</v>
      </c>
      <c r="D1077" s="510">
        <v>1500000</v>
      </c>
      <c r="E1077" s="598">
        <v>2.5000000000000001E-2</v>
      </c>
      <c r="F1077" s="853">
        <f t="shared" si="37"/>
        <v>37500</v>
      </c>
      <c r="G1077" s="114" t="s">
        <v>104</v>
      </c>
      <c r="H1077" s="114"/>
      <c r="I1077" s="114" t="s">
        <v>104</v>
      </c>
      <c r="J1077" s="114" t="s">
        <v>104</v>
      </c>
    </row>
    <row r="1078" spans="1:10" ht="15">
      <c r="A1078" s="811">
        <v>15413</v>
      </c>
      <c r="B1078" s="526">
        <v>0.08</v>
      </c>
      <c r="C1078" s="114" t="s">
        <v>562</v>
      </c>
      <c r="D1078" s="510">
        <v>2400000</v>
      </c>
      <c r="E1078" s="310">
        <v>0.02</v>
      </c>
      <c r="F1078" s="431">
        <f t="shared" si="37"/>
        <v>48000</v>
      </c>
      <c r="G1078" s="461" t="s">
        <v>104</v>
      </c>
      <c r="H1078" s="461"/>
      <c r="I1078" s="461" t="s">
        <v>104</v>
      </c>
      <c r="J1078" s="461" t="s">
        <v>104</v>
      </c>
    </row>
    <row r="1079" spans="1:10" ht="15">
      <c r="A1079" s="811">
        <v>15450</v>
      </c>
      <c r="B1079" s="526">
        <v>0.08</v>
      </c>
      <c r="C1079" s="114" t="s">
        <v>870</v>
      </c>
      <c r="D1079" s="510">
        <v>2500000</v>
      </c>
      <c r="E1079" s="310">
        <v>0.02</v>
      </c>
      <c r="F1079" s="431">
        <f t="shared" si="37"/>
        <v>50000</v>
      </c>
      <c r="G1079" s="114" t="s">
        <v>104</v>
      </c>
      <c r="H1079" s="114"/>
      <c r="I1079" s="114" t="s">
        <v>104</v>
      </c>
      <c r="J1079" s="114" t="s">
        <v>104</v>
      </c>
    </row>
    <row r="1080" spans="1:10" ht="15">
      <c r="A1080" s="811">
        <v>15474</v>
      </c>
      <c r="B1080" s="605">
        <v>0.1</v>
      </c>
      <c r="C1080" s="114" t="s">
        <v>564</v>
      </c>
      <c r="D1080" s="510">
        <v>2700000</v>
      </c>
      <c r="E1080" s="598">
        <v>2.5000000000000001E-2</v>
      </c>
      <c r="F1080" s="431">
        <f t="shared" si="37"/>
        <v>67500</v>
      </c>
      <c r="G1080" s="114" t="s">
        <v>104</v>
      </c>
      <c r="H1080" s="114"/>
      <c r="I1080" s="114" t="s">
        <v>104</v>
      </c>
      <c r="J1080" s="114" t="s">
        <v>104</v>
      </c>
    </row>
    <row r="1081" spans="1:10" ht="15">
      <c r="A1081" s="811" t="s">
        <v>565</v>
      </c>
      <c r="B1081" s="605">
        <v>0.1</v>
      </c>
      <c r="C1081" s="114" t="s">
        <v>566</v>
      </c>
      <c r="D1081" s="510">
        <v>2250000</v>
      </c>
      <c r="E1081" s="598">
        <v>2.5000000000000001E-2</v>
      </c>
      <c r="F1081" s="431">
        <f t="shared" si="37"/>
        <v>56250</v>
      </c>
      <c r="G1081" s="114" t="s">
        <v>104</v>
      </c>
      <c r="H1081" s="114"/>
      <c r="I1081" s="114" t="s">
        <v>104</v>
      </c>
      <c r="J1081" s="114" t="s">
        <v>104</v>
      </c>
    </row>
    <row r="1082" spans="1:10" ht="15">
      <c r="A1082" s="811">
        <v>15545</v>
      </c>
      <c r="B1082" s="605">
        <v>0.1</v>
      </c>
      <c r="C1082" s="52" t="s">
        <v>578</v>
      </c>
      <c r="D1082" s="510">
        <v>1350000</v>
      </c>
      <c r="E1082" s="598">
        <v>2.5000000000000001E-2</v>
      </c>
      <c r="F1082" s="431">
        <f t="shared" si="37"/>
        <v>33750</v>
      </c>
      <c r="G1082" s="114" t="s">
        <v>104</v>
      </c>
      <c r="H1082" s="114"/>
      <c r="I1082" s="114" t="s">
        <v>104</v>
      </c>
      <c r="J1082" s="114" t="s">
        <v>104</v>
      </c>
    </row>
    <row r="1083" spans="1:10" ht="15">
      <c r="A1083" s="811">
        <v>15429</v>
      </c>
      <c r="B1083" s="605">
        <v>0.1</v>
      </c>
      <c r="C1083" s="114" t="s">
        <v>580</v>
      </c>
      <c r="D1083" s="510">
        <v>1800000</v>
      </c>
      <c r="E1083" s="598">
        <v>2.5000000000000001E-2</v>
      </c>
      <c r="F1083" s="431">
        <f t="shared" si="37"/>
        <v>45000</v>
      </c>
      <c r="G1083" s="114" t="s">
        <v>104</v>
      </c>
      <c r="H1083" s="114"/>
      <c r="I1083" s="114" t="s">
        <v>104</v>
      </c>
      <c r="J1083" s="114" t="s">
        <v>104</v>
      </c>
    </row>
    <row r="1084" spans="1:10" ht="15">
      <c r="A1084" s="811">
        <v>15530</v>
      </c>
      <c r="B1084" s="605">
        <v>0.1</v>
      </c>
      <c r="C1084" s="709" t="s">
        <v>581</v>
      </c>
      <c r="D1084" s="682">
        <v>2600000</v>
      </c>
      <c r="E1084" s="598">
        <v>2.5000000000000001E-2</v>
      </c>
      <c r="F1084" s="431">
        <f t="shared" si="37"/>
        <v>65000</v>
      </c>
      <c r="G1084" s="114" t="s">
        <v>104</v>
      </c>
      <c r="H1084" s="114"/>
      <c r="I1084" s="114" t="s">
        <v>104</v>
      </c>
      <c r="J1084" s="114" t="s">
        <v>104</v>
      </c>
    </row>
    <row r="1085" spans="1:10" ht="15">
      <c r="A1085" s="811">
        <v>15495</v>
      </c>
      <c r="B1085" s="605">
        <v>0.1</v>
      </c>
      <c r="C1085" s="52" t="s">
        <v>582</v>
      </c>
      <c r="D1085" s="510">
        <v>1300000</v>
      </c>
      <c r="E1085" s="598">
        <v>2.5000000000000001E-2</v>
      </c>
      <c r="F1085" s="431">
        <f t="shared" si="37"/>
        <v>32500</v>
      </c>
      <c r="G1085" s="114" t="s">
        <v>104</v>
      </c>
      <c r="H1085" s="114"/>
      <c r="I1085" s="114" t="s">
        <v>104</v>
      </c>
      <c r="J1085" s="114" t="s">
        <v>104</v>
      </c>
    </row>
    <row r="1086" spans="1:10" ht="15">
      <c r="A1086" s="811">
        <v>15539</v>
      </c>
      <c r="B1086" s="605">
        <v>0.1</v>
      </c>
      <c r="C1086" s="52" t="s">
        <v>583</v>
      </c>
      <c r="D1086" s="510">
        <v>1900000</v>
      </c>
      <c r="E1086" s="598">
        <v>2.5000000000000001E-2</v>
      </c>
      <c r="F1086" s="431">
        <f t="shared" si="37"/>
        <v>47500</v>
      </c>
      <c r="G1086" s="114" t="s">
        <v>104</v>
      </c>
      <c r="H1086" s="114"/>
      <c r="I1086" s="114" t="s">
        <v>104</v>
      </c>
      <c r="J1086" s="114" t="s">
        <v>104</v>
      </c>
    </row>
    <row r="1087" spans="1:10" ht="15">
      <c r="A1087" s="811">
        <v>15576</v>
      </c>
      <c r="B1087" s="526">
        <v>0.08</v>
      </c>
      <c r="C1087" s="52" t="s">
        <v>584</v>
      </c>
      <c r="D1087" s="510">
        <v>1900000</v>
      </c>
      <c r="E1087" s="310">
        <v>0.02</v>
      </c>
      <c r="F1087" s="431">
        <f t="shared" si="37"/>
        <v>38000</v>
      </c>
      <c r="G1087" s="114" t="s">
        <v>104</v>
      </c>
      <c r="H1087" s="114"/>
      <c r="I1087" s="114" t="s">
        <v>104</v>
      </c>
      <c r="J1087" s="114" t="s">
        <v>104</v>
      </c>
    </row>
    <row r="1088" spans="1:10" ht="15">
      <c r="A1088" s="811">
        <v>15569</v>
      </c>
      <c r="B1088" s="605">
        <v>0.1</v>
      </c>
      <c r="C1088" s="52" t="s">
        <v>595</v>
      </c>
      <c r="D1088" s="510">
        <v>1900000</v>
      </c>
      <c r="E1088" s="598">
        <v>2.5000000000000001E-2</v>
      </c>
      <c r="F1088" s="431">
        <f t="shared" si="37"/>
        <v>47500</v>
      </c>
      <c r="G1088" s="114" t="s">
        <v>104</v>
      </c>
      <c r="H1088" s="114"/>
      <c r="I1088" s="114" t="s">
        <v>104</v>
      </c>
      <c r="J1088" s="114" t="s">
        <v>104</v>
      </c>
    </row>
    <row r="1089" spans="1:10" ht="15">
      <c r="A1089" s="956">
        <v>15611</v>
      </c>
      <c r="B1089" s="337">
        <v>0.1</v>
      </c>
      <c r="C1089" s="709" t="s">
        <v>567</v>
      </c>
      <c r="D1089" s="510">
        <v>2100000</v>
      </c>
      <c r="E1089" s="598">
        <v>2.5000000000000001E-2</v>
      </c>
      <c r="F1089" s="431">
        <f t="shared" si="37"/>
        <v>52500</v>
      </c>
      <c r="G1089" s="114" t="s">
        <v>104</v>
      </c>
      <c r="H1089" s="114"/>
      <c r="I1089" s="114" t="s">
        <v>104</v>
      </c>
      <c r="J1089" s="114" t="s">
        <v>104</v>
      </c>
    </row>
    <row r="1090" spans="1:10" ht="18.75" customHeight="1">
      <c r="A1090" s="954">
        <v>15627</v>
      </c>
      <c r="B1090" s="337">
        <v>0.1</v>
      </c>
      <c r="C1090" s="424" t="s">
        <v>568</v>
      </c>
      <c r="D1090" s="510">
        <v>1600000</v>
      </c>
      <c r="E1090" s="598">
        <v>2.5000000000000001E-2</v>
      </c>
      <c r="F1090" s="431">
        <f t="shared" si="37"/>
        <v>40000</v>
      </c>
      <c r="G1090" s="951"/>
      <c r="H1090" s="969"/>
      <c r="I1090" s="430"/>
      <c r="J1090" s="430"/>
    </row>
    <row r="1091" spans="1:10" ht="15">
      <c r="A1091" s="811">
        <v>15563</v>
      </c>
      <c r="B1091" s="337">
        <v>0.1</v>
      </c>
      <c r="C1091" s="52" t="s">
        <v>585</v>
      </c>
      <c r="D1091" s="634">
        <v>1800000</v>
      </c>
      <c r="E1091" s="598">
        <v>2.5000000000000001E-2</v>
      </c>
      <c r="F1091" s="431">
        <f t="shared" si="37"/>
        <v>45000</v>
      </c>
      <c r="G1091" s="114" t="s">
        <v>104</v>
      </c>
      <c r="H1091" s="114"/>
      <c r="I1091" s="114" t="s">
        <v>104</v>
      </c>
      <c r="J1091" s="114" t="s">
        <v>104</v>
      </c>
    </row>
    <row r="1092" spans="1:10" ht="15">
      <c r="A1092" s="811">
        <v>15567</v>
      </c>
      <c r="B1092" s="337">
        <v>0.1</v>
      </c>
      <c r="C1092" s="52" t="s">
        <v>589</v>
      </c>
      <c r="D1092" s="634">
        <v>1700000</v>
      </c>
      <c r="E1092" s="598">
        <v>2.5000000000000001E-2</v>
      </c>
      <c r="F1092" s="431">
        <f t="shared" si="37"/>
        <v>42500</v>
      </c>
      <c r="G1092" s="114" t="s">
        <v>104</v>
      </c>
      <c r="H1092" s="114"/>
      <c r="I1092" s="114" t="s">
        <v>104</v>
      </c>
      <c r="J1092" s="114" t="s">
        <v>104</v>
      </c>
    </row>
    <row r="1093" spans="1:10" ht="15">
      <c r="A1093" s="811">
        <v>15632</v>
      </c>
      <c r="B1093" s="337">
        <v>0.1</v>
      </c>
      <c r="C1093" s="52" t="s">
        <v>881</v>
      </c>
      <c r="D1093" s="634">
        <v>2000000</v>
      </c>
      <c r="E1093" s="598">
        <v>2.5000000000000001E-2</v>
      </c>
      <c r="F1093" s="431">
        <f t="shared" si="37"/>
        <v>50000</v>
      </c>
      <c r="G1093" s="952"/>
      <c r="H1093" s="114"/>
      <c r="I1093" s="430"/>
      <c r="J1093" s="430"/>
    </row>
    <row r="1094" spans="1:10" ht="15">
      <c r="A1094" s="811">
        <v>15675</v>
      </c>
      <c r="B1094" s="337">
        <v>0.1</v>
      </c>
      <c r="C1094" s="52" t="s">
        <v>882</v>
      </c>
      <c r="D1094" s="634">
        <v>2700000</v>
      </c>
      <c r="E1094" s="598">
        <v>2.5000000000000001E-2</v>
      </c>
      <c r="F1094" s="431">
        <f t="shared" si="37"/>
        <v>67500</v>
      </c>
      <c r="G1094" s="952"/>
      <c r="H1094" s="114"/>
      <c r="I1094" s="430"/>
      <c r="J1094" s="430"/>
    </row>
    <row r="1095" spans="1:10" ht="15">
      <c r="A1095" s="943">
        <v>15619</v>
      </c>
      <c r="B1095" s="531">
        <v>0.1</v>
      </c>
      <c r="C1095" s="709" t="s">
        <v>880</v>
      </c>
      <c r="D1095" s="716">
        <v>2900000</v>
      </c>
      <c r="E1095" s="598">
        <v>2.5000000000000001E-2</v>
      </c>
      <c r="F1095" s="431">
        <f t="shared" si="37"/>
        <v>72500</v>
      </c>
      <c r="G1095" s="967"/>
      <c r="H1095" s="424"/>
      <c r="I1095" s="456"/>
      <c r="J1095" s="456"/>
    </row>
    <row r="1096" spans="1:10" ht="30" customHeight="1">
      <c r="A1096" s="1068" t="s">
        <v>59</v>
      </c>
      <c r="B1096" s="1068"/>
      <c r="C1096" s="1069"/>
      <c r="D1096" s="510">
        <f>SUM(D1065:D1095)</f>
        <v>62350000</v>
      </c>
      <c r="E1096" s="52"/>
      <c r="F1096" s="524">
        <f>SUM(F1065:F1095)</f>
        <v>1483500</v>
      </c>
      <c r="G1096" s="114"/>
      <c r="H1096" s="114"/>
      <c r="I1096" s="114"/>
      <c r="J1096" s="114"/>
    </row>
    <row r="1099" spans="1:10" ht="18">
      <c r="A1099" s="930" t="s">
        <v>883</v>
      </c>
      <c r="B1099" s="930"/>
      <c r="C1099" s="930"/>
      <c r="D1099" s="510">
        <v>62350000</v>
      </c>
    </row>
    <row r="1100" spans="1:10" ht="18">
      <c r="A1100" s="937" t="s">
        <v>884</v>
      </c>
      <c r="B1100" s="931"/>
      <c r="C1100" s="931"/>
      <c r="D1100" s="416">
        <v>12700000</v>
      </c>
    </row>
    <row r="1101" spans="1:10" ht="18">
      <c r="A1101" s="932" t="s">
        <v>52</v>
      </c>
      <c r="B1101" s="932"/>
      <c r="C1101" s="932"/>
      <c r="D1101" s="416"/>
    </row>
    <row r="1102" spans="1:10" ht="18">
      <c r="A1102" s="976" t="s">
        <v>59</v>
      </c>
      <c r="B1102" s="976"/>
      <c r="C1102" s="976"/>
      <c r="D1102" s="977">
        <f>SUM(D1099:D1101)</f>
        <v>75050000</v>
      </c>
    </row>
    <row r="1103" spans="1:10" ht="22.5" customHeight="1">
      <c r="A1103" s="978" t="s">
        <v>885</v>
      </c>
      <c r="B1103" s="1044" t="s">
        <v>886</v>
      </c>
      <c r="C1103" s="1044"/>
      <c r="D1103" s="1044"/>
    </row>
    <row r="1105" spans="1:10" ht="45">
      <c r="A1105" s="1070" t="s">
        <v>598</v>
      </c>
      <c r="B1105" s="1070"/>
      <c r="C1105" s="1070"/>
      <c r="D1105" s="1070"/>
      <c r="E1105" s="1070"/>
      <c r="F1105" s="1070"/>
      <c r="G1105" s="1070"/>
      <c r="H1105" s="1070"/>
    </row>
    <row r="1106" spans="1:10" ht="23.25">
      <c r="A1106" s="1067" t="s">
        <v>887</v>
      </c>
      <c r="B1106" s="1067"/>
      <c r="C1106" s="1067"/>
      <c r="D1106" s="1067"/>
      <c r="E1106" s="1067"/>
      <c r="F1106" s="1067"/>
      <c r="G1106" s="1067"/>
      <c r="H1106" s="1067"/>
      <c r="I1106" s="1067"/>
    </row>
    <row r="1107" spans="1:10" ht="23.25">
      <c r="A1107" s="690" t="s">
        <v>3</v>
      </c>
      <c r="B1107" s="690" t="s">
        <v>606</v>
      </c>
      <c r="C1107" s="690" t="s">
        <v>5</v>
      </c>
      <c r="D1107" s="691" t="s">
        <v>6</v>
      </c>
      <c r="E1107" s="691" t="s">
        <v>7</v>
      </c>
      <c r="F1107" s="691" t="s">
        <v>645</v>
      </c>
      <c r="G1107" s="691" t="s">
        <v>646</v>
      </c>
      <c r="H1107" s="691" t="s">
        <v>647</v>
      </c>
      <c r="I1107" s="772" t="s">
        <v>762</v>
      </c>
      <c r="J1107" s="772" t="s">
        <v>648</v>
      </c>
    </row>
    <row r="1108" spans="1:10" ht="14.25">
      <c r="A1108" s="950" t="s">
        <v>569</v>
      </c>
      <c r="B1108" s="114"/>
      <c r="C1108" s="959" t="s">
        <v>570</v>
      </c>
      <c r="D1108" s="510"/>
      <c r="E1108" s="337"/>
      <c r="F1108" s="431"/>
      <c r="G1108" s="114"/>
      <c r="H1108" s="114"/>
      <c r="I1108" s="114"/>
      <c r="J1108" s="114"/>
    </row>
    <row r="1109" spans="1:10" ht="14.25">
      <c r="A1109" s="955" t="s">
        <v>348</v>
      </c>
      <c r="B1109" s="605"/>
      <c r="C1109" s="960" t="s">
        <v>599</v>
      </c>
      <c r="D1109" s="510"/>
      <c r="E1109" s="337"/>
      <c r="F1109" s="431"/>
      <c r="G1109" s="114"/>
      <c r="H1109" s="114"/>
      <c r="I1109" s="114"/>
      <c r="J1109" s="114"/>
    </row>
    <row r="1110" spans="1:10" ht="14.25">
      <c r="A1110" s="955" t="s">
        <v>348</v>
      </c>
      <c r="B1110" s="343"/>
      <c r="C1110" s="114" t="s">
        <v>602</v>
      </c>
      <c r="D1110" s="510"/>
      <c r="E1110" s="337"/>
      <c r="F1110" s="431"/>
      <c r="G1110" s="114"/>
      <c r="H1110" s="114"/>
      <c r="I1110" s="114"/>
      <c r="J1110" s="114"/>
    </row>
    <row r="1111" spans="1:10" ht="14.25">
      <c r="A1111" s="955" t="s">
        <v>348</v>
      </c>
      <c r="B1111" s="605"/>
      <c r="C1111" s="114" t="s">
        <v>603</v>
      </c>
      <c r="D1111" s="510"/>
      <c r="E1111" s="337"/>
      <c r="F1111" s="431"/>
      <c r="G1111" s="114"/>
      <c r="H1111" s="83"/>
      <c r="I1111" s="83"/>
      <c r="J1111" s="83"/>
    </row>
    <row r="1112" spans="1:10" ht="14.25">
      <c r="A1112" s="955" t="s">
        <v>348</v>
      </c>
      <c r="B1112" s="337"/>
      <c r="C1112" s="114" t="s">
        <v>604</v>
      </c>
      <c r="D1112" s="510"/>
      <c r="E1112" s="337"/>
      <c r="F1112" s="431"/>
      <c r="G1112" s="114"/>
      <c r="H1112" s="114"/>
      <c r="I1112" s="114"/>
      <c r="J1112" s="114"/>
    </row>
    <row r="1113" spans="1:10" ht="14.25">
      <c r="A1113" s="898"/>
      <c r="B1113" s="605"/>
      <c r="C1113" s="114"/>
      <c r="D1113" s="510"/>
      <c r="E1113" s="337"/>
      <c r="F1113" s="431"/>
      <c r="G1113" s="114"/>
      <c r="H1113" s="114"/>
      <c r="I1113" s="114"/>
      <c r="J1113" s="114"/>
    </row>
    <row r="1114" spans="1:10" ht="23.25">
      <c r="A1114" s="1067" t="s">
        <v>888</v>
      </c>
      <c r="B1114" s="1067"/>
      <c r="C1114" s="1067"/>
      <c r="D1114" s="1067"/>
      <c r="E1114" s="1067"/>
      <c r="F1114" s="1067"/>
      <c r="G1114" s="1067"/>
      <c r="H1114" s="1067"/>
      <c r="I1114" s="1067"/>
    </row>
    <row r="1115" spans="1:10" ht="23.25">
      <c r="A1115" s="690" t="s">
        <v>3</v>
      </c>
      <c r="B1115" s="690" t="s">
        <v>606</v>
      </c>
      <c r="C1115" s="690" t="s">
        <v>5</v>
      </c>
      <c r="D1115" s="691" t="s">
        <v>6</v>
      </c>
      <c r="E1115" s="691" t="s">
        <v>7</v>
      </c>
      <c r="F1115" s="691" t="s">
        <v>645</v>
      </c>
      <c r="G1115" s="691" t="s">
        <v>646</v>
      </c>
      <c r="H1115" s="691" t="s">
        <v>647</v>
      </c>
      <c r="I1115" s="772" t="s">
        <v>762</v>
      </c>
      <c r="J1115" s="772" t="s">
        <v>648</v>
      </c>
    </row>
    <row r="1116" spans="1:10" ht="14.25">
      <c r="A1116" s="955" t="s">
        <v>348</v>
      </c>
      <c r="B1116" s="337"/>
      <c r="C1116" s="114" t="s">
        <v>600</v>
      </c>
      <c r="D1116" s="510"/>
      <c r="E1116" s="337"/>
      <c r="F1116" s="431"/>
      <c r="G1116" s="114"/>
      <c r="H1116" s="114"/>
      <c r="I1116" s="114"/>
      <c r="J1116" s="114"/>
    </row>
    <row r="1117" spans="1:10" ht="14.25">
      <c r="A1117" s="811"/>
      <c r="B1117" s="605"/>
      <c r="C1117" s="114"/>
      <c r="D1117" s="510"/>
      <c r="E1117" s="337"/>
      <c r="F1117" s="431"/>
      <c r="G1117" s="114"/>
      <c r="H1117" s="114"/>
      <c r="I1117" s="114"/>
      <c r="J1117" s="114"/>
    </row>
    <row r="1118" spans="1:10" ht="14.25">
      <c r="A1118" s="811"/>
      <c r="B1118" s="605"/>
      <c r="C1118" s="114"/>
      <c r="D1118" s="510"/>
      <c r="E1118" s="337"/>
      <c r="F1118" s="431"/>
      <c r="G1118" s="114"/>
      <c r="H1118" s="114"/>
      <c r="I1118" s="114"/>
      <c r="J1118" s="114"/>
    </row>
    <row r="1119" spans="1:10" ht="14.25">
      <c r="A1119" s="811"/>
      <c r="B1119" s="605"/>
      <c r="C1119" s="114"/>
      <c r="D1119" s="510"/>
      <c r="E1119" s="337"/>
      <c r="F1119" s="431"/>
      <c r="G1119" s="114"/>
      <c r="H1119" s="83"/>
      <c r="I1119" s="83"/>
      <c r="J1119" s="83"/>
    </row>
    <row r="1120" spans="1:10" ht="14.25">
      <c r="A1120" s="811"/>
      <c r="B1120" s="605"/>
      <c r="C1120" s="114"/>
      <c r="D1120" s="510"/>
      <c r="E1120" s="337"/>
      <c r="F1120" s="431"/>
      <c r="G1120" s="114"/>
      <c r="H1120" s="114"/>
      <c r="I1120" s="114"/>
      <c r="J1120" s="114"/>
    </row>
    <row r="1121" spans="1:10" ht="14.25">
      <c r="A1121" s="898"/>
      <c r="B1121" s="605"/>
      <c r="C1121" s="114"/>
      <c r="D1121" s="510"/>
      <c r="E1121" s="337"/>
      <c r="F1121" s="431"/>
      <c r="G1121" s="114"/>
      <c r="H1121" s="114"/>
      <c r="I1121" s="114"/>
      <c r="J1121" s="114"/>
    </row>
    <row r="1122" spans="1:10" ht="23.25">
      <c r="A1122" s="1067" t="s">
        <v>889</v>
      </c>
      <c r="B1122" s="1067"/>
      <c r="C1122" s="1067"/>
      <c r="D1122" s="1067"/>
      <c r="E1122" s="1067"/>
      <c r="F1122" s="1067"/>
      <c r="G1122" s="1067"/>
      <c r="H1122" s="1067"/>
      <c r="I1122" s="1067"/>
    </row>
    <row r="1123" spans="1:10" ht="23.25">
      <c r="A1123" s="690" t="s">
        <v>3</v>
      </c>
      <c r="B1123" s="690" t="s">
        <v>606</v>
      </c>
      <c r="C1123" s="690" t="s">
        <v>5</v>
      </c>
      <c r="D1123" s="691" t="s">
        <v>6</v>
      </c>
      <c r="E1123" s="691" t="s">
        <v>7</v>
      </c>
      <c r="F1123" s="691" t="s">
        <v>645</v>
      </c>
      <c r="G1123" s="691" t="s">
        <v>646</v>
      </c>
      <c r="H1123" s="691" t="s">
        <v>647</v>
      </c>
      <c r="I1123" s="772" t="s">
        <v>762</v>
      </c>
      <c r="J1123" s="772" t="s">
        <v>648</v>
      </c>
    </row>
    <row r="1124" spans="1:10" ht="14.25">
      <c r="A1124" s="811"/>
      <c r="B1124" s="605"/>
      <c r="C1124" s="114"/>
      <c r="D1124" s="510"/>
      <c r="E1124" s="337"/>
      <c r="F1124" s="431"/>
      <c r="G1124" s="114"/>
      <c r="H1124" s="114"/>
      <c r="I1124" s="114"/>
      <c r="J1124" s="114"/>
    </row>
    <row r="1125" spans="1:10" ht="14.25">
      <c r="A1125" s="811"/>
      <c r="B1125" s="605"/>
      <c r="C1125" s="114"/>
      <c r="D1125" s="510"/>
      <c r="E1125" s="337"/>
      <c r="F1125" s="431"/>
      <c r="G1125" s="114"/>
      <c r="H1125" s="114"/>
      <c r="I1125" s="114"/>
      <c r="J1125" s="114"/>
    </row>
    <row r="1126" spans="1:10" ht="14.25">
      <c r="A1126" s="811"/>
      <c r="B1126" s="605"/>
      <c r="C1126" s="114"/>
      <c r="D1126" s="510"/>
      <c r="E1126" s="337"/>
      <c r="F1126" s="431"/>
      <c r="G1126" s="114"/>
      <c r="H1126" s="114"/>
      <c r="I1126" s="114"/>
      <c r="J1126" s="114"/>
    </row>
    <row r="1127" spans="1:10" ht="14.25">
      <c r="A1127" s="811"/>
      <c r="B1127" s="605"/>
      <c r="C1127" s="114"/>
      <c r="D1127" s="510"/>
      <c r="E1127" s="337"/>
      <c r="F1127" s="431"/>
      <c r="G1127" s="114"/>
      <c r="H1127" s="83"/>
      <c r="I1127" s="83"/>
      <c r="J1127" s="83"/>
    </row>
    <row r="1128" spans="1:10" ht="14.25">
      <c r="A1128" s="811"/>
      <c r="B1128" s="605"/>
      <c r="C1128" s="114"/>
      <c r="D1128" s="510"/>
      <c r="E1128" s="337"/>
      <c r="F1128" s="431"/>
      <c r="G1128" s="114"/>
      <c r="H1128" s="114"/>
      <c r="I1128" s="114"/>
      <c r="J1128" s="114"/>
    </row>
    <row r="1129" spans="1:10" ht="14.25">
      <c r="A1129" s="898"/>
      <c r="B1129" s="605"/>
      <c r="C1129" s="114"/>
      <c r="D1129" s="510"/>
      <c r="E1129" s="337"/>
      <c r="F1129" s="431"/>
      <c r="G1129" s="114"/>
      <c r="H1129" s="114"/>
      <c r="I1129" s="114"/>
      <c r="J1129" s="114"/>
    </row>
    <row r="1130" spans="1:10" ht="23.25">
      <c r="A1130" s="1067" t="s">
        <v>890</v>
      </c>
      <c r="B1130" s="1067"/>
      <c r="C1130" s="1067"/>
      <c r="D1130" s="1067"/>
      <c r="E1130" s="1067"/>
      <c r="F1130" s="1067"/>
      <c r="G1130" s="1067"/>
      <c r="H1130" s="1067"/>
      <c r="I1130" s="1067"/>
    </row>
    <row r="1131" spans="1:10" ht="23.25">
      <c r="A1131" s="690" t="s">
        <v>3</v>
      </c>
      <c r="B1131" s="690" t="s">
        <v>606</v>
      </c>
      <c r="C1131" s="690" t="s">
        <v>5</v>
      </c>
      <c r="D1131" s="691" t="s">
        <v>6</v>
      </c>
      <c r="E1131" s="691" t="s">
        <v>7</v>
      </c>
      <c r="F1131" s="691" t="s">
        <v>645</v>
      </c>
      <c r="G1131" s="691" t="s">
        <v>646</v>
      </c>
      <c r="H1131" s="691" t="s">
        <v>647</v>
      </c>
      <c r="I1131" s="772" t="s">
        <v>762</v>
      </c>
      <c r="J1131" s="772" t="s">
        <v>648</v>
      </c>
    </row>
    <row r="1132" spans="1:10" ht="14.25">
      <c r="A1132" s="811"/>
      <c r="B1132" s="605"/>
      <c r="C1132" s="114"/>
      <c r="D1132" s="510"/>
      <c r="E1132" s="337"/>
      <c r="F1132" s="431"/>
      <c r="G1132" s="114"/>
      <c r="H1132" s="114"/>
      <c r="I1132" s="114"/>
      <c r="J1132" s="114"/>
    </row>
    <row r="1133" spans="1:10" ht="14.25">
      <c r="A1133" s="811"/>
      <c r="B1133" s="605"/>
      <c r="C1133" s="114"/>
      <c r="D1133" s="510"/>
      <c r="E1133" s="337"/>
      <c r="F1133" s="431"/>
      <c r="G1133" s="114"/>
      <c r="H1133" s="114"/>
      <c r="I1133" s="114"/>
      <c r="J1133" s="114"/>
    </row>
    <row r="1134" spans="1:10" ht="14.25">
      <c r="A1134" s="811"/>
      <c r="B1134" s="605"/>
      <c r="C1134" s="114"/>
      <c r="D1134" s="510"/>
      <c r="E1134" s="337"/>
      <c r="F1134" s="431"/>
      <c r="G1134" s="114"/>
      <c r="H1134" s="114"/>
      <c r="I1134" s="114"/>
      <c r="J1134" s="114"/>
    </row>
    <row r="1135" spans="1:10" ht="14.25">
      <c r="A1135" s="811"/>
      <c r="B1135" s="605"/>
      <c r="C1135" s="114"/>
      <c r="D1135" s="510"/>
      <c r="E1135" s="337"/>
      <c r="F1135" s="431"/>
      <c r="G1135" s="114"/>
      <c r="H1135" s="83"/>
      <c r="I1135" s="83"/>
      <c r="J1135" s="83"/>
    </row>
    <row r="1136" spans="1:10" ht="14.25">
      <c r="A1136" s="811"/>
      <c r="B1136" s="605"/>
      <c r="C1136" s="114"/>
      <c r="D1136" s="510"/>
      <c r="E1136" s="337"/>
      <c r="F1136" s="431"/>
      <c r="G1136" s="114"/>
      <c r="H1136" s="114"/>
      <c r="I1136" s="114"/>
      <c r="J1136" s="114"/>
    </row>
    <row r="1137" spans="1:10" ht="14.25">
      <c r="A1137" s="898"/>
      <c r="B1137" s="605"/>
      <c r="C1137" s="114"/>
      <c r="D1137" s="510"/>
      <c r="E1137" s="337"/>
      <c r="F1137" s="431"/>
      <c r="G1137" s="114"/>
      <c r="H1137" s="114"/>
      <c r="I1137" s="114"/>
      <c r="J1137" s="114"/>
    </row>
  </sheetData>
  <mergeCells count="91">
    <mergeCell ref="A1105:H1105"/>
    <mergeCell ref="A1106:I1106"/>
    <mergeCell ref="A1114:I1114"/>
    <mergeCell ref="A1122:I1122"/>
    <mergeCell ref="A1130:I1130"/>
    <mergeCell ref="A999:C999"/>
    <mergeCell ref="A1000:C1000"/>
    <mergeCell ref="A1001:C1001"/>
    <mergeCell ref="A883:H883"/>
    <mergeCell ref="A959:I959"/>
    <mergeCell ref="A997:C997"/>
    <mergeCell ref="A884:I884"/>
    <mergeCell ref="A915:I915"/>
    <mergeCell ref="A933:I933"/>
    <mergeCell ref="A950:I950"/>
    <mergeCell ref="A847:I847"/>
    <mergeCell ref="A881:C881"/>
    <mergeCell ref="A726:I726"/>
    <mergeCell ref="A836:I836"/>
    <mergeCell ref="A771:C771"/>
    <mergeCell ref="A774:H774"/>
    <mergeCell ref="A775:I775"/>
    <mergeCell ref="A797:I797"/>
    <mergeCell ref="A820:I820"/>
    <mergeCell ref="A773:C773"/>
    <mergeCell ref="A578:C578"/>
    <mergeCell ref="A579:C579"/>
    <mergeCell ref="A580:C580"/>
    <mergeCell ref="A581:C581"/>
    <mergeCell ref="A583:H583"/>
    <mergeCell ref="A584:I584"/>
    <mergeCell ref="A595:I595"/>
    <mergeCell ref="A611:I611"/>
    <mergeCell ref="A630:I630"/>
    <mergeCell ref="A723:C723"/>
    <mergeCell ref="A667:H667"/>
    <mergeCell ref="A668:I668"/>
    <mergeCell ref="A690:I690"/>
    <mergeCell ref="A705:I705"/>
    <mergeCell ref="A704:C704"/>
    <mergeCell ref="A689:C689"/>
    <mergeCell ref="A466:B466"/>
    <mergeCell ref="A467:B467"/>
    <mergeCell ref="A468:B468"/>
    <mergeCell ref="A469:B469"/>
    <mergeCell ref="A473:H473"/>
    <mergeCell ref="A475:I475"/>
    <mergeCell ref="A493:I493"/>
    <mergeCell ref="A508:I508"/>
    <mergeCell ref="A474:I474"/>
    <mergeCell ref="A539:I539"/>
    <mergeCell ref="A529:I529"/>
    <mergeCell ref="A463:C463"/>
    <mergeCell ref="A409:H409"/>
    <mergeCell ref="A418:H418"/>
    <mergeCell ref="A351:H351"/>
    <mergeCell ref="A350:H350"/>
    <mergeCell ref="A373:H373"/>
    <mergeCell ref="A393:H393"/>
    <mergeCell ref="A258:F258"/>
    <mergeCell ref="A260:F260"/>
    <mergeCell ref="A277:F277"/>
    <mergeCell ref="A295:F295"/>
    <mergeCell ref="A309:G309"/>
    <mergeCell ref="A159:F159"/>
    <mergeCell ref="A161:F161"/>
    <mergeCell ref="A177:F177"/>
    <mergeCell ref="A196:F196"/>
    <mergeCell ref="A212:G212"/>
    <mergeCell ref="A4:F4"/>
    <mergeCell ref="A2:F2"/>
    <mergeCell ref="A29:F29"/>
    <mergeCell ref="A43:F43"/>
    <mergeCell ref="A49:G49"/>
    <mergeCell ref="A79:F79"/>
    <mergeCell ref="A81:F81"/>
    <mergeCell ref="A99:F99"/>
    <mergeCell ref="A115:F115"/>
    <mergeCell ref="A121:G121"/>
    <mergeCell ref="K628:M628"/>
    <mergeCell ref="K629:M629"/>
    <mergeCell ref="K630:M630"/>
    <mergeCell ref="K631:M631"/>
    <mergeCell ref="A664:C664"/>
    <mergeCell ref="B1103:D1103"/>
    <mergeCell ref="A1063:I1063"/>
    <mergeCell ref="A1096:C1096"/>
    <mergeCell ref="A1004:H1004"/>
    <mergeCell ref="A1005:I1005"/>
    <mergeCell ref="A1030:I1030"/>
    <mergeCell ref="A1050:I1050"/>
  </mergeCells>
  <printOptions horizontalCentered="1" gridLines="1"/>
  <pageMargins left="0.7" right="0.7" top="0.75" bottom="0.75" header="0.51180555555555496" footer="0.51180555555555496"/>
  <pageSetup paperSize="9" firstPageNumber="0" fitToHeight="0" pageOrder="overThenDown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MJ1247"/>
  <sheetViews>
    <sheetView topLeftCell="A1161" zoomScaleNormal="100" workbookViewId="0">
      <selection activeCell="F1106" sqref="F1106"/>
    </sheetView>
  </sheetViews>
  <sheetFormatPr defaultColWidth="9.140625" defaultRowHeight="12.75"/>
  <cols>
    <col min="2" max="2" width="15.85546875" style="1" customWidth="1"/>
    <col min="3" max="3" width="14.42578125" style="1" customWidth="1"/>
    <col min="4" max="4" width="56.7109375" style="1" customWidth="1"/>
    <col min="5" max="5" width="25.28515625" style="1" customWidth="1"/>
    <col min="6" max="6" width="16.85546875" style="1" customWidth="1"/>
    <col min="7" max="7" width="24.5703125" style="1" customWidth="1"/>
    <col min="8" max="8" width="11.28515625" style="1" customWidth="1"/>
    <col min="9" max="9" width="14.42578125" style="1" customWidth="1"/>
    <col min="10" max="10" width="4.28515625" style="1" customWidth="1"/>
    <col min="11" max="11" width="4.140625" style="1" hidden="1" customWidth="1"/>
    <col min="12" max="1024" width="14.42578125" style="1" customWidth="1"/>
  </cols>
  <sheetData>
    <row r="2" spans="2:12" ht="48" customHeight="1">
      <c r="B2" s="987" t="s">
        <v>0</v>
      </c>
      <c r="C2" s="987"/>
      <c r="D2" s="987"/>
      <c r="E2" s="987"/>
      <c r="F2" s="987"/>
      <c r="G2" s="987"/>
      <c r="H2" s="987"/>
      <c r="I2" s="987"/>
      <c r="J2" s="987"/>
      <c r="K2" s="987"/>
      <c r="L2" s="987"/>
    </row>
    <row r="3" spans="2:12" ht="23.25" customHeight="1">
      <c r="B3" s="6"/>
    </row>
    <row r="4" spans="2:12" ht="18.75" hidden="1">
      <c r="B4" s="1101" t="s">
        <v>891</v>
      </c>
      <c r="C4" s="1101"/>
      <c r="D4" s="1101"/>
      <c r="E4" s="1101"/>
      <c r="F4" s="1101"/>
      <c r="G4" s="1101"/>
      <c r="H4" s="1101"/>
      <c r="I4" s="1101"/>
      <c r="J4" s="1101"/>
      <c r="K4" s="1101"/>
      <c r="L4" s="1101"/>
    </row>
    <row r="5" spans="2:12" ht="18.75" hidden="1">
      <c r="B5" s="137" t="s">
        <v>892</v>
      </c>
      <c r="C5" s="138" t="s">
        <v>893</v>
      </c>
      <c r="D5" s="138" t="s">
        <v>894</v>
      </c>
      <c r="E5" s="138" t="s">
        <v>895</v>
      </c>
      <c r="F5" s="139" t="s">
        <v>896</v>
      </c>
      <c r="G5" s="138" t="s">
        <v>897</v>
      </c>
      <c r="H5" s="138" t="s">
        <v>898</v>
      </c>
      <c r="I5" s="138" t="s">
        <v>899</v>
      </c>
      <c r="J5" s="138" t="s">
        <v>900</v>
      </c>
      <c r="K5" s="138" t="s">
        <v>901</v>
      </c>
      <c r="L5" s="138" t="s">
        <v>902</v>
      </c>
    </row>
    <row r="6" spans="2:12" ht="15" hidden="1">
      <c r="B6" s="136" t="s">
        <v>903</v>
      </c>
      <c r="C6" s="49" t="s">
        <v>904</v>
      </c>
      <c r="D6" s="15" t="s">
        <v>905</v>
      </c>
      <c r="E6" s="15" t="s">
        <v>906</v>
      </c>
      <c r="F6" s="50">
        <v>1900000</v>
      </c>
      <c r="G6" s="49" t="s">
        <v>907</v>
      </c>
      <c r="H6" s="49" t="s">
        <v>908</v>
      </c>
      <c r="I6" s="49" t="s">
        <v>908</v>
      </c>
      <c r="J6" s="49">
        <v>1</v>
      </c>
      <c r="K6" s="49"/>
      <c r="L6" s="49" t="s">
        <v>533</v>
      </c>
    </row>
    <row r="7" spans="2:12" ht="15" hidden="1">
      <c r="B7" s="136">
        <v>44621</v>
      </c>
      <c r="C7" s="49" t="s">
        <v>904</v>
      </c>
      <c r="D7" s="15" t="s">
        <v>909</v>
      </c>
      <c r="E7" s="15" t="s">
        <v>906</v>
      </c>
      <c r="F7" s="50">
        <v>2200000</v>
      </c>
      <c r="G7" s="49" t="s">
        <v>907</v>
      </c>
      <c r="H7" s="49" t="s">
        <v>908</v>
      </c>
      <c r="I7" s="49" t="s">
        <v>908</v>
      </c>
      <c r="J7" s="49">
        <v>1</v>
      </c>
      <c r="K7" s="49"/>
      <c r="L7" s="49" t="s">
        <v>607</v>
      </c>
    </row>
    <row r="8" spans="2:12" ht="15" hidden="1">
      <c r="B8" s="136">
        <v>44713</v>
      </c>
      <c r="C8" s="49" t="s">
        <v>904</v>
      </c>
      <c r="D8" s="15" t="s">
        <v>910</v>
      </c>
      <c r="E8" s="15" t="s">
        <v>906</v>
      </c>
      <c r="F8" s="50">
        <v>1500000</v>
      </c>
      <c r="G8" s="49" t="s">
        <v>911</v>
      </c>
      <c r="H8" s="49" t="s">
        <v>908</v>
      </c>
      <c r="I8" s="49" t="s">
        <v>908</v>
      </c>
      <c r="J8" s="49">
        <v>1</v>
      </c>
      <c r="K8" s="49"/>
      <c r="L8" s="49" t="s">
        <v>533</v>
      </c>
    </row>
    <row r="9" spans="2:12" ht="15" hidden="1">
      <c r="B9" s="136">
        <v>44774</v>
      </c>
      <c r="C9" s="49" t="s">
        <v>904</v>
      </c>
      <c r="D9" s="15" t="s">
        <v>912</v>
      </c>
      <c r="E9" s="15" t="s">
        <v>906</v>
      </c>
      <c r="F9" s="50">
        <v>1600000</v>
      </c>
      <c r="G9" s="49" t="s">
        <v>907</v>
      </c>
      <c r="H9" s="49" t="s">
        <v>908</v>
      </c>
      <c r="I9" s="49" t="s">
        <v>908</v>
      </c>
      <c r="J9" s="49">
        <v>1</v>
      </c>
      <c r="K9" s="49"/>
      <c r="L9" s="49" t="s">
        <v>533</v>
      </c>
    </row>
    <row r="10" spans="2:12" ht="15" hidden="1">
      <c r="B10" s="136">
        <v>44866</v>
      </c>
      <c r="C10" s="49" t="s">
        <v>904</v>
      </c>
      <c r="D10" s="15" t="s">
        <v>913</v>
      </c>
      <c r="E10" s="15" t="s">
        <v>906</v>
      </c>
      <c r="F10" s="50">
        <v>2000000</v>
      </c>
      <c r="G10" s="49" t="s">
        <v>907</v>
      </c>
      <c r="H10" s="49" t="s">
        <v>908</v>
      </c>
      <c r="I10" s="49" t="s">
        <v>908</v>
      </c>
      <c r="J10" s="49">
        <v>1</v>
      </c>
      <c r="K10" s="49"/>
      <c r="L10" s="49" t="s">
        <v>607</v>
      </c>
    </row>
    <row r="11" spans="2:12" ht="15" hidden="1">
      <c r="B11" s="136">
        <v>44866</v>
      </c>
      <c r="C11" s="49" t="s">
        <v>904</v>
      </c>
      <c r="D11" s="15" t="s">
        <v>914</v>
      </c>
      <c r="E11" s="15" t="s">
        <v>906</v>
      </c>
      <c r="F11" s="50">
        <v>1350000</v>
      </c>
      <c r="G11" s="49" t="s">
        <v>911</v>
      </c>
      <c r="H11" s="49" t="s">
        <v>908</v>
      </c>
      <c r="I11" s="49" t="s">
        <v>908</v>
      </c>
      <c r="J11" s="49">
        <v>1</v>
      </c>
      <c r="K11" s="49"/>
      <c r="L11" s="49" t="s">
        <v>533</v>
      </c>
    </row>
    <row r="12" spans="2:12" ht="15" hidden="1">
      <c r="B12" s="136" t="s">
        <v>915</v>
      </c>
      <c r="C12" s="49" t="s">
        <v>904</v>
      </c>
      <c r="D12" s="15" t="s">
        <v>916</v>
      </c>
      <c r="E12" s="15" t="s">
        <v>906</v>
      </c>
      <c r="F12" s="50">
        <v>1500000</v>
      </c>
      <c r="G12" s="49" t="s">
        <v>911</v>
      </c>
      <c r="H12" s="49" t="s">
        <v>908</v>
      </c>
      <c r="I12" s="49" t="s">
        <v>908</v>
      </c>
      <c r="J12" s="49">
        <v>1</v>
      </c>
      <c r="K12" s="49"/>
      <c r="L12" s="49" t="s">
        <v>533</v>
      </c>
    </row>
    <row r="13" spans="2:12" ht="15" hidden="1">
      <c r="B13" s="136" t="s">
        <v>917</v>
      </c>
      <c r="C13" s="49" t="s">
        <v>904</v>
      </c>
      <c r="D13" s="15" t="s">
        <v>918</v>
      </c>
      <c r="E13" s="15" t="s">
        <v>906</v>
      </c>
      <c r="F13" s="50">
        <v>1800000</v>
      </c>
      <c r="G13" s="49" t="s">
        <v>907</v>
      </c>
      <c r="H13" s="49" t="s">
        <v>908</v>
      </c>
      <c r="I13" s="49" t="s">
        <v>908</v>
      </c>
      <c r="J13" s="49">
        <v>1</v>
      </c>
      <c r="K13" s="49"/>
      <c r="L13" s="49" t="s">
        <v>533</v>
      </c>
    </row>
    <row r="14" spans="2:12" ht="15" hidden="1">
      <c r="B14" s="136" t="s">
        <v>919</v>
      </c>
      <c r="C14" s="49" t="s">
        <v>904</v>
      </c>
      <c r="D14" s="15" t="s">
        <v>920</v>
      </c>
      <c r="E14" s="15" t="s">
        <v>906</v>
      </c>
      <c r="F14" s="50">
        <v>1300000</v>
      </c>
      <c r="G14" s="49" t="s">
        <v>907</v>
      </c>
      <c r="H14" s="49" t="s">
        <v>908</v>
      </c>
      <c r="I14" s="49" t="s">
        <v>908</v>
      </c>
      <c r="J14" s="49">
        <v>1</v>
      </c>
      <c r="K14" s="49"/>
      <c r="L14" s="49" t="s">
        <v>533</v>
      </c>
    </row>
    <row r="15" spans="2:12" ht="15" hidden="1">
      <c r="B15" s="136" t="s">
        <v>919</v>
      </c>
      <c r="C15" s="49" t="s">
        <v>904</v>
      </c>
      <c r="D15" s="15" t="s">
        <v>921</v>
      </c>
      <c r="E15" s="15" t="s">
        <v>906</v>
      </c>
      <c r="F15" s="50">
        <v>1900000</v>
      </c>
      <c r="G15" s="49" t="s">
        <v>907</v>
      </c>
      <c r="H15" s="49" t="s">
        <v>908</v>
      </c>
      <c r="I15" s="49" t="s">
        <v>908</v>
      </c>
      <c r="J15" s="49">
        <v>1</v>
      </c>
      <c r="K15" s="49"/>
      <c r="L15" s="49" t="s">
        <v>607</v>
      </c>
    </row>
    <row r="16" spans="2:12" ht="15" hidden="1">
      <c r="B16" s="136" t="s">
        <v>919</v>
      </c>
      <c r="C16" s="49" t="s">
        <v>904</v>
      </c>
      <c r="D16" s="15" t="s">
        <v>922</v>
      </c>
      <c r="E16" s="15" t="s">
        <v>906</v>
      </c>
      <c r="F16" s="50">
        <v>3400000</v>
      </c>
      <c r="G16" s="49" t="s">
        <v>907</v>
      </c>
      <c r="H16" s="49" t="s">
        <v>908</v>
      </c>
      <c r="I16" s="49" t="s">
        <v>908</v>
      </c>
      <c r="J16" s="49">
        <v>1</v>
      </c>
      <c r="K16" s="49"/>
      <c r="L16" s="49" t="s">
        <v>533</v>
      </c>
    </row>
    <row r="17" spans="2:12" ht="15" hidden="1">
      <c r="B17" s="136" t="s">
        <v>919</v>
      </c>
      <c r="C17" s="49" t="s">
        <v>904</v>
      </c>
      <c r="D17" s="15" t="s">
        <v>923</v>
      </c>
      <c r="E17" s="15" t="s">
        <v>906</v>
      </c>
      <c r="F17" s="50">
        <v>2800000</v>
      </c>
      <c r="G17" s="49" t="s">
        <v>907</v>
      </c>
      <c r="H17" s="49" t="s">
        <v>908</v>
      </c>
      <c r="I17" s="49" t="s">
        <v>908</v>
      </c>
      <c r="J17" s="49">
        <v>1</v>
      </c>
      <c r="K17" s="49"/>
      <c r="L17" s="49" t="s">
        <v>607</v>
      </c>
    </row>
    <row r="18" spans="2:12" ht="15" hidden="1">
      <c r="B18" s="136" t="s">
        <v>924</v>
      </c>
      <c r="C18" s="49" t="s">
        <v>904</v>
      </c>
      <c r="D18" s="15" t="s">
        <v>925</v>
      </c>
      <c r="E18" s="15" t="s">
        <v>906</v>
      </c>
      <c r="F18" s="50">
        <v>2200000</v>
      </c>
      <c r="G18" s="49" t="s">
        <v>907</v>
      </c>
      <c r="H18" s="49" t="s">
        <v>908</v>
      </c>
      <c r="I18" s="49" t="s">
        <v>908</v>
      </c>
      <c r="J18" s="49">
        <v>1</v>
      </c>
      <c r="K18" s="49"/>
      <c r="L18" s="49" t="s">
        <v>607</v>
      </c>
    </row>
    <row r="19" spans="2:12" ht="15" hidden="1">
      <c r="B19" s="136" t="s">
        <v>926</v>
      </c>
      <c r="C19" s="49" t="s">
        <v>904</v>
      </c>
      <c r="D19" s="15" t="s">
        <v>927</v>
      </c>
      <c r="E19" s="15" t="s">
        <v>928</v>
      </c>
      <c r="F19" s="50">
        <v>2300000</v>
      </c>
      <c r="G19" s="49" t="s">
        <v>911</v>
      </c>
      <c r="H19" s="49" t="s">
        <v>908</v>
      </c>
      <c r="I19" s="49" t="s">
        <v>908</v>
      </c>
      <c r="J19" s="49">
        <v>1</v>
      </c>
      <c r="K19" s="49"/>
      <c r="L19" s="49" t="s">
        <v>533</v>
      </c>
    </row>
    <row r="20" spans="2:12" ht="15" hidden="1">
      <c r="B20" s="136" t="s">
        <v>926</v>
      </c>
      <c r="C20" s="49" t="s">
        <v>904</v>
      </c>
      <c r="D20" s="15" t="s">
        <v>929</v>
      </c>
      <c r="E20" s="15" t="s">
        <v>906</v>
      </c>
      <c r="F20" s="50">
        <v>1400000</v>
      </c>
      <c r="G20" s="49" t="s">
        <v>911</v>
      </c>
      <c r="H20" s="49" t="s">
        <v>908</v>
      </c>
      <c r="I20" s="49" t="s">
        <v>908</v>
      </c>
      <c r="J20" s="49">
        <v>1</v>
      </c>
      <c r="K20" s="49"/>
      <c r="L20" s="49" t="s">
        <v>533</v>
      </c>
    </row>
    <row r="21" spans="2:12" ht="15" hidden="1">
      <c r="B21" s="136" t="s">
        <v>930</v>
      </c>
      <c r="C21" s="49" t="s">
        <v>904</v>
      </c>
      <c r="D21" s="15" t="s">
        <v>931</v>
      </c>
      <c r="E21" s="15" t="s">
        <v>906</v>
      </c>
      <c r="F21" s="50">
        <v>3300000</v>
      </c>
      <c r="G21" s="49" t="s">
        <v>907</v>
      </c>
      <c r="H21" s="49" t="s">
        <v>908</v>
      </c>
      <c r="I21" s="49" t="s">
        <v>908</v>
      </c>
      <c r="J21" s="49">
        <v>1</v>
      </c>
      <c r="K21" s="49"/>
      <c r="L21" s="49" t="s">
        <v>533</v>
      </c>
    </row>
    <row r="22" spans="2:12" ht="15" hidden="1">
      <c r="B22" s="136" t="s">
        <v>932</v>
      </c>
      <c r="C22" s="49" t="s">
        <v>904</v>
      </c>
      <c r="D22" s="15" t="s">
        <v>933</v>
      </c>
      <c r="E22" s="15" t="s">
        <v>906</v>
      </c>
      <c r="F22" s="50">
        <v>2100000</v>
      </c>
      <c r="G22" s="49" t="s">
        <v>911</v>
      </c>
      <c r="H22" s="49" t="s">
        <v>934</v>
      </c>
      <c r="I22" s="49" t="s">
        <v>908</v>
      </c>
      <c r="J22" s="49">
        <v>1</v>
      </c>
      <c r="K22" s="49"/>
      <c r="L22" s="49" t="s">
        <v>533</v>
      </c>
    </row>
    <row r="23" spans="2:12" ht="15" hidden="1">
      <c r="B23" s="136" t="s">
        <v>932</v>
      </c>
      <c r="C23" s="49" t="s">
        <v>904</v>
      </c>
      <c r="D23" s="15" t="s">
        <v>935</v>
      </c>
      <c r="E23" s="15" t="s">
        <v>906</v>
      </c>
      <c r="F23" s="50">
        <v>2800000</v>
      </c>
      <c r="G23" s="49" t="s">
        <v>907</v>
      </c>
      <c r="H23" s="49" t="s">
        <v>934</v>
      </c>
      <c r="I23" s="49" t="s">
        <v>908</v>
      </c>
      <c r="J23" s="49">
        <v>1</v>
      </c>
      <c r="K23" s="49"/>
      <c r="L23" s="49" t="s">
        <v>607</v>
      </c>
    </row>
    <row r="24" spans="2:12" ht="15" hidden="1">
      <c r="B24" s="136" t="s">
        <v>936</v>
      </c>
      <c r="C24" s="49" t="s">
        <v>904</v>
      </c>
      <c r="D24" s="15" t="s">
        <v>937</v>
      </c>
      <c r="E24" s="15" t="s">
        <v>906</v>
      </c>
      <c r="F24" s="50">
        <v>1950000</v>
      </c>
      <c r="G24" s="49" t="s">
        <v>907</v>
      </c>
      <c r="H24" s="49" t="s">
        <v>908</v>
      </c>
      <c r="I24" s="49" t="s">
        <v>908</v>
      </c>
      <c r="J24" s="49">
        <v>1</v>
      </c>
      <c r="K24" s="49"/>
      <c r="L24" s="49" t="s">
        <v>533</v>
      </c>
    </row>
    <row r="25" spans="2:12" ht="15" hidden="1">
      <c r="B25" s="136" t="s">
        <v>936</v>
      </c>
      <c r="C25" s="49" t="s">
        <v>938</v>
      </c>
      <c r="D25" s="15" t="s">
        <v>939</v>
      </c>
      <c r="E25" s="15" t="s">
        <v>928</v>
      </c>
      <c r="F25" s="50">
        <v>2400000</v>
      </c>
      <c r="G25" s="49" t="s">
        <v>911</v>
      </c>
      <c r="H25" s="49" t="s">
        <v>934</v>
      </c>
      <c r="I25" s="49" t="s">
        <v>908</v>
      </c>
      <c r="J25" s="49">
        <v>1</v>
      </c>
      <c r="K25" s="49"/>
      <c r="L25" s="49" t="s">
        <v>607</v>
      </c>
    </row>
    <row r="26" spans="2:12" ht="15" hidden="1">
      <c r="B26" s="136"/>
      <c r="C26" s="49"/>
      <c r="D26" s="15"/>
      <c r="E26" s="15"/>
      <c r="F26" s="50"/>
      <c r="G26" s="49"/>
      <c r="H26" s="49"/>
      <c r="I26" s="49"/>
      <c r="J26" s="49"/>
      <c r="K26" s="49"/>
      <c r="L26" s="49"/>
    </row>
    <row r="27" spans="2:12" ht="15" hidden="1">
      <c r="B27" s="62">
        <v>44774</v>
      </c>
      <c r="C27" s="63" t="s">
        <v>904</v>
      </c>
      <c r="D27" s="64" t="s">
        <v>940</v>
      </c>
      <c r="E27" s="64" t="s">
        <v>941</v>
      </c>
      <c r="F27" s="65">
        <v>170000000</v>
      </c>
      <c r="G27" s="63" t="s">
        <v>911</v>
      </c>
      <c r="H27" s="63" t="s">
        <v>934</v>
      </c>
      <c r="I27" s="63" t="s">
        <v>908</v>
      </c>
      <c r="J27" s="63"/>
      <c r="K27" s="63"/>
      <c r="L27" s="63" t="s">
        <v>942</v>
      </c>
    </row>
    <row r="28" spans="2:12" ht="15" hidden="1">
      <c r="B28" s="62">
        <v>44774</v>
      </c>
      <c r="C28" s="63" t="s">
        <v>904</v>
      </c>
      <c r="D28" s="64" t="s">
        <v>943</v>
      </c>
      <c r="E28" s="64" t="s">
        <v>944</v>
      </c>
      <c r="F28" s="65">
        <v>280000000</v>
      </c>
      <c r="G28" s="63" t="s">
        <v>911</v>
      </c>
      <c r="H28" s="63" t="s">
        <v>934</v>
      </c>
      <c r="I28" s="63" t="s">
        <v>908</v>
      </c>
      <c r="J28" s="63"/>
      <c r="K28" s="63"/>
      <c r="L28" s="63" t="s">
        <v>942</v>
      </c>
    </row>
    <row r="29" spans="2:12" ht="15" hidden="1">
      <c r="B29" s="62" t="s">
        <v>945</v>
      </c>
      <c r="C29" s="63" t="s">
        <v>904</v>
      </c>
      <c r="D29" s="64" t="s">
        <v>946</v>
      </c>
      <c r="E29" s="64" t="s">
        <v>906</v>
      </c>
      <c r="F29" s="65">
        <v>355000000</v>
      </c>
      <c r="G29" s="63" t="s">
        <v>907</v>
      </c>
      <c r="H29" s="63" t="s">
        <v>934</v>
      </c>
      <c r="I29" s="63" t="s">
        <v>908</v>
      </c>
      <c r="J29" s="63"/>
      <c r="K29" s="63">
        <v>1</v>
      </c>
      <c r="L29" s="63" t="s">
        <v>942</v>
      </c>
    </row>
    <row r="30" spans="2:12" ht="15" hidden="1">
      <c r="B30" s="62" t="s">
        <v>932</v>
      </c>
      <c r="C30" s="63" t="s">
        <v>904</v>
      </c>
      <c r="D30" s="64" t="s">
        <v>935</v>
      </c>
      <c r="E30" s="64" t="s">
        <v>906</v>
      </c>
      <c r="F30" s="65">
        <v>520000000</v>
      </c>
      <c r="G30" s="63" t="s">
        <v>907</v>
      </c>
      <c r="H30" s="63" t="s">
        <v>934</v>
      </c>
      <c r="I30" s="63" t="s">
        <v>908</v>
      </c>
      <c r="J30" s="63"/>
      <c r="K30" s="63">
        <v>1</v>
      </c>
      <c r="L30" s="63" t="s">
        <v>942</v>
      </c>
    </row>
    <row r="31" spans="2:12" ht="15" hidden="1">
      <c r="B31" s="62" t="s">
        <v>930</v>
      </c>
      <c r="C31" s="63" t="s">
        <v>904</v>
      </c>
      <c r="D31" s="64" t="s">
        <v>923</v>
      </c>
      <c r="E31" s="64" t="s">
        <v>906</v>
      </c>
      <c r="F31" s="65">
        <v>550000000</v>
      </c>
      <c r="G31" s="63" t="s">
        <v>907</v>
      </c>
      <c r="H31" s="63" t="s">
        <v>934</v>
      </c>
      <c r="I31" s="63" t="s">
        <v>908</v>
      </c>
      <c r="J31" s="63"/>
      <c r="K31" s="63">
        <v>1</v>
      </c>
      <c r="L31" s="63" t="s">
        <v>942</v>
      </c>
    </row>
    <row r="32" spans="2:12" ht="18.75" hidden="1">
      <c r="B32" s="1097" t="s">
        <v>32</v>
      </c>
      <c r="C32" s="1097"/>
      <c r="D32" s="1097"/>
      <c r="E32" s="1097"/>
      <c r="F32" s="1097"/>
      <c r="G32" s="1097"/>
      <c r="H32" s="1097"/>
      <c r="I32" s="1097"/>
      <c r="J32" s="94">
        <f>SUM(J6:J28)</f>
        <v>20</v>
      </c>
      <c r="K32" s="94">
        <f>SUM(K6:K31)</f>
        <v>3</v>
      </c>
      <c r="L32" s="94">
        <f>J32+K32</f>
        <v>23</v>
      </c>
    </row>
    <row r="33" spans="2:12" ht="15" hidden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2:12" ht="18.75" hidden="1">
      <c r="B34" s="1102" t="s">
        <v>947</v>
      </c>
      <c r="C34" s="1102"/>
      <c r="D34" s="1102"/>
      <c r="E34" s="1102"/>
      <c r="F34" s="1102"/>
      <c r="G34" s="1102"/>
      <c r="H34" s="1102"/>
      <c r="I34" s="1102"/>
      <c r="J34" s="1102"/>
      <c r="K34" s="1102"/>
      <c r="L34" s="1102"/>
    </row>
    <row r="35" spans="2:12" ht="18.75" hidden="1">
      <c r="B35" s="93" t="s">
        <v>892</v>
      </c>
      <c r="C35" s="94" t="s">
        <v>893</v>
      </c>
      <c r="D35" s="94" t="s">
        <v>894</v>
      </c>
      <c r="E35" s="94" t="s">
        <v>895</v>
      </c>
      <c r="F35" s="95" t="s">
        <v>896</v>
      </c>
      <c r="G35" s="94" t="s">
        <v>897</v>
      </c>
      <c r="H35" s="94" t="s">
        <v>898</v>
      </c>
      <c r="I35" s="94" t="s">
        <v>899</v>
      </c>
      <c r="J35" s="94" t="s">
        <v>900</v>
      </c>
      <c r="K35" s="94" t="s">
        <v>901</v>
      </c>
      <c r="L35" s="94" t="s">
        <v>902</v>
      </c>
    </row>
    <row r="36" spans="2:12" ht="15" hidden="1">
      <c r="B36" s="9" t="s">
        <v>948</v>
      </c>
      <c r="C36" s="10" t="s">
        <v>904</v>
      </c>
      <c r="D36" s="11" t="s">
        <v>949</v>
      </c>
      <c r="E36" s="11" t="s">
        <v>906</v>
      </c>
      <c r="F36" s="12">
        <v>2100000</v>
      </c>
      <c r="G36" s="10" t="s">
        <v>907</v>
      </c>
      <c r="H36" s="10" t="s">
        <v>908</v>
      </c>
      <c r="I36" s="10" t="s">
        <v>908</v>
      </c>
      <c r="J36" s="10">
        <v>1</v>
      </c>
      <c r="K36" s="10"/>
      <c r="L36" s="10" t="s">
        <v>607</v>
      </c>
    </row>
    <row r="37" spans="2:12" ht="15" hidden="1">
      <c r="B37" s="9" t="s">
        <v>903</v>
      </c>
      <c r="C37" s="10" t="s">
        <v>904</v>
      </c>
      <c r="D37" s="11" t="s">
        <v>950</v>
      </c>
      <c r="E37" s="11" t="s">
        <v>906</v>
      </c>
      <c r="F37" s="12">
        <v>1500000</v>
      </c>
      <c r="G37" s="10" t="s">
        <v>911</v>
      </c>
      <c r="H37" s="10" t="s">
        <v>908</v>
      </c>
      <c r="I37" s="10" t="s">
        <v>908</v>
      </c>
      <c r="J37" s="10">
        <v>1</v>
      </c>
      <c r="K37" s="10"/>
      <c r="L37" s="10" t="s">
        <v>533</v>
      </c>
    </row>
    <row r="38" spans="2:12" ht="15" hidden="1">
      <c r="B38" s="9">
        <v>44621</v>
      </c>
      <c r="C38" s="10" t="s">
        <v>904</v>
      </c>
      <c r="D38" s="11" t="s">
        <v>951</v>
      </c>
      <c r="E38" s="11" t="s">
        <v>906</v>
      </c>
      <c r="F38" s="12">
        <v>1550000</v>
      </c>
      <c r="G38" s="10" t="s">
        <v>907</v>
      </c>
      <c r="H38" s="10" t="s">
        <v>908</v>
      </c>
      <c r="I38" s="10" t="s">
        <v>908</v>
      </c>
      <c r="J38" s="10">
        <v>1</v>
      </c>
      <c r="K38" s="10"/>
      <c r="L38" s="10" t="s">
        <v>607</v>
      </c>
    </row>
    <row r="39" spans="2:12" ht="15" hidden="1">
      <c r="B39" s="9">
        <v>44621</v>
      </c>
      <c r="C39" s="10" t="s">
        <v>904</v>
      </c>
      <c r="D39" s="11" t="s">
        <v>952</v>
      </c>
      <c r="E39" s="11" t="s">
        <v>906</v>
      </c>
      <c r="F39" s="12">
        <v>1100000</v>
      </c>
      <c r="G39" s="10" t="s">
        <v>911</v>
      </c>
      <c r="H39" s="10" t="s">
        <v>908</v>
      </c>
      <c r="I39" s="10" t="s">
        <v>908</v>
      </c>
      <c r="J39" s="10">
        <v>1</v>
      </c>
      <c r="K39" s="10"/>
      <c r="L39" s="10" t="s">
        <v>607</v>
      </c>
    </row>
    <row r="40" spans="2:12" ht="15" hidden="1">
      <c r="B40" s="9">
        <v>44713</v>
      </c>
      <c r="C40" s="10" t="s">
        <v>904</v>
      </c>
      <c r="D40" s="11" t="s">
        <v>953</v>
      </c>
      <c r="E40" s="11" t="s">
        <v>954</v>
      </c>
      <c r="F40" s="12">
        <v>1500000</v>
      </c>
      <c r="G40" s="10" t="s">
        <v>911</v>
      </c>
      <c r="H40" s="10" t="s">
        <v>908</v>
      </c>
      <c r="I40" s="10" t="s">
        <v>908</v>
      </c>
      <c r="J40" s="10">
        <v>1</v>
      </c>
      <c r="K40" s="10"/>
      <c r="L40" s="10" t="s">
        <v>533</v>
      </c>
    </row>
    <row r="41" spans="2:12" ht="15" hidden="1">
      <c r="B41" s="9">
        <v>44866</v>
      </c>
      <c r="C41" s="10" t="s">
        <v>904</v>
      </c>
      <c r="D41" s="11" t="s">
        <v>955</v>
      </c>
      <c r="E41" s="11" t="s">
        <v>906</v>
      </c>
      <c r="F41" s="12">
        <v>2300000</v>
      </c>
      <c r="G41" s="10" t="s">
        <v>907</v>
      </c>
      <c r="H41" s="10" t="s">
        <v>908</v>
      </c>
      <c r="I41" s="10" t="s">
        <v>908</v>
      </c>
      <c r="J41" s="10">
        <v>1</v>
      </c>
      <c r="K41" s="10"/>
      <c r="L41" s="10" t="s">
        <v>607</v>
      </c>
    </row>
    <row r="42" spans="2:12" ht="15" hidden="1">
      <c r="B42" s="9">
        <v>44896</v>
      </c>
      <c r="C42" s="10" t="s">
        <v>904</v>
      </c>
      <c r="D42" s="11" t="s">
        <v>956</v>
      </c>
      <c r="E42" s="11" t="s">
        <v>906</v>
      </c>
      <c r="F42" s="12">
        <v>1300000</v>
      </c>
      <c r="G42" s="10" t="s">
        <v>907</v>
      </c>
      <c r="H42" s="10" t="s">
        <v>934</v>
      </c>
      <c r="I42" s="10" t="s">
        <v>908</v>
      </c>
      <c r="J42" s="10">
        <v>1</v>
      </c>
      <c r="K42" s="10"/>
      <c r="L42" s="10" t="s">
        <v>533</v>
      </c>
    </row>
    <row r="43" spans="2:12" ht="15" hidden="1">
      <c r="B43" s="9" t="s">
        <v>917</v>
      </c>
      <c r="C43" s="10" t="s">
        <v>957</v>
      </c>
      <c r="D43" s="11" t="s">
        <v>958</v>
      </c>
      <c r="E43" s="11" t="s">
        <v>906</v>
      </c>
      <c r="F43" s="12">
        <v>6500000</v>
      </c>
      <c r="G43" s="10" t="s">
        <v>907</v>
      </c>
      <c r="H43" s="10" t="s">
        <v>934</v>
      </c>
      <c r="I43" s="10" t="s">
        <v>908</v>
      </c>
      <c r="J43" s="10">
        <v>1</v>
      </c>
      <c r="K43" s="10"/>
      <c r="L43" s="10" t="s">
        <v>607</v>
      </c>
    </row>
    <row r="44" spans="2:12" ht="15" hidden="1">
      <c r="B44" s="9" t="s">
        <v>917</v>
      </c>
      <c r="C44" s="10" t="s">
        <v>957</v>
      </c>
      <c r="D44" s="11" t="s">
        <v>959</v>
      </c>
      <c r="E44" s="11" t="s">
        <v>944</v>
      </c>
      <c r="F44" s="12">
        <v>3500000</v>
      </c>
      <c r="G44" s="10" t="s">
        <v>911</v>
      </c>
      <c r="H44" s="10" t="s">
        <v>934</v>
      </c>
      <c r="I44" s="10" t="s">
        <v>908</v>
      </c>
      <c r="J44" s="10">
        <v>1</v>
      </c>
      <c r="K44" s="10"/>
      <c r="L44" s="10" t="s">
        <v>533</v>
      </c>
    </row>
    <row r="45" spans="2:12" ht="15" hidden="1">
      <c r="B45" s="9" t="s">
        <v>917</v>
      </c>
      <c r="C45" s="10" t="s">
        <v>904</v>
      </c>
      <c r="D45" s="11" t="s">
        <v>960</v>
      </c>
      <c r="E45" s="11" t="s">
        <v>906</v>
      </c>
      <c r="F45" s="12">
        <v>1400000</v>
      </c>
      <c r="G45" s="10" t="s">
        <v>911</v>
      </c>
      <c r="H45" s="10" t="s">
        <v>908</v>
      </c>
      <c r="I45" s="10" t="s">
        <v>908</v>
      </c>
      <c r="J45" s="10">
        <v>1</v>
      </c>
      <c r="K45" s="10"/>
      <c r="L45" s="10" t="s">
        <v>607</v>
      </c>
    </row>
    <row r="46" spans="2:12" ht="15" hidden="1">
      <c r="B46" s="9" t="s">
        <v>961</v>
      </c>
      <c r="C46" s="10" t="s">
        <v>904</v>
      </c>
      <c r="D46" s="11" t="s">
        <v>962</v>
      </c>
      <c r="E46" s="11" t="s">
        <v>906</v>
      </c>
      <c r="F46" s="12">
        <v>1850000</v>
      </c>
      <c r="G46" s="10" t="s">
        <v>907</v>
      </c>
      <c r="H46" s="10" t="s">
        <v>934</v>
      </c>
      <c r="I46" s="10" t="s">
        <v>908</v>
      </c>
      <c r="J46" s="10">
        <v>1</v>
      </c>
      <c r="K46" s="10"/>
      <c r="L46" s="10" t="s">
        <v>607</v>
      </c>
    </row>
    <row r="47" spans="2:12" ht="15" hidden="1">
      <c r="B47" s="9" t="s">
        <v>961</v>
      </c>
      <c r="C47" s="10" t="s">
        <v>904</v>
      </c>
      <c r="D47" s="11" t="s">
        <v>963</v>
      </c>
      <c r="E47" s="11" t="s">
        <v>906</v>
      </c>
      <c r="F47" s="12">
        <v>1900000</v>
      </c>
      <c r="G47" s="10" t="s">
        <v>911</v>
      </c>
      <c r="H47" s="10" t="s">
        <v>934</v>
      </c>
      <c r="I47" s="10" t="s">
        <v>908</v>
      </c>
      <c r="J47" s="10">
        <v>1</v>
      </c>
      <c r="K47" s="10"/>
      <c r="L47" s="10" t="s">
        <v>533</v>
      </c>
    </row>
    <row r="48" spans="2:12" ht="15" hidden="1">
      <c r="B48" s="9" t="s">
        <v>930</v>
      </c>
      <c r="C48" s="10" t="s">
        <v>904</v>
      </c>
      <c r="D48" s="11" t="s">
        <v>964</v>
      </c>
      <c r="E48" s="11" t="s">
        <v>906</v>
      </c>
      <c r="F48" s="12">
        <v>1900000</v>
      </c>
      <c r="G48" s="10" t="s">
        <v>907</v>
      </c>
      <c r="H48" s="10" t="s">
        <v>934</v>
      </c>
      <c r="I48" s="10" t="s">
        <v>908</v>
      </c>
      <c r="J48" s="10">
        <v>1</v>
      </c>
      <c r="K48" s="10"/>
      <c r="L48" s="10" t="s">
        <v>607</v>
      </c>
    </row>
    <row r="49" spans="2:12" ht="15" hidden="1">
      <c r="B49" s="9" t="s">
        <v>930</v>
      </c>
      <c r="C49" s="10" t="s">
        <v>904</v>
      </c>
      <c r="D49" s="11" t="s">
        <v>965</v>
      </c>
      <c r="E49" s="11" t="s">
        <v>906</v>
      </c>
      <c r="F49" s="12">
        <v>1700000</v>
      </c>
      <c r="G49" s="10" t="s">
        <v>907</v>
      </c>
      <c r="H49" s="10" t="s">
        <v>934</v>
      </c>
      <c r="I49" s="10" t="s">
        <v>908</v>
      </c>
      <c r="J49" s="10">
        <v>1</v>
      </c>
      <c r="K49" s="10"/>
      <c r="L49" s="10" t="s">
        <v>607</v>
      </c>
    </row>
    <row r="50" spans="2:12" ht="15" hidden="1">
      <c r="B50" s="9" t="s">
        <v>930</v>
      </c>
      <c r="C50" s="10" t="s">
        <v>904</v>
      </c>
      <c r="D50" s="11" t="s">
        <v>966</v>
      </c>
      <c r="E50" s="11" t="s">
        <v>906</v>
      </c>
      <c r="F50" s="12">
        <v>2300000</v>
      </c>
      <c r="G50" s="10" t="s">
        <v>907</v>
      </c>
      <c r="H50" s="10" t="s">
        <v>908</v>
      </c>
      <c r="I50" s="10" t="s">
        <v>908</v>
      </c>
      <c r="J50" s="10">
        <v>1</v>
      </c>
      <c r="K50" s="10"/>
      <c r="L50" s="10" t="s">
        <v>607</v>
      </c>
    </row>
    <row r="51" spans="2:12" ht="15" hidden="1">
      <c r="B51" s="9" t="s">
        <v>930</v>
      </c>
      <c r="C51" s="10" t="s">
        <v>957</v>
      </c>
      <c r="D51" s="11" t="s">
        <v>967</v>
      </c>
      <c r="E51" s="11" t="s">
        <v>906</v>
      </c>
      <c r="F51" s="12">
        <v>2500000</v>
      </c>
      <c r="G51" s="10" t="s">
        <v>907</v>
      </c>
      <c r="H51" s="10" t="s">
        <v>908</v>
      </c>
      <c r="I51" s="10" t="s">
        <v>908</v>
      </c>
      <c r="J51" s="10">
        <v>1</v>
      </c>
      <c r="K51" s="10"/>
      <c r="L51" s="10" t="s">
        <v>607</v>
      </c>
    </row>
    <row r="52" spans="2:12" ht="15" hidden="1">
      <c r="B52" s="9" t="s">
        <v>968</v>
      </c>
      <c r="C52" s="10" t="s">
        <v>969</v>
      </c>
      <c r="D52" s="11" t="s">
        <v>970</v>
      </c>
      <c r="E52" s="11" t="s">
        <v>971</v>
      </c>
      <c r="F52" s="12">
        <v>1400000</v>
      </c>
      <c r="G52" s="10" t="s">
        <v>911</v>
      </c>
      <c r="H52" s="10" t="s">
        <v>908</v>
      </c>
      <c r="I52" s="10" t="s">
        <v>908</v>
      </c>
      <c r="J52" s="10">
        <v>1</v>
      </c>
      <c r="K52" s="10"/>
      <c r="L52" s="10" t="s">
        <v>533</v>
      </c>
    </row>
    <row r="53" spans="2:12" ht="15" hidden="1">
      <c r="B53" s="9" t="s">
        <v>968</v>
      </c>
      <c r="C53" s="10" t="s">
        <v>904</v>
      </c>
      <c r="D53" s="11" t="s">
        <v>972</v>
      </c>
      <c r="E53" s="11" t="s">
        <v>906</v>
      </c>
      <c r="F53" s="12">
        <v>2300000</v>
      </c>
      <c r="G53" s="10" t="s">
        <v>907</v>
      </c>
      <c r="H53" s="10" t="s">
        <v>908</v>
      </c>
      <c r="I53" s="10" t="s">
        <v>908</v>
      </c>
      <c r="J53" s="10">
        <v>1</v>
      </c>
      <c r="K53" s="10"/>
      <c r="L53" s="10" t="s">
        <v>533</v>
      </c>
    </row>
    <row r="54" spans="2:12" ht="15" hidden="1">
      <c r="B54" s="9" t="s">
        <v>936</v>
      </c>
      <c r="C54" s="10" t="s">
        <v>904</v>
      </c>
      <c r="D54" s="11" t="s">
        <v>973</v>
      </c>
      <c r="E54" s="11" t="s">
        <v>906</v>
      </c>
      <c r="F54" s="12">
        <v>1800000</v>
      </c>
      <c r="G54" s="10" t="s">
        <v>907</v>
      </c>
      <c r="H54" s="10" t="s">
        <v>908</v>
      </c>
      <c r="I54" s="10" t="s">
        <v>908</v>
      </c>
      <c r="J54" s="10">
        <v>1</v>
      </c>
      <c r="K54" s="10"/>
      <c r="L54" s="10" t="s">
        <v>533</v>
      </c>
    </row>
    <row r="55" spans="2:12" ht="15" hidden="1">
      <c r="B55" s="9" t="s">
        <v>936</v>
      </c>
      <c r="C55" s="10" t="s">
        <v>904</v>
      </c>
      <c r="D55" s="11" t="s">
        <v>974</v>
      </c>
      <c r="E55" s="11" t="s">
        <v>906</v>
      </c>
      <c r="F55" s="12">
        <v>1200000</v>
      </c>
      <c r="G55" s="10" t="s">
        <v>911</v>
      </c>
      <c r="H55" s="10" t="s">
        <v>908</v>
      </c>
      <c r="I55" s="10" t="s">
        <v>908</v>
      </c>
      <c r="J55" s="10">
        <v>1</v>
      </c>
      <c r="K55" s="10"/>
      <c r="L55" s="10" t="s">
        <v>607</v>
      </c>
    </row>
    <row r="56" spans="2:12" ht="15" hidden="1">
      <c r="B56" s="9"/>
      <c r="C56" s="10"/>
      <c r="D56" s="11"/>
      <c r="E56" s="11"/>
      <c r="F56" s="12"/>
      <c r="G56" s="10"/>
      <c r="H56" s="10"/>
      <c r="I56" s="10"/>
      <c r="J56" s="10"/>
      <c r="K56" s="10"/>
      <c r="L56" s="10"/>
    </row>
    <row r="57" spans="2:12" ht="15" hidden="1">
      <c r="B57" s="47">
        <v>44713</v>
      </c>
      <c r="C57" s="46" t="s">
        <v>904</v>
      </c>
      <c r="D57" s="48" t="s">
        <v>956</v>
      </c>
      <c r="E57" s="48" t="s">
        <v>906</v>
      </c>
      <c r="F57" s="45">
        <v>260000000</v>
      </c>
      <c r="G57" s="46" t="s">
        <v>907</v>
      </c>
      <c r="H57" s="46" t="s">
        <v>934</v>
      </c>
      <c r="I57" s="46" t="s">
        <v>908</v>
      </c>
      <c r="J57" s="46"/>
      <c r="K57" s="46">
        <v>1</v>
      </c>
      <c r="L57" s="46" t="s">
        <v>942</v>
      </c>
    </row>
    <row r="58" spans="2:12" ht="15" hidden="1">
      <c r="B58" s="47">
        <v>44896</v>
      </c>
      <c r="C58" s="46" t="s">
        <v>975</v>
      </c>
      <c r="D58" s="48" t="s">
        <v>976</v>
      </c>
      <c r="E58" s="48" t="s">
        <v>906</v>
      </c>
      <c r="F58" s="45">
        <v>450000000</v>
      </c>
      <c r="G58" s="46" t="s">
        <v>907</v>
      </c>
      <c r="H58" s="46" t="s">
        <v>934</v>
      </c>
      <c r="I58" s="46" t="s">
        <v>908</v>
      </c>
      <c r="J58" s="46"/>
      <c r="K58" s="46">
        <v>1</v>
      </c>
      <c r="L58" s="46" t="s">
        <v>942</v>
      </c>
    </row>
    <row r="59" spans="2:12" ht="15" hidden="1">
      <c r="B59" s="47" t="s">
        <v>917</v>
      </c>
      <c r="C59" s="46" t="s">
        <v>957</v>
      </c>
      <c r="D59" s="48" t="s">
        <v>959</v>
      </c>
      <c r="E59" s="48" t="s">
        <v>944</v>
      </c>
      <c r="F59" s="45">
        <v>900000000</v>
      </c>
      <c r="G59" s="46" t="s">
        <v>911</v>
      </c>
      <c r="H59" s="46" t="s">
        <v>934</v>
      </c>
      <c r="I59" s="46" t="s">
        <v>908</v>
      </c>
      <c r="J59" s="46"/>
      <c r="K59" s="46"/>
      <c r="L59" s="46" t="s">
        <v>942</v>
      </c>
    </row>
    <row r="60" spans="2:12" ht="15" hidden="1">
      <c r="B60" s="47" t="s">
        <v>977</v>
      </c>
      <c r="C60" s="46" t="s">
        <v>904</v>
      </c>
      <c r="D60" s="48" t="s">
        <v>978</v>
      </c>
      <c r="E60" s="48" t="s">
        <v>906</v>
      </c>
      <c r="F60" s="45">
        <v>1480000000</v>
      </c>
      <c r="G60" s="46" t="s">
        <v>907</v>
      </c>
      <c r="H60" s="46" t="s">
        <v>934</v>
      </c>
      <c r="I60" s="46" t="s">
        <v>908</v>
      </c>
      <c r="J60" s="46"/>
      <c r="K60" s="46">
        <v>1</v>
      </c>
      <c r="L60" s="46" t="s">
        <v>942</v>
      </c>
    </row>
    <row r="61" spans="2:12" ht="18.75" hidden="1">
      <c r="B61" s="1097" t="s">
        <v>32</v>
      </c>
      <c r="C61" s="1097"/>
      <c r="D61" s="1097"/>
      <c r="E61" s="1097"/>
      <c r="F61" s="1097"/>
      <c r="G61" s="1097"/>
      <c r="H61" s="1097"/>
      <c r="I61" s="1097"/>
      <c r="J61" s="96">
        <f>SUM(J36:J59)</f>
        <v>20</v>
      </c>
      <c r="K61" s="97">
        <f>SUM(K36:K60)</f>
        <v>3</v>
      </c>
      <c r="L61" s="97">
        <f>J61+K61</f>
        <v>23</v>
      </c>
    </row>
    <row r="62" spans="2:12" hidden="1"/>
    <row r="63" spans="2:12" ht="18.75" hidden="1">
      <c r="B63" s="1094" t="s">
        <v>979</v>
      </c>
      <c r="C63" s="1095"/>
      <c r="D63" s="1095"/>
      <c r="E63" s="1095"/>
      <c r="F63" s="1095"/>
      <c r="G63" s="1095"/>
      <c r="H63" s="1095"/>
      <c r="I63" s="1095"/>
      <c r="J63" s="1095"/>
      <c r="K63" s="1095"/>
      <c r="L63" s="1096"/>
    </row>
    <row r="64" spans="2:12" ht="18.75" hidden="1">
      <c r="B64" s="98" t="s">
        <v>892</v>
      </c>
      <c r="C64" s="92" t="s">
        <v>893</v>
      </c>
      <c r="D64" s="92" t="s">
        <v>894</v>
      </c>
      <c r="E64" s="92" t="s">
        <v>895</v>
      </c>
      <c r="F64" s="99" t="s">
        <v>896</v>
      </c>
      <c r="G64" s="92" t="s">
        <v>897</v>
      </c>
      <c r="H64" s="92" t="s">
        <v>898</v>
      </c>
      <c r="I64" s="92" t="s">
        <v>899</v>
      </c>
      <c r="J64" s="92" t="s">
        <v>900</v>
      </c>
      <c r="K64" s="92" t="s">
        <v>901</v>
      </c>
      <c r="L64" s="92" t="s">
        <v>902</v>
      </c>
    </row>
    <row r="65" spans="2:12" ht="15" hidden="1">
      <c r="B65" s="9" t="s">
        <v>980</v>
      </c>
      <c r="C65" s="10" t="s">
        <v>904</v>
      </c>
      <c r="D65" s="11" t="s">
        <v>981</v>
      </c>
      <c r="E65" s="11" t="s">
        <v>982</v>
      </c>
      <c r="F65" s="12">
        <v>1550000</v>
      </c>
      <c r="G65" s="10" t="s">
        <v>49</v>
      </c>
      <c r="H65" s="10" t="s">
        <v>983</v>
      </c>
      <c r="I65" s="10" t="s">
        <v>908</v>
      </c>
      <c r="J65" s="10">
        <v>1</v>
      </c>
      <c r="K65" s="10"/>
      <c r="L65" s="10" t="s">
        <v>607</v>
      </c>
    </row>
    <row r="66" spans="2:12" ht="15" hidden="1">
      <c r="B66" s="9" t="s">
        <v>936</v>
      </c>
      <c r="C66" s="10" t="s">
        <v>904</v>
      </c>
      <c r="D66" s="11" t="s">
        <v>984</v>
      </c>
      <c r="E66" s="11" t="s">
        <v>985</v>
      </c>
      <c r="F66" s="12">
        <v>1450000</v>
      </c>
      <c r="G66" s="10" t="s">
        <v>911</v>
      </c>
      <c r="H66" s="10" t="s">
        <v>908</v>
      </c>
      <c r="I66" s="10" t="s">
        <v>908</v>
      </c>
      <c r="J66" s="10">
        <v>1</v>
      </c>
      <c r="K66" s="10"/>
      <c r="L66" s="10" t="s">
        <v>533</v>
      </c>
    </row>
    <row r="67" spans="2:12" ht="15" hidden="1">
      <c r="B67" s="9"/>
      <c r="C67" s="10"/>
      <c r="D67" s="11"/>
      <c r="E67" s="11"/>
      <c r="F67" s="12"/>
      <c r="G67" s="10"/>
      <c r="H67" s="10"/>
      <c r="I67" s="10"/>
      <c r="J67" s="10"/>
      <c r="K67" s="10"/>
      <c r="L67" s="10"/>
    </row>
    <row r="68" spans="2:12" ht="15" hidden="1">
      <c r="B68" s="47"/>
      <c r="C68" s="46"/>
      <c r="D68" s="48"/>
      <c r="E68" s="48"/>
      <c r="F68" s="45"/>
      <c r="G68" s="46"/>
      <c r="H68" s="46"/>
      <c r="I68" s="46"/>
      <c r="J68" s="46"/>
      <c r="K68" s="46"/>
      <c r="L68" s="46"/>
    </row>
    <row r="69" spans="2:12" ht="18.75" hidden="1">
      <c r="B69" s="1103" t="s">
        <v>32</v>
      </c>
      <c r="C69" s="1103"/>
      <c r="D69" s="1103"/>
      <c r="E69" s="1103"/>
      <c r="F69" s="1103"/>
      <c r="G69" s="1103"/>
      <c r="H69" s="1103"/>
      <c r="I69" s="1103"/>
      <c r="J69" s="92">
        <f>SUM(J65:J68)</f>
        <v>2</v>
      </c>
      <c r="K69" s="92">
        <f>SUM(K65:K68)</f>
        <v>0</v>
      </c>
      <c r="L69" s="92">
        <f>J69+K69</f>
        <v>2</v>
      </c>
    </row>
    <row r="70" spans="2:12" hidden="1"/>
    <row r="71" spans="2:12" hidden="1"/>
    <row r="72" spans="2:12" ht="18.75" hidden="1">
      <c r="B72" s="1094" t="s">
        <v>986</v>
      </c>
      <c r="C72" s="1095"/>
      <c r="D72" s="1095"/>
      <c r="E72" s="1095"/>
      <c r="F72" s="1095"/>
      <c r="G72" s="1095"/>
      <c r="H72" s="1095"/>
      <c r="I72" s="1095"/>
      <c r="J72" s="1095"/>
      <c r="K72" s="1095"/>
      <c r="L72" s="1096"/>
    </row>
    <row r="73" spans="2:12" ht="18.75" hidden="1">
      <c r="B73" s="98" t="s">
        <v>892</v>
      </c>
      <c r="C73" s="92" t="s">
        <v>893</v>
      </c>
      <c r="D73" s="92" t="s">
        <v>894</v>
      </c>
      <c r="E73" s="92" t="s">
        <v>895</v>
      </c>
      <c r="F73" s="99" t="s">
        <v>896</v>
      </c>
      <c r="G73" s="92" t="s">
        <v>897</v>
      </c>
      <c r="H73" s="92" t="s">
        <v>898</v>
      </c>
      <c r="I73" s="92" t="s">
        <v>899</v>
      </c>
      <c r="J73" s="92" t="s">
        <v>900</v>
      </c>
      <c r="K73" s="92" t="s">
        <v>901</v>
      </c>
      <c r="L73" s="92" t="s">
        <v>902</v>
      </c>
    </row>
    <row r="74" spans="2:12" ht="15" hidden="1">
      <c r="B74" s="9" t="s">
        <v>980</v>
      </c>
      <c r="C74" s="10" t="s">
        <v>904</v>
      </c>
      <c r="D74" s="11" t="s">
        <v>987</v>
      </c>
      <c r="E74" s="11" t="s">
        <v>988</v>
      </c>
      <c r="F74" s="12">
        <v>2600000</v>
      </c>
      <c r="G74" s="10" t="s">
        <v>907</v>
      </c>
      <c r="H74" s="10" t="s">
        <v>983</v>
      </c>
      <c r="I74" s="10" t="s">
        <v>908</v>
      </c>
      <c r="J74" s="10">
        <v>1</v>
      </c>
      <c r="K74" s="10"/>
      <c r="L74" s="10" t="s">
        <v>607</v>
      </c>
    </row>
    <row r="75" spans="2:12" ht="15" hidden="1">
      <c r="B75" s="9" t="s">
        <v>936</v>
      </c>
      <c r="C75" s="10" t="s">
        <v>904</v>
      </c>
      <c r="D75" s="11" t="s">
        <v>989</v>
      </c>
      <c r="E75" s="11" t="s">
        <v>988</v>
      </c>
      <c r="F75" s="12">
        <v>2200000</v>
      </c>
      <c r="G75" s="10" t="s">
        <v>907</v>
      </c>
      <c r="H75" s="10" t="s">
        <v>908</v>
      </c>
      <c r="I75" s="10" t="s">
        <v>908</v>
      </c>
      <c r="J75" s="10">
        <v>1</v>
      </c>
      <c r="K75" s="10"/>
      <c r="L75" s="10" t="s">
        <v>607</v>
      </c>
    </row>
    <row r="76" spans="2:12" ht="15" hidden="1">
      <c r="B76" s="9"/>
      <c r="C76" s="10"/>
      <c r="D76" s="11"/>
      <c r="E76" s="11"/>
      <c r="F76" s="12"/>
      <c r="G76" s="10"/>
      <c r="H76" s="10"/>
      <c r="I76" s="10"/>
      <c r="J76" s="10"/>
      <c r="K76" s="10"/>
      <c r="L76" s="10"/>
    </row>
    <row r="77" spans="2:12" ht="15" hidden="1">
      <c r="B77" s="47"/>
      <c r="C77" s="46"/>
      <c r="D77" s="48"/>
      <c r="E77" s="48"/>
      <c r="F77" s="45"/>
      <c r="G77" s="46"/>
      <c r="H77" s="46"/>
      <c r="I77" s="46"/>
      <c r="J77" s="46"/>
      <c r="K77" s="46"/>
      <c r="L77" s="46"/>
    </row>
    <row r="78" spans="2:12" ht="12.75" hidden="1" customHeight="1">
      <c r="B78" s="1103" t="s">
        <v>32</v>
      </c>
      <c r="C78" s="1103"/>
      <c r="D78" s="1103"/>
      <c r="E78" s="1103"/>
      <c r="F78" s="1103"/>
      <c r="G78" s="1103"/>
      <c r="H78" s="1103"/>
      <c r="I78" s="1103"/>
      <c r="J78" s="92">
        <f>SUM(J74:J77)</f>
        <v>2</v>
      </c>
      <c r="K78" s="92">
        <f>SUM(K74:K77)</f>
        <v>0</v>
      </c>
      <c r="L78" s="92">
        <f>J78+K78</f>
        <v>2</v>
      </c>
    </row>
    <row r="80" spans="2:12" ht="31.5">
      <c r="B80" s="987" t="s">
        <v>60</v>
      </c>
      <c r="C80" s="987"/>
      <c r="D80" s="987"/>
      <c r="E80" s="987"/>
      <c r="F80" s="987"/>
      <c r="G80" s="987"/>
      <c r="H80" s="987"/>
      <c r="I80" s="987"/>
      <c r="J80" s="987"/>
      <c r="K80" s="987"/>
      <c r="L80" s="987"/>
    </row>
    <row r="81" spans="2:12" ht="23.25" hidden="1" customHeight="1">
      <c r="B81" s="6"/>
    </row>
    <row r="82" spans="2:12" ht="18.75" hidden="1">
      <c r="B82" s="1101" t="s">
        <v>990</v>
      </c>
      <c r="C82" s="1101"/>
      <c r="D82" s="1101"/>
      <c r="E82" s="1101"/>
      <c r="F82" s="1101"/>
      <c r="G82" s="1101"/>
      <c r="H82" s="1101"/>
      <c r="I82" s="1101"/>
      <c r="J82" s="1101"/>
      <c r="K82" s="1101"/>
      <c r="L82" s="1101"/>
    </row>
    <row r="83" spans="2:12" ht="18.75" hidden="1">
      <c r="B83" s="93" t="s">
        <v>892</v>
      </c>
      <c r="C83" s="94" t="s">
        <v>893</v>
      </c>
      <c r="D83" s="94" t="s">
        <v>894</v>
      </c>
      <c r="E83" s="94" t="s">
        <v>895</v>
      </c>
      <c r="F83" s="95" t="s">
        <v>896</v>
      </c>
      <c r="G83" s="94" t="s">
        <v>897</v>
      </c>
      <c r="H83" s="94" t="s">
        <v>898</v>
      </c>
      <c r="I83" s="94" t="s">
        <v>899</v>
      </c>
      <c r="J83" s="94" t="s">
        <v>900</v>
      </c>
      <c r="K83" s="94" t="s">
        <v>901</v>
      </c>
      <c r="L83" s="94" t="s">
        <v>902</v>
      </c>
    </row>
    <row r="84" spans="2:12" ht="15" hidden="1">
      <c r="B84" s="9" t="s">
        <v>991</v>
      </c>
      <c r="C84" s="10" t="s">
        <v>992</v>
      </c>
      <c r="D84" s="11" t="s">
        <v>993</v>
      </c>
      <c r="E84" s="11" t="s">
        <v>994</v>
      </c>
      <c r="F84" s="12">
        <v>3000000</v>
      </c>
      <c r="G84" s="10" t="s">
        <v>911</v>
      </c>
      <c r="H84" s="10" t="s">
        <v>908</v>
      </c>
      <c r="I84" s="10" t="s">
        <v>908</v>
      </c>
      <c r="J84" s="10">
        <v>1</v>
      </c>
      <c r="K84" s="10"/>
      <c r="L84" s="10" t="s">
        <v>533</v>
      </c>
    </row>
    <row r="85" spans="2:12" ht="15" hidden="1">
      <c r="B85" s="9" t="s">
        <v>995</v>
      </c>
      <c r="C85" s="10" t="s">
        <v>904</v>
      </c>
      <c r="D85" s="11" t="s">
        <v>996</v>
      </c>
      <c r="E85" s="11" t="s">
        <v>997</v>
      </c>
      <c r="F85" s="12">
        <v>1450000</v>
      </c>
      <c r="G85" s="10" t="s">
        <v>907</v>
      </c>
      <c r="H85" s="10" t="s">
        <v>908</v>
      </c>
      <c r="I85" s="10" t="s">
        <v>908</v>
      </c>
      <c r="J85" s="10">
        <v>1</v>
      </c>
      <c r="K85" s="10"/>
      <c r="L85" s="10" t="s">
        <v>533</v>
      </c>
    </row>
    <row r="86" spans="2:12" ht="15" hidden="1">
      <c r="B86" s="9">
        <v>44653</v>
      </c>
      <c r="C86" s="10" t="s">
        <v>904</v>
      </c>
      <c r="D86" s="11" t="s">
        <v>998</v>
      </c>
      <c r="E86" s="11" t="s">
        <v>988</v>
      </c>
      <c r="F86" s="12">
        <v>1600000</v>
      </c>
      <c r="G86" s="10" t="s">
        <v>907</v>
      </c>
      <c r="H86" s="10" t="s">
        <v>908</v>
      </c>
      <c r="I86" s="10" t="s">
        <v>908</v>
      </c>
      <c r="J86" s="10">
        <v>1</v>
      </c>
      <c r="K86" s="10"/>
      <c r="L86" s="10" t="s">
        <v>607</v>
      </c>
    </row>
    <row r="87" spans="2:12" ht="15" hidden="1">
      <c r="B87" s="9">
        <v>44653</v>
      </c>
      <c r="C87" s="10" t="s">
        <v>904</v>
      </c>
      <c r="D87" s="11" t="s">
        <v>999</v>
      </c>
      <c r="E87" s="11" t="s">
        <v>988</v>
      </c>
      <c r="F87" s="12">
        <v>1400000</v>
      </c>
      <c r="G87" s="10" t="s">
        <v>907</v>
      </c>
      <c r="H87" s="10" t="s">
        <v>908</v>
      </c>
      <c r="I87" s="10" t="s">
        <v>908</v>
      </c>
      <c r="J87" s="10">
        <v>1</v>
      </c>
      <c r="K87" s="10"/>
      <c r="L87" s="10" t="s">
        <v>533</v>
      </c>
    </row>
    <row r="88" spans="2:12" ht="15" hidden="1">
      <c r="B88" s="9">
        <v>44775</v>
      </c>
      <c r="C88" s="10" t="s">
        <v>904</v>
      </c>
      <c r="D88" s="11" t="s">
        <v>1000</v>
      </c>
      <c r="E88" s="11" t="s">
        <v>1001</v>
      </c>
      <c r="F88" s="12">
        <v>1900000</v>
      </c>
      <c r="G88" s="10" t="s">
        <v>907</v>
      </c>
      <c r="H88" s="10" t="s">
        <v>908</v>
      </c>
      <c r="I88" s="10" t="s">
        <v>908</v>
      </c>
      <c r="J88" s="10">
        <v>1</v>
      </c>
      <c r="K88" s="10"/>
      <c r="L88" s="10" t="s">
        <v>607</v>
      </c>
    </row>
    <row r="89" spans="2:12" ht="15" hidden="1">
      <c r="B89" s="9">
        <v>44775</v>
      </c>
      <c r="C89" s="10" t="s">
        <v>904</v>
      </c>
      <c r="D89" s="11" t="s">
        <v>1002</v>
      </c>
      <c r="E89" s="11" t="s">
        <v>997</v>
      </c>
      <c r="F89" s="12">
        <v>1800000</v>
      </c>
      <c r="G89" s="10" t="s">
        <v>907</v>
      </c>
      <c r="H89" s="10" t="s">
        <v>908</v>
      </c>
      <c r="I89" s="10" t="s">
        <v>908</v>
      </c>
      <c r="J89" s="10">
        <v>1</v>
      </c>
      <c r="K89" s="10"/>
      <c r="L89" s="10" t="s">
        <v>633</v>
      </c>
    </row>
    <row r="90" spans="2:12" ht="15" hidden="1">
      <c r="B90" s="9">
        <v>44867</v>
      </c>
      <c r="C90" s="10" t="s">
        <v>904</v>
      </c>
      <c r="D90" s="11" t="s">
        <v>1003</v>
      </c>
      <c r="E90" s="11" t="s">
        <v>906</v>
      </c>
      <c r="F90" s="12">
        <v>2200000</v>
      </c>
      <c r="G90" s="10" t="s">
        <v>907</v>
      </c>
      <c r="H90" s="10" t="s">
        <v>908</v>
      </c>
      <c r="I90" s="10" t="s">
        <v>908</v>
      </c>
      <c r="J90" s="10">
        <v>1</v>
      </c>
      <c r="K90" s="10"/>
      <c r="L90" s="10" t="s">
        <v>607</v>
      </c>
    </row>
    <row r="91" spans="2:12" ht="15" hidden="1">
      <c r="B91" s="9" t="s">
        <v>1004</v>
      </c>
      <c r="C91" s="10" t="s">
        <v>904</v>
      </c>
      <c r="D91" s="11" t="s">
        <v>1005</v>
      </c>
      <c r="E91" s="11" t="s">
        <v>1006</v>
      </c>
      <c r="F91" s="12">
        <v>1500000</v>
      </c>
      <c r="G91" s="10" t="s">
        <v>911</v>
      </c>
      <c r="H91" s="10" t="s">
        <v>908</v>
      </c>
      <c r="I91" s="10" t="s">
        <v>908</v>
      </c>
      <c r="J91" s="10">
        <v>1</v>
      </c>
      <c r="K91" s="10"/>
      <c r="L91" s="10" t="s">
        <v>633</v>
      </c>
    </row>
    <row r="92" spans="2:12" ht="15" hidden="1">
      <c r="B92" s="9" t="s">
        <v>1004</v>
      </c>
      <c r="C92" s="10" t="s">
        <v>904</v>
      </c>
      <c r="D92" s="11" t="s">
        <v>1007</v>
      </c>
      <c r="E92" s="11" t="s">
        <v>1006</v>
      </c>
      <c r="F92" s="12">
        <v>1500000</v>
      </c>
      <c r="G92" s="10" t="s">
        <v>911</v>
      </c>
      <c r="H92" s="10" t="s">
        <v>908</v>
      </c>
      <c r="I92" s="10" t="s">
        <v>908</v>
      </c>
      <c r="J92" s="10">
        <v>1</v>
      </c>
      <c r="K92" s="10"/>
      <c r="L92" s="10" t="s">
        <v>533</v>
      </c>
    </row>
    <row r="93" spans="2:12" ht="15" hidden="1">
      <c r="B93" s="9" t="s">
        <v>1004</v>
      </c>
      <c r="C93" s="10" t="s">
        <v>904</v>
      </c>
      <c r="D93" s="11" t="s">
        <v>1008</v>
      </c>
      <c r="E93" s="11" t="s">
        <v>906</v>
      </c>
      <c r="F93" s="12">
        <v>1400000</v>
      </c>
      <c r="G93" s="10" t="s">
        <v>911</v>
      </c>
      <c r="H93" s="10" t="s">
        <v>908</v>
      </c>
      <c r="I93" s="10" t="s">
        <v>908</v>
      </c>
      <c r="J93" s="10">
        <v>1</v>
      </c>
      <c r="K93" s="10"/>
      <c r="L93" s="10" t="s">
        <v>607</v>
      </c>
    </row>
    <row r="94" spans="2:12" ht="15" hidden="1">
      <c r="B94" s="9" t="s">
        <v>1004</v>
      </c>
      <c r="C94" s="10" t="s">
        <v>904</v>
      </c>
      <c r="D94" s="11" t="s">
        <v>1009</v>
      </c>
      <c r="E94" s="11" t="s">
        <v>906</v>
      </c>
      <c r="F94" s="12">
        <v>1750000</v>
      </c>
      <c r="G94" s="10" t="s">
        <v>907</v>
      </c>
      <c r="H94" s="10" t="s">
        <v>908</v>
      </c>
      <c r="I94" s="10" t="s">
        <v>908</v>
      </c>
      <c r="J94" s="10">
        <v>1</v>
      </c>
      <c r="K94" s="10"/>
      <c r="L94" s="10" t="s">
        <v>607</v>
      </c>
    </row>
    <row r="95" spans="2:12" ht="15" hidden="1">
      <c r="B95" s="136" t="s">
        <v>1010</v>
      </c>
      <c r="C95" s="10" t="s">
        <v>992</v>
      </c>
      <c r="D95" s="11" t="s">
        <v>1011</v>
      </c>
      <c r="E95" s="11" t="s">
        <v>1012</v>
      </c>
      <c r="F95" s="12">
        <v>3500000</v>
      </c>
      <c r="G95" s="10" t="s">
        <v>911</v>
      </c>
      <c r="H95" s="10" t="s">
        <v>908</v>
      </c>
      <c r="I95" s="10" t="s">
        <v>908</v>
      </c>
      <c r="J95" s="10">
        <v>1</v>
      </c>
      <c r="K95" s="10"/>
      <c r="L95" s="10" t="s">
        <v>607</v>
      </c>
    </row>
    <row r="96" spans="2:12" ht="15" hidden="1">
      <c r="B96" s="136" t="s">
        <v>1010</v>
      </c>
      <c r="C96" s="10" t="s">
        <v>992</v>
      </c>
      <c r="D96" s="11" t="s">
        <v>1013</v>
      </c>
      <c r="E96" s="11" t="s">
        <v>1014</v>
      </c>
      <c r="F96" s="12">
        <v>950000</v>
      </c>
      <c r="G96" s="10" t="s">
        <v>911</v>
      </c>
      <c r="H96" s="10" t="s">
        <v>908</v>
      </c>
      <c r="I96" s="10" t="s">
        <v>908</v>
      </c>
      <c r="J96" s="10">
        <v>1</v>
      </c>
      <c r="K96" s="10"/>
      <c r="L96" s="10" t="s">
        <v>633</v>
      </c>
    </row>
    <row r="97" spans="2:12" ht="15" hidden="1">
      <c r="B97" s="136" t="s">
        <v>1010</v>
      </c>
      <c r="C97" s="10" t="s">
        <v>904</v>
      </c>
      <c r="D97" s="11" t="s">
        <v>1015</v>
      </c>
      <c r="E97" s="11" t="s">
        <v>906</v>
      </c>
      <c r="F97" s="12">
        <v>1500000</v>
      </c>
      <c r="G97" s="10" t="s">
        <v>907</v>
      </c>
      <c r="H97" s="10" t="s">
        <v>908</v>
      </c>
      <c r="I97" s="10" t="s">
        <v>908</v>
      </c>
      <c r="J97" s="10">
        <v>1</v>
      </c>
      <c r="K97" s="10"/>
      <c r="L97" s="10" t="s">
        <v>633</v>
      </c>
    </row>
    <row r="98" spans="2:12" ht="15" hidden="1">
      <c r="B98" s="9" t="s">
        <v>1016</v>
      </c>
      <c r="C98" s="10" t="s">
        <v>904</v>
      </c>
      <c r="D98" s="11" t="s">
        <v>1017</v>
      </c>
      <c r="E98" s="11" t="s">
        <v>906</v>
      </c>
      <c r="F98" s="12">
        <v>2500000</v>
      </c>
      <c r="G98" s="10" t="s">
        <v>907</v>
      </c>
      <c r="H98" s="10" t="s">
        <v>908</v>
      </c>
      <c r="I98" s="10" t="s">
        <v>908</v>
      </c>
      <c r="J98" s="10">
        <v>1</v>
      </c>
      <c r="K98" s="10"/>
      <c r="L98" s="10" t="s">
        <v>533</v>
      </c>
    </row>
    <row r="99" spans="2:12" ht="15" hidden="1">
      <c r="B99" s="9" t="s">
        <v>1016</v>
      </c>
      <c r="C99" s="10" t="s">
        <v>904</v>
      </c>
      <c r="D99" s="51" t="s">
        <v>1018</v>
      </c>
      <c r="E99" s="51" t="s">
        <v>906</v>
      </c>
      <c r="F99" s="36">
        <v>1300000</v>
      </c>
      <c r="G99" s="30" t="s">
        <v>907</v>
      </c>
      <c r="H99" s="30" t="s">
        <v>908</v>
      </c>
      <c r="I99" s="30" t="s">
        <v>908</v>
      </c>
      <c r="J99" s="30">
        <v>1</v>
      </c>
      <c r="K99" s="30"/>
      <c r="L99" s="10" t="s">
        <v>607</v>
      </c>
    </row>
    <row r="100" spans="2:12" ht="15" hidden="1">
      <c r="B100" s="9" t="s">
        <v>1019</v>
      </c>
      <c r="C100" s="49" t="s">
        <v>904</v>
      </c>
      <c r="D100" s="15" t="s">
        <v>1020</v>
      </c>
      <c r="E100" s="15" t="s">
        <v>906</v>
      </c>
      <c r="F100" s="50">
        <v>1500000</v>
      </c>
      <c r="G100" s="49" t="s">
        <v>907</v>
      </c>
      <c r="H100" s="49" t="s">
        <v>908</v>
      </c>
      <c r="I100" s="49" t="s">
        <v>908</v>
      </c>
      <c r="J100" s="49">
        <v>1</v>
      </c>
      <c r="K100" s="49"/>
      <c r="L100" s="10" t="s">
        <v>633</v>
      </c>
    </row>
    <row r="101" spans="2:12" ht="15" hidden="1">
      <c r="B101" s="9" t="s">
        <v>1021</v>
      </c>
      <c r="C101" s="49" t="s">
        <v>904</v>
      </c>
      <c r="D101" s="15" t="s">
        <v>1022</v>
      </c>
      <c r="E101" s="15" t="s">
        <v>906</v>
      </c>
      <c r="F101" s="50">
        <v>1800000</v>
      </c>
      <c r="G101" s="49" t="s">
        <v>907</v>
      </c>
      <c r="H101" s="49" t="s">
        <v>908</v>
      </c>
      <c r="I101" s="49" t="s">
        <v>908</v>
      </c>
      <c r="J101" s="49">
        <v>1</v>
      </c>
      <c r="K101" s="49"/>
      <c r="L101" s="10" t="s">
        <v>533</v>
      </c>
    </row>
    <row r="102" spans="2:12" ht="15" hidden="1">
      <c r="B102" s="9" t="s">
        <v>1023</v>
      </c>
      <c r="C102" s="49" t="s">
        <v>904</v>
      </c>
      <c r="D102" s="15" t="s">
        <v>1024</v>
      </c>
      <c r="E102" s="15" t="s">
        <v>906</v>
      </c>
      <c r="F102" s="50">
        <v>1700000</v>
      </c>
      <c r="G102" s="49" t="s">
        <v>907</v>
      </c>
      <c r="H102" s="49" t="s">
        <v>908</v>
      </c>
      <c r="I102" s="49" t="s">
        <v>908</v>
      </c>
      <c r="J102" s="49">
        <v>1</v>
      </c>
      <c r="K102" s="49"/>
      <c r="L102" s="30" t="s">
        <v>633</v>
      </c>
    </row>
    <row r="103" spans="2:12" ht="15" hidden="1">
      <c r="B103" s="53" t="s">
        <v>1025</v>
      </c>
      <c r="C103" s="49" t="s">
        <v>904</v>
      </c>
      <c r="D103" s="15" t="s">
        <v>1026</v>
      </c>
      <c r="E103" s="15" t="s">
        <v>906</v>
      </c>
      <c r="F103" s="50">
        <v>3000000</v>
      </c>
      <c r="G103" s="49" t="s">
        <v>907</v>
      </c>
      <c r="H103" s="49" t="s">
        <v>908</v>
      </c>
      <c r="I103" s="49" t="s">
        <v>908</v>
      </c>
      <c r="J103" s="49">
        <v>1</v>
      </c>
      <c r="K103" s="49"/>
      <c r="L103" s="69" t="s">
        <v>633</v>
      </c>
    </row>
    <row r="104" spans="2:12" ht="15" hidden="1">
      <c r="B104" s="60"/>
      <c r="C104" s="70"/>
      <c r="D104" s="71"/>
      <c r="E104" s="71"/>
      <c r="F104" s="72"/>
      <c r="G104" s="70"/>
      <c r="H104" s="70"/>
      <c r="I104" s="70"/>
      <c r="J104" s="70"/>
      <c r="K104" s="70"/>
      <c r="L104" s="61"/>
    </row>
    <row r="105" spans="2:12" ht="15" hidden="1">
      <c r="B105" s="66" t="s">
        <v>991</v>
      </c>
      <c r="C105" s="67" t="s">
        <v>904</v>
      </c>
      <c r="D105" s="68" t="s">
        <v>1027</v>
      </c>
      <c r="E105" s="68" t="s">
        <v>906</v>
      </c>
      <c r="F105" s="91" t="s">
        <v>1028</v>
      </c>
      <c r="G105" s="67" t="s">
        <v>911</v>
      </c>
      <c r="H105" s="67" t="s">
        <v>934</v>
      </c>
      <c r="I105" s="67" t="s">
        <v>908</v>
      </c>
      <c r="J105" s="67"/>
      <c r="K105" s="67">
        <v>1</v>
      </c>
      <c r="L105" s="67" t="s">
        <v>1029</v>
      </c>
    </row>
    <row r="106" spans="2:12" ht="15" hidden="1">
      <c r="B106" s="66" t="s">
        <v>1004</v>
      </c>
      <c r="C106" s="63" t="s">
        <v>904</v>
      </c>
      <c r="D106" s="64" t="s">
        <v>1030</v>
      </c>
      <c r="E106" s="64" t="s">
        <v>1031</v>
      </c>
      <c r="F106" s="65">
        <v>270000000</v>
      </c>
      <c r="G106" s="63" t="s">
        <v>911</v>
      </c>
      <c r="H106" s="63" t="s">
        <v>908</v>
      </c>
      <c r="I106" s="63" t="s">
        <v>908</v>
      </c>
      <c r="J106" s="63"/>
      <c r="K106" s="63"/>
      <c r="L106" s="63" t="s">
        <v>1029</v>
      </c>
    </row>
    <row r="107" spans="2:12" ht="15" hidden="1">
      <c r="B107" s="62" t="s">
        <v>1010</v>
      </c>
      <c r="C107" s="63" t="s">
        <v>904</v>
      </c>
      <c r="D107" s="64" t="s">
        <v>1032</v>
      </c>
      <c r="E107" s="64" t="s">
        <v>906</v>
      </c>
      <c r="F107" s="65">
        <v>380000000</v>
      </c>
      <c r="G107" s="63" t="s">
        <v>907</v>
      </c>
      <c r="H107" s="63" t="s">
        <v>908</v>
      </c>
      <c r="I107" s="63" t="s">
        <v>908</v>
      </c>
      <c r="J107" s="63"/>
      <c r="K107" s="63">
        <v>1</v>
      </c>
      <c r="L107" s="63" t="s">
        <v>1029</v>
      </c>
    </row>
    <row r="108" spans="2:12" ht="15" hidden="1">
      <c r="B108" s="62" t="s">
        <v>1010</v>
      </c>
      <c r="C108" s="63" t="s">
        <v>904</v>
      </c>
      <c r="D108" s="64" t="s">
        <v>1033</v>
      </c>
      <c r="E108" s="64" t="s">
        <v>906</v>
      </c>
      <c r="F108" s="65">
        <v>230000000</v>
      </c>
      <c r="G108" s="63" t="s">
        <v>911</v>
      </c>
      <c r="H108" s="63" t="s">
        <v>908</v>
      </c>
      <c r="I108" s="63" t="s">
        <v>908</v>
      </c>
      <c r="J108" s="63"/>
      <c r="K108" s="63">
        <v>1</v>
      </c>
      <c r="L108" s="63" t="s">
        <v>1029</v>
      </c>
    </row>
    <row r="109" spans="2:12" ht="15" hidden="1">
      <c r="B109" s="62" t="s">
        <v>1010</v>
      </c>
      <c r="C109" s="63" t="s">
        <v>992</v>
      </c>
      <c r="D109" s="64" t="s">
        <v>1034</v>
      </c>
      <c r="E109" s="64" t="s">
        <v>1012</v>
      </c>
      <c r="F109" s="65">
        <v>700000000</v>
      </c>
      <c r="G109" s="63" t="s">
        <v>911</v>
      </c>
      <c r="H109" s="63" t="s">
        <v>908</v>
      </c>
      <c r="I109" s="63" t="s">
        <v>908</v>
      </c>
      <c r="J109" s="63"/>
      <c r="K109" s="63"/>
      <c r="L109" s="63" t="s">
        <v>1029</v>
      </c>
    </row>
    <row r="110" spans="2:12" ht="18.75" hidden="1">
      <c r="B110" s="1097" t="s">
        <v>32</v>
      </c>
      <c r="C110" s="1097"/>
      <c r="D110" s="1097"/>
      <c r="E110" s="1097"/>
      <c r="F110" s="1097"/>
      <c r="G110" s="1097"/>
      <c r="H110" s="1097"/>
      <c r="I110" s="1097"/>
      <c r="J110" s="94">
        <f>SUM(J84:J106)</f>
        <v>20</v>
      </c>
      <c r="K110" s="94">
        <f>SUM(K84:K109)</f>
        <v>3</v>
      </c>
      <c r="L110" s="94">
        <f>J110+K110</f>
        <v>23</v>
      </c>
    </row>
    <row r="111" spans="2:12" ht="15" hidden="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2:12" ht="18.75" hidden="1">
      <c r="B112" s="1102" t="s">
        <v>1035</v>
      </c>
      <c r="C112" s="1102"/>
      <c r="D112" s="1102"/>
      <c r="E112" s="1102"/>
      <c r="F112" s="1102"/>
      <c r="G112" s="1102"/>
      <c r="H112" s="1102"/>
      <c r="I112" s="1102"/>
      <c r="J112" s="1102"/>
      <c r="K112" s="1102"/>
      <c r="L112" s="1102"/>
    </row>
    <row r="113" spans="2:12" ht="18.75" hidden="1">
      <c r="B113" s="93" t="s">
        <v>892</v>
      </c>
      <c r="C113" s="94" t="s">
        <v>893</v>
      </c>
      <c r="D113" s="94" t="s">
        <v>894</v>
      </c>
      <c r="E113" s="94" t="s">
        <v>895</v>
      </c>
      <c r="F113" s="95" t="s">
        <v>896</v>
      </c>
      <c r="G113" s="94" t="s">
        <v>897</v>
      </c>
      <c r="H113" s="94" t="s">
        <v>898</v>
      </c>
      <c r="I113" s="94" t="s">
        <v>899</v>
      </c>
      <c r="J113" s="94" t="s">
        <v>900</v>
      </c>
      <c r="K113" s="94" t="s">
        <v>901</v>
      </c>
      <c r="L113" s="94" t="s">
        <v>902</v>
      </c>
    </row>
    <row r="114" spans="2:12" ht="15" hidden="1">
      <c r="B114" s="9" t="s">
        <v>991</v>
      </c>
      <c r="C114" s="10" t="s">
        <v>904</v>
      </c>
      <c r="D114" s="11" t="s">
        <v>1036</v>
      </c>
      <c r="E114" s="11" t="s">
        <v>1037</v>
      </c>
      <c r="F114" s="12">
        <v>1250000</v>
      </c>
      <c r="G114" s="10" t="s">
        <v>911</v>
      </c>
      <c r="H114" s="10" t="s">
        <v>908</v>
      </c>
      <c r="I114" s="10" t="s">
        <v>908</v>
      </c>
      <c r="J114" s="10">
        <v>1</v>
      </c>
      <c r="K114" s="10"/>
      <c r="L114" s="10" t="s">
        <v>607</v>
      </c>
    </row>
    <row r="115" spans="2:12" ht="15" hidden="1">
      <c r="B115" s="9" t="s">
        <v>1038</v>
      </c>
      <c r="C115" s="10" t="s">
        <v>904</v>
      </c>
      <c r="D115" s="11" t="s">
        <v>1039</v>
      </c>
      <c r="E115" s="11" t="s">
        <v>1040</v>
      </c>
      <c r="F115" s="12">
        <v>1600000</v>
      </c>
      <c r="G115" s="10" t="s">
        <v>907</v>
      </c>
      <c r="H115" s="10" t="s">
        <v>908</v>
      </c>
      <c r="I115" s="10" t="s">
        <v>908</v>
      </c>
      <c r="J115" s="10">
        <v>1</v>
      </c>
      <c r="K115" s="10"/>
      <c r="L115" s="10" t="s">
        <v>607</v>
      </c>
    </row>
    <row r="116" spans="2:12" ht="15" hidden="1">
      <c r="B116" s="9" t="s">
        <v>1038</v>
      </c>
      <c r="C116" s="10" t="s">
        <v>904</v>
      </c>
      <c r="D116" s="11" t="s">
        <v>1041</v>
      </c>
      <c r="E116" s="11" t="s">
        <v>994</v>
      </c>
      <c r="F116" s="12">
        <v>1800000</v>
      </c>
      <c r="G116" s="10" t="s">
        <v>907</v>
      </c>
      <c r="H116" s="10" t="s">
        <v>908</v>
      </c>
      <c r="I116" s="10" t="s">
        <v>908</v>
      </c>
      <c r="J116" s="10">
        <v>1</v>
      </c>
      <c r="K116" s="10"/>
      <c r="L116" s="10" t="s">
        <v>533</v>
      </c>
    </row>
    <row r="117" spans="2:12" ht="15" hidden="1">
      <c r="B117" s="9">
        <v>44775</v>
      </c>
      <c r="C117" s="10" t="s">
        <v>904</v>
      </c>
      <c r="D117" s="11" t="s">
        <v>1042</v>
      </c>
      <c r="E117" s="11" t="s">
        <v>982</v>
      </c>
      <c r="F117" s="12">
        <v>2000000</v>
      </c>
      <c r="G117" s="10" t="s">
        <v>911</v>
      </c>
      <c r="H117" s="10" t="s">
        <v>908</v>
      </c>
      <c r="I117" s="10" t="s">
        <v>908</v>
      </c>
      <c r="J117" s="10">
        <v>1</v>
      </c>
      <c r="K117" s="10"/>
      <c r="L117" s="10" t="s">
        <v>633</v>
      </c>
    </row>
    <row r="118" spans="2:12" ht="15" hidden="1">
      <c r="B118" s="9" t="s">
        <v>1004</v>
      </c>
      <c r="C118" s="10" t="s">
        <v>904</v>
      </c>
      <c r="D118" s="11" t="s">
        <v>1043</v>
      </c>
      <c r="E118" s="11" t="s">
        <v>906</v>
      </c>
      <c r="F118" s="12">
        <v>1900000</v>
      </c>
      <c r="G118" s="10" t="s">
        <v>907</v>
      </c>
      <c r="H118" s="10" t="s">
        <v>908</v>
      </c>
      <c r="I118" s="10" t="s">
        <v>908</v>
      </c>
      <c r="J118" s="10">
        <v>1</v>
      </c>
      <c r="K118" s="10"/>
      <c r="L118" s="10" t="s">
        <v>633</v>
      </c>
    </row>
    <row r="119" spans="2:12" ht="15" hidden="1">
      <c r="B119" s="9" t="s">
        <v>924</v>
      </c>
      <c r="C119" s="10" t="s">
        <v>904</v>
      </c>
      <c r="D119" s="11" t="s">
        <v>1044</v>
      </c>
      <c r="E119" s="11" t="s">
        <v>906</v>
      </c>
      <c r="F119" s="12">
        <v>2700000</v>
      </c>
      <c r="G119" s="10" t="s">
        <v>907</v>
      </c>
      <c r="H119" s="10" t="s">
        <v>908</v>
      </c>
      <c r="I119" s="10" t="s">
        <v>908</v>
      </c>
      <c r="J119" s="10">
        <v>1</v>
      </c>
      <c r="K119" s="10"/>
      <c r="L119" s="10" t="s">
        <v>633</v>
      </c>
    </row>
    <row r="120" spans="2:12" ht="15" hidden="1">
      <c r="B120" s="9" t="s">
        <v>924</v>
      </c>
      <c r="C120" s="10" t="s">
        <v>904</v>
      </c>
      <c r="D120" s="11" t="s">
        <v>1045</v>
      </c>
      <c r="E120" s="11" t="s">
        <v>906</v>
      </c>
      <c r="F120" s="12">
        <v>2100000</v>
      </c>
      <c r="G120" s="10" t="s">
        <v>907</v>
      </c>
      <c r="H120" s="10" t="s">
        <v>908</v>
      </c>
      <c r="I120" s="10" t="s">
        <v>908</v>
      </c>
      <c r="J120" s="10">
        <v>1</v>
      </c>
      <c r="K120" s="10"/>
      <c r="L120" s="10" t="s">
        <v>607</v>
      </c>
    </row>
    <row r="121" spans="2:12" ht="15" hidden="1">
      <c r="B121" s="9" t="s">
        <v>1023</v>
      </c>
      <c r="C121" s="10" t="s">
        <v>904</v>
      </c>
      <c r="D121" s="11" t="s">
        <v>1046</v>
      </c>
      <c r="E121" s="11" t="s">
        <v>906</v>
      </c>
      <c r="F121" s="12">
        <v>1800000</v>
      </c>
      <c r="G121" s="10" t="s">
        <v>907</v>
      </c>
      <c r="H121" s="10" t="s">
        <v>908</v>
      </c>
      <c r="I121" s="10" t="s">
        <v>908</v>
      </c>
      <c r="J121" s="10">
        <v>1</v>
      </c>
      <c r="K121" s="10"/>
      <c r="L121" s="10" t="s">
        <v>633</v>
      </c>
    </row>
    <row r="122" spans="2:12" ht="15" hidden="1">
      <c r="B122" s="9" t="s">
        <v>1023</v>
      </c>
      <c r="C122" s="10" t="s">
        <v>904</v>
      </c>
      <c r="D122" s="11" t="s">
        <v>1047</v>
      </c>
      <c r="E122" s="11" t="s">
        <v>906</v>
      </c>
      <c r="F122" s="12">
        <v>2400000</v>
      </c>
      <c r="G122" s="10" t="s">
        <v>907</v>
      </c>
      <c r="H122" s="10" t="s">
        <v>908</v>
      </c>
      <c r="I122" s="10" t="s">
        <v>908</v>
      </c>
      <c r="J122" s="10">
        <v>1</v>
      </c>
      <c r="K122" s="10"/>
      <c r="L122" s="10" t="s">
        <v>533</v>
      </c>
    </row>
    <row r="123" spans="2:12" ht="15" hidden="1">
      <c r="B123" s="9" t="s">
        <v>1023</v>
      </c>
      <c r="C123" s="10" t="s">
        <v>904</v>
      </c>
      <c r="D123" s="11" t="s">
        <v>1048</v>
      </c>
      <c r="E123" s="11" t="s">
        <v>906</v>
      </c>
      <c r="F123" s="12">
        <v>1700000</v>
      </c>
      <c r="G123" s="10" t="s">
        <v>907</v>
      </c>
      <c r="H123" s="10" t="s">
        <v>908</v>
      </c>
      <c r="I123" s="10" t="s">
        <v>908</v>
      </c>
      <c r="J123" s="10">
        <v>1</v>
      </c>
      <c r="K123" s="10"/>
      <c r="L123" s="10" t="s">
        <v>607</v>
      </c>
    </row>
    <row r="124" spans="2:12" ht="15" hidden="1">
      <c r="B124" s="9" t="s">
        <v>1023</v>
      </c>
      <c r="C124" s="10" t="s">
        <v>904</v>
      </c>
      <c r="D124" s="11" t="s">
        <v>1049</v>
      </c>
      <c r="E124" s="11" t="s">
        <v>906</v>
      </c>
      <c r="F124" s="12">
        <v>1900000</v>
      </c>
      <c r="G124" s="10" t="s">
        <v>911</v>
      </c>
      <c r="H124" s="10" t="s">
        <v>908</v>
      </c>
      <c r="I124" s="10" t="s">
        <v>908</v>
      </c>
      <c r="J124" s="10">
        <v>1</v>
      </c>
      <c r="K124" s="10"/>
      <c r="L124" s="10" t="s">
        <v>633</v>
      </c>
    </row>
    <row r="125" spans="2:12" ht="15" hidden="1">
      <c r="B125" s="9" t="s">
        <v>1023</v>
      </c>
      <c r="C125" s="10" t="s">
        <v>938</v>
      </c>
      <c r="D125" s="11" t="s">
        <v>1050</v>
      </c>
      <c r="E125" s="11" t="s">
        <v>1001</v>
      </c>
      <c r="F125" s="12">
        <v>2200000</v>
      </c>
      <c r="G125" s="10" t="s">
        <v>911</v>
      </c>
      <c r="H125" s="10" t="s">
        <v>908</v>
      </c>
      <c r="I125" s="10" t="s">
        <v>908</v>
      </c>
      <c r="J125" s="10">
        <v>1</v>
      </c>
      <c r="K125" s="10"/>
      <c r="L125" s="10" t="s">
        <v>533</v>
      </c>
    </row>
    <row r="126" spans="2:12" ht="15" hidden="1">
      <c r="B126" s="9" t="s">
        <v>1023</v>
      </c>
      <c r="C126" s="10" t="s">
        <v>904</v>
      </c>
      <c r="D126" s="11" t="s">
        <v>1051</v>
      </c>
      <c r="E126" s="11" t="s">
        <v>906</v>
      </c>
      <c r="F126" s="12">
        <v>2500000</v>
      </c>
      <c r="G126" s="10" t="s">
        <v>907</v>
      </c>
      <c r="H126" s="10" t="s">
        <v>908</v>
      </c>
      <c r="I126" s="10" t="s">
        <v>908</v>
      </c>
      <c r="J126" s="10">
        <v>1</v>
      </c>
      <c r="K126" s="10"/>
      <c r="L126" s="10" t="s">
        <v>607</v>
      </c>
    </row>
    <row r="127" spans="2:12" ht="15" hidden="1">
      <c r="B127" s="9" t="s">
        <v>1025</v>
      </c>
      <c r="C127" s="10" t="s">
        <v>904</v>
      </c>
      <c r="D127" s="11" t="s">
        <v>1052</v>
      </c>
      <c r="E127" s="11" t="s">
        <v>906</v>
      </c>
      <c r="F127" s="12">
        <v>1100000</v>
      </c>
      <c r="G127" s="10" t="s">
        <v>911</v>
      </c>
      <c r="H127" s="10" t="s">
        <v>908</v>
      </c>
      <c r="I127" s="10" t="s">
        <v>908</v>
      </c>
      <c r="J127" s="10">
        <v>1</v>
      </c>
      <c r="K127" s="10"/>
      <c r="L127" s="10" t="s">
        <v>607</v>
      </c>
    </row>
    <row r="128" spans="2:12" ht="15" hidden="1">
      <c r="B128" s="9" t="s">
        <v>1025</v>
      </c>
      <c r="C128" s="10" t="s">
        <v>904</v>
      </c>
      <c r="D128" s="11" t="s">
        <v>1053</v>
      </c>
      <c r="E128" s="11" t="s">
        <v>906</v>
      </c>
      <c r="F128" s="12">
        <v>1700000</v>
      </c>
      <c r="G128" s="10" t="s">
        <v>907</v>
      </c>
      <c r="H128" s="10" t="s">
        <v>908</v>
      </c>
      <c r="I128" s="10" t="s">
        <v>908</v>
      </c>
      <c r="J128" s="10">
        <v>1</v>
      </c>
      <c r="K128" s="10"/>
      <c r="L128" s="10" t="s">
        <v>633</v>
      </c>
    </row>
    <row r="129" spans="2:12" ht="15" hidden="1">
      <c r="B129" s="9" t="s">
        <v>1025</v>
      </c>
      <c r="C129" s="10" t="s">
        <v>904</v>
      </c>
      <c r="D129" s="11" t="s">
        <v>1054</v>
      </c>
      <c r="E129" s="11" t="s">
        <v>906</v>
      </c>
      <c r="F129" s="12">
        <v>2500000</v>
      </c>
      <c r="G129" s="10" t="s">
        <v>907</v>
      </c>
      <c r="H129" s="10" t="s">
        <v>908</v>
      </c>
      <c r="I129" s="10" t="s">
        <v>908</v>
      </c>
      <c r="J129" s="10">
        <v>1</v>
      </c>
      <c r="K129" s="10"/>
      <c r="L129" s="10" t="s">
        <v>533</v>
      </c>
    </row>
    <row r="130" spans="2:12" ht="15" hidden="1">
      <c r="B130" s="9" t="s">
        <v>1025</v>
      </c>
      <c r="C130" s="10" t="s">
        <v>904</v>
      </c>
      <c r="D130" s="11" t="s">
        <v>1055</v>
      </c>
      <c r="E130" s="11" t="s">
        <v>906</v>
      </c>
      <c r="F130" s="12">
        <v>1250000</v>
      </c>
      <c r="G130" s="10" t="s">
        <v>911</v>
      </c>
      <c r="H130" s="10" t="s">
        <v>908</v>
      </c>
      <c r="I130" s="10" t="s">
        <v>908</v>
      </c>
      <c r="J130" s="10">
        <v>1</v>
      </c>
      <c r="K130" s="10"/>
      <c r="L130" s="10" t="s">
        <v>607</v>
      </c>
    </row>
    <row r="131" spans="2:12" ht="15" hidden="1">
      <c r="B131" s="9" t="s">
        <v>1056</v>
      </c>
      <c r="C131" s="10" t="s">
        <v>904</v>
      </c>
      <c r="D131" s="11" t="s">
        <v>1057</v>
      </c>
      <c r="E131" s="11" t="s">
        <v>906</v>
      </c>
      <c r="F131" s="12">
        <v>2100000</v>
      </c>
      <c r="G131" s="10" t="s">
        <v>907</v>
      </c>
      <c r="H131" s="10" t="s">
        <v>908</v>
      </c>
      <c r="I131" s="10" t="s">
        <v>908</v>
      </c>
      <c r="J131" s="10">
        <v>1</v>
      </c>
      <c r="K131" s="10"/>
      <c r="L131" s="10" t="s">
        <v>633</v>
      </c>
    </row>
    <row r="132" spans="2:12" ht="15" hidden="1">
      <c r="B132" s="9" t="s">
        <v>1056</v>
      </c>
      <c r="C132" s="10" t="s">
        <v>938</v>
      </c>
      <c r="D132" s="11" t="s">
        <v>1058</v>
      </c>
      <c r="E132" s="11" t="s">
        <v>906</v>
      </c>
      <c r="F132" s="12">
        <v>3000000</v>
      </c>
      <c r="G132" s="10" t="s">
        <v>911</v>
      </c>
      <c r="H132" s="10" t="s">
        <v>908</v>
      </c>
      <c r="I132" s="10" t="s">
        <v>908</v>
      </c>
      <c r="J132" s="10">
        <v>1</v>
      </c>
      <c r="K132" s="10"/>
      <c r="L132" s="10" t="s">
        <v>607</v>
      </c>
    </row>
    <row r="133" spans="2:12" ht="15" hidden="1">
      <c r="B133" s="9" t="s">
        <v>1056</v>
      </c>
      <c r="C133" s="10" t="s">
        <v>938</v>
      </c>
      <c r="D133" s="11" t="s">
        <v>1059</v>
      </c>
      <c r="E133" s="11" t="s">
        <v>906</v>
      </c>
      <c r="F133" s="12">
        <v>3500000</v>
      </c>
      <c r="G133" s="10" t="s">
        <v>911</v>
      </c>
      <c r="H133" s="10" t="s">
        <v>908</v>
      </c>
      <c r="I133" s="10" t="s">
        <v>908</v>
      </c>
      <c r="J133" s="10">
        <v>1</v>
      </c>
      <c r="K133" s="10"/>
      <c r="L133" s="10" t="s">
        <v>533</v>
      </c>
    </row>
    <row r="134" spans="2:12" ht="15" hidden="1">
      <c r="B134" s="9"/>
      <c r="C134" s="10"/>
      <c r="D134" s="11"/>
      <c r="E134" s="11"/>
      <c r="F134" s="12"/>
      <c r="G134" s="10"/>
      <c r="H134" s="10"/>
      <c r="I134" s="10"/>
      <c r="J134" s="10"/>
      <c r="K134" s="10"/>
      <c r="L134" s="10"/>
    </row>
    <row r="135" spans="2:12" ht="15" hidden="1">
      <c r="B135" s="66" t="s">
        <v>991</v>
      </c>
      <c r="C135" s="63" t="s">
        <v>904</v>
      </c>
      <c r="D135" s="64" t="s">
        <v>1060</v>
      </c>
      <c r="E135" s="64" t="s">
        <v>906</v>
      </c>
      <c r="F135" s="65" t="s">
        <v>1061</v>
      </c>
      <c r="G135" s="63" t="s">
        <v>911</v>
      </c>
      <c r="H135" s="63" t="s">
        <v>934</v>
      </c>
      <c r="I135" s="63" t="s">
        <v>908</v>
      </c>
      <c r="J135" s="63"/>
      <c r="K135" s="63">
        <v>1</v>
      </c>
      <c r="L135" s="63" t="s">
        <v>1029</v>
      </c>
    </row>
    <row r="136" spans="2:12" ht="15" hidden="1">
      <c r="B136" s="62" t="s">
        <v>991</v>
      </c>
      <c r="C136" s="63" t="s">
        <v>904</v>
      </c>
      <c r="D136" s="64" t="s">
        <v>1062</v>
      </c>
      <c r="E136" s="64" t="s">
        <v>1031</v>
      </c>
      <c r="F136" s="65" t="s">
        <v>1063</v>
      </c>
      <c r="G136" s="63" t="s">
        <v>911</v>
      </c>
      <c r="H136" s="63" t="s">
        <v>934</v>
      </c>
      <c r="I136" s="63" t="s">
        <v>908</v>
      </c>
      <c r="J136" s="63"/>
      <c r="K136" s="63"/>
      <c r="L136" s="63" t="s">
        <v>1029</v>
      </c>
    </row>
    <row r="137" spans="2:12" ht="15" hidden="1">
      <c r="B137" s="47" t="s">
        <v>1064</v>
      </c>
      <c r="C137" s="46" t="s">
        <v>904</v>
      </c>
      <c r="D137" s="48" t="s">
        <v>1065</v>
      </c>
      <c r="E137" s="48" t="s">
        <v>906</v>
      </c>
      <c r="F137" s="45">
        <v>285000000</v>
      </c>
      <c r="G137" s="46" t="s">
        <v>907</v>
      </c>
      <c r="H137" s="46" t="s">
        <v>934</v>
      </c>
      <c r="I137" s="46" t="s">
        <v>908</v>
      </c>
      <c r="J137" s="46"/>
      <c r="K137" s="46">
        <v>1</v>
      </c>
      <c r="L137" s="46"/>
    </row>
    <row r="138" spans="2:12" ht="15" hidden="1">
      <c r="B138" s="47" t="s">
        <v>1066</v>
      </c>
      <c r="C138" s="46" t="s">
        <v>904</v>
      </c>
      <c r="D138" s="48" t="s">
        <v>1067</v>
      </c>
      <c r="E138" s="48" t="s">
        <v>906</v>
      </c>
      <c r="F138" s="45">
        <v>560000000</v>
      </c>
      <c r="G138" s="46" t="s">
        <v>907</v>
      </c>
      <c r="H138" s="46" t="s">
        <v>934</v>
      </c>
      <c r="I138" s="46" t="s">
        <v>908</v>
      </c>
      <c r="J138" s="46"/>
      <c r="K138" s="46">
        <v>1</v>
      </c>
      <c r="L138" s="46"/>
    </row>
    <row r="139" spans="2:12" ht="15" hidden="1">
      <c r="B139" s="255">
        <v>44775</v>
      </c>
      <c r="C139" s="46" t="s">
        <v>904</v>
      </c>
      <c r="D139" s="256" t="s">
        <v>1042</v>
      </c>
      <c r="E139" s="256" t="s">
        <v>906</v>
      </c>
      <c r="F139" s="45">
        <v>380000000</v>
      </c>
      <c r="G139" s="46" t="s">
        <v>911</v>
      </c>
      <c r="H139" s="46" t="s">
        <v>908</v>
      </c>
      <c r="I139" s="46" t="s">
        <v>908</v>
      </c>
      <c r="J139" s="257"/>
      <c r="K139" s="258">
        <v>1</v>
      </c>
      <c r="L139" s="258"/>
    </row>
    <row r="140" spans="2:12" ht="18.75" hidden="1">
      <c r="B140" s="1097" t="s">
        <v>32</v>
      </c>
      <c r="C140" s="1097"/>
      <c r="D140" s="1097"/>
      <c r="E140" s="1097"/>
      <c r="F140" s="1097"/>
      <c r="G140" s="1097"/>
      <c r="H140" s="1097"/>
      <c r="I140" s="1097"/>
      <c r="J140" s="96">
        <f>SUM(J114:J139)</f>
        <v>20</v>
      </c>
      <c r="K140" s="97">
        <f>SUM(K135:K139)</f>
        <v>4</v>
      </c>
      <c r="L140" s="97">
        <f>J140+K140</f>
        <v>24</v>
      </c>
    </row>
    <row r="141" spans="2:12" hidden="1"/>
    <row r="142" spans="2:12" ht="18.75" hidden="1">
      <c r="B142" s="1094" t="s">
        <v>1068</v>
      </c>
      <c r="C142" s="1095"/>
      <c r="D142" s="1095"/>
      <c r="E142" s="1095"/>
      <c r="F142" s="1095"/>
      <c r="G142" s="1095"/>
      <c r="H142" s="1095"/>
      <c r="I142" s="1095"/>
      <c r="J142" s="1095"/>
      <c r="K142" s="1095"/>
      <c r="L142" s="1096"/>
    </row>
    <row r="143" spans="2:12" ht="18" hidden="1" customHeight="1">
      <c r="B143" s="98" t="s">
        <v>892</v>
      </c>
      <c r="C143" s="92" t="s">
        <v>893</v>
      </c>
      <c r="D143" s="92" t="s">
        <v>894</v>
      </c>
      <c r="E143" s="92" t="s">
        <v>895</v>
      </c>
      <c r="F143" s="99" t="s">
        <v>896</v>
      </c>
      <c r="G143" s="92" t="s">
        <v>897</v>
      </c>
      <c r="H143" s="92" t="s">
        <v>898</v>
      </c>
      <c r="I143" s="92" t="s">
        <v>899</v>
      </c>
      <c r="J143" s="92" t="s">
        <v>900</v>
      </c>
      <c r="K143" s="92" t="s">
        <v>901</v>
      </c>
      <c r="L143" s="92" t="s">
        <v>902</v>
      </c>
    </row>
    <row r="144" spans="2:12" ht="15" hidden="1">
      <c r="B144" s="9" t="s">
        <v>995</v>
      </c>
      <c r="C144" s="10" t="s">
        <v>904</v>
      </c>
      <c r="D144" s="11" t="s">
        <v>1069</v>
      </c>
      <c r="E144" s="11" t="s">
        <v>985</v>
      </c>
      <c r="F144" s="12">
        <v>1450000</v>
      </c>
      <c r="G144" s="10" t="s">
        <v>49</v>
      </c>
      <c r="H144" s="10" t="s">
        <v>908</v>
      </c>
      <c r="I144" s="10" t="s">
        <v>908</v>
      </c>
      <c r="J144" s="10">
        <v>1</v>
      </c>
      <c r="K144" s="10"/>
      <c r="L144" s="10" t="s">
        <v>607</v>
      </c>
    </row>
    <row r="145" spans="2:12" ht="15" hidden="1">
      <c r="B145" s="9">
        <v>44622</v>
      </c>
      <c r="C145" s="10" t="s">
        <v>904</v>
      </c>
      <c r="D145" s="11" t="s">
        <v>1070</v>
      </c>
      <c r="E145" s="11" t="s">
        <v>1071</v>
      </c>
      <c r="F145" s="12">
        <v>1000000</v>
      </c>
      <c r="G145" s="10" t="s">
        <v>49</v>
      </c>
      <c r="H145" s="10" t="s">
        <v>908</v>
      </c>
      <c r="I145" s="10" t="s">
        <v>908</v>
      </c>
      <c r="J145" s="10">
        <v>1</v>
      </c>
      <c r="K145" s="10"/>
      <c r="L145" s="10" t="s">
        <v>533</v>
      </c>
    </row>
    <row r="146" spans="2:12" ht="15" hidden="1">
      <c r="B146" s="9">
        <v>44622</v>
      </c>
      <c r="C146" s="10" t="s">
        <v>904</v>
      </c>
      <c r="D146" s="11" t="s">
        <v>1072</v>
      </c>
      <c r="E146" s="11" t="s">
        <v>1073</v>
      </c>
      <c r="F146" s="12">
        <v>1150000</v>
      </c>
      <c r="G146" s="10" t="s">
        <v>49</v>
      </c>
      <c r="H146" s="10" t="s">
        <v>908</v>
      </c>
      <c r="I146" s="10" t="s">
        <v>908</v>
      </c>
      <c r="J146" s="10">
        <v>1</v>
      </c>
      <c r="K146" s="10"/>
      <c r="L146" s="10" t="s">
        <v>607</v>
      </c>
    </row>
    <row r="147" spans="2:12" ht="15" hidden="1">
      <c r="B147" s="9">
        <v>44775</v>
      </c>
      <c r="C147" s="10" t="s">
        <v>904</v>
      </c>
      <c r="D147" s="11" t="s">
        <v>1074</v>
      </c>
      <c r="E147" s="11" t="s">
        <v>1075</v>
      </c>
      <c r="F147" s="12">
        <v>1900000</v>
      </c>
      <c r="G147" s="10" t="s">
        <v>49</v>
      </c>
      <c r="H147" s="10" t="s">
        <v>908</v>
      </c>
      <c r="I147" s="10" t="s">
        <v>908</v>
      </c>
      <c r="J147" s="10">
        <v>1</v>
      </c>
      <c r="K147" s="10"/>
      <c r="L147" s="10" t="s">
        <v>533</v>
      </c>
    </row>
    <row r="148" spans="2:12" ht="15" hidden="1">
      <c r="B148" s="9">
        <v>44775</v>
      </c>
      <c r="C148" s="46" t="s">
        <v>904</v>
      </c>
      <c r="D148" s="48" t="s">
        <v>1076</v>
      </c>
      <c r="E148" s="48" t="s">
        <v>906</v>
      </c>
      <c r="F148" s="45">
        <v>1600000</v>
      </c>
      <c r="G148" s="46" t="s">
        <v>49</v>
      </c>
      <c r="H148" s="46" t="s">
        <v>983</v>
      </c>
      <c r="I148" s="46" t="s">
        <v>908</v>
      </c>
      <c r="J148" s="46">
        <v>1</v>
      </c>
      <c r="K148" s="46"/>
      <c r="L148" s="46" t="s">
        <v>1077</v>
      </c>
    </row>
    <row r="149" spans="2:12" ht="15" hidden="1">
      <c r="B149" s="9" t="s">
        <v>924</v>
      </c>
      <c r="C149" s="46" t="s">
        <v>957</v>
      </c>
      <c r="D149" s="48" t="s">
        <v>1078</v>
      </c>
      <c r="E149" s="48" t="s">
        <v>906</v>
      </c>
      <c r="F149" s="45">
        <v>3500000</v>
      </c>
      <c r="G149" s="46" t="s">
        <v>49</v>
      </c>
      <c r="H149" s="46" t="s">
        <v>908</v>
      </c>
      <c r="I149" s="46" t="s">
        <v>908</v>
      </c>
      <c r="J149" s="46">
        <v>1</v>
      </c>
      <c r="K149" s="46"/>
      <c r="L149" s="46" t="s">
        <v>633</v>
      </c>
    </row>
    <row r="150" spans="2:12" ht="18.75" hidden="1">
      <c r="B150" s="1103" t="s">
        <v>32</v>
      </c>
      <c r="C150" s="1103"/>
      <c r="D150" s="1103"/>
      <c r="E150" s="1103"/>
      <c r="F150" s="1103"/>
      <c r="G150" s="1103"/>
      <c r="H150" s="1103"/>
      <c r="I150" s="1103"/>
      <c r="J150" s="92">
        <f>SUM(J144:J149)</f>
        <v>6</v>
      </c>
      <c r="K150" s="92">
        <f>SUM(K144:K148)</f>
        <v>0</v>
      </c>
      <c r="L150" s="92">
        <f>J150+K150</f>
        <v>6</v>
      </c>
    </row>
    <row r="151" spans="2:12" hidden="1"/>
    <row r="152" spans="2:12" hidden="1"/>
    <row r="153" spans="2:12" ht="18.75" hidden="1">
      <c r="B153" s="1094" t="s">
        <v>1079</v>
      </c>
      <c r="C153" s="1095"/>
      <c r="D153" s="1095"/>
      <c r="E153" s="1095"/>
      <c r="F153" s="1095"/>
      <c r="G153" s="1095"/>
      <c r="H153" s="1095"/>
      <c r="I153" s="1095"/>
      <c r="J153" s="1095"/>
      <c r="K153" s="1095"/>
      <c r="L153" s="1096"/>
    </row>
    <row r="154" spans="2:12" ht="18.75" hidden="1">
      <c r="B154" s="98" t="s">
        <v>892</v>
      </c>
      <c r="C154" s="92" t="s">
        <v>893</v>
      </c>
      <c r="D154" s="92" t="s">
        <v>894</v>
      </c>
      <c r="E154" s="92" t="s">
        <v>895</v>
      </c>
      <c r="F154" s="99" t="s">
        <v>896</v>
      </c>
      <c r="G154" s="92" t="s">
        <v>897</v>
      </c>
      <c r="H154" s="92" t="s">
        <v>898</v>
      </c>
      <c r="I154" s="92" t="s">
        <v>899</v>
      </c>
      <c r="J154" s="92" t="s">
        <v>900</v>
      </c>
      <c r="K154" s="92" t="s">
        <v>901</v>
      </c>
      <c r="L154" s="92" t="s">
        <v>902</v>
      </c>
    </row>
    <row r="155" spans="2:12" ht="15" hidden="1">
      <c r="B155" s="9" t="s">
        <v>995</v>
      </c>
      <c r="C155" s="10" t="s">
        <v>1080</v>
      </c>
      <c r="D155" s="11" t="s">
        <v>1081</v>
      </c>
      <c r="E155" s="11" t="s">
        <v>1082</v>
      </c>
      <c r="F155" s="12">
        <v>12000000</v>
      </c>
      <c r="G155" s="10" t="s">
        <v>911</v>
      </c>
      <c r="H155" s="10" t="s">
        <v>908</v>
      </c>
      <c r="I155" s="10" t="s">
        <v>908</v>
      </c>
      <c r="J155" s="10">
        <v>1</v>
      </c>
      <c r="K155" s="10"/>
      <c r="L155" s="10" t="s">
        <v>533</v>
      </c>
    </row>
    <row r="156" spans="2:12" ht="15" hidden="1">
      <c r="B156" s="9" t="s">
        <v>1083</v>
      </c>
      <c r="C156" s="10" t="s">
        <v>904</v>
      </c>
      <c r="D156" s="11" t="s">
        <v>1084</v>
      </c>
      <c r="E156" s="11" t="s">
        <v>988</v>
      </c>
      <c r="F156" s="12">
        <v>1600000</v>
      </c>
      <c r="G156" s="10" t="s">
        <v>907</v>
      </c>
      <c r="H156" s="10" t="s">
        <v>908</v>
      </c>
      <c r="I156" s="10" t="s">
        <v>908</v>
      </c>
      <c r="J156" s="10">
        <v>1</v>
      </c>
      <c r="K156" s="10"/>
      <c r="L156" s="10" t="s">
        <v>533</v>
      </c>
    </row>
    <row r="157" spans="2:12" ht="15" hidden="1">
      <c r="B157" s="9"/>
      <c r="C157" s="10"/>
      <c r="D157" s="11"/>
      <c r="E157" s="11"/>
      <c r="F157" s="12"/>
      <c r="G157" s="10"/>
      <c r="H157" s="10"/>
      <c r="I157" s="10"/>
      <c r="J157" s="10"/>
      <c r="K157" s="10"/>
      <c r="L157" s="10"/>
    </row>
    <row r="158" spans="2:12" ht="15" hidden="1">
      <c r="B158" s="9" t="s">
        <v>991</v>
      </c>
      <c r="C158" s="10" t="s">
        <v>904</v>
      </c>
      <c r="D158" s="11" t="s">
        <v>1085</v>
      </c>
      <c r="E158" s="11" t="s">
        <v>1086</v>
      </c>
      <c r="F158" s="12">
        <v>190000000</v>
      </c>
      <c r="G158" s="10" t="s">
        <v>911</v>
      </c>
      <c r="H158" s="10" t="s">
        <v>934</v>
      </c>
      <c r="I158" s="10" t="s">
        <v>908</v>
      </c>
      <c r="J158" s="10"/>
      <c r="K158" s="10">
        <v>1</v>
      </c>
      <c r="L158" s="10" t="s">
        <v>1029</v>
      </c>
    </row>
    <row r="159" spans="2:12" ht="15" hidden="1">
      <c r="B159" s="9" t="s">
        <v>991</v>
      </c>
      <c r="C159" s="10" t="s">
        <v>904</v>
      </c>
      <c r="D159" s="11" t="s">
        <v>1087</v>
      </c>
      <c r="E159" s="11" t="s">
        <v>1088</v>
      </c>
      <c r="F159" s="12">
        <v>285000000</v>
      </c>
      <c r="G159" s="10" t="s">
        <v>907</v>
      </c>
      <c r="H159" s="10" t="s">
        <v>934</v>
      </c>
      <c r="I159" s="10" t="s">
        <v>908</v>
      </c>
      <c r="J159" s="10"/>
      <c r="K159" s="10">
        <v>1</v>
      </c>
      <c r="L159" s="10" t="s">
        <v>1029</v>
      </c>
    </row>
    <row r="160" spans="2:12" ht="18.75" hidden="1">
      <c r="B160" s="1103" t="s">
        <v>32</v>
      </c>
      <c r="C160" s="1103"/>
      <c r="D160" s="1103"/>
      <c r="E160" s="1103"/>
      <c r="F160" s="1103"/>
      <c r="G160" s="1103"/>
      <c r="H160" s="1103"/>
      <c r="I160" s="1103"/>
      <c r="J160" s="92">
        <f>SUM(J155:J159)</f>
        <v>2</v>
      </c>
      <c r="K160" s="92">
        <f>SUM(K155:K159)</f>
        <v>2</v>
      </c>
      <c r="L160" s="92">
        <f>J160+K160</f>
        <v>4</v>
      </c>
    </row>
    <row r="161" spans="2:12" hidden="1"/>
    <row r="162" spans="2:12" ht="18.75" hidden="1">
      <c r="B162" s="1094" t="s">
        <v>1089</v>
      </c>
      <c r="C162" s="1095"/>
      <c r="D162" s="1095"/>
      <c r="E162" s="1095"/>
      <c r="F162" s="1095"/>
      <c r="G162" s="1095"/>
      <c r="H162" s="1095"/>
      <c r="I162" s="1095"/>
      <c r="J162" s="1095"/>
      <c r="K162" s="1095"/>
      <c r="L162" s="1096"/>
    </row>
    <row r="163" spans="2:12" ht="18.75" hidden="1">
      <c r="B163" s="98" t="s">
        <v>892</v>
      </c>
      <c r="C163" s="92" t="s">
        <v>893</v>
      </c>
      <c r="D163" s="92" t="s">
        <v>894</v>
      </c>
      <c r="E163" s="92" t="s">
        <v>895</v>
      </c>
      <c r="F163" s="99" t="s">
        <v>896</v>
      </c>
      <c r="G163" s="92" t="s">
        <v>897</v>
      </c>
      <c r="H163" s="92" t="s">
        <v>898</v>
      </c>
      <c r="I163" s="92" t="s">
        <v>899</v>
      </c>
      <c r="J163" s="92" t="s">
        <v>900</v>
      </c>
      <c r="K163" s="92" t="s">
        <v>901</v>
      </c>
      <c r="L163" s="92" t="s">
        <v>902</v>
      </c>
    </row>
    <row r="164" spans="2:12" ht="15" hidden="1">
      <c r="B164" s="9" t="s">
        <v>991</v>
      </c>
      <c r="C164" s="10" t="s">
        <v>904</v>
      </c>
      <c r="D164" s="11" t="s">
        <v>1090</v>
      </c>
      <c r="E164" s="11" t="s">
        <v>906</v>
      </c>
      <c r="F164" s="12">
        <v>3700000</v>
      </c>
      <c r="G164" s="10" t="s">
        <v>1091</v>
      </c>
      <c r="H164" s="10" t="s">
        <v>983</v>
      </c>
      <c r="I164" s="10" t="s">
        <v>908</v>
      </c>
      <c r="J164" s="10">
        <v>1</v>
      </c>
      <c r="K164" s="10"/>
      <c r="L164" s="10" t="s">
        <v>1092</v>
      </c>
    </row>
    <row r="165" spans="2:12" ht="15" hidden="1">
      <c r="B165" s="9" t="s">
        <v>1038</v>
      </c>
      <c r="C165" s="10" t="s">
        <v>904</v>
      </c>
      <c r="D165" s="11" t="s">
        <v>1093</v>
      </c>
      <c r="E165" s="11" t="s">
        <v>1094</v>
      </c>
      <c r="F165" s="12">
        <v>1350000</v>
      </c>
      <c r="G165" s="10" t="s">
        <v>907</v>
      </c>
      <c r="H165" s="10" t="s">
        <v>908</v>
      </c>
      <c r="I165" s="10" t="s">
        <v>908</v>
      </c>
      <c r="J165" s="10">
        <v>1</v>
      </c>
      <c r="K165" s="10"/>
      <c r="L165" s="10"/>
    </row>
    <row r="166" spans="2:12" ht="15" hidden="1">
      <c r="B166" s="9">
        <v>44563</v>
      </c>
      <c r="C166" s="10" t="s">
        <v>904</v>
      </c>
      <c r="D166" s="11" t="s">
        <v>1095</v>
      </c>
      <c r="E166" s="11" t="s">
        <v>1082</v>
      </c>
      <c r="F166" s="12">
        <v>3200000</v>
      </c>
      <c r="G166" s="10" t="s">
        <v>907</v>
      </c>
      <c r="H166" s="10" t="s">
        <v>908</v>
      </c>
      <c r="I166" s="10" t="s">
        <v>908</v>
      </c>
      <c r="J166" s="10">
        <v>1</v>
      </c>
      <c r="K166" s="10"/>
      <c r="L166" s="10" t="s">
        <v>1092</v>
      </c>
    </row>
    <row r="167" spans="2:12" ht="15" hidden="1">
      <c r="B167" s="9">
        <v>44593</v>
      </c>
      <c r="C167" s="10" t="s">
        <v>904</v>
      </c>
      <c r="D167" s="11" t="s">
        <v>1096</v>
      </c>
      <c r="E167" s="11" t="s">
        <v>906</v>
      </c>
      <c r="F167" s="12">
        <v>3800000</v>
      </c>
      <c r="G167" s="10" t="s">
        <v>907</v>
      </c>
      <c r="H167" s="10" t="s">
        <v>908</v>
      </c>
      <c r="I167" s="10" t="s">
        <v>908</v>
      </c>
      <c r="J167" s="10">
        <v>1</v>
      </c>
      <c r="K167" s="10"/>
      <c r="L167" s="10" t="s">
        <v>533</v>
      </c>
    </row>
    <row r="168" spans="2:12" ht="15" hidden="1">
      <c r="B168" s="9">
        <v>44563</v>
      </c>
      <c r="C168" s="10" t="s">
        <v>904</v>
      </c>
      <c r="D168" s="11" t="s">
        <v>1097</v>
      </c>
      <c r="E168" s="11" t="s">
        <v>1098</v>
      </c>
      <c r="F168" s="12">
        <v>2200000</v>
      </c>
      <c r="G168" s="10" t="s">
        <v>907</v>
      </c>
      <c r="H168" s="10" t="s">
        <v>908</v>
      </c>
      <c r="I168" s="10" t="s">
        <v>908</v>
      </c>
      <c r="J168" s="10">
        <v>1</v>
      </c>
      <c r="K168" s="10"/>
      <c r="L168" s="10"/>
    </row>
    <row r="169" spans="2:12" ht="15" hidden="1">
      <c r="B169" s="9">
        <v>44622</v>
      </c>
      <c r="C169" s="10" t="s">
        <v>969</v>
      </c>
      <c r="D169" s="11" t="s">
        <v>1099</v>
      </c>
      <c r="E169" s="11" t="s">
        <v>906</v>
      </c>
      <c r="F169" s="12">
        <v>1150000</v>
      </c>
      <c r="G169" s="10" t="s">
        <v>911</v>
      </c>
      <c r="H169" s="10" t="s">
        <v>908</v>
      </c>
      <c r="I169" s="10" t="s">
        <v>908</v>
      </c>
      <c r="J169" s="10">
        <v>1</v>
      </c>
      <c r="K169" s="10"/>
      <c r="L169" s="10" t="s">
        <v>533</v>
      </c>
    </row>
    <row r="170" spans="2:12" ht="15" hidden="1">
      <c r="B170" s="9">
        <v>44622</v>
      </c>
      <c r="C170" s="10" t="s">
        <v>969</v>
      </c>
      <c r="D170" s="11" t="s">
        <v>1100</v>
      </c>
      <c r="E170" s="11" t="s">
        <v>906</v>
      </c>
      <c r="F170" s="12">
        <v>1150000</v>
      </c>
      <c r="G170" s="10" t="s">
        <v>911</v>
      </c>
      <c r="H170" s="10" t="s">
        <v>908</v>
      </c>
      <c r="I170" s="10" t="s">
        <v>908</v>
      </c>
      <c r="J170" s="10">
        <v>1</v>
      </c>
      <c r="K170" s="10"/>
      <c r="L170" s="10" t="s">
        <v>607</v>
      </c>
    </row>
    <row r="171" spans="2:12" ht="15" hidden="1">
      <c r="B171" s="9">
        <v>44622</v>
      </c>
      <c r="C171" s="10" t="s">
        <v>969</v>
      </c>
      <c r="D171" s="11" t="s">
        <v>1101</v>
      </c>
      <c r="E171" s="11" t="s">
        <v>906</v>
      </c>
      <c r="F171" s="12">
        <v>1150000</v>
      </c>
      <c r="G171" s="10" t="s">
        <v>911</v>
      </c>
      <c r="H171" s="10" t="s">
        <v>908</v>
      </c>
      <c r="I171" s="10" t="s">
        <v>908</v>
      </c>
      <c r="J171" s="10">
        <v>1</v>
      </c>
      <c r="K171" s="10"/>
      <c r="L171" s="10" t="s">
        <v>533</v>
      </c>
    </row>
    <row r="172" spans="2:12" ht="15" hidden="1">
      <c r="B172" s="9">
        <v>44622</v>
      </c>
      <c r="C172" s="10" t="s">
        <v>969</v>
      </c>
      <c r="D172" s="11" t="s">
        <v>1102</v>
      </c>
      <c r="E172" s="11" t="s">
        <v>906</v>
      </c>
      <c r="F172" s="12">
        <v>1150000</v>
      </c>
      <c r="G172" s="10" t="s">
        <v>911</v>
      </c>
      <c r="H172" s="10" t="s">
        <v>908</v>
      </c>
      <c r="I172" s="10" t="s">
        <v>908</v>
      </c>
      <c r="J172" s="10">
        <v>1</v>
      </c>
      <c r="K172" s="10"/>
      <c r="L172" s="10" t="s">
        <v>607</v>
      </c>
    </row>
    <row r="173" spans="2:12" ht="15" hidden="1">
      <c r="B173" s="9">
        <v>44744</v>
      </c>
      <c r="C173" s="10" t="s">
        <v>904</v>
      </c>
      <c r="D173" s="11" t="s">
        <v>1103</v>
      </c>
      <c r="E173" s="11" t="s">
        <v>906</v>
      </c>
      <c r="F173" s="12">
        <v>2300000</v>
      </c>
      <c r="G173" s="10" t="s">
        <v>907</v>
      </c>
      <c r="H173" s="10" t="s">
        <v>908</v>
      </c>
      <c r="I173" s="10" t="s">
        <v>908</v>
      </c>
      <c r="J173" s="10">
        <v>1</v>
      </c>
      <c r="K173" s="10"/>
      <c r="L173" s="10" t="s">
        <v>633</v>
      </c>
    </row>
    <row r="174" spans="2:12" ht="15" hidden="1">
      <c r="B174" s="9">
        <v>44744</v>
      </c>
      <c r="C174" s="10" t="s">
        <v>904</v>
      </c>
      <c r="D174" s="11" t="s">
        <v>1104</v>
      </c>
      <c r="E174" s="11" t="s">
        <v>906</v>
      </c>
      <c r="F174" s="12">
        <v>2300000</v>
      </c>
      <c r="G174" s="10" t="s">
        <v>907</v>
      </c>
      <c r="H174" s="10" t="s">
        <v>908</v>
      </c>
      <c r="I174" s="10" t="s">
        <v>908</v>
      </c>
      <c r="J174" s="10">
        <v>1</v>
      </c>
      <c r="K174" s="10"/>
      <c r="L174" s="10" t="s">
        <v>607</v>
      </c>
    </row>
    <row r="175" spans="2:12" ht="15" hidden="1">
      <c r="B175" s="9">
        <v>44775</v>
      </c>
      <c r="C175" s="10" t="s">
        <v>904</v>
      </c>
      <c r="D175" s="11" t="s">
        <v>1105</v>
      </c>
      <c r="E175" s="11" t="s">
        <v>906</v>
      </c>
      <c r="F175" s="12">
        <v>1450000</v>
      </c>
      <c r="G175" s="10" t="s">
        <v>907</v>
      </c>
      <c r="H175" s="10" t="s">
        <v>908</v>
      </c>
      <c r="I175" s="10" t="s">
        <v>908</v>
      </c>
      <c r="J175" s="10">
        <v>1</v>
      </c>
      <c r="K175" s="10"/>
      <c r="L175" s="10"/>
    </row>
    <row r="176" spans="2:12" ht="15" hidden="1">
      <c r="B176" s="9">
        <v>44600</v>
      </c>
      <c r="C176" s="10" t="s">
        <v>904</v>
      </c>
      <c r="D176" s="11" t="s">
        <v>1106</v>
      </c>
      <c r="E176" s="11" t="s">
        <v>906</v>
      </c>
      <c r="F176" s="12">
        <v>2000000</v>
      </c>
      <c r="G176" s="10" t="s">
        <v>907</v>
      </c>
      <c r="H176" s="10" t="s">
        <v>908</v>
      </c>
      <c r="I176" s="10" t="s">
        <v>908</v>
      </c>
      <c r="J176" s="10">
        <v>1</v>
      </c>
      <c r="K176" s="10"/>
      <c r="L176" s="10" t="s">
        <v>533</v>
      </c>
    </row>
    <row r="177" spans="2:12" ht="15" hidden="1">
      <c r="B177" s="9">
        <v>44836</v>
      </c>
      <c r="C177" s="10" t="s">
        <v>904</v>
      </c>
      <c r="D177" s="11" t="s">
        <v>1107</v>
      </c>
      <c r="E177" s="11" t="s">
        <v>906</v>
      </c>
      <c r="F177" s="12">
        <v>1700000</v>
      </c>
      <c r="G177" s="10" t="s">
        <v>907</v>
      </c>
      <c r="H177" s="10" t="s">
        <v>908</v>
      </c>
      <c r="I177" s="10" t="s">
        <v>908</v>
      </c>
      <c r="J177" s="10">
        <v>1</v>
      </c>
      <c r="K177" s="10"/>
      <c r="L177" s="10" t="s">
        <v>633</v>
      </c>
    </row>
    <row r="178" spans="2:12" ht="15" hidden="1">
      <c r="B178" s="9">
        <v>44836</v>
      </c>
      <c r="C178" s="10" t="s">
        <v>904</v>
      </c>
      <c r="D178" s="11" t="s">
        <v>1108</v>
      </c>
      <c r="E178" s="11" t="s">
        <v>906</v>
      </c>
      <c r="F178" s="12">
        <v>2500000</v>
      </c>
      <c r="G178" s="10" t="s">
        <v>907</v>
      </c>
      <c r="H178" s="10" t="s">
        <v>908</v>
      </c>
      <c r="I178" s="10" t="s">
        <v>908</v>
      </c>
      <c r="J178" s="10">
        <v>1</v>
      </c>
      <c r="K178" s="10"/>
      <c r="L178" s="10" t="s">
        <v>633</v>
      </c>
    </row>
    <row r="179" spans="2:12" ht="15" hidden="1">
      <c r="B179" s="9">
        <v>44602</v>
      </c>
      <c r="C179" s="10" t="s">
        <v>904</v>
      </c>
      <c r="D179" s="11" t="s">
        <v>1109</v>
      </c>
      <c r="E179" s="11" t="s">
        <v>906</v>
      </c>
      <c r="F179" s="12">
        <v>1900000</v>
      </c>
      <c r="G179" s="10" t="s">
        <v>907</v>
      </c>
      <c r="H179" s="10" t="s">
        <v>908</v>
      </c>
      <c r="I179" s="10" t="s">
        <v>908</v>
      </c>
      <c r="J179" s="10">
        <v>1</v>
      </c>
      <c r="K179" s="10"/>
      <c r="L179" s="10" t="s">
        <v>533</v>
      </c>
    </row>
    <row r="180" spans="2:12" ht="15" hidden="1">
      <c r="B180" s="9">
        <v>44867</v>
      </c>
      <c r="C180" s="10" t="s">
        <v>904</v>
      </c>
      <c r="D180" s="11" t="s">
        <v>1110</v>
      </c>
      <c r="E180" s="11" t="s">
        <v>954</v>
      </c>
      <c r="F180" s="12">
        <v>2700000</v>
      </c>
      <c r="G180" s="10" t="s">
        <v>907</v>
      </c>
      <c r="H180" s="10" t="s">
        <v>908</v>
      </c>
      <c r="I180" s="10" t="s">
        <v>908</v>
      </c>
      <c r="J180" s="10">
        <v>1</v>
      </c>
      <c r="K180" s="10"/>
      <c r="L180" s="10" t="s">
        <v>1111</v>
      </c>
    </row>
    <row r="181" spans="2:12" ht="15" hidden="1">
      <c r="B181" s="9" t="s">
        <v>924</v>
      </c>
      <c r="C181" s="10" t="s">
        <v>904</v>
      </c>
      <c r="D181" s="11" t="s">
        <v>1112</v>
      </c>
      <c r="E181" s="11" t="s">
        <v>1113</v>
      </c>
      <c r="F181" s="12">
        <v>1500000</v>
      </c>
      <c r="G181" s="10" t="s">
        <v>1091</v>
      </c>
      <c r="H181" s="10" t="s">
        <v>908</v>
      </c>
      <c r="I181" s="10" t="s">
        <v>908</v>
      </c>
      <c r="J181" s="10">
        <v>1</v>
      </c>
      <c r="K181" s="10"/>
      <c r="L181" s="10"/>
    </row>
    <row r="182" spans="2:12" ht="15" hidden="1">
      <c r="B182" s="9" t="s">
        <v>1023</v>
      </c>
      <c r="C182" s="10" t="s">
        <v>904</v>
      </c>
      <c r="D182" s="11" t="s">
        <v>1114</v>
      </c>
      <c r="E182" s="11" t="s">
        <v>906</v>
      </c>
      <c r="F182" s="12">
        <v>1800000</v>
      </c>
      <c r="G182" s="10" t="s">
        <v>907</v>
      </c>
      <c r="H182" s="10" t="s">
        <v>908</v>
      </c>
      <c r="I182" s="10" t="s">
        <v>908</v>
      </c>
      <c r="J182" s="10">
        <v>1</v>
      </c>
      <c r="K182" s="10"/>
      <c r="L182" s="10" t="s">
        <v>607</v>
      </c>
    </row>
    <row r="183" spans="2:12" ht="15" hidden="1">
      <c r="B183" s="9" t="s">
        <v>1025</v>
      </c>
      <c r="C183" s="10" t="s">
        <v>904</v>
      </c>
      <c r="D183" s="11" t="s">
        <v>1115</v>
      </c>
      <c r="E183" s="11" t="s">
        <v>906</v>
      </c>
      <c r="F183" s="12">
        <v>2500000</v>
      </c>
      <c r="G183" s="10" t="s">
        <v>907</v>
      </c>
      <c r="H183" s="10" t="s">
        <v>908</v>
      </c>
      <c r="I183" s="10" t="s">
        <v>908</v>
      </c>
      <c r="J183" s="10">
        <v>1</v>
      </c>
      <c r="K183" s="10"/>
      <c r="L183" s="10" t="s">
        <v>533</v>
      </c>
    </row>
    <row r="184" spans="2:12" ht="18.75" hidden="1">
      <c r="B184" s="1103"/>
      <c r="C184" s="1103"/>
      <c r="D184" s="1103"/>
      <c r="E184" s="1103"/>
      <c r="F184" s="1103"/>
      <c r="G184" s="1103"/>
      <c r="H184" s="1103"/>
      <c r="I184" s="1103"/>
      <c r="J184" s="92">
        <f>SUM(J164:J183)</f>
        <v>20</v>
      </c>
      <c r="K184" s="92">
        <f>SUM(K164:K172)</f>
        <v>0</v>
      </c>
      <c r="L184" s="92">
        <f>J184+K184</f>
        <v>20</v>
      </c>
    </row>
    <row r="185" spans="2:12" hidden="1"/>
    <row r="186" spans="2:12" hidden="1"/>
    <row r="187" spans="2:12" ht="18.75" hidden="1">
      <c r="B187" s="1094" t="s">
        <v>1116</v>
      </c>
      <c r="C187" s="1095"/>
      <c r="D187" s="1095"/>
      <c r="E187" s="1095"/>
      <c r="F187" s="1095"/>
      <c r="G187" s="1095"/>
      <c r="H187" s="1095"/>
      <c r="I187" s="1095"/>
      <c r="J187" s="1095"/>
      <c r="K187" s="1095"/>
      <c r="L187" s="1096"/>
    </row>
    <row r="188" spans="2:12" ht="18.75" hidden="1">
      <c r="B188" s="98" t="s">
        <v>892</v>
      </c>
      <c r="C188" s="92" t="s">
        <v>893</v>
      </c>
      <c r="D188" s="92" t="s">
        <v>894</v>
      </c>
      <c r="E188" s="92" t="s">
        <v>895</v>
      </c>
      <c r="F188" s="99" t="s">
        <v>896</v>
      </c>
      <c r="G188" s="92" t="s">
        <v>897</v>
      </c>
      <c r="H188" s="92" t="s">
        <v>898</v>
      </c>
      <c r="I188" s="92" t="s">
        <v>899</v>
      </c>
      <c r="J188" s="92" t="s">
        <v>900</v>
      </c>
      <c r="K188" s="92" t="s">
        <v>901</v>
      </c>
      <c r="L188" s="92" t="s">
        <v>902</v>
      </c>
    </row>
    <row r="189" spans="2:12" ht="15" hidden="1">
      <c r="B189" s="9" t="s">
        <v>1117</v>
      </c>
      <c r="C189" s="10" t="s">
        <v>904</v>
      </c>
      <c r="D189" s="11" t="s">
        <v>1118</v>
      </c>
      <c r="E189" s="11" t="s">
        <v>906</v>
      </c>
      <c r="F189" s="12">
        <v>3000000</v>
      </c>
      <c r="G189" s="10" t="s">
        <v>907</v>
      </c>
      <c r="H189" s="10" t="s">
        <v>983</v>
      </c>
      <c r="I189" s="10" t="s">
        <v>908</v>
      </c>
      <c r="J189" s="10">
        <v>1</v>
      </c>
      <c r="K189" s="10"/>
      <c r="L189" s="10" t="s">
        <v>633</v>
      </c>
    </row>
    <row r="190" spans="2:12" ht="15" hidden="1">
      <c r="B190" s="9" t="s">
        <v>1010</v>
      </c>
      <c r="C190" s="10" t="s">
        <v>904</v>
      </c>
      <c r="D190" s="11" t="s">
        <v>1119</v>
      </c>
      <c r="E190" s="11" t="s">
        <v>906</v>
      </c>
      <c r="F190" s="12">
        <v>1500000</v>
      </c>
      <c r="G190" s="10" t="s">
        <v>907</v>
      </c>
      <c r="H190" s="10" t="s">
        <v>908</v>
      </c>
      <c r="I190" s="10" t="s">
        <v>908</v>
      </c>
      <c r="J190" s="10">
        <v>1</v>
      </c>
      <c r="K190" s="10"/>
      <c r="L190" s="10" t="s">
        <v>533</v>
      </c>
    </row>
    <row r="191" spans="2:12" ht="15" hidden="1">
      <c r="B191" s="9" t="s">
        <v>924</v>
      </c>
      <c r="C191" s="10" t="s">
        <v>904</v>
      </c>
      <c r="D191" s="11" t="s">
        <v>1120</v>
      </c>
      <c r="E191" s="11" t="s">
        <v>906</v>
      </c>
      <c r="F191" s="12">
        <v>1200000</v>
      </c>
      <c r="G191" s="10" t="s">
        <v>907</v>
      </c>
      <c r="H191" s="10" t="s">
        <v>908</v>
      </c>
      <c r="I191" s="10" t="s">
        <v>908</v>
      </c>
      <c r="J191" s="10">
        <v>1</v>
      </c>
      <c r="K191" s="10"/>
      <c r="L191" s="10" t="s">
        <v>533</v>
      </c>
    </row>
    <row r="192" spans="2:12" ht="15" hidden="1">
      <c r="B192" s="9" t="s">
        <v>924</v>
      </c>
      <c r="C192" s="10" t="s">
        <v>904</v>
      </c>
      <c r="D192" s="11" t="s">
        <v>1121</v>
      </c>
      <c r="E192" s="11" t="s">
        <v>906</v>
      </c>
      <c r="F192" s="12">
        <v>2400000</v>
      </c>
      <c r="G192" s="10" t="s">
        <v>907</v>
      </c>
      <c r="H192" s="10" t="s">
        <v>908</v>
      </c>
      <c r="I192" s="10" t="s">
        <v>908</v>
      </c>
      <c r="J192" s="10">
        <v>1</v>
      </c>
      <c r="K192" s="10"/>
      <c r="L192" s="10" t="s">
        <v>533</v>
      </c>
    </row>
    <row r="193" spans="2:12" ht="15" hidden="1">
      <c r="B193" s="9" t="s">
        <v>1016</v>
      </c>
      <c r="C193" s="10" t="s">
        <v>904</v>
      </c>
      <c r="D193" s="11" t="s">
        <v>1122</v>
      </c>
      <c r="E193" s="11" t="s">
        <v>906</v>
      </c>
      <c r="F193" s="12">
        <v>1300000</v>
      </c>
      <c r="G193" s="10" t="s">
        <v>907</v>
      </c>
      <c r="H193" s="10" t="s">
        <v>908</v>
      </c>
      <c r="I193" s="10" t="s">
        <v>908</v>
      </c>
      <c r="J193" s="10">
        <v>1</v>
      </c>
      <c r="K193" s="10"/>
      <c r="L193" s="10" t="s">
        <v>633</v>
      </c>
    </row>
    <row r="194" spans="2:12" ht="15" hidden="1">
      <c r="B194" s="9" t="s">
        <v>1123</v>
      </c>
      <c r="C194" s="10" t="s">
        <v>904</v>
      </c>
      <c r="D194" s="11" t="s">
        <v>1124</v>
      </c>
      <c r="E194" s="11" t="s">
        <v>906</v>
      </c>
      <c r="F194" s="12">
        <v>1600000</v>
      </c>
      <c r="G194" s="10" t="s">
        <v>907</v>
      </c>
      <c r="H194" s="10" t="s">
        <v>908</v>
      </c>
      <c r="I194" s="10" t="s">
        <v>908</v>
      </c>
      <c r="J194" s="10">
        <v>1</v>
      </c>
      <c r="K194" s="10"/>
      <c r="L194" s="10" t="s">
        <v>607</v>
      </c>
    </row>
    <row r="195" spans="2:12" ht="15" hidden="1">
      <c r="B195" s="9" t="s">
        <v>1025</v>
      </c>
      <c r="C195" s="10" t="s">
        <v>992</v>
      </c>
      <c r="D195" s="11" t="s">
        <v>1125</v>
      </c>
      <c r="E195" s="11" t="s">
        <v>906</v>
      </c>
      <c r="F195" s="12">
        <v>4000000</v>
      </c>
      <c r="G195" s="10" t="s">
        <v>911</v>
      </c>
      <c r="H195" s="10" t="s">
        <v>908</v>
      </c>
      <c r="I195" s="10" t="s">
        <v>908</v>
      </c>
      <c r="J195" s="10">
        <v>1</v>
      </c>
      <c r="K195" s="10"/>
      <c r="L195" s="10" t="s">
        <v>533</v>
      </c>
    </row>
    <row r="196" spans="2:12" ht="18.75" hidden="1">
      <c r="B196" s="1103" t="s">
        <v>32</v>
      </c>
      <c r="C196" s="1103"/>
      <c r="D196" s="1103"/>
      <c r="E196" s="1103"/>
      <c r="F196" s="1103"/>
      <c r="G196" s="1103"/>
      <c r="H196" s="1103"/>
      <c r="I196" s="1103"/>
      <c r="J196" s="92">
        <f>SUM(J189:J195)</f>
        <v>7</v>
      </c>
      <c r="K196" s="92">
        <f>SUM(K189:K193)</f>
        <v>0</v>
      </c>
      <c r="L196" s="92">
        <f>J196+K196</f>
        <v>7</v>
      </c>
    </row>
    <row r="197" spans="2:12" hidden="1"/>
    <row r="198" spans="2:12" hidden="1"/>
    <row r="199" spans="2:12" hidden="1"/>
    <row r="200" spans="2:12" hidden="1"/>
    <row r="201" spans="2:12" hidden="1"/>
    <row r="202" spans="2:12" hidden="1"/>
    <row r="204" spans="2:12" ht="31.5">
      <c r="B204" s="987" t="s">
        <v>108</v>
      </c>
      <c r="C204" s="987"/>
      <c r="D204" s="987"/>
      <c r="E204" s="987"/>
      <c r="F204" s="987"/>
      <c r="G204" s="987"/>
      <c r="H204" s="987"/>
      <c r="I204" s="987"/>
      <c r="J204" s="987"/>
      <c r="K204" s="987"/>
      <c r="L204" s="987"/>
    </row>
    <row r="205" spans="2:12" ht="23.25" hidden="1" customHeight="1">
      <c r="B205" s="6"/>
    </row>
    <row r="206" spans="2:12" ht="18.75" hidden="1">
      <c r="B206" s="1101" t="s">
        <v>1126</v>
      </c>
      <c r="C206" s="1101"/>
      <c r="D206" s="1101"/>
      <c r="E206" s="1101"/>
      <c r="F206" s="1101"/>
      <c r="G206" s="1101"/>
      <c r="H206" s="1101"/>
      <c r="I206" s="1101"/>
      <c r="J206" s="1101"/>
      <c r="K206" s="1101"/>
      <c r="L206" s="1101"/>
    </row>
    <row r="207" spans="2:12" ht="18.75" hidden="1">
      <c r="B207" s="137" t="s">
        <v>892</v>
      </c>
      <c r="C207" s="138" t="s">
        <v>893</v>
      </c>
      <c r="D207" s="138" t="s">
        <v>894</v>
      </c>
      <c r="E207" s="138" t="s">
        <v>895</v>
      </c>
      <c r="F207" s="139" t="s">
        <v>896</v>
      </c>
      <c r="G207" s="138" t="s">
        <v>897</v>
      </c>
      <c r="H207" s="138" t="s">
        <v>898</v>
      </c>
      <c r="I207" s="138" t="s">
        <v>899</v>
      </c>
      <c r="J207" s="138" t="s">
        <v>900</v>
      </c>
      <c r="K207" s="138" t="s">
        <v>901</v>
      </c>
      <c r="L207" s="138" t="s">
        <v>902</v>
      </c>
    </row>
    <row r="208" spans="2:12" ht="15" hidden="1">
      <c r="B208" s="136">
        <v>44621</v>
      </c>
      <c r="C208" s="49" t="s">
        <v>1127</v>
      </c>
      <c r="D208" s="15" t="s">
        <v>1128</v>
      </c>
      <c r="E208" s="15" t="s">
        <v>57</v>
      </c>
      <c r="F208" s="50">
        <v>1780000</v>
      </c>
      <c r="G208" s="49" t="s">
        <v>907</v>
      </c>
      <c r="H208" s="49" t="s">
        <v>983</v>
      </c>
      <c r="I208" s="49" t="s">
        <v>983</v>
      </c>
      <c r="J208" s="49">
        <v>1</v>
      </c>
      <c r="K208" s="49"/>
      <c r="L208" s="49" t="s">
        <v>633</v>
      </c>
    </row>
    <row r="209" spans="2:12" ht="15" hidden="1">
      <c r="B209" s="136">
        <v>44621</v>
      </c>
      <c r="C209" s="49" t="s">
        <v>1127</v>
      </c>
      <c r="D209" s="15" t="s">
        <v>1129</v>
      </c>
      <c r="E209" s="15" t="s">
        <v>57</v>
      </c>
      <c r="F209" s="50">
        <v>3800000</v>
      </c>
      <c r="G209" s="49" t="s">
        <v>911</v>
      </c>
      <c r="H209" s="49" t="s">
        <v>983</v>
      </c>
      <c r="I209" s="49" t="s">
        <v>983</v>
      </c>
      <c r="J209" s="49">
        <v>1</v>
      </c>
      <c r="K209" s="49"/>
      <c r="L209" s="49" t="s">
        <v>633</v>
      </c>
    </row>
    <row r="210" spans="2:12" ht="15" hidden="1">
      <c r="B210" s="136">
        <v>44623</v>
      </c>
      <c r="C210" s="49" t="s">
        <v>992</v>
      </c>
      <c r="D210" s="15" t="s">
        <v>1130</v>
      </c>
      <c r="E210" s="15" t="s">
        <v>1094</v>
      </c>
      <c r="F210" s="50">
        <v>1200000</v>
      </c>
      <c r="G210" s="49" t="s">
        <v>911</v>
      </c>
      <c r="H210" s="49" t="s">
        <v>983</v>
      </c>
      <c r="I210" s="49" t="s">
        <v>983</v>
      </c>
      <c r="J210" s="49">
        <v>1</v>
      </c>
      <c r="K210" s="49"/>
      <c r="L210" s="49" t="s">
        <v>607</v>
      </c>
    </row>
    <row r="211" spans="2:12" ht="15" hidden="1">
      <c r="B211" s="136">
        <v>44623</v>
      </c>
      <c r="C211" s="49" t="s">
        <v>1127</v>
      </c>
      <c r="D211" s="15" t="s">
        <v>1131</v>
      </c>
      <c r="E211" s="15" t="s">
        <v>1132</v>
      </c>
      <c r="F211" s="50">
        <v>1200000</v>
      </c>
      <c r="G211" s="49" t="s">
        <v>911</v>
      </c>
      <c r="H211" s="49" t="s">
        <v>983</v>
      </c>
      <c r="I211" s="49" t="s">
        <v>983</v>
      </c>
      <c r="J211" s="49">
        <v>1</v>
      </c>
      <c r="K211" s="49"/>
      <c r="L211" s="49" t="s">
        <v>633</v>
      </c>
    </row>
    <row r="212" spans="2:12" ht="15" hidden="1">
      <c r="B212" s="136">
        <v>44623</v>
      </c>
      <c r="C212" s="49" t="s">
        <v>1127</v>
      </c>
      <c r="D212" s="15" t="s">
        <v>1133</v>
      </c>
      <c r="E212" s="15" t="s">
        <v>57</v>
      </c>
      <c r="F212" s="50">
        <v>1200000</v>
      </c>
      <c r="G212" s="49" t="s">
        <v>911</v>
      </c>
      <c r="H212" s="49" t="s">
        <v>983</v>
      </c>
      <c r="I212" s="49" t="s">
        <v>983</v>
      </c>
      <c r="J212" s="49">
        <v>1</v>
      </c>
      <c r="K212" s="49"/>
      <c r="L212" s="49" t="s">
        <v>607</v>
      </c>
    </row>
    <row r="213" spans="2:12" ht="15" hidden="1">
      <c r="B213" s="136">
        <v>44623</v>
      </c>
      <c r="C213" s="49" t="s">
        <v>1127</v>
      </c>
      <c r="D213" s="15" t="s">
        <v>1134</v>
      </c>
      <c r="E213" s="15" t="s">
        <v>57</v>
      </c>
      <c r="F213" s="50">
        <v>2000000</v>
      </c>
      <c r="G213" s="49" t="s">
        <v>907</v>
      </c>
      <c r="H213" s="49" t="s">
        <v>983</v>
      </c>
      <c r="I213" s="49" t="s">
        <v>983</v>
      </c>
      <c r="J213" s="49">
        <v>1</v>
      </c>
      <c r="K213" s="49"/>
      <c r="L213" s="49" t="s">
        <v>633</v>
      </c>
    </row>
    <row r="214" spans="2:12" ht="15" hidden="1">
      <c r="B214" s="136">
        <v>44624</v>
      </c>
      <c r="C214" s="49" t="s">
        <v>1127</v>
      </c>
      <c r="D214" s="15" t="s">
        <v>1135</v>
      </c>
      <c r="E214" s="15" t="s">
        <v>57</v>
      </c>
      <c r="F214" s="50">
        <v>1200000</v>
      </c>
      <c r="G214" s="49" t="s">
        <v>911</v>
      </c>
      <c r="H214" s="49" t="s">
        <v>983</v>
      </c>
      <c r="I214" s="49" t="s">
        <v>983</v>
      </c>
      <c r="J214" s="49">
        <v>1</v>
      </c>
      <c r="K214" s="49"/>
      <c r="L214" s="49" t="s">
        <v>533</v>
      </c>
    </row>
    <row r="215" spans="2:12" ht="15" hidden="1">
      <c r="B215" s="136">
        <v>44624</v>
      </c>
      <c r="C215" s="49" t="s">
        <v>904</v>
      </c>
      <c r="D215" s="15" t="s">
        <v>1136</v>
      </c>
      <c r="E215" s="15" t="s">
        <v>906</v>
      </c>
      <c r="F215" s="50">
        <v>1600000</v>
      </c>
      <c r="G215" s="49" t="s">
        <v>907</v>
      </c>
      <c r="H215" s="49" t="s">
        <v>908</v>
      </c>
      <c r="I215" s="49" t="s">
        <v>908</v>
      </c>
      <c r="J215" s="49">
        <v>1</v>
      </c>
      <c r="K215" s="49"/>
      <c r="L215" s="49" t="s">
        <v>633</v>
      </c>
    </row>
    <row r="216" spans="2:12" ht="15" hidden="1">
      <c r="B216" s="136">
        <v>44624</v>
      </c>
      <c r="C216" s="49" t="s">
        <v>904</v>
      </c>
      <c r="D216" s="15" t="s">
        <v>1137</v>
      </c>
      <c r="E216" s="15" t="s">
        <v>57</v>
      </c>
      <c r="F216" s="50">
        <v>1950000</v>
      </c>
      <c r="G216" s="49" t="s">
        <v>907</v>
      </c>
      <c r="H216" s="49" t="s">
        <v>908</v>
      </c>
      <c r="I216" s="49" t="s">
        <v>908</v>
      </c>
      <c r="J216" s="49">
        <v>1</v>
      </c>
      <c r="K216" s="49"/>
      <c r="L216" s="49" t="s">
        <v>533</v>
      </c>
    </row>
    <row r="217" spans="2:12" ht="15" hidden="1">
      <c r="B217" s="136">
        <v>44628</v>
      </c>
      <c r="C217" s="49" t="s">
        <v>1127</v>
      </c>
      <c r="D217" s="15" t="s">
        <v>1138</v>
      </c>
      <c r="E217" s="15" t="s">
        <v>57</v>
      </c>
      <c r="F217" s="50">
        <v>2300000</v>
      </c>
      <c r="G217" s="49" t="s">
        <v>907</v>
      </c>
      <c r="H217" s="49" t="s">
        <v>908</v>
      </c>
      <c r="I217" s="49" t="s">
        <v>908</v>
      </c>
      <c r="J217" s="49">
        <v>1</v>
      </c>
      <c r="K217" s="49"/>
      <c r="L217" s="49" t="s">
        <v>533</v>
      </c>
    </row>
    <row r="218" spans="2:12" ht="15" hidden="1">
      <c r="B218" s="136">
        <v>44628</v>
      </c>
      <c r="C218" s="49" t="s">
        <v>904</v>
      </c>
      <c r="D218" s="15" t="s">
        <v>1139</v>
      </c>
      <c r="E218" s="15" t="s">
        <v>57</v>
      </c>
      <c r="F218" s="50">
        <v>2700000</v>
      </c>
      <c r="G218" s="49" t="s">
        <v>911</v>
      </c>
      <c r="H218" s="49" t="s">
        <v>908</v>
      </c>
      <c r="I218" s="49" t="s">
        <v>908</v>
      </c>
      <c r="J218" s="49">
        <v>1</v>
      </c>
      <c r="K218" s="49"/>
      <c r="L218" s="49" t="s">
        <v>633</v>
      </c>
    </row>
    <row r="219" spans="2:12" ht="15" hidden="1">
      <c r="B219" s="136">
        <v>44629</v>
      </c>
      <c r="C219" s="49" t="s">
        <v>1127</v>
      </c>
      <c r="D219" s="15" t="s">
        <v>1140</v>
      </c>
      <c r="E219" s="15" t="s">
        <v>906</v>
      </c>
      <c r="F219" s="50">
        <v>1750000</v>
      </c>
      <c r="G219" s="49" t="s">
        <v>907</v>
      </c>
      <c r="H219" s="49" t="s">
        <v>908</v>
      </c>
      <c r="I219" s="49" t="s">
        <v>908</v>
      </c>
      <c r="J219" s="49">
        <v>1</v>
      </c>
      <c r="K219" s="49"/>
      <c r="L219" s="49" t="s">
        <v>533</v>
      </c>
    </row>
    <row r="220" spans="2:12" ht="15" hidden="1">
      <c r="B220" s="136">
        <v>44634</v>
      </c>
      <c r="C220" s="49" t="s">
        <v>904</v>
      </c>
      <c r="D220" s="15" t="s">
        <v>1141</v>
      </c>
      <c r="E220" s="15" t="s">
        <v>57</v>
      </c>
      <c r="F220" s="50">
        <v>2500000</v>
      </c>
      <c r="G220" s="49" t="s">
        <v>911</v>
      </c>
      <c r="H220" s="49" t="s">
        <v>908</v>
      </c>
      <c r="I220" s="49" t="s">
        <v>908</v>
      </c>
      <c r="J220" s="49">
        <v>1</v>
      </c>
      <c r="K220" s="49"/>
      <c r="L220" s="49" t="s">
        <v>607</v>
      </c>
    </row>
    <row r="221" spans="2:12" ht="15" hidden="1">
      <c r="B221" s="136">
        <v>44634</v>
      </c>
      <c r="C221" s="49" t="s">
        <v>904</v>
      </c>
      <c r="D221" s="15" t="s">
        <v>1142</v>
      </c>
      <c r="E221" s="15" t="s">
        <v>57</v>
      </c>
      <c r="F221" s="50">
        <v>2300000</v>
      </c>
      <c r="G221" s="49" t="s">
        <v>907</v>
      </c>
      <c r="H221" s="49" t="s">
        <v>908</v>
      </c>
      <c r="I221" s="49" t="s">
        <v>908</v>
      </c>
      <c r="J221" s="49">
        <v>1</v>
      </c>
      <c r="K221" s="49"/>
      <c r="L221" s="49" t="s">
        <v>633</v>
      </c>
    </row>
    <row r="222" spans="2:12" ht="15" hidden="1">
      <c r="B222" s="136">
        <v>44634</v>
      </c>
      <c r="C222" s="49" t="s">
        <v>904</v>
      </c>
      <c r="D222" s="15" t="s">
        <v>1143</v>
      </c>
      <c r="E222" s="15" t="s">
        <v>906</v>
      </c>
      <c r="F222" s="50">
        <v>2000000</v>
      </c>
      <c r="G222" s="49" t="s">
        <v>907</v>
      </c>
      <c r="H222" s="49" t="s">
        <v>908</v>
      </c>
      <c r="I222" s="49" t="s">
        <v>908</v>
      </c>
      <c r="J222" s="49">
        <v>1</v>
      </c>
      <c r="K222" s="49"/>
      <c r="L222" s="49" t="s">
        <v>607</v>
      </c>
    </row>
    <row r="223" spans="2:12" ht="15" hidden="1">
      <c r="B223" s="136">
        <v>44635</v>
      </c>
      <c r="C223" s="49" t="s">
        <v>904</v>
      </c>
      <c r="D223" s="15" t="s">
        <v>1144</v>
      </c>
      <c r="E223" s="15" t="s">
        <v>906</v>
      </c>
      <c r="F223" s="50">
        <v>1300000</v>
      </c>
      <c r="G223" s="49" t="s">
        <v>907</v>
      </c>
      <c r="H223" s="49" t="s">
        <v>908</v>
      </c>
      <c r="I223" s="49" t="s">
        <v>908</v>
      </c>
      <c r="J223" s="49">
        <v>1</v>
      </c>
      <c r="K223" s="49"/>
      <c r="L223" s="49" t="s">
        <v>533</v>
      </c>
    </row>
    <row r="224" spans="2:12" ht="15" hidden="1">
      <c r="B224" s="136">
        <v>44637</v>
      </c>
      <c r="C224" s="49" t="s">
        <v>904</v>
      </c>
      <c r="D224" s="15" t="s">
        <v>1145</v>
      </c>
      <c r="E224" s="15" t="s">
        <v>906</v>
      </c>
      <c r="F224" s="50">
        <v>1900000</v>
      </c>
      <c r="G224" s="49" t="s">
        <v>907</v>
      </c>
      <c r="H224" s="49" t="s">
        <v>908</v>
      </c>
      <c r="I224" s="49" t="s">
        <v>908</v>
      </c>
      <c r="J224" s="49">
        <v>1</v>
      </c>
      <c r="K224" s="49"/>
      <c r="L224" s="49" t="s">
        <v>633</v>
      </c>
    </row>
    <row r="225" spans="2:12" ht="15" hidden="1">
      <c r="B225" s="136">
        <v>44642</v>
      </c>
      <c r="C225" s="49" t="s">
        <v>904</v>
      </c>
      <c r="D225" s="15" t="s">
        <v>1146</v>
      </c>
      <c r="E225" s="15" t="s">
        <v>906</v>
      </c>
      <c r="F225" s="50">
        <v>1800000</v>
      </c>
      <c r="G225" s="49" t="s">
        <v>907</v>
      </c>
      <c r="H225" s="49" t="s">
        <v>908</v>
      </c>
      <c r="I225" s="49" t="s">
        <v>908</v>
      </c>
      <c r="J225" s="49">
        <v>1</v>
      </c>
      <c r="K225" s="49"/>
      <c r="L225" s="49" t="s">
        <v>633</v>
      </c>
    </row>
    <row r="226" spans="2:12" ht="15" hidden="1">
      <c r="B226" s="136">
        <v>44642</v>
      </c>
      <c r="C226" s="49" t="s">
        <v>904</v>
      </c>
      <c r="D226" s="15" t="s">
        <v>1147</v>
      </c>
      <c r="E226" s="15" t="s">
        <v>906</v>
      </c>
      <c r="F226" s="50">
        <v>1400000</v>
      </c>
      <c r="G226" s="49" t="s">
        <v>907</v>
      </c>
      <c r="H226" s="49" t="s">
        <v>908</v>
      </c>
      <c r="I226" s="49" t="s">
        <v>908</v>
      </c>
      <c r="J226" s="49">
        <v>1</v>
      </c>
      <c r="K226" s="49"/>
      <c r="L226" s="49" t="s">
        <v>533</v>
      </c>
    </row>
    <row r="227" spans="2:12" ht="15" hidden="1">
      <c r="B227" s="136">
        <v>44645</v>
      </c>
      <c r="C227" s="49" t="s">
        <v>904</v>
      </c>
      <c r="D227" s="15" t="s">
        <v>1148</v>
      </c>
      <c r="E227" s="15" t="s">
        <v>906</v>
      </c>
      <c r="F227" s="50">
        <v>1900000</v>
      </c>
      <c r="G227" s="49" t="s">
        <v>911</v>
      </c>
      <c r="H227" s="49" t="s">
        <v>908</v>
      </c>
      <c r="I227" s="49" t="s">
        <v>908</v>
      </c>
      <c r="J227" s="49">
        <v>1</v>
      </c>
      <c r="K227" s="49"/>
      <c r="L227" s="49" t="s">
        <v>533</v>
      </c>
    </row>
    <row r="228" spans="2:12" ht="15" hidden="1">
      <c r="B228" s="136"/>
      <c r="C228" s="49"/>
      <c r="D228" s="15"/>
      <c r="E228" s="15"/>
      <c r="F228" s="50"/>
      <c r="G228" s="49"/>
      <c r="H228" s="49"/>
      <c r="I228" s="49"/>
      <c r="J228" s="49"/>
      <c r="K228" s="49"/>
      <c r="L228" s="49"/>
    </row>
    <row r="229" spans="2:12" ht="15" hidden="1">
      <c r="B229" s="331">
        <v>44621</v>
      </c>
      <c r="C229" s="332" t="s">
        <v>1127</v>
      </c>
      <c r="D229" s="333" t="s">
        <v>1054</v>
      </c>
      <c r="E229" s="333" t="s">
        <v>57</v>
      </c>
      <c r="F229" s="334">
        <v>580000000</v>
      </c>
      <c r="G229" s="332" t="s">
        <v>907</v>
      </c>
      <c r="H229" s="332" t="s">
        <v>983</v>
      </c>
      <c r="I229" s="332" t="s">
        <v>983</v>
      </c>
      <c r="J229" s="332"/>
      <c r="K229" s="332">
        <v>1</v>
      </c>
      <c r="L229" s="332" t="s">
        <v>1029</v>
      </c>
    </row>
    <row r="230" spans="2:12" ht="15" hidden="1">
      <c r="B230" s="331">
        <v>44637</v>
      </c>
      <c r="C230" s="332" t="s">
        <v>904</v>
      </c>
      <c r="D230" s="333" t="s">
        <v>1145</v>
      </c>
      <c r="E230" s="333" t="s">
        <v>906</v>
      </c>
      <c r="F230" s="334">
        <v>39000000</v>
      </c>
      <c r="G230" s="332" t="s">
        <v>907</v>
      </c>
      <c r="H230" s="332" t="s">
        <v>908</v>
      </c>
      <c r="I230" s="332" t="s">
        <v>908</v>
      </c>
      <c r="J230" s="332"/>
      <c r="K230" s="332">
        <v>1</v>
      </c>
      <c r="L230" s="332" t="s">
        <v>1029</v>
      </c>
    </row>
    <row r="231" spans="2:12" ht="15" hidden="1">
      <c r="B231" s="331">
        <v>44637</v>
      </c>
      <c r="C231" s="332" t="s">
        <v>904</v>
      </c>
      <c r="D231" s="333" t="s">
        <v>1149</v>
      </c>
      <c r="E231" s="333" t="s">
        <v>906</v>
      </c>
      <c r="F231" s="334">
        <v>480000000</v>
      </c>
      <c r="G231" s="332" t="s">
        <v>907</v>
      </c>
      <c r="H231" s="332" t="s">
        <v>908</v>
      </c>
      <c r="I231" s="332" t="s">
        <v>908</v>
      </c>
      <c r="J231" s="332"/>
      <c r="K231" s="332">
        <v>1</v>
      </c>
      <c r="L231" s="332" t="s">
        <v>1029</v>
      </c>
    </row>
    <row r="232" spans="2:12" ht="18.75" hidden="1">
      <c r="B232" s="1097" t="s">
        <v>32</v>
      </c>
      <c r="C232" s="1097"/>
      <c r="D232" s="1097"/>
      <c r="E232" s="1097"/>
      <c r="F232" s="1097"/>
      <c r="G232" s="1097"/>
      <c r="H232" s="1097"/>
      <c r="I232" s="1097"/>
      <c r="J232" s="94">
        <f>SUM(J208:J231)</f>
        <v>20</v>
      </c>
      <c r="K232" s="94">
        <f>SUM(K229:K231)</f>
        <v>3</v>
      </c>
      <c r="L232" s="94">
        <f>J232+K232</f>
        <v>23</v>
      </c>
    </row>
    <row r="233" spans="2:12" ht="15" hidden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2:12" ht="18.75" hidden="1">
      <c r="B234" s="1102" t="s">
        <v>1150</v>
      </c>
      <c r="C234" s="1102"/>
      <c r="D234" s="1102"/>
      <c r="E234" s="1102"/>
      <c r="F234" s="1102"/>
      <c r="G234" s="1102"/>
      <c r="H234" s="1102"/>
      <c r="I234" s="1102"/>
      <c r="J234" s="1102"/>
      <c r="K234" s="1102"/>
      <c r="L234" s="1102"/>
    </row>
    <row r="235" spans="2:12" ht="18.75" hidden="1">
      <c r="B235" s="137" t="s">
        <v>892</v>
      </c>
      <c r="C235" s="138" t="s">
        <v>893</v>
      </c>
      <c r="D235" s="138" t="s">
        <v>894</v>
      </c>
      <c r="E235" s="138" t="s">
        <v>895</v>
      </c>
      <c r="F235" s="139" t="s">
        <v>896</v>
      </c>
      <c r="G235" s="138" t="s">
        <v>897</v>
      </c>
      <c r="H235" s="138" t="s">
        <v>898</v>
      </c>
      <c r="I235" s="138" t="s">
        <v>899</v>
      </c>
      <c r="J235" s="138" t="s">
        <v>900</v>
      </c>
      <c r="K235" s="138" t="s">
        <v>901</v>
      </c>
      <c r="L235" s="138" t="s">
        <v>902</v>
      </c>
    </row>
    <row r="236" spans="2:12" ht="15" hidden="1">
      <c r="B236" s="136">
        <v>44621</v>
      </c>
      <c r="C236" s="49" t="s">
        <v>1127</v>
      </c>
      <c r="D236" s="15" t="s">
        <v>1151</v>
      </c>
      <c r="E236" s="15" t="s">
        <v>57</v>
      </c>
      <c r="F236" s="50">
        <v>1900000</v>
      </c>
      <c r="G236" s="49" t="s">
        <v>907</v>
      </c>
      <c r="H236" s="49" t="s">
        <v>983</v>
      </c>
      <c r="I236" s="49" t="s">
        <v>983</v>
      </c>
      <c r="J236" s="49">
        <v>1</v>
      </c>
      <c r="K236" s="49"/>
      <c r="L236" s="49" t="s">
        <v>607</v>
      </c>
    </row>
    <row r="237" spans="2:12" ht="15" hidden="1">
      <c r="B237" s="136">
        <v>44621</v>
      </c>
      <c r="C237" s="49" t="s">
        <v>1127</v>
      </c>
      <c r="D237" s="15" t="s">
        <v>1152</v>
      </c>
      <c r="E237" s="15" t="s">
        <v>1031</v>
      </c>
      <c r="F237" s="50">
        <v>2800000</v>
      </c>
      <c r="G237" s="49" t="s">
        <v>911</v>
      </c>
      <c r="H237" s="49" t="s">
        <v>983</v>
      </c>
      <c r="I237" s="49" t="s">
        <v>983</v>
      </c>
      <c r="J237" s="49">
        <v>1</v>
      </c>
      <c r="K237" s="49"/>
      <c r="L237" s="49" t="s">
        <v>533</v>
      </c>
    </row>
    <row r="238" spans="2:12" ht="15" hidden="1">
      <c r="B238" s="136">
        <v>44621</v>
      </c>
      <c r="C238" s="49" t="s">
        <v>1127</v>
      </c>
      <c r="D238" s="15" t="s">
        <v>1153</v>
      </c>
      <c r="E238" s="15" t="s">
        <v>57</v>
      </c>
      <c r="F238" s="50">
        <v>2000000</v>
      </c>
      <c r="G238" s="49" t="s">
        <v>907</v>
      </c>
      <c r="H238" s="49" t="s">
        <v>983</v>
      </c>
      <c r="I238" s="49" t="s">
        <v>983</v>
      </c>
      <c r="J238" s="49">
        <v>1</v>
      </c>
      <c r="K238" s="49"/>
      <c r="L238" s="49" t="s">
        <v>633</v>
      </c>
    </row>
    <row r="239" spans="2:12" ht="15" hidden="1">
      <c r="B239" s="136">
        <v>44623</v>
      </c>
      <c r="C239" s="49" t="s">
        <v>1127</v>
      </c>
      <c r="D239" s="15" t="s">
        <v>1154</v>
      </c>
      <c r="E239" s="15" t="s">
        <v>57</v>
      </c>
      <c r="F239" s="50">
        <v>2100000</v>
      </c>
      <c r="G239" s="49" t="s">
        <v>907</v>
      </c>
      <c r="H239" s="49" t="s">
        <v>983</v>
      </c>
      <c r="I239" s="49" t="s">
        <v>983</v>
      </c>
      <c r="J239" s="49">
        <v>1</v>
      </c>
      <c r="K239" s="49"/>
      <c r="L239" s="49" t="s">
        <v>633</v>
      </c>
    </row>
    <row r="240" spans="2:12" ht="15" hidden="1">
      <c r="B240" s="136">
        <v>44623</v>
      </c>
      <c r="C240" s="49" t="s">
        <v>1127</v>
      </c>
      <c r="D240" s="15" t="s">
        <v>1155</v>
      </c>
      <c r="E240" s="15" t="s">
        <v>1156</v>
      </c>
      <c r="F240" s="50">
        <v>1500000</v>
      </c>
      <c r="G240" s="49" t="s">
        <v>911</v>
      </c>
      <c r="H240" s="49" t="s">
        <v>983</v>
      </c>
      <c r="I240" s="49" t="s">
        <v>983</v>
      </c>
      <c r="J240" s="49">
        <v>1</v>
      </c>
      <c r="K240" s="49"/>
      <c r="L240" s="49" t="s">
        <v>533</v>
      </c>
    </row>
    <row r="241" spans="2:12" ht="15" hidden="1">
      <c r="B241" s="136">
        <v>44623</v>
      </c>
      <c r="C241" s="49" t="s">
        <v>904</v>
      </c>
      <c r="D241" s="15" t="s">
        <v>1157</v>
      </c>
      <c r="E241" s="15" t="s">
        <v>906</v>
      </c>
      <c r="F241" s="50">
        <v>1400000</v>
      </c>
      <c r="G241" s="49" t="s">
        <v>907</v>
      </c>
      <c r="H241" s="49" t="s">
        <v>908</v>
      </c>
      <c r="I241" s="49" t="s">
        <v>908</v>
      </c>
      <c r="J241" s="49">
        <v>1</v>
      </c>
      <c r="K241" s="49"/>
      <c r="L241" s="49" t="s">
        <v>533</v>
      </c>
    </row>
    <row r="242" spans="2:12" ht="15" hidden="1">
      <c r="B242" s="136">
        <v>44623</v>
      </c>
      <c r="C242" s="49" t="s">
        <v>1127</v>
      </c>
      <c r="D242" s="15" t="s">
        <v>1158</v>
      </c>
      <c r="E242" s="15" t="s">
        <v>57</v>
      </c>
      <c r="F242" s="50">
        <v>3500000</v>
      </c>
      <c r="G242" s="49" t="s">
        <v>911</v>
      </c>
      <c r="H242" s="49" t="s">
        <v>983</v>
      </c>
      <c r="I242" s="49" t="s">
        <v>983</v>
      </c>
      <c r="J242" s="49">
        <v>1</v>
      </c>
      <c r="K242" s="49"/>
      <c r="L242" s="49" t="s">
        <v>533</v>
      </c>
    </row>
    <row r="243" spans="2:12" ht="15" hidden="1">
      <c r="B243" s="136">
        <v>44627</v>
      </c>
      <c r="C243" s="49" t="s">
        <v>904</v>
      </c>
      <c r="D243" s="15" t="s">
        <v>1159</v>
      </c>
      <c r="E243" s="15" t="s">
        <v>57</v>
      </c>
      <c r="F243" s="50">
        <v>1200000</v>
      </c>
      <c r="G243" s="49" t="s">
        <v>911</v>
      </c>
      <c r="H243" s="49" t="s">
        <v>908</v>
      </c>
      <c r="I243" s="49" t="s">
        <v>908</v>
      </c>
      <c r="J243" s="49">
        <v>1</v>
      </c>
      <c r="K243" s="49"/>
      <c r="L243" s="49" t="s">
        <v>607</v>
      </c>
    </row>
    <row r="244" spans="2:12" ht="15" hidden="1">
      <c r="B244" s="136">
        <v>44630</v>
      </c>
      <c r="C244" s="49" t="s">
        <v>904</v>
      </c>
      <c r="D244" s="15" t="s">
        <v>1160</v>
      </c>
      <c r="E244" s="15" t="s">
        <v>906</v>
      </c>
      <c r="F244" s="50">
        <v>1800000</v>
      </c>
      <c r="G244" s="49" t="s">
        <v>907</v>
      </c>
      <c r="H244" s="49" t="s">
        <v>908</v>
      </c>
      <c r="I244" s="49" t="s">
        <v>908</v>
      </c>
      <c r="J244" s="49">
        <v>1</v>
      </c>
      <c r="K244" s="49"/>
      <c r="L244" s="49" t="s">
        <v>633</v>
      </c>
    </row>
    <row r="245" spans="2:12" ht="15" hidden="1">
      <c r="B245" s="136">
        <v>44631</v>
      </c>
      <c r="C245" s="49" t="s">
        <v>1127</v>
      </c>
      <c r="D245" s="15" t="s">
        <v>1161</v>
      </c>
      <c r="E245" s="15" t="s">
        <v>906</v>
      </c>
      <c r="F245" s="50">
        <v>1900000</v>
      </c>
      <c r="G245" s="49" t="s">
        <v>911</v>
      </c>
      <c r="H245" s="49" t="s">
        <v>908</v>
      </c>
      <c r="I245" s="49" t="s">
        <v>908</v>
      </c>
      <c r="J245" s="49">
        <v>1</v>
      </c>
      <c r="K245" s="49"/>
      <c r="L245" s="49" t="s">
        <v>633</v>
      </c>
    </row>
    <row r="246" spans="2:12" ht="15" hidden="1">
      <c r="B246" s="136">
        <v>44634</v>
      </c>
      <c r="C246" s="49" t="s">
        <v>904</v>
      </c>
      <c r="D246" s="15" t="s">
        <v>1162</v>
      </c>
      <c r="E246" s="15" t="s">
        <v>1163</v>
      </c>
      <c r="F246" s="50">
        <v>1200000</v>
      </c>
      <c r="G246" s="49" t="s">
        <v>911</v>
      </c>
      <c r="H246" s="49" t="s">
        <v>908</v>
      </c>
      <c r="I246" s="49" t="s">
        <v>908</v>
      </c>
      <c r="J246" s="49">
        <v>1</v>
      </c>
      <c r="K246" s="49"/>
      <c r="L246" s="49" t="s">
        <v>533</v>
      </c>
    </row>
    <row r="247" spans="2:12" ht="15" hidden="1">
      <c r="B247" s="136">
        <v>44635</v>
      </c>
      <c r="C247" s="49" t="s">
        <v>1127</v>
      </c>
      <c r="D247" s="15" t="s">
        <v>1164</v>
      </c>
      <c r="E247" s="15" t="s">
        <v>906</v>
      </c>
      <c r="F247" s="50">
        <v>1400000</v>
      </c>
      <c r="G247" s="49" t="s">
        <v>907</v>
      </c>
      <c r="H247" s="49" t="s">
        <v>908</v>
      </c>
      <c r="I247" s="49" t="s">
        <v>908</v>
      </c>
      <c r="J247" s="49">
        <v>1</v>
      </c>
      <c r="K247" s="49"/>
      <c r="L247" s="49" t="s">
        <v>633</v>
      </c>
    </row>
    <row r="248" spans="2:12" ht="15" hidden="1">
      <c r="B248" s="136">
        <v>44635</v>
      </c>
      <c r="C248" s="49" t="s">
        <v>1127</v>
      </c>
      <c r="D248" s="15" t="s">
        <v>1165</v>
      </c>
      <c r="E248" s="15" t="s">
        <v>906</v>
      </c>
      <c r="F248" s="50">
        <v>1400000</v>
      </c>
      <c r="G248" s="49" t="s">
        <v>907</v>
      </c>
      <c r="H248" s="49" t="s">
        <v>908</v>
      </c>
      <c r="I248" s="49" t="s">
        <v>908</v>
      </c>
      <c r="J248" s="49">
        <v>1</v>
      </c>
      <c r="K248" s="49"/>
      <c r="L248" s="49" t="s">
        <v>607</v>
      </c>
    </row>
    <row r="249" spans="2:12" ht="15" hidden="1">
      <c r="B249" s="136">
        <v>44635</v>
      </c>
      <c r="C249" s="49" t="s">
        <v>1127</v>
      </c>
      <c r="D249" s="15" t="s">
        <v>1166</v>
      </c>
      <c r="E249" s="15" t="s">
        <v>906</v>
      </c>
      <c r="F249" s="50">
        <v>1650000</v>
      </c>
      <c r="G249" s="49" t="s">
        <v>911</v>
      </c>
      <c r="H249" s="49" t="s">
        <v>908</v>
      </c>
      <c r="I249" s="49" t="s">
        <v>908</v>
      </c>
      <c r="J249" s="49">
        <v>1</v>
      </c>
      <c r="K249" s="49"/>
      <c r="L249" s="49" t="s">
        <v>533</v>
      </c>
    </row>
    <row r="250" spans="2:12" ht="15" hidden="1">
      <c r="B250" s="136">
        <v>44637</v>
      </c>
      <c r="C250" s="49" t="s">
        <v>904</v>
      </c>
      <c r="D250" s="15" t="s">
        <v>1167</v>
      </c>
      <c r="E250" s="15" t="s">
        <v>57</v>
      </c>
      <c r="F250" s="50">
        <v>2300000</v>
      </c>
      <c r="G250" s="49" t="s">
        <v>911</v>
      </c>
      <c r="H250" s="49" t="s">
        <v>908</v>
      </c>
      <c r="I250" s="49" t="s">
        <v>908</v>
      </c>
      <c r="J250" s="49">
        <v>1</v>
      </c>
      <c r="K250" s="49"/>
      <c r="L250" s="49" t="s">
        <v>533</v>
      </c>
    </row>
    <row r="251" spans="2:12" ht="15" hidden="1">
      <c r="B251" s="136">
        <v>44637</v>
      </c>
      <c r="C251" s="49" t="s">
        <v>904</v>
      </c>
      <c r="D251" s="15" t="s">
        <v>1168</v>
      </c>
      <c r="E251" s="15" t="s">
        <v>906</v>
      </c>
      <c r="F251" s="50">
        <v>2600000</v>
      </c>
      <c r="G251" s="49" t="s">
        <v>911</v>
      </c>
      <c r="H251" s="49" t="s">
        <v>908</v>
      </c>
      <c r="I251" s="49" t="s">
        <v>908</v>
      </c>
      <c r="J251" s="49">
        <v>1</v>
      </c>
      <c r="K251" s="49"/>
      <c r="L251" s="49" t="s">
        <v>533</v>
      </c>
    </row>
    <row r="252" spans="2:12" ht="15" hidden="1">
      <c r="B252" s="136">
        <v>44643</v>
      </c>
      <c r="C252" s="49" t="s">
        <v>904</v>
      </c>
      <c r="D252" s="15" t="s">
        <v>1169</v>
      </c>
      <c r="E252" s="15" t="s">
        <v>906</v>
      </c>
      <c r="F252" s="50">
        <v>2500000</v>
      </c>
      <c r="G252" s="49" t="s">
        <v>907</v>
      </c>
      <c r="H252" s="49" t="s">
        <v>908</v>
      </c>
      <c r="I252" s="49" t="s">
        <v>908</v>
      </c>
      <c r="J252" s="49">
        <v>1</v>
      </c>
      <c r="K252" s="49"/>
      <c r="L252" s="49" t="s">
        <v>533</v>
      </c>
    </row>
    <row r="253" spans="2:12" ht="15" hidden="1">
      <c r="B253" s="136">
        <v>44645</v>
      </c>
      <c r="C253" s="49" t="s">
        <v>992</v>
      </c>
      <c r="D253" s="15" t="s">
        <v>1170</v>
      </c>
      <c r="E253" s="15" t="s">
        <v>906</v>
      </c>
      <c r="F253" s="50">
        <v>2000000</v>
      </c>
      <c r="G253" s="49" t="s">
        <v>911</v>
      </c>
      <c r="H253" s="49" t="s">
        <v>908</v>
      </c>
      <c r="I253" s="49" t="s">
        <v>908</v>
      </c>
      <c r="J253" s="49">
        <v>1</v>
      </c>
      <c r="K253" s="49"/>
      <c r="L253" s="49" t="s">
        <v>607</v>
      </c>
    </row>
    <row r="254" spans="2:12" ht="15" hidden="1">
      <c r="B254" s="136">
        <v>44645</v>
      </c>
      <c r="C254" s="49" t="s">
        <v>904</v>
      </c>
      <c r="D254" s="15" t="s">
        <v>1171</v>
      </c>
      <c r="E254" s="15" t="s">
        <v>906</v>
      </c>
      <c r="F254" s="50">
        <v>2400000</v>
      </c>
      <c r="G254" s="49" t="s">
        <v>907</v>
      </c>
      <c r="H254" s="49" t="s">
        <v>908</v>
      </c>
      <c r="I254" s="49" t="s">
        <v>908</v>
      </c>
      <c r="J254" s="49">
        <v>1</v>
      </c>
      <c r="K254" s="49"/>
      <c r="L254" s="49" t="s">
        <v>633</v>
      </c>
    </row>
    <row r="255" spans="2:12" ht="15" hidden="1">
      <c r="B255" s="136">
        <v>44645</v>
      </c>
      <c r="C255" s="49" t="s">
        <v>904</v>
      </c>
      <c r="D255" s="15" t="s">
        <v>1172</v>
      </c>
      <c r="E255" s="15" t="s">
        <v>906</v>
      </c>
      <c r="F255" s="50">
        <v>3500000</v>
      </c>
      <c r="G255" s="49" t="s">
        <v>907</v>
      </c>
      <c r="H255" s="49" t="s">
        <v>908</v>
      </c>
      <c r="I255" s="49" t="s">
        <v>908</v>
      </c>
      <c r="J255" s="49">
        <v>1</v>
      </c>
      <c r="K255" s="49"/>
      <c r="L255" s="49" t="s">
        <v>633</v>
      </c>
    </row>
    <row r="256" spans="2:12" ht="15" hidden="1">
      <c r="B256" s="136"/>
      <c r="C256" s="49"/>
      <c r="D256" s="15"/>
      <c r="E256" s="15"/>
      <c r="F256" s="50"/>
      <c r="G256" s="49"/>
      <c r="H256" s="49"/>
      <c r="I256" s="49"/>
      <c r="J256" s="49"/>
      <c r="K256" s="49"/>
      <c r="L256" s="49"/>
    </row>
    <row r="257" spans="2:12" ht="15" hidden="1">
      <c r="B257" s="136"/>
      <c r="C257" s="49"/>
      <c r="D257" s="15"/>
      <c r="E257" s="15"/>
      <c r="F257" s="50"/>
      <c r="G257" s="49"/>
      <c r="H257" s="49"/>
      <c r="I257" s="49"/>
      <c r="J257" s="49"/>
      <c r="K257" s="49"/>
      <c r="L257" s="49"/>
    </row>
    <row r="258" spans="2:12" ht="15" hidden="1">
      <c r="B258" s="331">
        <v>44621</v>
      </c>
      <c r="C258" s="332" t="s">
        <v>1127</v>
      </c>
      <c r="D258" s="333" t="s">
        <v>1052</v>
      </c>
      <c r="E258" s="333" t="s">
        <v>57</v>
      </c>
      <c r="F258" s="334">
        <v>175000000</v>
      </c>
      <c r="G258" s="332" t="s">
        <v>911</v>
      </c>
      <c r="H258" s="332" t="s">
        <v>983</v>
      </c>
      <c r="I258" s="332" t="s">
        <v>983</v>
      </c>
      <c r="J258" s="332"/>
      <c r="K258" s="332">
        <v>1</v>
      </c>
      <c r="L258" s="332" t="s">
        <v>1029</v>
      </c>
    </row>
    <row r="259" spans="2:12" ht="15" hidden="1">
      <c r="B259" s="331">
        <v>44621</v>
      </c>
      <c r="C259" s="332" t="s">
        <v>1127</v>
      </c>
      <c r="D259" s="333" t="s">
        <v>1049</v>
      </c>
      <c r="E259" s="333" t="s">
        <v>57</v>
      </c>
      <c r="F259" s="334">
        <v>420000000</v>
      </c>
      <c r="G259" s="332" t="s">
        <v>911</v>
      </c>
      <c r="H259" s="332" t="s">
        <v>983</v>
      </c>
      <c r="I259" s="332" t="s">
        <v>983</v>
      </c>
      <c r="J259" s="332"/>
      <c r="K259" s="332">
        <v>1</v>
      </c>
      <c r="L259" s="332" t="s">
        <v>1029</v>
      </c>
    </row>
    <row r="260" spans="2:12" ht="15" hidden="1">
      <c r="B260" s="331">
        <v>44623</v>
      </c>
      <c r="C260" s="332" t="s">
        <v>1127</v>
      </c>
      <c r="D260" s="333" t="s">
        <v>1155</v>
      </c>
      <c r="E260" s="333" t="s">
        <v>1156</v>
      </c>
      <c r="F260" s="334">
        <v>280000000</v>
      </c>
      <c r="G260" s="332" t="s">
        <v>911</v>
      </c>
      <c r="H260" s="332" t="s">
        <v>983</v>
      </c>
      <c r="I260" s="332" t="s">
        <v>983</v>
      </c>
      <c r="J260" s="332"/>
      <c r="K260" s="332"/>
      <c r="L260" s="332" t="s">
        <v>1029</v>
      </c>
    </row>
    <row r="261" spans="2:12" ht="15" hidden="1">
      <c r="B261" s="331">
        <v>44635</v>
      </c>
      <c r="C261" s="332" t="s">
        <v>1127</v>
      </c>
      <c r="D261" s="333" t="s">
        <v>1164</v>
      </c>
      <c r="E261" s="333" t="s">
        <v>906</v>
      </c>
      <c r="F261" s="334">
        <v>255000000</v>
      </c>
      <c r="G261" s="332" t="s">
        <v>907</v>
      </c>
      <c r="H261" s="332" t="s">
        <v>908</v>
      </c>
      <c r="I261" s="332" t="s">
        <v>908</v>
      </c>
      <c r="J261" s="332"/>
      <c r="K261" s="332">
        <v>1</v>
      </c>
      <c r="L261" s="332" t="s">
        <v>1029</v>
      </c>
    </row>
    <row r="262" spans="2:12" ht="15" hidden="1">
      <c r="B262" s="331">
        <v>44635</v>
      </c>
      <c r="C262" s="332" t="s">
        <v>1127</v>
      </c>
      <c r="D262" s="333" t="s">
        <v>1165</v>
      </c>
      <c r="E262" s="333" t="s">
        <v>906</v>
      </c>
      <c r="F262" s="334">
        <v>255000000</v>
      </c>
      <c r="G262" s="332" t="s">
        <v>907</v>
      </c>
      <c r="H262" s="332" t="s">
        <v>908</v>
      </c>
      <c r="I262" s="332" t="s">
        <v>908</v>
      </c>
      <c r="J262" s="332"/>
      <c r="K262" s="332">
        <v>1</v>
      </c>
      <c r="L262" s="332" t="s">
        <v>1029</v>
      </c>
    </row>
    <row r="263" spans="2:12" ht="18.75" hidden="1">
      <c r="B263" s="1097" t="s">
        <v>32</v>
      </c>
      <c r="C263" s="1097"/>
      <c r="D263" s="1097"/>
      <c r="E263" s="1097"/>
      <c r="F263" s="1097"/>
      <c r="G263" s="1097"/>
      <c r="H263" s="1097"/>
      <c r="I263" s="1097"/>
      <c r="J263" s="96">
        <f>SUM(J236:J262)</f>
        <v>20</v>
      </c>
      <c r="K263" s="335">
        <f>SUM(K258:K262)</f>
        <v>4</v>
      </c>
      <c r="L263" s="335">
        <f>J263+K263</f>
        <v>24</v>
      </c>
    </row>
    <row r="264" spans="2:12" hidden="1"/>
    <row r="265" spans="2:12" hidden="1"/>
    <row r="266" spans="2:12" ht="18.75" hidden="1">
      <c r="B266" s="1094" t="s">
        <v>1173</v>
      </c>
      <c r="C266" s="1095"/>
      <c r="D266" s="1095"/>
      <c r="E266" s="1095"/>
      <c r="F266" s="1095"/>
      <c r="G266" s="1095"/>
      <c r="H266" s="1095"/>
      <c r="I266" s="1095"/>
      <c r="J266" s="1095"/>
      <c r="K266" s="1095"/>
      <c r="L266" s="1096"/>
    </row>
    <row r="267" spans="2:12" ht="18.75" hidden="1">
      <c r="B267" s="328" t="s">
        <v>892</v>
      </c>
      <c r="C267" s="329" t="s">
        <v>893</v>
      </c>
      <c r="D267" s="329" t="s">
        <v>894</v>
      </c>
      <c r="E267" s="329" t="s">
        <v>895</v>
      </c>
      <c r="F267" s="330" t="s">
        <v>896</v>
      </c>
      <c r="G267" s="329" t="s">
        <v>897</v>
      </c>
      <c r="H267" s="329" t="s">
        <v>898</v>
      </c>
      <c r="I267" s="329" t="s">
        <v>899</v>
      </c>
      <c r="J267" s="329" t="s">
        <v>900</v>
      </c>
      <c r="K267" s="329" t="s">
        <v>901</v>
      </c>
      <c r="L267" s="329" t="s">
        <v>902</v>
      </c>
    </row>
    <row r="268" spans="2:12" ht="15" hidden="1">
      <c r="B268" s="136">
        <v>44623</v>
      </c>
      <c r="C268" s="49" t="s">
        <v>1127</v>
      </c>
      <c r="D268" s="15" t="s">
        <v>1174</v>
      </c>
      <c r="E268" s="15" t="s">
        <v>57</v>
      </c>
      <c r="F268" s="50">
        <v>1700000</v>
      </c>
      <c r="G268" s="49" t="s">
        <v>907</v>
      </c>
      <c r="H268" s="49" t="s">
        <v>983</v>
      </c>
      <c r="I268" s="49" t="s">
        <v>983</v>
      </c>
      <c r="J268" s="49">
        <v>1</v>
      </c>
      <c r="K268" s="49"/>
      <c r="L268" s="49" t="s">
        <v>607</v>
      </c>
    </row>
    <row r="269" spans="2:12" ht="15" hidden="1">
      <c r="B269" s="136">
        <v>44624</v>
      </c>
      <c r="C269" s="49" t="s">
        <v>1127</v>
      </c>
      <c r="D269" s="15" t="s">
        <v>1175</v>
      </c>
      <c r="E269" s="15" t="s">
        <v>906</v>
      </c>
      <c r="F269" s="50">
        <v>1200000</v>
      </c>
      <c r="G269" s="49" t="s">
        <v>907</v>
      </c>
      <c r="H269" s="49" t="s">
        <v>908</v>
      </c>
      <c r="I269" s="49" t="s">
        <v>908</v>
      </c>
      <c r="J269" s="49">
        <v>1</v>
      </c>
      <c r="K269" s="49"/>
      <c r="L269" s="49" t="s">
        <v>607</v>
      </c>
    </row>
    <row r="270" spans="2:12" ht="15" hidden="1">
      <c r="B270" s="136">
        <v>44624</v>
      </c>
      <c r="C270" s="49" t="s">
        <v>1127</v>
      </c>
      <c r="D270" s="15" t="s">
        <v>1176</v>
      </c>
      <c r="E270" s="15" t="s">
        <v>906</v>
      </c>
      <c r="F270" s="50">
        <v>2200000</v>
      </c>
      <c r="G270" s="49" t="s">
        <v>907</v>
      </c>
      <c r="H270" s="49" t="s">
        <v>908</v>
      </c>
      <c r="I270" s="49" t="s">
        <v>908</v>
      </c>
      <c r="J270" s="49">
        <v>1</v>
      </c>
      <c r="K270" s="49"/>
      <c r="L270" s="49" t="s">
        <v>633</v>
      </c>
    </row>
    <row r="271" spans="2:12" ht="15" hidden="1">
      <c r="B271" s="136">
        <v>44629</v>
      </c>
      <c r="C271" s="49" t="s">
        <v>1127</v>
      </c>
      <c r="D271" s="15" t="s">
        <v>1177</v>
      </c>
      <c r="E271" s="15" t="s">
        <v>906</v>
      </c>
      <c r="F271" s="50">
        <v>1700000</v>
      </c>
      <c r="G271" s="49" t="s">
        <v>907</v>
      </c>
      <c r="H271" s="49" t="s">
        <v>908</v>
      </c>
      <c r="I271" s="49" t="s">
        <v>908</v>
      </c>
      <c r="J271" s="49">
        <v>1</v>
      </c>
      <c r="K271" s="49"/>
      <c r="L271" s="49" t="s">
        <v>607</v>
      </c>
    </row>
    <row r="272" spans="2:12" ht="15" hidden="1">
      <c r="B272" s="136">
        <v>44629</v>
      </c>
      <c r="C272" s="49" t="s">
        <v>1127</v>
      </c>
      <c r="D272" s="15" t="s">
        <v>1178</v>
      </c>
      <c r="E272" s="15" t="s">
        <v>57</v>
      </c>
      <c r="F272" s="50">
        <v>1300000</v>
      </c>
      <c r="G272" s="49" t="s">
        <v>907</v>
      </c>
      <c r="H272" s="49" t="s">
        <v>908</v>
      </c>
      <c r="I272" s="49" t="s">
        <v>908</v>
      </c>
      <c r="J272" s="49">
        <v>1</v>
      </c>
      <c r="K272" s="49"/>
      <c r="L272" s="49" t="s">
        <v>607</v>
      </c>
    </row>
    <row r="273" spans="2:12" ht="15" hidden="1">
      <c r="B273" s="136">
        <v>44634</v>
      </c>
      <c r="C273" s="49" t="s">
        <v>1127</v>
      </c>
      <c r="D273" s="15" t="s">
        <v>1179</v>
      </c>
      <c r="E273" s="15" t="s">
        <v>906</v>
      </c>
      <c r="F273" s="50">
        <v>1700000</v>
      </c>
      <c r="G273" s="49" t="s">
        <v>907</v>
      </c>
      <c r="H273" s="49" t="s">
        <v>908</v>
      </c>
      <c r="I273" s="49" t="s">
        <v>908</v>
      </c>
      <c r="J273" s="49">
        <v>1</v>
      </c>
      <c r="K273" s="49"/>
      <c r="L273" s="49" t="s">
        <v>633</v>
      </c>
    </row>
    <row r="274" spans="2:12" ht="15" hidden="1">
      <c r="B274" s="136">
        <v>44635</v>
      </c>
      <c r="C274" s="49" t="s">
        <v>904</v>
      </c>
      <c r="D274" s="15" t="s">
        <v>1180</v>
      </c>
      <c r="E274" s="15" t="s">
        <v>906</v>
      </c>
      <c r="F274" s="50">
        <v>1400000</v>
      </c>
      <c r="G274" s="49" t="s">
        <v>907</v>
      </c>
      <c r="H274" s="49" t="s">
        <v>908</v>
      </c>
      <c r="I274" s="49" t="s">
        <v>908</v>
      </c>
      <c r="J274" s="49">
        <v>1</v>
      </c>
      <c r="K274" s="49"/>
      <c r="L274" s="49" t="s">
        <v>533</v>
      </c>
    </row>
    <row r="275" spans="2:12" ht="15" hidden="1">
      <c r="B275" s="136">
        <v>44635</v>
      </c>
      <c r="C275" s="49" t="s">
        <v>992</v>
      </c>
      <c r="D275" s="15" t="s">
        <v>1181</v>
      </c>
      <c r="E275" s="15" t="s">
        <v>906</v>
      </c>
      <c r="F275" s="50">
        <v>4000000</v>
      </c>
      <c r="G275" s="49" t="s">
        <v>911</v>
      </c>
      <c r="H275" s="49" t="s">
        <v>908</v>
      </c>
      <c r="I275" s="49" t="s">
        <v>908</v>
      </c>
      <c r="J275" s="49">
        <v>1</v>
      </c>
      <c r="K275" s="49"/>
      <c r="L275" s="49" t="s">
        <v>607</v>
      </c>
    </row>
    <row r="276" spans="2:12" ht="15" hidden="1">
      <c r="B276" s="136">
        <v>44635</v>
      </c>
      <c r="C276" s="49" t="s">
        <v>992</v>
      </c>
      <c r="D276" s="15" t="s">
        <v>1182</v>
      </c>
      <c r="E276" s="15" t="s">
        <v>906</v>
      </c>
      <c r="F276" s="50">
        <v>1200000</v>
      </c>
      <c r="G276" s="49" t="s">
        <v>911</v>
      </c>
      <c r="H276" s="49" t="s">
        <v>908</v>
      </c>
      <c r="I276" s="49" t="s">
        <v>908</v>
      </c>
      <c r="J276" s="49">
        <v>1</v>
      </c>
      <c r="K276" s="49"/>
      <c r="L276" s="49" t="s">
        <v>633</v>
      </c>
    </row>
    <row r="277" spans="2:12" ht="15" hidden="1">
      <c r="B277" s="136">
        <v>44636</v>
      </c>
      <c r="C277" s="49" t="s">
        <v>904</v>
      </c>
      <c r="D277" s="15" t="s">
        <v>1183</v>
      </c>
      <c r="E277" s="15" t="s">
        <v>906</v>
      </c>
      <c r="F277" s="50">
        <v>1700000</v>
      </c>
      <c r="G277" s="49" t="s">
        <v>907</v>
      </c>
      <c r="H277" s="49" t="s">
        <v>908</v>
      </c>
      <c r="I277" s="49" t="s">
        <v>908</v>
      </c>
      <c r="J277" s="49">
        <v>1</v>
      </c>
      <c r="K277" s="49"/>
      <c r="L277" s="49" t="s">
        <v>607</v>
      </c>
    </row>
    <row r="278" spans="2:12" ht="15" hidden="1">
      <c r="B278" s="136">
        <v>44642</v>
      </c>
      <c r="C278" s="49" t="s">
        <v>904</v>
      </c>
      <c r="D278" s="15" t="s">
        <v>1184</v>
      </c>
      <c r="E278" s="15" t="s">
        <v>57</v>
      </c>
      <c r="F278" s="50">
        <v>1450000</v>
      </c>
      <c r="G278" s="49" t="s">
        <v>911</v>
      </c>
      <c r="H278" s="49" t="s">
        <v>908</v>
      </c>
      <c r="I278" s="49" t="s">
        <v>908</v>
      </c>
      <c r="J278" s="49">
        <v>1</v>
      </c>
      <c r="K278" s="49"/>
      <c r="L278" s="49" t="s">
        <v>607</v>
      </c>
    </row>
    <row r="279" spans="2:12" ht="15" hidden="1">
      <c r="B279" s="136">
        <v>44642</v>
      </c>
      <c r="C279" s="49" t="s">
        <v>904</v>
      </c>
      <c r="D279" s="15" t="s">
        <v>1185</v>
      </c>
      <c r="E279" s="15" t="s">
        <v>906</v>
      </c>
      <c r="F279" s="50">
        <v>1650000</v>
      </c>
      <c r="G279" s="49" t="s">
        <v>907</v>
      </c>
      <c r="H279" s="49" t="s">
        <v>908</v>
      </c>
      <c r="I279" s="49" t="s">
        <v>908</v>
      </c>
      <c r="J279" s="49">
        <v>1</v>
      </c>
      <c r="K279" s="49"/>
      <c r="L279" s="49" t="s">
        <v>633</v>
      </c>
    </row>
    <row r="280" spans="2:12" ht="15" hidden="1">
      <c r="B280" s="136">
        <v>44642</v>
      </c>
      <c r="C280" s="49" t="s">
        <v>904</v>
      </c>
      <c r="D280" s="15" t="s">
        <v>1186</v>
      </c>
      <c r="E280" s="15" t="s">
        <v>906</v>
      </c>
      <c r="F280" s="50">
        <v>1600000</v>
      </c>
      <c r="G280" s="49" t="s">
        <v>907</v>
      </c>
      <c r="H280" s="49" t="s">
        <v>908</v>
      </c>
      <c r="I280" s="49" t="s">
        <v>908</v>
      </c>
      <c r="J280" s="49">
        <v>1</v>
      </c>
      <c r="K280" s="49"/>
      <c r="L280" s="49" t="s">
        <v>533</v>
      </c>
    </row>
    <row r="281" spans="2:12" ht="15" hidden="1">
      <c r="B281" s="136">
        <v>44645</v>
      </c>
      <c r="C281" s="49" t="s">
        <v>904</v>
      </c>
      <c r="D281" s="15" t="s">
        <v>1187</v>
      </c>
      <c r="E281" s="15" t="s">
        <v>906</v>
      </c>
      <c r="F281" s="50">
        <v>1700000</v>
      </c>
      <c r="G281" s="49" t="s">
        <v>907</v>
      </c>
      <c r="H281" s="49" t="s">
        <v>908</v>
      </c>
      <c r="I281" s="49" t="s">
        <v>908</v>
      </c>
      <c r="J281" s="49">
        <v>1</v>
      </c>
      <c r="K281" s="49"/>
      <c r="L281" s="49" t="s">
        <v>607</v>
      </c>
    </row>
    <row r="282" spans="2:12" ht="15" hidden="1">
      <c r="B282" s="136">
        <v>44645</v>
      </c>
      <c r="C282" s="49" t="s">
        <v>992</v>
      </c>
      <c r="D282" s="15" t="s">
        <v>1188</v>
      </c>
      <c r="E282" s="15" t="s">
        <v>906</v>
      </c>
      <c r="F282" s="50">
        <v>1400000</v>
      </c>
      <c r="G282" s="49" t="s">
        <v>911</v>
      </c>
      <c r="H282" s="49" t="s">
        <v>908</v>
      </c>
      <c r="I282" s="49" t="s">
        <v>908</v>
      </c>
      <c r="J282" s="49">
        <v>1</v>
      </c>
      <c r="K282" s="49"/>
      <c r="L282" s="49" t="s">
        <v>533</v>
      </c>
    </row>
    <row r="283" spans="2:12" ht="15" hidden="1">
      <c r="B283" s="136">
        <v>44645</v>
      </c>
      <c r="C283" s="49" t="s">
        <v>904</v>
      </c>
      <c r="D283" s="15" t="s">
        <v>1189</v>
      </c>
      <c r="E283" s="15" t="s">
        <v>906</v>
      </c>
      <c r="F283" s="50">
        <v>1200000</v>
      </c>
      <c r="G283" s="49" t="s">
        <v>911</v>
      </c>
      <c r="H283" s="49" t="s">
        <v>908</v>
      </c>
      <c r="I283" s="49" t="s">
        <v>908</v>
      </c>
      <c r="J283" s="49">
        <v>1</v>
      </c>
      <c r="K283" s="49"/>
      <c r="L283" s="49" t="s">
        <v>633</v>
      </c>
    </row>
    <row r="284" spans="2:12" ht="15" hidden="1">
      <c r="B284" s="136">
        <v>44645</v>
      </c>
      <c r="C284" s="49" t="s">
        <v>1127</v>
      </c>
      <c r="D284" s="15" t="s">
        <v>1190</v>
      </c>
      <c r="E284" s="15" t="s">
        <v>906</v>
      </c>
      <c r="F284" s="50">
        <v>2850000</v>
      </c>
      <c r="G284" s="49" t="s">
        <v>907</v>
      </c>
      <c r="H284" s="49" t="s">
        <v>908</v>
      </c>
      <c r="I284" s="49" t="s">
        <v>908</v>
      </c>
      <c r="J284" s="49">
        <v>1</v>
      </c>
      <c r="K284" s="49"/>
      <c r="L284" s="49" t="s">
        <v>607</v>
      </c>
    </row>
    <row r="285" spans="2:12" ht="15" hidden="1">
      <c r="B285" s="136">
        <v>44645</v>
      </c>
      <c r="C285" s="49" t="s">
        <v>992</v>
      </c>
      <c r="D285" s="15" t="s">
        <v>1191</v>
      </c>
      <c r="E285" s="15" t="s">
        <v>906</v>
      </c>
      <c r="F285" s="50">
        <v>1200000</v>
      </c>
      <c r="G285" s="49" t="s">
        <v>911</v>
      </c>
      <c r="H285" s="49" t="s">
        <v>908</v>
      </c>
      <c r="I285" s="49" t="s">
        <v>908</v>
      </c>
      <c r="J285" s="49">
        <v>1</v>
      </c>
      <c r="K285" s="49"/>
      <c r="L285" s="49" t="s">
        <v>607</v>
      </c>
    </row>
    <row r="286" spans="2:12" ht="15" hidden="1">
      <c r="B286" s="136">
        <v>44645</v>
      </c>
      <c r="C286" s="49" t="s">
        <v>938</v>
      </c>
      <c r="D286" s="15" t="s">
        <v>1192</v>
      </c>
      <c r="E286" s="15" t="s">
        <v>906</v>
      </c>
      <c r="F286" s="50">
        <v>3500000</v>
      </c>
      <c r="G286" s="49" t="s">
        <v>911</v>
      </c>
      <c r="H286" s="49" t="s">
        <v>908</v>
      </c>
      <c r="I286" s="49" t="s">
        <v>908</v>
      </c>
      <c r="J286" s="49">
        <v>1</v>
      </c>
      <c r="K286" s="49"/>
      <c r="L286" s="49" t="s">
        <v>533</v>
      </c>
    </row>
    <row r="287" spans="2:12" ht="15" hidden="1">
      <c r="B287" s="136">
        <v>44645</v>
      </c>
      <c r="C287" s="49" t="s">
        <v>992</v>
      </c>
      <c r="D287" s="15" t="s">
        <v>1193</v>
      </c>
      <c r="E287" s="15" t="s">
        <v>906</v>
      </c>
      <c r="F287" s="50">
        <v>18000000</v>
      </c>
      <c r="G287" s="49" t="s">
        <v>911</v>
      </c>
      <c r="H287" s="49" t="s">
        <v>908</v>
      </c>
      <c r="I287" s="49" t="s">
        <v>908</v>
      </c>
      <c r="J287" s="49">
        <v>1</v>
      </c>
      <c r="K287" s="49"/>
      <c r="L287" s="49" t="s">
        <v>633</v>
      </c>
    </row>
    <row r="288" spans="2:12" ht="15" hidden="1">
      <c r="B288" s="136"/>
      <c r="C288" s="49"/>
      <c r="D288" s="15"/>
      <c r="E288" s="15"/>
      <c r="F288" s="50"/>
      <c r="G288" s="49"/>
      <c r="H288" s="49"/>
      <c r="I288" s="49"/>
      <c r="J288" s="49"/>
      <c r="K288" s="49"/>
      <c r="L288" s="49"/>
    </row>
    <row r="289" spans="2:12" ht="15" hidden="1">
      <c r="B289" s="136">
        <v>44645</v>
      </c>
      <c r="C289" s="49" t="s">
        <v>1127</v>
      </c>
      <c r="D289" s="15" t="s">
        <v>1194</v>
      </c>
      <c r="E289" s="15" t="s">
        <v>906</v>
      </c>
      <c r="F289" s="50">
        <v>360000000</v>
      </c>
      <c r="G289" s="49" t="s">
        <v>911</v>
      </c>
      <c r="H289" s="49" t="s">
        <v>908</v>
      </c>
      <c r="I289" s="49" t="s">
        <v>908</v>
      </c>
      <c r="J289" s="49"/>
      <c r="K289" s="49">
        <v>1</v>
      </c>
      <c r="L289" s="49" t="s">
        <v>1029</v>
      </c>
    </row>
    <row r="290" spans="2:12" ht="15" hidden="1">
      <c r="B290" s="136">
        <v>44645</v>
      </c>
      <c r="C290" s="49" t="s">
        <v>1127</v>
      </c>
      <c r="D290" s="15" t="s">
        <v>1190</v>
      </c>
      <c r="E290" s="15" t="s">
        <v>906</v>
      </c>
      <c r="F290" s="50">
        <v>590000000</v>
      </c>
      <c r="G290" s="49" t="s">
        <v>911</v>
      </c>
      <c r="H290" s="49" t="s">
        <v>908</v>
      </c>
      <c r="I290" s="49" t="s">
        <v>908</v>
      </c>
      <c r="J290" s="49"/>
      <c r="K290" s="49">
        <v>1</v>
      </c>
      <c r="L290" s="49" t="s">
        <v>1029</v>
      </c>
    </row>
    <row r="291" spans="2:12" ht="15" hidden="1">
      <c r="B291" s="136">
        <v>44645</v>
      </c>
      <c r="C291" s="49" t="s">
        <v>1127</v>
      </c>
      <c r="D291" s="15" t="s">
        <v>1195</v>
      </c>
      <c r="E291" s="15" t="s">
        <v>906</v>
      </c>
      <c r="F291" s="50">
        <v>340000000</v>
      </c>
      <c r="G291" s="49" t="s">
        <v>911</v>
      </c>
      <c r="H291" s="49" t="s">
        <v>908</v>
      </c>
      <c r="I291" s="49" t="s">
        <v>908</v>
      </c>
      <c r="J291" s="49"/>
      <c r="K291" s="49">
        <v>1</v>
      </c>
      <c r="L291" s="49" t="s">
        <v>1029</v>
      </c>
    </row>
    <row r="292" spans="2:12" ht="18.75" hidden="1">
      <c r="B292" s="1097" t="s">
        <v>32</v>
      </c>
      <c r="C292" s="1097"/>
      <c r="D292" s="1097"/>
      <c r="E292" s="1097"/>
      <c r="F292" s="1097"/>
      <c r="G292" s="1097"/>
      <c r="H292" s="1097"/>
      <c r="I292" s="1097"/>
      <c r="J292" s="327">
        <f>SUM(J268:J291)</f>
        <v>20</v>
      </c>
      <c r="K292" s="327">
        <f>SUM(K289:K291)</f>
        <v>3</v>
      </c>
      <c r="L292" s="327">
        <f>J292+K292</f>
        <v>23</v>
      </c>
    </row>
    <row r="293" spans="2:12" hidden="1"/>
    <row r="294" spans="2:12" hidden="1"/>
    <row r="295" spans="2:12" ht="18.75" hidden="1">
      <c r="B295" s="1094" t="s">
        <v>1196</v>
      </c>
      <c r="C295" s="1095"/>
      <c r="D295" s="1095"/>
      <c r="E295" s="1095"/>
      <c r="F295" s="1095"/>
      <c r="G295" s="1095"/>
      <c r="H295" s="1095"/>
      <c r="I295" s="1095"/>
      <c r="J295" s="1095"/>
      <c r="K295" s="1095"/>
      <c r="L295" s="1096"/>
    </row>
    <row r="296" spans="2:12" ht="18.75" hidden="1">
      <c r="B296" s="328" t="s">
        <v>892</v>
      </c>
      <c r="C296" s="329" t="s">
        <v>893</v>
      </c>
      <c r="D296" s="329" t="s">
        <v>894</v>
      </c>
      <c r="E296" s="329" t="s">
        <v>895</v>
      </c>
      <c r="F296" s="330" t="s">
        <v>896</v>
      </c>
      <c r="G296" s="329" t="s">
        <v>897</v>
      </c>
      <c r="H296" s="329" t="s">
        <v>898</v>
      </c>
      <c r="I296" s="329" t="s">
        <v>899</v>
      </c>
      <c r="J296" s="329" t="s">
        <v>900</v>
      </c>
      <c r="K296" s="329" t="s">
        <v>901</v>
      </c>
      <c r="L296" s="329" t="s">
        <v>902</v>
      </c>
    </row>
    <row r="297" spans="2:12" ht="15" hidden="1">
      <c r="B297" s="136">
        <v>44621</v>
      </c>
      <c r="C297" s="49" t="s">
        <v>1127</v>
      </c>
      <c r="D297" s="15" t="s">
        <v>1197</v>
      </c>
      <c r="E297" s="15" t="s">
        <v>57</v>
      </c>
      <c r="F297" s="50">
        <v>1250000</v>
      </c>
      <c r="G297" s="49" t="s">
        <v>907</v>
      </c>
      <c r="H297" s="49" t="s">
        <v>983</v>
      </c>
      <c r="I297" s="49" t="s">
        <v>983</v>
      </c>
      <c r="J297" s="49">
        <v>1</v>
      </c>
      <c r="K297" s="49"/>
      <c r="L297" s="49" t="s">
        <v>533</v>
      </c>
    </row>
    <row r="298" spans="2:12" ht="15" hidden="1">
      <c r="B298" s="136">
        <v>44621</v>
      </c>
      <c r="C298" s="49" t="s">
        <v>1127</v>
      </c>
      <c r="D298" s="15" t="s">
        <v>1198</v>
      </c>
      <c r="E298" s="15" t="s">
        <v>57</v>
      </c>
      <c r="F298" s="50">
        <v>1500000</v>
      </c>
      <c r="G298" s="49" t="s">
        <v>907</v>
      </c>
      <c r="H298" s="49" t="s">
        <v>983</v>
      </c>
      <c r="I298" s="49" t="s">
        <v>983</v>
      </c>
      <c r="J298" s="49">
        <v>1</v>
      </c>
      <c r="K298" s="49"/>
      <c r="L298" s="49" t="s">
        <v>607</v>
      </c>
    </row>
    <row r="299" spans="2:12" ht="15" hidden="1">
      <c r="B299" s="136">
        <v>44623</v>
      </c>
      <c r="C299" s="49" t="s">
        <v>1127</v>
      </c>
      <c r="D299" s="15" t="s">
        <v>1199</v>
      </c>
      <c r="E299" s="15" t="s">
        <v>57</v>
      </c>
      <c r="F299" s="50">
        <v>1200000</v>
      </c>
      <c r="G299" s="49" t="s">
        <v>907</v>
      </c>
      <c r="H299" s="49" t="s">
        <v>983</v>
      </c>
      <c r="I299" s="49" t="s">
        <v>983</v>
      </c>
      <c r="J299" s="49">
        <v>1</v>
      </c>
      <c r="K299" s="49"/>
      <c r="L299" s="49" t="s">
        <v>633</v>
      </c>
    </row>
    <row r="300" spans="2:12" ht="15" hidden="1">
      <c r="B300" s="136">
        <v>44623</v>
      </c>
      <c r="C300" s="49" t="s">
        <v>1127</v>
      </c>
      <c r="D300" s="15" t="s">
        <v>1200</v>
      </c>
      <c r="E300" s="15" t="s">
        <v>57</v>
      </c>
      <c r="F300" s="50">
        <v>1150000</v>
      </c>
      <c r="G300" s="49" t="s">
        <v>907</v>
      </c>
      <c r="H300" s="49" t="s">
        <v>983</v>
      </c>
      <c r="I300" s="49" t="s">
        <v>983</v>
      </c>
      <c r="J300" s="49">
        <v>1</v>
      </c>
      <c r="K300" s="49"/>
      <c r="L300" s="49" t="s">
        <v>607</v>
      </c>
    </row>
    <row r="301" spans="2:12" ht="15" hidden="1">
      <c r="B301" s="136">
        <v>44624</v>
      </c>
      <c r="C301" s="49" t="s">
        <v>1127</v>
      </c>
      <c r="D301" s="15" t="s">
        <v>1201</v>
      </c>
      <c r="E301" s="15" t="s">
        <v>57</v>
      </c>
      <c r="F301" s="50">
        <v>1700000</v>
      </c>
      <c r="G301" s="49" t="s">
        <v>907</v>
      </c>
      <c r="H301" s="49" t="s">
        <v>908</v>
      </c>
      <c r="I301" s="49" t="s">
        <v>908</v>
      </c>
      <c r="J301" s="49">
        <v>1</v>
      </c>
      <c r="K301" s="49"/>
      <c r="L301" s="49" t="s">
        <v>533</v>
      </c>
    </row>
    <row r="302" spans="2:12" ht="15" hidden="1">
      <c r="B302" s="136">
        <v>44630</v>
      </c>
      <c r="C302" s="49" t="s">
        <v>1127</v>
      </c>
      <c r="D302" s="15" t="s">
        <v>1202</v>
      </c>
      <c r="E302" s="15" t="s">
        <v>906</v>
      </c>
      <c r="F302" s="50">
        <v>1250000</v>
      </c>
      <c r="G302" s="49" t="s">
        <v>1203</v>
      </c>
      <c r="H302" s="49" t="s">
        <v>908</v>
      </c>
      <c r="I302" s="49" t="s">
        <v>908</v>
      </c>
      <c r="J302" s="49">
        <v>1</v>
      </c>
      <c r="K302" s="49"/>
      <c r="L302" s="49" t="s">
        <v>607</v>
      </c>
    </row>
    <row r="303" spans="2:12" ht="15" hidden="1">
      <c r="B303" s="136">
        <v>44630</v>
      </c>
      <c r="C303" s="49" t="s">
        <v>992</v>
      </c>
      <c r="D303" s="15" t="s">
        <v>1204</v>
      </c>
      <c r="E303" s="15" t="s">
        <v>906</v>
      </c>
      <c r="F303" s="50" t="s">
        <v>1205</v>
      </c>
      <c r="G303" s="49" t="s">
        <v>911</v>
      </c>
      <c r="H303" s="49" t="s">
        <v>908</v>
      </c>
      <c r="I303" s="49" t="s">
        <v>908</v>
      </c>
      <c r="J303" s="49">
        <v>1</v>
      </c>
      <c r="K303" s="49"/>
      <c r="L303" s="49" t="s">
        <v>533</v>
      </c>
    </row>
    <row r="304" spans="2:12" ht="15" hidden="1">
      <c r="B304" s="136">
        <v>44630</v>
      </c>
      <c r="C304" s="49" t="s">
        <v>992</v>
      </c>
      <c r="D304" s="15" t="s">
        <v>1206</v>
      </c>
      <c r="E304" s="15" t="s">
        <v>906</v>
      </c>
      <c r="F304" s="50" t="s">
        <v>1207</v>
      </c>
      <c r="G304" s="49" t="s">
        <v>911</v>
      </c>
      <c r="H304" s="49" t="s">
        <v>908</v>
      </c>
      <c r="I304" s="49" t="s">
        <v>908</v>
      </c>
      <c r="J304" s="49">
        <v>1</v>
      </c>
      <c r="K304" s="49"/>
      <c r="L304" s="49" t="s">
        <v>533</v>
      </c>
    </row>
    <row r="305" spans="2:12" ht="15" hidden="1">
      <c r="B305" s="136">
        <v>44630</v>
      </c>
      <c r="C305" s="49" t="s">
        <v>992</v>
      </c>
      <c r="D305" s="15" t="s">
        <v>1208</v>
      </c>
      <c r="E305" s="15" t="s">
        <v>906</v>
      </c>
      <c r="F305" s="50" t="s">
        <v>1209</v>
      </c>
      <c r="G305" s="49" t="s">
        <v>911</v>
      </c>
      <c r="H305" s="49" t="s">
        <v>908</v>
      </c>
      <c r="I305" s="49" t="s">
        <v>908</v>
      </c>
      <c r="J305" s="49">
        <v>1</v>
      </c>
      <c r="K305" s="49"/>
      <c r="L305" s="49" t="s">
        <v>607</v>
      </c>
    </row>
    <row r="306" spans="2:12" ht="15" hidden="1">
      <c r="B306" s="136">
        <v>44631</v>
      </c>
      <c r="C306" s="49" t="s">
        <v>1127</v>
      </c>
      <c r="D306" s="15" t="s">
        <v>1210</v>
      </c>
      <c r="E306" s="15" t="s">
        <v>906</v>
      </c>
      <c r="F306" s="50">
        <v>1400000</v>
      </c>
      <c r="G306" s="49" t="s">
        <v>911</v>
      </c>
      <c r="H306" s="49" t="s">
        <v>908</v>
      </c>
      <c r="I306" s="49" t="s">
        <v>908</v>
      </c>
      <c r="J306" s="49">
        <v>1</v>
      </c>
      <c r="K306" s="49"/>
      <c r="L306" s="49" t="s">
        <v>533</v>
      </c>
    </row>
    <row r="307" spans="2:12" ht="15" hidden="1">
      <c r="B307" s="136">
        <v>44635</v>
      </c>
      <c r="C307" s="49" t="s">
        <v>1127</v>
      </c>
      <c r="D307" s="15" t="s">
        <v>1211</v>
      </c>
      <c r="E307" s="15" t="s">
        <v>906</v>
      </c>
      <c r="F307" s="50">
        <v>1200000</v>
      </c>
      <c r="G307" s="49" t="s">
        <v>907</v>
      </c>
      <c r="H307" s="49" t="s">
        <v>908</v>
      </c>
      <c r="I307" s="49" t="s">
        <v>908</v>
      </c>
      <c r="J307" s="49">
        <v>1</v>
      </c>
      <c r="K307" s="49"/>
      <c r="L307" s="49" t="s">
        <v>607</v>
      </c>
    </row>
    <row r="308" spans="2:12" ht="15" hidden="1">
      <c r="B308" s="136">
        <v>44636</v>
      </c>
      <c r="C308" s="49" t="s">
        <v>957</v>
      </c>
      <c r="D308" s="15" t="s">
        <v>1212</v>
      </c>
      <c r="E308" s="15" t="s">
        <v>57</v>
      </c>
      <c r="F308" s="50">
        <v>1900000</v>
      </c>
      <c r="G308" s="49" t="s">
        <v>911</v>
      </c>
      <c r="H308" s="49" t="s">
        <v>908</v>
      </c>
      <c r="I308" s="49" t="s">
        <v>908</v>
      </c>
      <c r="J308" s="49">
        <v>1</v>
      </c>
      <c r="K308" s="49"/>
      <c r="L308" s="49" t="s">
        <v>607</v>
      </c>
    </row>
    <row r="309" spans="2:12" ht="15" hidden="1">
      <c r="B309" s="136">
        <v>44636</v>
      </c>
      <c r="C309" s="49" t="s">
        <v>992</v>
      </c>
      <c r="D309" s="15" t="s">
        <v>1213</v>
      </c>
      <c r="E309" s="15" t="s">
        <v>57</v>
      </c>
      <c r="F309" s="50">
        <v>3600000</v>
      </c>
      <c r="G309" s="49" t="s">
        <v>911</v>
      </c>
      <c r="H309" s="49" t="s">
        <v>908</v>
      </c>
      <c r="I309" s="49" t="s">
        <v>908</v>
      </c>
      <c r="J309" s="49">
        <v>1</v>
      </c>
      <c r="K309" s="49"/>
      <c r="L309" s="49" t="s">
        <v>633</v>
      </c>
    </row>
    <row r="310" spans="2:12" ht="15" hidden="1">
      <c r="B310" s="136">
        <v>44642</v>
      </c>
      <c r="C310" s="49" t="s">
        <v>904</v>
      </c>
      <c r="D310" s="15" t="s">
        <v>1214</v>
      </c>
      <c r="E310" s="15" t="s">
        <v>906</v>
      </c>
      <c r="F310" s="50">
        <v>1300000</v>
      </c>
      <c r="G310" s="49" t="s">
        <v>907</v>
      </c>
      <c r="H310" s="49" t="s">
        <v>908</v>
      </c>
      <c r="I310" s="49" t="s">
        <v>908</v>
      </c>
      <c r="J310" s="49">
        <v>1</v>
      </c>
      <c r="K310" s="49"/>
      <c r="L310" s="49" t="s">
        <v>607</v>
      </c>
    </row>
    <row r="311" spans="2:12" ht="15" hidden="1">
      <c r="B311" s="136">
        <v>44642</v>
      </c>
      <c r="C311" s="49" t="s">
        <v>992</v>
      </c>
      <c r="D311" s="15" t="s">
        <v>1215</v>
      </c>
      <c r="E311" s="15" t="s">
        <v>906</v>
      </c>
      <c r="F311" s="50">
        <v>1800000</v>
      </c>
      <c r="G311" s="49" t="s">
        <v>911</v>
      </c>
      <c r="H311" s="49" t="s">
        <v>908</v>
      </c>
      <c r="I311" s="49" t="s">
        <v>908</v>
      </c>
      <c r="J311" s="49">
        <v>1</v>
      </c>
      <c r="K311" s="49"/>
      <c r="L311" s="49" t="s">
        <v>533</v>
      </c>
    </row>
    <row r="312" spans="2:12" ht="15" hidden="1">
      <c r="B312" s="136">
        <v>44642</v>
      </c>
      <c r="C312" s="49" t="s">
        <v>957</v>
      </c>
      <c r="D312" s="15" t="s">
        <v>1216</v>
      </c>
      <c r="E312" s="15" t="s">
        <v>906</v>
      </c>
      <c r="F312" s="50">
        <v>6000000</v>
      </c>
      <c r="G312" s="49" t="s">
        <v>907</v>
      </c>
      <c r="H312" s="49" t="s">
        <v>908</v>
      </c>
      <c r="I312" s="49" t="s">
        <v>908</v>
      </c>
      <c r="J312" s="49">
        <v>1</v>
      </c>
      <c r="K312" s="49"/>
      <c r="L312" s="49" t="s">
        <v>607</v>
      </c>
    </row>
    <row r="313" spans="2:12" ht="15" hidden="1">
      <c r="B313" s="136">
        <v>44642</v>
      </c>
      <c r="C313" s="49" t="s">
        <v>894</v>
      </c>
      <c r="D313" s="15" t="s">
        <v>1217</v>
      </c>
      <c r="E313" s="15" t="s">
        <v>57</v>
      </c>
      <c r="F313" s="50">
        <v>1600000</v>
      </c>
      <c r="G313" s="49" t="s">
        <v>907</v>
      </c>
      <c r="H313" s="49" t="s">
        <v>908</v>
      </c>
      <c r="I313" s="49" t="s">
        <v>908</v>
      </c>
      <c r="J313" s="49">
        <v>1</v>
      </c>
      <c r="K313" s="49"/>
      <c r="L313" s="49" t="s">
        <v>633</v>
      </c>
    </row>
    <row r="314" spans="2:12" ht="15" hidden="1">
      <c r="B314" s="136">
        <v>44642</v>
      </c>
      <c r="C314" s="49" t="s">
        <v>894</v>
      </c>
      <c r="D314" s="15" t="s">
        <v>1218</v>
      </c>
      <c r="E314" s="15" t="s">
        <v>906</v>
      </c>
      <c r="F314" s="50">
        <v>1600000</v>
      </c>
      <c r="G314" s="49" t="s">
        <v>907</v>
      </c>
      <c r="H314" s="49" t="s">
        <v>908</v>
      </c>
      <c r="I314" s="49" t="s">
        <v>908</v>
      </c>
      <c r="J314" s="49">
        <v>1</v>
      </c>
      <c r="K314" s="49"/>
      <c r="L314" s="49" t="s">
        <v>533</v>
      </c>
    </row>
    <row r="315" spans="2:12" ht="15" hidden="1">
      <c r="B315" s="136">
        <v>44642</v>
      </c>
      <c r="C315" s="49" t="s">
        <v>894</v>
      </c>
      <c r="D315" s="15" t="s">
        <v>1219</v>
      </c>
      <c r="E315" s="15" t="s">
        <v>906</v>
      </c>
      <c r="F315" s="50">
        <v>1500000</v>
      </c>
      <c r="G315" s="49" t="s">
        <v>907</v>
      </c>
      <c r="H315" s="49" t="s">
        <v>908</v>
      </c>
      <c r="I315" s="49" t="s">
        <v>908</v>
      </c>
      <c r="J315" s="49">
        <v>1</v>
      </c>
      <c r="K315" s="49"/>
      <c r="L315" s="49" t="s">
        <v>607</v>
      </c>
    </row>
    <row r="316" spans="2:12" ht="15" hidden="1">
      <c r="B316" s="136">
        <v>44645</v>
      </c>
      <c r="C316" s="49" t="s">
        <v>894</v>
      </c>
      <c r="D316" s="15" t="s">
        <v>1220</v>
      </c>
      <c r="E316" s="15" t="s">
        <v>906</v>
      </c>
      <c r="F316" s="50">
        <v>2400000</v>
      </c>
      <c r="G316" s="49" t="s">
        <v>907</v>
      </c>
      <c r="H316" s="49" t="s">
        <v>908</v>
      </c>
      <c r="I316" s="49" t="s">
        <v>908</v>
      </c>
      <c r="J316" s="49">
        <v>1</v>
      </c>
      <c r="K316" s="49"/>
      <c r="L316" s="49" t="s">
        <v>607</v>
      </c>
    </row>
    <row r="317" spans="2:12" ht="15" hidden="1">
      <c r="B317" s="136">
        <v>44645</v>
      </c>
      <c r="C317" s="49" t="s">
        <v>894</v>
      </c>
      <c r="D317" s="15" t="s">
        <v>1221</v>
      </c>
      <c r="E317" s="15" t="s">
        <v>906</v>
      </c>
      <c r="F317" s="50">
        <v>1300000</v>
      </c>
      <c r="G317" s="49" t="s">
        <v>907</v>
      </c>
      <c r="H317" s="49" t="s">
        <v>908</v>
      </c>
      <c r="I317" s="49" t="s">
        <v>908</v>
      </c>
      <c r="J317" s="49">
        <v>1</v>
      </c>
      <c r="K317" s="49"/>
      <c r="L317" s="49" t="s">
        <v>633</v>
      </c>
    </row>
    <row r="318" spans="2:12" ht="15" hidden="1">
      <c r="B318" s="331">
        <v>44630</v>
      </c>
      <c r="C318" s="332" t="s">
        <v>1127</v>
      </c>
      <c r="D318" s="333" t="s">
        <v>1222</v>
      </c>
      <c r="E318" s="333" t="s">
        <v>906</v>
      </c>
      <c r="F318" s="334">
        <v>598000000</v>
      </c>
      <c r="G318" s="332" t="s">
        <v>907</v>
      </c>
      <c r="H318" s="332" t="s">
        <v>908</v>
      </c>
      <c r="I318" s="332" t="s">
        <v>908</v>
      </c>
      <c r="J318" s="332"/>
      <c r="K318" s="332">
        <v>1</v>
      </c>
      <c r="L318" s="332" t="s">
        <v>1029</v>
      </c>
    </row>
    <row r="319" spans="2:12" ht="15" hidden="1">
      <c r="B319" s="331">
        <v>44635</v>
      </c>
      <c r="C319" s="332" t="s">
        <v>1127</v>
      </c>
      <c r="D319" s="333" t="s">
        <v>1223</v>
      </c>
      <c r="E319" s="333" t="s">
        <v>906</v>
      </c>
      <c r="F319" s="334">
        <v>378500000</v>
      </c>
      <c r="G319" s="332" t="s">
        <v>911</v>
      </c>
      <c r="H319" s="332" t="s">
        <v>908</v>
      </c>
      <c r="I319" s="332" t="s">
        <v>908</v>
      </c>
      <c r="J319" s="332"/>
      <c r="K319" s="332">
        <v>1</v>
      </c>
      <c r="L319" s="332" t="s">
        <v>1029</v>
      </c>
    </row>
    <row r="320" spans="2:12" ht="15" hidden="1">
      <c r="B320" s="331">
        <v>44635</v>
      </c>
      <c r="C320" s="332" t="s">
        <v>1127</v>
      </c>
      <c r="D320" s="333" t="s">
        <v>1224</v>
      </c>
      <c r="E320" s="333" t="s">
        <v>906</v>
      </c>
      <c r="F320" s="334">
        <v>280000000</v>
      </c>
      <c r="G320" s="332" t="s">
        <v>911</v>
      </c>
      <c r="H320" s="332" t="s">
        <v>908</v>
      </c>
      <c r="I320" s="332" t="s">
        <v>908</v>
      </c>
      <c r="J320" s="332"/>
      <c r="K320" s="332">
        <v>1</v>
      </c>
      <c r="L320" s="332" t="s">
        <v>1029</v>
      </c>
    </row>
    <row r="321" spans="2:12" ht="18.75" hidden="1">
      <c r="B321" s="1098" t="s">
        <v>32</v>
      </c>
      <c r="C321" s="1099"/>
      <c r="D321" s="1099"/>
      <c r="E321" s="1099"/>
      <c r="F321" s="1099"/>
      <c r="G321" s="1099"/>
      <c r="H321" s="1099"/>
      <c r="I321" s="1100"/>
      <c r="J321" s="327">
        <f>SUM(J297:J320)</f>
        <v>21</v>
      </c>
      <c r="K321" s="327">
        <f>SUM(K318:K320)</f>
        <v>3</v>
      </c>
      <c r="L321" s="327">
        <f>J321+K321</f>
        <v>24</v>
      </c>
    </row>
    <row r="322" spans="2:12" hidden="1"/>
    <row r="323" spans="2:12" hidden="1"/>
    <row r="324" spans="2:12" hidden="1"/>
    <row r="325" spans="2:12" ht="18.75" hidden="1">
      <c r="B325" s="1094" t="s">
        <v>1225</v>
      </c>
      <c r="C325" s="1095"/>
      <c r="D325" s="1095"/>
      <c r="E325" s="1095"/>
      <c r="F325" s="1095"/>
      <c r="G325" s="1095"/>
      <c r="H325" s="1095"/>
      <c r="I325" s="1095"/>
      <c r="J325" s="1095"/>
      <c r="K325" s="1095"/>
      <c r="L325" s="1096"/>
    </row>
    <row r="326" spans="2:12" ht="18.75" hidden="1">
      <c r="B326" s="328" t="s">
        <v>892</v>
      </c>
      <c r="C326" s="329" t="s">
        <v>893</v>
      </c>
      <c r="D326" s="329" t="s">
        <v>894</v>
      </c>
      <c r="E326" s="329" t="s">
        <v>895</v>
      </c>
      <c r="F326" s="330" t="s">
        <v>896</v>
      </c>
      <c r="G326" s="329" t="s">
        <v>897</v>
      </c>
      <c r="H326" s="329" t="s">
        <v>898</v>
      </c>
      <c r="I326" s="329" t="s">
        <v>899</v>
      </c>
      <c r="J326" s="329" t="s">
        <v>900</v>
      </c>
      <c r="K326" s="329" t="s">
        <v>901</v>
      </c>
      <c r="L326" s="329" t="s">
        <v>902</v>
      </c>
    </row>
    <row r="327" spans="2:12" ht="18.75" hidden="1">
      <c r="B327" s="359"/>
      <c r="C327" s="360"/>
      <c r="D327" s="360"/>
      <c r="E327" s="360"/>
      <c r="F327" s="361"/>
      <c r="G327" s="360"/>
      <c r="H327" s="360"/>
      <c r="I327" s="360"/>
      <c r="J327" s="360"/>
      <c r="K327" s="360"/>
      <c r="L327" s="360"/>
    </row>
    <row r="328" spans="2:12" ht="15" hidden="1">
      <c r="B328" s="136">
        <v>44627</v>
      </c>
      <c r="C328" s="49" t="s">
        <v>1127</v>
      </c>
      <c r="D328" s="15" t="s">
        <v>1226</v>
      </c>
      <c r="E328" s="15" t="s">
        <v>906</v>
      </c>
      <c r="F328" s="50">
        <v>2300000</v>
      </c>
      <c r="G328" s="49" t="s">
        <v>907</v>
      </c>
      <c r="H328" s="49" t="s">
        <v>908</v>
      </c>
      <c r="I328" s="49" t="s">
        <v>908</v>
      </c>
      <c r="J328" s="49">
        <v>1</v>
      </c>
      <c r="K328" s="49"/>
      <c r="L328" s="49" t="s">
        <v>633</v>
      </c>
    </row>
    <row r="329" spans="2:12" ht="15" hidden="1">
      <c r="B329" s="136">
        <v>44642</v>
      </c>
      <c r="C329" s="49" t="s">
        <v>904</v>
      </c>
      <c r="D329" s="15" t="s">
        <v>1227</v>
      </c>
      <c r="E329" s="15" t="s">
        <v>906</v>
      </c>
      <c r="F329" s="50">
        <v>2400000</v>
      </c>
      <c r="G329" s="49" t="s">
        <v>907</v>
      </c>
      <c r="H329" s="49" t="s">
        <v>908</v>
      </c>
      <c r="I329" s="49" t="s">
        <v>908</v>
      </c>
      <c r="J329" s="49">
        <v>1</v>
      </c>
      <c r="K329" s="49"/>
      <c r="L329" s="49" t="s">
        <v>633</v>
      </c>
    </row>
    <row r="330" spans="2:12" ht="15" hidden="1">
      <c r="B330" s="136">
        <v>44621</v>
      </c>
      <c r="C330" s="49" t="s">
        <v>904</v>
      </c>
      <c r="D330" s="15" t="s">
        <v>1228</v>
      </c>
      <c r="E330" s="15" t="s">
        <v>906</v>
      </c>
      <c r="F330" s="50">
        <v>1850000</v>
      </c>
      <c r="G330" s="49" t="s">
        <v>907</v>
      </c>
      <c r="H330" s="49" t="s">
        <v>908</v>
      </c>
      <c r="I330" s="49" t="s">
        <v>908</v>
      </c>
      <c r="J330" s="49">
        <v>1</v>
      </c>
      <c r="K330" s="49"/>
      <c r="L330" s="49" t="s">
        <v>633</v>
      </c>
    </row>
    <row r="331" spans="2:12" ht="18.75" hidden="1">
      <c r="B331" s="1097"/>
      <c r="C331" s="1097"/>
      <c r="D331" s="1097"/>
      <c r="E331" s="1097"/>
      <c r="F331" s="1097"/>
      <c r="G331" s="1097"/>
      <c r="H331" s="1097"/>
      <c r="I331" s="1097"/>
      <c r="J331" s="327">
        <f>SUM(J328:J330)</f>
        <v>3</v>
      </c>
      <c r="K331" s="327">
        <f>SUM(K328:K330)</f>
        <v>0</v>
      </c>
      <c r="L331" s="327">
        <f>J331+K331</f>
        <v>3</v>
      </c>
    </row>
    <row r="332" spans="2:12" hidden="1"/>
    <row r="333" spans="2:12" hidden="1"/>
    <row r="334" spans="2:12" ht="18.75" hidden="1">
      <c r="B334" s="1094" t="s">
        <v>1229</v>
      </c>
      <c r="C334" s="1095"/>
      <c r="D334" s="1095"/>
      <c r="E334" s="1095"/>
      <c r="F334" s="1095"/>
      <c r="G334" s="1095"/>
      <c r="H334" s="1095"/>
      <c r="I334" s="1095"/>
      <c r="J334" s="1095"/>
      <c r="K334" s="1095"/>
      <c r="L334" s="1096"/>
    </row>
    <row r="335" spans="2:12" ht="18" hidden="1" customHeight="1">
      <c r="B335" s="328" t="s">
        <v>892</v>
      </c>
      <c r="C335" s="329" t="s">
        <v>893</v>
      </c>
      <c r="D335" s="329" t="s">
        <v>894</v>
      </c>
      <c r="E335" s="329" t="s">
        <v>895</v>
      </c>
      <c r="F335" s="330" t="s">
        <v>896</v>
      </c>
      <c r="G335" s="329" t="s">
        <v>897</v>
      </c>
      <c r="H335" s="329" t="s">
        <v>898</v>
      </c>
      <c r="I335" s="329" t="s">
        <v>899</v>
      </c>
      <c r="J335" s="329" t="s">
        <v>900</v>
      </c>
      <c r="K335" s="329" t="s">
        <v>901</v>
      </c>
      <c r="L335" s="329" t="s">
        <v>902</v>
      </c>
    </row>
    <row r="336" spans="2:12" ht="15" hidden="1">
      <c r="B336" s="136">
        <v>44621</v>
      </c>
      <c r="C336" s="49" t="s">
        <v>1127</v>
      </c>
      <c r="D336" s="15" t="s">
        <v>1230</v>
      </c>
      <c r="E336" s="15" t="s">
        <v>57</v>
      </c>
      <c r="F336" s="50">
        <v>1400000</v>
      </c>
      <c r="G336" s="49" t="s">
        <v>911</v>
      </c>
      <c r="H336" s="49" t="s">
        <v>983</v>
      </c>
      <c r="I336" s="49" t="s">
        <v>983</v>
      </c>
      <c r="J336" s="49">
        <v>1</v>
      </c>
      <c r="K336" s="49"/>
      <c r="L336" s="49" t="s">
        <v>635</v>
      </c>
    </row>
    <row r="337" spans="2:12" ht="15" hidden="1">
      <c r="B337" s="136">
        <v>44623</v>
      </c>
      <c r="C337" s="49" t="s">
        <v>1127</v>
      </c>
      <c r="D337" s="15" t="s">
        <v>1231</v>
      </c>
      <c r="E337" s="15" t="s">
        <v>57</v>
      </c>
      <c r="F337" s="50">
        <v>1700000</v>
      </c>
      <c r="G337" s="49" t="s">
        <v>911</v>
      </c>
      <c r="H337" s="49" t="s">
        <v>983</v>
      </c>
      <c r="I337" s="49" t="s">
        <v>983</v>
      </c>
      <c r="J337" s="49">
        <v>1</v>
      </c>
      <c r="K337" s="49"/>
      <c r="L337" s="49" t="s">
        <v>635</v>
      </c>
    </row>
    <row r="338" spans="2:12" ht="15" hidden="1">
      <c r="B338" s="136">
        <v>44623</v>
      </c>
      <c r="C338" s="49" t="s">
        <v>1127</v>
      </c>
      <c r="D338" s="15" t="s">
        <v>1232</v>
      </c>
      <c r="E338" s="15" t="s">
        <v>57</v>
      </c>
      <c r="F338" s="50">
        <v>1750000</v>
      </c>
      <c r="G338" s="49" t="s">
        <v>911</v>
      </c>
      <c r="H338" s="49" t="s">
        <v>983</v>
      </c>
      <c r="I338" s="49" t="s">
        <v>983</v>
      </c>
      <c r="J338" s="49">
        <v>1</v>
      </c>
      <c r="K338" s="49"/>
      <c r="L338" s="49" t="s">
        <v>635</v>
      </c>
    </row>
    <row r="339" spans="2:12" ht="15" hidden="1">
      <c r="B339" s="136">
        <v>44623</v>
      </c>
      <c r="C339" s="49" t="s">
        <v>1127</v>
      </c>
      <c r="D339" s="15" t="s">
        <v>1233</v>
      </c>
      <c r="E339" s="15" t="s">
        <v>57</v>
      </c>
      <c r="F339" s="50">
        <v>1800000</v>
      </c>
      <c r="G339" s="49" t="s">
        <v>911</v>
      </c>
      <c r="H339" s="49" t="s">
        <v>983</v>
      </c>
      <c r="I339" s="49" t="s">
        <v>983</v>
      </c>
      <c r="J339" s="49">
        <v>1</v>
      </c>
      <c r="K339" s="49"/>
      <c r="L339" s="49" t="s">
        <v>607</v>
      </c>
    </row>
    <row r="340" spans="2:12" ht="15" hidden="1">
      <c r="B340" s="136">
        <v>44623</v>
      </c>
      <c r="C340" s="49" t="s">
        <v>1127</v>
      </c>
      <c r="D340" s="15" t="s">
        <v>1234</v>
      </c>
      <c r="E340" s="15" t="s">
        <v>57</v>
      </c>
      <c r="F340" s="50">
        <v>2200000</v>
      </c>
      <c r="G340" s="49" t="s">
        <v>911</v>
      </c>
      <c r="H340" s="49" t="s">
        <v>983</v>
      </c>
      <c r="I340" s="49" t="s">
        <v>983</v>
      </c>
      <c r="J340" s="49">
        <v>1</v>
      </c>
      <c r="K340" s="49"/>
      <c r="L340" s="49" t="s">
        <v>635</v>
      </c>
    </row>
    <row r="341" spans="2:12" ht="15" hidden="1">
      <c r="B341" s="136">
        <v>44637</v>
      </c>
      <c r="C341" s="49" t="s">
        <v>1127</v>
      </c>
      <c r="D341" s="15" t="s">
        <v>1235</v>
      </c>
      <c r="E341" s="15" t="s">
        <v>906</v>
      </c>
      <c r="F341" s="50">
        <v>1500000</v>
      </c>
      <c r="G341" s="49" t="s">
        <v>911</v>
      </c>
      <c r="H341" s="49" t="s">
        <v>908</v>
      </c>
      <c r="I341" s="49" t="s">
        <v>908</v>
      </c>
      <c r="J341" s="49">
        <v>1</v>
      </c>
      <c r="K341" s="49"/>
      <c r="L341" s="49" t="s">
        <v>635</v>
      </c>
    </row>
    <row r="342" spans="2:12" ht="15" hidden="1">
      <c r="B342" s="136">
        <v>44637</v>
      </c>
      <c r="C342" s="49" t="s">
        <v>1127</v>
      </c>
      <c r="D342" s="15" t="s">
        <v>1236</v>
      </c>
      <c r="E342" s="15" t="s">
        <v>906</v>
      </c>
      <c r="F342" s="50">
        <v>1400000</v>
      </c>
      <c r="G342" s="49" t="s">
        <v>911</v>
      </c>
      <c r="H342" s="49" t="s">
        <v>908</v>
      </c>
      <c r="I342" s="49" t="s">
        <v>908</v>
      </c>
      <c r="J342" s="49">
        <v>1</v>
      </c>
      <c r="K342" s="49"/>
      <c r="L342" s="49" t="s">
        <v>635</v>
      </c>
    </row>
    <row r="343" spans="2:12" ht="18.75" hidden="1">
      <c r="B343" s="1097" t="s">
        <v>32</v>
      </c>
      <c r="C343" s="1097"/>
      <c r="D343" s="1097"/>
      <c r="E343" s="1097"/>
      <c r="F343" s="1097"/>
      <c r="G343" s="1097"/>
      <c r="H343" s="1097"/>
      <c r="I343" s="1097"/>
      <c r="J343" s="327">
        <f>SUM(J336:J341)</f>
        <v>6</v>
      </c>
      <c r="K343" s="327">
        <f>SUM(K336:K340)</f>
        <v>0</v>
      </c>
      <c r="L343" s="327">
        <f>J343+K343</f>
        <v>6</v>
      </c>
    </row>
    <row r="344" spans="2:12" hidden="1"/>
    <row r="345" spans="2:12" hidden="1"/>
    <row r="346" spans="2:12" hidden="1"/>
    <row r="348" spans="2:12" ht="32.25" customHeight="1">
      <c r="B348" s="987" t="s">
        <v>172</v>
      </c>
      <c r="C348" s="987"/>
      <c r="D348" s="987"/>
      <c r="E348" s="987"/>
      <c r="F348" s="987"/>
      <c r="G348" s="987"/>
      <c r="H348" s="987"/>
      <c r="I348" s="987"/>
      <c r="J348" s="987"/>
      <c r="K348" s="987"/>
      <c r="L348" s="987"/>
    </row>
    <row r="349" spans="2:12" hidden="1"/>
    <row r="350" spans="2:12" hidden="1"/>
    <row r="351" spans="2:12" hidden="1"/>
    <row r="352" spans="2:12" ht="18.75" hidden="1">
      <c r="B352" s="1101" t="s">
        <v>1237</v>
      </c>
      <c r="C352" s="1101"/>
      <c r="D352" s="1101"/>
      <c r="E352" s="1101"/>
      <c r="F352" s="1101"/>
      <c r="G352" s="1101"/>
      <c r="H352" s="1101"/>
      <c r="I352" s="1101"/>
      <c r="J352" s="1101"/>
      <c r="K352" s="1101"/>
      <c r="L352" s="1101"/>
    </row>
    <row r="353" spans="2:12" ht="18.75" hidden="1">
      <c r="B353" s="137" t="s">
        <v>892</v>
      </c>
      <c r="C353" s="138" t="s">
        <v>893</v>
      </c>
      <c r="D353" s="138" t="s">
        <v>894</v>
      </c>
      <c r="E353" s="138" t="s">
        <v>895</v>
      </c>
      <c r="F353" s="139" t="s">
        <v>896</v>
      </c>
      <c r="G353" s="138" t="s">
        <v>897</v>
      </c>
      <c r="H353" s="138" t="s">
        <v>898</v>
      </c>
      <c r="I353" s="138" t="s">
        <v>899</v>
      </c>
      <c r="J353" s="138" t="s">
        <v>900</v>
      </c>
      <c r="K353" s="138" t="s">
        <v>901</v>
      </c>
      <c r="L353" s="138" t="s">
        <v>902</v>
      </c>
    </row>
    <row r="354" spans="2:12" ht="15" hidden="1">
      <c r="B354" s="377">
        <v>44648</v>
      </c>
      <c r="C354" s="378" t="s">
        <v>904</v>
      </c>
      <c r="D354" s="286" t="s">
        <v>1238</v>
      </c>
      <c r="E354" s="286" t="s">
        <v>906</v>
      </c>
      <c r="F354" s="379">
        <v>3500000</v>
      </c>
      <c r="G354" s="378" t="s">
        <v>907</v>
      </c>
      <c r="H354" s="378" t="s">
        <v>908</v>
      </c>
      <c r="I354" s="378" t="s">
        <v>908</v>
      </c>
      <c r="J354" s="378">
        <v>1</v>
      </c>
      <c r="K354" s="378"/>
      <c r="L354" s="378" t="s">
        <v>633</v>
      </c>
    </row>
    <row r="355" spans="2:12" ht="15" hidden="1">
      <c r="B355" s="377">
        <v>44651</v>
      </c>
      <c r="C355" s="378" t="s">
        <v>904</v>
      </c>
      <c r="D355" s="286" t="s">
        <v>1239</v>
      </c>
      <c r="E355" s="286" t="s">
        <v>906</v>
      </c>
      <c r="F355" s="379">
        <v>1200000</v>
      </c>
      <c r="G355" s="378" t="s">
        <v>911</v>
      </c>
      <c r="H355" s="378" t="s">
        <v>908</v>
      </c>
      <c r="I355" s="378" t="s">
        <v>908</v>
      </c>
      <c r="J355" s="378">
        <v>1</v>
      </c>
      <c r="K355" s="378"/>
      <c r="L355" s="378" t="s">
        <v>607</v>
      </c>
    </row>
    <row r="356" spans="2:12" ht="15" hidden="1">
      <c r="B356" s="377">
        <v>44652</v>
      </c>
      <c r="C356" s="378" t="s">
        <v>904</v>
      </c>
      <c r="D356" s="286" t="s">
        <v>1240</v>
      </c>
      <c r="E356" s="286" t="s">
        <v>906</v>
      </c>
      <c r="F356" s="379">
        <v>1900000</v>
      </c>
      <c r="G356" s="378" t="s">
        <v>907</v>
      </c>
      <c r="H356" s="378" t="s">
        <v>908</v>
      </c>
      <c r="I356" s="378" t="s">
        <v>908</v>
      </c>
      <c r="J356" s="378">
        <v>1</v>
      </c>
      <c r="K356" s="378"/>
      <c r="L356" s="378" t="s">
        <v>607</v>
      </c>
    </row>
    <row r="357" spans="2:12" ht="15" hidden="1">
      <c r="B357" s="377">
        <v>44655</v>
      </c>
      <c r="C357" s="378" t="s">
        <v>1127</v>
      </c>
      <c r="D357" s="286" t="s">
        <v>1241</v>
      </c>
      <c r="E357" s="286" t="s">
        <v>906</v>
      </c>
      <c r="F357" s="379">
        <v>4700000</v>
      </c>
      <c r="G357" s="378" t="s">
        <v>907</v>
      </c>
      <c r="H357" s="378" t="s">
        <v>908</v>
      </c>
      <c r="I357" s="378" t="s">
        <v>908</v>
      </c>
      <c r="J357" s="378">
        <v>1</v>
      </c>
      <c r="K357" s="378"/>
      <c r="L357" s="378" t="s">
        <v>607</v>
      </c>
    </row>
    <row r="358" spans="2:12" ht="15" hidden="1">
      <c r="B358" s="377">
        <v>44655</v>
      </c>
      <c r="C358" s="378" t="s">
        <v>904</v>
      </c>
      <c r="D358" s="286" t="s">
        <v>1242</v>
      </c>
      <c r="E358" s="286" t="s">
        <v>906</v>
      </c>
      <c r="F358" s="379">
        <v>2000000</v>
      </c>
      <c r="G358" s="378" t="s">
        <v>907</v>
      </c>
      <c r="H358" s="378" t="s">
        <v>908</v>
      </c>
      <c r="I358" s="378" t="s">
        <v>908</v>
      </c>
      <c r="J358" s="378">
        <v>1</v>
      </c>
      <c r="K358" s="378"/>
      <c r="L358" s="378" t="s">
        <v>533</v>
      </c>
    </row>
    <row r="359" spans="2:12" ht="15" hidden="1">
      <c r="B359" s="377">
        <v>44658</v>
      </c>
      <c r="C359" s="378" t="s">
        <v>904</v>
      </c>
      <c r="D359" s="286" t="s">
        <v>1243</v>
      </c>
      <c r="E359" s="286" t="s">
        <v>1094</v>
      </c>
      <c r="F359" s="379">
        <v>1500000</v>
      </c>
      <c r="G359" s="378" t="s">
        <v>911</v>
      </c>
      <c r="H359" s="378" t="s">
        <v>908</v>
      </c>
      <c r="I359" s="378" t="s">
        <v>908</v>
      </c>
      <c r="J359" s="378">
        <v>1</v>
      </c>
      <c r="K359" s="378"/>
      <c r="L359" s="378" t="s">
        <v>633</v>
      </c>
    </row>
    <row r="360" spans="2:12" ht="15" hidden="1">
      <c r="B360" s="377">
        <v>44659</v>
      </c>
      <c r="C360" s="378" t="s">
        <v>904</v>
      </c>
      <c r="D360" s="286" t="s">
        <v>1244</v>
      </c>
      <c r="E360" s="286" t="s">
        <v>906</v>
      </c>
      <c r="F360" s="379">
        <v>2000000</v>
      </c>
      <c r="G360" s="378" t="s">
        <v>907</v>
      </c>
      <c r="H360" s="378" t="s">
        <v>908</v>
      </c>
      <c r="I360" s="378" t="s">
        <v>908</v>
      </c>
      <c r="J360" s="378">
        <v>1</v>
      </c>
      <c r="K360" s="378"/>
      <c r="L360" s="378" t="s">
        <v>633</v>
      </c>
    </row>
    <row r="361" spans="2:12" ht="15" hidden="1">
      <c r="B361" s="377">
        <v>44662</v>
      </c>
      <c r="C361" s="378" t="s">
        <v>904</v>
      </c>
      <c r="D361" s="286" t="s">
        <v>1245</v>
      </c>
      <c r="E361" s="286" t="s">
        <v>906</v>
      </c>
      <c r="F361" s="379">
        <v>1300000</v>
      </c>
      <c r="G361" s="378" t="s">
        <v>911</v>
      </c>
      <c r="H361" s="378" t="s">
        <v>908</v>
      </c>
      <c r="I361" s="378" t="s">
        <v>908</v>
      </c>
      <c r="J361" s="378">
        <v>1</v>
      </c>
      <c r="K361" s="378"/>
      <c r="L361" s="378" t="s">
        <v>607</v>
      </c>
    </row>
    <row r="362" spans="2:12" ht="15" hidden="1">
      <c r="B362" s="377">
        <v>44664</v>
      </c>
      <c r="C362" s="378" t="s">
        <v>904</v>
      </c>
      <c r="D362" s="286" t="s">
        <v>1246</v>
      </c>
      <c r="E362" s="286" t="s">
        <v>906</v>
      </c>
      <c r="F362" s="379">
        <v>1100000</v>
      </c>
      <c r="G362" s="378" t="s">
        <v>911</v>
      </c>
      <c r="H362" s="378" t="s">
        <v>908</v>
      </c>
      <c r="I362" s="378" t="s">
        <v>908</v>
      </c>
      <c r="J362" s="378">
        <v>1</v>
      </c>
      <c r="K362" s="378"/>
      <c r="L362" s="378" t="s">
        <v>607</v>
      </c>
    </row>
    <row r="363" spans="2:12" ht="15" hidden="1">
      <c r="B363" s="377">
        <v>44664</v>
      </c>
      <c r="C363" s="378" t="s">
        <v>904</v>
      </c>
      <c r="D363" s="286" t="s">
        <v>1247</v>
      </c>
      <c r="E363" s="286" t="s">
        <v>906</v>
      </c>
      <c r="F363" s="379">
        <v>4300000</v>
      </c>
      <c r="G363" s="378" t="s">
        <v>907</v>
      </c>
      <c r="H363" s="378" t="s">
        <v>908</v>
      </c>
      <c r="I363" s="378" t="s">
        <v>908</v>
      </c>
      <c r="J363" s="378">
        <v>1</v>
      </c>
      <c r="K363" s="378"/>
      <c r="L363" s="378" t="s">
        <v>633</v>
      </c>
    </row>
    <row r="364" spans="2:12" ht="15" hidden="1">
      <c r="B364" s="377">
        <v>44664</v>
      </c>
      <c r="C364" s="378" t="s">
        <v>904</v>
      </c>
      <c r="D364" s="286" t="s">
        <v>1248</v>
      </c>
      <c r="E364" s="286" t="s">
        <v>906</v>
      </c>
      <c r="F364" s="379">
        <v>1700000</v>
      </c>
      <c r="G364" s="378" t="s">
        <v>907</v>
      </c>
      <c r="H364" s="378" t="s">
        <v>908</v>
      </c>
      <c r="I364" s="378" t="s">
        <v>908</v>
      </c>
      <c r="J364" s="378">
        <v>1</v>
      </c>
      <c r="K364" s="378"/>
      <c r="L364" s="378" t="s">
        <v>533</v>
      </c>
    </row>
    <row r="365" spans="2:12" ht="15" hidden="1">
      <c r="B365" s="377">
        <v>44670</v>
      </c>
      <c r="C365" s="378" t="s">
        <v>904</v>
      </c>
      <c r="D365" s="286" t="s">
        <v>1249</v>
      </c>
      <c r="E365" s="286" t="s">
        <v>906</v>
      </c>
      <c r="F365" s="379">
        <v>2000000</v>
      </c>
      <c r="G365" s="378" t="s">
        <v>907</v>
      </c>
      <c r="H365" s="378" t="s">
        <v>908</v>
      </c>
      <c r="I365" s="378" t="s">
        <v>908</v>
      </c>
      <c r="J365" s="378">
        <v>1</v>
      </c>
      <c r="K365" s="378"/>
      <c r="L365" s="378" t="s">
        <v>533</v>
      </c>
    </row>
    <row r="366" spans="2:12" ht="15" hidden="1">
      <c r="B366" s="377">
        <v>44670</v>
      </c>
      <c r="C366" s="378" t="s">
        <v>904</v>
      </c>
      <c r="D366" s="286" t="s">
        <v>1250</v>
      </c>
      <c r="E366" s="286" t="s">
        <v>906</v>
      </c>
      <c r="F366" s="379">
        <v>2200000</v>
      </c>
      <c r="G366" s="378" t="s">
        <v>907</v>
      </c>
      <c r="H366" s="378" t="s">
        <v>908</v>
      </c>
      <c r="I366" s="378" t="s">
        <v>908</v>
      </c>
      <c r="J366" s="378">
        <v>1</v>
      </c>
      <c r="K366" s="378"/>
      <c r="L366" s="378" t="s">
        <v>633</v>
      </c>
    </row>
    <row r="367" spans="2:12" ht="15" hidden="1">
      <c r="B367" s="377">
        <v>44670</v>
      </c>
      <c r="C367" s="378" t="s">
        <v>904</v>
      </c>
      <c r="D367" s="286" t="s">
        <v>1251</v>
      </c>
      <c r="E367" s="286" t="s">
        <v>906</v>
      </c>
      <c r="F367" s="379">
        <v>2150000</v>
      </c>
      <c r="G367" s="378" t="s">
        <v>907</v>
      </c>
      <c r="H367" s="378" t="s">
        <v>908</v>
      </c>
      <c r="I367" s="378" t="s">
        <v>908</v>
      </c>
      <c r="J367" s="378">
        <v>1</v>
      </c>
      <c r="K367" s="378"/>
      <c r="L367" s="378" t="s">
        <v>607</v>
      </c>
    </row>
    <row r="368" spans="2:12" ht="15" hidden="1">
      <c r="B368" s="377">
        <v>44670</v>
      </c>
      <c r="C368" s="378" t="s">
        <v>904</v>
      </c>
      <c r="D368" s="286" t="s">
        <v>1252</v>
      </c>
      <c r="E368" s="286" t="s">
        <v>906</v>
      </c>
      <c r="F368" s="379">
        <v>1300000</v>
      </c>
      <c r="G368" s="378" t="s">
        <v>907</v>
      </c>
      <c r="H368" s="378" t="s">
        <v>908</v>
      </c>
      <c r="I368" s="378" t="s">
        <v>908</v>
      </c>
      <c r="J368" s="378">
        <v>1</v>
      </c>
      <c r="K368" s="378"/>
      <c r="L368" s="378" t="s">
        <v>533</v>
      </c>
    </row>
    <row r="369" spans="2:12" ht="15" hidden="1">
      <c r="B369" s="377">
        <v>44671</v>
      </c>
      <c r="C369" s="378" t="s">
        <v>904</v>
      </c>
      <c r="D369" s="286" t="s">
        <v>1253</v>
      </c>
      <c r="E369" s="286" t="s">
        <v>906</v>
      </c>
      <c r="F369" s="379">
        <v>3500000</v>
      </c>
      <c r="G369" s="378" t="s">
        <v>907</v>
      </c>
      <c r="H369" s="378" t="s">
        <v>908</v>
      </c>
      <c r="I369" s="378" t="s">
        <v>908</v>
      </c>
      <c r="J369" s="378">
        <v>1</v>
      </c>
      <c r="K369" s="378"/>
      <c r="L369" s="378" t="s">
        <v>607</v>
      </c>
    </row>
    <row r="370" spans="2:12" ht="15" hidden="1">
      <c r="B370" s="377">
        <v>44671</v>
      </c>
      <c r="C370" s="378" t="s">
        <v>904</v>
      </c>
      <c r="D370" s="286" t="s">
        <v>419</v>
      </c>
      <c r="E370" s="286" t="s">
        <v>906</v>
      </c>
      <c r="F370" s="379">
        <v>2200000</v>
      </c>
      <c r="G370" s="378" t="s">
        <v>907</v>
      </c>
      <c r="H370" s="378" t="s">
        <v>908</v>
      </c>
      <c r="I370" s="378" t="s">
        <v>908</v>
      </c>
      <c r="J370" s="378">
        <v>1</v>
      </c>
      <c r="K370" s="378"/>
      <c r="L370" s="378" t="s">
        <v>633</v>
      </c>
    </row>
    <row r="371" spans="2:12" ht="15" hidden="1">
      <c r="B371" s="377">
        <v>44671</v>
      </c>
      <c r="C371" s="378" t="s">
        <v>904</v>
      </c>
      <c r="D371" s="286" t="s">
        <v>654</v>
      </c>
      <c r="E371" s="286" t="s">
        <v>906</v>
      </c>
      <c r="F371" s="379">
        <v>3300000</v>
      </c>
      <c r="G371" s="378" t="s">
        <v>907</v>
      </c>
      <c r="H371" s="378" t="s">
        <v>908</v>
      </c>
      <c r="I371" s="378" t="s">
        <v>908</v>
      </c>
      <c r="J371" s="378">
        <v>1</v>
      </c>
      <c r="K371" s="378"/>
      <c r="L371" s="378" t="s">
        <v>533</v>
      </c>
    </row>
    <row r="372" spans="2:12" ht="15" hidden="1">
      <c r="B372" s="377">
        <v>44671</v>
      </c>
      <c r="C372" s="378" t="s">
        <v>904</v>
      </c>
      <c r="D372" s="286" t="s">
        <v>1254</v>
      </c>
      <c r="E372" s="286" t="s">
        <v>906</v>
      </c>
      <c r="F372" s="379">
        <v>1800000</v>
      </c>
      <c r="G372" s="378" t="s">
        <v>911</v>
      </c>
      <c r="H372" s="378" t="s">
        <v>908</v>
      </c>
      <c r="I372" s="378" t="s">
        <v>908</v>
      </c>
      <c r="J372" s="378">
        <v>1</v>
      </c>
      <c r="K372" s="378"/>
      <c r="L372" s="378" t="s">
        <v>633</v>
      </c>
    </row>
    <row r="373" spans="2:12" ht="15" hidden="1">
      <c r="B373" s="377">
        <v>44672</v>
      </c>
      <c r="C373" s="378" t="s">
        <v>904</v>
      </c>
      <c r="D373" s="286" t="s">
        <v>1255</v>
      </c>
      <c r="E373" s="286" t="s">
        <v>906</v>
      </c>
      <c r="F373" s="379">
        <v>1800000</v>
      </c>
      <c r="G373" s="378" t="s">
        <v>907</v>
      </c>
      <c r="H373" s="378" t="s">
        <v>908</v>
      </c>
      <c r="I373" s="378" t="s">
        <v>908</v>
      </c>
      <c r="J373" s="378">
        <v>1</v>
      </c>
      <c r="K373" s="378"/>
      <c r="L373" s="378" t="s">
        <v>633</v>
      </c>
    </row>
    <row r="374" spans="2:12" ht="15" hidden="1">
      <c r="B374" s="380">
        <v>44648</v>
      </c>
      <c r="C374" s="381" t="s">
        <v>904</v>
      </c>
      <c r="D374" s="382" t="s">
        <v>1256</v>
      </c>
      <c r="E374" s="382" t="s">
        <v>906</v>
      </c>
      <c r="F374" s="383">
        <v>610000000</v>
      </c>
      <c r="G374" s="381" t="s">
        <v>911</v>
      </c>
      <c r="H374" s="381" t="s">
        <v>908</v>
      </c>
      <c r="I374" s="381" t="s">
        <v>908</v>
      </c>
      <c r="J374" s="381"/>
      <c r="K374" s="381">
        <v>1</v>
      </c>
      <c r="L374" s="381" t="s">
        <v>1029</v>
      </c>
    </row>
    <row r="375" spans="2:12" ht="15" hidden="1">
      <c r="B375" s="380">
        <v>44648</v>
      </c>
      <c r="C375" s="381" t="s">
        <v>904</v>
      </c>
      <c r="D375" s="382" t="s">
        <v>1257</v>
      </c>
      <c r="E375" s="382" t="s">
        <v>906</v>
      </c>
      <c r="F375" s="383">
        <v>383000000</v>
      </c>
      <c r="G375" s="381" t="s">
        <v>907</v>
      </c>
      <c r="H375" s="381" t="s">
        <v>908</v>
      </c>
      <c r="I375" s="381" t="s">
        <v>908</v>
      </c>
      <c r="J375" s="381"/>
      <c r="K375" s="381">
        <v>1</v>
      </c>
      <c r="L375" s="381" t="s">
        <v>1029</v>
      </c>
    </row>
    <row r="376" spans="2:12" ht="15" hidden="1">
      <c r="B376" s="380">
        <v>44649</v>
      </c>
      <c r="C376" s="381" t="s">
        <v>904</v>
      </c>
      <c r="D376" s="382" t="s">
        <v>1258</v>
      </c>
      <c r="E376" s="382" t="s">
        <v>906</v>
      </c>
      <c r="F376" s="383">
        <v>230000000</v>
      </c>
      <c r="G376" s="381" t="s">
        <v>911</v>
      </c>
      <c r="H376" s="381" t="s">
        <v>908</v>
      </c>
      <c r="I376" s="381" t="s">
        <v>908</v>
      </c>
      <c r="J376" s="381"/>
      <c r="K376" s="381">
        <v>1</v>
      </c>
      <c r="L376" s="381" t="s">
        <v>1029</v>
      </c>
    </row>
    <row r="377" spans="2:12" ht="15" hidden="1">
      <c r="B377" s="380">
        <v>44658</v>
      </c>
      <c r="C377" s="381" t="s">
        <v>904</v>
      </c>
      <c r="D377" s="382" t="s">
        <v>1259</v>
      </c>
      <c r="E377" s="382" t="s">
        <v>1094</v>
      </c>
      <c r="F377" s="383">
        <v>290000000</v>
      </c>
      <c r="G377" s="381" t="s">
        <v>911</v>
      </c>
      <c r="H377" s="381" t="s">
        <v>908</v>
      </c>
      <c r="I377" s="381" t="s">
        <v>908</v>
      </c>
      <c r="J377" s="381"/>
      <c r="K377" s="381"/>
      <c r="L377" s="381" t="s">
        <v>1029</v>
      </c>
    </row>
    <row r="378" spans="2:12" ht="18.75" hidden="1">
      <c r="B378" s="1097" t="s">
        <v>32</v>
      </c>
      <c r="C378" s="1097"/>
      <c r="D378" s="1097"/>
      <c r="E378" s="1097"/>
      <c r="F378" s="1097"/>
      <c r="G378" s="1097"/>
      <c r="H378" s="1097"/>
      <c r="I378" s="1097"/>
      <c r="J378" s="94">
        <f>SUM(J354:J377)</f>
        <v>20</v>
      </c>
      <c r="K378" s="94">
        <f>SUM(K374:K377)</f>
        <v>3</v>
      </c>
      <c r="L378" s="94"/>
    </row>
    <row r="379" spans="2:12" ht="15" hidden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 spans="2:12" ht="18.75" hidden="1">
      <c r="B380" s="1102" t="s">
        <v>1260</v>
      </c>
      <c r="C380" s="1102"/>
      <c r="D380" s="1102"/>
      <c r="E380" s="1102"/>
      <c r="F380" s="1102"/>
      <c r="G380" s="1102"/>
      <c r="H380" s="1102"/>
      <c r="I380" s="1102"/>
      <c r="J380" s="1102"/>
      <c r="K380" s="1102"/>
      <c r="L380" s="1102"/>
    </row>
    <row r="381" spans="2:12" ht="18.75" hidden="1">
      <c r="B381" s="137" t="s">
        <v>892</v>
      </c>
      <c r="C381" s="138" t="s">
        <v>893</v>
      </c>
      <c r="D381" s="138" t="s">
        <v>894</v>
      </c>
      <c r="E381" s="138" t="s">
        <v>895</v>
      </c>
      <c r="F381" s="139" t="s">
        <v>896</v>
      </c>
      <c r="G381" s="138" t="s">
        <v>897</v>
      </c>
      <c r="H381" s="138" t="s">
        <v>898</v>
      </c>
      <c r="I381" s="138" t="s">
        <v>899</v>
      </c>
      <c r="J381" s="138" t="s">
        <v>900</v>
      </c>
      <c r="K381" s="138" t="s">
        <v>901</v>
      </c>
      <c r="L381" s="138" t="s">
        <v>902</v>
      </c>
    </row>
    <row r="382" spans="2:12" ht="15" hidden="1">
      <c r="B382" s="377">
        <v>44650</v>
      </c>
      <c r="C382" s="378" t="s">
        <v>904</v>
      </c>
      <c r="D382" s="286" t="s">
        <v>1261</v>
      </c>
      <c r="E382" s="286" t="s">
        <v>906</v>
      </c>
      <c r="F382" s="379">
        <v>1700000</v>
      </c>
      <c r="G382" s="378" t="s">
        <v>1091</v>
      </c>
      <c r="H382" s="378" t="s">
        <v>908</v>
      </c>
      <c r="I382" s="378" t="s">
        <v>908</v>
      </c>
      <c r="J382" s="378">
        <v>1</v>
      </c>
      <c r="K382" s="378"/>
      <c r="L382" s="378" t="s">
        <v>633</v>
      </c>
    </row>
    <row r="383" spans="2:12" ht="15" hidden="1">
      <c r="B383" s="377">
        <v>44655</v>
      </c>
      <c r="C383" s="378" t="s">
        <v>904</v>
      </c>
      <c r="D383" s="286" t="s">
        <v>1262</v>
      </c>
      <c r="E383" s="286" t="s">
        <v>906</v>
      </c>
      <c r="F383" s="379">
        <v>1900000</v>
      </c>
      <c r="G383" s="378" t="s">
        <v>911</v>
      </c>
      <c r="H383" s="378" t="s">
        <v>908</v>
      </c>
      <c r="I383" s="378" t="s">
        <v>908</v>
      </c>
      <c r="J383" s="378">
        <v>1</v>
      </c>
      <c r="K383" s="378"/>
      <c r="L383" s="378" t="s">
        <v>633</v>
      </c>
    </row>
    <row r="384" spans="2:12" ht="15" hidden="1">
      <c r="B384" s="377">
        <v>44656</v>
      </c>
      <c r="C384" s="378" t="s">
        <v>904</v>
      </c>
      <c r="D384" s="286" t="s">
        <v>1263</v>
      </c>
      <c r="E384" s="286" t="s">
        <v>1012</v>
      </c>
      <c r="F384" s="379">
        <v>1000000</v>
      </c>
      <c r="G384" s="378" t="s">
        <v>911</v>
      </c>
      <c r="H384" s="378" t="s">
        <v>908</v>
      </c>
      <c r="I384" s="378" t="s">
        <v>908</v>
      </c>
      <c r="J384" s="378">
        <v>1</v>
      </c>
      <c r="K384" s="378"/>
      <c r="L384" s="378" t="s">
        <v>633</v>
      </c>
    </row>
    <row r="385" spans="2:13" ht="15" hidden="1">
      <c r="B385" s="377">
        <v>44685</v>
      </c>
      <c r="C385" s="378" t="s">
        <v>904</v>
      </c>
      <c r="D385" s="286" t="s">
        <v>1264</v>
      </c>
      <c r="E385" s="286" t="s">
        <v>906</v>
      </c>
      <c r="F385" s="379">
        <v>1400000</v>
      </c>
      <c r="G385" s="378" t="s">
        <v>907</v>
      </c>
      <c r="H385" s="378" t="s">
        <v>908</v>
      </c>
      <c r="I385" s="378" t="s">
        <v>908</v>
      </c>
      <c r="J385" s="378">
        <v>1</v>
      </c>
      <c r="K385" s="378"/>
      <c r="L385" s="378" t="s">
        <v>533</v>
      </c>
    </row>
    <row r="386" spans="2:13" ht="15" hidden="1">
      <c r="B386" s="377">
        <v>44656</v>
      </c>
      <c r="C386" s="378" t="s">
        <v>904</v>
      </c>
      <c r="D386" s="286" t="s">
        <v>1265</v>
      </c>
      <c r="E386" s="286" t="s">
        <v>906</v>
      </c>
      <c r="F386" s="379">
        <v>2300000</v>
      </c>
      <c r="G386" s="378" t="s">
        <v>907</v>
      </c>
      <c r="H386" s="378" t="s">
        <v>908</v>
      </c>
      <c r="I386" s="378" t="s">
        <v>908</v>
      </c>
      <c r="J386" s="378">
        <v>1</v>
      </c>
      <c r="K386" s="378"/>
      <c r="L386" s="378" t="s">
        <v>633</v>
      </c>
    </row>
    <row r="387" spans="2:13" ht="15" hidden="1">
      <c r="B387" s="377">
        <v>44657</v>
      </c>
      <c r="C387" s="378" t="s">
        <v>904</v>
      </c>
      <c r="D387" s="286" t="s">
        <v>1266</v>
      </c>
      <c r="E387" s="286" t="s">
        <v>906</v>
      </c>
      <c r="F387" s="379">
        <v>2400000</v>
      </c>
      <c r="G387" s="378" t="s">
        <v>907</v>
      </c>
      <c r="H387" s="378" t="s">
        <v>983</v>
      </c>
      <c r="I387" s="378" t="s">
        <v>908</v>
      </c>
      <c r="J387" s="378">
        <v>1</v>
      </c>
      <c r="K387" s="378"/>
      <c r="L387" s="378" t="s">
        <v>633</v>
      </c>
    </row>
    <row r="388" spans="2:13" ht="15" hidden="1">
      <c r="B388" s="377">
        <v>44658</v>
      </c>
      <c r="C388" s="378" t="s">
        <v>904</v>
      </c>
      <c r="D388" s="286" t="s">
        <v>1267</v>
      </c>
      <c r="E388" s="286" t="s">
        <v>1163</v>
      </c>
      <c r="F388" s="379">
        <v>1500000</v>
      </c>
      <c r="G388" s="378" t="s">
        <v>911</v>
      </c>
      <c r="H388" s="378" t="s">
        <v>908</v>
      </c>
      <c r="I388" s="378" t="s">
        <v>908</v>
      </c>
      <c r="J388" s="378">
        <v>1</v>
      </c>
      <c r="K388" s="378"/>
      <c r="L388" s="378" t="s">
        <v>607</v>
      </c>
    </row>
    <row r="389" spans="2:13" ht="15" hidden="1">
      <c r="B389" s="384">
        <v>44662</v>
      </c>
      <c r="C389" s="385" t="s">
        <v>904</v>
      </c>
      <c r="D389" s="286" t="s">
        <v>1268</v>
      </c>
      <c r="E389" s="386" t="s">
        <v>906</v>
      </c>
      <c r="F389" s="387">
        <v>2000000</v>
      </c>
      <c r="G389" s="385" t="s">
        <v>907</v>
      </c>
      <c r="H389" s="385" t="s">
        <v>908</v>
      </c>
      <c r="I389" s="385" t="s">
        <v>908</v>
      </c>
      <c r="J389" s="385"/>
      <c r="K389" s="385"/>
      <c r="L389" s="385" t="s">
        <v>633</v>
      </c>
      <c r="M389" s="375" t="s">
        <v>1269</v>
      </c>
    </row>
    <row r="390" spans="2:13" ht="15" hidden="1">
      <c r="B390" s="377">
        <v>44669</v>
      </c>
      <c r="C390" s="378" t="s">
        <v>904</v>
      </c>
      <c r="D390" s="286" t="s">
        <v>1270</v>
      </c>
      <c r="E390" s="286" t="s">
        <v>906</v>
      </c>
      <c r="F390" s="379">
        <v>1400000</v>
      </c>
      <c r="G390" s="378" t="s">
        <v>907</v>
      </c>
      <c r="H390" s="378" t="s">
        <v>908</v>
      </c>
      <c r="I390" s="378" t="s">
        <v>908</v>
      </c>
      <c r="J390" s="378">
        <v>1</v>
      </c>
      <c r="K390" s="378"/>
      <c r="L390" s="378" t="s">
        <v>607</v>
      </c>
    </row>
    <row r="391" spans="2:13" ht="15" hidden="1">
      <c r="B391" s="377">
        <v>44669</v>
      </c>
      <c r="C391" s="378" t="s">
        <v>904</v>
      </c>
      <c r="D391" s="286" t="s">
        <v>1271</v>
      </c>
      <c r="E391" s="286" t="s">
        <v>906</v>
      </c>
      <c r="F391" s="379">
        <v>2200000</v>
      </c>
      <c r="G391" s="378" t="s">
        <v>907</v>
      </c>
      <c r="H391" s="378" t="s">
        <v>908</v>
      </c>
      <c r="I391" s="378" t="s">
        <v>908</v>
      </c>
      <c r="J391" s="378">
        <v>1</v>
      </c>
      <c r="K391" s="378"/>
      <c r="L391" s="378" t="s">
        <v>633</v>
      </c>
    </row>
    <row r="392" spans="2:13" ht="15" hidden="1">
      <c r="B392" s="377">
        <v>44670</v>
      </c>
      <c r="C392" s="378" t="s">
        <v>1127</v>
      </c>
      <c r="D392" s="286" t="s">
        <v>1272</v>
      </c>
      <c r="E392" s="286" t="s">
        <v>906</v>
      </c>
      <c r="F392" s="379">
        <v>1350000</v>
      </c>
      <c r="G392" s="378" t="s">
        <v>907</v>
      </c>
      <c r="H392" s="378" t="s">
        <v>908</v>
      </c>
      <c r="I392" s="378" t="s">
        <v>908</v>
      </c>
      <c r="J392" s="378">
        <v>1</v>
      </c>
      <c r="K392" s="378"/>
      <c r="L392" s="378" t="s">
        <v>633</v>
      </c>
    </row>
    <row r="393" spans="2:13" ht="15" hidden="1">
      <c r="B393" s="377">
        <v>44673</v>
      </c>
      <c r="C393" s="378" t="s">
        <v>904</v>
      </c>
      <c r="D393" s="286" t="s">
        <v>1273</v>
      </c>
      <c r="E393" s="286" t="s">
        <v>906</v>
      </c>
      <c r="F393" s="379">
        <v>3000000</v>
      </c>
      <c r="G393" s="378" t="s">
        <v>907</v>
      </c>
      <c r="H393" s="378" t="s">
        <v>908</v>
      </c>
      <c r="I393" s="378" t="s">
        <v>908</v>
      </c>
      <c r="J393" s="378">
        <v>1</v>
      </c>
      <c r="K393" s="378"/>
      <c r="L393" s="378" t="s">
        <v>633</v>
      </c>
    </row>
    <row r="394" spans="2:13" ht="15" hidden="1">
      <c r="B394" s="377">
        <v>44674</v>
      </c>
      <c r="C394" s="378" t="s">
        <v>904</v>
      </c>
      <c r="D394" s="286" t="s">
        <v>1274</v>
      </c>
      <c r="E394" s="286" t="s">
        <v>906</v>
      </c>
      <c r="F394" s="379">
        <v>1600000</v>
      </c>
      <c r="G394" s="378" t="s">
        <v>907</v>
      </c>
      <c r="H394" s="378" t="s">
        <v>908</v>
      </c>
      <c r="I394" s="378" t="s">
        <v>908</v>
      </c>
      <c r="J394" s="378">
        <v>1</v>
      </c>
      <c r="K394" s="378"/>
      <c r="L394" s="378" t="s">
        <v>607</v>
      </c>
    </row>
    <row r="395" spans="2:13" ht="15" hidden="1">
      <c r="B395" s="377">
        <v>44676</v>
      </c>
      <c r="C395" s="378" t="s">
        <v>904</v>
      </c>
      <c r="D395" s="286" t="s">
        <v>1275</v>
      </c>
      <c r="E395" s="286" t="s">
        <v>906</v>
      </c>
      <c r="F395" s="379">
        <v>2100000</v>
      </c>
      <c r="G395" s="378" t="s">
        <v>907</v>
      </c>
      <c r="H395" s="378" t="s">
        <v>908</v>
      </c>
      <c r="I395" s="378" t="s">
        <v>908</v>
      </c>
      <c r="J395" s="378">
        <v>1</v>
      </c>
      <c r="K395" s="378"/>
      <c r="L395" s="378" t="s">
        <v>633</v>
      </c>
    </row>
    <row r="396" spans="2:13" ht="15" hidden="1">
      <c r="B396" s="377">
        <v>44676</v>
      </c>
      <c r="C396" s="378" t="s">
        <v>904</v>
      </c>
      <c r="D396" s="286" t="s">
        <v>1276</v>
      </c>
      <c r="E396" s="286" t="s">
        <v>906</v>
      </c>
      <c r="F396" s="379">
        <v>2300000</v>
      </c>
      <c r="G396" s="378" t="s">
        <v>907</v>
      </c>
      <c r="H396" s="378" t="s">
        <v>908</v>
      </c>
      <c r="I396" s="378" t="s">
        <v>908</v>
      </c>
      <c r="J396" s="378">
        <v>1</v>
      </c>
      <c r="K396" s="378"/>
      <c r="L396" s="378" t="s">
        <v>533</v>
      </c>
    </row>
    <row r="397" spans="2:13" ht="15" hidden="1">
      <c r="B397" s="377">
        <v>44676</v>
      </c>
      <c r="C397" s="378" t="s">
        <v>904</v>
      </c>
      <c r="D397" s="286" t="s">
        <v>1277</v>
      </c>
      <c r="E397" s="286" t="s">
        <v>906</v>
      </c>
      <c r="F397" s="379">
        <v>1800000</v>
      </c>
      <c r="G397" s="378" t="s">
        <v>907</v>
      </c>
      <c r="H397" s="378" t="s">
        <v>908</v>
      </c>
      <c r="I397" s="378" t="s">
        <v>908</v>
      </c>
      <c r="J397" s="378">
        <v>1</v>
      </c>
      <c r="K397" s="378"/>
      <c r="L397" s="378" t="s">
        <v>607</v>
      </c>
    </row>
    <row r="398" spans="2:13" ht="15" hidden="1">
      <c r="B398" s="377"/>
      <c r="C398" s="378"/>
      <c r="D398" s="286"/>
      <c r="E398" s="286"/>
      <c r="F398" s="379"/>
      <c r="G398" s="378"/>
      <c r="H398" s="378"/>
      <c r="I398" s="378"/>
      <c r="J398" s="378"/>
      <c r="K398" s="378"/>
      <c r="L398" s="378"/>
    </row>
    <row r="399" spans="2:13" ht="15" hidden="1">
      <c r="B399" s="377"/>
      <c r="C399" s="378"/>
      <c r="D399" s="286"/>
      <c r="E399" s="286"/>
      <c r="F399" s="379"/>
      <c r="G399" s="378"/>
      <c r="H399" s="378"/>
      <c r="I399" s="378"/>
      <c r="J399" s="378"/>
      <c r="K399" s="378"/>
      <c r="L399" s="378"/>
    </row>
    <row r="400" spans="2:13" ht="15" hidden="1">
      <c r="B400" s="377"/>
      <c r="C400" s="378"/>
      <c r="D400" s="286"/>
      <c r="E400" s="286"/>
      <c r="F400" s="379"/>
      <c r="G400" s="378"/>
      <c r="H400" s="378"/>
      <c r="I400" s="378"/>
      <c r="J400" s="378"/>
      <c r="K400" s="378"/>
      <c r="L400" s="378"/>
    </row>
    <row r="401" spans="2:12" ht="15" hidden="1">
      <c r="B401" s="380">
        <v>44648</v>
      </c>
      <c r="C401" s="381" t="s">
        <v>1127</v>
      </c>
      <c r="D401" s="382" t="s">
        <v>1278</v>
      </c>
      <c r="E401" s="382" t="s">
        <v>906</v>
      </c>
      <c r="F401" s="383">
        <v>200000000</v>
      </c>
      <c r="G401" s="381" t="s">
        <v>907</v>
      </c>
      <c r="H401" s="381" t="s">
        <v>908</v>
      </c>
      <c r="I401" s="381" t="s">
        <v>908</v>
      </c>
      <c r="J401" s="381"/>
      <c r="K401" s="381">
        <v>1</v>
      </c>
      <c r="L401" s="381" t="s">
        <v>1029</v>
      </c>
    </row>
    <row r="402" spans="2:12" ht="15" hidden="1">
      <c r="B402" s="380">
        <v>44648</v>
      </c>
      <c r="C402" s="381" t="s">
        <v>1127</v>
      </c>
      <c r="D402" s="382" t="s">
        <v>1279</v>
      </c>
      <c r="E402" s="382" t="s">
        <v>1280</v>
      </c>
      <c r="F402" s="383">
        <v>250000000</v>
      </c>
      <c r="G402" s="381" t="s">
        <v>911</v>
      </c>
      <c r="H402" s="381" t="s">
        <v>908</v>
      </c>
      <c r="I402" s="381" t="s">
        <v>908</v>
      </c>
      <c r="J402" s="381"/>
      <c r="K402" s="381"/>
      <c r="L402" s="381" t="s">
        <v>1029</v>
      </c>
    </row>
    <row r="403" spans="2:12" ht="15" hidden="1">
      <c r="B403" s="380">
        <v>44655</v>
      </c>
      <c r="C403" s="381" t="s">
        <v>904</v>
      </c>
      <c r="D403" s="382" t="s">
        <v>1281</v>
      </c>
      <c r="E403" s="382" t="s">
        <v>906</v>
      </c>
      <c r="F403" s="383">
        <v>415000000</v>
      </c>
      <c r="G403" s="381" t="s">
        <v>911</v>
      </c>
      <c r="H403" s="381" t="s">
        <v>908</v>
      </c>
      <c r="I403" s="381" t="s">
        <v>908</v>
      </c>
      <c r="J403" s="381"/>
      <c r="K403" s="381">
        <v>1</v>
      </c>
      <c r="L403" s="381" t="s">
        <v>1029</v>
      </c>
    </row>
    <row r="404" spans="2:12" ht="15" hidden="1">
      <c r="B404" s="388">
        <v>44656</v>
      </c>
      <c r="C404" s="389" t="s">
        <v>904</v>
      </c>
      <c r="D404" s="390" t="s">
        <v>1265</v>
      </c>
      <c r="E404" s="390" t="s">
        <v>906</v>
      </c>
      <c r="F404" s="391">
        <v>490000000</v>
      </c>
      <c r="G404" s="389" t="s">
        <v>907</v>
      </c>
      <c r="H404" s="389" t="s">
        <v>908</v>
      </c>
      <c r="I404" s="389" t="s">
        <v>908</v>
      </c>
      <c r="J404" s="389"/>
      <c r="K404" s="389">
        <v>1</v>
      </c>
      <c r="L404" s="389" t="s">
        <v>633</v>
      </c>
    </row>
    <row r="405" spans="2:12" ht="15" hidden="1">
      <c r="B405" s="380">
        <v>44673</v>
      </c>
      <c r="C405" s="381" t="s">
        <v>904</v>
      </c>
      <c r="D405" s="382" t="s">
        <v>1273</v>
      </c>
      <c r="E405" s="382" t="s">
        <v>906</v>
      </c>
      <c r="F405" s="383">
        <v>500000000</v>
      </c>
      <c r="G405" s="381" t="s">
        <v>907</v>
      </c>
      <c r="H405" s="381" t="s">
        <v>908</v>
      </c>
      <c r="I405" s="381" t="s">
        <v>908</v>
      </c>
      <c r="J405" s="381"/>
      <c r="K405" s="381">
        <v>1</v>
      </c>
      <c r="L405" s="381" t="s">
        <v>1029</v>
      </c>
    </row>
    <row r="406" spans="2:12" ht="18.75" hidden="1">
      <c r="B406" s="1097" t="s">
        <v>32</v>
      </c>
      <c r="C406" s="1097"/>
      <c r="D406" s="1097"/>
      <c r="E406" s="1097"/>
      <c r="F406" s="1097"/>
      <c r="G406" s="1097"/>
      <c r="H406" s="1097"/>
      <c r="I406" s="1097"/>
      <c r="J406" s="96">
        <f>SUM(J382:J405)</f>
        <v>15</v>
      </c>
      <c r="K406" s="335">
        <f>SUM(K401:K405)</f>
        <v>4</v>
      </c>
      <c r="L406" s="335"/>
    </row>
    <row r="407" spans="2:12" hidden="1"/>
    <row r="408" spans="2:12" hidden="1"/>
    <row r="409" spans="2:12" ht="18.75" hidden="1">
      <c r="B409" s="1094" t="s">
        <v>1282</v>
      </c>
      <c r="C409" s="1095"/>
      <c r="D409" s="1095"/>
      <c r="E409" s="1095"/>
      <c r="F409" s="1095"/>
      <c r="G409" s="1095"/>
      <c r="H409" s="1095"/>
      <c r="I409" s="1095"/>
      <c r="J409" s="1095"/>
      <c r="K409" s="1095"/>
      <c r="L409" s="1096"/>
    </row>
    <row r="410" spans="2:12" ht="18.75" hidden="1">
      <c r="B410" s="328" t="s">
        <v>892</v>
      </c>
      <c r="C410" s="329" t="s">
        <v>893</v>
      </c>
      <c r="D410" s="329" t="s">
        <v>894</v>
      </c>
      <c r="E410" s="329" t="s">
        <v>895</v>
      </c>
      <c r="F410" s="330" t="s">
        <v>896</v>
      </c>
      <c r="G410" s="329" t="s">
        <v>897</v>
      </c>
      <c r="H410" s="329" t="s">
        <v>898</v>
      </c>
      <c r="I410" s="329" t="s">
        <v>899</v>
      </c>
      <c r="J410" s="329" t="s">
        <v>900</v>
      </c>
      <c r="K410" s="329" t="s">
        <v>901</v>
      </c>
      <c r="L410" s="329" t="s">
        <v>902</v>
      </c>
    </row>
    <row r="411" spans="2:12" ht="15" hidden="1">
      <c r="B411" s="377">
        <v>44648</v>
      </c>
      <c r="C411" s="378" t="s">
        <v>957</v>
      </c>
      <c r="D411" s="286" t="s">
        <v>1283</v>
      </c>
      <c r="E411" s="286" t="s">
        <v>906</v>
      </c>
      <c r="F411" s="379">
        <v>2000000</v>
      </c>
      <c r="G411" s="378" t="s">
        <v>911</v>
      </c>
      <c r="H411" s="378" t="s">
        <v>908</v>
      </c>
      <c r="I411" s="378" t="s">
        <v>908</v>
      </c>
      <c r="J411" s="378">
        <v>1</v>
      </c>
      <c r="K411" s="378"/>
      <c r="L411" s="378" t="s">
        <v>533</v>
      </c>
    </row>
    <row r="412" spans="2:12" ht="15" hidden="1">
      <c r="B412" s="377">
        <v>44648</v>
      </c>
      <c r="C412" s="378" t="s">
        <v>1127</v>
      </c>
      <c r="D412" s="286" t="s">
        <v>1284</v>
      </c>
      <c r="E412" s="286" t="s">
        <v>906</v>
      </c>
      <c r="F412" s="379">
        <v>1200000</v>
      </c>
      <c r="G412" s="378" t="s">
        <v>911</v>
      </c>
      <c r="H412" s="378" t="s">
        <v>908</v>
      </c>
      <c r="I412" s="378" t="s">
        <v>908</v>
      </c>
      <c r="J412" s="378">
        <v>1</v>
      </c>
      <c r="K412" s="378"/>
      <c r="L412" s="378" t="s">
        <v>607</v>
      </c>
    </row>
    <row r="413" spans="2:12" ht="15" hidden="1">
      <c r="B413" s="377">
        <v>44653</v>
      </c>
      <c r="C413" s="378" t="s">
        <v>904</v>
      </c>
      <c r="D413" s="286" t="s">
        <v>1285</v>
      </c>
      <c r="E413" s="286" t="s">
        <v>906</v>
      </c>
      <c r="F413" s="379">
        <v>2300000</v>
      </c>
      <c r="G413" s="378" t="s">
        <v>907</v>
      </c>
      <c r="H413" s="378" t="s">
        <v>908</v>
      </c>
      <c r="I413" s="378" t="s">
        <v>908</v>
      </c>
      <c r="J413" s="378">
        <v>1</v>
      </c>
      <c r="K413" s="378"/>
      <c r="L413" s="378" t="s">
        <v>607</v>
      </c>
    </row>
    <row r="414" spans="2:12" ht="15" hidden="1">
      <c r="B414" s="377">
        <v>44653</v>
      </c>
      <c r="C414" s="378" t="s">
        <v>904</v>
      </c>
      <c r="D414" s="286" t="s">
        <v>1286</v>
      </c>
      <c r="E414" s="286" t="s">
        <v>906</v>
      </c>
      <c r="F414" s="379">
        <v>1800000</v>
      </c>
      <c r="G414" s="378" t="s">
        <v>907</v>
      </c>
      <c r="H414" s="378" t="s">
        <v>908</v>
      </c>
      <c r="I414" s="378" t="s">
        <v>908</v>
      </c>
      <c r="J414" s="378">
        <v>1</v>
      </c>
      <c r="K414" s="378"/>
      <c r="L414" s="378" t="s">
        <v>533</v>
      </c>
    </row>
    <row r="415" spans="2:12" ht="15" hidden="1">
      <c r="B415" s="377">
        <v>44658</v>
      </c>
      <c r="C415" s="378" t="s">
        <v>904</v>
      </c>
      <c r="D415" s="286" t="s">
        <v>1287</v>
      </c>
      <c r="E415" s="286" t="s">
        <v>906</v>
      </c>
      <c r="F415" s="379">
        <v>1600000</v>
      </c>
      <c r="G415" s="378" t="s">
        <v>907</v>
      </c>
      <c r="H415" s="378" t="s">
        <v>908</v>
      </c>
      <c r="I415" s="378" t="s">
        <v>908</v>
      </c>
      <c r="J415" s="378">
        <v>1</v>
      </c>
      <c r="K415" s="378"/>
      <c r="L415" s="378" t="s">
        <v>533</v>
      </c>
    </row>
    <row r="416" spans="2:12" ht="15" hidden="1">
      <c r="B416" s="377">
        <v>44658</v>
      </c>
      <c r="C416" s="378" t="s">
        <v>904</v>
      </c>
      <c r="D416" s="286" t="s">
        <v>653</v>
      </c>
      <c r="E416" s="286" t="s">
        <v>906</v>
      </c>
      <c r="F416" s="379">
        <v>2000000</v>
      </c>
      <c r="G416" s="378" t="s">
        <v>907</v>
      </c>
      <c r="H416" s="378" t="s">
        <v>908</v>
      </c>
      <c r="I416" s="378" t="s">
        <v>908</v>
      </c>
      <c r="J416" s="378">
        <v>1</v>
      </c>
      <c r="K416" s="378"/>
      <c r="L416" s="378" t="s">
        <v>633</v>
      </c>
    </row>
    <row r="417" spans="2:12" ht="15" hidden="1">
      <c r="B417" s="377">
        <v>44659</v>
      </c>
      <c r="C417" s="378" t="s">
        <v>904</v>
      </c>
      <c r="D417" s="286" t="s">
        <v>1288</v>
      </c>
      <c r="E417" s="286" t="s">
        <v>906</v>
      </c>
      <c r="F417" s="379">
        <v>1500000</v>
      </c>
      <c r="G417" s="378" t="s">
        <v>911</v>
      </c>
      <c r="H417" s="378" t="s">
        <v>908</v>
      </c>
      <c r="I417" s="378" t="s">
        <v>908</v>
      </c>
      <c r="J417" s="378">
        <v>1</v>
      </c>
      <c r="K417" s="378"/>
      <c r="L417" s="378" t="s">
        <v>607</v>
      </c>
    </row>
    <row r="418" spans="2:12" ht="15" hidden="1">
      <c r="B418" s="377">
        <v>44659</v>
      </c>
      <c r="C418" s="378" t="s">
        <v>904</v>
      </c>
      <c r="D418" s="286" t="s">
        <v>1289</v>
      </c>
      <c r="E418" s="286" t="s">
        <v>906</v>
      </c>
      <c r="F418" s="379">
        <v>950000</v>
      </c>
      <c r="G418" s="378" t="s">
        <v>911</v>
      </c>
      <c r="H418" s="378" t="s">
        <v>983</v>
      </c>
      <c r="I418" s="378" t="s">
        <v>908</v>
      </c>
      <c r="J418" s="378">
        <v>1</v>
      </c>
      <c r="K418" s="378"/>
      <c r="L418" s="378" t="s">
        <v>533</v>
      </c>
    </row>
    <row r="419" spans="2:12" ht="15" hidden="1">
      <c r="B419" s="384">
        <v>44672</v>
      </c>
      <c r="C419" s="378" t="s">
        <v>904</v>
      </c>
      <c r="D419" s="286" t="s">
        <v>1290</v>
      </c>
      <c r="E419" s="386" t="s">
        <v>906</v>
      </c>
      <c r="F419" s="387">
        <v>1500000</v>
      </c>
      <c r="G419" s="385" t="s">
        <v>907</v>
      </c>
      <c r="H419" s="385" t="s">
        <v>908</v>
      </c>
      <c r="I419" s="385" t="s">
        <v>908</v>
      </c>
      <c r="J419" s="385"/>
      <c r="K419" s="385"/>
      <c r="L419" s="385" t="s">
        <v>633</v>
      </c>
    </row>
    <row r="420" spans="2:12" ht="15" hidden="1">
      <c r="B420" s="377">
        <v>44672</v>
      </c>
      <c r="C420" s="378" t="s">
        <v>992</v>
      </c>
      <c r="D420" s="286" t="s">
        <v>1291</v>
      </c>
      <c r="E420" s="286" t="s">
        <v>906</v>
      </c>
      <c r="F420" s="379">
        <v>1400000</v>
      </c>
      <c r="G420" s="378" t="s">
        <v>911</v>
      </c>
      <c r="H420" s="378" t="s">
        <v>908</v>
      </c>
      <c r="I420" s="378" t="s">
        <v>908</v>
      </c>
      <c r="J420" s="378">
        <v>1</v>
      </c>
      <c r="K420" s="378"/>
      <c r="L420" s="378" t="s">
        <v>607</v>
      </c>
    </row>
    <row r="421" spans="2:12" ht="15" hidden="1">
      <c r="B421" s="377">
        <v>44672</v>
      </c>
      <c r="C421" s="378" t="s">
        <v>904</v>
      </c>
      <c r="D421" s="286" t="s">
        <v>1292</v>
      </c>
      <c r="E421" s="286" t="s">
        <v>906</v>
      </c>
      <c r="F421" s="379">
        <v>1400000</v>
      </c>
      <c r="G421" s="378" t="s">
        <v>911</v>
      </c>
      <c r="H421" s="378" t="s">
        <v>908</v>
      </c>
      <c r="I421" s="378" t="s">
        <v>908</v>
      </c>
      <c r="J421" s="378">
        <v>1</v>
      </c>
      <c r="K421" s="378"/>
      <c r="L421" s="378" t="s">
        <v>533</v>
      </c>
    </row>
    <row r="422" spans="2:12" ht="15" hidden="1">
      <c r="B422" s="377">
        <v>44672</v>
      </c>
      <c r="C422" s="378" t="s">
        <v>969</v>
      </c>
      <c r="D422" s="286" t="s">
        <v>1293</v>
      </c>
      <c r="E422" s="286" t="s">
        <v>906</v>
      </c>
      <c r="F422" s="379">
        <v>1200000</v>
      </c>
      <c r="G422" s="378" t="s">
        <v>911</v>
      </c>
      <c r="H422" s="378" t="s">
        <v>908</v>
      </c>
      <c r="I422" s="378" t="s">
        <v>908</v>
      </c>
      <c r="J422" s="378">
        <v>1</v>
      </c>
      <c r="K422" s="378"/>
      <c r="L422" s="378" t="s">
        <v>633</v>
      </c>
    </row>
    <row r="423" spans="2:12" ht="15" hidden="1">
      <c r="B423" s="377">
        <v>44672</v>
      </c>
      <c r="C423" s="378" t="s">
        <v>904</v>
      </c>
      <c r="D423" s="286" t="s">
        <v>1294</v>
      </c>
      <c r="E423" s="286" t="s">
        <v>906</v>
      </c>
      <c r="F423" s="379">
        <v>1450000</v>
      </c>
      <c r="G423" s="378" t="s">
        <v>911</v>
      </c>
      <c r="H423" s="378" t="s">
        <v>908</v>
      </c>
      <c r="I423" s="378" t="s">
        <v>908</v>
      </c>
      <c r="J423" s="378">
        <v>1</v>
      </c>
      <c r="K423" s="378"/>
      <c r="L423" s="378" t="s">
        <v>607</v>
      </c>
    </row>
    <row r="424" spans="2:12" ht="15" hidden="1">
      <c r="B424" s="377">
        <v>44672</v>
      </c>
      <c r="C424" s="378" t="s">
        <v>904</v>
      </c>
      <c r="D424" s="286" t="s">
        <v>1295</v>
      </c>
      <c r="E424" s="286" t="s">
        <v>906</v>
      </c>
      <c r="F424" s="379">
        <v>1700000</v>
      </c>
      <c r="G424" s="378" t="s">
        <v>911</v>
      </c>
      <c r="H424" s="378" t="s">
        <v>908</v>
      </c>
      <c r="I424" s="378" t="s">
        <v>908</v>
      </c>
      <c r="J424" s="378">
        <v>1</v>
      </c>
      <c r="K424" s="378"/>
      <c r="L424" s="378" t="s">
        <v>533</v>
      </c>
    </row>
    <row r="425" spans="2:12" ht="15" hidden="1">
      <c r="B425" s="377"/>
      <c r="C425" s="378"/>
      <c r="D425" s="286"/>
      <c r="E425" s="286"/>
      <c r="F425" s="379"/>
      <c r="G425" s="378"/>
      <c r="H425" s="378"/>
      <c r="I425" s="378"/>
      <c r="J425" s="378"/>
      <c r="K425" s="378"/>
      <c r="L425" s="378"/>
    </row>
    <row r="426" spans="2:12" ht="15" hidden="1">
      <c r="B426" s="377"/>
      <c r="C426" s="378"/>
      <c r="D426" s="286"/>
      <c r="E426" s="286"/>
      <c r="F426" s="379"/>
      <c r="G426" s="378"/>
      <c r="H426" s="378"/>
      <c r="I426" s="378"/>
      <c r="J426" s="378"/>
      <c r="K426" s="378"/>
      <c r="L426" s="378"/>
    </row>
    <row r="427" spans="2:12" ht="15" hidden="1">
      <c r="B427" s="377"/>
      <c r="C427" s="378"/>
      <c r="D427" s="286"/>
      <c r="E427" s="286"/>
      <c r="F427" s="379"/>
      <c r="G427" s="378"/>
      <c r="H427" s="378"/>
      <c r="I427" s="378"/>
      <c r="J427" s="378"/>
      <c r="K427" s="378"/>
      <c r="L427" s="378"/>
    </row>
    <row r="428" spans="2:12" ht="15" hidden="1">
      <c r="B428" s="377"/>
      <c r="C428" s="378"/>
      <c r="D428" s="286"/>
      <c r="E428" s="286"/>
      <c r="F428" s="379"/>
      <c r="G428" s="378"/>
      <c r="H428" s="378"/>
      <c r="I428" s="378"/>
      <c r="J428" s="378"/>
      <c r="K428" s="378"/>
      <c r="L428" s="378"/>
    </row>
    <row r="429" spans="2:12" ht="15" hidden="1">
      <c r="B429" s="377"/>
      <c r="C429" s="378"/>
      <c r="D429" s="286"/>
      <c r="E429" s="286"/>
      <c r="F429" s="379"/>
      <c r="G429" s="378"/>
      <c r="H429" s="378"/>
      <c r="I429" s="378"/>
      <c r="J429" s="378"/>
      <c r="K429" s="378"/>
      <c r="L429" s="378"/>
    </row>
    <row r="430" spans="2:12" ht="15" hidden="1">
      <c r="B430" s="377"/>
      <c r="C430" s="378"/>
      <c r="D430" s="286"/>
      <c r="E430" s="286"/>
      <c r="F430" s="379"/>
      <c r="G430" s="378"/>
      <c r="H430" s="378"/>
      <c r="I430" s="378"/>
      <c r="J430" s="378"/>
      <c r="K430" s="378"/>
      <c r="L430" s="378"/>
    </row>
    <row r="431" spans="2:12" ht="15" hidden="1">
      <c r="B431" s="377"/>
      <c r="C431" s="378"/>
      <c r="D431" s="286"/>
      <c r="E431" s="286"/>
      <c r="F431" s="379"/>
      <c r="G431" s="378"/>
      <c r="H431" s="378"/>
      <c r="I431" s="378"/>
      <c r="J431" s="378"/>
      <c r="K431" s="378"/>
      <c r="L431" s="378"/>
    </row>
    <row r="432" spans="2:12" ht="15" hidden="1">
      <c r="B432" s="380">
        <v>44746</v>
      </c>
      <c r="C432" s="381" t="s">
        <v>904</v>
      </c>
      <c r="D432" s="382" t="s">
        <v>653</v>
      </c>
      <c r="E432" s="382" t="s">
        <v>906</v>
      </c>
      <c r="F432" s="383">
        <v>355000000</v>
      </c>
      <c r="G432" s="381" t="s">
        <v>907</v>
      </c>
      <c r="H432" s="381"/>
      <c r="I432" s="381"/>
      <c r="J432" s="381"/>
      <c r="K432" s="381">
        <v>1</v>
      </c>
      <c r="L432" s="381" t="s">
        <v>1029</v>
      </c>
    </row>
    <row r="433" spans="2:12" ht="15" hidden="1">
      <c r="B433" s="388"/>
      <c r="C433" s="389"/>
      <c r="D433" s="390"/>
      <c r="E433" s="390"/>
      <c r="F433" s="391"/>
      <c r="G433" s="389"/>
      <c r="H433" s="389"/>
      <c r="I433" s="389"/>
      <c r="J433" s="389"/>
      <c r="K433" s="389"/>
      <c r="L433" s="389"/>
    </row>
    <row r="434" spans="2:12" ht="15" hidden="1">
      <c r="B434" s="380"/>
      <c r="C434" s="381"/>
      <c r="D434" s="382"/>
      <c r="E434" s="382"/>
      <c r="F434" s="383"/>
      <c r="G434" s="381"/>
      <c r="H434" s="381"/>
      <c r="I434" s="381"/>
      <c r="J434" s="381"/>
      <c r="K434" s="381"/>
      <c r="L434" s="381"/>
    </row>
    <row r="435" spans="2:12" ht="18.75" hidden="1">
      <c r="B435" s="1097" t="s">
        <v>32</v>
      </c>
      <c r="C435" s="1097"/>
      <c r="D435" s="1097"/>
      <c r="E435" s="1097"/>
      <c r="F435" s="1097"/>
      <c r="G435" s="1097"/>
      <c r="H435" s="1097"/>
      <c r="I435" s="1097"/>
      <c r="J435" s="327">
        <f>SUM(J411:J434)</f>
        <v>13</v>
      </c>
      <c r="K435" s="327">
        <f>SUM(K432:K434)</f>
        <v>1</v>
      </c>
      <c r="L435" s="327">
        <f>J435+K435</f>
        <v>14</v>
      </c>
    </row>
    <row r="436" spans="2:12" hidden="1"/>
    <row r="437" spans="2:12" hidden="1"/>
    <row r="438" spans="2:12" ht="18.75" hidden="1">
      <c r="B438" s="1094" t="s">
        <v>1296</v>
      </c>
      <c r="C438" s="1095"/>
      <c r="D438" s="1095"/>
      <c r="E438" s="1095"/>
      <c r="F438" s="1095"/>
      <c r="G438" s="1095"/>
      <c r="H438" s="1095"/>
      <c r="I438" s="1095"/>
      <c r="J438" s="1095"/>
      <c r="K438" s="1095"/>
      <c r="L438" s="1096"/>
    </row>
    <row r="439" spans="2:12" ht="18.75" hidden="1">
      <c r="B439" s="328" t="s">
        <v>892</v>
      </c>
      <c r="C439" s="329" t="s">
        <v>893</v>
      </c>
      <c r="D439" s="329" t="s">
        <v>894</v>
      </c>
      <c r="E439" s="329" t="s">
        <v>895</v>
      </c>
      <c r="F439" s="330" t="s">
        <v>896</v>
      </c>
      <c r="G439" s="329" t="s">
        <v>897</v>
      </c>
      <c r="H439" s="329" t="s">
        <v>898</v>
      </c>
      <c r="I439" s="329" t="s">
        <v>899</v>
      </c>
      <c r="J439" s="329" t="s">
        <v>900</v>
      </c>
      <c r="K439" s="329" t="s">
        <v>901</v>
      </c>
      <c r="L439" s="329" t="s">
        <v>902</v>
      </c>
    </row>
    <row r="440" spans="2:12" ht="15" hidden="1">
      <c r="B440" s="377">
        <v>44646</v>
      </c>
      <c r="C440" s="378" t="s">
        <v>1127</v>
      </c>
      <c r="D440" s="386" t="s">
        <v>1297</v>
      </c>
      <c r="E440" s="286" t="s">
        <v>57</v>
      </c>
      <c r="F440" s="379">
        <v>1700000</v>
      </c>
      <c r="G440" s="378" t="s">
        <v>907</v>
      </c>
      <c r="H440" s="378" t="s">
        <v>983</v>
      </c>
      <c r="I440" s="378" t="s">
        <v>983</v>
      </c>
      <c r="J440" s="378">
        <v>1</v>
      </c>
      <c r="K440" s="378"/>
      <c r="L440" s="378" t="s">
        <v>607</v>
      </c>
    </row>
    <row r="441" spans="2:12" ht="15" hidden="1">
      <c r="B441" s="377">
        <v>44648</v>
      </c>
      <c r="C441" s="378" t="s">
        <v>1127</v>
      </c>
      <c r="D441" s="386" t="s">
        <v>1298</v>
      </c>
      <c r="E441" s="286" t="s">
        <v>57</v>
      </c>
      <c r="F441" s="379">
        <v>1900000</v>
      </c>
      <c r="G441" s="378" t="s">
        <v>907</v>
      </c>
      <c r="H441" s="378" t="s">
        <v>983</v>
      </c>
      <c r="I441" s="378" t="s">
        <v>983</v>
      </c>
      <c r="J441" s="378">
        <v>1</v>
      </c>
      <c r="K441" s="378"/>
      <c r="L441" s="378" t="s">
        <v>633</v>
      </c>
    </row>
    <row r="442" spans="2:12" ht="15" hidden="1">
      <c r="B442" s="377">
        <v>44650</v>
      </c>
      <c r="C442" s="378" t="s">
        <v>957</v>
      </c>
      <c r="D442" s="386" t="s">
        <v>1299</v>
      </c>
      <c r="E442" s="286" t="s">
        <v>1300</v>
      </c>
      <c r="F442" s="379">
        <v>6500000</v>
      </c>
      <c r="G442" s="378" t="s">
        <v>911</v>
      </c>
      <c r="H442" s="378" t="s">
        <v>908</v>
      </c>
      <c r="I442" s="378" t="s">
        <v>908</v>
      </c>
      <c r="J442" s="378">
        <v>1</v>
      </c>
      <c r="K442" s="378"/>
      <c r="L442" s="378" t="s">
        <v>533</v>
      </c>
    </row>
    <row r="443" spans="2:12" ht="15" hidden="1">
      <c r="B443" s="377">
        <v>44652</v>
      </c>
      <c r="C443" s="378" t="s">
        <v>1127</v>
      </c>
      <c r="D443" s="386" t="s">
        <v>1301</v>
      </c>
      <c r="E443" s="286" t="s">
        <v>906</v>
      </c>
      <c r="F443" s="379">
        <v>2600000</v>
      </c>
      <c r="G443" s="378" t="s">
        <v>907</v>
      </c>
      <c r="H443" s="378" t="s">
        <v>908</v>
      </c>
      <c r="I443" s="378" t="s">
        <v>908</v>
      </c>
      <c r="J443" s="378">
        <v>1</v>
      </c>
      <c r="K443" s="378"/>
      <c r="L443" s="378" t="s">
        <v>533</v>
      </c>
    </row>
    <row r="444" spans="2:12" ht="15" hidden="1">
      <c r="B444" s="377">
        <v>44652</v>
      </c>
      <c r="C444" s="378" t="s">
        <v>1127</v>
      </c>
      <c r="D444" s="386" t="s">
        <v>1302</v>
      </c>
      <c r="E444" s="286" t="s">
        <v>906</v>
      </c>
      <c r="F444" s="379">
        <v>1100000</v>
      </c>
      <c r="G444" s="378" t="s">
        <v>911</v>
      </c>
      <c r="H444" s="378" t="s">
        <v>908</v>
      </c>
      <c r="I444" s="378" t="s">
        <v>908</v>
      </c>
      <c r="J444" s="378">
        <v>1</v>
      </c>
      <c r="K444" s="378"/>
      <c r="L444" s="378" t="s">
        <v>633</v>
      </c>
    </row>
    <row r="445" spans="2:12" ht="15" hidden="1">
      <c r="B445" s="377">
        <v>44656</v>
      </c>
      <c r="C445" s="378" t="s">
        <v>904</v>
      </c>
      <c r="D445" s="386" t="s">
        <v>1303</v>
      </c>
      <c r="E445" s="286" t="s">
        <v>906</v>
      </c>
      <c r="F445" s="379">
        <v>1650000</v>
      </c>
      <c r="G445" s="378" t="s">
        <v>907</v>
      </c>
      <c r="H445" s="378" t="s">
        <v>908</v>
      </c>
      <c r="I445" s="378" t="s">
        <v>908</v>
      </c>
      <c r="J445" s="378">
        <v>1</v>
      </c>
      <c r="K445" s="378"/>
      <c r="L445" s="378" t="s">
        <v>607</v>
      </c>
    </row>
    <row r="446" spans="2:12" ht="15" hidden="1">
      <c r="B446" s="377">
        <v>44657</v>
      </c>
      <c r="C446" s="378" t="s">
        <v>904</v>
      </c>
      <c r="D446" s="386" t="s">
        <v>1304</v>
      </c>
      <c r="E446" s="286" t="s">
        <v>906</v>
      </c>
      <c r="F446" s="379">
        <v>3500000</v>
      </c>
      <c r="G446" s="378" t="s">
        <v>907</v>
      </c>
      <c r="H446" s="378" t="s">
        <v>908</v>
      </c>
      <c r="I446" s="378" t="s">
        <v>908</v>
      </c>
      <c r="J446" s="378">
        <v>1</v>
      </c>
      <c r="K446" s="378"/>
      <c r="L446" s="378" t="s">
        <v>533</v>
      </c>
    </row>
    <row r="447" spans="2:12" ht="15" hidden="1">
      <c r="B447" s="377">
        <v>44746</v>
      </c>
      <c r="C447" s="378" t="s">
        <v>904</v>
      </c>
      <c r="D447" s="386" t="s">
        <v>1305</v>
      </c>
      <c r="E447" s="286" t="s">
        <v>906</v>
      </c>
      <c r="F447" s="379">
        <v>1800000</v>
      </c>
      <c r="G447" s="378" t="s">
        <v>907</v>
      </c>
      <c r="H447" s="378" t="s">
        <v>908</v>
      </c>
      <c r="I447" s="378" t="s">
        <v>908</v>
      </c>
      <c r="J447" s="378">
        <v>1</v>
      </c>
      <c r="K447" s="378"/>
      <c r="L447" s="378" t="s">
        <v>533</v>
      </c>
    </row>
    <row r="448" spans="2:12" ht="15" hidden="1">
      <c r="B448" s="377">
        <v>44658</v>
      </c>
      <c r="C448" s="378" t="s">
        <v>1127</v>
      </c>
      <c r="D448" s="386" t="s">
        <v>1306</v>
      </c>
      <c r="E448" s="286" t="s">
        <v>906</v>
      </c>
      <c r="F448" s="379">
        <v>1800000</v>
      </c>
      <c r="G448" s="378" t="s">
        <v>907</v>
      </c>
      <c r="H448" s="378" t="s">
        <v>908</v>
      </c>
      <c r="I448" s="378" t="s">
        <v>908</v>
      </c>
      <c r="J448" s="378">
        <v>1</v>
      </c>
      <c r="K448" s="378"/>
      <c r="L448" s="378" t="s">
        <v>633</v>
      </c>
    </row>
    <row r="449" spans="2:12" ht="15" hidden="1">
      <c r="B449" s="377">
        <v>44658</v>
      </c>
      <c r="C449" s="378" t="s">
        <v>1127</v>
      </c>
      <c r="D449" s="386" t="s">
        <v>1307</v>
      </c>
      <c r="E449" s="286" t="s">
        <v>906</v>
      </c>
      <c r="F449" s="379">
        <v>1800000</v>
      </c>
      <c r="G449" s="378" t="s">
        <v>907</v>
      </c>
      <c r="H449" s="378" t="s">
        <v>908</v>
      </c>
      <c r="I449" s="378" t="s">
        <v>908</v>
      </c>
      <c r="J449" s="378">
        <v>1</v>
      </c>
      <c r="K449" s="378"/>
      <c r="L449" s="378" t="s">
        <v>533</v>
      </c>
    </row>
    <row r="450" spans="2:12" ht="15" hidden="1">
      <c r="B450" s="377">
        <v>44658</v>
      </c>
      <c r="C450" s="378" t="s">
        <v>1127</v>
      </c>
      <c r="D450" s="386" t="s">
        <v>1308</v>
      </c>
      <c r="E450" s="286" t="s">
        <v>906</v>
      </c>
      <c r="F450" s="379">
        <v>1550000</v>
      </c>
      <c r="G450" s="378" t="s">
        <v>907</v>
      </c>
      <c r="H450" s="378" t="s">
        <v>908</v>
      </c>
      <c r="I450" s="378" t="s">
        <v>908</v>
      </c>
      <c r="J450" s="378">
        <v>1</v>
      </c>
      <c r="K450" s="378"/>
      <c r="L450" s="378" t="s">
        <v>607</v>
      </c>
    </row>
    <row r="451" spans="2:12" ht="15" hidden="1">
      <c r="B451" s="377">
        <v>44659</v>
      </c>
      <c r="C451" s="378" t="s">
        <v>904</v>
      </c>
      <c r="D451" s="386" t="s">
        <v>1309</v>
      </c>
      <c r="E451" s="286" t="s">
        <v>906</v>
      </c>
      <c r="F451" s="379">
        <v>1300000</v>
      </c>
      <c r="G451" s="378" t="s">
        <v>907</v>
      </c>
      <c r="H451" s="378" t="s">
        <v>908</v>
      </c>
      <c r="I451" s="378" t="s">
        <v>908</v>
      </c>
      <c r="J451" s="378">
        <v>1</v>
      </c>
      <c r="K451" s="378"/>
      <c r="L451" s="378" t="s">
        <v>633</v>
      </c>
    </row>
    <row r="452" spans="2:12" ht="15" hidden="1">
      <c r="B452" s="377">
        <v>44659</v>
      </c>
      <c r="C452" s="378" t="s">
        <v>904</v>
      </c>
      <c r="D452" s="386" t="s">
        <v>1310</v>
      </c>
      <c r="E452" s="286" t="s">
        <v>906</v>
      </c>
      <c r="F452" s="379">
        <v>1200000</v>
      </c>
      <c r="G452" s="378" t="s">
        <v>907</v>
      </c>
      <c r="H452" s="378" t="s">
        <v>908</v>
      </c>
      <c r="I452" s="378" t="s">
        <v>908</v>
      </c>
      <c r="J452" s="378">
        <v>1</v>
      </c>
      <c r="K452" s="378"/>
      <c r="L452" s="378"/>
    </row>
    <row r="453" spans="2:12" ht="15" hidden="1">
      <c r="B453" s="377">
        <v>44659</v>
      </c>
      <c r="C453" s="378" t="s">
        <v>904</v>
      </c>
      <c r="D453" s="386" t="s">
        <v>1311</v>
      </c>
      <c r="E453" s="286" t="s">
        <v>906</v>
      </c>
      <c r="F453" s="379">
        <v>1250000</v>
      </c>
      <c r="G453" s="378" t="s">
        <v>907</v>
      </c>
      <c r="H453" s="378" t="s">
        <v>908</v>
      </c>
      <c r="I453" s="378" t="s">
        <v>908</v>
      </c>
      <c r="J453" s="378">
        <v>1</v>
      </c>
      <c r="K453" s="378"/>
      <c r="L453" s="378" t="s">
        <v>533</v>
      </c>
    </row>
    <row r="454" spans="2:12" ht="15" hidden="1">
      <c r="B454" s="377">
        <v>44659</v>
      </c>
      <c r="C454" s="378" t="s">
        <v>904</v>
      </c>
      <c r="D454" s="386" t="s">
        <v>1312</v>
      </c>
      <c r="E454" s="286" t="s">
        <v>906</v>
      </c>
      <c r="F454" s="379">
        <v>2000000</v>
      </c>
      <c r="G454" s="378" t="s">
        <v>907</v>
      </c>
      <c r="H454" s="378" t="s">
        <v>908</v>
      </c>
      <c r="I454" s="378" t="s">
        <v>908</v>
      </c>
      <c r="J454" s="378">
        <v>1</v>
      </c>
      <c r="K454" s="378"/>
      <c r="L454" s="378" t="s">
        <v>633</v>
      </c>
    </row>
    <row r="455" spans="2:12" ht="15" hidden="1">
      <c r="B455" s="377">
        <v>44662</v>
      </c>
      <c r="C455" s="378" t="s">
        <v>904</v>
      </c>
      <c r="D455" s="386" t="s">
        <v>1313</v>
      </c>
      <c r="E455" s="286" t="s">
        <v>906</v>
      </c>
      <c r="F455" s="379">
        <v>1700000</v>
      </c>
      <c r="G455" s="378" t="s">
        <v>907</v>
      </c>
      <c r="H455" s="378" t="s">
        <v>908</v>
      </c>
      <c r="I455" s="378" t="s">
        <v>908</v>
      </c>
      <c r="J455" s="378">
        <v>1</v>
      </c>
      <c r="K455" s="378"/>
      <c r="L455" s="378" t="s">
        <v>533</v>
      </c>
    </row>
    <row r="456" spans="2:12" ht="15" hidden="1">
      <c r="B456" s="377">
        <v>44662</v>
      </c>
      <c r="C456" s="378" t="s">
        <v>904</v>
      </c>
      <c r="D456" s="386" t="s">
        <v>1314</v>
      </c>
      <c r="E456" s="286" t="s">
        <v>906</v>
      </c>
      <c r="F456" s="379">
        <v>2800000</v>
      </c>
      <c r="G456" s="378" t="s">
        <v>907</v>
      </c>
      <c r="H456" s="378" t="s">
        <v>908</v>
      </c>
      <c r="I456" s="378" t="s">
        <v>908</v>
      </c>
      <c r="J456" s="378">
        <v>1</v>
      </c>
      <c r="K456" s="378"/>
      <c r="L456" s="378" t="s">
        <v>607</v>
      </c>
    </row>
    <row r="457" spans="2:12" ht="15" hidden="1">
      <c r="B457" s="377">
        <v>44662</v>
      </c>
      <c r="C457" s="378" t="s">
        <v>992</v>
      </c>
      <c r="D457" s="386" t="s">
        <v>1315</v>
      </c>
      <c r="E457" s="286" t="s">
        <v>906</v>
      </c>
      <c r="F457" s="379">
        <v>5000000</v>
      </c>
      <c r="G457" s="378" t="s">
        <v>911</v>
      </c>
      <c r="H457" s="378" t="s">
        <v>908</v>
      </c>
      <c r="I457" s="378" t="s">
        <v>908</v>
      </c>
      <c r="J457" s="378">
        <v>1</v>
      </c>
      <c r="K457" s="378"/>
      <c r="L457" s="378" t="s">
        <v>533</v>
      </c>
    </row>
    <row r="458" spans="2:12" ht="15" hidden="1">
      <c r="B458" s="377">
        <v>44662</v>
      </c>
      <c r="C458" s="378" t="s">
        <v>904</v>
      </c>
      <c r="D458" s="386" t="s">
        <v>1316</v>
      </c>
      <c r="E458" s="286" t="s">
        <v>906</v>
      </c>
      <c r="F458" s="379">
        <v>1700000</v>
      </c>
      <c r="G458" s="378" t="s">
        <v>907</v>
      </c>
      <c r="H458" s="378" t="s">
        <v>908</v>
      </c>
      <c r="I458" s="378" t="s">
        <v>908</v>
      </c>
      <c r="J458" s="378">
        <v>1</v>
      </c>
      <c r="K458" s="378"/>
      <c r="L458" s="378" t="s">
        <v>633</v>
      </c>
    </row>
    <row r="459" spans="2:12" ht="15" hidden="1">
      <c r="B459" s="377">
        <v>44671</v>
      </c>
      <c r="C459" s="378" t="s">
        <v>904</v>
      </c>
      <c r="D459" s="386" t="s">
        <v>1317</v>
      </c>
      <c r="E459" s="286" t="s">
        <v>906</v>
      </c>
      <c r="F459" s="379">
        <v>1100000</v>
      </c>
      <c r="G459" s="378" t="s">
        <v>907</v>
      </c>
      <c r="H459" s="378" t="s">
        <v>908</v>
      </c>
      <c r="I459" s="378" t="s">
        <v>908</v>
      </c>
      <c r="J459" s="378">
        <v>1</v>
      </c>
      <c r="K459" s="378"/>
      <c r="L459" s="378" t="s">
        <v>533</v>
      </c>
    </row>
    <row r="460" spans="2:12" ht="15" hidden="1">
      <c r="B460" s="377">
        <v>44674</v>
      </c>
      <c r="C460" s="378" t="s">
        <v>992</v>
      </c>
      <c r="D460" s="286" t="s">
        <v>1318</v>
      </c>
      <c r="E460" s="286" t="s">
        <v>906</v>
      </c>
      <c r="F460" s="379">
        <v>900000</v>
      </c>
      <c r="G460" s="378" t="s">
        <v>911</v>
      </c>
      <c r="H460" s="378" t="s">
        <v>908</v>
      </c>
      <c r="I460" s="378" t="s">
        <v>908</v>
      </c>
      <c r="J460" s="378">
        <v>1</v>
      </c>
      <c r="K460" s="378"/>
      <c r="L460" s="378" t="s">
        <v>533</v>
      </c>
    </row>
    <row r="461" spans="2:12" ht="15" hidden="1">
      <c r="B461" s="380">
        <v>44649</v>
      </c>
      <c r="C461" s="381" t="s">
        <v>1127</v>
      </c>
      <c r="D461" s="382" t="s">
        <v>1301</v>
      </c>
      <c r="E461" s="382" t="s">
        <v>57</v>
      </c>
      <c r="F461" s="383">
        <v>490000000</v>
      </c>
      <c r="G461" s="381" t="s">
        <v>907</v>
      </c>
      <c r="H461" s="381" t="s">
        <v>983</v>
      </c>
      <c r="I461" s="381" t="s">
        <v>983</v>
      </c>
      <c r="J461" s="381"/>
      <c r="K461" s="381">
        <v>1</v>
      </c>
      <c r="L461" s="381" t="s">
        <v>1319</v>
      </c>
    </row>
    <row r="462" spans="2:12" ht="15" hidden="1">
      <c r="B462" s="380">
        <v>44649</v>
      </c>
      <c r="C462" s="381" t="s">
        <v>1127</v>
      </c>
      <c r="D462" s="382" t="s">
        <v>1320</v>
      </c>
      <c r="E462" s="382" t="s">
        <v>57</v>
      </c>
      <c r="F462" s="383">
        <v>200000000</v>
      </c>
      <c r="G462" s="381" t="s">
        <v>907</v>
      </c>
      <c r="H462" s="381" t="s">
        <v>983</v>
      </c>
      <c r="I462" s="381" t="s">
        <v>983</v>
      </c>
      <c r="J462" s="381"/>
      <c r="K462" s="381">
        <v>1</v>
      </c>
      <c r="L462" s="381" t="s">
        <v>1319</v>
      </c>
    </row>
    <row r="463" spans="2:12" ht="15" hidden="1">
      <c r="B463" s="380">
        <v>44649</v>
      </c>
      <c r="C463" s="381" t="s">
        <v>1127</v>
      </c>
      <c r="D463" s="382" t="s">
        <v>1321</v>
      </c>
      <c r="E463" s="382" t="s">
        <v>57</v>
      </c>
      <c r="F463" s="383">
        <v>270000000</v>
      </c>
      <c r="G463" s="381" t="s">
        <v>907</v>
      </c>
      <c r="H463" s="381" t="s">
        <v>983</v>
      </c>
      <c r="I463" s="381" t="s">
        <v>983</v>
      </c>
      <c r="J463" s="381"/>
      <c r="K463" s="381">
        <v>1</v>
      </c>
      <c r="L463" s="381" t="s">
        <v>1319</v>
      </c>
    </row>
    <row r="464" spans="2:12" ht="18.75" hidden="1">
      <c r="B464" s="1098" t="s">
        <v>32</v>
      </c>
      <c r="C464" s="1099"/>
      <c r="D464" s="1099"/>
      <c r="E464" s="1099"/>
      <c r="F464" s="1099"/>
      <c r="G464" s="1099"/>
      <c r="H464" s="1099"/>
      <c r="I464" s="1100"/>
      <c r="J464" s="327">
        <f>SUM(J440:J463)</f>
        <v>21</v>
      </c>
      <c r="K464" s="327">
        <f>SUM(K461:K463)</f>
        <v>3</v>
      </c>
      <c r="L464" s="327">
        <f>J464+K464</f>
        <v>24</v>
      </c>
    </row>
    <row r="465" spans="2:12" hidden="1"/>
    <row r="466" spans="2:12" hidden="1"/>
    <row r="467" spans="2:12" hidden="1"/>
    <row r="468" spans="2:12" ht="18.75" hidden="1">
      <c r="B468" s="1094" t="s">
        <v>1322</v>
      </c>
      <c r="C468" s="1095"/>
      <c r="D468" s="1095"/>
      <c r="E468" s="1095"/>
      <c r="F468" s="1095"/>
      <c r="G468" s="1095"/>
      <c r="H468" s="1095"/>
      <c r="I468" s="1095"/>
      <c r="J468" s="1095"/>
      <c r="K468" s="1095"/>
      <c r="L468" s="1096"/>
    </row>
    <row r="469" spans="2:12" ht="18.75" hidden="1">
      <c r="B469" s="328" t="s">
        <v>892</v>
      </c>
      <c r="C469" s="329" t="s">
        <v>893</v>
      </c>
      <c r="D469" s="329" t="s">
        <v>894</v>
      </c>
      <c r="E469" s="329" t="s">
        <v>895</v>
      </c>
      <c r="F469" s="330" t="s">
        <v>896</v>
      </c>
      <c r="G469" s="329" t="s">
        <v>897</v>
      </c>
      <c r="H469" s="329" t="s">
        <v>898</v>
      </c>
      <c r="I469" s="329" t="s">
        <v>899</v>
      </c>
      <c r="J469" s="329" t="s">
        <v>900</v>
      </c>
      <c r="K469" s="329" t="s">
        <v>901</v>
      </c>
      <c r="L469" s="329" t="s">
        <v>902</v>
      </c>
    </row>
    <row r="470" spans="2:12" ht="15" hidden="1">
      <c r="B470" s="136">
        <v>44650</v>
      </c>
      <c r="C470" s="49" t="s">
        <v>1127</v>
      </c>
      <c r="D470" s="15" t="s">
        <v>1323</v>
      </c>
      <c r="E470" s="15" t="s">
        <v>57</v>
      </c>
      <c r="F470" s="50">
        <v>4300000</v>
      </c>
      <c r="G470" s="49" t="s">
        <v>907</v>
      </c>
      <c r="H470" s="49" t="s">
        <v>908</v>
      </c>
      <c r="I470" s="49" t="s">
        <v>908</v>
      </c>
      <c r="J470" s="49">
        <v>1</v>
      </c>
      <c r="K470" s="49"/>
      <c r="L470" s="49" t="s">
        <v>533</v>
      </c>
    </row>
    <row r="471" spans="2:12" ht="15" hidden="1">
      <c r="B471" s="136"/>
      <c r="C471" s="49"/>
      <c r="D471" s="15"/>
      <c r="E471" s="15"/>
      <c r="F471" s="50"/>
      <c r="G471" s="49"/>
      <c r="H471" s="49"/>
      <c r="I471" s="49"/>
      <c r="J471" s="49"/>
      <c r="K471" s="49"/>
      <c r="L471" s="49"/>
    </row>
    <row r="472" spans="2:12" ht="15" hidden="1">
      <c r="B472" s="136"/>
      <c r="C472" s="49"/>
      <c r="D472" s="15"/>
      <c r="E472" s="15"/>
      <c r="F472" s="50"/>
      <c r="G472" s="49"/>
      <c r="H472" s="49"/>
      <c r="I472" s="49"/>
      <c r="J472" s="49"/>
      <c r="K472" s="49"/>
      <c r="L472" s="49"/>
    </row>
    <row r="473" spans="2:12" ht="18.75" hidden="1">
      <c r="B473" s="1097"/>
      <c r="C473" s="1097"/>
      <c r="D473" s="1097"/>
      <c r="E473" s="1097"/>
      <c r="F473" s="1097"/>
      <c r="G473" s="1097"/>
      <c r="H473" s="1097"/>
      <c r="I473" s="1097"/>
      <c r="J473" s="327">
        <f>SUM(J470:J472)</f>
        <v>1</v>
      </c>
      <c r="K473" s="327">
        <f>SUM(K470:K472)</f>
        <v>0</v>
      </c>
      <c r="L473" s="327">
        <f>J473+K473</f>
        <v>1</v>
      </c>
    </row>
    <row r="474" spans="2:12" hidden="1"/>
    <row r="475" spans="2:12" hidden="1"/>
    <row r="476" spans="2:12" ht="18.75" hidden="1">
      <c r="B476" s="1094" t="s">
        <v>1324</v>
      </c>
      <c r="C476" s="1095"/>
      <c r="D476" s="1095"/>
      <c r="E476" s="1095"/>
      <c r="F476" s="1095"/>
      <c r="G476" s="1095"/>
      <c r="H476" s="1095"/>
      <c r="I476" s="1095"/>
      <c r="J476" s="1095"/>
      <c r="K476" s="1095"/>
      <c r="L476" s="1096"/>
    </row>
    <row r="477" spans="2:12" ht="18" hidden="1" customHeight="1">
      <c r="B477" s="328" t="s">
        <v>892</v>
      </c>
      <c r="C477" s="329" t="s">
        <v>893</v>
      </c>
      <c r="D477" s="329" t="s">
        <v>894</v>
      </c>
      <c r="E477" s="329" t="s">
        <v>895</v>
      </c>
      <c r="F477" s="330" t="s">
        <v>896</v>
      </c>
      <c r="G477" s="329" t="s">
        <v>897</v>
      </c>
      <c r="H477" s="329" t="s">
        <v>898</v>
      </c>
      <c r="I477" s="329" t="s">
        <v>899</v>
      </c>
      <c r="J477" s="329" t="s">
        <v>900</v>
      </c>
      <c r="K477" s="329" t="s">
        <v>901</v>
      </c>
      <c r="L477" s="329" t="s">
        <v>902</v>
      </c>
    </row>
    <row r="478" spans="2:12" ht="15" hidden="1">
      <c r="B478" s="136"/>
      <c r="C478" s="49"/>
      <c r="D478" s="15"/>
      <c r="E478" s="15"/>
      <c r="F478" s="50"/>
      <c r="G478" s="49"/>
      <c r="H478" s="49"/>
      <c r="I478" s="49"/>
      <c r="J478" s="49"/>
      <c r="K478" s="49"/>
      <c r="L478" s="49"/>
    </row>
    <row r="479" spans="2:12" ht="15" hidden="1">
      <c r="B479" s="136"/>
      <c r="C479" s="49"/>
      <c r="D479" s="15"/>
      <c r="E479" s="15"/>
      <c r="F479" s="50"/>
      <c r="G479" s="49"/>
      <c r="H479" s="49"/>
      <c r="I479" s="49"/>
      <c r="J479" s="49"/>
      <c r="K479" s="49"/>
      <c r="L479" s="49"/>
    </row>
    <row r="480" spans="2:12" ht="15" hidden="1">
      <c r="B480" s="136"/>
      <c r="C480" s="49"/>
      <c r="D480" s="15"/>
      <c r="E480" s="15"/>
      <c r="F480" s="50"/>
      <c r="G480" s="49"/>
      <c r="H480" s="49"/>
      <c r="I480" s="49"/>
      <c r="J480" s="49"/>
      <c r="K480" s="49"/>
      <c r="L480" s="49"/>
    </row>
    <row r="481" spans="2:12" ht="15" hidden="1">
      <c r="B481" s="136"/>
      <c r="C481" s="49"/>
      <c r="D481" s="15"/>
      <c r="E481" s="15"/>
      <c r="F481" s="50"/>
      <c r="G481" s="49"/>
      <c r="H481" s="49"/>
      <c r="I481" s="49"/>
      <c r="J481" s="49"/>
      <c r="K481" s="49"/>
      <c r="L481" s="49"/>
    </row>
    <row r="482" spans="2:12" ht="15" hidden="1">
      <c r="B482" s="136"/>
      <c r="C482" s="49"/>
      <c r="D482" s="15"/>
      <c r="E482" s="15"/>
      <c r="F482" s="50"/>
      <c r="G482" s="49"/>
      <c r="H482" s="49"/>
      <c r="I482" s="49"/>
      <c r="J482" s="49"/>
      <c r="K482" s="49"/>
      <c r="L482" s="49"/>
    </row>
    <row r="483" spans="2:12" ht="15" hidden="1">
      <c r="B483" s="136"/>
      <c r="C483" s="49"/>
      <c r="D483" s="15"/>
      <c r="E483" s="15"/>
      <c r="F483" s="50"/>
      <c r="G483" s="49"/>
      <c r="H483" s="49"/>
      <c r="I483" s="49"/>
      <c r="J483" s="49"/>
      <c r="K483" s="49"/>
      <c r="L483" s="49"/>
    </row>
    <row r="484" spans="2:12" ht="15" hidden="1">
      <c r="B484" s="136"/>
      <c r="C484" s="49"/>
      <c r="D484" s="15"/>
      <c r="E484" s="15"/>
      <c r="F484" s="50"/>
      <c r="G484" s="49"/>
      <c r="H484" s="49"/>
      <c r="I484" s="49"/>
      <c r="J484" s="49"/>
      <c r="K484" s="49"/>
      <c r="L484" s="49"/>
    </row>
    <row r="485" spans="2:12" ht="18.75" hidden="1">
      <c r="B485" s="1097" t="s">
        <v>32</v>
      </c>
      <c r="C485" s="1097"/>
      <c r="D485" s="1097"/>
      <c r="E485" s="1097"/>
      <c r="F485" s="1097"/>
      <c r="G485" s="1097"/>
      <c r="H485" s="1097"/>
      <c r="I485" s="1097"/>
      <c r="J485" s="327">
        <f>SUM(J478:J483)</f>
        <v>0</v>
      </c>
      <c r="K485" s="327">
        <f>SUM(K478:K482)</f>
        <v>0</v>
      </c>
      <c r="L485" s="327">
        <f>J485+K485</f>
        <v>0</v>
      </c>
    </row>
    <row r="486" spans="2:12" hidden="1"/>
    <row r="487" spans="2:12" hidden="1"/>
    <row r="488" spans="2:12" ht="31.5">
      <c r="B488" s="987" t="s">
        <v>246</v>
      </c>
      <c r="C488" s="987"/>
      <c r="D488" s="987"/>
      <c r="E488" s="987"/>
      <c r="F488" s="987"/>
      <c r="G488" s="987"/>
      <c r="H488" s="987"/>
      <c r="I488" s="987"/>
      <c r="J488" s="987"/>
      <c r="K488" s="987"/>
      <c r="L488" s="987"/>
    </row>
    <row r="489" spans="2:12" ht="18.75" hidden="1">
      <c r="B489" s="1094" t="s">
        <v>1325</v>
      </c>
      <c r="C489" s="1095"/>
      <c r="D489" s="1095"/>
      <c r="E489" s="1095"/>
      <c r="F489" s="1095"/>
      <c r="G489" s="1095"/>
      <c r="H489" s="1095"/>
      <c r="I489" s="1095"/>
      <c r="J489" s="1095"/>
      <c r="K489" s="1095"/>
      <c r="L489" s="1096"/>
    </row>
    <row r="490" spans="2:12" ht="18.75" hidden="1">
      <c r="B490" s="328" t="s">
        <v>892</v>
      </c>
      <c r="C490" s="329" t="s">
        <v>893</v>
      </c>
      <c r="D490" s="329" t="s">
        <v>894</v>
      </c>
      <c r="E490" s="329" t="s">
        <v>895</v>
      </c>
      <c r="F490" s="330" t="s">
        <v>896</v>
      </c>
      <c r="G490" s="329" t="s">
        <v>897</v>
      </c>
      <c r="H490" s="329" t="s">
        <v>898</v>
      </c>
      <c r="I490" s="329" t="s">
        <v>899</v>
      </c>
      <c r="J490" s="329" t="s">
        <v>900</v>
      </c>
      <c r="K490" s="329" t="s">
        <v>901</v>
      </c>
      <c r="L490" s="329" t="s">
        <v>902</v>
      </c>
    </row>
    <row r="491" spans="2:12" ht="15" hidden="1">
      <c r="B491" s="394">
        <v>44656</v>
      </c>
      <c r="C491" s="395" t="s">
        <v>894</v>
      </c>
      <c r="D491" s="396" t="s">
        <v>1326</v>
      </c>
      <c r="E491" s="396" t="s">
        <v>997</v>
      </c>
      <c r="F491" s="397">
        <v>400000000</v>
      </c>
      <c r="G491" s="395" t="s">
        <v>907</v>
      </c>
      <c r="H491" s="395" t="s">
        <v>104</v>
      </c>
      <c r="I491" s="395" t="s">
        <v>104</v>
      </c>
      <c r="J491" s="395">
        <v>1</v>
      </c>
      <c r="K491" s="395"/>
      <c r="L491" s="395" t="s">
        <v>942</v>
      </c>
    </row>
    <row r="492" spans="2:12" ht="15" hidden="1">
      <c r="B492" s="394" t="s">
        <v>1327</v>
      </c>
      <c r="C492" s="395" t="s">
        <v>894</v>
      </c>
      <c r="D492" s="396" t="s">
        <v>1328</v>
      </c>
      <c r="E492" s="396" t="s">
        <v>1082</v>
      </c>
      <c r="F492" s="397">
        <v>435000000</v>
      </c>
      <c r="G492" s="395" t="s">
        <v>911</v>
      </c>
      <c r="H492" s="395" t="s">
        <v>104</v>
      </c>
      <c r="I492" s="395" t="s">
        <v>104</v>
      </c>
      <c r="J492" s="395">
        <v>1</v>
      </c>
      <c r="K492" s="395"/>
      <c r="L492" s="395" t="s">
        <v>942</v>
      </c>
    </row>
    <row r="493" spans="2:12" ht="15" hidden="1">
      <c r="B493" s="394" t="s">
        <v>1329</v>
      </c>
      <c r="C493" s="395" t="s">
        <v>894</v>
      </c>
      <c r="D493" s="396" t="s">
        <v>1330</v>
      </c>
      <c r="E493" s="396" t="s">
        <v>1331</v>
      </c>
      <c r="F493" s="397">
        <v>480000000</v>
      </c>
      <c r="G493" s="395" t="s">
        <v>911</v>
      </c>
      <c r="H493" s="395" t="s">
        <v>104</v>
      </c>
      <c r="I493" s="395" t="s">
        <v>104</v>
      </c>
      <c r="J493" s="395">
        <v>1</v>
      </c>
      <c r="K493" s="395"/>
      <c r="L493" s="395" t="s">
        <v>942</v>
      </c>
    </row>
    <row r="494" spans="2:12" ht="15" hidden="1">
      <c r="B494" s="136" t="s">
        <v>1332</v>
      </c>
      <c r="C494" s="49" t="s">
        <v>894</v>
      </c>
      <c r="D494" s="15" t="s">
        <v>1333</v>
      </c>
      <c r="E494" s="15" t="s">
        <v>1334</v>
      </c>
      <c r="F494" s="50">
        <v>2700000</v>
      </c>
      <c r="G494" s="49" t="s">
        <v>907</v>
      </c>
      <c r="H494" s="49" t="s">
        <v>104</v>
      </c>
      <c r="I494" s="49" t="s">
        <v>104</v>
      </c>
      <c r="J494" s="49">
        <v>1</v>
      </c>
      <c r="K494" s="49"/>
      <c r="L494" s="49" t="s">
        <v>607</v>
      </c>
    </row>
    <row r="495" spans="2:12" ht="15" hidden="1">
      <c r="B495" s="136" t="s">
        <v>1332</v>
      </c>
      <c r="C495" s="49" t="s">
        <v>894</v>
      </c>
      <c r="D495" s="15" t="s">
        <v>1335</v>
      </c>
      <c r="E495" s="15" t="s">
        <v>1336</v>
      </c>
      <c r="F495" s="50">
        <v>1970000</v>
      </c>
      <c r="G495" s="49" t="s">
        <v>907</v>
      </c>
      <c r="H495" s="49" t="s">
        <v>104</v>
      </c>
      <c r="I495" s="49" t="s">
        <v>104</v>
      </c>
      <c r="J495" s="49">
        <v>1</v>
      </c>
      <c r="K495" s="49"/>
      <c r="L495" s="49" t="s">
        <v>533</v>
      </c>
    </row>
    <row r="496" spans="2:12" ht="15" hidden="1">
      <c r="B496" s="136" t="s">
        <v>1332</v>
      </c>
      <c r="C496" s="49" t="s">
        <v>894</v>
      </c>
      <c r="D496" s="15" t="s">
        <v>672</v>
      </c>
      <c r="E496" s="15" t="s">
        <v>1337</v>
      </c>
      <c r="F496" s="50">
        <v>2000000</v>
      </c>
      <c r="G496" s="49" t="s">
        <v>907</v>
      </c>
      <c r="H496" s="49" t="s">
        <v>104</v>
      </c>
      <c r="I496" s="49" t="s">
        <v>104</v>
      </c>
      <c r="J496" s="49">
        <v>1</v>
      </c>
      <c r="K496" s="49"/>
      <c r="L496" s="49" t="s">
        <v>633</v>
      </c>
    </row>
    <row r="497" spans="2:12" ht="15" hidden="1">
      <c r="B497" s="136" t="s">
        <v>1338</v>
      </c>
      <c r="C497" s="49" t="s">
        <v>894</v>
      </c>
      <c r="D497" s="15" t="s">
        <v>1339</v>
      </c>
      <c r="E497" s="15" t="s">
        <v>997</v>
      </c>
      <c r="F497" s="50">
        <v>2600000</v>
      </c>
      <c r="G497" s="49" t="s">
        <v>907</v>
      </c>
      <c r="H497" s="49" t="s">
        <v>104</v>
      </c>
      <c r="I497" s="49" t="s">
        <v>104</v>
      </c>
      <c r="J497" s="49">
        <v>1</v>
      </c>
      <c r="K497" s="49"/>
      <c r="L497" s="49" t="s">
        <v>633</v>
      </c>
    </row>
    <row r="498" spans="2:12" ht="15" hidden="1">
      <c r="B498" s="136" t="s">
        <v>1338</v>
      </c>
      <c r="C498" s="49" t="s">
        <v>894</v>
      </c>
      <c r="D498" s="15" t="s">
        <v>660</v>
      </c>
      <c r="E498" s="15" t="s">
        <v>982</v>
      </c>
      <c r="F498" s="50">
        <v>2000000</v>
      </c>
      <c r="G498" s="49" t="s">
        <v>907</v>
      </c>
      <c r="H498" s="49" t="s">
        <v>104</v>
      </c>
      <c r="I498" s="49" t="s">
        <v>104</v>
      </c>
      <c r="J498" s="49">
        <v>1</v>
      </c>
      <c r="K498" s="49"/>
      <c r="L498" s="49" t="s">
        <v>607</v>
      </c>
    </row>
    <row r="499" spans="2:12" ht="15" hidden="1">
      <c r="B499" s="136">
        <v>44597</v>
      </c>
      <c r="C499" s="49" t="s">
        <v>894</v>
      </c>
      <c r="D499" s="15" t="s">
        <v>1340</v>
      </c>
      <c r="E499" s="15" t="s">
        <v>1336</v>
      </c>
      <c r="F499" s="50">
        <v>2550000</v>
      </c>
      <c r="G499" s="49" t="s">
        <v>907</v>
      </c>
      <c r="H499" s="49" t="s">
        <v>104</v>
      </c>
      <c r="I499" s="49" t="s">
        <v>104</v>
      </c>
      <c r="J499" s="49">
        <v>1</v>
      </c>
      <c r="K499" s="49"/>
      <c r="L499" s="49" t="s">
        <v>633</v>
      </c>
    </row>
    <row r="500" spans="2:12" ht="15" hidden="1">
      <c r="B500" s="136">
        <v>44656</v>
      </c>
      <c r="C500" s="49" t="s">
        <v>894</v>
      </c>
      <c r="D500" s="15" t="s">
        <v>1341</v>
      </c>
      <c r="E500" s="15" t="s">
        <v>1342</v>
      </c>
      <c r="F500" s="50">
        <v>2200000</v>
      </c>
      <c r="G500" s="49" t="s">
        <v>907</v>
      </c>
      <c r="H500" s="49" t="s">
        <v>104</v>
      </c>
      <c r="I500" s="49" t="s">
        <v>104</v>
      </c>
      <c r="J500" s="49">
        <v>1</v>
      </c>
      <c r="K500" s="49"/>
      <c r="L500" s="49" t="s">
        <v>633</v>
      </c>
    </row>
    <row r="501" spans="2:12" ht="15" hidden="1">
      <c r="B501" s="136">
        <v>44717</v>
      </c>
      <c r="C501" s="49" t="s">
        <v>894</v>
      </c>
      <c r="D501" s="15" t="s">
        <v>1343</v>
      </c>
      <c r="E501" s="15" t="s">
        <v>1337</v>
      </c>
      <c r="F501" s="50">
        <v>2000000</v>
      </c>
      <c r="G501" s="49" t="s">
        <v>907</v>
      </c>
      <c r="H501" s="49" t="s">
        <v>104</v>
      </c>
      <c r="I501" s="49" t="s">
        <v>104</v>
      </c>
      <c r="J501" s="49">
        <v>1</v>
      </c>
      <c r="K501" s="49"/>
      <c r="L501" s="49" t="s">
        <v>533</v>
      </c>
    </row>
    <row r="502" spans="2:12" ht="15" hidden="1">
      <c r="B502" s="136">
        <v>44717</v>
      </c>
      <c r="C502" s="49" t="s">
        <v>894</v>
      </c>
      <c r="D502" s="15" t="s">
        <v>1344</v>
      </c>
      <c r="E502" s="15" t="s">
        <v>982</v>
      </c>
      <c r="F502" s="50">
        <v>4200000</v>
      </c>
      <c r="G502" s="49" t="s">
        <v>907</v>
      </c>
      <c r="H502" s="49" t="s">
        <v>104</v>
      </c>
      <c r="I502" s="49" t="s">
        <v>104</v>
      </c>
      <c r="J502" s="49">
        <v>1</v>
      </c>
      <c r="K502" s="49"/>
      <c r="L502" s="49" t="s">
        <v>607</v>
      </c>
    </row>
    <row r="503" spans="2:12" ht="15" hidden="1">
      <c r="B503" s="136">
        <v>44870</v>
      </c>
      <c r="C503" s="49" t="s">
        <v>894</v>
      </c>
      <c r="D503" s="15" t="s">
        <v>1345</v>
      </c>
      <c r="E503" s="15" t="s">
        <v>1346</v>
      </c>
      <c r="F503" s="50">
        <v>1300000</v>
      </c>
      <c r="G503" s="49" t="s">
        <v>907</v>
      </c>
      <c r="H503" s="49" t="s">
        <v>104</v>
      </c>
      <c r="I503" s="49" t="s">
        <v>104</v>
      </c>
      <c r="J503" s="49">
        <v>1</v>
      </c>
      <c r="K503" s="49"/>
      <c r="L503" s="49" t="s">
        <v>607</v>
      </c>
    </row>
    <row r="504" spans="2:12" ht="15" hidden="1">
      <c r="B504" s="136" t="s">
        <v>1347</v>
      </c>
      <c r="C504" s="49" t="s">
        <v>894</v>
      </c>
      <c r="D504" s="15" t="s">
        <v>1348</v>
      </c>
      <c r="E504" s="15" t="s">
        <v>997</v>
      </c>
      <c r="F504" s="50">
        <v>1850000</v>
      </c>
      <c r="G504" s="49" t="s">
        <v>907</v>
      </c>
      <c r="H504" s="49" t="s">
        <v>104</v>
      </c>
      <c r="I504" s="49" t="s">
        <v>104</v>
      </c>
      <c r="J504" s="49">
        <v>1</v>
      </c>
      <c r="K504" s="49"/>
      <c r="L504" s="49" t="s">
        <v>607</v>
      </c>
    </row>
    <row r="505" spans="2:12" ht="15" hidden="1">
      <c r="B505" s="136" t="s">
        <v>1349</v>
      </c>
      <c r="C505" s="49" t="s">
        <v>894</v>
      </c>
      <c r="D505" s="15" t="s">
        <v>1350</v>
      </c>
      <c r="E505" s="15" t="s">
        <v>1336</v>
      </c>
      <c r="F505" s="50">
        <v>2000000</v>
      </c>
      <c r="G505" s="49" t="s">
        <v>907</v>
      </c>
      <c r="H505" s="49" t="s">
        <v>104</v>
      </c>
      <c r="I505" s="49" t="s">
        <v>104</v>
      </c>
      <c r="J505" s="49">
        <v>1</v>
      </c>
      <c r="K505" s="49"/>
      <c r="L505" s="49" t="s">
        <v>1351</v>
      </c>
    </row>
    <row r="506" spans="2:12" ht="15" hidden="1">
      <c r="B506" s="136" t="s">
        <v>1349</v>
      </c>
      <c r="C506" s="49" t="s">
        <v>894</v>
      </c>
      <c r="D506" s="15" t="s">
        <v>1352</v>
      </c>
      <c r="E506" s="15" t="s">
        <v>1331</v>
      </c>
      <c r="F506" s="50">
        <v>3500000</v>
      </c>
      <c r="G506" s="49" t="s">
        <v>907</v>
      </c>
      <c r="H506" s="49" t="s">
        <v>104</v>
      </c>
      <c r="I506" s="49" t="s">
        <v>104</v>
      </c>
      <c r="J506" s="49">
        <v>1</v>
      </c>
      <c r="K506" s="49"/>
      <c r="L506" s="49" t="s">
        <v>533</v>
      </c>
    </row>
    <row r="507" spans="2:12" ht="15" hidden="1">
      <c r="B507" s="136" t="s">
        <v>1353</v>
      </c>
      <c r="C507" s="49" t="s">
        <v>894</v>
      </c>
      <c r="D507" s="15" t="s">
        <v>1354</v>
      </c>
      <c r="E507" s="15" t="s">
        <v>1355</v>
      </c>
      <c r="F507" s="50">
        <v>1900000</v>
      </c>
      <c r="G507" s="49" t="s">
        <v>907</v>
      </c>
      <c r="H507" s="49" t="s">
        <v>104</v>
      </c>
      <c r="I507" s="49" t="s">
        <v>104</v>
      </c>
      <c r="J507" s="49">
        <v>1</v>
      </c>
      <c r="K507" s="49"/>
      <c r="L507" s="49" t="s">
        <v>1351</v>
      </c>
    </row>
    <row r="508" spans="2:12" ht="15" hidden="1">
      <c r="B508" s="136" t="s">
        <v>1353</v>
      </c>
      <c r="C508" s="49" t="s">
        <v>894</v>
      </c>
      <c r="D508" s="15" t="s">
        <v>1356</v>
      </c>
      <c r="E508" s="15" t="s">
        <v>997</v>
      </c>
      <c r="F508" s="50">
        <v>1950000</v>
      </c>
      <c r="G508" s="49" t="s">
        <v>907</v>
      </c>
      <c r="H508" s="49" t="s">
        <v>104</v>
      </c>
      <c r="I508" s="49" t="s">
        <v>104</v>
      </c>
      <c r="J508" s="49">
        <v>1</v>
      </c>
      <c r="K508" s="49"/>
      <c r="L508" s="49" t="s">
        <v>607</v>
      </c>
    </row>
    <row r="509" spans="2:12" ht="15" hidden="1">
      <c r="B509" s="136" t="s">
        <v>1353</v>
      </c>
      <c r="C509" s="49" t="s">
        <v>894</v>
      </c>
      <c r="D509" s="15" t="s">
        <v>704</v>
      </c>
      <c r="E509" s="15" t="s">
        <v>1357</v>
      </c>
      <c r="F509" s="50">
        <v>2300000</v>
      </c>
      <c r="G509" s="49" t="s">
        <v>907</v>
      </c>
      <c r="H509" s="49" t="s">
        <v>104</v>
      </c>
      <c r="I509" s="49" t="s">
        <v>104</v>
      </c>
      <c r="J509" s="49">
        <v>1</v>
      </c>
      <c r="K509" s="49"/>
      <c r="L509" s="49" t="s">
        <v>533</v>
      </c>
    </row>
    <row r="510" spans="2:12" ht="15" hidden="1">
      <c r="B510" s="136" t="s">
        <v>1358</v>
      </c>
      <c r="C510" s="49" t="s">
        <v>894</v>
      </c>
      <c r="D510" s="15" t="s">
        <v>1359</v>
      </c>
      <c r="E510" s="15" t="s">
        <v>982</v>
      </c>
      <c r="F510" s="50">
        <v>2300000</v>
      </c>
      <c r="G510" s="49" t="s">
        <v>907</v>
      </c>
      <c r="H510" s="49" t="s">
        <v>104</v>
      </c>
      <c r="I510" s="49" t="s">
        <v>104</v>
      </c>
      <c r="J510" s="49">
        <v>1</v>
      </c>
      <c r="K510" s="49"/>
      <c r="L510" s="49" t="s">
        <v>633</v>
      </c>
    </row>
    <row r="511" spans="2:12" ht="15" hidden="1">
      <c r="B511" s="136" t="s">
        <v>1329</v>
      </c>
      <c r="C511" s="49" t="s">
        <v>894</v>
      </c>
      <c r="D511" s="15" t="s">
        <v>1360</v>
      </c>
      <c r="E511" s="15" t="s">
        <v>1336</v>
      </c>
      <c r="F511" s="50">
        <v>2250000</v>
      </c>
      <c r="G511" s="49" t="s">
        <v>907</v>
      </c>
      <c r="H511" s="49" t="s">
        <v>104</v>
      </c>
      <c r="I511" s="49" t="s">
        <v>104</v>
      </c>
      <c r="J511" s="49">
        <v>1</v>
      </c>
      <c r="K511" s="49"/>
      <c r="L511" s="49" t="s">
        <v>633</v>
      </c>
    </row>
    <row r="512" spans="2:12" ht="15" hidden="1">
      <c r="B512" s="136" t="s">
        <v>1329</v>
      </c>
      <c r="C512" s="49" t="s">
        <v>894</v>
      </c>
      <c r="D512" s="15" t="s">
        <v>1361</v>
      </c>
      <c r="E512" s="15" t="s">
        <v>1355</v>
      </c>
      <c r="F512" s="50">
        <v>1500000</v>
      </c>
      <c r="G512" s="49" t="s">
        <v>907</v>
      </c>
      <c r="H512" s="49" t="s">
        <v>1362</v>
      </c>
      <c r="I512" s="49" t="s">
        <v>104</v>
      </c>
      <c r="J512" s="49">
        <v>1</v>
      </c>
      <c r="K512" s="49"/>
      <c r="L512" s="49" t="s">
        <v>533</v>
      </c>
    </row>
    <row r="513" spans="2:12" ht="15" hidden="1">
      <c r="B513" s="136" t="s">
        <v>1363</v>
      </c>
      <c r="C513" s="49" t="s">
        <v>894</v>
      </c>
      <c r="D513" s="15" t="s">
        <v>659</v>
      </c>
      <c r="E513" s="15" t="s">
        <v>1336</v>
      </c>
      <c r="F513" s="50">
        <v>2650000</v>
      </c>
      <c r="G513" s="49" t="s">
        <v>907</v>
      </c>
      <c r="H513" s="49" t="s">
        <v>104</v>
      </c>
      <c r="I513" s="49" t="s">
        <v>104</v>
      </c>
      <c r="J513" s="49">
        <v>1</v>
      </c>
      <c r="K513" s="49"/>
      <c r="L513" s="49" t="s">
        <v>607</v>
      </c>
    </row>
    <row r="514" spans="2:12" ht="15" hidden="1">
      <c r="B514" s="136"/>
      <c r="C514" s="49"/>
      <c r="D514" s="15"/>
      <c r="E514" s="15"/>
      <c r="F514" s="50"/>
      <c r="G514" s="49"/>
      <c r="H514" s="49"/>
      <c r="I514" s="49"/>
      <c r="J514" s="49"/>
      <c r="K514" s="49"/>
      <c r="L514" s="49"/>
    </row>
    <row r="515" spans="2:12" ht="18.75" hidden="1">
      <c r="B515" s="1097" t="s">
        <v>32</v>
      </c>
      <c r="C515" s="1097"/>
      <c r="D515" s="1097"/>
      <c r="E515" s="1097"/>
      <c r="F515" s="1097"/>
      <c r="G515" s="1097"/>
      <c r="H515" s="1097"/>
      <c r="I515" s="1097"/>
      <c r="J515" s="327">
        <f>SUM(J494:J514)</f>
        <v>20</v>
      </c>
      <c r="K515" s="327">
        <f>SUM(K491:K495)</f>
        <v>0</v>
      </c>
      <c r="L515" s="327">
        <f>J515+K515</f>
        <v>20</v>
      </c>
    </row>
    <row r="516" spans="2:12" s="31" customFormat="1" ht="18.75" hidden="1">
      <c r="B516" s="1104"/>
      <c r="C516" s="1105"/>
      <c r="D516" s="1105"/>
      <c r="E516" s="1105"/>
      <c r="F516" s="1105"/>
      <c r="G516" s="1105"/>
      <c r="H516" s="1105"/>
      <c r="I516" s="1105"/>
      <c r="J516" s="1105"/>
      <c r="K516" s="1105"/>
      <c r="L516" s="1106"/>
    </row>
    <row r="517" spans="2:12" ht="18.75" hidden="1">
      <c r="B517" s="1094" t="s">
        <v>1364</v>
      </c>
      <c r="C517" s="1095"/>
      <c r="D517" s="1095"/>
      <c r="E517" s="1095"/>
      <c r="F517" s="1095"/>
      <c r="G517" s="1095"/>
      <c r="H517" s="1095"/>
      <c r="I517" s="1095"/>
      <c r="J517" s="1095"/>
      <c r="K517" s="1095"/>
      <c r="L517" s="1096"/>
    </row>
    <row r="518" spans="2:12" ht="18.75" hidden="1">
      <c r="B518" s="328" t="s">
        <v>892</v>
      </c>
      <c r="C518" s="329" t="s">
        <v>893</v>
      </c>
      <c r="D518" s="329" t="s">
        <v>894</v>
      </c>
      <c r="E518" s="329" t="s">
        <v>895</v>
      </c>
      <c r="F518" s="330" t="s">
        <v>896</v>
      </c>
      <c r="G518" s="329" t="s">
        <v>897</v>
      </c>
      <c r="H518" s="329" t="s">
        <v>898</v>
      </c>
      <c r="I518" s="329" t="s">
        <v>899</v>
      </c>
      <c r="J518" s="329" t="s">
        <v>900</v>
      </c>
      <c r="K518" s="329" t="s">
        <v>901</v>
      </c>
      <c r="L518" s="329" t="s">
        <v>902</v>
      </c>
    </row>
    <row r="519" spans="2:12" ht="15" hidden="1">
      <c r="B519" s="394" t="s">
        <v>1365</v>
      </c>
      <c r="C519" s="395" t="s">
        <v>894</v>
      </c>
      <c r="D519" s="396" t="s">
        <v>1366</v>
      </c>
      <c r="E519" s="396" t="s">
        <v>1355</v>
      </c>
      <c r="F519" s="397">
        <v>360000000</v>
      </c>
      <c r="G519" s="395" t="s">
        <v>907</v>
      </c>
      <c r="H519" s="395" t="s">
        <v>104</v>
      </c>
      <c r="I519" s="395" t="s">
        <v>104</v>
      </c>
      <c r="J519" s="395">
        <v>1</v>
      </c>
      <c r="K519" s="395"/>
      <c r="L519" s="395" t="s">
        <v>1319</v>
      </c>
    </row>
    <row r="520" spans="2:12" ht="15" hidden="1">
      <c r="B520" s="394">
        <v>44656</v>
      </c>
      <c r="C520" s="395" t="s">
        <v>894</v>
      </c>
      <c r="D520" s="396" t="s">
        <v>1367</v>
      </c>
      <c r="E520" s="396" t="s">
        <v>997</v>
      </c>
      <c r="F520" s="397" t="s">
        <v>1368</v>
      </c>
      <c r="G520" s="395" t="s">
        <v>907</v>
      </c>
      <c r="H520" s="395" t="s">
        <v>104</v>
      </c>
      <c r="I520" s="395" t="s">
        <v>104</v>
      </c>
      <c r="J520" s="395">
        <v>1</v>
      </c>
      <c r="K520" s="395"/>
      <c r="L520" s="395" t="s">
        <v>1319</v>
      </c>
    </row>
    <row r="521" spans="2:12" ht="15" hidden="1">
      <c r="B521" s="394">
        <v>44656</v>
      </c>
      <c r="C521" s="395" t="s">
        <v>894</v>
      </c>
      <c r="D521" s="396" t="s">
        <v>1369</v>
      </c>
      <c r="E521" s="396" t="s">
        <v>997</v>
      </c>
      <c r="F521" s="397">
        <v>340000000</v>
      </c>
      <c r="G521" s="395" t="s">
        <v>907</v>
      </c>
      <c r="H521" s="395" t="s">
        <v>104</v>
      </c>
      <c r="I521" s="395" t="s">
        <v>104</v>
      </c>
      <c r="J521" s="395">
        <v>1</v>
      </c>
      <c r="K521" s="395"/>
      <c r="L521" s="395" t="s">
        <v>1319</v>
      </c>
    </row>
    <row r="522" spans="2:12" ht="15" hidden="1">
      <c r="B522" s="136" t="s">
        <v>1332</v>
      </c>
      <c r="C522" s="49" t="s">
        <v>894</v>
      </c>
      <c r="D522" s="15" t="s">
        <v>1370</v>
      </c>
      <c r="E522" s="15" t="s">
        <v>1371</v>
      </c>
      <c r="F522" s="50">
        <v>1900000</v>
      </c>
      <c r="G522" s="49" t="s">
        <v>907</v>
      </c>
      <c r="H522" s="49" t="s">
        <v>104</v>
      </c>
      <c r="I522" s="49" t="s">
        <v>104</v>
      </c>
      <c r="J522" s="49">
        <v>1</v>
      </c>
      <c r="K522" s="49"/>
      <c r="L522" s="49" t="s">
        <v>633</v>
      </c>
    </row>
    <row r="523" spans="2:12" ht="15" hidden="1">
      <c r="B523" s="136" t="s">
        <v>1365</v>
      </c>
      <c r="C523" s="49" t="s">
        <v>894</v>
      </c>
      <c r="D523" s="15" t="s">
        <v>1372</v>
      </c>
      <c r="E523" s="15" t="s">
        <v>1355</v>
      </c>
      <c r="F523" s="50">
        <v>1900000</v>
      </c>
      <c r="G523" s="49" t="s">
        <v>1091</v>
      </c>
      <c r="H523" s="49" t="s">
        <v>104</v>
      </c>
      <c r="I523" s="49" t="s">
        <v>104</v>
      </c>
      <c r="J523" s="49">
        <v>1</v>
      </c>
      <c r="K523" s="49"/>
      <c r="L523" s="49" t="s">
        <v>607</v>
      </c>
    </row>
    <row r="524" spans="2:12" ht="15" hidden="1">
      <c r="B524" s="136">
        <v>44597</v>
      </c>
      <c r="C524" s="49" t="s">
        <v>894</v>
      </c>
      <c r="D524" s="15" t="s">
        <v>1373</v>
      </c>
      <c r="E524" s="15" t="s">
        <v>994</v>
      </c>
      <c r="F524" s="50">
        <v>2000000</v>
      </c>
      <c r="G524" s="49" t="s">
        <v>907</v>
      </c>
      <c r="H524" s="49" t="s">
        <v>104</v>
      </c>
      <c r="I524" s="49" t="s">
        <v>104</v>
      </c>
      <c r="J524" s="49">
        <v>1</v>
      </c>
      <c r="K524" s="49"/>
      <c r="L524" s="49" t="s">
        <v>607</v>
      </c>
    </row>
    <row r="525" spans="2:12" ht="15" hidden="1">
      <c r="B525" s="136">
        <v>44717</v>
      </c>
      <c r="C525" s="49" t="s">
        <v>894</v>
      </c>
      <c r="D525" s="15" t="s">
        <v>1374</v>
      </c>
      <c r="E525" s="15" t="s">
        <v>982</v>
      </c>
      <c r="F525" s="50">
        <v>2700000</v>
      </c>
      <c r="G525" s="49" t="s">
        <v>907</v>
      </c>
      <c r="H525" s="49" t="s">
        <v>104</v>
      </c>
      <c r="I525" s="49" t="s">
        <v>104</v>
      </c>
      <c r="J525" s="49">
        <v>1</v>
      </c>
      <c r="K525" s="49"/>
      <c r="L525" s="49" t="s">
        <v>633</v>
      </c>
    </row>
    <row r="526" spans="2:12" ht="15" hidden="1">
      <c r="B526" s="472">
        <v>44870</v>
      </c>
      <c r="C526" s="49" t="s">
        <v>894</v>
      </c>
      <c r="D526" s="1" t="s">
        <v>1369</v>
      </c>
      <c r="E526" s="1" t="s">
        <v>997</v>
      </c>
      <c r="F526" s="50">
        <v>2100000</v>
      </c>
      <c r="G526" s="49" t="s">
        <v>911</v>
      </c>
      <c r="H526" s="49" t="s">
        <v>104</v>
      </c>
      <c r="I526" s="49" t="s">
        <v>104</v>
      </c>
      <c r="J526" s="49">
        <v>1</v>
      </c>
      <c r="K526" s="49"/>
      <c r="L526" s="49" t="s">
        <v>633</v>
      </c>
    </row>
    <row r="527" spans="2:12" ht="15" hidden="1">
      <c r="B527" s="136">
        <v>44870</v>
      </c>
      <c r="C527" s="49" t="s">
        <v>894</v>
      </c>
      <c r="D527" s="15" t="s">
        <v>1375</v>
      </c>
      <c r="E527" s="15" t="s">
        <v>1040</v>
      </c>
      <c r="F527" s="50">
        <v>1600000</v>
      </c>
      <c r="G527" s="49" t="s">
        <v>907</v>
      </c>
      <c r="H527" s="49" t="s">
        <v>104</v>
      </c>
      <c r="I527" s="49" t="s">
        <v>104</v>
      </c>
      <c r="J527" s="49">
        <v>1</v>
      </c>
      <c r="K527" s="49"/>
      <c r="L527" s="49" t="s">
        <v>607</v>
      </c>
    </row>
    <row r="528" spans="2:12" ht="15" hidden="1">
      <c r="B528" s="136">
        <v>44870</v>
      </c>
      <c r="C528" s="49" t="s">
        <v>894</v>
      </c>
      <c r="D528" s="15" t="s">
        <v>1376</v>
      </c>
      <c r="E528" s="15" t="s">
        <v>997</v>
      </c>
      <c r="F528" s="50">
        <v>2500000</v>
      </c>
      <c r="G528" s="49" t="s">
        <v>907</v>
      </c>
      <c r="H528" s="49" t="s">
        <v>104</v>
      </c>
      <c r="I528" s="49" t="s">
        <v>104</v>
      </c>
      <c r="J528" s="49">
        <v>1</v>
      </c>
      <c r="K528" s="49"/>
      <c r="L528" s="49" t="s">
        <v>633</v>
      </c>
    </row>
    <row r="529" spans="2:12" ht="15" hidden="1">
      <c r="B529" s="136" t="s">
        <v>1377</v>
      </c>
      <c r="C529" s="49" t="s">
        <v>894</v>
      </c>
      <c r="D529" s="15" t="s">
        <v>1378</v>
      </c>
      <c r="E529" s="15" t="s">
        <v>997</v>
      </c>
      <c r="F529" s="50">
        <v>1800000</v>
      </c>
      <c r="G529" s="49" t="s">
        <v>907</v>
      </c>
      <c r="H529" s="49" t="s">
        <v>104</v>
      </c>
      <c r="I529" s="49" t="s">
        <v>104</v>
      </c>
      <c r="J529" s="49">
        <v>1</v>
      </c>
      <c r="K529" s="49"/>
      <c r="L529" s="49" t="s">
        <v>633</v>
      </c>
    </row>
    <row r="530" spans="2:12" ht="15" hidden="1">
      <c r="B530" s="136" t="s">
        <v>1377</v>
      </c>
      <c r="C530" s="49" t="s">
        <v>894</v>
      </c>
      <c r="D530" s="15" t="s">
        <v>1379</v>
      </c>
      <c r="E530" s="15" t="s">
        <v>997</v>
      </c>
      <c r="F530" s="50">
        <v>2800000</v>
      </c>
      <c r="G530" s="49" t="s">
        <v>907</v>
      </c>
      <c r="H530" s="49" t="s">
        <v>104</v>
      </c>
      <c r="I530" s="49" t="s">
        <v>104</v>
      </c>
      <c r="J530" s="49">
        <v>1</v>
      </c>
      <c r="K530" s="49"/>
      <c r="L530" s="49" t="s">
        <v>607</v>
      </c>
    </row>
    <row r="531" spans="2:12" ht="15" hidden="1">
      <c r="B531" s="136" t="s">
        <v>1347</v>
      </c>
      <c r="C531" s="49" t="s">
        <v>894</v>
      </c>
      <c r="D531" s="15" t="s">
        <v>1380</v>
      </c>
      <c r="E531" s="15" t="s">
        <v>982</v>
      </c>
      <c r="F531" s="50">
        <v>1800000</v>
      </c>
      <c r="G531" s="49" t="s">
        <v>907</v>
      </c>
      <c r="H531" s="49" t="s">
        <v>104</v>
      </c>
      <c r="I531" s="49" t="s">
        <v>104</v>
      </c>
      <c r="J531" s="49">
        <v>1</v>
      </c>
      <c r="K531" s="49"/>
      <c r="L531" s="49" t="s">
        <v>633</v>
      </c>
    </row>
    <row r="532" spans="2:12" ht="15" hidden="1">
      <c r="B532" s="136"/>
      <c r="C532" s="49"/>
      <c r="D532" s="15"/>
      <c r="E532" s="15"/>
      <c r="F532" s="50"/>
      <c r="G532" s="49"/>
      <c r="H532" s="49"/>
      <c r="I532" s="49"/>
      <c r="J532" s="49"/>
      <c r="K532" s="49"/>
      <c r="L532" s="49"/>
    </row>
    <row r="533" spans="2:12" ht="18.75" hidden="1">
      <c r="B533" s="1097" t="s">
        <v>32</v>
      </c>
      <c r="C533" s="1097"/>
      <c r="D533" s="1097"/>
      <c r="E533" s="1097"/>
      <c r="F533" s="1097"/>
      <c r="G533" s="1097"/>
      <c r="H533" s="1097"/>
      <c r="I533" s="1097"/>
      <c r="J533" s="327">
        <f>SUM(J522:J532)</f>
        <v>10</v>
      </c>
      <c r="K533" s="327">
        <f>SUM(K519:K523)</f>
        <v>0</v>
      </c>
      <c r="L533" s="327">
        <f>J533+K533</f>
        <v>10</v>
      </c>
    </row>
    <row r="534" spans="2:12" hidden="1"/>
    <row r="535" spans="2:12" ht="18.75" hidden="1">
      <c r="B535" s="1094" t="s">
        <v>1381</v>
      </c>
      <c r="C535" s="1095"/>
      <c r="D535" s="1095"/>
      <c r="E535" s="1095"/>
      <c r="F535" s="1095"/>
      <c r="G535" s="1095"/>
      <c r="H535" s="1095"/>
      <c r="I535" s="1095"/>
      <c r="J535" s="1095"/>
      <c r="K535" s="1095"/>
      <c r="L535" s="1096"/>
    </row>
    <row r="536" spans="2:12" ht="18.75" hidden="1">
      <c r="B536" s="328" t="s">
        <v>892</v>
      </c>
      <c r="C536" s="329" t="s">
        <v>893</v>
      </c>
      <c r="D536" s="329" t="s">
        <v>894</v>
      </c>
      <c r="E536" s="329" t="s">
        <v>895</v>
      </c>
      <c r="F536" s="330" t="s">
        <v>896</v>
      </c>
      <c r="G536" s="329" t="s">
        <v>897</v>
      </c>
      <c r="H536" s="329" t="s">
        <v>898</v>
      </c>
      <c r="I536" s="329" t="s">
        <v>899</v>
      </c>
      <c r="J536" s="329" t="s">
        <v>1382</v>
      </c>
      <c r="K536" s="329" t="s">
        <v>1382</v>
      </c>
      <c r="L536" s="329" t="s">
        <v>902</v>
      </c>
    </row>
    <row r="537" spans="2:12" ht="15" hidden="1">
      <c r="B537" s="394">
        <v>44870</v>
      </c>
      <c r="C537" s="395" t="s">
        <v>894</v>
      </c>
      <c r="D537" s="396" t="s">
        <v>1383</v>
      </c>
      <c r="E537" s="396" t="s">
        <v>997</v>
      </c>
      <c r="F537" s="397">
        <v>530000000</v>
      </c>
      <c r="G537" s="395" t="s">
        <v>907</v>
      </c>
      <c r="H537" s="395" t="s">
        <v>104</v>
      </c>
      <c r="I537" s="395" t="s">
        <v>104</v>
      </c>
      <c r="J537" s="395">
        <v>1</v>
      </c>
      <c r="K537" s="395"/>
      <c r="L537" s="395" t="s">
        <v>1319</v>
      </c>
    </row>
    <row r="538" spans="2:12" ht="15" hidden="1">
      <c r="B538" s="485" t="s">
        <v>1353</v>
      </c>
      <c r="C538" s="486" t="s">
        <v>894</v>
      </c>
      <c r="D538" s="487" t="s">
        <v>1384</v>
      </c>
      <c r="E538" s="487" t="s">
        <v>1385</v>
      </c>
      <c r="F538" s="488">
        <v>1200000000</v>
      </c>
      <c r="G538" s="486" t="s">
        <v>911</v>
      </c>
      <c r="H538" s="486" t="s">
        <v>104</v>
      </c>
      <c r="I538" s="486" t="s">
        <v>104</v>
      </c>
      <c r="J538" s="486">
        <v>1</v>
      </c>
      <c r="K538" s="486"/>
      <c r="L538" s="486" t="s">
        <v>942</v>
      </c>
    </row>
    <row r="539" spans="2:12" ht="15" hidden="1">
      <c r="B539" s="394"/>
      <c r="C539" s="395"/>
      <c r="D539" s="396"/>
      <c r="E539" s="396"/>
      <c r="F539" s="397"/>
      <c r="G539" s="395"/>
      <c r="H539" s="395"/>
      <c r="I539" s="395"/>
      <c r="J539" s="395"/>
      <c r="K539" s="395"/>
      <c r="L539" s="395"/>
    </row>
    <row r="540" spans="2:12" ht="15" hidden="1">
      <c r="B540" s="136" t="s">
        <v>1332</v>
      </c>
      <c r="C540" s="49" t="s">
        <v>894</v>
      </c>
      <c r="D540" s="15" t="s">
        <v>1386</v>
      </c>
      <c r="E540" s="15" t="s">
        <v>1082</v>
      </c>
      <c r="F540" s="50">
        <v>2100000</v>
      </c>
      <c r="G540" s="49" t="s">
        <v>907</v>
      </c>
      <c r="H540" s="49" t="s">
        <v>104</v>
      </c>
      <c r="I540" s="49" t="s">
        <v>104</v>
      </c>
      <c r="J540" s="49">
        <v>1</v>
      </c>
      <c r="K540" s="49"/>
      <c r="L540" s="49" t="s">
        <v>607</v>
      </c>
    </row>
    <row r="541" spans="2:12" ht="15" hidden="1">
      <c r="B541" s="136">
        <v>44656</v>
      </c>
      <c r="C541" s="49" t="s">
        <v>894</v>
      </c>
      <c r="D541" s="15" t="s">
        <v>1387</v>
      </c>
      <c r="E541" s="15" t="s">
        <v>994</v>
      </c>
      <c r="F541" s="50">
        <v>1550000</v>
      </c>
      <c r="G541" s="49" t="s">
        <v>907</v>
      </c>
      <c r="H541" s="49" t="s">
        <v>104</v>
      </c>
      <c r="I541" s="49" t="s">
        <v>104</v>
      </c>
      <c r="J541" s="49">
        <v>1</v>
      </c>
      <c r="K541" s="49"/>
      <c r="L541" s="49" t="s">
        <v>607</v>
      </c>
    </row>
    <row r="542" spans="2:12" ht="15" hidden="1">
      <c r="B542" s="136">
        <v>44686</v>
      </c>
      <c r="C542" s="49" t="s">
        <v>894</v>
      </c>
      <c r="D542" s="15" t="s">
        <v>1388</v>
      </c>
      <c r="E542" s="15" t="s">
        <v>1389</v>
      </c>
      <c r="F542" s="50">
        <v>1200000</v>
      </c>
      <c r="G542" s="49" t="s">
        <v>907</v>
      </c>
      <c r="H542" s="49" t="s">
        <v>104</v>
      </c>
      <c r="I542" s="49" t="s">
        <v>104</v>
      </c>
      <c r="J542" s="49">
        <v>1</v>
      </c>
      <c r="K542" s="49"/>
      <c r="L542" s="49" t="s">
        <v>533</v>
      </c>
    </row>
    <row r="543" spans="2:12" ht="15" hidden="1">
      <c r="B543" s="136">
        <v>4</v>
      </c>
      <c r="C543" s="49" t="s">
        <v>894</v>
      </c>
      <c r="D543" s="15" t="s">
        <v>1390</v>
      </c>
      <c r="E543" s="15" t="s">
        <v>988</v>
      </c>
      <c r="F543" s="50">
        <v>1400000</v>
      </c>
      <c r="G543" s="49" t="s">
        <v>907</v>
      </c>
      <c r="H543" s="49" t="s">
        <v>104</v>
      </c>
      <c r="I543" s="49" t="s">
        <v>104</v>
      </c>
      <c r="J543" s="49">
        <v>1</v>
      </c>
      <c r="K543" s="49"/>
      <c r="L543" s="49" t="s">
        <v>1351</v>
      </c>
    </row>
    <row r="544" spans="2:12" ht="15" hidden="1">
      <c r="B544" s="136">
        <v>44839</v>
      </c>
      <c r="C544" s="49" t="s">
        <v>894</v>
      </c>
      <c r="D544" s="15" t="s">
        <v>1391</v>
      </c>
      <c r="E544" s="15" t="s">
        <v>1392</v>
      </c>
      <c r="F544" s="50">
        <v>1500000</v>
      </c>
      <c r="G544" s="49" t="s">
        <v>907</v>
      </c>
      <c r="H544" s="49" t="s">
        <v>104</v>
      </c>
      <c r="I544" s="49" t="s">
        <v>104</v>
      </c>
      <c r="J544" s="49">
        <v>1</v>
      </c>
      <c r="K544" s="49"/>
      <c r="L544" s="49" t="s">
        <v>607</v>
      </c>
    </row>
    <row r="545" spans="2:12" ht="15" hidden="1">
      <c r="B545" s="136">
        <v>44839</v>
      </c>
      <c r="C545" s="49" t="s">
        <v>894</v>
      </c>
      <c r="D545" s="15" t="s">
        <v>1393</v>
      </c>
      <c r="E545" s="15" t="s">
        <v>1394</v>
      </c>
      <c r="F545" s="50">
        <v>1050000</v>
      </c>
      <c r="G545" s="49" t="s">
        <v>907</v>
      </c>
      <c r="H545" s="49" t="s">
        <v>104</v>
      </c>
      <c r="I545" s="49" t="s">
        <v>104</v>
      </c>
      <c r="J545" s="49">
        <v>1</v>
      </c>
      <c r="K545" s="49"/>
      <c r="L545" s="49" t="s">
        <v>607</v>
      </c>
    </row>
    <row r="546" spans="2:12" ht="15" hidden="1">
      <c r="B546" s="60" t="s">
        <v>1349</v>
      </c>
      <c r="C546" s="61" t="s">
        <v>894</v>
      </c>
      <c r="D546" s="489" t="s">
        <v>1395</v>
      </c>
      <c r="E546" s="489" t="s">
        <v>1336</v>
      </c>
      <c r="F546" s="490">
        <v>1800000</v>
      </c>
      <c r="G546" s="61" t="s">
        <v>907</v>
      </c>
      <c r="H546" s="61" t="s">
        <v>104</v>
      </c>
      <c r="I546" s="61" t="s">
        <v>104</v>
      </c>
      <c r="J546" s="61">
        <v>1</v>
      </c>
      <c r="K546" s="61"/>
      <c r="L546" s="61" t="s">
        <v>607</v>
      </c>
    </row>
    <row r="547" spans="2:12" ht="15" hidden="1">
      <c r="B547" s="52" t="s">
        <v>1396</v>
      </c>
      <c r="C547" s="61" t="s">
        <v>1397</v>
      </c>
      <c r="D547" s="52" t="s">
        <v>1398</v>
      </c>
      <c r="E547" s="52" t="s">
        <v>1336</v>
      </c>
      <c r="F547" s="490">
        <v>1300000</v>
      </c>
      <c r="G547" s="61" t="s">
        <v>911</v>
      </c>
      <c r="H547" s="61" t="s">
        <v>104</v>
      </c>
      <c r="I547" s="61" t="s">
        <v>104</v>
      </c>
      <c r="J547" s="478">
        <v>1</v>
      </c>
      <c r="K547" s="52"/>
      <c r="L547" s="478" t="s">
        <v>607</v>
      </c>
    </row>
    <row r="548" spans="2:12" ht="15" hidden="1">
      <c r="B548" s="52" t="s">
        <v>1358</v>
      </c>
      <c r="C548" s="61" t="s">
        <v>894</v>
      </c>
      <c r="D548" s="52" t="s">
        <v>1399</v>
      </c>
      <c r="E548" s="52" t="s">
        <v>1355</v>
      </c>
      <c r="F548" s="490">
        <v>2600000</v>
      </c>
      <c r="G548" s="61" t="s">
        <v>907</v>
      </c>
      <c r="H548" s="61" t="s">
        <v>104</v>
      </c>
      <c r="I548" s="61" t="s">
        <v>104</v>
      </c>
      <c r="J548" s="478">
        <v>1</v>
      </c>
      <c r="K548" s="52"/>
      <c r="L548" s="478" t="s">
        <v>533</v>
      </c>
    </row>
    <row r="549" spans="2:12" ht="15" hidden="1">
      <c r="B549" s="136"/>
      <c r="C549" s="49"/>
      <c r="D549" s="15"/>
      <c r="E549" s="15"/>
      <c r="F549" s="50"/>
      <c r="G549" s="49"/>
      <c r="H549" s="49"/>
      <c r="I549" s="49"/>
      <c r="J549" s="49"/>
      <c r="K549" s="49"/>
      <c r="L549" s="49"/>
    </row>
    <row r="550" spans="2:12" ht="18.75" hidden="1">
      <c r="B550" s="1097" t="s">
        <v>32</v>
      </c>
      <c r="C550" s="1097"/>
      <c r="D550" s="1097"/>
      <c r="E550" s="1097"/>
      <c r="F550" s="1097"/>
      <c r="G550" s="1097"/>
      <c r="H550" s="1097"/>
      <c r="I550" s="1097"/>
      <c r="J550" s="327">
        <f>SUM(J540:J549)</f>
        <v>9</v>
      </c>
      <c r="K550" s="327">
        <f>SUM(K537:K541)</f>
        <v>0</v>
      </c>
      <c r="L550" s="327">
        <f>J550+K550</f>
        <v>9</v>
      </c>
    </row>
    <row r="551" spans="2:12" hidden="1"/>
    <row r="552" spans="2:12" ht="18.75" hidden="1">
      <c r="B552" s="1094" t="s">
        <v>1400</v>
      </c>
      <c r="C552" s="1095"/>
      <c r="D552" s="1095"/>
      <c r="E552" s="1095"/>
      <c r="F552" s="1095"/>
      <c r="G552" s="1095"/>
      <c r="H552" s="1095"/>
      <c r="I552" s="1095"/>
      <c r="J552" s="1095"/>
      <c r="K552" s="1095"/>
      <c r="L552" s="1096"/>
    </row>
    <row r="553" spans="2:12" ht="18.75" hidden="1">
      <c r="B553" s="328" t="s">
        <v>892</v>
      </c>
      <c r="C553" s="329" t="s">
        <v>893</v>
      </c>
      <c r="D553" s="329" t="s">
        <v>894</v>
      </c>
      <c r="E553" s="329" t="s">
        <v>895</v>
      </c>
      <c r="F553" s="330" t="s">
        <v>896</v>
      </c>
      <c r="G553" s="329" t="s">
        <v>897</v>
      </c>
      <c r="H553" s="329" t="s">
        <v>898</v>
      </c>
      <c r="I553" s="329" t="s">
        <v>899</v>
      </c>
      <c r="J553" s="329" t="s">
        <v>900</v>
      </c>
      <c r="K553" s="329" t="s">
        <v>901</v>
      </c>
      <c r="L553" s="329" t="s">
        <v>902</v>
      </c>
    </row>
    <row r="554" spans="2:12" ht="15" hidden="1">
      <c r="B554" s="394" t="s">
        <v>1401</v>
      </c>
      <c r="C554" s="395" t="s">
        <v>894</v>
      </c>
      <c r="D554" s="396" t="s">
        <v>1402</v>
      </c>
      <c r="E554" s="396" t="s">
        <v>997</v>
      </c>
      <c r="F554" s="397">
        <v>900000000</v>
      </c>
      <c r="G554" s="395" t="s">
        <v>907</v>
      </c>
      <c r="H554" s="395" t="s">
        <v>104</v>
      </c>
      <c r="I554" s="395" t="s">
        <v>104</v>
      </c>
      <c r="J554" s="395">
        <v>1</v>
      </c>
      <c r="K554" s="395"/>
      <c r="L554" s="395" t="s">
        <v>1319</v>
      </c>
    </row>
    <row r="555" spans="2:12" ht="15" hidden="1">
      <c r="B555" s="394" t="s">
        <v>1332</v>
      </c>
      <c r="C555" s="395" t="s">
        <v>894</v>
      </c>
      <c r="D555" s="396" t="s">
        <v>1403</v>
      </c>
      <c r="E555" s="396" t="s">
        <v>1088</v>
      </c>
      <c r="F555" s="397">
        <v>340000000</v>
      </c>
      <c r="G555" s="395" t="s">
        <v>907</v>
      </c>
      <c r="H555" s="395" t="s">
        <v>104</v>
      </c>
      <c r="I555" s="395" t="s">
        <v>104</v>
      </c>
      <c r="J555" s="395">
        <v>1</v>
      </c>
      <c r="K555" s="395"/>
      <c r="L555" s="395" t="s">
        <v>1319</v>
      </c>
    </row>
    <row r="556" spans="2:12" ht="15" hidden="1">
      <c r="B556" s="394">
        <v>44809</v>
      </c>
      <c r="C556" s="395" t="s">
        <v>894</v>
      </c>
      <c r="D556" s="396" t="s">
        <v>1404</v>
      </c>
      <c r="E556" s="396" t="s">
        <v>57</v>
      </c>
      <c r="F556" s="397">
        <v>240000000</v>
      </c>
      <c r="G556" s="395" t="s">
        <v>907</v>
      </c>
      <c r="H556" s="395" t="s">
        <v>104</v>
      </c>
      <c r="I556" s="395" t="s">
        <v>104</v>
      </c>
      <c r="J556" s="395">
        <v>1</v>
      </c>
      <c r="K556" s="395"/>
      <c r="L556" s="395" t="s">
        <v>1319</v>
      </c>
    </row>
    <row r="557" spans="2:12" ht="15" hidden="1">
      <c r="B557" s="394">
        <v>44690</v>
      </c>
      <c r="C557" s="395" t="s">
        <v>894</v>
      </c>
      <c r="D557" s="396" t="s">
        <v>1405</v>
      </c>
      <c r="E557" s="396" t="s">
        <v>57</v>
      </c>
      <c r="F557" s="397">
        <v>215000000</v>
      </c>
      <c r="G557" s="395" t="s">
        <v>907</v>
      </c>
      <c r="H557" s="395" t="s">
        <v>104</v>
      </c>
      <c r="I557" s="395" t="s">
        <v>104</v>
      </c>
      <c r="J557" s="395">
        <v>1</v>
      </c>
      <c r="K557" s="395"/>
      <c r="L557" s="395" t="s">
        <v>1319</v>
      </c>
    </row>
    <row r="558" spans="2:12" s="405" customFormat="1" ht="15" hidden="1">
      <c r="B558" s="401"/>
      <c r="C558" s="402"/>
      <c r="D558" s="403"/>
      <c r="E558" s="403"/>
      <c r="F558" s="404"/>
      <c r="G558" s="402"/>
      <c r="H558" s="402"/>
      <c r="I558" s="402"/>
      <c r="J558" s="406">
        <f>SUM(J554:J557)</f>
        <v>4</v>
      </c>
      <c r="K558" s="402"/>
      <c r="L558" s="402"/>
    </row>
    <row r="559" spans="2:12" ht="15" hidden="1">
      <c r="B559" s="136" t="s">
        <v>1332</v>
      </c>
      <c r="C559" s="49" t="s">
        <v>894</v>
      </c>
      <c r="D559" s="15" t="s">
        <v>1406</v>
      </c>
      <c r="E559" s="15" t="s">
        <v>982</v>
      </c>
      <c r="F559" s="50">
        <v>3300000</v>
      </c>
      <c r="G559" s="49" t="s">
        <v>907</v>
      </c>
      <c r="H559" s="49" t="s">
        <v>104</v>
      </c>
      <c r="I559" s="49" t="s">
        <v>104</v>
      </c>
      <c r="J559" s="49">
        <v>1</v>
      </c>
      <c r="K559" s="49"/>
      <c r="L559" s="49" t="s">
        <v>533</v>
      </c>
    </row>
    <row r="560" spans="2:12" ht="15" hidden="1">
      <c r="B560" s="136" t="s">
        <v>1332</v>
      </c>
      <c r="C560" s="49" t="s">
        <v>894</v>
      </c>
      <c r="D560" s="15" t="s">
        <v>680</v>
      </c>
      <c r="E560" s="15" t="s">
        <v>1407</v>
      </c>
      <c r="F560" s="50">
        <v>1200000</v>
      </c>
      <c r="G560" s="49" t="s">
        <v>907</v>
      </c>
      <c r="H560" s="49" t="s">
        <v>104</v>
      </c>
      <c r="I560" s="49" t="s">
        <v>104</v>
      </c>
      <c r="J560" s="49">
        <v>1</v>
      </c>
      <c r="K560" s="49"/>
      <c r="L560" s="49" t="s">
        <v>633</v>
      </c>
    </row>
    <row r="561" spans="2:12" ht="15" hidden="1">
      <c r="B561" s="136" t="s">
        <v>1332</v>
      </c>
      <c r="C561" s="49" t="s">
        <v>894</v>
      </c>
      <c r="D561" s="15" t="s">
        <v>1408</v>
      </c>
      <c r="E561" s="15" t="s">
        <v>1082</v>
      </c>
      <c r="F561" s="50">
        <v>2500000</v>
      </c>
      <c r="G561" s="49" t="s">
        <v>907</v>
      </c>
      <c r="H561" s="49" t="s">
        <v>104</v>
      </c>
      <c r="I561" s="49" t="s">
        <v>104</v>
      </c>
      <c r="J561" s="49">
        <v>1</v>
      </c>
      <c r="K561" s="49"/>
      <c r="L561" s="49" t="s">
        <v>607</v>
      </c>
    </row>
    <row r="562" spans="2:12" ht="15" hidden="1">
      <c r="B562" s="136" t="s">
        <v>1332</v>
      </c>
      <c r="C562" s="49" t="s">
        <v>894</v>
      </c>
      <c r="D562" s="15" t="s">
        <v>1409</v>
      </c>
      <c r="E562" s="15" t="s">
        <v>988</v>
      </c>
      <c r="F562" s="50">
        <v>1750000</v>
      </c>
      <c r="G562" s="49" t="s">
        <v>907</v>
      </c>
      <c r="H562" s="49" t="s">
        <v>104</v>
      </c>
      <c r="I562" s="49" t="s">
        <v>104</v>
      </c>
      <c r="J562" s="49">
        <v>1</v>
      </c>
      <c r="K562" s="49"/>
      <c r="L562" s="49" t="s">
        <v>533</v>
      </c>
    </row>
    <row r="563" spans="2:12" ht="15" hidden="1">
      <c r="B563" s="136" t="s">
        <v>1332</v>
      </c>
      <c r="C563" s="49" t="s">
        <v>894</v>
      </c>
      <c r="D563" s="15" t="s">
        <v>1410</v>
      </c>
      <c r="E563" s="15" t="s">
        <v>988</v>
      </c>
      <c r="F563" s="50">
        <v>1800000</v>
      </c>
      <c r="G563" s="49" t="s">
        <v>907</v>
      </c>
      <c r="H563" s="49" t="s">
        <v>104</v>
      </c>
      <c r="I563" s="49" t="s">
        <v>104</v>
      </c>
      <c r="J563" s="49">
        <v>1</v>
      </c>
      <c r="K563" s="49"/>
      <c r="L563" s="49" t="s">
        <v>607</v>
      </c>
    </row>
    <row r="564" spans="2:12" ht="15" hidden="1">
      <c r="B564" s="136" t="s">
        <v>1411</v>
      </c>
      <c r="C564" s="49" t="s">
        <v>894</v>
      </c>
      <c r="D564" s="15" t="s">
        <v>678</v>
      </c>
      <c r="E564" s="15" t="s">
        <v>1407</v>
      </c>
      <c r="F564" s="50">
        <v>1250000</v>
      </c>
      <c r="G564" s="49" t="s">
        <v>907</v>
      </c>
      <c r="H564" s="49" t="s">
        <v>104</v>
      </c>
      <c r="I564" s="49" t="s">
        <v>104</v>
      </c>
      <c r="J564" s="49">
        <v>1</v>
      </c>
      <c r="K564" s="49"/>
      <c r="L564" s="49" t="s">
        <v>633</v>
      </c>
    </row>
    <row r="565" spans="2:12" ht="15" hidden="1">
      <c r="B565" s="136">
        <v>44597</v>
      </c>
      <c r="C565" s="49" t="s">
        <v>894</v>
      </c>
      <c r="D565" s="15" t="s">
        <v>701</v>
      </c>
      <c r="E565" s="15" t="s">
        <v>988</v>
      </c>
      <c r="F565" s="50">
        <v>1700000</v>
      </c>
      <c r="G565" s="49" t="s">
        <v>907</v>
      </c>
      <c r="H565" s="49" t="s">
        <v>104</v>
      </c>
      <c r="I565" s="49" t="s">
        <v>104</v>
      </c>
      <c r="J565" s="49">
        <v>1</v>
      </c>
      <c r="K565" s="49"/>
      <c r="L565" s="49" t="s">
        <v>533</v>
      </c>
    </row>
    <row r="566" spans="2:12" ht="15" hidden="1">
      <c r="B566" s="136">
        <v>44597</v>
      </c>
      <c r="C566" s="49" t="s">
        <v>894</v>
      </c>
      <c r="D566" s="15" t="s">
        <v>1412</v>
      </c>
      <c r="E566" s="15" t="s">
        <v>1407</v>
      </c>
      <c r="F566" s="50">
        <v>1000000</v>
      </c>
      <c r="G566" s="49" t="s">
        <v>907</v>
      </c>
      <c r="H566" s="49" t="s">
        <v>104</v>
      </c>
      <c r="I566" s="49" t="s">
        <v>104</v>
      </c>
      <c r="J566" s="49">
        <v>1</v>
      </c>
      <c r="K566" s="49"/>
      <c r="L566" s="49" t="s">
        <v>633</v>
      </c>
    </row>
    <row r="567" spans="2:12" ht="15" hidden="1">
      <c r="B567" s="136">
        <v>44656</v>
      </c>
      <c r="C567" s="49" t="s">
        <v>894</v>
      </c>
      <c r="D567" s="15" t="s">
        <v>1413</v>
      </c>
      <c r="E567" s="15" t="s">
        <v>988</v>
      </c>
      <c r="F567" s="50">
        <v>1800000</v>
      </c>
      <c r="G567" s="49" t="s">
        <v>907</v>
      </c>
      <c r="H567" s="49" t="s">
        <v>104</v>
      </c>
      <c r="I567" s="49" t="s">
        <v>104</v>
      </c>
      <c r="J567" s="49">
        <v>1</v>
      </c>
      <c r="K567" s="49"/>
      <c r="L567" s="49" t="s">
        <v>607</v>
      </c>
    </row>
    <row r="568" spans="2:12" ht="15" hidden="1">
      <c r="B568" s="136">
        <v>44685</v>
      </c>
      <c r="C568" s="49" t="s">
        <v>894</v>
      </c>
      <c r="D568" s="15" t="s">
        <v>1414</v>
      </c>
      <c r="E568" s="15" t="s">
        <v>1407</v>
      </c>
      <c r="F568" s="50">
        <v>1200000</v>
      </c>
      <c r="G568" s="49" t="s">
        <v>907</v>
      </c>
      <c r="H568" s="49" t="s">
        <v>104</v>
      </c>
      <c r="I568" s="49" t="s">
        <v>104</v>
      </c>
      <c r="J568" s="49">
        <v>1</v>
      </c>
      <c r="K568" s="49"/>
      <c r="L568" s="49" t="s">
        <v>633</v>
      </c>
    </row>
    <row r="569" spans="2:12" ht="15" hidden="1">
      <c r="B569" s="136">
        <v>44656</v>
      </c>
      <c r="C569" s="49" t="s">
        <v>894</v>
      </c>
      <c r="D569" s="15" t="s">
        <v>1415</v>
      </c>
      <c r="E569" s="15" t="s">
        <v>1407</v>
      </c>
      <c r="F569" s="50">
        <v>1150000</v>
      </c>
      <c r="G569" s="49" t="s">
        <v>1416</v>
      </c>
      <c r="H569" s="49" t="s">
        <v>104</v>
      </c>
      <c r="I569" s="49" t="s">
        <v>104</v>
      </c>
      <c r="J569" s="49">
        <v>1</v>
      </c>
      <c r="K569" s="49"/>
      <c r="L569" s="49" t="s">
        <v>607</v>
      </c>
    </row>
    <row r="570" spans="2:12" ht="15" hidden="1">
      <c r="B570" s="136">
        <v>44685</v>
      </c>
      <c r="C570" s="49" t="s">
        <v>894</v>
      </c>
      <c r="D570" s="15" t="s">
        <v>1417</v>
      </c>
      <c r="E570" s="15" t="s">
        <v>1407</v>
      </c>
      <c r="F570" s="50">
        <v>1100000</v>
      </c>
      <c r="G570" s="49" t="s">
        <v>907</v>
      </c>
      <c r="H570" s="49" t="s">
        <v>104</v>
      </c>
      <c r="I570" s="49" t="s">
        <v>104</v>
      </c>
      <c r="J570" s="49">
        <v>1</v>
      </c>
      <c r="K570" s="49"/>
      <c r="L570" s="49" t="s">
        <v>533</v>
      </c>
    </row>
    <row r="571" spans="2:12" ht="15" hidden="1">
      <c r="B571" s="136">
        <v>44870</v>
      </c>
      <c r="C571" s="49" t="s">
        <v>894</v>
      </c>
      <c r="D571" s="15" t="s">
        <v>1418</v>
      </c>
      <c r="E571" s="15" t="s">
        <v>1407</v>
      </c>
      <c r="F571" s="50">
        <v>1300000</v>
      </c>
      <c r="G571" s="49" t="s">
        <v>907</v>
      </c>
      <c r="H571" s="49" t="s">
        <v>104</v>
      </c>
      <c r="I571" s="49" t="s">
        <v>104</v>
      </c>
      <c r="J571" s="49">
        <v>1</v>
      </c>
      <c r="K571" s="49"/>
      <c r="L571" s="49" t="s">
        <v>607</v>
      </c>
    </row>
    <row r="572" spans="2:12" ht="15" hidden="1">
      <c r="B572" s="136">
        <v>44839</v>
      </c>
      <c r="C572" s="49" t="s">
        <v>894</v>
      </c>
      <c r="D572" s="15" t="s">
        <v>1419</v>
      </c>
      <c r="E572" s="15" t="s">
        <v>1420</v>
      </c>
      <c r="F572" s="50">
        <v>700000</v>
      </c>
      <c r="G572" s="49" t="s">
        <v>907</v>
      </c>
      <c r="H572" s="49" t="s">
        <v>104</v>
      </c>
      <c r="I572" s="49" t="s">
        <v>104</v>
      </c>
      <c r="J572" s="49">
        <v>1</v>
      </c>
      <c r="K572" s="49"/>
      <c r="L572" s="49" t="s">
        <v>633</v>
      </c>
    </row>
    <row r="573" spans="2:12" ht="15" hidden="1">
      <c r="B573" s="136">
        <v>44870</v>
      </c>
      <c r="C573" s="49" t="s">
        <v>894</v>
      </c>
      <c r="D573" s="15" t="s">
        <v>1421</v>
      </c>
      <c r="E573" s="15" t="s">
        <v>997</v>
      </c>
      <c r="F573" s="50">
        <v>1850000</v>
      </c>
      <c r="G573" s="49" t="s">
        <v>911</v>
      </c>
      <c r="H573" s="49" t="s">
        <v>104</v>
      </c>
      <c r="I573" s="49" t="s">
        <v>104</v>
      </c>
      <c r="J573" s="49">
        <v>1</v>
      </c>
      <c r="K573" s="49"/>
      <c r="L573" s="49" t="s">
        <v>533</v>
      </c>
    </row>
    <row r="574" spans="2:12" ht="15" hidden="1">
      <c r="B574" s="136">
        <v>44870</v>
      </c>
      <c r="C574" s="49" t="s">
        <v>894</v>
      </c>
      <c r="D574" s="15" t="s">
        <v>1422</v>
      </c>
      <c r="E574" s="15" t="s">
        <v>1423</v>
      </c>
      <c r="F574" s="50">
        <v>1900000</v>
      </c>
      <c r="G574" s="49" t="s">
        <v>911</v>
      </c>
      <c r="H574" s="49" t="s">
        <v>104</v>
      </c>
      <c r="I574" s="49" t="s">
        <v>104</v>
      </c>
      <c r="J574" s="49">
        <v>1</v>
      </c>
      <c r="K574" s="49"/>
      <c r="L574" s="49" t="s">
        <v>533</v>
      </c>
    </row>
    <row r="575" spans="2:12" ht="15" hidden="1">
      <c r="B575" s="136" t="s">
        <v>1347</v>
      </c>
      <c r="C575" s="49" t="s">
        <v>894</v>
      </c>
      <c r="D575" s="15" t="s">
        <v>1424</v>
      </c>
      <c r="E575" s="15" t="s">
        <v>1407</v>
      </c>
      <c r="F575" s="50">
        <v>1250000</v>
      </c>
      <c r="G575" s="49" t="s">
        <v>907</v>
      </c>
      <c r="H575" s="49" t="s">
        <v>104</v>
      </c>
      <c r="I575" s="49" t="s">
        <v>104</v>
      </c>
      <c r="J575" s="49">
        <v>1</v>
      </c>
      <c r="K575" s="49"/>
      <c r="L575" s="49" t="s">
        <v>533</v>
      </c>
    </row>
    <row r="576" spans="2:12" ht="15" hidden="1">
      <c r="B576" s="136" t="s">
        <v>1353</v>
      </c>
      <c r="C576" s="49" t="s">
        <v>894</v>
      </c>
      <c r="D576" s="15" t="s">
        <v>1425</v>
      </c>
      <c r="E576" s="15" t="s">
        <v>988</v>
      </c>
      <c r="F576" s="50">
        <v>1700000</v>
      </c>
      <c r="G576" s="49" t="s">
        <v>907</v>
      </c>
      <c r="H576" s="49" t="s">
        <v>104</v>
      </c>
      <c r="I576" s="49" t="s">
        <v>104</v>
      </c>
      <c r="J576" s="49">
        <v>1</v>
      </c>
      <c r="K576" s="49"/>
      <c r="L576" s="49" t="s">
        <v>633</v>
      </c>
    </row>
    <row r="577" spans="2:12" ht="15" hidden="1">
      <c r="B577" s="136" t="s">
        <v>1353</v>
      </c>
      <c r="C577" s="49" t="s">
        <v>894</v>
      </c>
      <c r="D577" s="15" t="s">
        <v>1426</v>
      </c>
      <c r="E577" s="15" t="s">
        <v>988</v>
      </c>
      <c r="F577" s="50">
        <v>1650000</v>
      </c>
      <c r="G577" s="49" t="s">
        <v>907</v>
      </c>
      <c r="H577" s="49" t="s">
        <v>104</v>
      </c>
      <c r="I577" s="49" t="s">
        <v>104</v>
      </c>
      <c r="J577" s="49">
        <v>1</v>
      </c>
      <c r="K577" s="49"/>
      <c r="L577" s="49" t="s">
        <v>533</v>
      </c>
    </row>
    <row r="578" spans="2:12" ht="15" hidden="1">
      <c r="B578" s="136" t="s">
        <v>1358</v>
      </c>
      <c r="C578" s="49" t="s">
        <v>894</v>
      </c>
      <c r="D578" s="15" t="s">
        <v>1427</v>
      </c>
      <c r="E578" s="15" t="s">
        <v>982</v>
      </c>
      <c r="F578" s="50">
        <v>1450000</v>
      </c>
      <c r="G578" s="49" t="s">
        <v>907</v>
      </c>
      <c r="H578" s="49" t="s">
        <v>104</v>
      </c>
      <c r="I578" s="49" t="s">
        <v>104</v>
      </c>
      <c r="J578" s="49">
        <v>1</v>
      </c>
      <c r="K578" s="49"/>
      <c r="L578" s="49" t="s">
        <v>607</v>
      </c>
    </row>
    <row r="579" spans="2:12" ht="15" hidden="1">
      <c r="B579" s="136" t="s">
        <v>1358</v>
      </c>
      <c r="C579" s="49" t="s">
        <v>894</v>
      </c>
      <c r="D579" s="15" t="s">
        <v>1428</v>
      </c>
      <c r="E579" s="15" t="s">
        <v>988</v>
      </c>
      <c r="F579" s="50">
        <v>1700000</v>
      </c>
      <c r="G579" s="49" t="s">
        <v>1091</v>
      </c>
      <c r="H579" s="49" t="s">
        <v>104</v>
      </c>
      <c r="I579" s="49" t="s">
        <v>104</v>
      </c>
      <c r="J579" s="49">
        <v>1</v>
      </c>
      <c r="K579" s="49"/>
      <c r="L579" s="49" t="s">
        <v>533</v>
      </c>
    </row>
    <row r="580" spans="2:12" ht="15" hidden="1">
      <c r="B580" s="136" t="s">
        <v>1363</v>
      </c>
      <c r="C580" s="49" t="s">
        <v>894</v>
      </c>
      <c r="D580" s="15" t="s">
        <v>1429</v>
      </c>
      <c r="E580" s="15" t="s">
        <v>1040</v>
      </c>
      <c r="F580" s="50">
        <v>2800000</v>
      </c>
      <c r="G580" s="49" t="s">
        <v>907</v>
      </c>
      <c r="H580" s="49" t="s">
        <v>104</v>
      </c>
      <c r="I580" s="49" t="s">
        <v>104</v>
      </c>
      <c r="J580" s="49">
        <v>1</v>
      </c>
      <c r="K580" s="49"/>
      <c r="L580" s="49" t="s">
        <v>533</v>
      </c>
    </row>
    <row r="581" spans="2:12" ht="15" hidden="1">
      <c r="B581" s="136"/>
      <c r="C581" s="49"/>
      <c r="D581" s="15"/>
      <c r="E581" s="15"/>
      <c r="F581" s="50"/>
      <c r="G581" s="49"/>
      <c r="H581" s="49"/>
      <c r="I581" s="49"/>
      <c r="J581" s="49"/>
      <c r="K581" s="49"/>
      <c r="L581" s="49"/>
    </row>
    <row r="582" spans="2:12" ht="18.75" hidden="1">
      <c r="B582" s="1097" t="s">
        <v>32</v>
      </c>
      <c r="C582" s="1097"/>
      <c r="D582" s="1097"/>
      <c r="E582" s="1097"/>
      <c r="F582" s="1097"/>
      <c r="G582" s="1097"/>
      <c r="H582" s="1097"/>
      <c r="I582" s="1097"/>
      <c r="J582" s="327">
        <f>SUM(J559:J581)</f>
        <v>22</v>
      </c>
      <c r="K582" s="327">
        <f>SUM(K554:K560)</f>
        <v>0</v>
      </c>
      <c r="L582" s="327">
        <f>J582+K582</f>
        <v>22</v>
      </c>
    </row>
    <row r="583" spans="2:12" hidden="1"/>
    <row r="584" spans="2:12" ht="18.75" hidden="1">
      <c r="B584" s="1094" t="s">
        <v>1430</v>
      </c>
      <c r="C584" s="1095"/>
      <c r="D584" s="1095"/>
      <c r="E584" s="1095"/>
      <c r="F584" s="1095"/>
      <c r="G584" s="1095"/>
      <c r="H584" s="1095"/>
      <c r="I584" s="1095"/>
      <c r="J584" s="1095"/>
      <c r="K584" s="1095"/>
      <c r="L584" s="1096"/>
    </row>
    <row r="585" spans="2:12" ht="18.75" hidden="1">
      <c r="B585" s="328" t="s">
        <v>892</v>
      </c>
      <c r="C585" s="329" t="s">
        <v>893</v>
      </c>
      <c r="D585" s="329" t="s">
        <v>894</v>
      </c>
      <c r="E585" s="329" t="s">
        <v>895</v>
      </c>
      <c r="F585" s="330" t="s">
        <v>896</v>
      </c>
      <c r="G585" s="329" t="s">
        <v>897</v>
      </c>
      <c r="H585" s="329" t="s">
        <v>898</v>
      </c>
      <c r="I585" s="329" t="s">
        <v>899</v>
      </c>
      <c r="J585" s="329" t="s">
        <v>900</v>
      </c>
      <c r="K585" s="329" t="s">
        <v>901</v>
      </c>
      <c r="L585" s="329" t="s">
        <v>902</v>
      </c>
    </row>
    <row r="586" spans="2:12" ht="15" hidden="1">
      <c r="B586" s="394"/>
      <c r="C586" s="395"/>
      <c r="D586" s="396"/>
      <c r="E586" s="396"/>
      <c r="F586" s="397"/>
      <c r="G586" s="395"/>
      <c r="H586" s="395"/>
      <c r="I586" s="395"/>
      <c r="J586" s="395"/>
      <c r="K586" s="395"/>
      <c r="L586" s="395"/>
    </row>
    <row r="587" spans="2:12" ht="15" hidden="1">
      <c r="B587" s="394"/>
      <c r="C587" s="395"/>
      <c r="D587" s="396"/>
      <c r="E587" s="396"/>
      <c r="F587" s="397"/>
      <c r="G587" s="395"/>
      <c r="H587" s="395"/>
      <c r="I587" s="395"/>
      <c r="J587" s="395"/>
      <c r="K587" s="395"/>
      <c r="L587" s="395"/>
    </row>
    <row r="588" spans="2:12" ht="15" hidden="1">
      <c r="B588" s="394"/>
      <c r="C588" s="395"/>
      <c r="D588" s="396"/>
      <c r="E588" s="396"/>
      <c r="F588" s="397"/>
      <c r="G588" s="395"/>
      <c r="H588" s="395"/>
      <c r="I588" s="395"/>
      <c r="J588" s="395"/>
      <c r="K588" s="395"/>
      <c r="L588" s="395"/>
    </row>
    <row r="589" spans="2:12" ht="15" hidden="1">
      <c r="B589" s="136">
        <v>44625</v>
      </c>
      <c r="C589" s="49" t="s">
        <v>1397</v>
      </c>
      <c r="D589" s="15" t="s">
        <v>1431</v>
      </c>
      <c r="E589" s="15" t="s">
        <v>57</v>
      </c>
      <c r="F589" s="50">
        <v>2500000</v>
      </c>
      <c r="G589" s="49" t="s">
        <v>911</v>
      </c>
      <c r="H589" s="49" t="s">
        <v>104</v>
      </c>
      <c r="I589" s="49" t="s">
        <v>104</v>
      </c>
      <c r="J589" s="49">
        <v>1</v>
      </c>
      <c r="K589" s="49"/>
      <c r="L589" s="49" t="s">
        <v>1351</v>
      </c>
    </row>
    <row r="590" spans="2:12" ht="15" hidden="1">
      <c r="B590" s="136">
        <v>44656</v>
      </c>
      <c r="C590" s="49" t="s">
        <v>894</v>
      </c>
      <c r="D590" s="15" t="s">
        <v>1432</v>
      </c>
      <c r="E590" s="15" t="s">
        <v>57</v>
      </c>
      <c r="F590" s="50">
        <v>1800000</v>
      </c>
      <c r="G590" s="49" t="s">
        <v>911</v>
      </c>
      <c r="H590" s="49" t="s">
        <v>104</v>
      </c>
      <c r="I590" s="49" t="s">
        <v>104</v>
      </c>
      <c r="J590" s="49">
        <v>1</v>
      </c>
      <c r="K590" s="49"/>
      <c r="L590" s="49" t="s">
        <v>1351</v>
      </c>
    </row>
    <row r="591" spans="2:12" ht="15" hidden="1">
      <c r="B591" s="136">
        <v>44870</v>
      </c>
      <c r="C591" s="49" t="s">
        <v>894</v>
      </c>
      <c r="D591" s="15" t="s">
        <v>1433</v>
      </c>
      <c r="E591" s="15" t="s">
        <v>1392</v>
      </c>
      <c r="F591" s="50">
        <v>1250000</v>
      </c>
      <c r="G591" s="49" t="s">
        <v>911</v>
      </c>
      <c r="H591" s="49" t="s">
        <v>104</v>
      </c>
      <c r="I591" s="49" t="s">
        <v>104</v>
      </c>
      <c r="J591" s="49">
        <v>1</v>
      </c>
      <c r="K591" s="49"/>
      <c r="L591" s="49" t="s">
        <v>1351</v>
      </c>
    </row>
    <row r="592" spans="2:12" ht="15" hidden="1">
      <c r="B592" s="136" t="s">
        <v>1396</v>
      </c>
      <c r="C592" s="49" t="s">
        <v>894</v>
      </c>
      <c r="D592" s="15" t="s">
        <v>1434</v>
      </c>
      <c r="E592" s="15" t="s">
        <v>1435</v>
      </c>
      <c r="F592" s="50">
        <v>1000000</v>
      </c>
      <c r="G592" s="49" t="s">
        <v>911</v>
      </c>
      <c r="H592" s="49" t="s">
        <v>104</v>
      </c>
      <c r="I592" s="49" t="s">
        <v>104</v>
      </c>
      <c r="J592" s="49">
        <v>1</v>
      </c>
      <c r="K592" s="49"/>
      <c r="L592" s="49" t="s">
        <v>533</v>
      </c>
    </row>
    <row r="593" spans="2:12" ht="15" hidden="1">
      <c r="B593" s="136" t="s">
        <v>1396</v>
      </c>
      <c r="C593" s="49" t="s">
        <v>894</v>
      </c>
      <c r="D593" s="15" t="s">
        <v>1436</v>
      </c>
      <c r="E593" s="15" t="s">
        <v>1355</v>
      </c>
      <c r="F593" s="50">
        <v>1550000</v>
      </c>
      <c r="G593" s="49" t="s">
        <v>911</v>
      </c>
      <c r="H593" s="49" t="s">
        <v>104</v>
      </c>
      <c r="I593" s="49" t="s">
        <v>104</v>
      </c>
      <c r="J593" s="49">
        <v>1</v>
      </c>
      <c r="K593" s="49"/>
      <c r="L593" s="49" t="s">
        <v>1351</v>
      </c>
    </row>
    <row r="594" spans="2:12" ht="15" hidden="1">
      <c r="B594" s="136"/>
      <c r="C594" s="49"/>
      <c r="D594" s="15"/>
      <c r="E594" s="15"/>
      <c r="F594" s="50"/>
      <c r="G594" s="49"/>
      <c r="H594" s="49"/>
      <c r="I594" s="49"/>
      <c r="J594" s="49"/>
      <c r="K594" s="49"/>
      <c r="L594" s="49"/>
    </row>
    <row r="595" spans="2:12" ht="18.75" hidden="1">
      <c r="B595" s="1097" t="s">
        <v>32</v>
      </c>
      <c r="C595" s="1097"/>
      <c r="D595" s="1097"/>
      <c r="E595" s="1097"/>
      <c r="F595" s="1097"/>
      <c r="G595" s="1097"/>
      <c r="H595" s="1097"/>
      <c r="I595" s="1097"/>
      <c r="J595" s="327">
        <f>SUM(J589:J594)</f>
        <v>5</v>
      </c>
      <c r="K595" s="327">
        <f>SUM(K586:K590)</f>
        <v>0</v>
      </c>
      <c r="L595" s="327">
        <f>J595+K595</f>
        <v>5</v>
      </c>
    </row>
    <row r="596" spans="2:12" ht="31.5">
      <c r="B596" s="987" t="s">
        <v>311</v>
      </c>
      <c r="C596" s="987"/>
      <c r="D596" s="987"/>
      <c r="E596" s="987"/>
      <c r="F596" s="987"/>
      <c r="G596" s="987"/>
      <c r="H596" s="987"/>
      <c r="I596" s="987"/>
      <c r="J596" s="987"/>
      <c r="K596" s="987"/>
      <c r="L596" s="987"/>
    </row>
    <row r="597" spans="2:12" ht="18.75" hidden="1">
      <c r="B597" s="1094" t="s">
        <v>1437</v>
      </c>
      <c r="C597" s="1095"/>
      <c r="D597" s="1095"/>
      <c r="E597" s="1095"/>
      <c r="F597" s="1095"/>
      <c r="G597" s="1095"/>
      <c r="H597" s="1095"/>
      <c r="I597" s="1095"/>
      <c r="J597" s="1095"/>
      <c r="K597" s="1095"/>
      <c r="L597" s="1096"/>
    </row>
    <row r="598" spans="2:12" ht="18.75" hidden="1">
      <c r="B598" s="328" t="s">
        <v>892</v>
      </c>
      <c r="C598" s="329" t="s">
        <v>893</v>
      </c>
      <c r="D598" s="329" t="s">
        <v>894</v>
      </c>
      <c r="E598" s="329" t="s">
        <v>895</v>
      </c>
      <c r="F598" s="330" t="s">
        <v>896</v>
      </c>
      <c r="G598" s="329" t="s">
        <v>897</v>
      </c>
      <c r="H598" s="329" t="s">
        <v>898</v>
      </c>
      <c r="I598" s="329" t="s">
        <v>899</v>
      </c>
      <c r="J598" s="329" t="s">
        <v>900</v>
      </c>
      <c r="K598" s="329" t="s">
        <v>901</v>
      </c>
      <c r="L598" s="329" t="s">
        <v>902</v>
      </c>
    </row>
    <row r="599" spans="2:12" ht="15" hidden="1">
      <c r="B599" s="394" t="s">
        <v>1438</v>
      </c>
      <c r="C599" s="395" t="s">
        <v>894</v>
      </c>
      <c r="D599" s="396" t="s">
        <v>1439</v>
      </c>
      <c r="E599" s="396" t="s">
        <v>997</v>
      </c>
      <c r="F599" s="397">
        <v>1010000000</v>
      </c>
      <c r="G599" s="395" t="s">
        <v>907</v>
      </c>
      <c r="H599" s="395" t="s">
        <v>104</v>
      </c>
      <c r="I599" s="395" t="s">
        <v>104</v>
      </c>
      <c r="J599" s="395">
        <v>1</v>
      </c>
      <c r="K599" s="395"/>
      <c r="L599" s="395" t="s">
        <v>942</v>
      </c>
    </row>
    <row r="600" spans="2:12" ht="15" hidden="1">
      <c r="B600" s="394" t="s">
        <v>1438</v>
      </c>
      <c r="C600" s="395" t="s">
        <v>957</v>
      </c>
      <c r="D600" s="396" t="s">
        <v>1440</v>
      </c>
      <c r="E600" s="396" t="s">
        <v>1441</v>
      </c>
      <c r="F600" s="397">
        <v>990000000</v>
      </c>
      <c r="G600" s="395" t="s">
        <v>907</v>
      </c>
      <c r="H600" s="395" t="s">
        <v>104</v>
      </c>
      <c r="I600" s="395" t="s">
        <v>104</v>
      </c>
      <c r="J600" s="395">
        <v>1</v>
      </c>
      <c r="K600" s="395"/>
      <c r="L600" s="395" t="s">
        <v>942</v>
      </c>
    </row>
    <row r="601" spans="2:12" ht="15" hidden="1">
      <c r="B601" s="394">
        <v>44626</v>
      </c>
      <c r="C601" s="395" t="s">
        <v>957</v>
      </c>
      <c r="D601" s="396" t="s">
        <v>1442</v>
      </c>
      <c r="E601" s="396" t="s">
        <v>1441</v>
      </c>
      <c r="F601" s="397">
        <v>890000000</v>
      </c>
      <c r="G601" s="395" t="s">
        <v>911</v>
      </c>
      <c r="H601" s="395" t="s">
        <v>104</v>
      </c>
      <c r="I601" s="395" t="s">
        <v>104</v>
      </c>
      <c r="J601" s="395">
        <v>1</v>
      </c>
      <c r="K601" s="395"/>
      <c r="L601" s="395" t="s">
        <v>942</v>
      </c>
    </row>
    <row r="602" spans="2:12" ht="15" hidden="1">
      <c r="B602" s="136" t="s">
        <v>1443</v>
      </c>
      <c r="C602" s="49" t="s">
        <v>957</v>
      </c>
      <c r="D602" s="15" t="s">
        <v>1444</v>
      </c>
      <c r="E602" s="15" t="s">
        <v>1445</v>
      </c>
      <c r="F602" s="50">
        <v>2000000</v>
      </c>
      <c r="G602" s="49" t="s">
        <v>911</v>
      </c>
      <c r="H602" s="49" t="s">
        <v>104</v>
      </c>
      <c r="I602" s="49" t="s">
        <v>104</v>
      </c>
      <c r="J602" s="49">
        <v>1</v>
      </c>
      <c r="K602" s="49"/>
      <c r="L602" s="49" t="s">
        <v>607</v>
      </c>
    </row>
    <row r="603" spans="2:12" ht="15" hidden="1">
      <c r="B603" s="136" t="s">
        <v>1443</v>
      </c>
      <c r="C603" s="49" t="s">
        <v>894</v>
      </c>
      <c r="D603" s="15" t="s">
        <v>733</v>
      </c>
      <c r="E603" s="15" t="s">
        <v>1337</v>
      </c>
      <c r="F603" s="50">
        <v>2000000</v>
      </c>
      <c r="G603" s="49" t="s">
        <v>907</v>
      </c>
      <c r="H603" s="49" t="s">
        <v>104</v>
      </c>
      <c r="I603" s="49" t="s">
        <v>104</v>
      </c>
      <c r="J603" s="49">
        <v>1</v>
      </c>
      <c r="K603" s="49"/>
      <c r="L603" s="49" t="s">
        <v>533</v>
      </c>
    </row>
    <row r="604" spans="2:12" ht="15" hidden="1">
      <c r="B604" s="136" t="s">
        <v>1443</v>
      </c>
      <c r="C604" s="49" t="s">
        <v>894</v>
      </c>
      <c r="D604" s="15" t="s">
        <v>1446</v>
      </c>
      <c r="E604" s="15" t="s">
        <v>982</v>
      </c>
      <c r="F604" s="50">
        <v>1600000</v>
      </c>
      <c r="G604" s="49" t="s">
        <v>907</v>
      </c>
      <c r="H604" s="49" t="s">
        <v>104</v>
      </c>
      <c r="I604" s="49" t="s">
        <v>104</v>
      </c>
      <c r="J604" s="49">
        <v>1</v>
      </c>
      <c r="K604" s="49"/>
      <c r="L604" s="49" t="s">
        <v>533</v>
      </c>
    </row>
    <row r="605" spans="2:12" ht="15" hidden="1">
      <c r="B605" s="136" t="s">
        <v>1438</v>
      </c>
      <c r="C605" s="49" t="s">
        <v>957</v>
      </c>
      <c r="D605" s="15" t="s">
        <v>1439</v>
      </c>
      <c r="E605" s="15" t="s">
        <v>997</v>
      </c>
      <c r="F605" s="50">
        <v>5000000</v>
      </c>
      <c r="G605" s="49" t="s">
        <v>907</v>
      </c>
      <c r="H605" s="49" t="s">
        <v>104</v>
      </c>
      <c r="I605" s="49" t="s">
        <v>104</v>
      </c>
      <c r="J605" s="49">
        <v>1</v>
      </c>
      <c r="K605" s="49"/>
      <c r="L605" s="49" t="s">
        <v>533</v>
      </c>
    </row>
    <row r="606" spans="2:12" ht="15" hidden="1">
      <c r="B606" s="136">
        <v>44598</v>
      </c>
      <c r="C606" s="49" t="s">
        <v>894</v>
      </c>
      <c r="D606" s="15" t="s">
        <v>723</v>
      </c>
      <c r="E606" s="15" t="s">
        <v>985</v>
      </c>
      <c r="F606" s="50">
        <v>1100000</v>
      </c>
      <c r="G606" s="49" t="s">
        <v>911</v>
      </c>
      <c r="H606" s="49" t="s">
        <v>104</v>
      </c>
      <c r="I606" s="49" t="s">
        <v>104</v>
      </c>
      <c r="J606" s="49">
        <v>1</v>
      </c>
      <c r="K606" s="49"/>
      <c r="L606" s="49" t="s">
        <v>633</v>
      </c>
    </row>
    <row r="607" spans="2:12" ht="15" hidden="1">
      <c r="B607" s="136">
        <v>44598</v>
      </c>
      <c r="C607" s="49" t="s">
        <v>894</v>
      </c>
      <c r="D607" s="15" t="s">
        <v>1447</v>
      </c>
      <c r="E607" s="15" t="s">
        <v>1337</v>
      </c>
      <c r="F607" s="50">
        <v>1800000</v>
      </c>
      <c r="G607" s="49" t="s">
        <v>907</v>
      </c>
      <c r="H607" s="49" t="s">
        <v>104</v>
      </c>
      <c r="I607" s="49" t="s">
        <v>104</v>
      </c>
      <c r="J607" s="49">
        <v>1</v>
      </c>
      <c r="K607" s="49"/>
      <c r="L607" s="49" t="s">
        <v>607</v>
      </c>
    </row>
    <row r="608" spans="2:12" ht="15" hidden="1">
      <c r="B608" s="136" t="s">
        <v>1448</v>
      </c>
      <c r="C608" s="49" t="s">
        <v>894</v>
      </c>
      <c r="D608" s="15" t="s">
        <v>421</v>
      </c>
      <c r="E608" s="15" t="s">
        <v>982</v>
      </c>
      <c r="F608" s="50">
        <v>2250000</v>
      </c>
      <c r="G608" s="49" t="s">
        <v>907</v>
      </c>
      <c r="H608" s="49" t="s">
        <v>104</v>
      </c>
      <c r="I608" s="49" t="s">
        <v>104</v>
      </c>
      <c r="J608" s="49">
        <v>1</v>
      </c>
      <c r="K608" s="49"/>
      <c r="L608" s="49" t="s">
        <v>533</v>
      </c>
    </row>
    <row r="609" spans="2:12" ht="15" hidden="1">
      <c r="B609" s="136">
        <v>44748</v>
      </c>
      <c r="C609" s="49" t="s">
        <v>894</v>
      </c>
      <c r="D609" s="15" t="s">
        <v>1449</v>
      </c>
      <c r="E609" s="15" t="s">
        <v>1337</v>
      </c>
      <c r="F609" s="50">
        <v>2900000</v>
      </c>
      <c r="G609" s="49" t="s">
        <v>907</v>
      </c>
      <c r="H609" s="49" t="s">
        <v>104</v>
      </c>
      <c r="I609" s="49" t="s">
        <v>104</v>
      </c>
      <c r="J609" s="49">
        <v>1</v>
      </c>
      <c r="K609" s="49"/>
      <c r="L609" s="49" t="s">
        <v>633</v>
      </c>
    </row>
    <row r="610" spans="2:12" ht="15" hidden="1">
      <c r="B610" s="136">
        <v>44779</v>
      </c>
      <c r="C610" s="49" t="s">
        <v>894</v>
      </c>
      <c r="D610" s="15" t="s">
        <v>1450</v>
      </c>
      <c r="E610" s="15" t="s">
        <v>997</v>
      </c>
      <c r="F610" s="50">
        <v>1950000</v>
      </c>
      <c r="G610" s="49" t="s">
        <v>911</v>
      </c>
      <c r="H610" s="49" t="s">
        <v>104</v>
      </c>
      <c r="I610" s="49" t="s">
        <v>104</v>
      </c>
      <c r="J610" s="49">
        <v>1</v>
      </c>
      <c r="K610" s="49"/>
      <c r="L610" s="49" t="s">
        <v>607</v>
      </c>
    </row>
    <row r="611" spans="2:12" ht="15" hidden="1">
      <c r="B611" s="136">
        <v>44810</v>
      </c>
      <c r="C611" s="49" t="s">
        <v>894</v>
      </c>
      <c r="D611" s="15" t="s">
        <v>1451</v>
      </c>
      <c r="E611" s="15" t="s">
        <v>1452</v>
      </c>
      <c r="F611" s="50">
        <v>2000000</v>
      </c>
      <c r="G611" s="49" t="s">
        <v>907</v>
      </c>
      <c r="H611" s="49" t="s">
        <v>104</v>
      </c>
      <c r="I611" s="49" t="s">
        <v>104</v>
      </c>
      <c r="J611" s="49">
        <v>1</v>
      </c>
      <c r="K611" s="49"/>
      <c r="L611" s="49" t="s">
        <v>607</v>
      </c>
    </row>
    <row r="612" spans="2:12" ht="15" hidden="1">
      <c r="B612" s="136" t="s">
        <v>1453</v>
      </c>
      <c r="C612" s="49" t="s">
        <v>894</v>
      </c>
      <c r="D612" s="15" t="s">
        <v>1454</v>
      </c>
      <c r="E612" s="15" t="s">
        <v>1452</v>
      </c>
      <c r="F612" s="50">
        <v>2300000</v>
      </c>
      <c r="G612" s="49" t="s">
        <v>907</v>
      </c>
      <c r="H612" s="49" t="s">
        <v>104</v>
      </c>
      <c r="I612" s="49" t="s">
        <v>104</v>
      </c>
      <c r="J612" s="49">
        <v>1</v>
      </c>
      <c r="K612" s="49"/>
      <c r="L612" s="49" t="s">
        <v>533</v>
      </c>
    </row>
    <row r="613" spans="2:12" ht="15" hidden="1">
      <c r="B613" s="136" t="s">
        <v>1453</v>
      </c>
      <c r="C613" s="49" t="s">
        <v>894</v>
      </c>
      <c r="D613" s="15" t="s">
        <v>711</v>
      </c>
      <c r="E613" s="15" t="s">
        <v>997</v>
      </c>
      <c r="F613" s="50">
        <v>2400000</v>
      </c>
      <c r="G613" s="49" t="s">
        <v>907</v>
      </c>
      <c r="H613" s="49" t="s">
        <v>104</v>
      </c>
      <c r="I613" s="49" t="s">
        <v>104</v>
      </c>
      <c r="J613" s="49">
        <v>1</v>
      </c>
      <c r="K613" s="49"/>
      <c r="L613" s="49" t="s">
        <v>607</v>
      </c>
    </row>
    <row r="614" spans="2:12" ht="15" hidden="1">
      <c r="B614" s="136" t="s">
        <v>1453</v>
      </c>
      <c r="C614" s="49" t="s">
        <v>894</v>
      </c>
      <c r="D614" s="15" t="s">
        <v>1455</v>
      </c>
      <c r="E614" s="15" t="s">
        <v>997</v>
      </c>
      <c r="F614" s="50">
        <v>1500000</v>
      </c>
      <c r="G614" s="49" t="s">
        <v>907</v>
      </c>
      <c r="H614" s="49" t="s">
        <v>104</v>
      </c>
      <c r="I614" s="49" t="s">
        <v>104</v>
      </c>
      <c r="J614" s="49">
        <v>1</v>
      </c>
      <c r="K614" s="49"/>
      <c r="L614" s="49" t="s">
        <v>533</v>
      </c>
    </row>
    <row r="615" spans="2:12" ht="15" hidden="1">
      <c r="B615" s="136" t="s">
        <v>1453</v>
      </c>
      <c r="C615" s="49" t="s">
        <v>894</v>
      </c>
      <c r="D615" s="15" t="s">
        <v>710</v>
      </c>
      <c r="E615" s="15" t="s">
        <v>1452</v>
      </c>
      <c r="F615" s="50">
        <v>1900000</v>
      </c>
      <c r="G615" s="49" t="s">
        <v>907</v>
      </c>
      <c r="H615" s="49" t="s">
        <v>104</v>
      </c>
      <c r="I615" s="49" t="s">
        <v>104</v>
      </c>
      <c r="J615" s="49">
        <v>1</v>
      </c>
      <c r="K615" s="49"/>
      <c r="L615" s="49" t="s">
        <v>607</v>
      </c>
    </row>
    <row r="616" spans="2:12" ht="15" hidden="1">
      <c r="B616" s="136" t="s">
        <v>1453</v>
      </c>
      <c r="C616" s="49" t="s">
        <v>894</v>
      </c>
      <c r="D616" s="15" t="s">
        <v>1456</v>
      </c>
      <c r="E616" s="15" t="s">
        <v>1331</v>
      </c>
      <c r="F616" s="50">
        <v>1900000</v>
      </c>
      <c r="G616" s="49" t="s">
        <v>907</v>
      </c>
      <c r="H616" s="49" t="s">
        <v>104</v>
      </c>
      <c r="I616" s="49" t="s">
        <v>104</v>
      </c>
      <c r="J616" s="49">
        <v>1</v>
      </c>
      <c r="K616" s="49"/>
      <c r="L616" s="49" t="s">
        <v>607</v>
      </c>
    </row>
    <row r="617" spans="2:12" ht="15" hidden="1">
      <c r="B617" s="136" t="s">
        <v>1457</v>
      </c>
      <c r="C617" s="49" t="s">
        <v>894</v>
      </c>
      <c r="D617" s="15" t="s">
        <v>1458</v>
      </c>
      <c r="E617" s="15" t="s">
        <v>1040</v>
      </c>
      <c r="F617" s="50">
        <v>2500000</v>
      </c>
      <c r="G617" s="49" t="s">
        <v>907</v>
      </c>
      <c r="H617" s="49" t="s">
        <v>104</v>
      </c>
      <c r="I617" s="49" t="s">
        <v>104</v>
      </c>
      <c r="J617" s="49">
        <v>1</v>
      </c>
      <c r="K617" s="49"/>
      <c r="L617" s="49" t="s">
        <v>533</v>
      </c>
    </row>
    <row r="618" spans="2:12" ht="15" hidden="1">
      <c r="B618" s="136" t="s">
        <v>1459</v>
      </c>
      <c r="C618" s="49" t="s">
        <v>894</v>
      </c>
      <c r="D618" s="15" t="s">
        <v>1460</v>
      </c>
      <c r="E618" s="15" t="s">
        <v>1452</v>
      </c>
      <c r="F618" s="50">
        <v>2100000</v>
      </c>
      <c r="G618" s="49" t="s">
        <v>907</v>
      </c>
      <c r="H618" s="49" t="s">
        <v>104</v>
      </c>
      <c r="I618" s="49" t="s">
        <v>104</v>
      </c>
      <c r="J618" s="49">
        <v>1</v>
      </c>
      <c r="K618" s="49"/>
      <c r="L618" s="49" t="s">
        <v>607</v>
      </c>
    </row>
    <row r="619" spans="2:12" ht="15" hidden="1">
      <c r="B619" s="136" t="s">
        <v>1459</v>
      </c>
      <c r="C619" s="49" t="s">
        <v>894</v>
      </c>
      <c r="D619" s="15" t="s">
        <v>783</v>
      </c>
      <c r="E619" s="15" t="s">
        <v>1355</v>
      </c>
      <c r="F619" s="50">
        <v>2000000</v>
      </c>
      <c r="G619" s="49" t="s">
        <v>907</v>
      </c>
      <c r="H619" s="49" t="s">
        <v>104</v>
      </c>
      <c r="I619" s="49" t="s">
        <v>104</v>
      </c>
      <c r="J619" s="49">
        <v>1</v>
      </c>
      <c r="K619" s="49"/>
      <c r="L619" s="49" t="s">
        <v>533</v>
      </c>
    </row>
    <row r="620" spans="2:12" ht="15" hidden="1">
      <c r="B620" s="136" t="s">
        <v>1461</v>
      </c>
      <c r="C620" s="49" t="s">
        <v>894</v>
      </c>
      <c r="D620" s="15" t="s">
        <v>1462</v>
      </c>
      <c r="E620" s="15" t="s">
        <v>997</v>
      </c>
      <c r="F620" s="50">
        <v>2500000</v>
      </c>
      <c r="G620" s="49" t="s">
        <v>907</v>
      </c>
      <c r="H620" s="49" t="s">
        <v>104</v>
      </c>
      <c r="I620" s="49" t="s">
        <v>104</v>
      </c>
      <c r="J620" s="49">
        <v>1</v>
      </c>
      <c r="K620" s="49"/>
      <c r="L620" s="49" t="s">
        <v>633</v>
      </c>
    </row>
    <row r="621" spans="2:12" ht="15" hidden="1">
      <c r="B621" s="136" t="s">
        <v>1461</v>
      </c>
      <c r="C621" s="49" t="s">
        <v>894</v>
      </c>
      <c r="D621" s="15" t="s">
        <v>1463</v>
      </c>
      <c r="E621" s="15" t="s">
        <v>1452</v>
      </c>
      <c r="F621" s="50">
        <v>2400000</v>
      </c>
      <c r="G621" s="49" t="s">
        <v>907</v>
      </c>
      <c r="H621" s="49" t="s">
        <v>104</v>
      </c>
      <c r="I621" s="49" t="s">
        <v>104</v>
      </c>
      <c r="J621" s="49">
        <v>1</v>
      </c>
      <c r="K621" s="49"/>
      <c r="L621" s="49" t="s">
        <v>533</v>
      </c>
    </row>
    <row r="622" spans="2:12" ht="15" hidden="1">
      <c r="B622" s="136"/>
      <c r="C622" s="49"/>
      <c r="D622" s="15"/>
      <c r="E622" s="15"/>
      <c r="F622" s="50"/>
      <c r="G622" s="49"/>
      <c r="H622" s="49"/>
      <c r="I622" s="49"/>
      <c r="J622" s="49"/>
      <c r="K622" s="49"/>
      <c r="L622" s="49"/>
    </row>
    <row r="623" spans="2:12" ht="15" hidden="1">
      <c r="B623" s="136"/>
      <c r="C623" s="49"/>
      <c r="D623" s="15"/>
      <c r="E623" s="15"/>
      <c r="F623" s="50"/>
      <c r="G623" s="49"/>
      <c r="H623" s="49"/>
      <c r="I623" s="49"/>
      <c r="J623" s="406">
        <f>SUM(J602:J622)</f>
        <v>20</v>
      </c>
      <c r="K623" s="49"/>
      <c r="L623" s="49"/>
    </row>
    <row r="624" spans="2:12" ht="18.75" hidden="1">
      <c r="B624" s="1094" t="s">
        <v>1464</v>
      </c>
      <c r="C624" s="1095"/>
      <c r="D624" s="1095"/>
      <c r="E624" s="1095"/>
      <c r="F624" s="1095"/>
      <c r="G624" s="1095"/>
      <c r="H624" s="1095"/>
      <c r="I624" s="1095"/>
      <c r="J624" s="1095"/>
      <c r="K624" s="1095"/>
      <c r="L624" s="1096"/>
    </row>
    <row r="625" spans="2:12" ht="18.75" hidden="1">
      <c r="B625" s="328" t="s">
        <v>892</v>
      </c>
      <c r="C625" s="329" t="s">
        <v>893</v>
      </c>
      <c r="D625" s="329" t="s">
        <v>894</v>
      </c>
      <c r="E625" s="329" t="s">
        <v>895</v>
      </c>
      <c r="F625" s="330" t="s">
        <v>896</v>
      </c>
      <c r="G625" s="329" t="s">
        <v>897</v>
      </c>
      <c r="H625" s="329" t="s">
        <v>898</v>
      </c>
      <c r="I625" s="329" t="s">
        <v>899</v>
      </c>
      <c r="J625" s="329" t="s">
        <v>900</v>
      </c>
      <c r="K625" s="329" t="s">
        <v>901</v>
      </c>
      <c r="L625" s="329" t="s">
        <v>902</v>
      </c>
    </row>
    <row r="626" spans="2:12" ht="15" hidden="1">
      <c r="B626" s="394">
        <v>44626</v>
      </c>
      <c r="C626" s="395" t="s">
        <v>894</v>
      </c>
      <c r="D626" s="396" t="s">
        <v>1465</v>
      </c>
      <c r="E626" s="396" t="s">
        <v>1452</v>
      </c>
      <c r="F626" s="397">
        <v>350000000</v>
      </c>
      <c r="G626" s="395" t="s">
        <v>907</v>
      </c>
      <c r="H626" s="395" t="s">
        <v>104</v>
      </c>
      <c r="I626" s="395" t="s">
        <v>104</v>
      </c>
      <c r="J626" s="395">
        <v>1</v>
      </c>
      <c r="K626" s="395"/>
      <c r="L626" s="486" t="s">
        <v>942</v>
      </c>
    </row>
    <row r="627" spans="2:12" ht="15" hidden="1">
      <c r="B627" s="618" t="s">
        <v>1457</v>
      </c>
      <c r="C627" s="618" t="s">
        <v>894</v>
      </c>
      <c r="D627" s="618" t="s">
        <v>785</v>
      </c>
      <c r="E627" s="618" t="s">
        <v>982</v>
      </c>
      <c r="F627" s="397">
        <v>430000000</v>
      </c>
      <c r="G627" s="395" t="s">
        <v>907</v>
      </c>
      <c r="H627" s="618" t="s">
        <v>104</v>
      </c>
      <c r="I627" s="618" t="s">
        <v>104</v>
      </c>
      <c r="J627" s="395">
        <v>1</v>
      </c>
      <c r="K627" s="618"/>
      <c r="L627" s="486" t="s">
        <v>942</v>
      </c>
    </row>
    <row r="628" spans="2:12" ht="15" hidden="1">
      <c r="B628" s="485" t="s">
        <v>1466</v>
      </c>
      <c r="C628" s="486" t="s">
        <v>894</v>
      </c>
      <c r="D628" s="487" t="s">
        <v>1429</v>
      </c>
      <c r="E628" s="487" t="s">
        <v>997</v>
      </c>
      <c r="F628" s="488" t="s">
        <v>1467</v>
      </c>
      <c r="G628" s="486" t="s">
        <v>907</v>
      </c>
      <c r="H628" s="486" t="s">
        <v>104</v>
      </c>
      <c r="I628" s="486" t="s">
        <v>104</v>
      </c>
      <c r="J628" s="486">
        <v>1</v>
      </c>
      <c r="K628" s="486"/>
      <c r="L628" s="486" t="s">
        <v>942</v>
      </c>
    </row>
    <row r="629" spans="2:12" ht="15" hidden="1">
      <c r="B629" s="619" t="s">
        <v>1443</v>
      </c>
      <c r="C629" s="620" t="s">
        <v>894</v>
      </c>
      <c r="D629" s="621" t="s">
        <v>1468</v>
      </c>
      <c r="E629" s="621" t="s">
        <v>982</v>
      </c>
      <c r="F629" s="622">
        <v>1500000</v>
      </c>
      <c r="G629" s="620" t="s">
        <v>907</v>
      </c>
      <c r="H629" s="620" t="s">
        <v>104</v>
      </c>
      <c r="I629" s="620" t="s">
        <v>104</v>
      </c>
      <c r="J629" s="620">
        <v>1</v>
      </c>
      <c r="K629" s="620"/>
      <c r="L629" s="620" t="s">
        <v>633</v>
      </c>
    </row>
    <row r="630" spans="2:12" ht="15" hidden="1">
      <c r="B630" s="136">
        <v>44598</v>
      </c>
      <c r="C630" s="49" t="s">
        <v>894</v>
      </c>
      <c r="D630" s="15" t="s">
        <v>1469</v>
      </c>
      <c r="E630" s="15" t="s">
        <v>1407</v>
      </c>
      <c r="F630" s="50">
        <v>1300000</v>
      </c>
      <c r="G630" s="49" t="s">
        <v>907</v>
      </c>
      <c r="H630" s="49" t="s">
        <v>104</v>
      </c>
      <c r="I630" s="49" t="s">
        <v>104</v>
      </c>
      <c r="J630" s="49">
        <v>1</v>
      </c>
      <c r="K630" s="49"/>
      <c r="L630" s="49" t="s">
        <v>533</v>
      </c>
    </row>
    <row r="631" spans="2:12" ht="15" hidden="1">
      <c r="B631" s="136">
        <v>44598</v>
      </c>
      <c r="C631" s="49" t="s">
        <v>894</v>
      </c>
      <c r="D631" s="15" t="s">
        <v>1470</v>
      </c>
      <c r="E631" s="15" t="s">
        <v>988</v>
      </c>
      <c r="F631" s="50">
        <v>1800000</v>
      </c>
      <c r="G631" s="49" t="s">
        <v>1091</v>
      </c>
      <c r="H631" s="49" t="s">
        <v>104</v>
      </c>
      <c r="I631" s="49" t="s">
        <v>104</v>
      </c>
      <c r="J631" s="49">
        <v>1</v>
      </c>
      <c r="K631" s="49"/>
      <c r="L631" s="49" t="s">
        <v>633</v>
      </c>
    </row>
    <row r="632" spans="2:12" ht="15" hidden="1">
      <c r="B632" s="136">
        <v>44598</v>
      </c>
      <c r="C632" s="49" t="s">
        <v>957</v>
      </c>
      <c r="D632" s="15" t="s">
        <v>988</v>
      </c>
      <c r="E632" s="15" t="s">
        <v>988</v>
      </c>
      <c r="F632" s="50">
        <v>5300000</v>
      </c>
      <c r="G632" s="49" t="s">
        <v>911</v>
      </c>
      <c r="H632" s="49" t="s">
        <v>104</v>
      </c>
      <c r="I632" s="49" t="s">
        <v>104</v>
      </c>
      <c r="J632" s="49">
        <v>1</v>
      </c>
      <c r="K632" s="49"/>
      <c r="L632" s="49" t="s">
        <v>607</v>
      </c>
    </row>
    <row r="633" spans="2:12" ht="15" hidden="1">
      <c r="B633" s="136">
        <v>44597</v>
      </c>
      <c r="C633" s="49" t="s">
        <v>894</v>
      </c>
      <c r="D633" s="15" t="s">
        <v>1471</v>
      </c>
      <c r="E633" s="15" t="s">
        <v>1472</v>
      </c>
      <c r="F633" s="50">
        <v>650000</v>
      </c>
      <c r="G633" s="49" t="s">
        <v>907</v>
      </c>
      <c r="H633" s="49" t="s">
        <v>104</v>
      </c>
      <c r="I633" s="49" t="s">
        <v>104</v>
      </c>
      <c r="J633" s="49">
        <v>1</v>
      </c>
      <c r="K633" s="49"/>
      <c r="L633" s="49" t="s">
        <v>607</v>
      </c>
    </row>
    <row r="634" spans="2:12" ht="15" hidden="1">
      <c r="B634" s="136" t="s">
        <v>1473</v>
      </c>
      <c r="C634" s="49" t="s">
        <v>894</v>
      </c>
      <c r="D634" s="15" t="s">
        <v>1474</v>
      </c>
      <c r="E634" s="15" t="s">
        <v>1472</v>
      </c>
      <c r="F634" s="50">
        <v>700000</v>
      </c>
      <c r="G634" s="49" t="s">
        <v>907</v>
      </c>
      <c r="H634" s="49" t="s">
        <v>104</v>
      </c>
      <c r="I634" s="49" t="s">
        <v>104</v>
      </c>
      <c r="J634" s="49">
        <v>1</v>
      </c>
      <c r="K634" s="49"/>
      <c r="L634" s="49" t="s">
        <v>533</v>
      </c>
    </row>
    <row r="635" spans="2:12" ht="15" hidden="1">
      <c r="B635" s="136">
        <v>44626</v>
      </c>
      <c r="C635" s="49" t="s">
        <v>1397</v>
      </c>
      <c r="D635" s="15" t="s">
        <v>1475</v>
      </c>
      <c r="E635" s="15" t="s">
        <v>997</v>
      </c>
      <c r="F635" s="50">
        <v>1500000</v>
      </c>
      <c r="G635" s="49" t="s">
        <v>911</v>
      </c>
      <c r="H635" s="49" t="s">
        <v>1362</v>
      </c>
      <c r="I635" s="49" t="s">
        <v>1362</v>
      </c>
      <c r="J635" s="49">
        <v>1</v>
      </c>
      <c r="K635" s="49"/>
      <c r="L635" s="49" t="s">
        <v>633</v>
      </c>
    </row>
    <row r="636" spans="2:12" ht="15" hidden="1">
      <c r="B636" s="60">
        <v>44626</v>
      </c>
      <c r="C636" s="61" t="s">
        <v>894</v>
      </c>
      <c r="D636" s="489" t="s">
        <v>1476</v>
      </c>
      <c r="E636" s="489" t="s">
        <v>994</v>
      </c>
      <c r="F636" s="490">
        <v>1350000</v>
      </c>
      <c r="G636" s="61" t="s">
        <v>907</v>
      </c>
      <c r="H636" s="61" t="s">
        <v>104</v>
      </c>
      <c r="I636" s="61" t="s">
        <v>104</v>
      </c>
      <c r="J636" s="61">
        <v>1</v>
      </c>
      <c r="K636" s="61"/>
      <c r="L636" s="61" t="s">
        <v>607</v>
      </c>
    </row>
    <row r="637" spans="2:12" ht="15" hidden="1">
      <c r="B637" s="617">
        <v>44718</v>
      </c>
      <c r="C637" s="478" t="s">
        <v>894</v>
      </c>
      <c r="D637" s="52" t="s">
        <v>1477</v>
      </c>
      <c r="E637" s="52" t="s">
        <v>988</v>
      </c>
      <c r="F637" s="490">
        <v>1600000</v>
      </c>
      <c r="G637" s="61" t="s">
        <v>907</v>
      </c>
      <c r="H637" s="478" t="s">
        <v>104</v>
      </c>
      <c r="I637" s="478" t="s">
        <v>104</v>
      </c>
      <c r="J637" s="61">
        <v>1</v>
      </c>
      <c r="K637" s="52"/>
      <c r="L637" s="61" t="s">
        <v>533</v>
      </c>
    </row>
    <row r="638" spans="2:12" ht="15" hidden="1">
      <c r="B638" s="617">
        <v>44779</v>
      </c>
      <c r="C638" s="478" t="s">
        <v>894</v>
      </c>
      <c r="D638" s="52" t="s">
        <v>1478</v>
      </c>
      <c r="E638" s="52" t="s">
        <v>982</v>
      </c>
      <c r="F638" s="490">
        <v>1450000</v>
      </c>
      <c r="G638" s="61" t="s">
        <v>907</v>
      </c>
      <c r="H638" s="478" t="s">
        <v>104</v>
      </c>
      <c r="I638" s="478" t="s">
        <v>104</v>
      </c>
      <c r="J638" s="61">
        <v>1</v>
      </c>
      <c r="K638" s="52"/>
      <c r="L638" s="61" t="s">
        <v>533</v>
      </c>
    </row>
    <row r="639" spans="2:12" ht="15" hidden="1">
      <c r="B639" s="617">
        <v>44779</v>
      </c>
      <c r="C639" s="478" t="s">
        <v>894</v>
      </c>
      <c r="D639" s="52" t="s">
        <v>1479</v>
      </c>
      <c r="E639" s="52" t="s">
        <v>982</v>
      </c>
      <c r="F639" s="490">
        <v>1800000</v>
      </c>
      <c r="G639" s="61" t="s">
        <v>907</v>
      </c>
      <c r="H639" s="478" t="s">
        <v>104</v>
      </c>
      <c r="I639" s="478" t="s">
        <v>104</v>
      </c>
      <c r="J639" s="61">
        <v>1</v>
      </c>
      <c r="K639" s="52"/>
      <c r="L639" s="61" t="s">
        <v>633</v>
      </c>
    </row>
    <row r="640" spans="2:12" ht="15" hidden="1">
      <c r="B640" s="617" t="s">
        <v>1453</v>
      </c>
      <c r="C640" s="478" t="s">
        <v>894</v>
      </c>
      <c r="D640" s="52" t="s">
        <v>1480</v>
      </c>
      <c r="E640" s="52" t="s">
        <v>988</v>
      </c>
      <c r="F640" s="490">
        <v>1800000</v>
      </c>
      <c r="G640" s="61" t="s">
        <v>907</v>
      </c>
      <c r="H640" s="478" t="s">
        <v>104</v>
      </c>
      <c r="I640" s="478" t="s">
        <v>104</v>
      </c>
      <c r="J640" s="61">
        <v>1</v>
      </c>
      <c r="K640" s="52"/>
      <c r="L640" s="61" t="s">
        <v>633</v>
      </c>
    </row>
    <row r="641" spans="2:12" ht="15" hidden="1">
      <c r="B641" s="617" t="s">
        <v>1453</v>
      </c>
      <c r="C641" s="478" t="s">
        <v>894</v>
      </c>
      <c r="D641" s="52" t="s">
        <v>1481</v>
      </c>
      <c r="E641" s="52" t="s">
        <v>1088</v>
      </c>
      <c r="F641" s="490">
        <v>900000</v>
      </c>
      <c r="G641" s="61" t="s">
        <v>911</v>
      </c>
      <c r="H641" s="478" t="s">
        <v>104</v>
      </c>
      <c r="I641" s="478" t="s">
        <v>104</v>
      </c>
      <c r="J641" s="61">
        <v>1</v>
      </c>
      <c r="K641" s="52"/>
      <c r="L641" s="61" t="s">
        <v>533</v>
      </c>
    </row>
    <row r="642" spans="2:12" ht="15" hidden="1">
      <c r="B642" s="617" t="s">
        <v>1453</v>
      </c>
      <c r="C642" s="478" t="s">
        <v>894</v>
      </c>
      <c r="D642" s="52" t="s">
        <v>441</v>
      </c>
      <c r="E642" s="52" t="s">
        <v>988</v>
      </c>
      <c r="F642" s="490">
        <v>1700000</v>
      </c>
      <c r="G642" s="61" t="s">
        <v>907</v>
      </c>
      <c r="H642" s="478" t="s">
        <v>104</v>
      </c>
      <c r="I642" s="478" t="s">
        <v>104</v>
      </c>
      <c r="J642" s="61">
        <v>1</v>
      </c>
      <c r="K642" s="52"/>
      <c r="L642" s="61" t="s">
        <v>607</v>
      </c>
    </row>
    <row r="643" spans="2:12" ht="15" hidden="1">
      <c r="B643" s="617" t="s">
        <v>1457</v>
      </c>
      <c r="C643" s="478" t="s">
        <v>894</v>
      </c>
      <c r="D643" s="52" t="s">
        <v>1482</v>
      </c>
      <c r="E643" s="52" t="s">
        <v>997</v>
      </c>
      <c r="F643" s="490" t="s">
        <v>1483</v>
      </c>
      <c r="G643" s="61" t="s">
        <v>907</v>
      </c>
      <c r="H643" s="478" t="s">
        <v>104</v>
      </c>
      <c r="I643" s="478" t="s">
        <v>104</v>
      </c>
      <c r="J643" s="61">
        <v>1</v>
      </c>
      <c r="K643" s="52"/>
      <c r="L643" s="61" t="s">
        <v>633</v>
      </c>
    </row>
    <row r="644" spans="2:12" ht="15" hidden="1">
      <c r="B644" s="617" t="s">
        <v>1457</v>
      </c>
      <c r="C644" s="478" t="s">
        <v>894</v>
      </c>
      <c r="D644" s="52" t="s">
        <v>1143</v>
      </c>
      <c r="E644" s="52" t="s">
        <v>997</v>
      </c>
      <c r="F644" s="490" t="s">
        <v>1484</v>
      </c>
      <c r="G644" s="61" t="s">
        <v>907</v>
      </c>
      <c r="H644" s="478" t="s">
        <v>104</v>
      </c>
      <c r="I644" s="478" t="s">
        <v>104</v>
      </c>
      <c r="J644" s="61">
        <v>1</v>
      </c>
      <c r="K644" s="52"/>
      <c r="L644" s="61" t="s">
        <v>533</v>
      </c>
    </row>
    <row r="645" spans="2:12" ht="15" hidden="1">
      <c r="B645" s="617" t="s">
        <v>1457</v>
      </c>
      <c r="C645" s="478" t="s">
        <v>894</v>
      </c>
      <c r="D645" s="52" t="s">
        <v>1485</v>
      </c>
      <c r="E645" s="52" t="s">
        <v>982</v>
      </c>
      <c r="F645" s="490">
        <v>1800000</v>
      </c>
      <c r="G645" s="61" t="s">
        <v>907</v>
      </c>
      <c r="H645" s="478" t="s">
        <v>104</v>
      </c>
      <c r="I645" s="478" t="s">
        <v>104</v>
      </c>
      <c r="J645" s="61">
        <v>1</v>
      </c>
      <c r="K645" s="52"/>
      <c r="L645" s="61" t="s">
        <v>607</v>
      </c>
    </row>
    <row r="646" spans="2:12" ht="15" hidden="1">
      <c r="B646" s="617" t="s">
        <v>1459</v>
      </c>
      <c r="C646" s="478" t="s">
        <v>894</v>
      </c>
      <c r="D646" s="52" t="s">
        <v>712</v>
      </c>
      <c r="E646" s="52" t="s">
        <v>1040</v>
      </c>
      <c r="F646" s="490">
        <v>1650000</v>
      </c>
      <c r="G646" s="61" t="s">
        <v>907</v>
      </c>
      <c r="H646" s="478" t="s">
        <v>104</v>
      </c>
      <c r="I646" s="478" t="s">
        <v>104</v>
      </c>
      <c r="J646" s="61">
        <v>1</v>
      </c>
      <c r="K646" s="52"/>
      <c r="L646" s="61" t="s">
        <v>607</v>
      </c>
    </row>
    <row r="647" spans="2:12" ht="15" hidden="1">
      <c r="B647" s="617" t="s">
        <v>1486</v>
      </c>
      <c r="C647" s="478" t="s">
        <v>894</v>
      </c>
      <c r="D647" s="52" t="s">
        <v>1487</v>
      </c>
      <c r="E647" s="52" t="s">
        <v>997</v>
      </c>
      <c r="F647" s="490">
        <v>2500000</v>
      </c>
      <c r="G647" s="61" t="s">
        <v>907</v>
      </c>
      <c r="H647" s="478" t="s">
        <v>104</v>
      </c>
      <c r="I647" s="478" t="s">
        <v>104</v>
      </c>
      <c r="J647" s="61">
        <v>1</v>
      </c>
      <c r="K647" s="52"/>
      <c r="L647" s="61" t="s">
        <v>633</v>
      </c>
    </row>
    <row r="648" spans="2:12" ht="15" hidden="1">
      <c r="B648" s="617" t="s">
        <v>1486</v>
      </c>
      <c r="C648" s="478" t="s">
        <v>894</v>
      </c>
      <c r="D648" s="52" t="s">
        <v>714</v>
      </c>
      <c r="E648" s="52" t="s">
        <v>997</v>
      </c>
      <c r="F648" s="490">
        <v>1900000</v>
      </c>
      <c r="G648" s="61" t="s">
        <v>907</v>
      </c>
      <c r="H648" s="478" t="s">
        <v>104</v>
      </c>
      <c r="I648" s="478" t="s">
        <v>104</v>
      </c>
      <c r="J648" s="61">
        <v>1</v>
      </c>
      <c r="K648" s="52"/>
      <c r="L648" s="61" t="s">
        <v>607</v>
      </c>
    </row>
    <row r="649" spans="2:12" ht="15" hidden="1">
      <c r="B649" s="617" t="s">
        <v>1488</v>
      </c>
      <c r="C649" s="478" t="s">
        <v>894</v>
      </c>
      <c r="D649" s="52" t="s">
        <v>1489</v>
      </c>
      <c r="E649" s="52" t="s">
        <v>997</v>
      </c>
      <c r="F649" s="490">
        <v>4000000</v>
      </c>
      <c r="G649" s="61" t="s">
        <v>907</v>
      </c>
      <c r="H649" s="478" t="s">
        <v>104</v>
      </c>
      <c r="I649" s="478" t="s">
        <v>104</v>
      </c>
      <c r="J649" s="61">
        <v>1</v>
      </c>
      <c r="K649" s="52"/>
      <c r="L649" s="61" t="s">
        <v>607</v>
      </c>
    </row>
    <row r="650" spans="2:12" ht="15" hidden="1">
      <c r="B650" s="617" t="s">
        <v>1488</v>
      </c>
      <c r="C650" s="478" t="s">
        <v>894</v>
      </c>
      <c r="D650" s="52" t="s">
        <v>1490</v>
      </c>
      <c r="E650" s="52" t="s">
        <v>997</v>
      </c>
      <c r="F650" s="490">
        <v>3800000</v>
      </c>
      <c r="G650" s="61" t="s">
        <v>907</v>
      </c>
      <c r="H650" s="478" t="s">
        <v>104</v>
      </c>
      <c r="I650" s="478" t="s">
        <v>104</v>
      </c>
      <c r="J650" s="61">
        <v>1</v>
      </c>
      <c r="K650" s="52"/>
      <c r="L650" s="61" t="s">
        <v>533</v>
      </c>
    </row>
    <row r="651" spans="2:12" ht="15" hidden="1">
      <c r="B651" s="617" t="s">
        <v>1491</v>
      </c>
      <c r="C651" s="478" t="s">
        <v>894</v>
      </c>
      <c r="D651" s="52" t="s">
        <v>1492</v>
      </c>
      <c r="E651" s="52" t="s">
        <v>1331</v>
      </c>
      <c r="F651" s="490">
        <v>1800000</v>
      </c>
      <c r="G651" s="61" t="s">
        <v>907</v>
      </c>
      <c r="H651" s="478" t="s">
        <v>104</v>
      </c>
      <c r="I651" s="478" t="s">
        <v>104</v>
      </c>
      <c r="J651" s="61">
        <v>1</v>
      </c>
      <c r="K651" s="52"/>
      <c r="L651" s="61" t="s">
        <v>533</v>
      </c>
    </row>
    <row r="652" spans="2:12" ht="15" hidden="1">
      <c r="B652" s="136"/>
      <c r="C652" s="49"/>
      <c r="D652" s="15"/>
      <c r="E652" s="15"/>
      <c r="F652" s="50"/>
      <c r="G652" s="49"/>
      <c r="H652" s="49"/>
      <c r="I652" s="49"/>
      <c r="J652" s="406">
        <f>SUM(J629:J651)</f>
        <v>23</v>
      </c>
      <c r="K652" s="49"/>
      <c r="L652" s="49"/>
    </row>
    <row r="653" spans="2:12" ht="18.75" hidden="1">
      <c r="B653" s="1091" t="s">
        <v>1493</v>
      </c>
      <c r="C653" s="1092"/>
      <c r="D653" s="1092"/>
      <c r="E653" s="1092"/>
      <c r="F653" s="1092"/>
      <c r="G653" s="1092"/>
      <c r="H653" s="1092"/>
      <c r="I653" s="1092"/>
      <c r="J653" s="1092"/>
      <c r="K653" s="1092"/>
      <c r="L653" s="1093"/>
    </row>
    <row r="654" spans="2:12" ht="18.75" hidden="1">
      <c r="B654" s="328" t="s">
        <v>892</v>
      </c>
      <c r="C654" s="329" t="s">
        <v>893</v>
      </c>
      <c r="D654" s="329" t="s">
        <v>894</v>
      </c>
      <c r="E654" s="329" t="s">
        <v>895</v>
      </c>
      <c r="F654" s="330" t="s">
        <v>896</v>
      </c>
      <c r="G654" s="329" t="s">
        <v>897</v>
      </c>
      <c r="H654" s="329" t="s">
        <v>898</v>
      </c>
      <c r="I654" s="329" t="s">
        <v>899</v>
      </c>
      <c r="J654" s="329" t="s">
        <v>900</v>
      </c>
      <c r="K654" s="329" t="s">
        <v>901</v>
      </c>
      <c r="L654" s="329" t="s">
        <v>902</v>
      </c>
    </row>
    <row r="655" spans="2:12" ht="15" hidden="1">
      <c r="B655" s="394">
        <v>44810</v>
      </c>
      <c r="C655" s="395" t="s">
        <v>894</v>
      </c>
      <c r="D655" s="396" t="s">
        <v>1494</v>
      </c>
      <c r="E655" s="396" t="s">
        <v>982</v>
      </c>
      <c r="F655" s="397">
        <v>350000000</v>
      </c>
      <c r="G655" s="395" t="s">
        <v>907</v>
      </c>
      <c r="H655" s="395" t="s">
        <v>104</v>
      </c>
      <c r="I655" s="395" t="s">
        <v>104</v>
      </c>
      <c r="J655" s="395">
        <v>1</v>
      </c>
      <c r="K655" s="395"/>
      <c r="L655" s="395" t="s">
        <v>942</v>
      </c>
    </row>
    <row r="656" spans="2:12" ht="15" hidden="1">
      <c r="B656" s="394" t="s">
        <v>1459</v>
      </c>
      <c r="C656" s="395" t="s">
        <v>894</v>
      </c>
      <c r="D656" s="396" t="s">
        <v>1495</v>
      </c>
      <c r="E656" s="396" t="s">
        <v>982</v>
      </c>
      <c r="F656" s="397">
        <v>320000000</v>
      </c>
      <c r="G656" s="395" t="s">
        <v>907</v>
      </c>
      <c r="H656" s="395" t="s">
        <v>104</v>
      </c>
      <c r="I656" s="395" t="s">
        <v>104</v>
      </c>
      <c r="J656" s="395">
        <v>1</v>
      </c>
      <c r="K656" s="395"/>
      <c r="L656" s="395" t="s">
        <v>942</v>
      </c>
    </row>
    <row r="657" spans="2:12" ht="15" hidden="1">
      <c r="B657" s="394" t="s">
        <v>1461</v>
      </c>
      <c r="C657" s="395" t="s">
        <v>894</v>
      </c>
      <c r="D657" s="396" t="s">
        <v>1496</v>
      </c>
      <c r="E657" s="396" t="s">
        <v>982</v>
      </c>
      <c r="F657" s="397">
        <v>252000000</v>
      </c>
      <c r="G657" s="395" t="s">
        <v>907</v>
      </c>
      <c r="H657" s="395" t="s">
        <v>104</v>
      </c>
      <c r="I657" s="395" t="s">
        <v>104</v>
      </c>
      <c r="J657" s="395">
        <v>1</v>
      </c>
      <c r="K657" s="395"/>
      <c r="L657" s="395" t="s">
        <v>942</v>
      </c>
    </row>
    <row r="658" spans="2:12" ht="15" hidden="1">
      <c r="B658" s="136" t="s">
        <v>1438</v>
      </c>
      <c r="C658" s="49" t="s">
        <v>894</v>
      </c>
      <c r="D658" s="15" t="s">
        <v>1497</v>
      </c>
      <c r="E658" s="15" t="s">
        <v>1498</v>
      </c>
      <c r="F658" s="50">
        <v>1500000</v>
      </c>
      <c r="G658" s="49" t="s">
        <v>911</v>
      </c>
      <c r="H658" s="49" t="s">
        <v>104</v>
      </c>
      <c r="I658" s="49" t="s">
        <v>104</v>
      </c>
      <c r="J658" s="49">
        <v>1</v>
      </c>
      <c r="K658" s="49"/>
      <c r="L658" s="49" t="s">
        <v>607</v>
      </c>
    </row>
    <row r="659" spans="2:12" ht="15" hidden="1">
      <c r="B659" s="136" t="s">
        <v>1438</v>
      </c>
      <c r="C659" s="49" t="s">
        <v>894</v>
      </c>
      <c r="D659" s="15" t="s">
        <v>1499</v>
      </c>
      <c r="E659" s="15" t="s">
        <v>997</v>
      </c>
      <c r="F659" s="50">
        <v>1900000</v>
      </c>
      <c r="G659" s="49" t="s">
        <v>907</v>
      </c>
      <c r="H659" s="49" t="s">
        <v>104</v>
      </c>
      <c r="I659" s="49" t="s">
        <v>104</v>
      </c>
      <c r="J659" s="49">
        <v>1</v>
      </c>
      <c r="K659" s="49"/>
      <c r="L659" s="49" t="s">
        <v>607</v>
      </c>
    </row>
    <row r="660" spans="2:12" ht="15" hidden="1">
      <c r="B660" s="136">
        <v>44567</v>
      </c>
      <c r="C660" s="49" t="s">
        <v>894</v>
      </c>
      <c r="D660" s="15" t="s">
        <v>734</v>
      </c>
      <c r="E660" s="15" t="s">
        <v>1452</v>
      </c>
      <c r="F660" s="50">
        <v>2500000</v>
      </c>
      <c r="G660" s="49" t="s">
        <v>907</v>
      </c>
      <c r="H660" s="49" t="s">
        <v>104</v>
      </c>
      <c r="I660" s="49" t="s">
        <v>104</v>
      </c>
      <c r="J660" s="49">
        <v>1</v>
      </c>
      <c r="K660" s="49"/>
      <c r="L660" s="49" t="s">
        <v>633</v>
      </c>
    </row>
    <row r="661" spans="2:12" ht="15" hidden="1">
      <c r="B661" s="136">
        <v>44657</v>
      </c>
      <c r="C661" s="49" t="s">
        <v>894</v>
      </c>
      <c r="D661" s="15" t="s">
        <v>1500</v>
      </c>
      <c r="E661" s="15" t="s">
        <v>1040</v>
      </c>
      <c r="F661" s="50">
        <v>1800000</v>
      </c>
      <c r="G661" s="49" t="s">
        <v>911</v>
      </c>
      <c r="H661" s="49" t="s">
        <v>104</v>
      </c>
      <c r="I661" s="49" t="s">
        <v>104</v>
      </c>
      <c r="J661" s="49">
        <v>1</v>
      </c>
      <c r="K661" s="49"/>
      <c r="L661" s="49" t="s">
        <v>1351</v>
      </c>
    </row>
    <row r="662" spans="2:12" ht="15" hidden="1">
      <c r="B662" s="136">
        <v>44718</v>
      </c>
      <c r="C662" s="49" t="s">
        <v>894</v>
      </c>
      <c r="D662" s="15" t="s">
        <v>1494</v>
      </c>
      <c r="E662" s="15" t="s">
        <v>982</v>
      </c>
      <c r="F662" s="50">
        <v>1900000</v>
      </c>
      <c r="G662" s="49" t="s">
        <v>907</v>
      </c>
      <c r="H662" s="49" t="s">
        <v>104</v>
      </c>
      <c r="I662" s="49" t="s">
        <v>104</v>
      </c>
      <c r="J662" s="49">
        <v>1</v>
      </c>
      <c r="K662" s="49"/>
      <c r="L662" s="49" t="s">
        <v>607</v>
      </c>
    </row>
    <row r="663" spans="2:12" ht="15" hidden="1">
      <c r="B663" s="136">
        <v>44748</v>
      </c>
      <c r="C663" s="49" t="s">
        <v>894</v>
      </c>
      <c r="D663" s="15" t="s">
        <v>1495</v>
      </c>
      <c r="E663" s="15" t="s">
        <v>1501</v>
      </c>
      <c r="F663" s="50">
        <v>1800000</v>
      </c>
      <c r="G663" s="49" t="s">
        <v>907</v>
      </c>
      <c r="H663" s="49" t="s">
        <v>104</v>
      </c>
      <c r="I663" s="49" t="s">
        <v>104</v>
      </c>
      <c r="J663" s="49">
        <v>1</v>
      </c>
      <c r="K663" s="49"/>
      <c r="L663" s="49" t="s">
        <v>633</v>
      </c>
    </row>
    <row r="664" spans="2:12" ht="15" hidden="1">
      <c r="B664" s="136">
        <v>44810</v>
      </c>
      <c r="C664" s="49" t="s">
        <v>894</v>
      </c>
      <c r="D664" s="15" t="s">
        <v>1502</v>
      </c>
      <c r="E664" s="15" t="s">
        <v>1503</v>
      </c>
      <c r="F664" s="50">
        <v>230000</v>
      </c>
      <c r="G664" s="49" t="s">
        <v>911</v>
      </c>
      <c r="H664" s="49" t="s">
        <v>104</v>
      </c>
      <c r="I664" s="49" t="s">
        <v>104</v>
      </c>
      <c r="J664" s="49">
        <v>1</v>
      </c>
      <c r="K664" s="49"/>
      <c r="L664" s="49" t="s">
        <v>633</v>
      </c>
    </row>
    <row r="665" spans="2:12" ht="15" hidden="1">
      <c r="B665" s="136">
        <v>44718</v>
      </c>
      <c r="C665" s="49" t="s">
        <v>894</v>
      </c>
      <c r="D665" s="15" t="s">
        <v>1504</v>
      </c>
      <c r="E665" s="15" t="s">
        <v>1452</v>
      </c>
      <c r="F665" s="50">
        <v>1800000</v>
      </c>
      <c r="G665" s="49" t="s">
        <v>911</v>
      </c>
      <c r="H665" s="49" t="s">
        <v>104</v>
      </c>
      <c r="I665" s="49" t="s">
        <v>104</v>
      </c>
      <c r="J665" s="49">
        <v>1</v>
      </c>
      <c r="K665" s="49"/>
      <c r="L665" s="49" t="s">
        <v>633</v>
      </c>
    </row>
    <row r="666" spans="2:12" ht="15" hidden="1">
      <c r="B666" s="136" t="s">
        <v>1453</v>
      </c>
      <c r="C666" s="49" t="s">
        <v>894</v>
      </c>
      <c r="D666" s="15" t="s">
        <v>737</v>
      </c>
      <c r="E666" s="15" t="s">
        <v>1452</v>
      </c>
      <c r="F666" s="50">
        <v>2500000</v>
      </c>
      <c r="G666" s="49" t="s">
        <v>911</v>
      </c>
      <c r="H666" s="49" t="s">
        <v>104</v>
      </c>
      <c r="I666" s="49" t="s">
        <v>104</v>
      </c>
      <c r="J666" s="49">
        <v>1</v>
      </c>
      <c r="K666" s="49"/>
      <c r="L666" s="49" t="s">
        <v>533</v>
      </c>
    </row>
    <row r="667" spans="2:12" ht="15" hidden="1">
      <c r="B667" s="136" t="s">
        <v>1453</v>
      </c>
      <c r="C667" s="49" t="s">
        <v>894</v>
      </c>
      <c r="D667" s="15" t="s">
        <v>1505</v>
      </c>
      <c r="E667" s="15" t="s">
        <v>1082</v>
      </c>
      <c r="F667" s="50">
        <v>2200000</v>
      </c>
      <c r="G667" s="49" t="s">
        <v>911</v>
      </c>
      <c r="H667" s="49" t="s">
        <v>104</v>
      </c>
      <c r="I667" s="49" t="s">
        <v>104</v>
      </c>
      <c r="J667" s="49">
        <v>1</v>
      </c>
      <c r="K667" s="49"/>
      <c r="L667" s="49" t="s">
        <v>633</v>
      </c>
    </row>
    <row r="668" spans="2:12" ht="15" hidden="1">
      <c r="B668" s="136" t="s">
        <v>1506</v>
      </c>
      <c r="C668" s="49" t="s">
        <v>894</v>
      </c>
      <c r="D668" s="15" t="s">
        <v>1507</v>
      </c>
      <c r="E668" s="15" t="s">
        <v>1452</v>
      </c>
      <c r="F668" s="50">
        <v>2000000</v>
      </c>
      <c r="G668" s="49" t="s">
        <v>911</v>
      </c>
      <c r="H668" s="49" t="s">
        <v>104</v>
      </c>
      <c r="I668" s="49" t="s">
        <v>104</v>
      </c>
      <c r="J668" s="49">
        <v>1</v>
      </c>
      <c r="K668" s="49"/>
      <c r="L668" s="49" t="s">
        <v>533</v>
      </c>
    </row>
    <row r="669" spans="2:12" ht="15" hidden="1">
      <c r="B669" s="136" t="s">
        <v>1459</v>
      </c>
      <c r="C669" s="49" t="s">
        <v>894</v>
      </c>
      <c r="D669" s="15" t="s">
        <v>1496</v>
      </c>
      <c r="E669" s="15" t="s">
        <v>1508</v>
      </c>
      <c r="F669" s="50">
        <v>2000000</v>
      </c>
      <c r="G669" s="49" t="s">
        <v>911</v>
      </c>
      <c r="H669" s="49" t="s">
        <v>104</v>
      </c>
      <c r="I669" s="49" t="s">
        <v>104</v>
      </c>
      <c r="J669" s="49">
        <v>1</v>
      </c>
      <c r="K669" s="49"/>
      <c r="L669" s="49" t="s">
        <v>607</v>
      </c>
    </row>
    <row r="670" spans="2:12" ht="15" hidden="1">
      <c r="B670" s="136" t="s">
        <v>1461</v>
      </c>
      <c r="C670" s="49" t="s">
        <v>894</v>
      </c>
      <c r="D670" s="15" t="s">
        <v>1509</v>
      </c>
      <c r="E670" s="15" t="s">
        <v>982</v>
      </c>
      <c r="F670" s="50">
        <v>1900000</v>
      </c>
      <c r="G670" s="49" t="s">
        <v>907</v>
      </c>
      <c r="H670" s="49" t="s">
        <v>104</v>
      </c>
      <c r="I670" s="49" t="s">
        <v>104</v>
      </c>
      <c r="J670" s="49">
        <v>1</v>
      </c>
      <c r="K670" s="49"/>
      <c r="L670" s="49" t="s">
        <v>607</v>
      </c>
    </row>
    <row r="671" spans="2:12" ht="15" hidden="1">
      <c r="B671" s="136" t="s">
        <v>1461</v>
      </c>
      <c r="C671" s="49" t="s">
        <v>894</v>
      </c>
      <c r="D671" s="15" t="s">
        <v>1510</v>
      </c>
      <c r="E671" s="15" t="s">
        <v>982</v>
      </c>
      <c r="F671" s="50">
        <v>1900000</v>
      </c>
      <c r="G671" s="49" t="s">
        <v>907</v>
      </c>
      <c r="H671" s="49" t="s">
        <v>104</v>
      </c>
      <c r="I671" s="49" t="s">
        <v>104</v>
      </c>
      <c r="J671" s="49">
        <v>1</v>
      </c>
      <c r="K671" s="49"/>
      <c r="L671" s="49" t="s">
        <v>633</v>
      </c>
    </row>
    <row r="672" spans="2:12" ht="15" hidden="1">
      <c r="B672" s="136" t="s">
        <v>1486</v>
      </c>
      <c r="C672" s="49" t="s">
        <v>894</v>
      </c>
      <c r="D672" s="15" t="s">
        <v>1511</v>
      </c>
      <c r="E672" s="15" t="s">
        <v>982</v>
      </c>
      <c r="F672" s="50">
        <v>2300000</v>
      </c>
      <c r="G672" s="49" t="s">
        <v>907</v>
      </c>
      <c r="H672" s="49" t="s">
        <v>104</v>
      </c>
      <c r="I672" s="49" t="s">
        <v>104</v>
      </c>
      <c r="J672" s="49">
        <v>1</v>
      </c>
      <c r="K672" s="49"/>
      <c r="L672" s="49" t="s">
        <v>633</v>
      </c>
    </row>
    <row r="673" spans="2:12" ht="15" hidden="1">
      <c r="B673" s="136" t="s">
        <v>1486</v>
      </c>
      <c r="C673" s="49" t="s">
        <v>894</v>
      </c>
      <c r="D673" s="15" t="s">
        <v>1512</v>
      </c>
      <c r="E673" s="15" t="s">
        <v>1331</v>
      </c>
      <c r="F673" s="50">
        <v>2800000</v>
      </c>
      <c r="G673" s="49" t="s">
        <v>907</v>
      </c>
      <c r="H673" s="49" t="s">
        <v>104</v>
      </c>
      <c r="I673" s="49" t="s">
        <v>104</v>
      </c>
      <c r="J673" s="49">
        <v>1</v>
      </c>
      <c r="K673" s="49"/>
      <c r="L673" s="49" t="s">
        <v>607</v>
      </c>
    </row>
    <row r="674" spans="2:12" ht="15" hidden="1">
      <c r="B674" s="136" t="s">
        <v>1488</v>
      </c>
      <c r="C674" s="49" t="s">
        <v>894</v>
      </c>
      <c r="D674" s="15" t="s">
        <v>1513</v>
      </c>
      <c r="E674" s="15" t="s">
        <v>982</v>
      </c>
      <c r="F674" s="50">
        <v>1800000</v>
      </c>
      <c r="G674" s="49" t="s">
        <v>907</v>
      </c>
      <c r="H674" s="49" t="s">
        <v>104</v>
      </c>
      <c r="I674" s="49" t="s">
        <v>104</v>
      </c>
      <c r="J674" s="49">
        <v>1</v>
      </c>
      <c r="K674" s="49"/>
      <c r="L674" s="49" t="s">
        <v>533</v>
      </c>
    </row>
    <row r="675" spans="2:12" ht="15" hidden="1">
      <c r="B675" s="136" t="s">
        <v>1488</v>
      </c>
      <c r="C675" s="49" t="s">
        <v>894</v>
      </c>
      <c r="D675" s="15" t="s">
        <v>717</v>
      </c>
      <c r="E675" s="15" t="s">
        <v>1452</v>
      </c>
      <c r="F675" s="50">
        <v>2500000</v>
      </c>
      <c r="G675" s="49" t="s">
        <v>907</v>
      </c>
      <c r="H675" s="49" t="s">
        <v>104</v>
      </c>
      <c r="I675" s="49" t="s">
        <v>104</v>
      </c>
      <c r="J675" s="49">
        <v>1</v>
      </c>
      <c r="K675" s="49"/>
      <c r="L675" s="49" t="s">
        <v>607</v>
      </c>
    </row>
    <row r="676" spans="2:12" ht="15" hidden="1">
      <c r="B676" s="136" t="s">
        <v>1514</v>
      </c>
      <c r="C676" s="49" t="s">
        <v>894</v>
      </c>
      <c r="D676" s="15" t="s">
        <v>1515</v>
      </c>
      <c r="E676" s="15" t="s">
        <v>1452</v>
      </c>
      <c r="F676" s="50">
        <v>2200000</v>
      </c>
      <c r="G676" s="49" t="s">
        <v>907</v>
      </c>
      <c r="H676" s="49" t="s">
        <v>104</v>
      </c>
      <c r="I676" s="49" t="s">
        <v>104</v>
      </c>
      <c r="J676" s="49">
        <v>1</v>
      </c>
      <c r="K676" s="49"/>
      <c r="L676" s="49" t="s">
        <v>633</v>
      </c>
    </row>
    <row r="677" spans="2:12" ht="15" hidden="1">
      <c r="B677" s="136" t="s">
        <v>1491</v>
      </c>
      <c r="C677" s="49" t="s">
        <v>894</v>
      </c>
      <c r="D677" s="15" t="s">
        <v>1516</v>
      </c>
      <c r="E677" s="15" t="s">
        <v>1452</v>
      </c>
      <c r="F677" s="50">
        <v>2100000</v>
      </c>
      <c r="G677" s="49" t="s">
        <v>1091</v>
      </c>
      <c r="H677" s="49" t="s">
        <v>104</v>
      </c>
      <c r="I677" s="49" t="s">
        <v>104</v>
      </c>
      <c r="J677" s="49">
        <v>1</v>
      </c>
      <c r="K677" s="49"/>
      <c r="L677" s="49" t="s">
        <v>607</v>
      </c>
    </row>
    <row r="678" spans="2:12" ht="15" hidden="1">
      <c r="B678" s="136"/>
      <c r="C678" s="49"/>
      <c r="D678" s="15"/>
      <c r="E678" s="15"/>
      <c r="F678" s="50"/>
      <c r="G678" s="49"/>
      <c r="H678" s="49"/>
      <c r="I678" s="49"/>
      <c r="J678" s="406">
        <f>SUM(J658:J677)</f>
        <v>20</v>
      </c>
      <c r="K678" s="49"/>
      <c r="L678" s="49"/>
    </row>
    <row r="679" spans="2:12" ht="18.75" hidden="1">
      <c r="B679" s="1094" t="s">
        <v>1517</v>
      </c>
      <c r="C679" s="1095"/>
      <c r="D679" s="1095"/>
      <c r="E679" s="1095"/>
      <c r="F679" s="1095"/>
      <c r="G679" s="1095"/>
      <c r="H679" s="1095"/>
      <c r="I679" s="1095"/>
      <c r="J679" s="1095"/>
      <c r="K679" s="1095"/>
      <c r="L679" s="1096"/>
    </row>
    <row r="680" spans="2:12" ht="18.75" hidden="1">
      <c r="B680" s="328" t="s">
        <v>892</v>
      </c>
      <c r="C680" s="329" t="s">
        <v>893</v>
      </c>
      <c r="D680" s="329" t="s">
        <v>894</v>
      </c>
      <c r="E680" s="329" t="s">
        <v>895</v>
      </c>
      <c r="F680" s="330" t="s">
        <v>896</v>
      </c>
      <c r="G680" s="329" t="s">
        <v>897</v>
      </c>
      <c r="H680" s="329" t="s">
        <v>898</v>
      </c>
      <c r="I680" s="329" t="s">
        <v>899</v>
      </c>
      <c r="J680" s="329" t="s">
        <v>900</v>
      </c>
      <c r="K680" s="329" t="s">
        <v>901</v>
      </c>
      <c r="L680" s="329" t="s">
        <v>902</v>
      </c>
    </row>
    <row r="681" spans="2:12" ht="15" hidden="1">
      <c r="B681" s="394"/>
      <c r="C681" s="395"/>
      <c r="D681" s="396"/>
      <c r="E681" s="396"/>
      <c r="F681" s="397"/>
      <c r="G681" s="395"/>
      <c r="H681" s="395"/>
      <c r="I681" s="395"/>
      <c r="J681" s="395"/>
      <c r="K681" s="395"/>
      <c r="L681" s="395"/>
    </row>
    <row r="682" spans="2:12" ht="15" hidden="1">
      <c r="B682" s="394"/>
      <c r="C682" s="395"/>
      <c r="D682" s="396"/>
      <c r="E682" s="396"/>
      <c r="F682" s="397"/>
      <c r="G682" s="395"/>
      <c r="H682" s="395"/>
      <c r="I682" s="395"/>
      <c r="J682" s="395"/>
      <c r="K682" s="395"/>
      <c r="L682" s="395"/>
    </row>
    <row r="683" spans="2:12" ht="15" hidden="1">
      <c r="B683" s="394"/>
      <c r="C683" s="395"/>
      <c r="D683" s="396"/>
      <c r="E683" s="396"/>
      <c r="F683" s="397"/>
      <c r="G683" s="395"/>
      <c r="H683" s="395"/>
      <c r="I683" s="395"/>
      <c r="J683" s="395"/>
      <c r="K683" s="395"/>
      <c r="L683" s="395"/>
    </row>
    <row r="684" spans="2:12" ht="15" hidden="1">
      <c r="B684" s="136" t="s">
        <v>1459</v>
      </c>
      <c r="C684" s="49" t="s">
        <v>894</v>
      </c>
      <c r="D684" s="15" t="s">
        <v>1518</v>
      </c>
      <c r="E684" s="15" t="s">
        <v>1519</v>
      </c>
      <c r="F684" s="50">
        <v>1500000</v>
      </c>
      <c r="G684" s="49" t="s">
        <v>911</v>
      </c>
      <c r="H684" s="49" t="s">
        <v>104</v>
      </c>
      <c r="I684" s="49" t="s">
        <v>104</v>
      </c>
      <c r="J684" s="49">
        <v>1</v>
      </c>
      <c r="K684" s="49"/>
      <c r="L684" s="49" t="s">
        <v>633</v>
      </c>
    </row>
    <row r="685" spans="2:12" ht="15" hidden="1">
      <c r="B685" s="136"/>
      <c r="C685" s="49"/>
      <c r="D685" s="15"/>
      <c r="E685" s="15"/>
      <c r="F685" s="50"/>
      <c r="G685" s="49"/>
      <c r="H685" s="49"/>
      <c r="I685" s="49"/>
      <c r="J685" s="49"/>
      <c r="K685" s="49"/>
      <c r="L685" s="49"/>
    </row>
    <row r="686" spans="2:12" ht="15" hidden="1">
      <c r="B686" s="136"/>
      <c r="C686" s="49"/>
      <c r="D686" s="15"/>
      <c r="E686" s="15"/>
      <c r="F686" s="50"/>
      <c r="G686" s="49"/>
      <c r="H686" s="49"/>
      <c r="I686" s="49"/>
      <c r="J686" s="49"/>
      <c r="K686" s="49"/>
      <c r="L686" s="49"/>
    </row>
    <row r="687" spans="2:12" ht="18.75" hidden="1">
      <c r="B687" s="1094" t="s">
        <v>1520</v>
      </c>
      <c r="C687" s="1095"/>
      <c r="D687" s="1095"/>
      <c r="E687" s="1095"/>
      <c r="F687" s="1095"/>
      <c r="G687" s="1095"/>
      <c r="H687" s="1095"/>
      <c r="I687" s="1095"/>
      <c r="J687" s="1095"/>
      <c r="K687" s="1095"/>
      <c r="L687" s="1096"/>
    </row>
    <row r="688" spans="2:12" ht="18.75" hidden="1">
      <c r="B688" s="328" t="s">
        <v>892</v>
      </c>
      <c r="C688" s="329" t="s">
        <v>893</v>
      </c>
      <c r="D688" s="329" t="s">
        <v>894</v>
      </c>
      <c r="E688" s="329" t="s">
        <v>895</v>
      </c>
      <c r="F688" s="330" t="s">
        <v>896</v>
      </c>
      <c r="G688" s="329" t="s">
        <v>897</v>
      </c>
      <c r="H688" s="329" t="s">
        <v>898</v>
      </c>
      <c r="I688" s="329" t="s">
        <v>899</v>
      </c>
      <c r="J688" s="329" t="s">
        <v>900</v>
      </c>
      <c r="K688" s="329" t="s">
        <v>901</v>
      </c>
      <c r="L688" s="329" t="s">
        <v>902</v>
      </c>
    </row>
    <row r="689" spans="2:12" ht="15" hidden="1">
      <c r="B689" s="136">
        <v>44567</v>
      </c>
      <c r="C689" s="49" t="s">
        <v>894</v>
      </c>
      <c r="D689" s="15" t="s">
        <v>1521</v>
      </c>
      <c r="E689" s="15" t="s">
        <v>1331</v>
      </c>
      <c r="F689" s="50">
        <v>1900000</v>
      </c>
      <c r="G689" s="49" t="s">
        <v>911</v>
      </c>
      <c r="H689" s="49" t="s">
        <v>104</v>
      </c>
      <c r="I689" s="49" t="s">
        <v>104</v>
      </c>
      <c r="J689" s="49">
        <v>1</v>
      </c>
      <c r="K689" s="49"/>
      <c r="L689" s="49" t="s">
        <v>633</v>
      </c>
    </row>
    <row r="690" spans="2:12" ht="15" hidden="1">
      <c r="B690" s="136">
        <v>44202</v>
      </c>
      <c r="C690" s="49" t="s">
        <v>894</v>
      </c>
      <c r="D690" s="15" t="s">
        <v>1522</v>
      </c>
      <c r="E690" s="15" t="s">
        <v>997</v>
      </c>
      <c r="F690" s="50">
        <v>3000000</v>
      </c>
      <c r="G690" s="49" t="s">
        <v>911</v>
      </c>
      <c r="H690" s="49" t="s">
        <v>104</v>
      </c>
      <c r="I690" s="49" t="s">
        <v>104</v>
      </c>
      <c r="J690" s="49">
        <v>1</v>
      </c>
      <c r="K690" s="49"/>
      <c r="L690" s="49" t="s">
        <v>607</v>
      </c>
    </row>
    <row r="691" spans="2:12" ht="15" hidden="1">
      <c r="B691" s="60">
        <v>44233</v>
      </c>
      <c r="C691" s="61" t="s">
        <v>894</v>
      </c>
      <c r="D691" s="489" t="s">
        <v>1523</v>
      </c>
      <c r="E691" s="489" t="s">
        <v>1503</v>
      </c>
      <c r="F691" s="490">
        <v>2500000</v>
      </c>
      <c r="G691" s="61" t="s">
        <v>911</v>
      </c>
      <c r="H691" s="61" t="s">
        <v>104</v>
      </c>
      <c r="I691" s="61" t="s">
        <v>104</v>
      </c>
      <c r="J691" s="61">
        <v>1</v>
      </c>
      <c r="K691" s="61"/>
      <c r="L691" s="61" t="s">
        <v>533</v>
      </c>
    </row>
    <row r="692" spans="2:12" hidden="1"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</row>
    <row r="693" spans="2:12" hidden="1"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</row>
    <row r="694" spans="2:12" hidden="1"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</row>
    <row r="695" spans="2:12" hidden="1"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</row>
    <row r="696" spans="2:12" hidden="1"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</row>
    <row r="697" spans="2:12" hidden="1"/>
    <row r="698" spans="2:12" ht="31.5">
      <c r="B698" s="987" t="s">
        <v>368</v>
      </c>
      <c r="C698" s="987"/>
      <c r="D698" s="987"/>
      <c r="E698" s="987"/>
      <c r="F698" s="987"/>
      <c r="G698" s="987"/>
      <c r="H698" s="987"/>
      <c r="I698" s="987"/>
      <c r="J698" s="987"/>
      <c r="K698" s="987"/>
      <c r="L698" s="987"/>
    </row>
    <row r="699" spans="2:12" ht="18.75" hidden="1">
      <c r="B699" s="1094" t="s">
        <v>1524</v>
      </c>
      <c r="C699" s="1095"/>
      <c r="D699" s="1095"/>
      <c r="E699" s="1095"/>
      <c r="F699" s="1095"/>
      <c r="G699" s="1095"/>
      <c r="H699" s="1095"/>
      <c r="I699" s="1095"/>
      <c r="J699" s="1095"/>
      <c r="K699" s="1095"/>
      <c r="L699" s="1096"/>
    </row>
    <row r="700" spans="2:12" ht="18.75" hidden="1">
      <c r="B700" s="328" t="s">
        <v>892</v>
      </c>
      <c r="C700" s="329" t="s">
        <v>893</v>
      </c>
      <c r="D700" s="329" t="s">
        <v>894</v>
      </c>
      <c r="E700" s="329" t="s">
        <v>895</v>
      </c>
      <c r="F700" s="330" t="s">
        <v>896</v>
      </c>
      <c r="G700" s="329" t="s">
        <v>897</v>
      </c>
      <c r="H700" s="329" t="s">
        <v>898</v>
      </c>
      <c r="I700" s="329" t="s">
        <v>899</v>
      </c>
      <c r="J700" s="329" t="s">
        <v>900</v>
      </c>
      <c r="K700" s="329" t="s">
        <v>901</v>
      </c>
      <c r="L700" s="329" t="s">
        <v>902</v>
      </c>
    </row>
    <row r="701" spans="2:12" ht="15" hidden="1">
      <c r="B701" s="394">
        <v>44902</v>
      </c>
      <c r="C701" s="395" t="s">
        <v>894</v>
      </c>
      <c r="D701" s="396" t="s">
        <v>1525</v>
      </c>
      <c r="E701" s="396" t="s">
        <v>1452</v>
      </c>
      <c r="F701" s="397">
        <v>345000000</v>
      </c>
      <c r="G701" s="395" t="s">
        <v>907</v>
      </c>
      <c r="H701" s="395" t="s">
        <v>104</v>
      </c>
      <c r="I701" s="395" t="s">
        <v>104</v>
      </c>
      <c r="J701" s="395">
        <v>1</v>
      </c>
      <c r="K701" s="395"/>
      <c r="L701" s="395" t="s">
        <v>942</v>
      </c>
    </row>
    <row r="702" spans="2:12" ht="15" hidden="1">
      <c r="B702" s="394" t="s">
        <v>1526</v>
      </c>
      <c r="C702" s="395" t="s">
        <v>894</v>
      </c>
      <c r="D702" s="396" t="s">
        <v>1527</v>
      </c>
      <c r="E702" s="396" t="s">
        <v>982</v>
      </c>
      <c r="F702" s="397">
        <v>420000000</v>
      </c>
      <c r="G702" s="395" t="s">
        <v>907</v>
      </c>
      <c r="H702" s="395" t="s">
        <v>104</v>
      </c>
      <c r="I702" s="395" t="s">
        <v>104</v>
      </c>
      <c r="J702" s="395">
        <v>1</v>
      </c>
      <c r="K702" s="395"/>
      <c r="L702" s="395" t="s">
        <v>942</v>
      </c>
    </row>
    <row r="703" spans="2:12" ht="15" hidden="1">
      <c r="B703" s="394" t="s">
        <v>1528</v>
      </c>
      <c r="C703" s="395" t="s">
        <v>894</v>
      </c>
      <c r="D703" s="396" t="s">
        <v>1529</v>
      </c>
      <c r="E703" s="396" t="s">
        <v>997</v>
      </c>
      <c r="F703" s="397">
        <v>520000000</v>
      </c>
      <c r="G703" s="395" t="s">
        <v>911</v>
      </c>
      <c r="H703" s="395" t="s">
        <v>104</v>
      </c>
      <c r="I703" s="395" t="s">
        <v>104</v>
      </c>
      <c r="J703" s="395">
        <v>1</v>
      </c>
      <c r="K703" s="395"/>
      <c r="L703" s="395" t="s">
        <v>942</v>
      </c>
    </row>
    <row r="704" spans="2:12" ht="15" hidden="1">
      <c r="B704" s="136">
        <v>44902</v>
      </c>
      <c r="C704" s="49" t="s">
        <v>894</v>
      </c>
      <c r="D704" s="15" t="s">
        <v>1530</v>
      </c>
      <c r="E704" s="15" t="s">
        <v>1452</v>
      </c>
      <c r="F704" s="50">
        <v>2300000</v>
      </c>
      <c r="G704" s="49" t="s">
        <v>907</v>
      </c>
      <c r="H704" s="49" t="s">
        <v>104</v>
      </c>
      <c r="I704" s="49" t="s">
        <v>104</v>
      </c>
      <c r="J704" s="49">
        <v>1</v>
      </c>
      <c r="K704" s="49"/>
      <c r="L704" s="49" t="s">
        <v>607</v>
      </c>
    </row>
    <row r="705" spans="2:12" ht="15" hidden="1">
      <c r="B705" s="136">
        <v>44902</v>
      </c>
      <c r="C705" s="49" t="s">
        <v>894</v>
      </c>
      <c r="D705" s="15" t="s">
        <v>1531</v>
      </c>
      <c r="E705" s="15" t="s">
        <v>997</v>
      </c>
      <c r="F705" s="50">
        <v>2300000</v>
      </c>
      <c r="G705" s="49" t="s">
        <v>907</v>
      </c>
      <c r="H705" s="49" t="s">
        <v>104</v>
      </c>
      <c r="I705" s="49" t="s">
        <v>104</v>
      </c>
      <c r="J705" s="49">
        <v>1</v>
      </c>
      <c r="K705" s="49"/>
      <c r="L705" s="49" t="s">
        <v>633</v>
      </c>
    </row>
    <row r="706" spans="2:12" ht="15" hidden="1">
      <c r="B706" s="136">
        <v>44902</v>
      </c>
      <c r="C706" s="49" t="s">
        <v>894</v>
      </c>
      <c r="D706" s="15" t="s">
        <v>1532</v>
      </c>
      <c r="E706" s="15" t="s">
        <v>1533</v>
      </c>
      <c r="F706" s="50">
        <v>1100000</v>
      </c>
      <c r="G706" s="49" t="s">
        <v>911</v>
      </c>
      <c r="H706" s="49" t="s">
        <v>104</v>
      </c>
      <c r="I706" s="49" t="s">
        <v>104</v>
      </c>
      <c r="J706" s="49">
        <v>1</v>
      </c>
      <c r="K706" s="49"/>
      <c r="L706" s="49" t="s">
        <v>607</v>
      </c>
    </row>
    <row r="707" spans="2:12" ht="15" hidden="1">
      <c r="B707" s="60">
        <v>44902</v>
      </c>
      <c r="C707" s="61" t="s">
        <v>894</v>
      </c>
      <c r="D707" s="489" t="s">
        <v>1534</v>
      </c>
      <c r="E707" s="489" t="s">
        <v>1452</v>
      </c>
      <c r="F707" s="490">
        <v>2100000</v>
      </c>
      <c r="G707" s="61" t="s">
        <v>907</v>
      </c>
      <c r="H707" s="61" t="s">
        <v>104</v>
      </c>
      <c r="I707" s="61" t="s">
        <v>104</v>
      </c>
      <c r="J707" s="61">
        <v>1</v>
      </c>
      <c r="K707" s="61"/>
      <c r="L707" s="61" t="s">
        <v>633</v>
      </c>
    </row>
    <row r="708" spans="2:12" ht="15" hidden="1">
      <c r="B708" s="136" t="s">
        <v>1535</v>
      </c>
      <c r="C708" s="49" t="s">
        <v>894</v>
      </c>
      <c r="D708" s="15" t="s">
        <v>1536</v>
      </c>
      <c r="E708" s="15" t="s">
        <v>1452</v>
      </c>
      <c r="F708" s="50">
        <v>2600000</v>
      </c>
      <c r="G708" s="49" t="s">
        <v>907</v>
      </c>
      <c r="H708" s="49" t="s">
        <v>104</v>
      </c>
      <c r="I708" s="49" t="s">
        <v>104</v>
      </c>
      <c r="J708" s="49">
        <v>1</v>
      </c>
      <c r="K708" s="49"/>
      <c r="L708" s="49" t="s">
        <v>633</v>
      </c>
    </row>
    <row r="709" spans="2:12" ht="15" hidden="1">
      <c r="B709" s="136" t="s">
        <v>1535</v>
      </c>
      <c r="C709" s="49" t="s">
        <v>894</v>
      </c>
      <c r="D709" s="15" t="s">
        <v>767</v>
      </c>
      <c r="E709" s="15" t="s">
        <v>997</v>
      </c>
      <c r="F709" s="50">
        <v>2800000</v>
      </c>
      <c r="G709" s="49" t="s">
        <v>907</v>
      </c>
      <c r="H709" s="49" t="s">
        <v>104</v>
      </c>
      <c r="I709" s="49" t="s">
        <v>104</v>
      </c>
      <c r="J709" s="49">
        <v>1</v>
      </c>
      <c r="K709" s="49"/>
      <c r="L709" s="49" t="s">
        <v>607</v>
      </c>
    </row>
    <row r="710" spans="2:12" ht="15" hidden="1">
      <c r="B710" s="136" t="s">
        <v>1535</v>
      </c>
      <c r="C710" s="49" t="s">
        <v>894</v>
      </c>
      <c r="D710" s="15" t="s">
        <v>1238</v>
      </c>
      <c r="E710" s="15" t="s">
        <v>997</v>
      </c>
      <c r="F710" s="50">
        <v>3400000</v>
      </c>
      <c r="G710" s="49" t="s">
        <v>907</v>
      </c>
      <c r="H710" s="49" t="s">
        <v>104</v>
      </c>
      <c r="I710" s="49" t="s">
        <v>104</v>
      </c>
      <c r="J710" s="49">
        <v>1</v>
      </c>
      <c r="K710" s="49"/>
      <c r="L710" s="49" t="s">
        <v>607</v>
      </c>
    </row>
    <row r="711" spans="2:12" ht="15" hidden="1">
      <c r="B711" s="136" t="s">
        <v>1526</v>
      </c>
      <c r="C711" s="49" t="s">
        <v>894</v>
      </c>
      <c r="D711" s="15" t="s">
        <v>1014</v>
      </c>
      <c r="E711" s="15" t="s">
        <v>1014</v>
      </c>
      <c r="F711" s="50">
        <v>9000000</v>
      </c>
      <c r="G711" s="49" t="s">
        <v>911</v>
      </c>
      <c r="H711" s="49" t="s">
        <v>1362</v>
      </c>
      <c r="I711" s="49" t="s">
        <v>104</v>
      </c>
      <c r="J711" s="49">
        <v>1</v>
      </c>
      <c r="K711" s="49"/>
      <c r="L711" s="49" t="s">
        <v>633</v>
      </c>
    </row>
    <row r="712" spans="2:12" ht="15" hidden="1">
      <c r="B712" s="136" t="s">
        <v>1526</v>
      </c>
      <c r="C712" s="49" t="s">
        <v>894</v>
      </c>
      <c r="D712" s="15" t="s">
        <v>1537</v>
      </c>
      <c r="E712" s="15" t="s">
        <v>982</v>
      </c>
      <c r="F712" s="50">
        <v>1600000</v>
      </c>
      <c r="G712" s="49" t="s">
        <v>911</v>
      </c>
      <c r="H712" s="49" t="s">
        <v>104</v>
      </c>
      <c r="I712" s="49" t="s">
        <v>104</v>
      </c>
      <c r="J712" s="49">
        <v>1</v>
      </c>
      <c r="K712" s="49"/>
      <c r="L712" s="49" t="s">
        <v>633</v>
      </c>
    </row>
    <row r="713" spans="2:12" ht="15" hidden="1">
      <c r="B713" s="136" t="s">
        <v>1538</v>
      </c>
      <c r="C713" s="49" t="s">
        <v>1539</v>
      </c>
      <c r="D713" s="15" t="s">
        <v>1540</v>
      </c>
      <c r="E713" s="15" t="s">
        <v>1337</v>
      </c>
      <c r="F713" s="50">
        <v>2200000</v>
      </c>
      <c r="G713" s="49" t="s">
        <v>907</v>
      </c>
      <c r="H713" s="49" t="s">
        <v>104</v>
      </c>
      <c r="I713" s="49" t="s">
        <v>104</v>
      </c>
      <c r="J713" s="49">
        <v>1</v>
      </c>
      <c r="K713" s="49"/>
      <c r="L713" s="49" t="s">
        <v>607</v>
      </c>
    </row>
    <row r="714" spans="2:12" ht="15" hidden="1">
      <c r="B714" s="136" t="s">
        <v>1538</v>
      </c>
      <c r="C714" s="49" t="s">
        <v>1539</v>
      </c>
      <c r="D714" s="15" t="s">
        <v>1541</v>
      </c>
      <c r="E714" s="15" t="s">
        <v>1542</v>
      </c>
      <c r="F714" s="50">
        <v>3000000</v>
      </c>
      <c r="G714" s="49" t="s">
        <v>907</v>
      </c>
      <c r="H714" s="49" t="s">
        <v>104</v>
      </c>
      <c r="I714" s="49" t="s">
        <v>104</v>
      </c>
      <c r="J714" s="49">
        <v>1</v>
      </c>
      <c r="K714" s="49"/>
      <c r="L714" s="49" t="s">
        <v>533</v>
      </c>
    </row>
    <row r="715" spans="2:12" ht="15.75" hidden="1">
      <c r="B715" s="52"/>
      <c r="C715" s="52"/>
      <c r="D715" s="52"/>
      <c r="E715" s="52"/>
      <c r="F715" s="52"/>
      <c r="G715" s="52"/>
      <c r="H715" s="52"/>
      <c r="I715" s="52"/>
      <c r="J715" s="547">
        <f>SUM(J704:J714)</f>
        <v>11</v>
      </c>
      <c r="K715" s="52"/>
      <c r="L715" s="52"/>
    </row>
    <row r="716" spans="2:12" ht="15" hidden="1">
      <c r="B716" s="136"/>
      <c r="C716" s="49"/>
      <c r="D716" s="15"/>
      <c r="E716" s="15"/>
      <c r="F716" s="50"/>
      <c r="G716" s="49"/>
      <c r="H716" s="49"/>
      <c r="I716" s="49"/>
      <c r="J716" s="49"/>
      <c r="K716" s="49"/>
      <c r="L716" s="49"/>
    </row>
    <row r="717" spans="2:12" ht="18.75" hidden="1">
      <c r="B717" s="1091" t="s">
        <v>1543</v>
      </c>
      <c r="C717" s="1092"/>
      <c r="D717" s="1092"/>
      <c r="E717" s="1092"/>
      <c r="F717" s="1092"/>
      <c r="G717" s="1092"/>
      <c r="H717" s="1092"/>
      <c r="I717" s="1092"/>
      <c r="J717" s="1092"/>
      <c r="K717" s="1092"/>
      <c r="L717" s="1093"/>
    </row>
    <row r="718" spans="2:12" ht="18.75" hidden="1">
      <c r="B718" s="328" t="s">
        <v>892</v>
      </c>
      <c r="C718" s="329" t="s">
        <v>893</v>
      </c>
      <c r="D718" s="329" t="s">
        <v>894</v>
      </c>
      <c r="E718" s="329" t="s">
        <v>895</v>
      </c>
      <c r="F718" s="330" t="s">
        <v>896</v>
      </c>
      <c r="G718" s="329" t="s">
        <v>897</v>
      </c>
      <c r="H718" s="329" t="s">
        <v>898</v>
      </c>
      <c r="I718" s="329" t="s">
        <v>899</v>
      </c>
      <c r="J718" s="329" t="s">
        <v>900</v>
      </c>
      <c r="K718" s="329" t="s">
        <v>901</v>
      </c>
      <c r="L718" s="329" t="s">
        <v>902</v>
      </c>
    </row>
    <row r="719" spans="2:12" ht="15" hidden="1">
      <c r="B719" s="394" t="s">
        <v>1544</v>
      </c>
      <c r="C719" s="395" t="s">
        <v>894</v>
      </c>
      <c r="D719" s="396" t="s">
        <v>1303</v>
      </c>
      <c r="E719" s="396" t="s">
        <v>988</v>
      </c>
      <c r="F719" s="397">
        <v>320000000</v>
      </c>
      <c r="G719" s="395" t="s">
        <v>907</v>
      </c>
      <c r="H719" s="395" t="s">
        <v>104</v>
      </c>
      <c r="I719" s="395" t="s">
        <v>104</v>
      </c>
      <c r="J719" s="395">
        <v>1</v>
      </c>
      <c r="K719" s="395"/>
      <c r="L719" s="395" t="s">
        <v>942</v>
      </c>
    </row>
    <row r="720" spans="2:12" ht="15" hidden="1">
      <c r="B720" s="394" t="s">
        <v>1544</v>
      </c>
      <c r="C720" s="395" t="s">
        <v>894</v>
      </c>
      <c r="D720" s="396" t="s">
        <v>1545</v>
      </c>
      <c r="E720" s="396" t="s">
        <v>997</v>
      </c>
      <c r="F720" s="397">
        <v>580000000</v>
      </c>
      <c r="G720" s="395" t="s">
        <v>907</v>
      </c>
      <c r="H720" s="395" t="s">
        <v>104</v>
      </c>
      <c r="I720" s="395" t="s">
        <v>104</v>
      </c>
      <c r="J720" s="395">
        <v>1</v>
      </c>
      <c r="K720" s="395"/>
      <c r="L720" s="395" t="s">
        <v>942</v>
      </c>
    </row>
    <row r="721" spans="2:12" ht="15" hidden="1">
      <c r="B721" s="394" t="s">
        <v>1538</v>
      </c>
      <c r="C721" s="395" t="s">
        <v>1539</v>
      </c>
      <c r="D721" s="396" t="s">
        <v>1546</v>
      </c>
      <c r="E721" s="396" t="s">
        <v>1423</v>
      </c>
      <c r="F721" s="397">
        <v>540000000</v>
      </c>
      <c r="G721" s="395" t="s">
        <v>907</v>
      </c>
      <c r="H721" s="395" t="s">
        <v>104</v>
      </c>
      <c r="I721" s="395" t="s">
        <v>104</v>
      </c>
      <c r="J721" s="395">
        <v>1</v>
      </c>
      <c r="K721" s="395"/>
      <c r="L721" s="395" t="s">
        <v>942</v>
      </c>
    </row>
    <row r="722" spans="2:12" ht="15" hidden="1">
      <c r="B722" s="136" t="s">
        <v>1547</v>
      </c>
      <c r="C722" s="49" t="s">
        <v>894</v>
      </c>
      <c r="D722" s="15" t="s">
        <v>1548</v>
      </c>
      <c r="E722" s="15" t="s">
        <v>982</v>
      </c>
      <c r="F722" s="50">
        <v>1900000</v>
      </c>
      <c r="G722" s="49" t="s">
        <v>907</v>
      </c>
      <c r="H722" s="49" t="s">
        <v>104</v>
      </c>
      <c r="I722" s="49" t="s">
        <v>104</v>
      </c>
      <c r="J722" s="49">
        <v>1</v>
      </c>
      <c r="K722" s="49"/>
      <c r="L722" s="49" t="s">
        <v>633</v>
      </c>
    </row>
    <row r="723" spans="2:12" ht="15" hidden="1">
      <c r="B723" s="136">
        <v>44719</v>
      </c>
      <c r="C723" s="49" t="s">
        <v>894</v>
      </c>
      <c r="D723" s="15" t="s">
        <v>1549</v>
      </c>
      <c r="E723" s="15" t="s">
        <v>982</v>
      </c>
      <c r="F723" s="50">
        <v>2600000</v>
      </c>
      <c r="G723" s="49" t="s">
        <v>1091</v>
      </c>
      <c r="H723" s="49" t="s">
        <v>1362</v>
      </c>
      <c r="I723" s="49" t="s">
        <v>104</v>
      </c>
      <c r="J723" s="49">
        <v>1</v>
      </c>
      <c r="K723" s="49"/>
      <c r="L723" s="49" t="s">
        <v>633</v>
      </c>
    </row>
    <row r="724" spans="2:12" ht="15" hidden="1">
      <c r="B724" s="136">
        <v>44748</v>
      </c>
      <c r="C724" s="49" t="s">
        <v>894</v>
      </c>
      <c r="D724" s="15" t="s">
        <v>1468</v>
      </c>
      <c r="E724" s="15" t="s">
        <v>982</v>
      </c>
      <c r="F724" s="50">
        <v>1500000</v>
      </c>
      <c r="G724" s="49" t="s">
        <v>907</v>
      </c>
      <c r="H724" s="49" t="s">
        <v>104</v>
      </c>
      <c r="I724" s="49" t="s">
        <v>104</v>
      </c>
      <c r="J724" s="49">
        <v>1</v>
      </c>
      <c r="K724" s="49"/>
      <c r="L724" s="49" t="s">
        <v>633</v>
      </c>
    </row>
    <row r="725" spans="2:12" ht="15" hidden="1">
      <c r="B725" s="136" t="s">
        <v>1550</v>
      </c>
      <c r="C725" s="49" t="s">
        <v>894</v>
      </c>
      <c r="D725" s="15" t="s">
        <v>1551</v>
      </c>
      <c r="E725" s="15" t="s">
        <v>982</v>
      </c>
      <c r="F725" s="50">
        <v>2800000</v>
      </c>
      <c r="G725" s="49" t="s">
        <v>907</v>
      </c>
      <c r="H725" s="49" t="s">
        <v>104</v>
      </c>
      <c r="I725" s="49" t="s">
        <v>104</v>
      </c>
      <c r="J725" s="49">
        <v>1</v>
      </c>
      <c r="K725" s="49"/>
      <c r="L725" s="49" t="s">
        <v>607</v>
      </c>
    </row>
    <row r="726" spans="2:12" ht="15" hidden="1">
      <c r="B726" s="136">
        <v>44719</v>
      </c>
      <c r="C726" s="49" t="s">
        <v>894</v>
      </c>
      <c r="D726" s="15" t="s">
        <v>1552</v>
      </c>
      <c r="E726" s="15" t="s">
        <v>982</v>
      </c>
      <c r="F726" s="50">
        <v>1300000</v>
      </c>
      <c r="G726" s="49" t="s">
        <v>907</v>
      </c>
      <c r="H726" s="49" t="s">
        <v>104</v>
      </c>
      <c r="I726" s="49" t="s">
        <v>104</v>
      </c>
      <c r="J726" s="49">
        <v>1</v>
      </c>
      <c r="K726" s="49"/>
      <c r="L726" s="49" t="s">
        <v>607</v>
      </c>
    </row>
    <row r="727" spans="2:12" ht="15" hidden="1">
      <c r="B727" s="136">
        <v>44780</v>
      </c>
      <c r="C727" s="49" t="s">
        <v>894</v>
      </c>
      <c r="D727" s="15" t="s">
        <v>1553</v>
      </c>
      <c r="E727" s="15" t="s">
        <v>1554</v>
      </c>
      <c r="F727" s="50">
        <v>1150000</v>
      </c>
      <c r="G727" s="49" t="s">
        <v>907</v>
      </c>
      <c r="H727" s="49" t="s">
        <v>104</v>
      </c>
      <c r="I727" s="49" t="s">
        <v>104</v>
      </c>
      <c r="J727" s="49">
        <v>1</v>
      </c>
      <c r="K727" s="49"/>
      <c r="L727" s="49" t="s">
        <v>633</v>
      </c>
    </row>
    <row r="728" spans="2:12" ht="15" hidden="1">
      <c r="B728" s="136">
        <v>44750</v>
      </c>
      <c r="C728" s="49" t="s">
        <v>894</v>
      </c>
      <c r="D728" s="15" t="s">
        <v>1555</v>
      </c>
      <c r="E728" s="15" t="s">
        <v>1407</v>
      </c>
      <c r="F728" s="50">
        <v>1100000</v>
      </c>
      <c r="G728" s="49" t="s">
        <v>907</v>
      </c>
      <c r="H728" s="49" t="s">
        <v>104</v>
      </c>
      <c r="I728" s="49" t="s">
        <v>104</v>
      </c>
      <c r="J728" s="49">
        <v>1</v>
      </c>
      <c r="K728" s="49"/>
      <c r="L728" s="49" t="s">
        <v>607</v>
      </c>
    </row>
    <row r="729" spans="2:12" ht="15" hidden="1">
      <c r="B729" s="136">
        <v>44811</v>
      </c>
      <c r="C729" s="49" t="s">
        <v>894</v>
      </c>
      <c r="D729" s="15" t="s">
        <v>1556</v>
      </c>
      <c r="E729" s="15" t="s">
        <v>1407</v>
      </c>
      <c r="F729" s="50">
        <v>1390000</v>
      </c>
      <c r="G729" s="49" t="s">
        <v>907</v>
      </c>
      <c r="H729" s="49" t="s">
        <v>104</v>
      </c>
      <c r="I729" s="49" t="s">
        <v>104</v>
      </c>
      <c r="J729" s="49">
        <v>1</v>
      </c>
      <c r="K729" s="49"/>
      <c r="L729" s="49" t="s">
        <v>607</v>
      </c>
    </row>
    <row r="730" spans="2:12" ht="15" hidden="1">
      <c r="B730" s="136">
        <v>44811</v>
      </c>
      <c r="C730" s="49" t="s">
        <v>894</v>
      </c>
      <c r="D730" s="15" t="s">
        <v>1557</v>
      </c>
      <c r="E730" s="15" t="s">
        <v>982</v>
      </c>
      <c r="F730" s="50">
        <v>2500000</v>
      </c>
      <c r="G730" s="49" t="s">
        <v>907</v>
      </c>
      <c r="H730" s="49" t="s">
        <v>104</v>
      </c>
      <c r="I730" s="49" t="s">
        <v>104</v>
      </c>
      <c r="J730" s="49">
        <v>1</v>
      </c>
      <c r="K730" s="49"/>
      <c r="L730" s="49" t="s">
        <v>633</v>
      </c>
    </row>
    <row r="731" spans="2:12" ht="15" hidden="1">
      <c r="B731" s="136" t="s">
        <v>1535</v>
      </c>
      <c r="C731" s="49" t="s">
        <v>894</v>
      </c>
      <c r="D731" s="15" t="s">
        <v>787</v>
      </c>
      <c r="E731" s="15" t="s">
        <v>982</v>
      </c>
      <c r="F731" s="50">
        <v>2500000</v>
      </c>
      <c r="G731" s="49" t="s">
        <v>907</v>
      </c>
      <c r="H731" s="49" t="s">
        <v>104</v>
      </c>
      <c r="I731" s="49" t="s">
        <v>104</v>
      </c>
      <c r="J731" s="49">
        <v>1</v>
      </c>
      <c r="K731" s="49"/>
      <c r="L731" s="49" t="s">
        <v>633</v>
      </c>
    </row>
    <row r="732" spans="2:12" ht="15" hidden="1">
      <c r="B732" s="136" t="s">
        <v>1535</v>
      </c>
      <c r="C732" s="49" t="s">
        <v>894</v>
      </c>
      <c r="D732" s="15" t="s">
        <v>1558</v>
      </c>
      <c r="E732" s="15" t="s">
        <v>982</v>
      </c>
      <c r="F732" s="50">
        <v>2000000</v>
      </c>
      <c r="G732" s="49" t="s">
        <v>907</v>
      </c>
      <c r="H732" s="49" t="s">
        <v>104</v>
      </c>
      <c r="I732" s="49" t="s">
        <v>104</v>
      </c>
      <c r="J732" s="49">
        <v>1</v>
      </c>
      <c r="K732" s="49"/>
      <c r="L732" s="49" t="s">
        <v>633</v>
      </c>
    </row>
    <row r="733" spans="2:12" ht="15" hidden="1">
      <c r="B733" s="136" t="s">
        <v>1559</v>
      </c>
      <c r="C733" s="49" t="s">
        <v>894</v>
      </c>
      <c r="D733" s="15" t="s">
        <v>1560</v>
      </c>
      <c r="E733" s="15" t="s">
        <v>982</v>
      </c>
      <c r="F733" s="50">
        <v>1500000</v>
      </c>
      <c r="G733" s="49" t="s">
        <v>907</v>
      </c>
      <c r="H733" s="49" t="s">
        <v>104</v>
      </c>
      <c r="I733" s="49" t="s">
        <v>104</v>
      </c>
      <c r="J733" s="49">
        <v>1</v>
      </c>
      <c r="K733" s="49"/>
      <c r="L733" s="49" t="s">
        <v>607</v>
      </c>
    </row>
    <row r="734" spans="2:12" ht="15" hidden="1">
      <c r="B734" s="136" t="s">
        <v>1559</v>
      </c>
      <c r="C734" s="49" t="s">
        <v>894</v>
      </c>
      <c r="D734" s="15" t="s">
        <v>436</v>
      </c>
      <c r="E734" s="15" t="s">
        <v>988</v>
      </c>
      <c r="F734" s="50">
        <v>1750000</v>
      </c>
      <c r="G734" s="49" t="s">
        <v>907</v>
      </c>
      <c r="H734" s="49" t="s">
        <v>104</v>
      </c>
      <c r="I734" s="49" t="s">
        <v>104</v>
      </c>
      <c r="J734" s="49">
        <v>1</v>
      </c>
      <c r="K734" s="49"/>
      <c r="L734" s="49" t="s">
        <v>633</v>
      </c>
    </row>
    <row r="735" spans="2:12" ht="15" hidden="1">
      <c r="B735" s="136" t="s">
        <v>1544</v>
      </c>
      <c r="C735" s="49" t="s">
        <v>894</v>
      </c>
      <c r="D735" s="15" t="s">
        <v>1561</v>
      </c>
      <c r="E735" s="15" t="s">
        <v>1423</v>
      </c>
      <c r="F735" s="50">
        <v>2000000</v>
      </c>
      <c r="G735" s="49" t="s">
        <v>907</v>
      </c>
      <c r="H735" s="49" t="s">
        <v>104</v>
      </c>
      <c r="I735" s="49" t="s">
        <v>104</v>
      </c>
      <c r="J735" s="49">
        <v>1</v>
      </c>
      <c r="K735" s="49"/>
      <c r="L735" s="49" t="s">
        <v>633</v>
      </c>
    </row>
    <row r="736" spans="2:12" ht="15" hidden="1">
      <c r="B736" s="136" t="s">
        <v>1544</v>
      </c>
      <c r="C736" s="49" t="s">
        <v>894</v>
      </c>
      <c r="D736" s="15" t="s">
        <v>1562</v>
      </c>
      <c r="E736" s="15" t="s">
        <v>1452</v>
      </c>
      <c r="F736" s="50">
        <v>3000000</v>
      </c>
      <c r="G736" s="49" t="s">
        <v>907</v>
      </c>
      <c r="H736" s="49" t="s">
        <v>104</v>
      </c>
      <c r="I736" s="49" t="s">
        <v>104</v>
      </c>
      <c r="J736" s="49">
        <v>1</v>
      </c>
      <c r="K736" s="49"/>
      <c r="L736" s="49" t="s">
        <v>607</v>
      </c>
    </row>
    <row r="737" spans="2:12" ht="15" hidden="1">
      <c r="B737" s="136" t="s">
        <v>1544</v>
      </c>
      <c r="C737" s="49" t="s">
        <v>894</v>
      </c>
      <c r="D737" s="15" t="s">
        <v>1563</v>
      </c>
      <c r="E737" s="15" t="s">
        <v>1452</v>
      </c>
      <c r="F737" s="50">
        <v>5000000</v>
      </c>
      <c r="G737" s="49" t="s">
        <v>907</v>
      </c>
      <c r="H737" s="49" t="s">
        <v>104</v>
      </c>
      <c r="I737" s="49" t="s">
        <v>104</v>
      </c>
      <c r="J737" s="49">
        <v>1</v>
      </c>
      <c r="K737" s="49"/>
      <c r="L737" s="49" t="s">
        <v>633</v>
      </c>
    </row>
    <row r="738" spans="2:12" ht="15" hidden="1">
      <c r="B738" s="136" t="s">
        <v>1538</v>
      </c>
      <c r="C738" s="49" t="s">
        <v>1539</v>
      </c>
      <c r="D738" s="15" t="s">
        <v>1564</v>
      </c>
      <c r="E738" s="15" t="s">
        <v>997</v>
      </c>
      <c r="F738" s="50">
        <v>2000000</v>
      </c>
      <c r="G738" s="49" t="s">
        <v>907</v>
      </c>
      <c r="H738" s="49" t="s">
        <v>104</v>
      </c>
      <c r="I738" s="49" t="s">
        <v>104</v>
      </c>
      <c r="J738" s="49">
        <v>1</v>
      </c>
      <c r="K738" s="49"/>
      <c r="L738" s="49" t="s">
        <v>633</v>
      </c>
    </row>
    <row r="739" spans="2:12" ht="15" hidden="1">
      <c r="B739" s="136" t="s">
        <v>1528</v>
      </c>
      <c r="C739" s="49" t="s">
        <v>1539</v>
      </c>
      <c r="D739" s="15" t="s">
        <v>493</v>
      </c>
      <c r="E739" s="15" t="s">
        <v>1554</v>
      </c>
      <c r="F739" s="50">
        <v>1200000</v>
      </c>
      <c r="G739" s="49" t="s">
        <v>907</v>
      </c>
      <c r="H739" s="49" t="s">
        <v>104</v>
      </c>
      <c r="I739" s="49" t="s">
        <v>104</v>
      </c>
      <c r="J739" s="49">
        <v>1</v>
      </c>
      <c r="K739" s="49"/>
      <c r="L739" s="49" t="s">
        <v>633</v>
      </c>
    </row>
    <row r="740" spans="2:12" ht="15" hidden="1">
      <c r="B740" s="136" t="s">
        <v>1565</v>
      </c>
      <c r="C740" s="49" t="s">
        <v>1539</v>
      </c>
      <c r="D740" s="15" t="s">
        <v>1566</v>
      </c>
      <c r="E740" s="15" t="s">
        <v>988</v>
      </c>
      <c r="F740" s="50">
        <v>1800000</v>
      </c>
      <c r="G740" s="49" t="s">
        <v>907</v>
      </c>
      <c r="H740" s="49" t="s">
        <v>104</v>
      </c>
      <c r="I740" s="49" t="s">
        <v>104</v>
      </c>
      <c r="J740" s="49">
        <v>1</v>
      </c>
      <c r="K740" s="49"/>
      <c r="L740" s="49" t="s">
        <v>533</v>
      </c>
    </row>
    <row r="741" spans="2:12" ht="15" hidden="1">
      <c r="B741" s="136" t="s">
        <v>1565</v>
      </c>
      <c r="C741" s="49" t="s">
        <v>1539</v>
      </c>
      <c r="D741" s="15" t="s">
        <v>1567</v>
      </c>
      <c r="E741" s="15" t="s">
        <v>1568</v>
      </c>
      <c r="F741" s="50">
        <v>1300000</v>
      </c>
      <c r="G741" s="49" t="s">
        <v>907</v>
      </c>
      <c r="H741" s="49" t="s">
        <v>104</v>
      </c>
      <c r="I741" s="49" t="s">
        <v>104</v>
      </c>
      <c r="J741" s="49">
        <v>1</v>
      </c>
      <c r="K741" s="49"/>
      <c r="L741" s="49" t="s">
        <v>607</v>
      </c>
    </row>
    <row r="742" spans="2:12" ht="15.75" hidden="1">
      <c r="B742" s="136"/>
      <c r="C742" s="49"/>
      <c r="D742" s="15"/>
      <c r="E742" s="15"/>
      <c r="F742" s="50"/>
      <c r="G742" s="49"/>
      <c r="H742" s="49"/>
      <c r="I742" s="49"/>
      <c r="J742" s="685">
        <f>SUM(J722:J741)</f>
        <v>20</v>
      </c>
      <c r="K742" s="49"/>
      <c r="L742" s="49"/>
    </row>
    <row r="743" spans="2:12" ht="18.75" hidden="1">
      <c r="B743" s="1094" t="s">
        <v>1569</v>
      </c>
      <c r="C743" s="1095"/>
      <c r="D743" s="1095"/>
      <c r="E743" s="1095"/>
      <c r="F743" s="1095"/>
      <c r="G743" s="1095"/>
      <c r="H743" s="1095"/>
      <c r="I743" s="1095"/>
      <c r="J743" s="1095"/>
      <c r="K743" s="1095"/>
      <c r="L743" s="1096"/>
    </row>
    <row r="744" spans="2:12" ht="18.75" hidden="1">
      <c r="B744" s="328" t="s">
        <v>892</v>
      </c>
      <c r="C744" s="329" t="s">
        <v>893</v>
      </c>
      <c r="D744" s="329" t="s">
        <v>894</v>
      </c>
      <c r="E744" s="329" t="s">
        <v>895</v>
      </c>
      <c r="F744" s="330" t="s">
        <v>896</v>
      </c>
      <c r="G744" s="329" t="s">
        <v>897</v>
      </c>
      <c r="H744" s="329" t="s">
        <v>898</v>
      </c>
      <c r="I744" s="329" t="s">
        <v>899</v>
      </c>
      <c r="J744" s="329" t="s">
        <v>900</v>
      </c>
      <c r="K744" s="329" t="s">
        <v>901</v>
      </c>
      <c r="L744" s="329" t="s">
        <v>902</v>
      </c>
    </row>
    <row r="745" spans="2:12" ht="15" hidden="1">
      <c r="B745" s="394">
        <v>44780</v>
      </c>
      <c r="C745" s="395" t="s">
        <v>894</v>
      </c>
      <c r="D745" s="396" t="s">
        <v>1570</v>
      </c>
      <c r="E745" s="396" t="s">
        <v>997</v>
      </c>
      <c r="F745" s="397">
        <v>420000000</v>
      </c>
      <c r="G745" s="395" t="s">
        <v>907</v>
      </c>
      <c r="H745" s="395" t="s">
        <v>104</v>
      </c>
      <c r="I745" s="395" t="s">
        <v>104</v>
      </c>
      <c r="J745" s="395">
        <v>1</v>
      </c>
      <c r="K745" s="395"/>
      <c r="L745" s="395" t="s">
        <v>942</v>
      </c>
    </row>
    <row r="746" spans="2:12" ht="15" hidden="1">
      <c r="B746" s="395" t="s">
        <v>1571</v>
      </c>
      <c r="C746" s="395" t="s">
        <v>1539</v>
      </c>
      <c r="D746" s="688" t="s">
        <v>1403</v>
      </c>
      <c r="E746" s="688" t="s">
        <v>997</v>
      </c>
      <c r="F746" s="397">
        <v>360000000</v>
      </c>
      <c r="G746" s="395" t="s">
        <v>907</v>
      </c>
      <c r="H746" s="395" t="s">
        <v>104</v>
      </c>
      <c r="I746" s="395" t="s">
        <v>104</v>
      </c>
      <c r="J746" s="395">
        <v>1</v>
      </c>
      <c r="K746" s="395"/>
      <c r="L746" s="395" t="s">
        <v>942</v>
      </c>
    </row>
    <row r="747" spans="2:12" ht="15" hidden="1">
      <c r="B747" s="394" t="s">
        <v>1528</v>
      </c>
      <c r="C747" s="395" t="s">
        <v>1539</v>
      </c>
      <c r="D747" s="396" t="s">
        <v>490</v>
      </c>
      <c r="E747" s="396" t="s">
        <v>997</v>
      </c>
      <c r="F747" s="397">
        <v>310000000</v>
      </c>
      <c r="G747" s="395" t="s">
        <v>907</v>
      </c>
      <c r="H747" s="395" t="s">
        <v>104</v>
      </c>
      <c r="I747" s="395" t="s">
        <v>104</v>
      </c>
      <c r="J747" s="395">
        <v>1</v>
      </c>
      <c r="K747" s="395"/>
      <c r="L747" s="395" t="s">
        <v>942</v>
      </c>
    </row>
    <row r="748" spans="2:12" ht="15" hidden="1">
      <c r="B748" s="136">
        <v>44811</v>
      </c>
      <c r="C748" s="49" t="s">
        <v>894</v>
      </c>
      <c r="D748" s="15" t="s">
        <v>1572</v>
      </c>
      <c r="E748" s="15" t="s">
        <v>982</v>
      </c>
      <c r="F748" s="50">
        <v>2200000</v>
      </c>
      <c r="G748" s="49" t="s">
        <v>907</v>
      </c>
      <c r="H748" s="49" t="s">
        <v>104</v>
      </c>
      <c r="I748" s="49" t="s">
        <v>104</v>
      </c>
      <c r="J748" s="49">
        <v>1</v>
      </c>
      <c r="K748" s="49"/>
      <c r="L748" s="49" t="s">
        <v>633</v>
      </c>
    </row>
    <row r="749" spans="2:12" ht="15" hidden="1">
      <c r="B749" s="136">
        <v>44719</v>
      </c>
      <c r="C749" s="49" t="s">
        <v>894</v>
      </c>
      <c r="D749" s="15" t="s">
        <v>1573</v>
      </c>
      <c r="E749" s="15" t="s">
        <v>997</v>
      </c>
      <c r="F749" s="50">
        <v>1500000</v>
      </c>
      <c r="G749" s="49" t="s">
        <v>907</v>
      </c>
      <c r="H749" s="49" t="s">
        <v>104</v>
      </c>
      <c r="I749" s="49" t="s">
        <v>104</v>
      </c>
      <c r="J749" s="49">
        <v>1</v>
      </c>
      <c r="K749" s="49"/>
      <c r="L749" s="49" t="s">
        <v>607</v>
      </c>
    </row>
    <row r="750" spans="2:12" ht="15" hidden="1">
      <c r="B750" s="136">
        <v>44719</v>
      </c>
      <c r="C750" s="49" t="s">
        <v>894</v>
      </c>
      <c r="D750" s="15" t="s">
        <v>1574</v>
      </c>
      <c r="E750" s="15" t="s">
        <v>1452</v>
      </c>
      <c r="F750" s="50">
        <v>2000000</v>
      </c>
      <c r="G750" s="49" t="s">
        <v>907</v>
      </c>
      <c r="H750" s="49" t="s">
        <v>104</v>
      </c>
      <c r="I750" s="49" t="s">
        <v>104</v>
      </c>
      <c r="J750" s="49">
        <v>1</v>
      </c>
      <c r="K750" s="49"/>
      <c r="L750" s="49" t="s">
        <v>607</v>
      </c>
    </row>
    <row r="751" spans="2:12" ht="15" hidden="1">
      <c r="B751" s="136">
        <v>44719</v>
      </c>
      <c r="C751" s="49" t="s">
        <v>894</v>
      </c>
      <c r="D751" s="15" t="s">
        <v>1575</v>
      </c>
      <c r="E751" s="15" t="s">
        <v>1576</v>
      </c>
      <c r="F751" s="50">
        <v>1400000</v>
      </c>
      <c r="G751" s="49" t="s">
        <v>911</v>
      </c>
      <c r="H751" s="49" t="s">
        <v>104</v>
      </c>
      <c r="I751" s="49" t="s">
        <v>104</v>
      </c>
      <c r="J751" s="49">
        <v>1</v>
      </c>
      <c r="K751" s="49"/>
      <c r="L751" s="49" t="s">
        <v>633</v>
      </c>
    </row>
    <row r="752" spans="2:12" ht="15" hidden="1">
      <c r="B752" s="136">
        <v>44780</v>
      </c>
      <c r="C752" s="49" t="s">
        <v>894</v>
      </c>
      <c r="D752" s="15" t="s">
        <v>1577</v>
      </c>
      <c r="E752" s="15" t="s">
        <v>1452</v>
      </c>
      <c r="F752" s="50">
        <v>1400000</v>
      </c>
      <c r="G752" s="49" t="s">
        <v>907</v>
      </c>
      <c r="H752" s="49" t="s">
        <v>104</v>
      </c>
      <c r="I752" s="49" t="s">
        <v>104</v>
      </c>
      <c r="J752" s="49">
        <v>1</v>
      </c>
      <c r="K752" s="49"/>
      <c r="L752" s="49" t="s">
        <v>633</v>
      </c>
    </row>
    <row r="753" spans="2:12" ht="15" hidden="1">
      <c r="B753" s="136">
        <v>44780</v>
      </c>
      <c r="C753" s="49" t="s">
        <v>894</v>
      </c>
      <c r="D753" s="15" t="s">
        <v>1578</v>
      </c>
      <c r="E753" s="15" t="s">
        <v>1554</v>
      </c>
      <c r="F753" s="50">
        <v>1100000</v>
      </c>
      <c r="G753" s="49" t="s">
        <v>907</v>
      </c>
      <c r="H753" s="49" t="s">
        <v>104</v>
      </c>
      <c r="I753" s="49" t="s">
        <v>104</v>
      </c>
      <c r="J753" s="49">
        <v>1</v>
      </c>
      <c r="K753" s="49"/>
      <c r="L753" s="49" t="s">
        <v>607</v>
      </c>
    </row>
    <row r="754" spans="2:12" ht="15" hidden="1">
      <c r="B754" s="136">
        <v>44780</v>
      </c>
      <c r="C754" s="49" t="s">
        <v>894</v>
      </c>
      <c r="D754" s="15" t="s">
        <v>1579</v>
      </c>
      <c r="E754" s="15" t="s">
        <v>982</v>
      </c>
      <c r="F754" s="50">
        <v>2700000</v>
      </c>
      <c r="G754" s="49" t="s">
        <v>907</v>
      </c>
      <c r="H754" s="49" t="s">
        <v>104</v>
      </c>
      <c r="I754" s="49" t="s">
        <v>104</v>
      </c>
      <c r="J754" s="49">
        <v>1</v>
      </c>
      <c r="K754" s="49"/>
      <c r="L754" s="49" t="s">
        <v>633</v>
      </c>
    </row>
    <row r="755" spans="2:12" ht="15" hidden="1">
      <c r="B755" s="136">
        <v>44780</v>
      </c>
      <c r="C755" s="49" t="s">
        <v>894</v>
      </c>
      <c r="D755" s="15" t="s">
        <v>1580</v>
      </c>
      <c r="E755" s="15" t="s">
        <v>1554</v>
      </c>
      <c r="F755" s="50">
        <v>1200000</v>
      </c>
      <c r="G755" s="49" t="s">
        <v>907</v>
      </c>
      <c r="H755" s="49" t="s">
        <v>104</v>
      </c>
      <c r="I755" s="49" t="s">
        <v>104</v>
      </c>
      <c r="J755" s="49">
        <v>1</v>
      </c>
      <c r="K755" s="49"/>
      <c r="L755" s="49" t="s">
        <v>607</v>
      </c>
    </row>
    <row r="756" spans="2:12" ht="15" hidden="1">
      <c r="B756" s="136">
        <v>44811</v>
      </c>
      <c r="C756" s="49" t="s">
        <v>894</v>
      </c>
      <c r="D756" s="15" t="s">
        <v>1581</v>
      </c>
      <c r="E756" s="15" t="s">
        <v>988</v>
      </c>
      <c r="F756" s="50">
        <v>1900000</v>
      </c>
      <c r="G756" s="49" t="s">
        <v>907</v>
      </c>
      <c r="H756" s="49" t="s">
        <v>104</v>
      </c>
      <c r="I756" s="49" t="s">
        <v>104</v>
      </c>
      <c r="J756" s="49">
        <v>1</v>
      </c>
      <c r="K756" s="49"/>
      <c r="L756" s="49" t="s">
        <v>633</v>
      </c>
    </row>
    <row r="757" spans="2:12" ht="15" hidden="1">
      <c r="B757" s="136">
        <v>44872</v>
      </c>
      <c r="C757" s="49" t="s">
        <v>894</v>
      </c>
      <c r="D757" s="15" t="s">
        <v>1582</v>
      </c>
      <c r="E757" s="15" t="s">
        <v>1583</v>
      </c>
      <c r="F757" s="50">
        <v>1900000</v>
      </c>
      <c r="G757" s="49" t="s">
        <v>907</v>
      </c>
      <c r="H757" s="49" t="s">
        <v>104</v>
      </c>
      <c r="I757" s="49" t="s">
        <v>104</v>
      </c>
      <c r="J757" s="49">
        <v>1</v>
      </c>
      <c r="K757" s="49"/>
      <c r="L757" s="49" t="s">
        <v>607</v>
      </c>
    </row>
    <row r="758" spans="2:12" ht="15" hidden="1">
      <c r="B758" s="136" t="s">
        <v>1535</v>
      </c>
      <c r="C758" s="49" t="s">
        <v>894</v>
      </c>
      <c r="D758" s="15" t="s">
        <v>1584</v>
      </c>
      <c r="E758" s="15" t="s">
        <v>988</v>
      </c>
      <c r="F758" s="50">
        <v>1900000</v>
      </c>
      <c r="G758" s="49" t="s">
        <v>907</v>
      </c>
      <c r="H758" s="49" t="s">
        <v>104</v>
      </c>
      <c r="I758" s="49" t="s">
        <v>104</v>
      </c>
      <c r="J758" s="49">
        <v>1</v>
      </c>
      <c r="K758" s="49"/>
      <c r="L758" s="49" t="s">
        <v>607</v>
      </c>
    </row>
    <row r="759" spans="2:12" ht="15" hidden="1">
      <c r="B759" s="136" t="s">
        <v>1535</v>
      </c>
      <c r="C759" s="49" t="s">
        <v>894</v>
      </c>
      <c r="D759" s="15" t="s">
        <v>1585</v>
      </c>
      <c r="E759" s="15" t="s">
        <v>1554</v>
      </c>
      <c r="F759" s="50">
        <v>1200000</v>
      </c>
      <c r="G759" s="49" t="s">
        <v>907</v>
      </c>
      <c r="H759" s="49" t="s">
        <v>104</v>
      </c>
      <c r="I759" s="49" t="s">
        <v>104</v>
      </c>
      <c r="J759" s="49">
        <v>1</v>
      </c>
      <c r="K759" s="49"/>
      <c r="L759" s="49" t="s">
        <v>633</v>
      </c>
    </row>
    <row r="760" spans="2:12" ht="15" hidden="1">
      <c r="B760" s="136" t="s">
        <v>1571</v>
      </c>
      <c r="C760" s="49" t="s">
        <v>1539</v>
      </c>
      <c r="D760" s="15" t="s">
        <v>1403</v>
      </c>
      <c r="E760" s="15" t="s">
        <v>997</v>
      </c>
      <c r="F760" s="50">
        <v>2000000</v>
      </c>
      <c r="G760" s="49" t="s">
        <v>907</v>
      </c>
      <c r="H760" s="49" t="s">
        <v>104</v>
      </c>
      <c r="I760" s="49" t="s">
        <v>104</v>
      </c>
      <c r="J760" s="49">
        <v>1</v>
      </c>
      <c r="K760" s="49"/>
      <c r="L760" s="49" t="s">
        <v>607</v>
      </c>
    </row>
    <row r="761" spans="2:12" ht="15" hidden="1">
      <c r="B761" s="136" t="s">
        <v>1571</v>
      </c>
      <c r="C761" s="49" t="s">
        <v>1539</v>
      </c>
      <c r="D761" s="15" t="s">
        <v>1586</v>
      </c>
      <c r="E761" s="15" t="s">
        <v>997</v>
      </c>
      <c r="F761" s="50">
        <v>2000000</v>
      </c>
      <c r="G761" s="49" t="s">
        <v>907</v>
      </c>
      <c r="H761" s="49" t="s">
        <v>104</v>
      </c>
      <c r="I761" s="49" t="s">
        <v>104</v>
      </c>
      <c r="J761" s="49">
        <v>1</v>
      </c>
      <c r="K761" s="49"/>
      <c r="L761" s="49" t="s">
        <v>633</v>
      </c>
    </row>
    <row r="762" spans="2:12" ht="15" hidden="1">
      <c r="B762" s="136" t="s">
        <v>1538</v>
      </c>
      <c r="C762" s="49" t="s">
        <v>1539</v>
      </c>
      <c r="D762" s="15" t="s">
        <v>426</v>
      </c>
      <c r="E762" s="15" t="s">
        <v>1452</v>
      </c>
      <c r="F762" s="50">
        <v>2100000</v>
      </c>
      <c r="G762" s="49" t="s">
        <v>907</v>
      </c>
      <c r="H762" s="49" t="s">
        <v>104</v>
      </c>
      <c r="I762" s="49" t="s">
        <v>104</v>
      </c>
      <c r="J762" s="49">
        <v>1</v>
      </c>
      <c r="K762" s="49"/>
      <c r="L762" s="49" t="s">
        <v>533</v>
      </c>
    </row>
    <row r="763" spans="2:12" ht="15" hidden="1">
      <c r="B763" s="136" t="s">
        <v>1538</v>
      </c>
      <c r="C763" s="49" t="s">
        <v>1539</v>
      </c>
      <c r="D763" s="15" t="s">
        <v>1587</v>
      </c>
      <c r="E763" s="15" t="s">
        <v>1588</v>
      </c>
      <c r="F763" s="50">
        <v>1000000</v>
      </c>
      <c r="G763" s="49" t="s">
        <v>911</v>
      </c>
      <c r="H763" s="49" t="s">
        <v>104</v>
      </c>
      <c r="I763" s="49" t="s">
        <v>104</v>
      </c>
      <c r="J763" s="49">
        <v>1</v>
      </c>
      <c r="K763" s="49"/>
      <c r="L763" s="49" t="s">
        <v>607</v>
      </c>
    </row>
    <row r="764" spans="2:12" ht="15" hidden="1">
      <c r="B764" s="136" t="s">
        <v>1538</v>
      </c>
      <c r="C764" s="49" t="s">
        <v>894</v>
      </c>
      <c r="D764" s="15" t="s">
        <v>456</v>
      </c>
      <c r="E764" s="15" t="s">
        <v>1589</v>
      </c>
      <c r="F764" s="50">
        <v>1800000</v>
      </c>
      <c r="G764" s="49" t="s">
        <v>907</v>
      </c>
      <c r="H764" s="49" t="s">
        <v>104</v>
      </c>
      <c r="I764" s="49" t="s">
        <v>104</v>
      </c>
      <c r="J764" s="49">
        <v>1</v>
      </c>
      <c r="K764" s="49"/>
      <c r="L764" s="49" t="s">
        <v>533</v>
      </c>
    </row>
    <row r="765" spans="2:12" ht="15" hidden="1">
      <c r="B765" s="136" t="s">
        <v>1565</v>
      </c>
      <c r="C765" s="49" t="s">
        <v>1539</v>
      </c>
      <c r="D765" s="15" t="s">
        <v>1590</v>
      </c>
      <c r="E765" s="15" t="s">
        <v>1452</v>
      </c>
      <c r="F765" s="50">
        <v>2000000</v>
      </c>
      <c r="G765" s="49" t="s">
        <v>907</v>
      </c>
      <c r="H765" s="49" t="s">
        <v>104</v>
      </c>
      <c r="I765" s="49" t="s">
        <v>104</v>
      </c>
      <c r="J765" s="49">
        <v>1</v>
      </c>
      <c r="K765" s="49"/>
      <c r="L765" s="49" t="s">
        <v>633</v>
      </c>
    </row>
    <row r="766" spans="2:12" ht="15" hidden="1">
      <c r="B766" s="136" t="s">
        <v>1565</v>
      </c>
      <c r="C766" s="49" t="s">
        <v>894</v>
      </c>
      <c r="D766" s="15" t="s">
        <v>1591</v>
      </c>
      <c r="E766" s="15" t="s">
        <v>1088</v>
      </c>
      <c r="F766" s="50">
        <v>2000000</v>
      </c>
      <c r="G766" s="49" t="s">
        <v>907</v>
      </c>
      <c r="H766" s="49" t="s">
        <v>104</v>
      </c>
      <c r="I766" s="49" t="s">
        <v>104</v>
      </c>
      <c r="J766" s="49">
        <v>1</v>
      </c>
      <c r="K766" s="49"/>
      <c r="L766" s="49" t="s">
        <v>533</v>
      </c>
    </row>
    <row r="767" spans="2:12" ht="15" hidden="1">
      <c r="B767" s="136" t="s">
        <v>1565</v>
      </c>
      <c r="C767" s="49" t="s">
        <v>1539</v>
      </c>
      <c r="D767" s="15" t="s">
        <v>1592</v>
      </c>
      <c r="E767" s="15" t="s">
        <v>994</v>
      </c>
      <c r="F767" s="50">
        <v>1400000</v>
      </c>
      <c r="G767" s="49" t="s">
        <v>907</v>
      </c>
      <c r="H767" s="49" t="s">
        <v>104</v>
      </c>
      <c r="I767" s="49" t="s">
        <v>104</v>
      </c>
      <c r="J767" s="49">
        <v>1</v>
      </c>
      <c r="K767" s="49"/>
      <c r="L767" s="49" t="s">
        <v>607</v>
      </c>
    </row>
    <row r="768" spans="2:12" ht="15.75" hidden="1">
      <c r="B768" s="136"/>
      <c r="C768" s="49"/>
      <c r="D768" s="15"/>
      <c r="E768" s="15"/>
      <c r="F768" s="50"/>
      <c r="G768" s="49"/>
      <c r="H768" s="49"/>
      <c r="I768" s="49"/>
      <c r="J768" s="685">
        <v>20</v>
      </c>
      <c r="K768" s="49"/>
      <c r="L768" s="49"/>
    </row>
    <row r="769" spans="2:12" ht="18.75" hidden="1">
      <c r="B769" s="1094" t="s">
        <v>1593</v>
      </c>
      <c r="C769" s="1095"/>
      <c r="D769" s="1095"/>
      <c r="E769" s="1095"/>
      <c r="F769" s="1095"/>
      <c r="G769" s="1095"/>
      <c r="H769" s="1095"/>
      <c r="I769" s="1095"/>
      <c r="J769" s="1095"/>
      <c r="K769" s="1095"/>
      <c r="L769" s="1096"/>
    </row>
    <row r="770" spans="2:12" ht="18.75" hidden="1">
      <c r="B770" s="328" t="s">
        <v>892</v>
      </c>
      <c r="C770" s="329" t="s">
        <v>893</v>
      </c>
      <c r="D770" s="329" t="s">
        <v>894</v>
      </c>
      <c r="E770" s="329" t="s">
        <v>895</v>
      </c>
      <c r="F770" s="330" t="s">
        <v>896</v>
      </c>
      <c r="G770" s="329" t="s">
        <v>897</v>
      </c>
      <c r="H770" s="329" t="s">
        <v>898</v>
      </c>
      <c r="I770" s="329" t="s">
        <v>899</v>
      </c>
      <c r="J770" s="329" t="s">
        <v>900</v>
      </c>
      <c r="K770" s="329" t="s">
        <v>901</v>
      </c>
      <c r="L770" s="329" t="s">
        <v>902</v>
      </c>
    </row>
    <row r="771" spans="2:12" ht="15" hidden="1">
      <c r="B771" s="394"/>
      <c r="C771" s="395"/>
      <c r="D771" s="396"/>
      <c r="E771" s="396"/>
      <c r="F771" s="397"/>
      <c r="G771" s="395"/>
      <c r="H771" s="395"/>
      <c r="I771" s="395"/>
      <c r="J771" s="395"/>
      <c r="K771" s="395"/>
      <c r="L771" s="395"/>
    </row>
    <row r="772" spans="2:12" ht="15" hidden="1">
      <c r="B772" s="394"/>
      <c r="C772" s="395"/>
      <c r="D772" s="396"/>
      <c r="E772" s="396"/>
      <c r="F772" s="397"/>
      <c r="G772" s="395"/>
      <c r="H772" s="395"/>
      <c r="I772" s="395"/>
      <c r="J772" s="395"/>
      <c r="K772" s="395"/>
      <c r="L772" s="395"/>
    </row>
    <row r="773" spans="2:12" ht="15" hidden="1">
      <c r="B773" s="394"/>
      <c r="C773" s="395"/>
      <c r="D773" s="396"/>
      <c r="E773" s="396"/>
      <c r="F773" s="397"/>
      <c r="G773" s="395"/>
      <c r="H773" s="395"/>
      <c r="I773" s="395"/>
      <c r="J773" s="395"/>
      <c r="K773" s="395"/>
      <c r="L773" s="395"/>
    </row>
    <row r="774" spans="2:12" ht="15.75" hidden="1">
      <c r="B774" s="136" t="s">
        <v>1559</v>
      </c>
      <c r="C774" s="49" t="s">
        <v>1539</v>
      </c>
      <c r="D774" s="689" t="s">
        <v>1594</v>
      </c>
      <c r="E774" s="15" t="s">
        <v>994</v>
      </c>
      <c r="F774" s="50">
        <v>1100000</v>
      </c>
      <c r="G774" s="49" t="s">
        <v>911</v>
      </c>
      <c r="H774" s="49" t="s">
        <v>104</v>
      </c>
      <c r="I774" s="49" t="s">
        <v>104</v>
      </c>
      <c r="J774" s="49">
        <v>1</v>
      </c>
      <c r="K774" s="49"/>
      <c r="L774" s="49" t="s">
        <v>633</v>
      </c>
    </row>
    <row r="775" spans="2:12" ht="15" hidden="1">
      <c r="B775" s="136"/>
      <c r="C775" s="49"/>
      <c r="D775" s="15"/>
      <c r="E775" s="15"/>
      <c r="F775" s="50"/>
      <c r="G775" s="49"/>
      <c r="H775" s="49"/>
      <c r="I775" s="49"/>
      <c r="J775" s="49"/>
      <c r="K775" s="49"/>
      <c r="L775" s="49"/>
    </row>
    <row r="776" spans="2:12" ht="15" hidden="1">
      <c r="B776" s="136"/>
      <c r="C776" s="49"/>
      <c r="D776" s="15"/>
      <c r="E776" s="15"/>
      <c r="F776" s="50"/>
      <c r="G776" s="49"/>
      <c r="H776" s="49"/>
      <c r="I776" s="49"/>
      <c r="J776" s="49"/>
      <c r="K776" s="49"/>
      <c r="L776" s="49"/>
    </row>
    <row r="777" spans="2:12" ht="15" hidden="1">
      <c r="B777" s="136"/>
      <c r="C777" s="49"/>
      <c r="D777" s="15"/>
      <c r="E777" s="15"/>
      <c r="F777" s="50"/>
      <c r="G777" s="49"/>
      <c r="H777" s="49"/>
      <c r="I777" s="49"/>
      <c r="J777" s="49"/>
      <c r="K777" s="49"/>
      <c r="L777" s="49"/>
    </row>
    <row r="778" spans="2:12" ht="31.5">
      <c r="B778" s="987" t="s">
        <v>412</v>
      </c>
      <c r="C778" s="987"/>
      <c r="D778" s="987"/>
      <c r="E778" s="987"/>
      <c r="F778" s="987"/>
      <c r="G778" s="987"/>
      <c r="H778" s="987"/>
      <c r="I778" s="987"/>
      <c r="J778" s="987"/>
      <c r="K778" s="987"/>
      <c r="L778" s="987"/>
    </row>
    <row r="779" spans="2:12" ht="18.75" hidden="1">
      <c r="B779" s="1094" t="s">
        <v>1595</v>
      </c>
      <c r="C779" s="1095"/>
      <c r="D779" s="1095"/>
      <c r="E779" s="1095"/>
      <c r="F779" s="1095"/>
      <c r="G779" s="1095"/>
      <c r="H779" s="1095"/>
      <c r="I779" s="1095"/>
      <c r="J779" s="1095"/>
      <c r="K779" s="1095"/>
      <c r="L779" s="1096"/>
    </row>
    <row r="780" spans="2:12" ht="18.75" hidden="1">
      <c r="B780" s="328" t="s">
        <v>892</v>
      </c>
      <c r="C780" s="329" t="s">
        <v>893</v>
      </c>
      <c r="D780" s="329" t="s">
        <v>894</v>
      </c>
      <c r="E780" s="329" t="s">
        <v>895</v>
      </c>
      <c r="F780" s="330" t="s">
        <v>896</v>
      </c>
      <c r="G780" s="329" t="s">
        <v>897</v>
      </c>
      <c r="H780" s="329" t="s">
        <v>898</v>
      </c>
      <c r="I780" s="329" t="s">
        <v>899</v>
      </c>
      <c r="J780" s="329" t="s">
        <v>900</v>
      </c>
      <c r="K780" s="329" t="s">
        <v>901</v>
      </c>
      <c r="L780" s="329" t="s">
        <v>902</v>
      </c>
    </row>
    <row r="781" spans="2:12" ht="15" hidden="1">
      <c r="B781" s="394" t="s">
        <v>1596</v>
      </c>
      <c r="C781" s="395" t="s">
        <v>894</v>
      </c>
      <c r="D781" s="396" t="s">
        <v>1597</v>
      </c>
      <c r="E781" s="396" t="s">
        <v>997</v>
      </c>
      <c r="F781" s="397">
        <v>250000000</v>
      </c>
      <c r="G781" s="395" t="s">
        <v>1598</v>
      </c>
      <c r="H781" s="395" t="s">
        <v>104</v>
      </c>
      <c r="I781" s="395" t="s">
        <v>104</v>
      </c>
      <c r="J781" s="395">
        <v>1</v>
      </c>
      <c r="K781" s="395"/>
      <c r="L781" s="395" t="s">
        <v>942</v>
      </c>
    </row>
    <row r="782" spans="2:12" ht="15" hidden="1">
      <c r="B782" s="394" t="s">
        <v>1599</v>
      </c>
      <c r="C782" s="395" t="s">
        <v>894</v>
      </c>
      <c r="D782" s="396" t="s">
        <v>1600</v>
      </c>
      <c r="E782" s="396" t="s">
        <v>997</v>
      </c>
      <c r="F782" s="397">
        <v>550000</v>
      </c>
      <c r="G782" s="395" t="s">
        <v>907</v>
      </c>
      <c r="H782" s="395" t="s">
        <v>104</v>
      </c>
      <c r="I782" s="395" t="s">
        <v>104</v>
      </c>
      <c r="J782" s="395">
        <v>1</v>
      </c>
      <c r="K782" s="395"/>
      <c r="L782" s="395" t="s">
        <v>942</v>
      </c>
    </row>
    <row r="783" spans="2:12" ht="15" hidden="1">
      <c r="B783" s="739">
        <v>44842</v>
      </c>
      <c r="C783" s="740" t="s">
        <v>894</v>
      </c>
      <c r="D783" s="741" t="s">
        <v>1601</v>
      </c>
      <c r="E783" s="741" t="s">
        <v>997</v>
      </c>
      <c r="F783" s="742">
        <v>700000000</v>
      </c>
      <c r="G783" s="740" t="s">
        <v>907</v>
      </c>
      <c r="H783" s="740" t="s">
        <v>104</v>
      </c>
      <c r="I783" s="740" t="s">
        <v>104</v>
      </c>
      <c r="J783" s="740">
        <v>1</v>
      </c>
      <c r="K783" s="740"/>
      <c r="L783" s="740" t="s">
        <v>942</v>
      </c>
    </row>
    <row r="784" spans="2:12" ht="15" hidden="1">
      <c r="B784" s="136" t="s">
        <v>1596</v>
      </c>
      <c r="C784" s="49" t="s">
        <v>894</v>
      </c>
      <c r="D784" s="15" t="s">
        <v>1602</v>
      </c>
      <c r="E784" s="15" t="s">
        <v>997</v>
      </c>
      <c r="F784" s="50">
        <v>1900000</v>
      </c>
      <c r="G784" s="49" t="s">
        <v>907</v>
      </c>
      <c r="H784" s="49" t="s">
        <v>104</v>
      </c>
      <c r="I784" s="49" t="s">
        <v>104</v>
      </c>
      <c r="J784" s="49">
        <v>1</v>
      </c>
      <c r="K784" s="49"/>
      <c r="L784" s="49" t="s">
        <v>533</v>
      </c>
    </row>
    <row r="785" spans="2:12" ht="15" hidden="1">
      <c r="B785" s="136" t="s">
        <v>1599</v>
      </c>
      <c r="C785" s="49" t="s">
        <v>894</v>
      </c>
      <c r="D785" s="15" t="s">
        <v>1603</v>
      </c>
      <c r="E785" s="15" t="s">
        <v>1337</v>
      </c>
      <c r="F785" s="50">
        <v>2200000</v>
      </c>
      <c r="G785" s="49" t="s">
        <v>907</v>
      </c>
      <c r="H785" s="49" t="s">
        <v>104</v>
      </c>
      <c r="I785" s="49" t="s">
        <v>104</v>
      </c>
      <c r="J785" s="49">
        <v>1</v>
      </c>
      <c r="K785" s="49"/>
      <c r="L785" s="49" t="s">
        <v>607</v>
      </c>
    </row>
    <row r="786" spans="2:12" ht="15" hidden="1">
      <c r="B786" s="136" t="s">
        <v>1599</v>
      </c>
      <c r="C786" s="49" t="s">
        <v>894</v>
      </c>
      <c r="D786" s="15" t="s">
        <v>1604</v>
      </c>
      <c r="E786" s="15" t="s">
        <v>1605</v>
      </c>
      <c r="F786" s="50">
        <v>2200000</v>
      </c>
      <c r="G786" s="49" t="s">
        <v>907</v>
      </c>
      <c r="H786" s="49" t="s">
        <v>104</v>
      </c>
      <c r="I786" s="49" t="s">
        <v>104</v>
      </c>
      <c r="J786" s="49">
        <v>1</v>
      </c>
      <c r="K786" s="49"/>
      <c r="L786" s="49" t="s">
        <v>607</v>
      </c>
    </row>
    <row r="787" spans="2:12" ht="15" hidden="1">
      <c r="B787" s="136">
        <v>44600</v>
      </c>
      <c r="C787" s="49" t="s">
        <v>894</v>
      </c>
      <c r="D787" s="15" t="s">
        <v>1606</v>
      </c>
      <c r="E787" s="15" t="s">
        <v>997</v>
      </c>
      <c r="F787" s="50">
        <v>2000000</v>
      </c>
      <c r="G787" s="49" t="s">
        <v>907</v>
      </c>
      <c r="H787" s="49" t="s">
        <v>104</v>
      </c>
      <c r="I787" s="49" t="s">
        <v>104</v>
      </c>
      <c r="J787" s="49">
        <v>1</v>
      </c>
      <c r="K787" s="49"/>
      <c r="L787" s="49" t="s">
        <v>533</v>
      </c>
    </row>
    <row r="788" spans="2:12" ht="15" hidden="1">
      <c r="B788" s="136" t="s">
        <v>1607</v>
      </c>
      <c r="C788" s="49" t="s">
        <v>894</v>
      </c>
      <c r="D788" s="15" t="s">
        <v>421</v>
      </c>
      <c r="E788" s="15" t="s">
        <v>982</v>
      </c>
      <c r="F788" s="50">
        <v>2400000</v>
      </c>
      <c r="G788" s="49" t="s">
        <v>907</v>
      </c>
      <c r="H788" s="49" t="s">
        <v>104</v>
      </c>
      <c r="I788" s="49" t="s">
        <v>104</v>
      </c>
      <c r="J788" s="49">
        <v>1</v>
      </c>
      <c r="K788" s="49"/>
      <c r="L788" s="49" t="s">
        <v>607</v>
      </c>
    </row>
    <row r="789" spans="2:12" ht="15" hidden="1">
      <c r="B789" s="136">
        <v>44689</v>
      </c>
      <c r="C789" s="49" t="s">
        <v>894</v>
      </c>
      <c r="D789" s="15" t="s">
        <v>1608</v>
      </c>
      <c r="E789" s="15" t="s">
        <v>982</v>
      </c>
      <c r="F789" s="50">
        <v>2500000</v>
      </c>
      <c r="G789" s="49" t="s">
        <v>907</v>
      </c>
      <c r="H789" s="49" t="s">
        <v>104</v>
      </c>
      <c r="I789" s="49" t="s">
        <v>104</v>
      </c>
      <c r="J789" s="49">
        <v>1</v>
      </c>
      <c r="K789" s="49"/>
      <c r="L789" s="49" t="s">
        <v>533</v>
      </c>
    </row>
    <row r="790" spans="2:12" ht="15" hidden="1">
      <c r="B790" s="136">
        <v>44778</v>
      </c>
      <c r="C790" s="49" t="s">
        <v>1539</v>
      </c>
      <c r="D790" s="15" t="s">
        <v>774</v>
      </c>
      <c r="E790" s="15" t="s">
        <v>982</v>
      </c>
      <c r="F790" s="50">
        <v>1900000</v>
      </c>
      <c r="G790" s="49" t="s">
        <v>907</v>
      </c>
      <c r="H790" s="49" t="s">
        <v>104</v>
      </c>
      <c r="I790" s="49" t="s">
        <v>104</v>
      </c>
      <c r="J790" s="49">
        <v>1</v>
      </c>
      <c r="K790" s="49"/>
      <c r="L790" s="49" t="s">
        <v>633</v>
      </c>
    </row>
    <row r="791" spans="2:12" ht="15" hidden="1">
      <c r="B791" s="136">
        <v>44778</v>
      </c>
      <c r="C791" s="49" t="s">
        <v>894</v>
      </c>
      <c r="D791" s="15" t="s">
        <v>1609</v>
      </c>
      <c r="E791" s="15" t="s">
        <v>982</v>
      </c>
      <c r="F791" s="50">
        <v>2800000</v>
      </c>
      <c r="G791" s="49" t="s">
        <v>1598</v>
      </c>
      <c r="H791" s="49" t="s">
        <v>104</v>
      </c>
      <c r="I791" s="49" t="s">
        <v>104</v>
      </c>
      <c r="J791" s="49">
        <v>1</v>
      </c>
      <c r="K791" s="49"/>
      <c r="L791" s="49" t="s">
        <v>607</v>
      </c>
    </row>
    <row r="792" spans="2:12" ht="15" hidden="1">
      <c r="B792" s="136">
        <v>44689</v>
      </c>
      <c r="C792" s="49" t="s">
        <v>894</v>
      </c>
      <c r="D792" s="15" t="s">
        <v>1610</v>
      </c>
      <c r="E792" s="15" t="s">
        <v>982</v>
      </c>
      <c r="F792" s="50">
        <v>1900000</v>
      </c>
      <c r="G792" s="49" t="s">
        <v>907</v>
      </c>
      <c r="H792" s="49" t="s">
        <v>104</v>
      </c>
      <c r="I792" s="49" t="s">
        <v>104</v>
      </c>
      <c r="J792" s="49">
        <v>1</v>
      </c>
      <c r="K792" s="49"/>
      <c r="L792" s="49" t="s">
        <v>607</v>
      </c>
    </row>
    <row r="793" spans="2:12" ht="15" hidden="1">
      <c r="B793" s="136">
        <v>44778</v>
      </c>
      <c r="C793" s="49" t="s">
        <v>894</v>
      </c>
      <c r="D793" s="15" t="s">
        <v>431</v>
      </c>
      <c r="E793" s="15" t="s">
        <v>997</v>
      </c>
      <c r="F793" s="50">
        <v>2800000</v>
      </c>
      <c r="G793" s="49" t="s">
        <v>907</v>
      </c>
      <c r="H793" s="49" t="s">
        <v>104</v>
      </c>
      <c r="I793" s="49" t="s">
        <v>104</v>
      </c>
      <c r="J793" s="49">
        <v>1</v>
      </c>
      <c r="K793" s="49"/>
      <c r="L793" s="49" t="s">
        <v>633</v>
      </c>
    </row>
    <row r="794" spans="2:12" ht="15" hidden="1">
      <c r="B794" s="136">
        <v>44842</v>
      </c>
      <c r="C794" s="49" t="s">
        <v>1539</v>
      </c>
      <c r="D794" s="15" t="s">
        <v>1611</v>
      </c>
      <c r="E794" s="15" t="s">
        <v>1331</v>
      </c>
      <c r="F794" s="50">
        <v>6000000</v>
      </c>
      <c r="G794" s="49" t="s">
        <v>907</v>
      </c>
      <c r="H794" s="49" t="s">
        <v>104</v>
      </c>
      <c r="I794" s="49" t="s">
        <v>104</v>
      </c>
      <c r="J794" s="49">
        <v>1</v>
      </c>
      <c r="K794" s="49"/>
      <c r="L794" s="49" t="s">
        <v>607</v>
      </c>
    </row>
    <row r="795" spans="2:12" ht="15" hidden="1">
      <c r="B795" s="136">
        <v>44905</v>
      </c>
      <c r="C795" s="49" t="s">
        <v>1539</v>
      </c>
      <c r="D795" s="15" t="s">
        <v>1612</v>
      </c>
      <c r="E795" s="15" t="s">
        <v>997</v>
      </c>
      <c r="F795" s="50">
        <v>1950000</v>
      </c>
      <c r="G795" s="49" t="s">
        <v>907</v>
      </c>
      <c r="H795" s="49" t="s">
        <v>104</v>
      </c>
      <c r="I795" s="49" t="s">
        <v>104</v>
      </c>
      <c r="J795" s="49">
        <v>1</v>
      </c>
      <c r="K795" s="49"/>
      <c r="L795" s="49" t="s">
        <v>533</v>
      </c>
    </row>
    <row r="796" spans="2:12" ht="15" hidden="1">
      <c r="B796" s="136" t="s">
        <v>1613</v>
      </c>
      <c r="C796" s="49" t="s">
        <v>1539</v>
      </c>
      <c r="D796" s="15" t="s">
        <v>1614</v>
      </c>
      <c r="E796" s="15" t="s">
        <v>1331</v>
      </c>
      <c r="F796" s="50">
        <v>2000000</v>
      </c>
      <c r="G796" s="49" t="s">
        <v>907</v>
      </c>
      <c r="H796" s="49" t="s">
        <v>104</v>
      </c>
      <c r="I796" s="49" t="s">
        <v>104</v>
      </c>
      <c r="J796" s="49">
        <v>1</v>
      </c>
      <c r="K796" s="49"/>
      <c r="L796" s="49" t="s">
        <v>533</v>
      </c>
    </row>
    <row r="797" spans="2:12" ht="15" hidden="1">
      <c r="B797" s="136" t="s">
        <v>1613</v>
      </c>
      <c r="C797" s="49" t="s">
        <v>1539</v>
      </c>
      <c r="D797" s="738" t="s">
        <v>1615</v>
      </c>
      <c r="E797" s="15" t="s">
        <v>1452</v>
      </c>
      <c r="F797" s="50">
        <v>2400000</v>
      </c>
      <c r="G797" s="49" t="s">
        <v>907</v>
      </c>
      <c r="H797" s="49" t="s">
        <v>104</v>
      </c>
      <c r="I797" s="49" t="s">
        <v>104</v>
      </c>
      <c r="J797" s="49">
        <v>1</v>
      </c>
      <c r="K797" s="49"/>
      <c r="L797" s="49" t="s">
        <v>633</v>
      </c>
    </row>
    <row r="798" spans="2:12" ht="15" hidden="1">
      <c r="B798" s="136" t="s">
        <v>1613</v>
      </c>
      <c r="C798" s="49" t="s">
        <v>1539</v>
      </c>
      <c r="D798" s="738" t="s">
        <v>1616</v>
      </c>
      <c r="E798" s="15" t="s">
        <v>1337</v>
      </c>
      <c r="F798" s="50">
        <v>2400000</v>
      </c>
      <c r="G798" s="49" t="s">
        <v>907</v>
      </c>
      <c r="H798" s="49" t="s">
        <v>104</v>
      </c>
      <c r="I798" s="49" t="s">
        <v>104</v>
      </c>
      <c r="J798" s="49">
        <v>1</v>
      </c>
      <c r="K798" s="49"/>
      <c r="L798" s="49" t="s">
        <v>607</v>
      </c>
    </row>
    <row r="799" spans="2:12" ht="15" hidden="1">
      <c r="B799" s="136" t="s">
        <v>1613</v>
      </c>
      <c r="C799" s="49" t="s">
        <v>1539</v>
      </c>
      <c r="D799" s="738" t="s">
        <v>1617</v>
      </c>
      <c r="E799" s="15" t="s">
        <v>1346</v>
      </c>
      <c r="F799" s="50">
        <v>1700000</v>
      </c>
      <c r="G799" s="49" t="s">
        <v>907</v>
      </c>
      <c r="H799" s="49" t="s">
        <v>104</v>
      </c>
      <c r="I799" s="49" t="s">
        <v>104</v>
      </c>
      <c r="J799" s="49">
        <v>1</v>
      </c>
      <c r="K799" s="49"/>
      <c r="L799" s="49" t="s">
        <v>533</v>
      </c>
    </row>
    <row r="800" spans="2:12" ht="15" hidden="1">
      <c r="B800" s="60" t="s">
        <v>1613</v>
      </c>
      <c r="C800" s="61" t="s">
        <v>1539</v>
      </c>
      <c r="D800" s="754" t="s">
        <v>1618</v>
      </c>
      <c r="E800" s="489" t="s">
        <v>982</v>
      </c>
      <c r="F800" s="490">
        <v>1400000</v>
      </c>
      <c r="G800" s="61" t="s">
        <v>907</v>
      </c>
      <c r="H800" s="61" t="s">
        <v>104</v>
      </c>
      <c r="I800" s="61" t="s">
        <v>104</v>
      </c>
      <c r="J800" s="61">
        <v>1</v>
      </c>
      <c r="K800" s="61"/>
      <c r="L800" s="61" t="s">
        <v>607</v>
      </c>
    </row>
    <row r="801" spans="2:12" ht="15" hidden="1">
      <c r="B801" s="136" t="s">
        <v>1619</v>
      </c>
      <c r="C801" s="49" t="s">
        <v>957</v>
      </c>
      <c r="D801" s="718" t="s">
        <v>417</v>
      </c>
      <c r="E801" s="15" t="s">
        <v>1620</v>
      </c>
      <c r="F801" s="50">
        <v>3000000</v>
      </c>
      <c r="G801" s="49" t="s">
        <v>907</v>
      </c>
      <c r="H801" s="49" t="s">
        <v>104</v>
      </c>
      <c r="I801" s="49" t="s">
        <v>104</v>
      </c>
      <c r="J801" s="49">
        <v>1</v>
      </c>
      <c r="K801" s="49"/>
      <c r="L801" s="49" t="s">
        <v>533</v>
      </c>
    </row>
    <row r="802" spans="2:12" ht="15" hidden="1">
      <c r="B802" s="136" t="s">
        <v>1621</v>
      </c>
      <c r="C802" s="49" t="s">
        <v>1539</v>
      </c>
      <c r="D802" s="717" t="s">
        <v>1622</v>
      </c>
      <c r="E802" s="15" t="s">
        <v>1337</v>
      </c>
      <c r="F802" s="50">
        <v>1950000</v>
      </c>
      <c r="G802" s="49" t="s">
        <v>1598</v>
      </c>
      <c r="H802" s="49" t="s">
        <v>104</v>
      </c>
      <c r="I802" s="49" t="s">
        <v>104</v>
      </c>
      <c r="J802" s="49">
        <v>1</v>
      </c>
      <c r="K802" s="49"/>
      <c r="L802" s="49" t="s">
        <v>607</v>
      </c>
    </row>
    <row r="803" spans="2:12" ht="15" hidden="1">
      <c r="B803" s="136" t="s">
        <v>1619</v>
      </c>
      <c r="C803" s="49" t="s">
        <v>1539</v>
      </c>
      <c r="D803" s="717" t="s">
        <v>1623</v>
      </c>
      <c r="E803" s="15" t="s">
        <v>982</v>
      </c>
      <c r="F803" s="50">
        <v>2000000</v>
      </c>
      <c r="G803" s="49" t="s">
        <v>1598</v>
      </c>
      <c r="H803" s="49" t="s">
        <v>104</v>
      </c>
      <c r="I803" s="49" t="s">
        <v>104</v>
      </c>
      <c r="J803" s="49">
        <v>1</v>
      </c>
      <c r="K803" s="49"/>
      <c r="L803" s="49" t="s">
        <v>607</v>
      </c>
    </row>
    <row r="804" spans="2:12" ht="15" hidden="1">
      <c r="B804" s="136" t="s">
        <v>1624</v>
      </c>
      <c r="C804" s="49" t="s">
        <v>1539</v>
      </c>
      <c r="D804" s="717" t="s">
        <v>476</v>
      </c>
      <c r="E804" s="15" t="s">
        <v>1452</v>
      </c>
      <c r="F804" s="50">
        <v>3300000</v>
      </c>
      <c r="G804" s="49" t="s">
        <v>907</v>
      </c>
      <c r="H804" s="49" t="s">
        <v>104</v>
      </c>
      <c r="I804" s="49" t="s">
        <v>104</v>
      </c>
      <c r="J804" s="49">
        <v>1</v>
      </c>
      <c r="K804" s="49"/>
      <c r="L804" s="49" t="s">
        <v>607</v>
      </c>
    </row>
    <row r="805" spans="2:12" ht="15" hidden="1">
      <c r="B805" s="136"/>
      <c r="C805" s="49"/>
      <c r="D805" s="15"/>
      <c r="E805" s="15"/>
      <c r="F805" s="50"/>
      <c r="G805" s="49"/>
      <c r="H805" s="49"/>
      <c r="I805" s="49"/>
      <c r="J805" s="732">
        <f>SUM(J784:J804)</f>
        <v>21</v>
      </c>
      <c r="K805" s="49"/>
      <c r="L805" s="49"/>
    </row>
    <row r="806" spans="2:12" ht="36" hidden="1" customHeight="1">
      <c r="B806" s="1091" t="s">
        <v>1625</v>
      </c>
      <c r="C806" s="1092"/>
      <c r="D806" s="1092"/>
      <c r="E806" s="1092"/>
      <c r="F806" s="1092"/>
      <c r="G806" s="1092"/>
      <c r="H806" s="1092"/>
      <c r="I806" s="1092"/>
      <c r="J806" s="1092"/>
      <c r="K806" s="1092"/>
      <c r="L806" s="1093"/>
    </row>
    <row r="807" spans="2:12" ht="18.75" hidden="1">
      <c r="B807" s="328" t="s">
        <v>892</v>
      </c>
      <c r="C807" s="329" t="s">
        <v>893</v>
      </c>
      <c r="D807" s="329" t="s">
        <v>894</v>
      </c>
      <c r="E807" s="329" t="s">
        <v>895</v>
      </c>
      <c r="F807" s="330" t="s">
        <v>896</v>
      </c>
      <c r="G807" s="329" t="s">
        <v>897</v>
      </c>
      <c r="H807" s="329" t="s">
        <v>898</v>
      </c>
      <c r="I807" s="329" t="s">
        <v>899</v>
      </c>
      <c r="J807" s="329" t="s">
        <v>900</v>
      </c>
      <c r="K807" s="329" t="s">
        <v>901</v>
      </c>
      <c r="L807" s="329" t="s">
        <v>902</v>
      </c>
    </row>
    <row r="808" spans="2:12" ht="15" hidden="1">
      <c r="B808" s="394" t="s">
        <v>1596</v>
      </c>
      <c r="C808" s="395" t="s">
        <v>894</v>
      </c>
      <c r="D808" s="396" t="s">
        <v>1626</v>
      </c>
      <c r="E808" s="396" t="s">
        <v>982</v>
      </c>
      <c r="F808" s="397">
        <v>260000000</v>
      </c>
      <c r="G808" s="395" t="s">
        <v>907</v>
      </c>
      <c r="H808" s="395" t="s">
        <v>104</v>
      </c>
      <c r="I808" s="395" t="s">
        <v>104</v>
      </c>
      <c r="J808" s="395">
        <v>1</v>
      </c>
      <c r="K808" s="395"/>
      <c r="L808" s="395" t="s">
        <v>942</v>
      </c>
    </row>
    <row r="809" spans="2:12" ht="15" hidden="1">
      <c r="B809" s="394">
        <v>44781</v>
      </c>
      <c r="C809" s="395" t="s">
        <v>1539</v>
      </c>
      <c r="D809" s="396" t="s">
        <v>1627</v>
      </c>
      <c r="E809" s="396" t="s">
        <v>1088</v>
      </c>
      <c r="F809" s="397">
        <v>210000000</v>
      </c>
      <c r="G809" s="395" t="s">
        <v>907</v>
      </c>
      <c r="H809" s="395" t="s">
        <v>104</v>
      </c>
      <c r="I809" s="395" t="s">
        <v>104</v>
      </c>
      <c r="J809" s="395">
        <v>1</v>
      </c>
      <c r="K809" s="395"/>
      <c r="L809" s="395" t="s">
        <v>942</v>
      </c>
    </row>
    <row r="810" spans="2:12" ht="15" hidden="1">
      <c r="B810" s="394">
        <v>44781</v>
      </c>
      <c r="C810" s="395" t="s">
        <v>1539</v>
      </c>
      <c r="D810" s="396" t="s">
        <v>1628</v>
      </c>
      <c r="E810" s="396" t="s">
        <v>988</v>
      </c>
      <c r="F810" s="397">
        <v>650000000</v>
      </c>
      <c r="G810" s="395" t="s">
        <v>907</v>
      </c>
      <c r="H810" s="395" t="s">
        <v>104</v>
      </c>
      <c r="I810" s="395" t="s">
        <v>104</v>
      </c>
      <c r="J810" s="395">
        <v>1</v>
      </c>
      <c r="K810" s="395"/>
      <c r="L810" s="395" t="s">
        <v>942</v>
      </c>
    </row>
    <row r="811" spans="2:12" ht="15" hidden="1">
      <c r="B811" s="136" t="s">
        <v>1629</v>
      </c>
      <c r="C811" s="49" t="s">
        <v>894</v>
      </c>
      <c r="D811" s="15" t="s">
        <v>764</v>
      </c>
      <c r="E811" s="15" t="s">
        <v>982</v>
      </c>
      <c r="F811" s="50">
        <v>2600000</v>
      </c>
      <c r="G811" s="49" t="s">
        <v>907</v>
      </c>
      <c r="H811" s="49" t="s">
        <v>104</v>
      </c>
      <c r="I811" s="49" t="s">
        <v>104</v>
      </c>
      <c r="J811" s="49">
        <v>1</v>
      </c>
      <c r="K811" s="49"/>
      <c r="L811" s="49" t="s">
        <v>633</v>
      </c>
    </row>
    <row r="812" spans="2:12" ht="15" hidden="1">
      <c r="B812" s="136" t="s">
        <v>1629</v>
      </c>
      <c r="C812" s="49" t="s">
        <v>894</v>
      </c>
      <c r="D812" s="15" t="s">
        <v>771</v>
      </c>
      <c r="E812" s="15" t="s">
        <v>1554</v>
      </c>
      <c r="F812" s="50">
        <v>1300000</v>
      </c>
      <c r="G812" s="49" t="s">
        <v>1091</v>
      </c>
      <c r="H812" s="49" t="s">
        <v>104</v>
      </c>
      <c r="I812" s="49" t="s">
        <v>104</v>
      </c>
      <c r="J812" s="49">
        <v>1</v>
      </c>
      <c r="K812" s="49"/>
      <c r="L812" s="49" t="s">
        <v>607</v>
      </c>
    </row>
    <row r="813" spans="2:12" ht="15" hidden="1">
      <c r="B813" s="136" t="s">
        <v>1596</v>
      </c>
      <c r="C813" s="49" t="s">
        <v>894</v>
      </c>
      <c r="D813" s="15" t="s">
        <v>1630</v>
      </c>
      <c r="E813" s="15" t="s">
        <v>982</v>
      </c>
      <c r="F813" s="50">
        <v>1500000</v>
      </c>
      <c r="G813" s="49" t="s">
        <v>907</v>
      </c>
      <c r="H813" s="49" t="s">
        <v>104</v>
      </c>
      <c r="I813" s="49" t="s">
        <v>104</v>
      </c>
      <c r="J813" s="49">
        <v>1</v>
      </c>
      <c r="K813" s="49"/>
      <c r="L813" s="49" t="s">
        <v>633</v>
      </c>
    </row>
    <row r="814" spans="2:12" ht="15" hidden="1">
      <c r="B814" s="136" t="s">
        <v>1596</v>
      </c>
      <c r="C814" s="49" t="s">
        <v>894</v>
      </c>
      <c r="D814" s="15" t="s">
        <v>923</v>
      </c>
      <c r="E814" s="15" t="s">
        <v>997</v>
      </c>
      <c r="F814" s="50">
        <v>3500000</v>
      </c>
      <c r="G814" s="49" t="s">
        <v>907</v>
      </c>
      <c r="H814" s="49" t="s">
        <v>104</v>
      </c>
      <c r="I814" s="49" t="s">
        <v>104</v>
      </c>
      <c r="J814" s="49">
        <v>1</v>
      </c>
      <c r="K814" s="49"/>
      <c r="L814" s="49" t="s">
        <v>607</v>
      </c>
    </row>
    <row r="815" spans="2:12" ht="15" hidden="1">
      <c r="B815" s="136" t="s">
        <v>1596</v>
      </c>
      <c r="C815" s="49" t="s">
        <v>894</v>
      </c>
      <c r="D815" s="15" t="s">
        <v>1631</v>
      </c>
      <c r="E815" s="15" t="s">
        <v>988</v>
      </c>
      <c r="F815" s="50">
        <v>1750000</v>
      </c>
      <c r="G815" s="49" t="s">
        <v>907</v>
      </c>
      <c r="H815" s="49" t="s">
        <v>104</v>
      </c>
      <c r="I815" s="49" t="s">
        <v>104</v>
      </c>
      <c r="J815" s="49">
        <v>1</v>
      </c>
      <c r="K815" s="49"/>
      <c r="L815" s="49" t="s">
        <v>533</v>
      </c>
    </row>
    <row r="816" spans="2:12" ht="15" hidden="1">
      <c r="B816" s="136">
        <v>44569</v>
      </c>
      <c r="C816" s="49" t="s">
        <v>894</v>
      </c>
      <c r="D816" s="15" t="s">
        <v>1632</v>
      </c>
      <c r="E816" s="15" t="s">
        <v>988</v>
      </c>
      <c r="F816" s="50">
        <v>1700000</v>
      </c>
      <c r="G816" s="49" t="s">
        <v>1598</v>
      </c>
      <c r="H816" s="49" t="s">
        <v>104</v>
      </c>
      <c r="I816" s="49" t="s">
        <v>104</v>
      </c>
      <c r="J816" s="49">
        <v>1</v>
      </c>
      <c r="K816" s="49"/>
      <c r="L816" s="49" t="s">
        <v>607</v>
      </c>
    </row>
    <row r="817" spans="2:12" ht="15" hidden="1">
      <c r="B817" s="60">
        <v>44600</v>
      </c>
      <c r="C817" s="61" t="s">
        <v>894</v>
      </c>
      <c r="D817" s="489" t="s">
        <v>1633</v>
      </c>
      <c r="E817" s="489" t="s">
        <v>1554</v>
      </c>
      <c r="F817" s="490">
        <v>1200000</v>
      </c>
      <c r="G817" s="61" t="s">
        <v>907</v>
      </c>
      <c r="H817" s="61" t="s">
        <v>104</v>
      </c>
      <c r="I817" s="61" t="s">
        <v>104</v>
      </c>
      <c r="J817" s="61">
        <v>1</v>
      </c>
      <c r="K817" s="61"/>
      <c r="L817" s="61" t="s">
        <v>633</v>
      </c>
    </row>
    <row r="818" spans="2:12" ht="15" hidden="1">
      <c r="B818" s="60">
        <v>44720</v>
      </c>
      <c r="C818" s="61" t="s">
        <v>894</v>
      </c>
      <c r="D818" s="489" t="s">
        <v>1634</v>
      </c>
      <c r="E818" s="489" t="s">
        <v>1407</v>
      </c>
      <c r="F818" s="490">
        <v>1400000</v>
      </c>
      <c r="G818" s="61" t="s">
        <v>907</v>
      </c>
      <c r="H818" s="61" t="s">
        <v>104</v>
      </c>
      <c r="I818" s="61" t="s">
        <v>104</v>
      </c>
      <c r="J818" s="61">
        <v>1</v>
      </c>
      <c r="K818" s="61"/>
      <c r="L818" s="61" t="s">
        <v>633</v>
      </c>
    </row>
    <row r="819" spans="2:12" ht="15" hidden="1">
      <c r="B819" s="60">
        <v>44720</v>
      </c>
      <c r="C819" s="61" t="s">
        <v>894</v>
      </c>
      <c r="D819" s="489" t="s">
        <v>1635</v>
      </c>
      <c r="E819" s="489" t="s">
        <v>1088</v>
      </c>
      <c r="F819" s="490">
        <v>1300000</v>
      </c>
      <c r="G819" s="61" t="s">
        <v>907</v>
      </c>
      <c r="H819" s="61" t="s">
        <v>104</v>
      </c>
      <c r="I819" s="61" t="s">
        <v>104</v>
      </c>
      <c r="J819" s="61">
        <v>1</v>
      </c>
      <c r="K819" s="61"/>
      <c r="L819" s="61" t="s">
        <v>533</v>
      </c>
    </row>
    <row r="820" spans="2:12" ht="15" hidden="1">
      <c r="B820" s="136">
        <v>44720</v>
      </c>
      <c r="C820" s="49" t="s">
        <v>894</v>
      </c>
      <c r="D820" s="15" t="s">
        <v>1305</v>
      </c>
      <c r="E820" s="15" t="s">
        <v>988</v>
      </c>
      <c r="F820" s="50">
        <v>1650000</v>
      </c>
      <c r="G820" s="49" t="s">
        <v>907</v>
      </c>
      <c r="H820" s="49" t="s">
        <v>104</v>
      </c>
      <c r="I820" s="49" t="s">
        <v>104</v>
      </c>
      <c r="J820" s="49">
        <v>1</v>
      </c>
      <c r="K820" s="49"/>
      <c r="L820" s="49" t="s">
        <v>607</v>
      </c>
    </row>
    <row r="821" spans="2:12" ht="15" hidden="1">
      <c r="B821" s="136">
        <v>44779</v>
      </c>
      <c r="C821" s="49" t="s">
        <v>894</v>
      </c>
      <c r="D821" s="15" t="s">
        <v>784</v>
      </c>
      <c r="E821" s="15" t="s">
        <v>982</v>
      </c>
      <c r="F821" s="50">
        <v>1900000</v>
      </c>
      <c r="G821" s="49" t="s">
        <v>907</v>
      </c>
      <c r="H821" s="49" t="s">
        <v>104</v>
      </c>
      <c r="I821" s="49" t="s">
        <v>104</v>
      </c>
      <c r="J821" s="49">
        <v>1</v>
      </c>
      <c r="K821" s="49"/>
      <c r="L821" s="49" t="s">
        <v>633</v>
      </c>
    </row>
    <row r="822" spans="2:12" ht="15" hidden="1">
      <c r="B822" s="60">
        <v>44720</v>
      </c>
      <c r="C822" s="61" t="s">
        <v>894</v>
      </c>
      <c r="D822" s="489" t="s">
        <v>1626</v>
      </c>
      <c r="E822" s="489" t="s">
        <v>982</v>
      </c>
      <c r="F822" s="490">
        <v>1500000</v>
      </c>
      <c r="G822" s="61" t="s">
        <v>907</v>
      </c>
      <c r="H822" s="61" t="s">
        <v>104</v>
      </c>
      <c r="I822" s="61" t="s">
        <v>104</v>
      </c>
      <c r="J822" s="61">
        <v>1</v>
      </c>
      <c r="K822" s="61"/>
      <c r="L822" s="61" t="s">
        <v>533</v>
      </c>
    </row>
    <row r="823" spans="2:12" ht="15" hidden="1">
      <c r="B823" s="60">
        <v>44781</v>
      </c>
      <c r="C823" s="61" t="s">
        <v>894</v>
      </c>
      <c r="D823" s="489" t="s">
        <v>776</v>
      </c>
      <c r="E823" s="489" t="s">
        <v>988</v>
      </c>
      <c r="F823" s="490">
        <v>1800000</v>
      </c>
      <c r="G823" s="61" t="s">
        <v>907</v>
      </c>
      <c r="H823" s="61" t="s">
        <v>104</v>
      </c>
      <c r="I823" s="61" t="s">
        <v>104</v>
      </c>
      <c r="J823" s="61">
        <v>1</v>
      </c>
      <c r="K823" s="61"/>
      <c r="L823" s="61" t="s">
        <v>607</v>
      </c>
    </row>
    <row r="824" spans="2:12" ht="15" hidden="1">
      <c r="B824" s="60">
        <v>44842</v>
      </c>
      <c r="C824" s="61" t="s">
        <v>894</v>
      </c>
      <c r="D824" s="489" t="s">
        <v>1636</v>
      </c>
      <c r="E824" s="489" t="s">
        <v>982</v>
      </c>
      <c r="F824" s="490">
        <v>2500000</v>
      </c>
      <c r="G824" s="61" t="s">
        <v>907</v>
      </c>
      <c r="H824" s="61" t="s">
        <v>104</v>
      </c>
      <c r="I824" s="61" t="s">
        <v>104</v>
      </c>
      <c r="J824" s="61">
        <v>1</v>
      </c>
      <c r="K824" s="61"/>
      <c r="L824" s="61" t="s">
        <v>533</v>
      </c>
    </row>
    <row r="825" spans="2:12" ht="15" hidden="1">
      <c r="B825" s="60">
        <v>44842</v>
      </c>
      <c r="C825" s="61" t="s">
        <v>894</v>
      </c>
      <c r="D825" s="489" t="s">
        <v>1637</v>
      </c>
      <c r="E825" s="489" t="s">
        <v>982</v>
      </c>
      <c r="F825" s="490">
        <v>1600000</v>
      </c>
      <c r="G825" s="61" t="s">
        <v>907</v>
      </c>
      <c r="H825" s="61" t="s">
        <v>104</v>
      </c>
      <c r="I825" s="61" t="s">
        <v>104</v>
      </c>
      <c r="J825" s="61">
        <v>1</v>
      </c>
      <c r="K825" s="61"/>
      <c r="L825" s="61" t="s">
        <v>607</v>
      </c>
    </row>
    <row r="826" spans="2:12" ht="15" hidden="1">
      <c r="B826" s="60">
        <v>44842</v>
      </c>
      <c r="C826" s="61" t="s">
        <v>894</v>
      </c>
      <c r="D826" s="489" t="s">
        <v>785</v>
      </c>
      <c r="E826" s="489" t="s">
        <v>982</v>
      </c>
      <c r="F826" s="490">
        <v>2000000</v>
      </c>
      <c r="G826" s="61" t="s">
        <v>907</v>
      </c>
      <c r="H826" s="61" t="s">
        <v>104</v>
      </c>
      <c r="I826" s="61" t="s">
        <v>104</v>
      </c>
      <c r="J826" s="61">
        <v>1</v>
      </c>
      <c r="K826" s="61"/>
      <c r="L826" s="61" t="s">
        <v>633</v>
      </c>
    </row>
    <row r="827" spans="2:12" ht="15" hidden="1">
      <c r="B827" s="60">
        <v>44783</v>
      </c>
      <c r="C827" s="61" t="s">
        <v>894</v>
      </c>
      <c r="D827" s="489" t="s">
        <v>437</v>
      </c>
      <c r="E827" s="489" t="s">
        <v>982</v>
      </c>
      <c r="F827" s="490">
        <v>2500000</v>
      </c>
      <c r="G827" s="719" t="s">
        <v>907</v>
      </c>
      <c r="H827" s="61" t="s">
        <v>104</v>
      </c>
      <c r="I827" s="61" t="s">
        <v>104</v>
      </c>
      <c r="J827" s="61">
        <v>1</v>
      </c>
      <c r="K827" s="61"/>
      <c r="L827" s="61" t="s">
        <v>533</v>
      </c>
    </row>
    <row r="828" spans="2:12" ht="15" hidden="1">
      <c r="B828" s="60">
        <v>44783</v>
      </c>
      <c r="C828" s="61" t="s">
        <v>894</v>
      </c>
      <c r="D828" s="15" t="s">
        <v>434</v>
      </c>
      <c r="E828" s="489" t="s">
        <v>982</v>
      </c>
      <c r="F828" s="50">
        <v>4200000</v>
      </c>
      <c r="G828" s="719" t="s">
        <v>907</v>
      </c>
      <c r="H828" s="61" t="s">
        <v>104</v>
      </c>
      <c r="I828" s="61" t="s">
        <v>104</v>
      </c>
      <c r="J828" s="49">
        <v>1</v>
      </c>
      <c r="K828" s="49"/>
      <c r="L828" s="61" t="s">
        <v>533</v>
      </c>
    </row>
    <row r="829" spans="2:12" ht="15" hidden="1">
      <c r="B829" s="136" t="s">
        <v>1638</v>
      </c>
      <c r="C829" s="61" t="s">
        <v>894</v>
      </c>
      <c r="D829" s="738" t="s">
        <v>1639</v>
      </c>
      <c r="E829" s="15" t="s">
        <v>982</v>
      </c>
      <c r="F829" s="50">
        <v>1500000</v>
      </c>
      <c r="G829" s="719" t="s">
        <v>907</v>
      </c>
      <c r="H829" s="61" t="s">
        <v>104</v>
      </c>
      <c r="I829" s="61" t="s">
        <v>104</v>
      </c>
      <c r="J829" s="49">
        <v>1</v>
      </c>
      <c r="K829" s="49"/>
      <c r="L829" s="61" t="s">
        <v>533</v>
      </c>
    </row>
    <row r="830" spans="2:12" ht="15" hidden="1">
      <c r="B830" s="136" t="s">
        <v>1638</v>
      </c>
      <c r="C830" s="61" t="s">
        <v>894</v>
      </c>
      <c r="D830" s="738" t="s">
        <v>786</v>
      </c>
      <c r="E830" s="15" t="s">
        <v>1040</v>
      </c>
      <c r="F830" s="50">
        <v>2700000</v>
      </c>
      <c r="G830" s="719" t="s">
        <v>907</v>
      </c>
      <c r="H830" s="61" t="s">
        <v>104</v>
      </c>
      <c r="I830" s="61" t="s">
        <v>104</v>
      </c>
      <c r="J830" s="49">
        <v>1</v>
      </c>
      <c r="K830" s="49"/>
      <c r="L830" s="61" t="s">
        <v>607</v>
      </c>
    </row>
    <row r="831" spans="2:12" ht="15" hidden="1">
      <c r="B831" s="136" t="s">
        <v>1638</v>
      </c>
      <c r="C831" s="61" t="s">
        <v>894</v>
      </c>
      <c r="D831" s="738" t="s">
        <v>1640</v>
      </c>
      <c r="E831" s="15" t="s">
        <v>1394</v>
      </c>
      <c r="F831" s="50">
        <v>1900000</v>
      </c>
      <c r="G831" s="719" t="s">
        <v>907</v>
      </c>
      <c r="H831" s="61" t="s">
        <v>104</v>
      </c>
      <c r="I831" s="61" t="s">
        <v>104</v>
      </c>
      <c r="J831" s="49">
        <v>1</v>
      </c>
      <c r="K831" s="49"/>
      <c r="L831" s="61" t="s">
        <v>607</v>
      </c>
    </row>
    <row r="832" spans="2:12" ht="15" hidden="1">
      <c r="B832" s="136" t="s">
        <v>1638</v>
      </c>
      <c r="C832" s="61" t="s">
        <v>957</v>
      </c>
      <c r="D832" s="738" t="s">
        <v>1641</v>
      </c>
      <c r="E832" s="15" t="s">
        <v>1031</v>
      </c>
      <c r="F832" s="50">
        <v>5000000</v>
      </c>
      <c r="G832" s="719" t="s">
        <v>907</v>
      </c>
      <c r="H832" s="61" t="s">
        <v>104</v>
      </c>
      <c r="I832" s="61" t="s">
        <v>104</v>
      </c>
      <c r="J832" s="49">
        <v>1</v>
      </c>
      <c r="K832" s="49"/>
      <c r="L832" s="61" t="s">
        <v>607</v>
      </c>
    </row>
    <row r="833" spans="2:12" ht="15" hidden="1">
      <c r="B833" s="136" t="s">
        <v>1638</v>
      </c>
      <c r="C833" s="61" t="s">
        <v>894</v>
      </c>
      <c r="D833" s="738" t="s">
        <v>1642</v>
      </c>
      <c r="E833" s="15" t="s">
        <v>944</v>
      </c>
      <c r="F833" s="50">
        <v>1800000</v>
      </c>
      <c r="G833" s="719" t="s">
        <v>907</v>
      </c>
      <c r="H833" s="61" t="s">
        <v>104</v>
      </c>
      <c r="I833" s="61" t="s">
        <v>104</v>
      </c>
      <c r="J833" s="49">
        <v>1</v>
      </c>
      <c r="K833" s="49"/>
      <c r="L833" s="61" t="s">
        <v>607</v>
      </c>
    </row>
    <row r="834" spans="2:12" ht="15" hidden="1">
      <c r="B834" s="429"/>
      <c r="C834" s="619"/>
      <c r="D834" s="429"/>
      <c r="E834" s="52"/>
      <c r="F834" s="52"/>
      <c r="G834" s="52"/>
      <c r="H834" s="52"/>
      <c r="I834" s="52"/>
      <c r="J834" s="732">
        <v>23</v>
      </c>
      <c r="K834" s="52"/>
      <c r="L834" s="52"/>
    </row>
    <row r="835" spans="2:12" ht="18.75" hidden="1">
      <c r="B835" s="1091" t="s">
        <v>1643</v>
      </c>
      <c r="C835" s="1092"/>
      <c r="D835" s="1092"/>
      <c r="E835" s="1092"/>
      <c r="F835" s="1092"/>
      <c r="G835" s="1092"/>
      <c r="H835" s="1092"/>
      <c r="I835" s="1092"/>
      <c r="J835" s="1092"/>
      <c r="K835" s="1092"/>
      <c r="L835" s="1093"/>
    </row>
    <row r="836" spans="2:12" ht="18.75" hidden="1">
      <c r="B836" s="328" t="s">
        <v>892</v>
      </c>
      <c r="C836" s="329" t="s">
        <v>893</v>
      </c>
      <c r="D836" s="329" t="s">
        <v>894</v>
      </c>
      <c r="E836" s="329" t="s">
        <v>895</v>
      </c>
      <c r="F836" s="330" t="s">
        <v>896</v>
      </c>
      <c r="G836" s="329" t="s">
        <v>897</v>
      </c>
      <c r="H836" s="329" t="s">
        <v>898</v>
      </c>
      <c r="I836" s="329" t="s">
        <v>899</v>
      </c>
      <c r="J836" s="329" t="s">
        <v>900</v>
      </c>
      <c r="K836" s="329" t="s">
        <v>901</v>
      </c>
      <c r="L836" s="329" t="s">
        <v>902</v>
      </c>
    </row>
    <row r="837" spans="2:12" ht="15" hidden="1">
      <c r="B837" s="394">
        <v>44659</v>
      </c>
      <c r="C837" s="395" t="s">
        <v>894</v>
      </c>
      <c r="D837" s="396" t="s">
        <v>1644</v>
      </c>
      <c r="E837" s="396" t="s">
        <v>997</v>
      </c>
      <c r="F837" s="397">
        <v>260000000</v>
      </c>
      <c r="G837" s="395" t="s">
        <v>907</v>
      </c>
      <c r="H837" s="395" t="s">
        <v>104</v>
      </c>
      <c r="I837" s="395" t="s">
        <v>104</v>
      </c>
      <c r="J837" s="395">
        <v>1</v>
      </c>
      <c r="K837" s="395"/>
      <c r="L837" s="395" t="s">
        <v>942</v>
      </c>
    </row>
    <row r="838" spans="2:12" ht="15" hidden="1">
      <c r="B838" s="394">
        <v>44659</v>
      </c>
      <c r="C838" s="395" t="s">
        <v>894</v>
      </c>
      <c r="D838" s="396" t="s">
        <v>1645</v>
      </c>
      <c r="E838" s="396" t="s">
        <v>997</v>
      </c>
      <c r="F838" s="397">
        <v>380000000</v>
      </c>
      <c r="G838" s="395" t="s">
        <v>907</v>
      </c>
      <c r="H838" s="395" t="s">
        <v>104</v>
      </c>
      <c r="I838" s="395" t="s">
        <v>104</v>
      </c>
      <c r="J838" s="395">
        <v>1</v>
      </c>
      <c r="K838" s="395"/>
      <c r="L838" s="395" t="s">
        <v>942</v>
      </c>
    </row>
    <row r="839" spans="2:12" ht="15" hidden="1">
      <c r="B839" s="394" t="s">
        <v>1624</v>
      </c>
      <c r="C839" s="395" t="s">
        <v>1539</v>
      </c>
      <c r="D839" s="396" t="s">
        <v>1646</v>
      </c>
      <c r="E839" s="396" t="s">
        <v>1452</v>
      </c>
      <c r="F839" s="397">
        <v>420000000</v>
      </c>
      <c r="G839" s="395" t="s">
        <v>907</v>
      </c>
      <c r="H839" s="395" t="s">
        <v>104</v>
      </c>
      <c r="I839" s="395" t="s">
        <v>104</v>
      </c>
      <c r="J839" s="395">
        <v>1</v>
      </c>
      <c r="K839" s="395"/>
      <c r="L839" s="395" t="s">
        <v>942</v>
      </c>
    </row>
    <row r="840" spans="2:12" ht="15" hidden="1">
      <c r="B840" s="136" t="s">
        <v>1596</v>
      </c>
      <c r="C840" s="49" t="s">
        <v>894</v>
      </c>
      <c r="D840" s="15" t="s">
        <v>792</v>
      </c>
      <c r="E840" s="15" t="s">
        <v>997</v>
      </c>
      <c r="F840" s="50">
        <v>2700000</v>
      </c>
      <c r="G840" s="49" t="s">
        <v>907</v>
      </c>
      <c r="H840" s="49" t="s">
        <v>104</v>
      </c>
      <c r="I840" s="49" t="s">
        <v>104</v>
      </c>
      <c r="J840" s="49">
        <v>1</v>
      </c>
      <c r="K840" s="49"/>
      <c r="L840" s="49" t="s">
        <v>533</v>
      </c>
    </row>
    <row r="841" spans="2:12" ht="15" hidden="1">
      <c r="B841" s="136">
        <v>44659</v>
      </c>
      <c r="C841" s="49" t="s">
        <v>894</v>
      </c>
      <c r="D841" s="15" t="s">
        <v>780</v>
      </c>
      <c r="E841" s="15" t="s">
        <v>1452</v>
      </c>
      <c r="F841" s="50">
        <v>2300000</v>
      </c>
      <c r="G841" s="49" t="s">
        <v>907</v>
      </c>
      <c r="H841" s="49" t="s">
        <v>104</v>
      </c>
      <c r="I841" s="49" t="s">
        <v>104</v>
      </c>
      <c r="J841" s="49">
        <v>1</v>
      </c>
      <c r="K841" s="49"/>
      <c r="L841" s="49" t="s">
        <v>633</v>
      </c>
    </row>
    <row r="842" spans="2:12" ht="15" hidden="1">
      <c r="B842" s="136">
        <v>44659</v>
      </c>
      <c r="C842" s="49" t="s">
        <v>894</v>
      </c>
      <c r="D842" s="15" t="s">
        <v>1644</v>
      </c>
      <c r="E842" s="15" t="s">
        <v>997</v>
      </c>
      <c r="F842" s="50">
        <v>1700000</v>
      </c>
      <c r="G842" s="49" t="s">
        <v>907</v>
      </c>
      <c r="H842" s="49" t="s">
        <v>104</v>
      </c>
      <c r="I842" s="49" t="s">
        <v>104</v>
      </c>
      <c r="J842" s="49">
        <v>1</v>
      </c>
      <c r="K842" s="49"/>
      <c r="L842" s="49" t="s">
        <v>633</v>
      </c>
    </row>
    <row r="843" spans="2:12" ht="15" hidden="1">
      <c r="B843" s="136">
        <v>44659</v>
      </c>
      <c r="C843" s="49" t="s">
        <v>894</v>
      </c>
      <c r="D843" s="15" t="s">
        <v>1645</v>
      </c>
      <c r="E843" s="15" t="s">
        <v>997</v>
      </c>
      <c r="F843" s="50">
        <v>2000000</v>
      </c>
      <c r="G843" s="49" t="s">
        <v>907</v>
      </c>
      <c r="H843" s="49" t="s">
        <v>104</v>
      </c>
      <c r="I843" s="49" t="s">
        <v>104</v>
      </c>
      <c r="J843" s="49">
        <v>1</v>
      </c>
      <c r="K843" s="49"/>
      <c r="L843" s="49" t="s">
        <v>533</v>
      </c>
    </row>
    <row r="844" spans="2:12" ht="15" hidden="1">
      <c r="B844" s="136">
        <v>44720</v>
      </c>
      <c r="C844" s="49" t="s">
        <v>894</v>
      </c>
      <c r="D844" s="15" t="s">
        <v>782</v>
      </c>
      <c r="E844" s="15" t="s">
        <v>997</v>
      </c>
      <c r="F844" s="50">
        <v>1900000</v>
      </c>
      <c r="G844" s="49" t="s">
        <v>907</v>
      </c>
      <c r="H844" s="49" t="s">
        <v>104</v>
      </c>
      <c r="I844" s="49" t="s">
        <v>104</v>
      </c>
      <c r="J844" s="49">
        <v>1</v>
      </c>
      <c r="K844" s="49"/>
      <c r="L844" s="49" t="s">
        <v>607</v>
      </c>
    </row>
    <row r="845" spans="2:12" ht="15" hidden="1">
      <c r="B845" s="136" t="s">
        <v>1647</v>
      </c>
      <c r="C845" s="49" t="s">
        <v>894</v>
      </c>
      <c r="D845" s="15" t="s">
        <v>1648</v>
      </c>
      <c r="E845" s="15" t="s">
        <v>1649</v>
      </c>
      <c r="F845" s="50">
        <v>2200000</v>
      </c>
      <c r="G845" s="49" t="s">
        <v>1598</v>
      </c>
      <c r="H845" s="49" t="s">
        <v>104</v>
      </c>
      <c r="I845" s="49" t="s">
        <v>104</v>
      </c>
      <c r="J845" s="49">
        <v>1</v>
      </c>
      <c r="K845" s="49"/>
      <c r="L845" s="49" t="s">
        <v>533</v>
      </c>
    </row>
    <row r="846" spans="2:12" ht="15" hidden="1">
      <c r="B846" s="136">
        <v>44842</v>
      </c>
      <c r="C846" s="49" t="s">
        <v>1539</v>
      </c>
      <c r="D846" s="15" t="s">
        <v>1650</v>
      </c>
      <c r="E846" s="15" t="s">
        <v>1331</v>
      </c>
      <c r="F846" s="50">
        <v>2300000</v>
      </c>
      <c r="G846" s="49" t="s">
        <v>907</v>
      </c>
      <c r="H846" s="49" t="s">
        <v>104</v>
      </c>
      <c r="I846" s="49" t="s">
        <v>104</v>
      </c>
      <c r="J846" s="620">
        <v>1</v>
      </c>
      <c r="K846" s="49"/>
      <c r="L846" s="49" t="s">
        <v>633</v>
      </c>
    </row>
    <row r="847" spans="2:12" ht="15" hidden="1">
      <c r="B847" s="136">
        <v>44783</v>
      </c>
      <c r="C847" s="49" t="s">
        <v>1539</v>
      </c>
      <c r="D847" s="15" t="s">
        <v>1651</v>
      </c>
      <c r="E847" s="15" t="s">
        <v>1331</v>
      </c>
      <c r="F847" s="50">
        <v>1800000</v>
      </c>
      <c r="G847" s="49" t="s">
        <v>907</v>
      </c>
      <c r="H847" s="49" t="s">
        <v>104</v>
      </c>
      <c r="I847" s="49" t="s">
        <v>104</v>
      </c>
      <c r="J847" s="620">
        <v>1</v>
      </c>
      <c r="K847" s="49"/>
      <c r="L847" s="49" t="s">
        <v>607</v>
      </c>
    </row>
    <row r="848" spans="2:12" ht="15" hidden="1">
      <c r="B848" s="136">
        <v>44842</v>
      </c>
      <c r="C848" s="49" t="s">
        <v>1539</v>
      </c>
      <c r="D848" s="15" t="s">
        <v>1652</v>
      </c>
      <c r="E848" s="15" t="s">
        <v>1088</v>
      </c>
      <c r="F848" s="50">
        <v>2400000</v>
      </c>
      <c r="G848" s="49" t="s">
        <v>907</v>
      </c>
      <c r="H848" s="49" t="s">
        <v>104</v>
      </c>
      <c r="I848" s="49" t="s">
        <v>104</v>
      </c>
      <c r="J848" s="620">
        <v>1</v>
      </c>
      <c r="K848" s="49"/>
      <c r="L848" s="49" t="s">
        <v>533</v>
      </c>
    </row>
    <row r="849" spans="2:12" ht="15" hidden="1">
      <c r="B849" s="136">
        <v>10</v>
      </c>
      <c r="C849" s="61" t="s">
        <v>1539</v>
      </c>
      <c r="D849" s="489" t="s">
        <v>1653</v>
      </c>
      <c r="E849" s="15" t="s">
        <v>1452</v>
      </c>
      <c r="F849" s="50">
        <v>3300000</v>
      </c>
      <c r="G849" s="49" t="s">
        <v>907</v>
      </c>
      <c r="H849" s="49" t="s">
        <v>104</v>
      </c>
      <c r="I849" s="49" t="s">
        <v>104</v>
      </c>
      <c r="J849" s="620">
        <v>1</v>
      </c>
      <c r="K849" s="49"/>
      <c r="L849" s="49" t="s">
        <v>607</v>
      </c>
    </row>
    <row r="850" spans="2:12" ht="15" hidden="1">
      <c r="B850" s="53">
        <v>44842</v>
      </c>
      <c r="C850" s="49" t="s">
        <v>1539</v>
      </c>
      <c r="D850" s="15" t="s">
        <v>1654</v>
      </c>
      <c r="E850" s="737" t="s">
        <v>1655</v>
      </c>
      <c r="F850" s="50">
        <v>4700000</v>
      </c>
      <c r="G850" s="49" t="s">
        <v>907</v>
      </c>
      <c r="H850" s="49" t="s">
        <v>104</v>
      </c>
      <c r="I850" s="49" t="s">
        <v>104</v>
      </c>
      <c r="J850" s="620">
        <v>1</v>
      </c>
      <c r="K850" s="49"/>
      <c r="L850" s="49" t="s">
        <v>633</v>
      </c>
    </row>
    <row r="851" spans="2:12" ht="15" hidden="1">
      <c r="B851" s="53">
        <v>44873</v>
      </c>
      <c r="C851" s="49" t="s">
        <v>1539</v>
      </c>
      <c r="D851" s="15" t="s">
        <v>1656</v>
      </c>
      <c r="E851" s="737" t="s">
        <v>1657</v>
      </c>
      <c r="F851" s="50">
        <v>1300000</v>
      </c>
      <c r="G851" s="49" t="s">
        <v>907</v>
      </c>
      <c r="H851" s="49" t="s">
        <v>104</v>
      </c>
      <c r="I851" s="49" t="s">
        <v>104</v>
      </c>
      <c r="J851" s="620">
        <v>1</v>
      </c>
      <c r="K851" s="49"/>
      <c r="L851" s="49" t="s">
        <v>607</v>
      </c>
    </row>
    <row r="852" spans="2:12" ht="15" hidden="1">
      <c r="B852" s="53" t="s">
        <v>1658</v>
      </c>
      <c r="C852" s="49" t="s">
        <v>1539</v>
      </c>
      <c r="D852" s="718" t="s">
        <v>1659</v>
      </c>
      <c r="E852" s="737" t="s">
        <v>1452</v>
      </c>
      <c r="F852" s="50">
        <v>2200000</v>
      </c>
      <c r="G852" s="49" t="s">
        <v>907</v>
      </c>
      <c r="H852" s="49" t="s">
        <v>104</v>
      </c>
      <c r="I852" s="49" t="s">
        <v>104</v>
      </c>
      <c r="J852" s="620">
        <v>1</v>
      </c>
      <c r="K852" s="49"/>
      <c r="L852" s="49" t="s">
        <v>533</v>
      </c>
    </row>
    <row r="853" spans="2:12" ht="15" hidden="1">
      <c r="B853" s="53" t="s">
        <v>1660</v>
      </c>
      <c r="C853" s="49" t="s">
        <v>894</v>
      </c>
      <c r="D853" s="718" t="s">
        <v>1661</v>
      </c>
      <c r="E853" s="737" t="s">
        <v>1355</v>
      </c>
      <c r="F853" s="50">
        <v>2200000</v>
      </c>
      <c r="G853" s="49" t="s">
        <v>907</v>
      </c>
      <c r="H853" s="49" t="s">
        <v>104</v>
      </c>
      <c r="I853" s="49" t="s">
        <v>104</v>
      </c>
      <c r="J853" s="620">
        <v>1</v>
      </c>
      <c r="K853" s="49"/>
      <c r="L853" s="49" t="s">
        <v>607</v>
      </c>
    </row>
    <row r="854" spans="2:12" ht="15" hidden="1">
      <c r="B854" s="53" t="s">
        <v>1613</v>
      </c>
      <c r="C854" s="49" t="s">
        <v>1539</v>
      </c>
      <c r="D854" s="718" t="s">
        <v>1662</v>
      </c>
      <c r="E854" s="737" t="s">
        <v>1331</v>
      </c>
      <c r="F854" s="50">
        <v>2000000</v>
      </c>
      <c r="G854" s="49" t="s">
        <v>907</v>
      </c>
      <c r="H854" s="49" t="s">
        <v>104</v>
      </c>
      <c r="I854" s="49" t="s">
        <v>104</v>
      </c>
      <c r="J854" s="620">
        <v>1</v>
      </c>
      <c r="K854" s="49"/>
      <c r="L854" s="49" t="s">
        <v>633</v>
      </c>
    </row>
    <row r="855" spans="2:12" ht="15" hidden="1">
      <c r="B855" s="53" t="s">
        <v>1613</v>
      </c>
      <c r="C855" s="49" t="s">
        <v>1539</v>
      </c>
      <c r="D855" s="718" t="s">
        <v>1663</v>
      </c>
      <c r="E855" s="737" t="s">
        <v>1452</v>
      </c>
      <c r="F855" s="50">
        <v>2500000</v>
      </c>
      <c r="G855" s="49" t="s">
        <v>907</v>
      </c>
      <c r="H855" s="49" t="s">
        <v>104</v>
      </c>
      <c r="I855" s="49" t="s">
        <v>104</v>
      </c>
      <c r="J855" s="620">
        <v>1</v>
      </c>
      <c r="K855" s="49"/>
      <c r="L855" s="49" t="s">
        <v>533</v>
      </c>
    </row>
    <row r="856" spans="2:12" ht="15" hidden="1">
      <c r="B856" s="760" t="s">
        <v>1664</v>
      </c>
      <c r="C856" s="61" t="s">
        <v>1539</v>
      </c>
      <c r="D856" s="761" t="s">
        <v>1665</v>
      </c>
      <c r="E856" s="762" t="s">
        <v>1452</v>
      </c>
      <c r="F856" s="50">
        <v>2800000</v>
      </c>
      <c r="G856" s="49" t="s">
        <v>907</v>
      </c>
      <c r="H856" s="49" t="s">
        <v>104</v>
      </c>
      <c r="I856" s="49" t="s">
        <v>104</v>
      </c>
      <c r="J856" s="620">
        <v>1</v>
      </c>
      <c r="K856" s="49"/>
      <c r="L856" s="49" t="s">
        <v>533</v>
      </c>
    </row>
    <row r="857" spans="2:12" ht="15" hidden="1">
      <c r="B857" s="136" t="s">
        <v>1619</v>
      </c>
      <c r="C857" s="49" t="s">
        <v>1539</v>
      </c>
      <c r="D857" s="718" t="s">
        <v>1666</v>
      </c>
      <c r="E857" s="15" t="s">
        <v>997</v>
      </c>
      <c r="F857" s="759">
        <v>1900000</v>
      </c>
      <c r="G857" s="49" t="s">
        <v>907</v>
      </c>
      <c r="H857" s="49" t="s">
        <v>104</v>
      </c>
      <c r="I857" s="49" t="s">
        <v>104</v>
      </c>
      <c r="J857" s="620">
        <v>1</v>
      </c>
      <c r="K857" s="49"/>
      <c r="L857" s="49" t="s">
        <v>607</v>
      </c>
    </row>
    <row r="858" spans="2:12" ht="15" hidden="1">
      <c r="B858" s="136" t="s">
        <v>1624</v>
      </c>
      <c r="C858" s="49" t="s">
        <v>894</v>
      </c>
      <c r="D858" s="717" t="s">
        <v>1667</v>
      </c>
      <c r="E858" s="15" t="s">
        <v>1040</v>
      </c>
      <c r="F858" s="759">
        <v>2200000</v>
      </c>
      <c r="G858" s="49" t="s">
        <v>907</v>
      </c>
      <c r="H858" s="49" t="s">
        <v>104</v>
      </c>
      <c r="I858" s="49" t="s">
        <v>104</v>
      </c>
      <c r="J858" s="620">
        <v>1</v>
      </c>
      <c r="K858" s="49"/>
      <c r="L858" s="49" t="s">
        <v>633</v>
      </c>
    </row>
    <row r="859" spans="2:12" ht="15" hidden="1">
      <c r="B859" s="136" t="s">
        <v>1624</v>
      </c>
      <c r="C859" s="49" t="s">
        <v>1539</v>
      </c>
      <c r="D859" s="717" t="s">
        <v>1668</v>
      </c>
      <c r="E859" s="15" t="s">
        <v>1452</v>
      </c>
      <c r="F859" s="759">
        <v>2100000</v>
      </c>
      <c r="G859" s="49" t="s">
        <v>907</v>
      </c>
      <c r="H859" s="49" t="s">
        <v>104</v>
      </c>
      <c r="I859" s="49" t="s">
        <v>104</v>
      </c>
      <c r="J859" s="620">
        <v>1</v>
      </c>
      <c r="K859" s="49"/>
      <c r="L859" s="49" t="s">
        <v>633</v>
      </c>
    </row>
    <row r="860" spans="2:12" ht="15" hidden="1">
      <c r="B860" s="136"/>
      <c r="C860" s="49"/>
      <c r="D860" s="15"/>
      <c r="E860" s="15"/>
      <c r="F860" s="759"/>
      <c r="G860" s="49"/>
      <c r="H860" s="49"/>
      <c r="I860" s="49"/>
      <c r="J860" s="712">
        <f>SUM(J840:J859)</f>
        <v>20</v>
      </c>
      <c r="K860" s="49"/>
      <c r="L860" s="49"/>
    </row>
    <row r="861" spans="2:12" ht="18.75" hidden="1">
      <c r="B861" s="1091" t="s">
        <v>1669</v>
      </c>
      <c r="C861" s="1092"/>
      <c r="D861" s="1092"/>
      <c r="E861" s="1092"/>
      <c r="F861" s="1095"/>
      <c r="G861" s="1095"/>
      <c r="H861" s="1095"/>
      <c r="I861" s="1095"/>
      <c r="J861" s="1095"/>
      <c r="K861" s="1095"/>
      <c r="L861" s="1096"/>
    </row>
    <row r="862" spans="2:12" ht="18.75" hidden="1">
      <c r="B862" s="328" t="s">
        <v>892</v>
      </c>
      <c r="C862" s="329" t="s">
        <v>893</v>
      </c>
      <c r="D862" s="329" t="s">
        <v>894</v>
      </c>
      <c r="E862" s="329" t="s">
        <v>895</v>
      </c>
      <c r="F862" s="330" t="s">
        <v>896</v>
      </c>
      <c r="G862" s="329" t="s">
        <v>897</v>
      </c>
      <c r="H862" s="329" t="s">
        <v>898</v>
      </c>
      <c r="I862" s="329" t="s">
        <v>899</v>
      </c>
      <c r="J862" s="329" t="s">
        <v>900</v>
      </c>
      <c r="K862" s="329" t="s">
        <v>901</v>
      </c>
      <c r="L862" s="329" t="s">
        <v>902</v>
      </c>
    </row>
    <row r="863" spans="2:12" ht="15" hidden="1">
      <c r="B863" s="394">
        <v>44842</v>
      </c>
      <c r="C863" s="395" t="s">
        <v>1539</v>
      </c>
      <c r="D863" s="396" t="s">
        <v>1670</v>
      </c>
      <c r="E863" s="396" t="s">
        <v>1355</v>
      </c>
      <c r="F863" s="397">
        <v>180000000</v>
      </c>
      <c r="G863" s="395" t="s">
        <v>1598</v>
      </c>
      <c r="H863" s="395" t="s">
        <v>104</v>
      </c>
      <c r="I863" s="395" t="s">
        <v>104</v>
      </c>
      <c r="J863" s="395">
        <v>1</v>
      </c>
      <c r="K863" s="395"/>
      <c r="L863" s="395" t="s">
        <v>942</v>
      </c>
    </row>
    <row r="864" spans="2:12" ht="15" hidden="1">
      <c r="B864" s="394">
        <v>44783</v>
      </c>
      <c r="C864" s="395" t="s">
        <v>1539</v>
      </c>
      <c r="D864" s="396" t="s">
        <v>1671</v>
      </c>
      <c r="E864" s="396" t="s">
        <v>1355</v>
      </c>
      <c r="F864" s="397">
        <v>420000000</v>
      </c>
      <c r="G864" s="395" t="s">
        <v>1598</v>
      </c>
      <c r="H864" s="395" t="s">
        <v>104</v>
      </c>
      <c r="I864" s="395" t="s">
        <v>104</v>
      </c>
      <c r="J864" s="395">
        <v>1</v>
      </c>
      <c r="K864" s="395"/>
      <c r="L864" s="395" t="s">
        <v>942</v>
      </c>
    </row>
    <row r="865" spans="2:12" ht="15" hidden="1">
      <c r="B865" s="394">
        <v>44842</v>
      </c>
      <c r="C865" s="395" t="s">
        <v>1539</v>
      </c>
      <c r="D865" s="396" t="s">
        <v>1672</v>
      </c>
      <c r="E865" s="396" t="s">
        <v>997</v>
      </c>
      <c r="F865" s="397">
        <v>355000000</v>
      </c>
      <c r="G865" s="395" t="s">
        <v>1598</v>
      </c>
      <c r="H865" s="395" t="s">
        <v>104</v>
      </c>
      <c r="I865" s="395" t="s">
        <v>104</v>
      </c>
      <c r="J865" s="395">
        <v>1</v>
      </c>
      <c r="K865" s="395"/>
      <c r="L865" s="395" t="s">
        <v>942</v>
      </c>
    </row>
    <row r="866" spans="2:12" ht="15" hidden="1">
      <c r="B866" s="136">
        <v>44842</v>
      </c>
      <c r="C866" s="49" t="s">
        <v>992</v>
      </c>
      <c r="D866" s="717" t="s">
        <v>1673</v>
      </c>
      <c r="E866" s="15" t="s">
        <v>1094</v>
      </c>
      <c r="F866" s="50">
        <v>2100000</v>
      </c>
      <c r="G866" s="49" t="s">
        <v>1598</v>
      </c>
      <c r="H866" s="49" t="s">
        <v>104</v>
      </c>
      <c r="I866" s="49" t="s">
        <v>104</v>
      </c>
      <c r="J866" s="49">
        <v>1</v>
      </c>
      <c r="K866" s="49"/>
      <c r="L866" s="49" t="s">
        <v>533</v>
      </c>
    </row>
    <row r="867" spans="2:12" ht="15" hidden="1">
      <c r="B867" s="136"/>
      <c r="C867" s="49"/>
      <c r="D867" s="489"/>
      <c r="E867" s="489"/>
      <c r="F867" s="490"/>
      <c r="G867" s="61"/>
      <c r="H867" s="61"/>
      <c r="I867" s="61"/>
      <c r="J867" s="61"/>
      <c r="K867" s="61"/>
      <c r="L867" s="61"/>
    </row>
    <row r="868" spans="2:12" ht="15" hidden="1">
      <c r="B868" s="136"/>
      <c r="C868" s="49"/>
      <c r="D868" s="15"/>
      <c r="E868" s="15"/>
      <c r="F868" s="50"/>
      <c r="G868" s="49"/>
      <c r="H868" s="49"/>
      <c r="I868" s="49"/>
      <c r="J868" s="49"/>
      <c r="K868" s="49"/>
      <c r="L868" s="49"/>
    </row>
    <row r="869" spans="2:12" ht="15" hidden="1">
      <c r="B869" s="136"/>
      <c r="C869" s="49"/>
      <c r="D869" s="15"/>
      <c r="E869" s="15"/>
      <c r="F869" s="50"/>
      <c r="G869" s="49"/>
      <c r="H869" s="49"/>
      <c r="I869" s="49"/>
      <c r="J869" s="49"/>
      <c r="K869" s="49"/>
      <c r="L869" s="49"/>
    </row>
    <row r="870" spans="2:12" hidden="1"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</row>
    <row r="871" spans="2:12" ht="15" hidden="1">
      <c r="B871" s="52"/>
      <c r="C871" s="52"/>
      <c r="D871" s="52"/>
      <c r="E871" s="52"/>
      <c r="F871" s="52"/>
      <c r="G871" s="52"/>
      <c r="H871" s="52"/>
      <c r="I871" s="52"/>
      <c r="J871" s="712">
        <f>SUM(J866:J870)</f>
        <v>1</v>
      </c>
      <c r="K871" s="52"/>
      <c r="L871" s="52"/>
    </row>
    <row r="872" spans="2:12" ht="18.75" hidden="1">
      <c r="B872" s="1094" t="s">
        <v>1674</v>
      </c>
      <c r="C872" s="1095"/>
      <c r="D872" s="1095"/>
      <c r="E872" s="1095"/>
      <c r="F872" s="1095"/>
      <c r="G872" s="1095"/>
      <c r="H872" s="1095"/>
      <c r="I872" s="1095"/>
      <c r="J872" s="1095"/>
      <c r="K872" s="1095"/>
      <c r="L872" s="1096"/>
    </row>
    <row r="873" spans="2:12" ht="18.75" hidden="1">
      <c r="B873" s="328" t="s">
        <v>892</v>
      </c>
      <c r="C873" s="329" t="s">
        <v>893</v>
      </c>
      <c r="D873" s="329" t="s">
        <v>894</v>
      </c>
      <c r="E873" s="329" t="s">
        <v>895</v>
      </c>
      <c r="F873" s="330" t="s">
        <v>896</v>
      </c>
      <c r="G873" s="329" t="s">
        <v>897</v>
      </c>
      <c r="H873" s="329" t="s">
        <v>898</v>
      </c>
      <c r="I873" s="329" t="s">
        <v>899</v>
      </c>
      <c r="J873" s="329" t="s">
        <v>900</v>
      </c>
      <c r="K873" s="329" t="s">
        <v>901</v>
      </c>
      <c r="L873" s="329" t="s">
        <v>902</v>
      </c>
    </row>
    <row r="874" spans="2:12" ht="15" hidden="1">
      <c r="B874" s="394"/>
      <c r="C874" s="395"/>
      <c r="D874" s="396"/>
      <c r="E874" s="396"/>
      <c r="F874" s="397"/>
      <c r="G874" s="395"/>
      <c r="H874" s="395"/>
      <c r="I874" s="395"/>
      <c r="J874" s="395"/>
      <c r="K874" s="395"/>
      <c r="L874" s="395"/>
    </row>
    <row r="875" spans="2:12" ht="15" hidden="1">
      <c r="B875" s="394"/>
      <c r="C875" s="395"/>
      <c r="D875" s="396"/>
      <c r="E875" s="396"/>
      <c r="F875" s="397"/>
      <c r="G875" s="395"/>
      <c r="H875" s="395"/>
      <c r="I875" s="395"/>
      <c r="J875" s="395"/>
      <c r="K875" s="395"/>
      <c r="L875" s="395"/>
    </row>
    <row r="876" spans="2:12" ht="15" hidden="1">
      <c r="B876" s="394"/>
      <c r="C876" s="395"/>
      <c r="D876" s="396"/>
      <c r="E876" s="396"/>
      <c r="F876" s="397"/>
      <c r="G876" s="395"/>
      <c r="H876" s="395"/>
      <c r="I876" s="395"/>
      <c r="J876" s="395"/>
      <c r="K876" s="395"/>
      <c r="L876" s="395"/>
    </row>
    <row r="877" spans="2:12" ht="15" hidden="1">
      <c r="B877" s="136">
        <v>44689</v>
      </c>
      <c r="C877" s="49" t="s">
        <v>894</v>
      </c>
      <c r="D877" s="15" t="s">
        <v>1675</v>
      </c>
      <c r="E877" s="15" t="s">
        <v>1040</v>
      </c>
      <c r="F877" s="50">
        <v>1800000</v>
      </c>
      <c r="G877" s="49" t="s">
        <v>1598</v>
      </c>
      <c r="H877" s="49" t="s">
        <v>104</v>
      </c>
      <c r="I877" s="49" t="s">
        <v>104</v>
      </c>
      <c r="J877" s="49">
        <v>1</v>
      </c>
      <c r="K877" s="49"/>
      <c r="L877" s="49" t="s">
        <v>533</v>
      </c>
    </row>
    <row r="878" spans="2:12" ht="15" hidden="1">
      <c r="B878" s="136">
        <v>44689</v>
      </c>
      <c r="C878" s="49" t="s">
        <v>894</v>
      </c>
      <c r="D878" s="489" t="s">
        <v>1676</v>
      </c>
      <c r="E878" s="489" t="s">
        <v>982</v>
      </c>
      <c r="F878" s="490">
        <v>2200000</v>
      </c>
      <c r="G878" s="61" t="s">
        <v>1598</v>
      </c>
      <c r="H878" s="61" t="s">
        <v>104</v>
      </c>
      <c r="I878" s="61" t="s">
        <v>104</v>
      </c>
      <c r="J878" s="61">
        <v>1</v>
      </c>
      <c r="K878" s="61"/>
      <c r="L878" s="61" t="s">
        <v>633</v>
      </c>
    </row>
    <row r="879" spans="2:12" ht="15" hidden="1">
      <c r="B879" s="136">
        <v>44689</v>
      </c>
      <c r="C879" s="49" t="s">
        <v>894</v>
      </c>
      <c r="D879" s="15" t="s">
        <v>1677</v>
      </c>
      <c r="E879" s="15" t="s">
        <v>994</v>
      </c>
      <c r="F879" s="50">
        <v>1500000</v>
      </c>
      <c r="G879" s="49" t="s">
        <v>1598</v>
      </c>
      <c r="H879" s="49" t="s">
        <v>104</v>
      </c>
      <c r="I879" s="49" t="s">
        <v>104</v>
      </c>
      <c r="J879" s="49">
        <v>1</v>
      </c>
      <c r="K879" s="49"/>
      <c r="L879" s="49" t="s">
        <v>633</v>
      </c>
    </row>
    <row r="880" spans="2:12" ht="15" hidden="1">
      <c r="B880" s="136">
        <v>44689</v>
      </c>
      <c r="C880" s="49" t="s">
        <v>894</v>
      </c>
      <c r="D880" s="15" t="s">
        <v>1678</v>
      </c>
      <c r="E880" s="15" t="s">
        <v>982</v>
      </c>
      <c r="F880" s="50">
        <v>2700000</v>
      </c>
      <c r="G880" s="49" t="s">
        <v>1598</v>
      </c>
      <c r="H880" s="49" t="s">
        <v>104</v>
      </c>
      <c r="I880" s="49" t="s">
        <v>104</v>
      </c>
      <c r="J880" s="49">
        <v>1</v>
      </c>
      <c r="K880" s="49"/>
      <c r="L880" s="49" t="s">
        <v>607</v>
      </c>
    </row>
    <row r="881" spans="2:12" ht="15" hidden="1">
      <c r="B881" s="136">
        <v>44720</v>
      </c>
      <c r="C881" s="49" t="s">
        <v>894</v>
      </c>
      <c r="D881" s="15" t="s">
        <v>773</v>
      </c>
      <c r="E881" s="52" t="s">
        <v>982</v>
      </c>
      <c r="F881" s="50">
        <v>1800000</v>
      </c>
      <c r="G881" s="49" t="s">
        <v>1598</v>
      </c>
      <c r="H881" s="49" t="s">
        <v>104</v>
      </c>
      <c r="I881" s="49" t="s">
        <v>104</v>
      </c>
      <c r="J881" s="49">
        <v>1</v>
      </c>
      <c r="K881" s="52"/>
      <c r="L881" s="478" t="s">
        <v>1351</v>
      </c>
    </row>
    <row r="882" spans="2:12" ht="15" hidden="1">
      <c r="B882" s="136">
        <v>44873</v>
      </c>
      <c r="C882" s="49" t="s">
        <v>894</v>
      </c>
      <c r="D882" s="15" t="s">
        <v>425</v>
      </c>
      <c r="E882" s="52" t="s">
        <v>1452</v>
      </c>
      <c r="F882" s="50">
        <v>1900000</v>
      </c>
      <c r="G882" s="49" t="s">
        <v>1598</v>
      </c>
      <c r="H882" s="49" t="s">
        <v>104</v>
      </c>
      <c r="I882" s="49" t="s">
        <v>104</v>
      </c>
      <c r="J882" s="620">
        <v>1</v>
      </c>
      <c r="K882" s="52"/>
      <c r="L882" s="478" t="s">
        <v>1351</v>
      </c>
    </row>
    <row r="883" spans="2:12" ht="15" hidden="1">
      <c r="B883" s="136" t="s">
        <v>1679</v>
      </c>
      <c r="C883" s="49" t="s">
        <v>894</v>
      </c>
      <c r="D883" s="15" t="s">
        <v>430</v>
      </c>
      <c r="E883" s="52" t="s">
        <v>1355</v>
      </c>
      <c r="F883" s="50">
        <v>2400000</v>
      </c>
      <c r="G883" s="49" t="s">
        <v>1598</v>
      </c>
      <c r="H883" s="49" t="s">
        <v>104</v>
      </c>
      <c r="I883" s="49" t="s">
        <v>104</v>
      </c>
      <c r="J883" s="620">
        <v>1</v>
      </c>
      <c r="K883" s="52"/>
      <c r="L883" s="478" t="s">
        <v>1351</v>
      </c>
    </row>
    <row r="884" spans="2:12" ht="15" hidden="1">
      <c r="B884" s="136" t="s">
        <v>1679</v>
      </c>
      <c r="C884" s="49" t="s">
        <v>894</v>
      </c>
      <c r="D884" s="15" t="s">
        <v>1680</v>
      </c>
      <c r="E884" s="52" t="s">
        <v>994</v>
      </c>
      <c r="F884" s="50">
        <v>1900000</v>
      </c>
      <c r="G884" s="49" t="s">
        <v>1598</v>
      </c>
      <c r="H884" s="49" t="s">
        <v>104</v>
      </c>
      <c r="I884" s="49" t="s">
        <v>104</v>
      </c>
      <c r="J884" s="620">
        <v>1</v>
      </c>
      <c r="K884" s="52"/>
      <c r="L884" s="478" t="s">
        <v>1351</v>
      </c>
    </row>
    <row r="885" spans="2:12" ht="15" hidden="1">
      <c r="B885" s="60" t="s">
        <v>1679</v>
      </c>
      <c r="C885" s="61" t="s">
        <v>894</v>
      </c>
      <c r="D885" s="709" t="s">
        <v>1681</v>
      </c>
      <c r="E885" s="709" t="s">
        <v>1554</v>
      </c>
      <c r="F885" s="490">
        <v>1200000</v>
      </c>
      <c r="G885" s="61" t="s">
        <v>1598</v>
      </c>
      <c r="H885" s="743" t="s">
        <v>104</v>
      </c>
      <c r="I885" s="743" t="s">
        <v>104</v>
      </c>
      <c r="J885" s="744">
        <v>1</v>
      </c>
      <c r="K885" s="709"/>
      <c r="L885" s="743" t="s">
        <v>1351</v>
      </c>
    </row>
    <row r="886" spans="2:12" ht="15" hidden="1">
      <c r="B886" s="52" t="s">
        <v>1679</v>
      </c>
      <c r="C886" s="49" t="s">
        <v>894</v>
      </c>
      <c r="D886" s="52" t="s">
        <v>1682</v>
      </c>
      <c r="E886" s="52" t="s">
        <v>1346</v>
      </c>
      <c r="F886" s="490">
        <v>1900000</v>
      </c>
      <c r="G886" s="478" t="s">
        <v>1598</v>
      </c>
      <c r="H886" s="478" t="s">
        <v>104</v>
      </c>
      <c r="I886" s="478" t="s">
        <v>104</v>
      </c>
      <c r="J886" s="478">
        <v>1</v>
      </c>
      <c r="K886" s="478"/>
      <c r="L886" s="478" t="s">
        <v>1351</v>
      </c>
    </row>
    <row r="887" spans="2:12" ht="20.25" hidden="1" customHeight="1">
      <c r="B887" s="52"/>
      <c r="C887" s="52"/>
      <c r="D887" s="52"/>
      <c r="E887" s="52"/>
      <c r="F887" s="52"/>
      <c r="G887" s="52"/>
      <c r="H887" s="52"/>
      <c r="I887" s="52"/>
      <c r="J887" s="712">
        <f>SUM(J877:J886)</f>
        <v>10</v>
      </c>
      <c r="K887" s="52"/>
      <c r="L887" s="52"/>
    </row>
    <row r="888" spans="2:12" hidden="1"/>
    <row r="889" spans="2:12" ht="31.5">
      <c r="B889" s="987" t="s">
        <v>469</v>
      </c>
      <c r="C889" s="987"/>
      <c r="D889" s="987"/>
      <c r="E889" s="987"/>
      <c r="F889" s="987"/>
      <c r="G889" s="987"/>
      <c r="H889" s="987"/>
      <c r="I889" s="987"/>
      <c r="J889" s="987"/>
      <c r="K889" s="987"/>
      <c r="L889" s="987"/>
    </row>
    <row r="890" spans="2:12" ht="36" hidden="1" customHeight="1">
      <c r="B890" s="1094" t="s">
        <v>1683</v>
      </c>
      <c r="C890" s="1095"/>
      <c r="D890" s="1095"/>
      <c r="E890" s="1095"/>
      <c r="F890" s="1095"/>
      <c r="G890" s="1095"/>
      <c r="H890" s="1095"/>
      <c r="I890" s="1095"/>
      <c r="J890" s="1095"/>
      <c r="K890" s="1095"/>
      <c r="L890" s="1096"/>
    </row>
    <row r="891" spans="2:12" ht="18.75" hidden="1">
      <c r="B891" s="328" t="s">
        <v>892</v>
      </c>
      <c r="C891" s="329" t="s">
        <v>893</v>
      </c>
      <c r="D891" s="329" t="s">
        <v>894</v>
      </c>
      <c r="E891" s="329" t="s">
        <v>895</v>
      </c>
      <c r="F891" s="330" t="s">
        <v>896</v>
      </c>
      <c r="G891" s="329" t="s">
        <v>897</v>
      </c>
      <c r="H891" s="329" t="s">
        <v>898</v>
      </c>
      <c r="I891" s="329" t="s">
        <v>899</v>
      </c>
      <c r="J891" s="329" t="s">
        <v>900</v>
      </c>
      <c r="K891" s="329" t="s">
        <v>901</v>
      </c>
      <c r="L891" s="329" t="s">
        <v>902</v>
      </c>
    </row>
    <row r="892" spans="2:12" ht="15" hidden="1">
      <c r="B892" s="814">
        <v>44802</v>
      </c>
      <c r="C892" s="815" t="s">
        <v>894</v>
      </c>
      <c r="D892" s="816" t="s">
        <v>1684</v>
      </c>
      <c r="E892" s="817" t="s">
        <v>1452</v>
      </c>
      <c r="F892" s="818">
        <v>385000000</v>
      </c>
      <c r="G892" s="818" t="s">
        <v>907</v>
      </c>
      <c r="H892" s="815" t="s">
        <v>104</v>
      </c>
      <c r="I892" s="815" t="s">
        <v>104</v>
      </c>
      <c r="J892" s="815">
        <v>1</v>
      </c>
      <c r="K892" s="815"/>
      <c r="L892" s="815" t="s">
        <v>1319</v>
      </c>
    </row>
    <row r="893" spans="2:12" ht="15" hidden="1">
      <c r="B893" s="814">
        <v>44802</v>
      </c>
      <c r="C893" s="815" t="s">
        <v>894</v>
      </c>
      <c r="D893" s="816" t="s">
        <v>1685</v>
      </c>
      <c r="E893" s="817" t="s">
        <v>1452</v>
      </c>
      <c r="F893" s="818">
        <v>490000000</v>
      </c>
      <c r="G893" s="818" t="s">
        <v>907</v>
      </c>
      <c r="H893" s="815" t="s">
        <v>104</v>
      </c>
      <c r="I893" s="815" t="s">
        <v>104</v>
      </c>
      <c r="J893" s="815">
        <v>1</v>
      </c>
      <c r="K893" s="815"/>
      <c r="L893" s="815" t="s">
        <v>1319</v>
      </c>
    </row>
    <row r="894" spans="2:12" ht="15" hidden="1">
      <c r="B894" s="814">
        <v>44802</v>
      </c>
      <c r="C894" s="815" t="s">
        <v>894</v>
      </c>
      <c r="D894" s="819" t="s">
        <v>1686</v>
      </c>
      <c r="E894" s="817" t="s">
        <v>997</v>
      </c>
      <c r="F894" s="820">
        <v>1100000000</v>
      </c>
      <c r="G894" s="820" t="s">
        <v>907</v>
      </c>
      <c r="H894" s="821" t="s">
        <v>104</v>
      </c>
      <c r="I894" s="821" t="s">
        <v>104</v>
      </c>
      <c r="J894" s="821">
        <v>1</v>
      </c>
      <c r="K894" s="821"/>
      <c r="L894" s="815" t="s">
        <v>1319</v>
      </c>
    </row>
    <row r="895" spans="2:12" ht="15.75" hidden="1">
      <c r="B895" s="831"/>
      <c r="C895" s="823"/>
      <c r="D895" s="832"/>
      <c r="E895" s="833"/>
      <c r="F895" s="834"/>
      <c r="G895" s="834"/>
      <c r="H895" s="835"/>
      <c r="I895" s="835"/>
      <c r="J895" s="863">
        <f>SUM(J892:J894)</f>
        <v>3</v>
      </c>
      <c r="K895" s="835"/>
      <c r="L895" s="827"/>
    </row>
    <row r="896" spans="2:12" ht="15" hidden="1">
      <c r="B896" s="822">
        <v>44601</v>
      </c>
      <c r="C896" s="823" t="s">
        <v>894</v>
      </c>
      <c r="D896" s="838" t="s">
        <v>1687</v>
      </c>
      <c r="E896" s="825" t="s">
        <v>1082</v>
      </c>
      <c r="F896" s="826">
        <v>1900000</v>
      </c>
      <c r="G896" s="827" t="s">
        <v>907</v>
      </c>
      <c r="H896" s="827" t="s">
        <v>104</v>
      </c>
      <c r="I896" s="827" t="s">
        <v>104</v>
      </c>
      <c r="J896" s="827">
        <v>1</v>
      </c>
      <c r="K896" s="827"/>
      <c r="L896" s="827" t="s">
        <v>1688</v>
      </c>
    </row>
    <row r="897" spans="2:12" ht="15" hidden="1">
      <c r="B897" s="828">
        <v>44601</v>
      </c>
      <c r="C897" s="827" t="s">
        <v>894</v>
      </c>
      <c r="D897" s="824" t="s">
        <v>1689</v>
      </c>
      <c r="E897" s="825" t="s">
        <v>982</v>
      </c>
      <c r="F897" s="826">
        <v>2700000</v>
      </c>
      <c r="G897" s="827" t="s">
        <v>907</v>
      </c>
      <c r="H897" s="827" t="s">
        <v>104</v>
      </c>
      <c r="I897" s="827" t="s">
        <v>104</v>
      </c>
      <c r="J897" s="827">
        <v>1</v>
      </c>
      <c r="K897" s="827"/>
      <c r="L897" s="827" t="s">
        <v>607</v>
      </c>
    </row>
    <row r="898" spans="2:12" ht="15" hidden="1">
      <c r="B898" s="828">
        <v>44806</v>
      </c>
      <c r="C898" s="827" t="s">
        <v>894</v>
      </c>
      <c r="D898" s="824" t="s">
        <v>1690</v>
      </c>
      <c r="E898" s="825" t="s">
        <v>1452</v>
      </c>
      <c r="F898" s="826" t="s">
        <v>1691</v>
      </c>
      <c r="G898" s="827" t="s">
        <v>907</v>
      </c>
      <c r="H898" s="827" t="s">
        <v>104</v>
      </c>
      <c r="I898" s="827" t="s">
        <v>104</v>
      </c>
      <c r="J898" s="827">
        <v>1</v>
      </c>
      <c r="K898" s="827"/>
      <c r="L898" s="827" t="s">
        <v>607</v>
      </c>
    </row>
    <row r="899" spans="2:12" ht="15" hidden="1">
      <c r="B899" s="840">
        <v>44601</v>
      </c>
      <c r="C899" s="835" t="s">
        <v>957</v>
      </c>
      <c r="D899" s="842" t="s">
        <v>1692</v>
      </c>
      <c r="E899" s="825" t="s">
        <v>1082</v>
      </c>
      <c r="F899" s="826">
        <v>5300000</v>
      </c>
      <c r="G899" s="827" t="s">
        <v>907</v>
      </c>
      <c r="H899" s="827" t="s">
        <v>104</v>
      </c>
      <c r="I899" s="827" t="s">
        <v>104</v>
      </c>
      <c r="J899" s="827">
        <v>1</v>
      </c>
      <c r="K899" s="827"/>
      <c r="L899" s="827" t="s">
        <v>1688</v>
      </c>
    </row>
    <row r="900" spans="2:12" ht="15" hidden="1">
      <c r="B900" s="828">
        <v>44810</v>
      </c>
      <c r="C900" s="827" t="s">
        <v>894</v>
      </c>
      <c r="D900" s="842" t="s">
        <v>1693</v>
      </c>
      <c r="E900" s="841" t="s">
        <v>997</v>
      </c>
      <c r="F900" s="826">
        <v>3000000</v>
      </c>
      <c r="G900" s="827" t="s">
        <v>907</v>
      </c>
      <c r="H900" s="827" t="s">
        <v>104</v>
      </c>
      <c r="I900" s="827" t="s">
        <v>104</v>
      </c>
      <c r="J900" s="827">
        <v>1</v>
      </c>
      <c r="K900" s="827"/>
      <c r="L900" s="827" t="s">
        <v>607</v>
      </c>
    </row>
    <row r="901" spans="2:12" ht="15" hidden="1">
      <c r="B901" s="828">
        <v>44810</v>
      </c>
      <c r="C901" s="827" t="s">
        <v>894</v>
      </c>
      <c r="D901" s="824" t="s">
        <v>1694</v>
      </c>
      <c r="E901" s="841" t="s">
        <v>1082</v>
      </c>
      <c r="F901" s="826">
        <v>2100000</v>
      </c>
      <c r="G901" s="827" t="s">
        <v>907</v>
      </c>
      <c r="H901" s="827" t="s">
        <v>104</v>
      </c>
      <c r="I901" s="827" t="s">
        <v>104</v>
      </c>
      <c r="J901" s="827">
        <v>1</v>
      </c>
      <c r="K901" s="827"/>
      <c r="L901" s="827" t="s">
        <v>1688</v>
      </c>
    </row>
    <row r="902" spans="2:12" ht="15" hidden="1">
      <c r="B902" s="828">
        <v>44810</v>
      </c>
      <c r="C902" s="827" t="s">
        <v>894</v>
      </c>
      <c r="D902" s="824" t="s">
        <v>1695</v>
      </c>
      <c r="E902" s="841" t="s">
        <v>1082</v>
      </c>
      <c r="F902" s="826">
        <v>2100000</v>
      </c>
      <c r="G902" s="827" t="s">
        <v>907</v>
      </c>
      <c r="H902" s="827" t="s">
        <v>104</v>
      </c>
      <c r="I902" s="827" t="s">
        <v>104</v>
      </c>
      <c r="J902" s="827">
        <v>1</v>
      </c>
      <c r="K902" s="827"/>
      <c r="L902" s="827" t="s">
        <v>1688</v>
      </c>
    </row>
    <row r="903" spans="2:12" ht="15" hidden="1">
      <c r="B903" s="828">
        <v>44810</v>
      </c>
      <c r="C903" s="827" t="s">
        <v>894</v>
      </c>
      <c r="D903" s="824" t="s">
        <v>1696</v>
      </c>
      <c r="E903" s="841" t="s">
        <v>1082</v>
      </c>
      <c r="F903" s="826">
        <v>2100000</v>
      </c>
      <c r="G903" s="827" t="s">
        <v>907</v>
      </c>
      <c r="H903" s="827" t="s">
        <v>104</v>
      </c>
      <c r="I903" s="827" t="s">
        <v>104</v>
      </c>
      <c r="J903" s="827">
        <v>1</v>
      </c>
      <c r="K903" s="827"/>
      <c r="L903" s="827" t="s">
        <v>633</v>
      </c>
    </row>
    <row r="904" spans="2:12" ht="15" hidden="1">
      <c r="B904" s="828">
        <v>44441</v>
      </c>
      <c r="C904" s="827" t="s">
        <v>894</v>
      </c>
      <c r="D904" s="824" t="s">
        <v>1697</v>
      </c>
      <c r="E904" s="841" t="s">
        <v>997</v>
      </c>
      <c r="F904" s="826">
        <v>2500000</v>
      </c>
      <c r="G904" s="827" t="s">
        <v>907</v>
      </c>
      <c r="H904" s="827" t="s">
        <v>104</v>
      </c>
      <c r="I904" s="827" t="s">
        <v>104</v>
      </c>
      <c r="J904" s="827">
        <v>1</v>
      </c>
      <c r="K904" s="827"/>
      <c r="L904" s="827" t="s">
        <v>633</v>
      </c>
    </row>
    <row r="905" spans="2:12" ht="15" hidden="1">
      <c r="B905" s="828">
        <v>44813</v>
      </c>
      <c r="C905" s="827" t="s">
        <v>894</v>
      </c>
      <c r="D905" s="824" t="s">
        <v>1698</v>
      </c>
      <c r="E905" s="841" t="s">
        <v>1337</v>
      </c>
      <c r="F905" s="826">
        <v>2350000</v>
      </c>
      <c r="G905" s="827" t="s">
        <v>907</v>
      </c>
      <c r="H905" s="827" t="s">
        <v>104</v>
      </c>
      <c r="I905" s="827" t="s">
        <v>104</v>
      </c>
      <c r="J905" s="827">
        <v>1</v>
      </c>
      <c r="K905" s="827"/>
      <c r="L905" s="827" t="s">
        <v>607</v>
      </c>
    </row>
    <row r="906" spans="2:12" ht="15" hidden="1">
      <c r="B906" s="828">
        <v>44601</v>
      </c>
      <c r="C906" s="827" t="s">
        <v>992</v>
      </c>
      <c r="D906" s="824" t="s">
        <v>1699</v>
      </c>
      <c r="E906" s="841" t="s">
        <v>1163</v>
      </c>
      <c r="F906" s="826">
        <v>450000</v>
      </c>
      <c r="G906" s="827" t="s">
        <v>907</v>
      </c>
      <c r="H906" s="827" t="s">
        <v>104</v>
      </c>
      <c r="I906" s="827" t="s">
        <v>104</v>
      </c>
      <c r="J906" s="827">
        <v>1</v>
      </c>
      <c r="K906" s="827"/>
      <c r="L906" s="827" t="s">
        <v>1688</v>
      </c>
    </row>
    <row r="907" spans="2:12" ht="15" hidden="1">
      <c r="B907" s="822">
        <v>44601</v>
      </c>
      <c r="C907" s="823" t="s">
        <v>894</v>
      </c>
      <c r="D907" s="830" t="s">
        <v>1700</v>
      </c>
      <c r="E907" s="825" t="s">
        <v>1452</v>
      </c>
      <c r="F907" s="826" t="s">
        <v>1701</v>
      </c>
      <c r="G907" s="827" t="s">
        <v>907</v>
      </c>
      <c r="H907" s="827" t="s">
        <v>104</v>
      </c>
      <c r="I907" s="827" t="s">
        <v>104</v>
      </c>
      <c r="J907" s="827">
        <v>1</v>
      </c>
      <c r="K907" s="827"/>
      <c r="L907" s="827" t="s">
        <v>607</v>
      </c>
    </row>
    <row r="908" spans="2:12" ht="15" hidden="1">
      <c r="B908" s="828">
        <v>44601</v>
      </c>
      <c r="C908" s="827" t="s">
        <v>894</v>
      </c>
      <c r="D908" s="830" t="s">
        <v>1702</v>
      </c>
      <c r="E908" s="825" t="s">
        <v>1337</v>
      </c>
      <c r="F908" s="826" t="s">
        <v>1703</v>
      </c>
      <c r="G908" s="827" t="s">
        <v>907</v>
      </c>
      <c r="H908" s="827" t="s">
        <v>104</v>
      </c>
      <c r="I908" s="827" t="s">
        <v>104</v>
      </c>
      <c r="J908" s="827">
        <v>1</v>
      </c>
      <c r="K908" s="827"/>
      <c r="L908" s="827" t="s">
        <v>533</v>
      </c>
    </row>
    <row r="909" spans="2:12" ht="15" hidden="1">
      <c r="B909" s="828">
        <v>44601</v>
      </c>
      <c r="C909" s="827" t="s">
        <v>894</v>
      </c>
      <c r="D909" s="829" t="s">
        <v>1704</v>
      </c>
      <c r="E909" s="825" t="s">
        <v>1452</v>
      </c>
      <c r="F909" s="826" t="s">
        <v>1705</v>
      </c>
      <c r="G909" s="827" t="s">
        <v>907</v>
      </c>
      <c r="H909" s="827" t="s">
        <v>104</v>
      </c>
      <c r="I909" s="827" t="s">
        <v>104</v>
      </c>
      <c r="J909" s="827">
        <v>1</v>
      </c>
      <c r="K909" s="827"/>
      <c r="L909" s="827" t="s">
        <v>633</v>
      </c>
    </row>
    <row r="910" spans="2:12" ht="15" hidden="1">
      <c r="B910" s="828">
        <v>44601</v>
      </c>
      <c r="C910" s="827" t="s">
        <v>894</v>
      </c>
      <c r="D910" s="830" t="s">
        <v>1706</v>
      </c>
      <c r="E910" s="825" t="s">
        <v>1040</v>
      </c>
      <c r="F910" s="826" t="s">
        <v>1707</v>
      </c>
      <c r="G910" s="827" t="s">
        <v>907</v>
      </c>
      <c r="H910" s="827" t="s">
        <v>104</v>
      </c>
      <c r="I910" s="827" t="s">
        <v>104</v>
      </c>
      <c r="J910" s="827">
        <v>1</v>
      </c>
      <c r="K910" s="827"/>
      <c r="L910" s="827" t="s">
        <v>607</v>
      </c>
    </row>
    <row r="911" spans="2:12" ht="15" hidden="1">
      <c r="B911" s="828">
        <v>44601</v>
      </c>
      <c r="C911" s="827" t="s">
        <v>894</v>
      </c>
      <c r="D911" s="830" t="s">
        <v>1708</v>
      </c>
      <c r="E911" s="825" t="s">
        <v>1088</v>
      </c>
      <c r="F911" s="826" t="s">
        <v>1709</v>
      </c>
      <c r="G911" s="827" t="s">
        <v>907</v>
      </c>
      <c r="H911" s="827" t="s">
        <v>104</v>
      </c>
      <c r="I911" s="827" t="s">
        <v>104</v>
      </c>
      <c r="J911" s="827">
        <v>1</v>
      </c>
      <c r="K911" s="827"/>
      <c r="L911" s="827" t="s">
        <v>533</v>
      </c>
    </row>
    <row r="912" spans="2:12" ht="15" hidden="1">
      <c r="B912" s="828">
        <v>44601</v>
      </c>
      <c r="C912" s="827" t="s">
        <v>894</v>
      </c>
      <c r="D912" s="829" t="s">
        <v>1710</v>
      </c>
      <c r="E912" s="825" t="s">
        <v>1346</v>
      </c>
      <c r="F912" s="826" t="s">
        <v>1711</v>
      </c>
      <c r="G912" s="827" t="s">
        <v>907</v>
      </c>
      <c r="H912" s="827" t="s">
        <v>104</v>
      </c>
      <c r="I912" s="827" t="s">
        <v>104</v>
      </c>
      <c r="J912" s="827">
        <v>1</v>
      </c>
      <c r="K912" s="827"/>
      <c r="L912" s="827" t="s">
        <v>633</v>
      </c>
    </row>
    <row r="913" spans="2:12" ht="15" hidden="1">
      <c r="B913" s="840" t="s">
        <v>1712</v>
      </c>
      <c r="C913" s="835" t="s">
        <v>894</v>
      </c>
      <c r="D913" s="837" t="s">
        <v>1713</v>
      </c>
      <c r="E913" s="833" t="s">
        <v>1082</v>
      </c>
      <c r="F913" s="834">
        <v>3000000</v>
      </c>
      <c r="G913" s="827" t="s">
        <v>1091</v>
      </c>
      <c r="H913" s="827" t="s">
        <v>104</v>
      </c>
      <c r="I913" s="827" t="s">
        <v>104</v>
      </c>
      <c r="J913" s="827">
        <v>1</v>
      </c>
      <c r="K913" s="827"/>
      <c r="L913" s="827" t="s">
        <v>607</v>
      </c>
    </row>
    <row r="914" spans="2:12" ht="15" hidden="1">
      <c r="B914" s="840" t="s">
        <v>1714</v>
      </c>
      <c r="C914" s="835" t="s">
        <v>894</v>
      </c>
      <c r="D914" s="861" t="s">
        <v>1715</v>
      </c>
      <c r="E914" s="833" t="s">
        <v>997</v>
      </c>
      <c r="F914" s="834">
        <v>3100000</v>
      </c>
      <c r="G914" s="835" t="s">
        <v>1091</v>
      </c>
      <c r="H914" s="835" t="s">
        <v>104</v>
      </c>
      <c r="I914" s="835" t="s">
        <v>104</v>
      </c>
      <c r="J914" s="835">
        <v>1</v>
      </c>
      <c r="K914" s="835"/>
      <c r="L914" s="835" t="s">
        <v>607</v>
      </c>
    </row>
    <row r="915" spans="2:12" ht="15" hidden="1">
      <c r="B915" s="828" t="s">
        <v>1716</v>
      </c>
      <c r="C915" s="827" t="s">
        <v>894</v>
      </c>
      <c r="D915" s="839" t="s">
        <v>1717</v>
      </c>
      <c r="E915" s="825" t="s">
        <v>997</v>
      </c>
      <c r="F915" s="826">
        <v>2500000</v>
      </c>
      <c r="G915" s="827" t="s">
        <v>907</v>
      </c>
      <c r="H915" s="827" t="s">
        <v>104</v>
      </c>
      <c r="I915" s="827" t="s">
        <v>104</v>
      </c>
      <c r="J915" s="827">
        <v>1</v>
      </c>
      <c r="K915" s="827"/>
      <c r="L915" s="827" t="s">
        <v>607</v>
      </c>
    </row>
    <row r="916" spans="2:12" ht="15" hidden="1">
      <c r="B916" s="828" t="s">
        <v>1718</v>
      </c>
      <c r="C916" s="827" t="s">
        <v>894</v>
      </c>
      <c r="D916" s="839" t="s">
        <v>1719</v>
      </c>
      <c r="E916" s="825" t="s">
        <v>1452</v>
      </c>
      <c r="F916" s="826">
        <v>2500000</v>
      </c>
      <c r="G916" s="827" t="s">
        <v>907</v>
      </c>
      <c r="H916" s="827" t="s">
        <v>104</v>
      </c>
      <c r="I916" s="827" t="s">
        <v>104</v>
      </c>
      <c r="J916" s="827">
        <v>1</v>
      </c>
      <c r="K916" s="827"/>
      <c r="L916" s="827" t="s">
        <v>1688</v>
      </c>
    </row>
    <row r="917" spans="2:12" ht="15" hidden="1">
      <c r="B917" s="828" t="s">
        <v>1718</v>
      </c>
      <c r="C917" s="827" t="s">
        <v>894</v>
      </c>
      <c r="D917" s="718" t="s">
        <v>1720</v>
      </c>
      <c r="E917" s="825" t="s">
        <v>997</v>
      </c>
      <c r="F917" s="826">
        <v>2100000</v>
      </c>
      <c r="G917" s="827" t="s">
        <v>907</v>
      </c>
      <c r="H917" s="827" t="s">
        <v>104</v>
      </c>
      <c r="I917" s="827" t="s">
        <v>104</v>
      </c>
      <c r="J917" s="827">
        <v>1</v>
      </c>
      <c r="K917" s="827"/>
      <c r="L917" s="827" t="s">
        <v>633</v>
      </c>
    </row>
    <row r="918" spans="2:12" ht="15" hidden="1">
      <c r="B918" s="828" t="s">
        <v>1718</v>
      </c>
      <c r="C918" s="827" t="s">
        <v>894</v>
      </c>
      <c r="D918" s="718" t="s">
        <v>1721</v>
      </c>
      <c r="E918" s="825" t="s">
        <v>1088</v>
      </c>
      <c r="F918" s="826">
        <v>5300000</v>
      </c>
      <c r="G918" s="827" t="s">
        <v>907</v>
      </c>
      <c r="H918" s="827" t="s">
        <v>104</v>
      </c>
      <c r="I918" s="827" t="s">
        <v>104</v>
      </c>
      <c r="J918" s="827">
        <v>1</v>
      </c>
      <c r="K918" s="827"/>
      <c r="L918" s="827" t="s">
        <v>607</v>
      </c>
    </row>
    <row r="919" spans="2:12" ht="15" hidden="1">
      <c r="B919" s="828" t="s">
        <v>1722</v>
      </c>
      <c r="C919" s="827" t="s">
        <v>894</v>
      </c>
      <c r="D919" s="717" t="s">
        <v>1723</v>
      </c>
      <c r="E919" s="825" t="s">
        <v>997</v>
      </c>
      <c r="F919" s="826">
        <v>2000000</v>
      </c>
      <c r="G919" s="827" t="s">
        <v>907</v>
      </c>
      <c r="H919" s="827" t="s">
        <v>104</v>
      </c>
      <c r="I919" s="827" t="s">
        <v>104</v>
      </c>
      <c r="J919" s="827">
        <v>1</v>
      </c>
      <c r="K919" s="827"/>
      <c r="L919" s="827" t="s">
        <v>607</v>
      </c>
    </row>
    <row r="920" spans="2:12" ht="15" hidden="1">
      <c r="B920" s="828" t="s">
        <v>1724</v>
      </c>
      <c r="C920" s="827" t="s">
        <v>894</v>
      </c>
      <c r="D920" s="717" t="s">
        <v>1725</v>
      </c>
      <c r="E920" s="825" t="s">
        <v>1452</v>
      </c>
      <c r="F920" s="826">
        <v>2400000</v>
      </c>
      <c r="G920" s="827" t="s">
        <v>907</v>
      </c>
      <c r="H920" s="827" t="s">
        <v>104</v>
      </c>
      <c r="I920" s="827" t="s">
        <v>104</v>
      </c>
      <c r="J920" s="827">
        <v>1</v>
      </c>
      <c r="K920" s="827"/>
      <c r="L920" s="827" t="s">
        <v>633</v>
      </c>
    </row>
    <row r="921" spans="2:12" ht="15" hidden="1">
      <c r="B921" s="828"/>
      <c r="C921" s="827"/>
      <c r="D921" s="825"/>
      <c r="E921" s="825"/>
      <c r="F921" s="826"/>
      <c r="G921" s="827"/>
      <c r="H921" s="827"/>
      <c r="I921" s="827"/>
      <c r="J921" s="836">
        <f>SUM(J896:J920)</f>
        <v>25</v>
      </c>
      <c r="K921" s="827"/>
      <c r="L921" s="827"/>
    </row>
    <row r="922" spans="2:12" ht="18.75" hidden="1">
      <c r="B922" s="1091" t="s">
        <v>1726</v>
      </c>
      <c r="C922" s="1092"/>
      <c r="D922" s="1092"/>
      <c r="E922" s="1092"/>
      <c r="F922" s="1092"/>
      <c r="G922" s="1092"/>
      <c r="H922" s="1092"/>
      <c r="I922" s="1092"/>
      <c r="J922" s="1092"/>
      <c r="K922" s="1092"/>
      <c r="L922" s="1093"/>
    </row>
    <row r="923" spans="2:12" ht="18.75" hidden="1">
      <c r="B923" s="328" t="s">
        <v>892</v>
      </c>
      <c r="C923" s="329" t="s">
        <v>893</v>
      </c>
      <c r="D923" s="329" t="s">
        <v>894</v>
      </c>
      <c r="E923" s="329" t="s">
        <v>895</v>
      </c>
      <c r="F923" s="330" t="s">
        <v>896</v>
      </c>
      <c r="G923" s="329" t="s">
        <v>897</v>
      </c>
      <c r="H923" s="329" t="s">
        <v>898</v>
      </c>
      <c r="I923" s="329" t="s">
        <v>899</v>
      </c>
      <c r="J923" s="329" t="s">
        <v>900</v>
      </c>
      <c r="K923" s="329" t="s">
        <v>901</v>
      </c>
      <c r="L923" s="329" t="s">
        <v>902</v>
      </c>
    </row>
    <row r="924" spans="2:12" ht="15" hidden="1">
      <c r="B924" s="739">
        <v>44694</v>
      </c>
      <c r="C924" s="858" t="s">
        <v>894</v>
      </c>
      <c r="D924" s="858" t="s">
        <v>1727</v>
      </c>
      <c r="E924" s="848" t="s">
        <v>982</v>
      </c>
      <c r="F924" s="820">
        <v>390000000</v>
      </c>
      <c r="G924" s="394" t="s">
        <v>907</v>
      </c>
      <c r="H924" s="394" t="s">
        <v>104</v>
      </c>
      <c r="I924" s="394" t="s">
        <v>104</v>
      </c>
      <c r="J924" s="821">
        <v>1</v>
      </c>
      <c r="K924" s="394"/>
      <c r="L924" s="394" t="s">
        <v>1319</v>
      </c>
    </row>
    <row r="925" spans="2:12" ht="15" hidden="1">
      <c r="B925" s="394" t="s">
        <v>1722</v>
      </c>
      <c r="C925" s="858" t="s">
        <v>894</v>
      </c>
      <c r="D925" s="858" t="s">
        <v>1728</v>
      </c>
      <c r="E925" s="848" t="s">
        <v>982</v>
      </c>
      <c r="F925" s="820">
        <v>400000000</v>
      </c>
      <c r="G925" s="394" t="s">
        <v>907</v>
      </c>
      <c r="H925" s="394" t="s">
        <v>104</v>
      </c>
      <c r="I925" s="394" t="s">
        <v>104</v>
      </c>
      <c r="J925" s="821">
        <v>1</v>
      </c>
      <c r="K925" s="394"/>
      <c r="L925" s="394" t="s">
        <v>1319</v>
      </c>
    </row>
    <row r="926" spans="2:12" ht="15.75" hidden="1">
      <c r="B926" s="394" t="s">
        <v>1722</v>
      </c>
      <c r="C926" s="858" t="s">
        <v>894</v>
      </c>
      <c r="D926" s="858" t="s">
        <v>1729</v>
      </c>
      <c r="E926" s="848" t="s">
        <v>982</v>
      </c>
      <c r="F926" s="820">
        <v>470000000</v>
      </c>
      <c r="G926" s="394" t="s">
        <v>907</v>
      </c>
      <c r="H926" s="394" t="s">
        <v>104</v>
      </c>
      <c r="I926" s="394" t="s">
        <v>104</v>
      </c>
      <c r="J926" s="740">
        <v>1</v>
      </c>
      <c r="K926" s="740"/>
      <c r="L926" s="394" t="s">
        <v>1319</v>
      </c>
    </row>
    <row r="927" spans="2:12" ht="15.75" hidden="1">
      <c r="B927" s="136"/>
      <c r="C927" s="49"/>
      <c r="D927" s="15"/>
      <c r="E927" s="762"/>
      <c r="F927" s="490"/>
      <c r="G927" s="61"/>
      <c r="H927" s="61"/>
      <c r="I927" s="61"/>
      <c r="J927" s="553">
        <f>SUM(J924:J926)</f>
        <v>3</v>
      </c>
      <c r="K927" s="61"/>
      <c r="L927" s="61"/>
    </row>
    <row r="928" spans="2:12" ht="15" hidden="1">
      <c r="B928" s="619" t="s">
        <v>1730</v>
      </c>
      <c r="C928" s="620" t="s">
        <v>894</v>
      </c>
      <c r="D928" s="621" t="s">
        <v>1731</v>
      </c>
      <c r="E928" s="15" t="s">
        <v>1088</v>
      </c>
      <c r="F928" s="50">
        <v>2200000</v>
      </c>
      <c r="G928" s="49" t="s">
        <v>907</v>
      </c>
      <c r="H928" s="49" t="s">
        <v>104</v>
      </c>
      <c r="I928" s="49" t="s">
        <v>104</v>
      </c>
      <c r="J928" s="49">
        <v>1</v>
      </c>
      <c r="K928" s="49"/>
      <c r="L928" s="49" t="s">
        <v>533</v>
      </c>
    </row>
    <row r="929" spans="2:12" ht="15" hidden="1">
      <c r="B929" s="136" t="s">
        <v>1730</v>
      </c>
      <c r="C929" s="620" t="s">
        <v>894</v>
      </c>
      <c r="D929" s="15" t="s">
        <v>1732</v>
      </c>
      <c r="E929" s="15" t="s">
        <v>982</v>
      </c>
      <c r="F929" s="50">
        <v>1600000</v>
      </c>
      <c r="G929" s="49" t="s">
        <v>907</v>
      </c>
      <c r="H929" s="49" t="s">
        <v>104</v>
      </c>
      <c r="I929" s="49" t="s">
        <v>104</v>
      </c>
      <c r="J929" s="49">
        <v>1</v>
      </c>
      <c r="K929" s="49"/>
      <c r="L929" s="49" t="s">
        <v>633</v>
      </c>
    </row>
    <row r="930" spans="2:12" ht="15" hidden="1">
      <c r="B930" s="136" t="s">
        <v>1730</v>
      </c>
      <c r="C930" s="620" t="s">
        <v>894</v>
      </c>
      <c r="D930" s="15" t="s">
        <v>1733</v>
      </c>
      <c r="E930" s="15" t="s">
        <v>982</v>
      </c>
      <c r="F930" s="50">
        <v>1600000</v>
      </c>
      <c r="G930" s="49" t="s">
        <v>907</v>
      </c>
      <c r="H930" s="49" t="s">
        <v>104</v>
      </c>
      <c r="I930" s="49" t="s">
        <v>104</v>
      </c>
      <c r="J930" s="49">
        <v>1</v>
      </c>
      <c r="K930" s="49"/>
      <c r="L930" s="49" t="s">
        <v>607</v>
      </c>
    </row>
    <row r="931" spans="2:12" ht="15" hidden="1">
      <c r="B931" s="60" t="s">
        <v>1730</v>
      </c>
      <c r="C931" s="620" t="s">
        <v>894</v>
      </c>
      <c r="D931" s="717" t="s">
        <v>1734</v>
      </c>
      <c r="E931" s="15" t="s">
        <v>1082</v>
      </c>
      <c r="F931" s="50">
        <v>1700000</v>
      </c>
      <c r="G931" s="49" t="s">
        <v>907</v>
      </c>
      <c r="H931" s="49" t="s">
        <v>104</v>
      </c>
      <c r="I931" s="49" t="s">
        <v>104</v>
      </c>
      <c r="J931" s="49">
        <v>1</v>
      </c>
      <c r="K931" s="49"/>
      <c r="L931" s="49" t="s">
        <v>533</v>
      </c>
    </row>
    <row r="932" spans="2:12" ht="15" hidden="1">
      <c r="B932" s="53" t="s">
        <v>1735</v>
      </c>
      <c r="C932" s="620" t="s">
        <v>894</v>
      </c>
      <c r="D932" s="718" t="s">
        <v>1736</v>
      </c>
      <c r="E932" s="737" t="s">
        <v>982</v>
      </c>
      <c r="F932" s="50">
        <v>1400000</v>
      </c>
      <c r="G932" s="49" t="s">
        <v>907</v>
      </c>
      <c r="H932" s="49" t="s">
        <v>104</v>
      </c>
      <c r="I932" s="49" t="s">
        <v>104</v>
      </c>
      <c r="J932" s="49">
        <v>1</v>
      </c>
      <c r="K932" s="49"/>
      <c r="L932" s="49" t="s">
        <v>633</v>
      </c>
    </row>
    <row r="933" spans="2:12" ht="15" hidden="1">
      <c r="B933" s="53" t="s">
        <v>1735</v>
      </c>
      <c r="C933" s="620" t="s">
        <v>894</v>
      </c>
      <c r="D933" s="718" t="s">
        <v>1737</v>
      </c>
      <c r="E933" s="737" t="s">
        <v>1040</v>
      </c>
      <c r="F933" s="50">
        <v>1700000</v>
      </c>
      <c r="G933" s="49" t="s">
        <v>907</v>
      </c>
      <c r="H933" s="49" t="s">
        <v>104</v>
      </c>
      <c r="I933" s="49" t="s">
        <v>104</v>
      </c>
      <c r="J933" s="49">
        <v>1</v>
      </c>
      <c r="K933" s="49"/>
      <c r="L933" s="49" t="s">
        <v>533</v>
      </c>
    </row>
    <row r="934" spans="2:12" ht="15" hidden="1">
      <c r="B934" s="760" t="s">
        <v>1735</v>
      </c>
      <c r="C934" s="70" t="s">
        <v>894</v>
      </c>
      <c r="D934" s="761" t="s">
        <v>1738</v>
      </c>
      <c r="E934" s="762" t="s">
        <v>1040</v>
      </c>
      <c r="F934" s="50">
        <v>1800000</v>
      </c>
      <c r="G934" s="49" t="s">
        <v>907</v>
      </c>
      <c r="H934" s="49" t="s">
        <v>104</v>
      </c>
      <c r="I934" s="49" t="s">
        <v>104</v>
      </c>
      <c r="J934" s="49">
        <v>1</v>
      </c>
      <c r="K934" s="49"/>
      <c r="L934" s="49" t="s">
        <v>607</v>
      </c>
    </row>
    <row r="935" spans="2:12" ht="15" hidden="1">
      <c r="B935" s="136" t="s">
        <v>1735</v>
      </c>
      <c r="C935" s="49" t="s">
        <v>894</v>
      </c>
      <c r="D935" s="718" t="s">
        <v>1739</v>
      </c>
      <c r="E935" s="15" t="s">
        <v>1740</v>
      </c>
      <c r="F935" s="759">
        <v>1100000</v>
      </c>
      <c r="G935" s="49" t="s">
        <v>1598</v>
      </c>
      <c r="H935" s="49" t="s">
        <v>104</v>
      </c>
      <c r="I935" s="49" t="s">
        <v>104</v>
      </c>
      <c r="J935" s="49">
        <v>1</v>
      </c>
      <c r="K935" s="49"/>
      <c r="L935" s="49" t="s">
        <v>533</v>
      </c>
    </row>
    <row r="936" spans="2:12" ht="15" hidden="1">
      <c r="B936" s="136" t="s">
        <v>1735</v>
      </c>
      <c r="C936" s="49" t="s">
        <v>894</v>
      </c>
      <c r="D936" s="718" t="s">
        <v>1741</v>
      </c>
      <c r="E936" s="15" t="s">
        <v>997</v>
      </c>
      <c r="F936" s="759">
        <v>2700000</v>
      </c>
      <c r="G936" s="49" t="s">
        <v>907</v>
      </c>
      <c r="H936" s="49" t="s">
        <v>104</v>
      </c>
      <c r="I936" s="49" t="s">
        <v>104</v>
      </c>
      <c r="J936" s="49">
        <v>1</v>
      </c>
      <c r="K936" s="49"/>
      <c r="L936" s="49" t="s">
        <v>533</v>
      </c>
    </row>
    <row r="937" spans="2:12" ht="15" hidden="1">
      <c r="B937" s="136">
        <v>44690</v>
      </c>
      <c r="C937" s="49" t="s">
        <v>894</v>
      </c>
      <c r="D937" s="844" t="s">
        <v>1693</v>
      </c>
      <c r="E937" s="844" t="s">
        <v>997</v>
      </c>
      <c r="F937" s="759">
        <v>3000000</v>
      </c>
      <c r="G937" s="49" t="s">
        <v>907</v>
      </c>
      <c r="H937" s="49" t="s">
        <v>104</v>
      </c>
      <c r="I937" s="49" t="s">
        <v>104</v>
      </c>
      <c r="J937" s="49">
        <v>1</v>
      </c>
      <c r="K937" s="49"/>
      <c r="L937" s="49" t="s">
        <v>607</v>
      </c>
    </row>
    <row r="938" spans="2:12" ht="15" hidden="1">
      <c r="B938" s="136">
        <v>44691</v>
      </c>
      <c r="C938" s="49" t="s">
        <v>894</v>
      </c>
      <c r="D938" s="844" t="s">
        <v>1742</v>
      </c>
      <c r="E938" s="844" t="s">
        <v>1040</v>
      </c>
      <c r="F938" s="759">
        <v>1900000</v>
      </c>
      <c r="G938" s="49" t="s">
        <v>907</v>
      </c>
      <c r="H938" s="49" t="s">
        <v>104</v>
      </c>
      <c r="I938" s="49" t="s">
        <v>104</v>
      </c>
      <c r="J938" s="49">
        <v>1</v>
      </c>
      <c r="K938" s="49"/>
      <c r="L938" s="49" t="s">
        <v>607</v>
      </c>
    </row>
    <row r="939" spans="2:12" ht="15" hidden="1">
      <c r="B939" s="136">
        <v>44692</v>
      </c>
      <c r="C939" s="49" t="s">
        <v>894</v>
      </c>
      <c r="D939" s="844" t="s">
        <v>1743</v>
      </c>
      <c r="E939" s="846" t="s">
        <v>1040</v>
      </c>
      <c r="F939" s="759" t="s">
        <v>1744</v>
      </c>
      <c r="G939" s="49" t="s">
        <v>907</v>
      </c>
      <c r="H939" s="49" t="s">
        <v>104</v>
      </c>
      <c r="I939" s="49" t="s">
        <v>104</v>
      </c>
      <c r="J939" s="49">
        <v>1</v>
      </c>
      <c r="K939" s="49"/>
      <c r="L939" s="49" t="s">
        <v>633</v>
      </c>
    </row>
    <row r="940" spans="2:12" ht="15" hidden="1">
      <c r="B940" s="136">
        <v>44693</v>
      </c>
      <c r="C940" s="49" t="s">
        <v>894</v>
      </c>
      <c r="D940" s="844" t="s">
        <v>1745</v>
      </c>
      <c r="E940" s="846" t="s">
        <v>982</v>
      </c>
      <c r="F940" s="759" t="s">
        <v>1705</v>
      </c>
      <c r="G940" s="49" t="s">
        <v>907</v>
      </c>
      <c r="H940" s="49" t="s">
        <v>104</v>
      </c>
      <c r="I940" s="49" t="s">
        <v>104</v>
      </c>
      <c r="J940" s="49">
        <v>1</v>
      </c>
      <c r="K940" s="49"/>
      <c r="L940" s="49" t="s">
        <v>533</v>
      </c>
    </row>
    <row r="941" spans="2:12" ht="15" hidden="1">
      <c r="B941" s="136">
        <v>44694</v>
      </c>
      <c r="C941" s="49" t="s">
        <v>894</v>
      </c>
      <c r="D941" s="844" t="s">
        <v>1746</v>
      </c>
      <c r="E941" s="846" t="s">
        <v>1747</v>
      </c>
      <c r="F941" s="759" t="s">
        <v>1748</v>
      </c>
      <c r="G941" s="49" t="s">
        <v>907</v>
      </c>
      <c r="H941" s="49" t="s">
        <v>104</v>
      </c>
      <c r="I941" s="49" t="s">
        <v>104</v>
      </c>
      <c r="J941" s="49">
        <v>1</v>
      </c>
      <c r="K941" s="49"/>
      <c r="L941" s="49" t="s">
        <v>607</v>
      </c>
    </row>
    <row r="942" spans="2:12" ht="15" hidden="1">
      <c r="B942" s="619" t="s">
        <v>1749</v>
      </c>
      <c r="C942" s="49" t="s">
        <v>894</v>
      </c>
      <c r="D942" s="844" t="s">
        <v>1750</v>
      </c>
      <c r="E942" s="847" t="s">
        <v>982</v>
      </c>
      <c r="F942" s="759" t="s">
        <v>1751</v>
      </c>
      <c r="G942" s="49" t="s">
        <v>907</v>
      </c>
      <c r="H942" s="49" t="s">
        <v>104</v>
      </c>
      <c r="I942" s="49" t="s">
        <v>104</v>
      </c>
      <c r="J942" s="49">
        <v>1</v>
      </c>
      <c r="K942" s="49"/>
      <c r="L942" s="49" t="s">
        <v>633</v>
      </c>
    </row>
    <row r="943" spans="2:12" ht="15" hidden="1">
      <c r="B943" s="849" t="s">
        <v>1749</v>
      </c>
      <c r="C943" s="61" t="s">
        <v>894</v>
      </c>
      <c r="D943" s="850" t="s">
        <v>1727</v>
      </c>
      <c r="E943" s="851" t="s">
        <v>982</v>
      </c>
      <c r="F943" s="759">
        <v>2500000</v>
      </c>
      <c r="G943" s="49" t="s">
        <v>907</v>
      </c>
      <c r="H943" s="49" t="s">
        <v>104</v>
      </c>
      <c r="I943" s="49" t="s">
        <v>104</v>
      </c>
      <c r="J943" s="49">
        <v>1</v>
      </c>
      <c r="K943" s="49"/>
      <c r="L943" s="49" t="s">
        <v>633</v>
      </c>
    </row>
    <row r="944" spans="2:12" ht="15" hidden="1">
      <c r="B944" s="136" t="s">
        <v>1749</v>
      </c>
      <c r="C944" s="49" t="s">
        <v>894</v>
      </c>
      <c r="D944" s="718" t="s">
        <v>1752</v>
      </c>
      <c r="E944" s="847" t="s">
        <v>997</v>
      </c>
      <c r="F944" s="759">
        <v>1700000</v>
      </c>
      <c r="G944" s="49" t="s">
        <v>907</v>
      </c>
      <c r="H944" s="49" t="s">
        <v>104</v>
      </c>
      <c r="I944" s="49" t="s">
        <v>104</v>
      </c>
      <c r="J944" s="49">
        <v>1</v>
      </c>
      <c r="K944" s="49"/>
      <c r="L944" s="49" t="s">
        <v>633</v>
      </c>
    </row>
    <row r="945" spans="2:12" ht="16.5" hidden="1">
      <c r="B945" s="136" t="s">
        <v>1712</v>
      </c>
      <c r="C945" s="49" t="s">
        <v>894</v>
      </c>
      <c r="D945" s="854" t="s">
        <v>1753</v>
      </c>
      <c r="E945" s="847" t="s">
        <v>982</v>
      </c>
      <c r="F945" s="759">
        <v>1500000</v>
      </c>
      <c r="G945" s="49" t="s">
        <v>907</v>
      </c>
      <c r="H945" s="49" t="s">
        <v>104</v>
      </c>
      <c r="I945" s="49" t="s">
        <v>104</v>
      </c>
      <c r="J945" s="49">
        <v>1</v>
      </c>
      <c r="K945" s="49"/>
      <c r="L945" s="49" t="s">
        <v>607</v>
      </c>
    </row>
    <row r="946" spans="2:12" ht="15" hidden="1">
      <c r="B946" s="136" t="s">
        <v>1714</v>
      </c>
      <c r="C946" s="49" t="s">
        <v>894</v>
      </c>
      <c r="D946" s="718" t="s">
        <v>1754</v>
      </c>
      <c r="E946" s="847" t="s">
        <v>982</v>
      </c>
      <c r="F946" s="759">
        <v>1300000</v>
      </c>
      <c r="G946" s="49" t="s">
        <v>907</v>
      </c>
      <c r="H946" s="49" t="s">
        <v>104</v>
      </c>
      <c r="I946" s="49" t="s">
        <v>104</v>
      </c>
      <c r="J946" s="49">
        <v>1</v>
      </c>
      <c r="K946" s="49"/>
      <c r="L946" s="49" t="s">
        <v>1688</v>
      </c>
    </row>
    <row r="947" spans="2:12" ht="15" hidden="1">
      <c r="B947" s="136" t="s">
        <v>1714</v>
      </c>
      <c r="C947" s="49" t="s">
        <v>894</v>
      </c>
      <c r="D947" s="718" t="s">
        <v>1755</v>
      </c>
      <c r="E947" s="846" t="s">
        <v>1747</v>
      </c>
      <c r="F947" s="759">
        <v>1300000</v>
      </c>
      <c r="G947" s="49" t="s">
        <v>907</v>
      </c>
      <c r="H947" s="49" t="s">
        <v>104</v>
      </c>
      <c r="I947" s="49" t="s">
        <v>104</v>
      </c>
      <c r="J947" s="49">
        <v>1</v>
      </c>
      <c r="K947" s="49"/>
      <c r="L947" s="49" t="s">
        <v>633</v>
      </c>
    </row>
    <row r="948" spans="2:12" ht="15" hidden="1">
      <c r="B948" s="136"/>
      <c r="C948" s="49"/>
      <c r="D948" s="855"/>
      <c r="E948" s="847"/>
      <c r="F948" s="759"/>
      <c r="G948" s="49"/>
      <c r="H948" s="49"/>
      <c r="I948" s="49"/>
      <c r="J948" s="49"/>
      <c r="K948" s="49"/>
      <c r="L948" s="49"/>
    </row>
    <row r="949" spans="2:12" ht="15.75" hidden="1">
      <c r="B949" s="619"/>
      <c r="C949" s="620"/>
      <c r="D949" s="621"/>
      <c r="E949" s="621"/>
      <c r="F949" s="759"/>
      <c r="G949" s="49"/>
      <c r="H949" s="49"/>
      <c r="I949" s="49"/>
      <c r="J949" s="836">
        <f>SUM(J928:J948)</f>
        <v>20</v>
      </c>
      <c r="K949" s="49"/>
      <c r="L949" s="49"/>
    </row>
    <row r="950" spans="2:12" ht="18.75" hidden="1">
      <c r="B950" s="1091" t="s">
        <v>1756</v>
      </c>
      <c r="C950" s="1092"/>
      <c r="D950" s="1092"/>
      <c r="E950" s="1092"/>
      <c r="F950" s="1107"/>
      <c r="G950" s="1107"/>
      <c r="H950" s="1107"/>
      <c r="I950" s="1107"/>
      <c r="J950" s="1107"/>
      <c r="K950" s="1107"/>
      <c r="L950" s="1108"/>
    </row>
    <row r="951" spans="2:12" ht="18.75" hidden="1">
      <c r="B951" s="328" t="s">
        <v>892</v>
      </c>
      <c r="C951" s="329" t="s">
        <v>893</v>
      </c>
      <c r="D951" s="329" t="s">
        <v>894</v>
      </c>
      <c r="E951" s="329" t="s">
        <v>895</v>
      </c>
      <c r="F951" s="330" t="s">
        <v>896</v>
      </c>
      <c r="G951" s="329" t="s">
        <v>897</v>
      </c>
      <c r="H951" s="329" t="s">
        <v>898</v>
      </c>
      <c r="I951" s="329" t="s">
        <v>899</v>
      </c>
      <c r="J951" s="329" t="s">
        <v>900</v>
      </c>
      <c r="K951" s="329" t="s">
        <v>901</v>
      </c>
      <c r="L951" s="329" t="s">
        <v>902</v>
      </c>
    </row>
    <row r="952" spans="2:12" ht="15" hidden="1">
      <c r="B952" s="394" t="s">
        <v>1722</v>
      </c>
      <c r="C952" s="395" t="s">
        <v>894</v>
      </c>
      <c r="D952" s="396" t="s">
        <v>1757</v>
      </c>
      <c r="E952" s="396" t="s">
        <v>982</v>
      </c>
      <c r="F952" s="397">
        <v>280000000</v>
      </c>
      <c r="G952" s="395" t="s">
        <v>907</v>
      </c>
      <c r="H952" s="395" t="s">
        <v>104</v>
      </c>
      <c r="I952" s="395" t="s">
        <v>104</v>
      </c>
      <c r="J952" s="395">
        <v>1</v>
      </c>
      <c r="K952" s="395"/>
      <c r="L952" s="395" t="s">
        <v>1319</v>
      </c>
    </row>
    <row r="953" spans="2:12" ht="15" hidden="1">
      <c r="B953" s="394" t="s">
        <v>1722</v>
      </c>
      <c r="C953" s="395" t="s">
        <v>894</v>
      </c>
      <c r="D953" s="396" t="s">
        <v>1758</v>
      </c>
      <c r="E953" s="396" t="s">
        <v>997</v>
      </c>
      <c r="F953" s="397">
        <v>700000000</v>
      </c>
      <c r="G953" s="395" t="s">
        <v>907</v>
      </c>
      <c r="H953" s="395" t="s">
        <v>104</v>
      </c>
      <c r="I953" s="395" t="s">
        <v>104</v>
      </c>
      <c r="J953" s="395">
        <v>1</v>
      </c>
      <c r="K953" s="395"/>
      <c r="L953" s="395" t="s">
        <v>1319</v>
      </c>
    </row>
    <row r="954" spans="2:12" ht="15" hidden="1">
      <c r="B954" s="739" t="s">
        <v>1722</v>
      </c>
      <c r="C954" s="395" t="s">
        <v>894</v>
      </c>
      <c r="D954" s="396" t="s">
        <v>1759</v>
      </c>
      <c r="E954" s="741" t="s">
        <v>1040</v>
      </c>
      <c r="F954" s="742">
        <v>385000000</v>
      </c>
      <c r="G954" s="740" t="s">
        <v>907</v>
      </c>
      <c r="H954" s="740" t="s">
        <v>104</v>
      </c>
      <c r="I954" s="740" t="s">
        <v>104</v>
      </c>
      <c r="J954" s="740">
        <v>1</v>
      </c>
      <c r="K954" s="740"/>
      <c r="L954" s="740" t="s">
        <v>1319</v>
      </c>
    </row>
    <row r="955" spans="2:12" ht="15" hidden="1">
      <c r="B955" s="60"/>
      <c r="C955" s="61"/>
      <c r="D955" s="489"/>
      <c r="E955" s="489"/>
      <c r="F955" s="490"/>
      <c r="G955" s="61"/>
      <c r="H955" s="61"/>
      <c r="I955" s="61"/>
      <c r="J955" s="862">
        <f>SUM(J952:J954)</f>
        <v>3</v>
      </c>
      <c r="K955" s="61"/>
      <c r="L955" s="61"/>
    </row>
    <row r="956" spans="2:12" ht="15" hidden="1">
      <c r="B956" s="136" t="s">
        <v>1730</v>
      </c>
      <c r="C956" s="49" t="s">
        <v>894</v>
      </c>
      <c r="D956" s="15" t="s">
        <v>1760</v>
      </c>
      <c r="E956" s="15" t="s">
        <v>1040</v>
      </c>
      <c r="F956" s="50">
        <v>2300000</v>
      </c>
      <c r="G956" s="49" t="s">
        <v>1091</v>
      </c>
      <c r="H956" s="49" t="s">
        <v>104</v>
      </c>
      <c r="I956" s="49" t="s">
        <v>104</v>
      </c>
      <c r="J956" s="49">
        <v>1</v>
      </c>
      <c r="K956" s="49"/>
      <c r="L956" s="49" t="s">
        <v>633</v>
      </c>
    </row>
    <row r="957" spans="2:12" ht="15" hidden="1">
      <c r="B957" s="60" t="s">
        <v>1730</v>
      </c>
      <c r="C957" s="49" t="s">
        <v>894</v>
      </c>
      <c r="D957" s="489" t="s">
        <v>1761</v>
      </c>
      <c r="E957" s="15" t="s">
        <v>1040</v>
      </c>
      <c r="F957" s="50">
        <v>3200000</v>
      </c>
      <c r="G957" s="49" t="s">
        <v>907</v>
      </c>
      <c r="H957" s="49" t="s">
        <v>104</v>
      </c>
      <c r="I957" s="49" t="s">
        <v>104</v>
      </c>
      <c r="J957" s="49">
        <v>1</v>
      </c>
      <c r="K957" s="49"/>
      <c r="L957" s="49" t="s">
        <v>607</v>
      </c>
    </row>
    <row r="958" spans="2:12" ht="15" hidden="1">
      <c r="B958" s="136" t="s">
        <v>1730</v>
      </c>
      <c r="C958" s="49" t="s">
        <v>894</v>
      </c>
      <c r="D958" s="718" t="s">
        <v>1762</v>
      </c>
      <c r="E958" s="737" t="s">
        <v>997</v>
      </c>
      <c r="F958" s="50">
        <v>2000000</v>
      </c>
      <c r="G958" s="49" t="s">
        <v>907</v>
      </c>
      <c r="H958" s="49" t="s">
        <v>104</v>
      </c>
      <c r="I958" s="49" t="s">
        <v>104</v>
      </c>
      <c r="J958" s="49">
        <v>1</v>
      </c>
      <c r="K958" s="49"/>
      <c r="L958" s="49" t="s">
        <v>533</v>
      </c>
    </row>
    <row r="959" spans="2:12" ht="15" hidden="1">
      <c r="B959" s="136" t="s">
        <v>1763</v>
      </c>
      <c r="C959" s="49" t="s">
        <v>894</v>
      </c>
      <c r="D959" s="718" t="s">
        <v>1764</v>
      </c>
      <c r="E959" s="737" t="s">
        <v>997</v>
      </c>
      <c r="F959" s="50">
        <v>1900000</v>
      </c>
      <c r="G959" s="49" t="s">
        <v>907</v>
      </c>
      <c r="H959" s="49" t="s">
        <v>104</v>
      </c>
      <c r="I959" s="49" t="s">
        <v>104</v>
      </c>
      <c r="J959" s="49">
        <v>1</v>
      </c>
      <c r="K959" s="49"/>
      <c r="L959" s="49" t="s">
        <v>607</v>
      </c>
    </row>
    <row r="960" spans="2:12" ht="15" hidden="1">
      <c r="B960" s="136" t="s">
        <v>1735</v>
      </c>
      <c r="C960" s="61" t="s">
        <v>894</v>
      </c>
      <c r="D960" s="717" t="s">
        <v>1765</v>
      </c>
      <c r="E960" s="737" t="s">
        <v>997</v>
      </c>
      <c r="F960" s="50">
        <v>2100000</v>
      </c>
      <c r="G960" s="49" t="s">
        <v>907</v>
      </c>
      <c r="H960" s="49" t="s">
        <v>104</v>
      </c>
      <c r="I960" s="49" t="s">
        <v>104</v>
      </c>
      <c r="J960" s="49">
        <v>1</v>
      </c>
      <c r="K960" s="49"/>
      <c r="L960" s="49" t="s">
        <v>633</v>
      </c>
    </row>
    <row r="961" spans="2:12" ht="15" hidden="1">
      <c r="B961" s="136">
        <v>44782</v>
      </c>
      <c r="C961" s="61" t="s">
        <v>894</v>
      </c>
      <c r="D961" s="845" t="s">
        <v>1766</v>
      </c>
      <c r="E961" s="843" t="s">
        <v>1767</v>
      </c>
      <c r="F961" s="50" t="s">
        <v>1709</v>
      </c>
      <c r="G961" s="49" t="s">
        <v>907</v>
      </c>
      <c r="H961" s="49" t="s">
        <v>104</v>
      </c>
      <c r="I961" s="49" t="s">
        <v>104</v>
      </c>
      <c r="J961" s="49">
        <v>1</v>
      </c>
      <c r="K961" s="49"/>
      <c r="L961" s="49" t="s">
        <v>633</v>
      </c>
    </row>
    <row r="962" spans="2:12" ht="15" hidden="1">
      <c r="B962" s="60">
        <v>44816</v>
      </c>
      <c r="C962" s="61" t="s">
        <v>894</v>
      </c>
      <c r="D962" s="850" t="s">
        <v>1768</v>
      </c>
      <c r="E962" s="856" t="s">
        <v>1337</v>
      </c>
      <c r="F962" s="490" t="s">
        <v>1769</v>
      </c>
      <c r="G962" s="61" t="s">
        <v>907</v>
      </c>
      <c r="H962" s="61" t="s">
        <v>104</v>
      </c>
      <c r="I962" s="61" t="s">
        <v>104</v>
      </c>
      <c r="J962" s="61">
        <v>1</v>
      </c>
      <c r="K962" s="61"/>
      <c r="L962" s="61" t="s">
        <v>1688</v>
      </c>
    </row>
    <row r="963" spans="2:12" ht="15" hidden="1">
      <c r="B963" s="136" t="s">
        <v>1712</v>
      </c>
      <c r="C963" s="49" t="s">
        <v>894</v>
      </c>
      <c r="D963" s="718" t="s">
        <v>1770</v>
      </c>
      <c r="E963" s="15" t="s">
        <v>1747</v>
      </c>
      <c r="F963" s="50">
        <v>1200000</v>
      </c>
      <c r="G963" s="49" t="s">
        <v>907</v>
      </c>
      <c r="H963" s="49" t="s">
        <v>104</v>
      </c>
      <c r="I963" s="49" t="s">
        <v>104</v>
      </c>
      <c r="J963" s="49">
        <v>1</v>
      </c>
      <c r="K963" s="49"/>
      <c r="L963" s="49" t="s">
        <v>1688</v>
      </c>
    </row>
    <row r="964" spans="2:12" ht="15" hidden="1">
      <c r="B964" s="60" t="s">
        <v>1714</v>
      </c>
      <c r="C964" s="61" t="s">
        <v>992</v>
      </c>
      <c r="D964" s="761" t="s">
        <v>1771</v>
      </c>
      <c r="E964" s="15" t="s">
        <v>1337</v>
      </c>
      <c r="F964" s="50">
        <v>3000000</v>
      </c>
      <c r="G964" s="49" t="s">
        <v>907</v>
      </c>
      <c r="H964" s="49" t="s">
        <v>104</v>
      </c>
      <c r="I964" s="49" t="s">
        <v>104</v>
      </c>
      <c r="J964" s="49">
        <v>1</v>
      </c>
      <c r="K964" s="49"/>
      <c r="L964" s="49" t="s">
        <v>607</v>
      </c>
    </row>
    <row r="965" spans="2:12" ht="15" hidden="1">
      <c r="B965" s="136" t="s">
        <v>1716</v>
      </c>
      <c r="C965" s="49" t="s">
        <v>894</v>
      </c>
      <c r="D965" s="718" t="s">
        <v>1772</v>
      </c>
      <c r="E965" s="859" t="s">
        <v>1773</v>
      </c>
      <c r="F965" s="622">
        <v>2000000</v>
      </c>
      <c r="G965" s="620" t="s">
        <v>907</v>
      </c>
      <c r="H965" s="620" t="s">
        <v>104</v>
      </c>
      <c r="I965" s="620" t="s">
        <v>104</v>
      </c>
      <c r="J965" s="620">
        <v>1</v>
      </c>
      <c r="K965" s="620"/>
      <c r="L965" s="620" t="s">
        <v>633</v>
      </c>
    </row>
    <row r="966" spans="2:12" ht="15" hidden="1">
      <c r="B966" s="136" t="s">
        <v>1774</v>
      </c>
      <c r="C966" s="49" t="s">
        <v>894</v>
      </c>
      <c r="D966" s="718" t="s">
        <v>1775</v>
      </c>
      <c r="E966" s="859" t="s">
        <v>1747</v>
      </c>
      <c r="F966" s="622">
        <v>1250000</v>
      </c>
      <c r="G966" s="620" t="s">
        <v>907</v>
      </c>
      <c r="H966" s="620" t="s">
        <v>104</v>
      </c>
      <c r="I966" s="620" t="s">
        <v>104</v>
      </c>
      <c r="J966" s="620">
        <v>1</v>
      </c>
      <c r="K966" s="620"/>
      <c r="L966" s="620" t="s">
        <v>1688</v>
      </c>
    </row>
    <row r="967" spans="2:12" ht="15" hidden="1">
      <c r="B967" s="136" t="s">
        <v>1774</v>
      </c>
      <c r="C967" s="49" t="s">
        <v>894</v>
      </c>
      <c r="D967" s="718" t="s">
        <v>1776</v>
      </c>
      <c r="E967" s="859" t="s">
        <v>1452</v>
      </c>
      <c r="F967" s="622">
        <v>2200000</v>
      </c>
      <c r="G967" s="620" t="s">
        <v>907</v>
      </c>
      <c r="H967" s="620" t="s">
        <v>104</v>
      </c>
      <c r="I967" s="620" t="s">
        <v>104</v>
      </c>
      <c r="J967" s="620">
        <v>1</v>
      </c>
      <c r="K967" s="620"/>
      <c r="L967" s="620" t="s">
        <v>633</v>
      </c>
    </row>
    <row r="968" spans="2:12" ht="15" hidden="1">
      <c r="B968" s="136" t="s">
        <v>1774</v>
      </c>
      <c r="C968" s="49" t="s">
        <v>894</v>
      </c>
      <c r="D968" s="718" t="s">
        <v>1757</v>
      </c>
      <c r="E968" s="859" t="s">
        <v>982</v>
      </c>
      <c r="F968" s="622">
        <v>1400000</v>
      </c>
      <c r="G968" s="620" t="s">
        <v>907</v>
      </c>
      <c r="H968" s="620" t="s">
        <v>104</v>
      </c>
      <c r="I968" s="620" t="s">
        <v>104</v>
      </c>
      <c r="J968" s="620">
        <v>1</v>
      </c>
      <c r="K968" s="620"/>
      <c r="L968" s="620" t="s">
        <v>607</v>
      </c>
    </row>
    <row r="969" spans="2:12" ht="16.5" hidden="1">
      <c r="B969" s="136" t="s">
        <v>1774</v>
      </c>
      <c r="C969" s="49" t="s">
        <v>894</v>
      </c>
      <c r="D969" s="860" t="s">
        <v>1777</v>
      </c>
      <c r="E969" s="859" t="s">
        <v>1747</v>
      </c>
      <c r="F969" s="622">
        <v>1250000</v>
      </c>
      <c r="G969" s="620" t="s">
        <v>907</v>
      </c>
      <c r="H969" s="620" t="s">
        <v>104</v>
      </c>
      <c r="I969" s="620" t="s">
        <v>104</v>
      </c>
      <c r="J969" s="620">
        <v>1</v>
      </c>
      <c r="K969" s="620"/>
      <c r="L969" s="620" t="s">
        <v>633</v>
      </c>
    </row>
    <row r="970" spans="2:12" ht="15.75" hidden="1">
      <c r="B970" s="619"/>
      <c r="C970" s="620"/>
      <c r="D970"/>
      <c r="E970" s="621"/>
      <c r="F970" s="622"/>
      <c r="G970" s="620"/>
      <c r="H970" s="620"/>
      <c r="I970" s="620"/>
      <c r="J970" s="857">
        <f>SUM(J956:J969)</f>
        <v>14</v>
      </c>
      <c r="K970" s="620"/>
      <c r="L970" s="620"/>
    </row>
    <row r="971" spans="2:12" ht="18.75" hidden="1">
      <c r="B971" s="1094" t="s">
        <v>1778</v>
      </c>
      <c r="C971" s="1095"/>
      <c r="D971" s="1095"/>
      <c r="E971" s="1095"/>
      <c r="F971" s="1095"/>
      <c r="G971" s="1095"/>
      <c r="H971" s="1095"/>
      <c r="I971" s="1095"/>
      <c r="J971" s="1095"/>
      <c r="K971" s="1095"/>
      <c r="L971" s="1096"/>
    </row>
    <row r="972" spans="2:12" ht="18.75" hidden="1">
      <c r="B972" s="328" t="s">
        <v>892</v>
      </c>
      <c r="C972" s="329" t="s">
        <v>893</v>
      </c>
      <c r="D972" s="329" t="s">
        <v>894</v>
      </c>
      <c r="E972" s="329" t="s">
        <v>895</v>
      </c>
      <c r="F972" s="330" t="s">
        <v>896</v>
      </c>
      <c r="G972" s="329" t="s">
        <v>897</v>
      </c>
      <c r="H972" s="329" t="s">
        <v>898</v>
      </c>
      <c r="I972" s="329" t="s">
        <v>899</v>
      </c>
      <c r="J972" s="329" t="s">
        <v>900</v>
      </c>
      <c r="K972" s="329" t="s">
        <v>901</v>
      </c>
      <c r="L972" s="329" t="s">
        <v>902</v>
      </c>
    </row>
    <row r="973" spans="2:12" ht="15" hidden="1">
      <c r="B973" s="394">
        <v>44751</v>
      </c>
      <c r="C973" s="395" t="s">
        <v>992</v>
      </c>
      <c r="D973" s="396" t="s">
        <v>1779</v>
      </c>
      <c r="E973" s="396" t="s">
        <v>1346</v>
      </c>
      <c r="F973" s="397">
        <v>650000000</v>
      </c>
      <c r="G973" s="395" t="s">
        <v>1780</v>
      </c>
      <c r="H973" s="395" t="s">
        <v>104</v>
      </c>
      <c r="I973" s="395" t="s">
        <v>104</v>
      </c>
      <c r="J973" s="395">
        <v>1</v>
      </c>
      <c r="K973" s="395"/>
      <c r="L973" s="395" t="s">
        <v>1319</v>
      </c>
    </row>
    <row r="974" spans="2:12" ht="15" hidden="1">
      <c r="B974" s="394"/>
      <c r="C974" s="395"/>
      <c r="D974" s="396"/>
      <c r="E974" s="396"/>
      <c r="F974" s="397"/>
      <c r="G974" s="395"/>
      <c r="H974" s="395"/>
      <c r="I974" s="395"/>
      <c r="J974" s="395"/>
      <c r="K974" s="395"/>
      <c r="L974" s="395"/>
    </row>
    <row r="975" spans="2:12" ht="15" hidden="1">
      <c r="B975" s="739"/>
      <c r="C975" s="740"/>
      <c r="D975" s="741"/>
      <c r="E975" s="741"/>
      <c r="F975" s="742"/>
      <c r="G975" s="740"/>
      <c r="H975" s="740"/>
      <c r="I975" s="740"/>
      <c r="J975" s="740"/>
      <c r="K975" s="740"/>
      <c r="L975" s="740"/>
    </row>
    <row r="976" spans="2:12" ht="15" hidden="1">
      <c r="B976" s="60">
        <v>44751</v>
      </c>
      <c r="C976" s="61" t="s">
        <v>992</v>
      </c>
      <c r="D976" t="s">
        <v>1779</v>
      </c>
      <c r="E976" s="489" t="s">
        <v>1346</v>
      </c>
      <c r="F976" s="490">
        <v>2850000</v>
      </c>
      <c r="G976" s="61" t="s">
        <v>1780</v>
      </c>
      <c r="H976" s="61" t="s">
        <v>104</v>
      </c>
      <c r="I976" s="61" t="s">
        <v>104</v>
      </c>
      <c r="J976" s="61">
        <v>1</v>
      </c>
      <c r="K976" s="61"/>
      <c r="L976" s="61" t="s">
        <v>1688</v>
      </c>
    </row>
    <row r="977" spans="2:12" ht="15" hidden="1">
      <c r="B977" s="136"/>
      <c r="C977" s="49"/>
      <c r="D977" s="15"/>
      <c r="E977" s="15"/>
      <c r="F977" s="50"/>
      <c r="G977" s="49"/>
      <c r="H977" s="49"/>
      <c r="I977" s="49"/>
      <c r="J977" s="49"/>
      <c r="K977" s="49"/>
      <c r="L977" s="49"/>
    </row>
    <row r="978" spans="2:12" ht="15" hidden="1">
      <c r="B978" s="136"/>
      <c r="C978" s="49"/>
      <c r="D978" s="15"/>
      <c r="E978" s="15"/>
      <c r="F978" s="50"/>
      <c r="G978" s="49"/>
      <c r="H978" s="49"/>
      <c r="I978" s="49"/>
      <c r="J978" s="49"/>
      <c r="K978" s="49"/>
      <c r="L978" s="49"/>
    </row>
    <row r="979" spans="2:12" ht="15" hidden="1">
      <c r="B979" s="136"/>
      <c r="C979" s="49"/>
      <c r="D979" s="15"/>
      <c r="E979" s="15"/>
      <c r="F979" s="50"/>
      <c r="G979" s="49"/>
      <c r="H979" s="49"/>
      <c r="I979" s="49"/>
      <c r="J979" s="49"/>
      <c r="K979" s="49"/>
      <c r="L979" s="49"/>
    </row>
    <row r="980" spans="2:12" ht="15" hidden="1">
      <c r="B980" s="136"/>
      <c r="C980" s="49"/>
      <c r="D980" s="15"/>
      <c r="E980" s="15"/>
      <c r="F980" s="50"/>
      <c r="G980" s="49"/>
      <c r="H980" s="49"/>
      <c r="I980" s="49"/>
      <c r="J980" s="49"/>
      <c r="K980" s="49"/>
      <c r="L980" s="49"/>
    </row>
    <row r="981" spans="2:12" hidden="1"/>
    <row r="982" spans="2:12" ht="18.75" hidden="1">
      <c r="B982" s="1094" t="s">
        <v>1781</v>
      </c>
      <c r="C982" s="1095"/>
      <c r="D982" s="1095"/>
      <c r="E982" s="1095"/>
      <c r="F982" s="1095"/>
      <c r="G982" s="1095"/>
      <c r="H982" s="1095"/>
      <c r="I982" s="1095"/>
      <c r="J982" s="1095"/>
      <c r="K982" s="1095"/>
      <c r="L982" s="1096"/>
    </row>
    <row r="983" spans="2:12" ht="18.75" hidden="1">
      <c r="B983" s="328" t="s">
        <v>892</v>
      </c>
      <c r="C983" s="329" t="s">
        <v>893</v>
      </c>
      <c r="D983" s="329" t="s">
        <v>894</v>
      </c>
      <c r="E983" s="329" t="s">
        <v>895</v>
      </c>
      <c r="F983" s="330" t="s">
        <v>896</v>
      </c>
      <c r="G983" s="329" t="s">
        <v>897</v>
      </c>
      <c r="H983" s="329" t="s">
        <v>898</v>
      </c>
      <c r="I983" s="329" t="s">
        <v>899</v>
      </c>
      <c r="J983" s="329" t="s">
        <v>900</v>
      </c>
      <c r="K983" s="329" t="s">
        <v>901</v>
      </c>
      <c r="L983" s="329" t="s">
        <v>902</v>
      </c>
    </row>
    <row r="984" spans="2:12" ht="15" hidden="1">
      <c r="B984" s="394"/>
      <c r="C984" s="395"/>
      <c r="D984" s="396"/>
      <c r="E984" s="396"/>
      <c r="F984" s="397"/>
      <c r="G984" s="395"/>
      <c r="H984" s="395"/>
      <c r="I984" s="395"/>
      <c r="J984" s="395"/>
      <c r="K984" s="395"/>
      <c r="L984" s="395"/>
    </row>
    <row r="985" spans="2:12" ht="15" hidden="1">
      <c r="B985" s="394"/>
      <c r="C985" s="395"/>
      <c r="D985" s="396"/>
      <c r="E985" s="396"/>
      <c r="F985" s="397"/>
      <c r="G985" s="395"/>
      <c r="H985" s="395"/>
      <c r="I985" s="395"/>
      <c r="J985" s="395"/>
      <c r="K985" s="395"/>
      <c r="L985" s="395"/>
    </row>
    <row r="986" spans="2:12" ht="15" hidden="1">
      <c r="B986" s="739"/>
      <c r="C986" s="740"/>
      <c r="D986" s="741"/>
      <c r="E986" s="741"/>
      <c r="F986" s="742"/>
      <c r="G986" s="740"/>
      <c r="H986" s="740"/>
      <c r="I986" s="740"/>
      <c r="J986" s="740"/>
      <c r="K986" s="740"/>
      <c r="L986" s="740"/>
    </row>
    <row r="987" spans="2:12" ht="15" hidden="1">
      <c r="B987" s="136"/>
      <c r="C987" s="49" t="s">
        <v>894</v>
      </c>
      <c r="D987" s="15" t="s">
        <v>1782</v>
      </c>
      <c r="E987" s="15" t="s">
        <v>997</v>
      </c>
      <c r="F987" s="50">
        <v>3200000</v>
      </c>
      <c r="G987" s="49" t="s">
        <v>911</v>
      </c>
      <c r="H987" s="49" t="s">
        <v>104</v>
      </c>
      <c r="I987" s="49" t="s">
        <v>104</v>
      </c>
      <c r="J987" s="49">
        <v>1</v>
      </c>
      <c r="K987" s="719"/>
      <c r="L987" s="61" t="s">
        <v>607</v>
      </c>
    </row>
    <row r="988" spans="2:12" ht="15" hidden="1">
      <c r="B988" s="136"/>
      <c r="C988" s="49" t="s">
        <v>894</v>
      </c>
      <c r="D988" s="15" t="s">
        <v>1783</v>
      </c>
      <c r="E988" s="15" t="s">
        <v>1040</v>
      </c>
      <c r="F988" s="50">
        <v>3000000</v>
      </c>
      <c r="G988" s="49" t="s">
        <v>911</v>
      </c>
      <c r="H988" s="49" t="s">
        <v>104</v>
      </c>
      <c r="I988" s="49" t="s">
        <v>104</v>
      </c>
      <c r="J988" s="49">
        <v>1</v>
      </c>
      <c r="K988" s="69"/>
      <c r="L988" s="49" t="s">
        <v>1351</v>
      </c>
    </row>
    <row r="989" spans="2:12" ht="15" hidden="1">
      <c r="B989" s="136"/>
      <c r="C989" s="49" t="s">
        <v>894</v>
      </c>
      <c r="D989" s="718" t="s">
        <v>1784</v>
      </c>
      <c r="E989" s="15" t="s">
        <v>982</v>
      </c>
      <c r="F989" s="50">
        <v>2800000</v>
      </c>
      <c r="G989" s="49" t="s">
        <v>911</v>
      </c>
      <c r="H989" s="49" t="s">
        <v>104</v>
      </c>
      <c r="I989" s="49" t="s">
        <v>104</v>
      </c>
      <c r="J989" s="49">
        <v>1</v>
      </c>
      <c r="K989" s="69"/>
      <c r="L989" s="49" t="s">
        <v>1688</v>
      </c>
    </row>
    <row r="990" spans="2:12" ht="15" hidden="1">
      <c r="B990" s="136"/>
      <c r="C990" s="49" t="s">
        <v>894</v>
      </c>
      <c r="D990" s="15" t="s">
        <v>1785</v>
      </c>
      <c r="E990" s="15" t="s">
        <v>982</v>
      </c>
      <c r="F990" s="50">
        <v>2100000</v>
      </c>
      <c r="G990" s="49" t="s">
        <v>1598</v>
      </c>
      <c r="H990" s="49" t="s">
        <v>104</v>
      </c>
      <c r="I990" s="49" t="s">
        <v>104</v>
      </c>
      <c r="J990" s="49">
        <v>1</v>
      </c>
      <c r="K990" s="69"/>
      <c r="L990" s="49" t="s">
        <v>633</v>
      </c>
    </row>
    <row r="991" spans="2:12" ht="15" hidden="1">
      <c r="B991" s="619"/>
      <c r="C991" s="620"/>
      <c r="D991" s="621" t="s">
        <v>1786</v>
      </c>
      <c r="E991" s="621"/>
      <c r="F991" s="622"/>
      <c r="G991" s="620"/>
      <c r="H991" s="620"/>
      <c r="I991" s="620"/>
      <c r="J991" s="620"/>
      <c r="K991" s="49"/>
      <c r="L991" s="49"/>
    </row>
    <row r="992" spans="2:12" hidden="1"/>
    <row r="993" spans="2:12" ht="31.5">
      <c r="B993" s="987" t="s">
        <v>824</v>
      </c>
      <c r="C993" s="987"/>
      <c r="D993" s="987"/>
      <c r="E993" s="987"/>
      <c r="F993" s="987"/>
      <c r="G993" s="987"/>
      <c r="H993" s="987"/>
      <c r="I993" s="987"/>
      <c r="J993" s="987"/>
      <c r="K993" s="987"/>
      <c r="L993" s="987"/>
    </row>
    <row r="994" spans="2:12" ht="18.75" hidden="1">
      <c r="B994" s="1094" t="s">
        <v>1787</v>
      </c>
      <c r="C994" s="1095"/>
      <c r="D994" s="1095"/>
      <c r="E994" s="1095"/>
      <c r="F994" s="1095"/>
      <c r="G994" s="1095"/>
      <c r="H994" s="1095"/>
      <c r="I994" s="1095"/>
      <c r="J994" s="1095"/>
      <c r="K994" s="1095"/>
      <c r="L994" s="1096"/>
    </row>
    <row r="995" spans="2:12" ht="18.75" hidden="1">
      <c r="B995" s="328" t="s">
        <v>892</v>
      </c>
      <c r="C995" s="329" t="s">
        <v>893</v>
      </c>
      <c r="D995" s="329" t="s">
        <v>894</v>
      </c>
      <c r="E995" s="329" t="s">
        <v>895</v>
      </c>
      <c r="F995" s="330" t="s">
        <v>896</v>
      </c>
      <c r="G995" s="329" t="s">
        <v>897</v>
      </c>
      <c r="H995" s="329" t="s">
        <v>898</v>
      </c>
      <c r="I995" s="329" t="s">
        <v>899</v>
      </c>
      <c r="J995" s="329" t="s">
        <v>900</v>
      </c>
      <c r="K995" s="329" t="s">
        <v>901</v>
      </c>
      <c r="L995" s="329" t="s">
        <v>902</v>
      </c>
    </row>
    <row r="996" spans="2:12" ht="15" hidden="1">
      <c r="B996" s="136" t="s">
        <v>1788</v>
      </c>
      <c r="C996" s="49" t="s">
        <v>957</v>
      </c>
      <c r="D996" s="738" t="s">
        <v>1789</v>
      </c>
      <c r="E996" s="15" t="s">
        <v>1088</v>
      </c>
      <c r="F996" s="50">
        <v>5500000</v>
      </c>
      <c r="G996" s="49" t="s">
        <v>907</v>
      </c>
      <c r="H996" s="49" t="s">
        <v>104</v>
      </c>
      <c r="I996" s="49" t="s">
        <v>104</v>
      </c>
      <c r="J996" s="49">
        <v>1</v>
      </c>
      <c r="K996" s="49"/>
      <c r="L996" s="49" t="s">
        <v>607</v>
      </c>
    </row>
    <row r="997" spans="2:12" ht="15" hidden="1">
      <c r="B997" s="136" t="s">
        <v>1788</v>
      </c>
      <c r="C997" s="49" t="s">
        <v>894</v>
      </c>
      <c r="D997" s="738" t="s">
        <v>1790</v>
      </c>
      <c r="E997" s="15" t="s">
        <v>1082</v>
      </c>
      <c r="F997" s="50">
        <v>2500000</v>
      </c>
      <c r="G997" s="49" t="s">
        <v>907</v>
      </c>
      <c r="H997" s="49" t="s">
        <v>104</v>
      </c>
      <c r="I997" s="49" t="s">
        <v>104</v>
      </c>
      <c r="J997" s="49">
        <v>1</v>
      </c>
      <c r="K997" s="49"/>
      <c r="L997" s="49" t="s">
        <v>633</v>
      </c>
    </row>
    <row r="998" spans="2:12" ht="15" hidden="1">
      <c r="B998" s="136" t="s">
        <v>1788</v>
      </c>
      <c r="C998" s="49" t="s">
        <v>894</v>
      </c>
      <c r="D998" s="738" t="s">
        <v>1791</v>
      </c>
      <c r="E998" s="15" t="s">
        <v>1337</v>
      </c>
      <c r="F998" s="50">
        <v>2250000</v>
      </c>
      <c r="G998" s="49" t="s">
        <v>907</v>
      </c>
      <c r="H998" s="49" t="s">
        <v>104</v>
      </c>
      <c r="I998" s="49" t="s">
        <v>104</v>
      </c>
      <c r="J998" s="49">
        <v>1</v>
      </c>
      <c r="K998" s="49"/>
      <c r="L998" s="49" t="s">
        <v>1688</v>
      </c>
    </row>
    <row r="999" spans="2:12" ht="15" hidden="1">
      <c r="B999" s="60">
        <v>44691</v>
      </c>
      <c r="C999" s="61" t="s">
        <v>1792</v>
      </c>
      <c r="D999" s="899" t="s">
        <v>1793</v>
      </c>
      <c r="E999" s="489" t="s">
        <v>1452</v>
      </c>
      <c r="F999" s="490">
        <v>2800000</v>
      </c>
      <c r="G999" s="49" t="s">
        <v>907</v>
      </c>
      <c r="H999" s="49" t="s">
        <v>104</v>
      </c>
      <c r="I999" s="49" t="s">
        <v>104</v>
      </c>
      <c r="J999" s="49">
        <v>1</v>
      </c>
      <c r="K999" s="49"/>
      <c r="L999" s="49" t="s">
        <v>1688</v>
      </c>
    </row>
    <row r="1000" spans="2:12" ht="15" hidden="1">
      <c r="B1000" s="136">
        <v>44691</v>
      </c>
      <c r="C1000" s="49" t="s">
        <v>1792</v>
      </c>
      <c r="D1000" s="738" t="s">
        <v>1794</v>
      </c>
      <c r="E1000" s="15" t="s">
        <v>997</v>
      </c>
      <c r="F1000" s="759">
        <v>2800000</v>
      </c>
      <c r="G1000" s="719" t="s">
        <v>907</v>
      </c>
      <c r="H1000" s="61" t="s">
        <v>104</v>
      </c>
      <c r="I1000" s="61" t="s">
        <v>104</v>
      </c>
      <c r="J1000" s="61">
        <v>1</v>
      </c>
      <c r="K1000" s="61"/>
      <c r="L1000" s="61" t="s">
        <v>633</v>
      </c>
    </row>
    <row r="1001" spans="2:12" ht="15" hidden="1">
      <c r="B1001" s="136">
        <v>44844</v>
      </c>
      <c r="C1001" s="49" t="s">
        <v>1792</v>
      </c>
      <c r="D1001" s="738" t="s">
        <v>1795</v>
      </c>
      <c r="E1001" s="15" t="s">
        <v>982</v>
      </c>
      <c r="F1001" s="759">
        <v>6000000</v>
      </c>
      <c r="G1001" s="69" t="s">
        <v>907</v>
      </c>
      <c r="H1001" s="49" t="s">
        <v>104</v>
      </c>
      <c r="I1001" s="49" t="s">
        <v>104</v>
      </c>
      <c r="J1001" s="49">
        <v>1</v>
      </c>
      <c r="K1001" s="49"/>
      <c r="L1001" s="49" t="s">
        <v>1688</v>
      </c>
    </row>
    <row r="1002" spans="2:12" ht="15" hidden="1">
      <c r="B1002" s="136">
        <v>44844</v>
      </c>
      <c r="C1002" s="49" t="s">
        <v>1792</v>
      </c>
      <c r="D1002" s="738" t="s">
        <v>1796</v>
      </c>
      <c r="E1002" s="15" t="s">
        <v>982</v>
      </c>
      <c r="F1002" s="759">
        <v>4000000</v>
      </c>
      <c r="G1002" s="69" t="s">
        <v>907</v>
      </c>
      <c r="H1002" s="49" t="s">
        <v>104</v>
      </c>
      <c r="I1002" s="49" t="s">
        <v>104</v>
      </c>
      <c r="J1002" s="49">
        <v>1</v>
      </c>
      <c r="K1002" s="49"/>
      <c r="L1002" s="49" t="s">
        <v>1688</v>
      </c>
    </row>
    <row r="1003" spans="2:12" ht="15" hidden="1">
      <c r="B1003" s="136">
        <v>44844</v>
      </c>
      <c r="C1003" s="49" t="s">
        <v>1792</v>
      </c>
      <c r="D1003" s="738" t="s">
        <v>1797</v>
      </c>
      <c r="E1003" s="15" t="s">
        <v>982</v>
      </c>
      <c r="F1003" s="759">
        <v>5500000</v>
      </c>
      <c r="G1003" s="69" t="s">
        <v>907</v>
      </c>
      <c r="H1003" s="49" t="s">
        <v>104</v>
      </c>
      <c r="I1003" s="49" t="s">
        <v>104</v>
      </c>
      <c r="J1003" s="49">
        <v>1</v>
      </c>
      <c r="K1003" s="49"/>
      <c r="L1003" s="49" t="s">
        <v>633</v>
      </c>
    </row>
    <row r="1004" spans="2:12" ht="15" hidden="1">
      <c r="B1004" s="60">
        <v>44844</v>
      </c>
      <c r="C1004" s="61" t="s">
        <v>1792</v>
      </c>
      <c r="D1004" s="754" t="s">
        <v>1798</v>
      </c>
      <c r="E1004" s="489" t="s">
        <v>982</v>
      </c>
      <c r="F1004" s="902">
        <v>2350000</v>
      </c>
      <c r="G1004" s="719" t="s">
        <v>907</v>
      </c>
      <c r="H1004" s="61" t="s">
        <v>104</v>
      </c>
      <c r="I1004" s="61" t="s">
        <v>104</v>
      </c>
      <c r="J1004" s="49">
        <v>1</v>
      </c>
      <c r="K1004" s="891"/>
      <c r="L1004" s="49" t="s">
        <v>1688</v>
      </c>
    </row>
    <row r="1005" spans="2:12" ht="15" hidden="1">
      <c r="B1005" s="136">
        <v>44844</v>
      </c>
      <c r="C1005" s="49" t="s">
        <v>1792</v>
      </c>
      <c r="D1005" s="738" t="s">
        <v>1799</v>
      </c>
      <c r="E1005" s="15" t="s">
        <v>982</v>
      </c>
      <c r="F1005" s="50">
        <v>2200000</v>
      </c>
      <c r="G1005" s="49" t="s">
        <v>907</v>
      </c>
      <c r="H1005" s="49" t="s">
        <v>104</v>
      </c>
      <c r="I1005" s="49" t="s">
        <v>104</v>
      </c>
      <c r="J1005" s="69">
        <v>1</v>
      </c>
      <c r="K1005" s="891"/>
      <c r="L1005" s="49" t="s">
        <v>1688</v>
      </c>
    </row>
    <row r="1006" spans="2:12" ht="15" hidden="1">
      <c r="B1006" s="897">
        <v>44905</v>
      </c>
      <c r="C1006" s="49" t="s">
        <v>1792</v>
      </c>
      <c r="D1006" s="718" t="s">
        <v>1800</v>
      </c>
      <c r="E1006" s="15" t="s">
        <v>982</v>
      </c>
      <c r="F1006" s="50">
        <v>3000000</v>
      </c>
      <c r="G1006" s="49" t="s">
        <v>907</v>
      </c>
      <c r="H1006" s="49" t="s">
        <v>104</v>
      </c>
      <c r="I1006" s="49" t="s">
        <v>104</v>
      </c>
      <c r="J1006" s="69">
        <v>1</v>
      </c>
      <c r="K1006" s="49"/>
      <c r="L1006" s="49" t="s">
        <v>607</v>
      </c>
    </row>
    <row r="1007" spans="2:12" ht="15" hidden="1">
      <c r="B1007" s="897">
        <v>44905</v>
      </c>
      <c r="C1007" s="49" t="s">
        <v>1792</v>
      </c>
      <c r="D1007" s="718" t="s">
        <v>1801</v>
      </c>
      <c r="E1007" s="15" t="s">
        <v>1094</v>
      </c>
      <c r="F1007" s="50">
        <v>4500000</v>
      </c>
      <c r="G1007" s="49" t="s">
        <v>907</v>
      </c>
      <c r="H1007" s="49" t="s">
        <v>104</v>
      </c>
      <c r="I1007" s="49" t="s">
        <v>104</v>
      </c>
      <c r="J1007" s="69">
        <v>1</v>
      </c>
      <c r="K1007" s="891"/>
      <c r="L1007" s="49" t="s">
        <v>1688</v>
      </c>
    </row>
    <row r="1008" spans="2:12" ht="15" hidden="1">
      <c r="B1008" s="918" t="s">
        <v>1802</v>
      </c>
      <c r="C1008" s="61" t="s">
        <v>1792</v>
      </c>
      <c r="D1008" s="761" t="s">
        <v>1803</v>
      </c>
      <c r="E1008" s="489" t="s">
        <v>982</v>
      </c>
      <c r="F1008" s="490">
        <v>3300000</v>
      </c>
      <c r="G1008" s="61" t="s">
        <v>907</v>
      </c>
      <c r="H1008" s="61" t="s">
        <v>104</v>
      </c>
      <c r="I1008" s="61" t="s">
        <v>104</v>
      </c>
      <c r="J1008" s="719">
        <v>1</v>
      </c>
      <c r="K1008" s="61"/>
      <c r="L1008" s="61" t="s">
        <v>607</v>
      </c>
    </row>
    <row r="1009" spans="2:12" ht="15" hidden="1">
      <c r="B1009" s="903" t="s">
        <v>1802</v>
      </c>
      <c r="C1009" s="49" t="s">
        <v>1792</v>
      </c>
      <c r="D1009" s="718" t="s">
        <v>1804</v>
      </c>
      <c r="E1009" s="15" t="s">
        <v>1014</v>
      </c>
      <c r="F1009" s="50">
        <v>2100000</v>
      </c>
      <c r="G1009" s="49" t="s">
        <v>907</v>
      </c>
      <c r="H1009" s="49" t="s">
        <v>104</v>
      </c>
      <c r="I1009" s="49" t="s">
        <v>104</v>
      </c>
      <c r="J1009" s="49">
        <v>1</v>
      </c>
      <c r="K1009" s="49"/>
      <c r="L1009" s="49" t="s">
        <v>1688</v>
      </c>
    </row>
    <row r="1010" spans="2:12" ht="15" hidden="1">
      <c r="B1010" s="903" t="s">
        <v>1802</v>
      </c>
      <c r="C1010" s="49" t="s">
        <v>1792</v>
      </c>
      <c r="D1010" s="718" t="s">
        <v>1805</v>
      </c>
      <c r="E1010" s="15" t="s">
        <v>982</v>
      </c>
      <c r="F1010" s="50">
        <v>2300000</v>
      </c>
      <c r="G1010" s="49" t="s">
        <v>907</v>
      </c>
      <c r="H1010" s="49" t="s">
        <v>104</v>
      </c>
      <c r="I1010" s="49" t="s">
        <v>104</v>
      </c>
      <c r="J1010" s="49">
        <v>1</v>
      </c>
      <c r="K1010" s="49"/>
      <c r="L1010" s="49" t="s">
        <v>607</v>
      </c>
    </row>
    <row r="1011" spans="2:12" ht="15" hidden="1">
      <c r="B1011" s="903" t="s">
        <v>1802</v>
      </c>
      <c r="C1011" s="49" t="s">
        <v>1792</v>
      </c>
      <c r="D1011" s="718" t="s">
        <v>1806</v>
      </c>
      <c r="E1011" s="15" t="s">
        <v>1807</v>
      </c>
      <c r="F1011" s="50">
        <v>2500000</v>
      </c>
      <c r="G1011" s="49" t="s">
        <v>907</v>
      </c>
      <c r="H1011" s="49" t="s">
        <v>104</v>
      </c>
      <c r="I1011" s="49" t="s">
        <v>104</v>
      </c>
      <c r="J1011" s="49">
        <v>1</v>
      </c>
      <c r="K1011" s="49"/>
      <c r="L1011" s="49" t="s">
        <v>1688</v>
      </c>
    </row>
    <row r="1012" spans="2:12" ht="16.5" hidden="1">
      <c r="B1012" s="903" t="s">
        <v>1802</v>
      </c>
      <c r="C1012" s="49" t="s">
        <v>1792</v>
      </c>
      <c r="D1012" s="889" t="s">
        <v>1808</v>
      </c>
      <c r="E1012" s="15" t="s">
        <v>1337</v>
      </c>
      <c r="F1012" s="50">
        <v>2400000</v>
      </c>
      <c r="G1012" s="49" t="s">
        <v>907</v>
      </c>
      <c r="H1012" s="49" t="s">
        <v>104</v>
      </c>
      <c r="I1012" s="49" t="s">
        <v>104</v>
      </c>
      <c r="J1012" s="49">
        <v>1</v>
      </c>
      <c r="K1012" s="49"/>
      <c r="L1012" s="49" t="s">
        <v>633</v>
      </c>
    </row>
    <row r="1013" spans="2:12" ht="15" hidden="1">
      <c r="B1013" s="903" t="s">
        <v>1802</v>
      </c>
      <c r="C1013" s="49" t="s">
        <v>1792</v>
      </c>
      <c r="D1013" s="718" t="s">
        <v>1809</v>
      </c>
      <c r="E1013" s="15" t="s">
        <v>1337</v>
      </c>
      <c r="F1013" s="50">
        <v>2400000</v>
      </c>
      <c r="G1013" s="49" t="s">
        <v>907</v>
      </c>
      <c r="H1013" s="49" t="s">
        <v>104</v>
      </c>
      <c r="I1013" s="49" t="s">
        <v>104</v>
      </c>
      <c r="J1013" s="49">
        <v>1</v>
      </c>
      <c r="K1013" s="49"/>
      <c r="L1013" s="49" t="s">
        <v>1688</v>
      </c>
    </row>
    <row r="1014" spans="2:12" ht="15" hidden="1">
      <c r="B1014" s="903" t="s">
        <v>1810</v>
      </c>
      <c r="C1014" s="49" t="s">
        <v>1792</v>
      </c>
      <c r="D1014" s="718" t="s">
        <v>1759</v>
      </c>
      <c r="E1014" s="15" t="s">
        <v>1040</v>
      </c>
      <c r="F1014" s="50">
        <v>2500000</v>
      </c>
      <c r="G1014" s="49" t="s">
        <v>907</v>
      </c>
      <c r="H1014" s="49" t="s">
        <v>104</v>
      </c>
      <c r="I1014" s="49" t="s">
        <v>104</v>
      </c>
      <c r="J1014" s="49">
        <v>1</v>
      </c>
      <c r="K1014" s="49"/>
      <c r="L1014" s="49" t="s">
        <v>1688</v>
      </c>
    </row>
    <row r="1015" spans="2:12" ht="15" hidden="1">
      <c r="B1015" s="903" t="s">
        <v>1811</v>
      </c>
      <c r="C1015" s="49" t="s">
        <v>1792</v>
      </c>
      <c r="D1015" s="718" t="s">
        <v>1812</v>
      </c>
      <c r="E1015" s="15" t="s">
        <v>994</v>
      </c>
      <c r="F1015" s="50">
        <v>2200000</v>
      </c>
      <c r="G1015" s="49" t="s">
        <v>907</v>
      </c>
      <c r="H1015" s="49" t="s">
        <v>104</v>
      </c>
      <c r="I1015" s="49" t="s">
        <v>104</v>
      </c>
      <c r="J1015" s="49">
        <v>1</v>
      </c>
      <c r="K1015" s="49"/>
      <c r="L1015" s="49" t="s">
        <v>633</v>
      </c>
    </row>
    <row r="1016" spans="2:12" ht="15" hidden="1">
      <c r="B1016" s="619"/>
      <c r="C1016" s="620"/>
      <c r="D1016" s="919"/>
      <c r="E1016" s="621"/>
      <c r="F1016" s="622"/>
      <c r="G1016" s="620"/>
      <c r="H1016" s="620"/>
      <c r="I1016" s="620"/>
      <c r="J1016" s="920">
        <f>SUM(J996:J1015)</f>
        <v>20</v>
      </c>
      <c r="K1016" s="620"/>
      <c r="L1016" s="620"/>
    </row>
    <row r="1017" spans="2:12" ht="18.75" hidden="1">
      <c r="B1017" s="1091" t="s">
        <v>1813</v>
      </c>
      <c r="C1017" s="1092"/>
      <c r="D1017" s="1092"/>
      <c r="E1017" s="1092"/>
      <c r="F1017" s="1092"/>
      <c r="G1017" s="1092"/>
      <c r="H1017" s="1092"/>
      <c r="I1017" s="1092"/>
      <c r="J1017" s="1095"/>
      <c r="K1017" s="1095"/>
      <c r="L1017" s="1096"/>
    </row>
    <row r="1018" spans="2:12" ht="18.75" hidden="1">
      <c r="B1018" s="328" t="s">
        <v>892</v>
      </c>
      <c r="C1018" s="329" t="s">
        <v>893</v>
      </c>
      <c r="D1018" s="329" t="s">
        <v>894</v>
      </c>
      <c r="E1018" s="329" t="s">
        <v>895</v>
      </c>
      <c r="F1018" s="330" t="s">
        <v>896</v>
      </c>
      <c r="G1018" s="329" t="s">
        <v>897</v>
      </c>
      <c r="H1018" s="329" t="s">
        <v>898</v>
      </c>
      <c r="I1018" s="329" t="s">
        <v>899</v>
      </c>
      <c r="J1018" s="329" t="s">
        <v>900</v>
      </c>
      <c r="K1018" s="329" t="s">
        <v>901</v>
      </c>
      <c r="L1018" s="329" t="s">
        <v>902</v>
      </c>
    </row>
    <row r="1019" spans="2:12" ht="15" hidden="1">
      <c r="B1019" s="136" t="s">
        <v>1788</v>
      </c>
      <c r="C1019" s="49" t="s">
        <v>894</v>
      </c>
      <c r="D1019" s="718" t="s">
        <v>1814</v>
      </c>
      <c r="E1019" s="15" t="s">
        <v>1747</v>
      </c>
      <c r="F1019" s="50">
        <v>1250000</v>
      </c>
      <c r="G1019" s="49" t="s">
        <v>907</v>
      </c>
      <c r="H1019" s="49" t="s">
        <v>104</v>
      </c>
      <c r="I1019" s="49" t="s">
        <v>104</v>
      </c>
      <c r="J1019" s="49">
        <v>1</v>
      </c>
      <c r="K1019" s="49"/>
      <c r="L1019" s="49" t="s">
        <v>607</v>
      </c>
    </row>
    <row r="1020" spans="2:12" ht="15" hidden="1">
      <c r="B1020" s="136" t="s">
        <v>1788</v>
      </c>
      <c r="C1020" s="49" t="s">
        <v>894</v>
      </c>
      <c r="D1020" s="718" t="s">
        <v>1815</v>
      </c>
      <c r="E1020" s="15" t="s">
        <v>997</v>
      </c>
      <c r="F1020" s="50">
        <v>1800000</v>
      </c>
      <c r="G1020" s="49" t="s">
        <v>907</v>
      </c>
      <c r="H1020" s="49" t="s">
        <v>104</v>
      </c>
      <c r="I1020" s="49" t="s">
        <v>104</v>
      </c>
      <c r="J1020" s="49">
        <v>1</v>
      </c>
      <c r="K1020" s="49"/>
      <c r="L1020" s="49" t="s">
        <v>1688</v>
      </c>
    </row>
    <row r="1021" spans="2:12" ht="15" hidden="1">
      <c r="B1021" s="136" t="s">
        <v>1788</v>
      </c>
      <c r="C1021" s="49" t="s">
        <v>894</v>
      </c>
      <c r="D1021" s="718" t="s">
        <v>1816</v>
      </c>
      <c r="E1021" s="15" t="s">
        <v>982</v>
      </c>
      <c r="F1021" s="50">
        <v>2600000</v>
      </c>
      <c r="G1021" s="49" t="s">
        <v>907</v>
      </c>
      <c r="H1021" s="49" t="s">
        <v>104</v>
      </c>
      <c r="I1021" s="49" t="s">
        <v>104</v>
      </c>
      <c r="J1021" s="49">
        <v>1</v>
      </c>
      <c r="K1021" s="49"/>
      <c r="L1021" s="49" t="s">
        <v>633</v>
      </c>
    </row>
    <row r="1022" spans="2:12" ht="15" hidden="1">
      <c r="B1022" s="136" t="s">
        <v>1788</v>
      </c>
      <c r="C1022" s="49" t="s">
        <v>894</v>
      </c>
      <c r="D1022" s="718" t="s">
        <v>1817</v>
      </c>
      <c r="E1022" s="15" t="s">
        <v>982</v>
      </c>
      <c r="F1022" s="50">
        <v>2500000</v>
      </c>
      <c r="G1022" s="49" t="s">
        <v>907</v>
      </c>
      <c r="H1022" s="49" t="s">
        <v>104</v>
      </c>
      <c r="I1022" s="49" t="s">
        <v>104</v>
      </c>
      <c r="J1022" s="49">
        <v>1</v>
      </c>
      <c r="K1022" s="49"/>
      <c r="L1022" s="49" t="s">
        <v>607</v>
      </c>
    </row>
    <row r="1023" spans="2:12" ht="15" hidden="1">
      <c r="B1023" s="136" t="s">
        <v>1788</v>
      </c>
      <c r="C1023" s="49" t="s">
        <v>894</v>
      </c>
      <c r="D1023" s="718" t="s">
        <v>1818</v>
      </c>
      <c r="E1023" s="15" t="s">
        <v>1163</v>
      </c>
      <c r="F1023" s="50">
        <v>1050000</v>
      </c>
      <c r="G1023" s="49" t="s">
        <v>907</v>
      </c>
      <c r="H1023" s="49" t="s">
        <v>104</v>
      </c>
      <c r="I1023" s="49" t="s">
        <v>104</v>
      </c>
      <c r="J1023" s="49">
        <v>1</v>
      </c>
      <c r="K1023" s="49"/>
      <c r="L1023" s="49" t="s">
        <v>1688</v>
      </c>
    </row>
    <row r="1024" spans="2:12" ht="15" hidden="1">
      <c r="B1024" s="136" t="s">
        <v>1788</v>
      </c>
      <c r="C1024" s="49" t="s">
        <v>894</v>
      </c>
      <c r="D1024" s="718" t="s">
        <v>1819</v>
      </c>
      <c r="E1024" s="15" t="s">
        <v>1163</v>
      </c>
      <c r="F1024" s="50">
        <v>1050000</v>
      </c>
      <c r="G1024" s="49" t="s">
        <v>907</v>
      </c>
      <c r="H1024" s="49" t="s">
        <v>104</v>
      </c>
      <c r="I1024" s="49" t="s">
        <v>104</v>
      </c>
      <c r="J1024" s="49">
        <v>1</v>
      </c>
      <c r="K1024" s="49"/>
      <c r="L1024" s="49" t="s">
        <v>633</v>
      </c>
    </row>
    <row r="1025" spans="2:12" ht="15" hidden="1">
      <c r="B1025" s="136" t="s">
        <v>1788</v>
      </c>
      <c r="C1025" s="49" t="s">
        <v>894</v>
      </c>
      <c r="D1025" s="718" t="s">
        <v>1820</v>
      </c>
      <c r="E1025" s="15" t="s">
        <v>997</v>
      </c>
      <c r="F1025" s="50">
        <v>2300000</v>
      </c>
      <c r="G1025" s="49" t="s">
        <v>907</v>
      </c>
      <c r="H1025" s="49" t="s">
        <v>104</v>
      </c>
      <c r="I1025" s="49" t="s">
        <v>104</v>
      </c>
      <c r="J1025" s="49">
        <v>1</v>
      </c>
      <c r="K1025" s="49"/>
      <c r="L1025" s="49" t="s">
        <v>607</v>
      </c>
    </row>
    <row r="1026" spans="2:12" ht="15" hidden="1">
      <c r="B1026" s="136" t="s">
        <v>1788</v>
      </c>
      <c r="C1026" s="49" t="s">
        <v>894</v>
      </c>
      <c r="D1026" s="718" t="s">
        <v>1821</v>
      </c>
      <c r="E1026" s="15" t="s">
        <v>1040</v>
      </c>
      <c r="F1026" s="50">
        <v>1800000</v>
      </c>
      <c r="G1026" s="49" t="s">
        <v>1091</v>
      </c>
      <c r="H1026" s="49" t="s">
        <v>104</v>
      </c>
      <c r="I1026" s="49" t="s">
        <v>104</v>
      </c>
      <c r="J1026" s="49">
        <v>1</v>
      </c>
      <c r="K1026" s="49"/>
      <c r="L1026" s="49" t="s">
        <v>1688</v>
      </c>
    </row>
    <row r="1027" spans="2:12" ht="16.5" hidden="1">
      <c r="B1027" s="136" t="s">
        <v>1788</v>
      </c>
      <c r="C1027" s="49" t="s">
        <v>894</v>
      </c>
      <c r="D1027" s="889" t="s">
        <v>1822</v>
      </c>
      <c r="E1027" s="15" t="s">
        <v>997</v>
      </c>
      <c r="F1027" s="50">
        <v>2300000</v>
      </c>
      <c r="G1027" s="49" t="s">
        <v>1091</v>
      </c>
      <c r="H1027" s="49" t="s">
        <v>104</v>
      </c>
      <c r="I1027" s="49" t="s">
        <v>104</v>
      </c>
      <c r="J1027" s="49">
        <v>1</v>
      </c>
      <c r="K1027" s="49"/>
      <c r="L1027" s="49" t="s">
        <v>633</v>
      </c>
    </row>
    <row r="1028" spans="2:12" ht="15" hidden="1">
      <c r="B1028" s="60" t="s">
        <v>1788</v>
      </c>
      <c r="C1028" s="61" t="s">
        <v>894</v>
      </c>
      <c r="D1028" s="761" t="s">
        <v>1823</v>
      </c>
      <c r="E1028" s="489" t="s">
        <v>997</v>
      </c>
      <c r="F1028" s="490">
        <v>3000000</v>
      </c>
      <c r="G1028" s="61" t="s">
        <v>1091</v>
      </c>
      <c r="H1028" s="61" t="s">
        <v>104</v>
      </c>
      <c r="I1028" s="61" t="s">
        <v>104</v>
      </c>
      <c r="J1028" s="61">
        <v>1</v>
      </c>
      <c r="K1028" s="61"/>
      <c r="L1028" s="61" t="s">
        <v>1688</v>
      </c>
    </row>
    <row r="1029" spans="2:12" ht="15" hidden="1">
      <c r="B1029" s="136">
        <v>44571</v>
      </c>
      <c r="C1029" s="49" t="s">
        <v>894</v>
      </c>
      <c r="D1029" s="718" t="s">
        <v>1824</v>
      </c>
      <c r="E1029" s="15" t="s">
        <v>997</v>
      </c>
      <c r="F1029" s="50">
        <v>4000000</v>
      </c>
      <c r="G1029" s="49" t="s">
        <v>1091</v>
      </c>
      <c r="H1029" s="49" t="s">
        <v>104</v>
      </c>
      <c r="I1029" s="49" t="s">
        <v>104</v>
      </c>
      <c r="J1029" s="49">
        <v>1</v>
      </c>
      <c r="K1029" s="49"/>
      <c r="L1029" s="49" t="s">
        <v>1351</v>
      </c>
    </row>
    <row r="1030" spans="2:12" ht="15" hidden="1">
      <c r="B1030" s="60">
        <v>44839</v>
      </c>
      <c r="C1030" s="61" t="s">
        <v>1792</v>
      </c>
      <c r="D1030" s="761" t="s">
        <v>1825</v>
      </c>
      <c r="E1030" s="489" t="s">
        <v>982</v>
      </c>
      <c r="F1030" s="490">
        <v>1300000</v>
      </c>
      <c r="G1030" s="61" t="s">
        <v>1091</v>
      </c>
      <c r="H1030" s="61" t="s">
        <v>104</v>
      </c>
      <c r="I1030" s="61" t="s">
        <v>104</v>
      </c>
      <c r="J1030" s="61">
        <v>1</v>
      </c>
      <c r="K1030" s="61"/>
      <c r="L1030" s="61" t="s">
        <v>633</v>
      </c>
    </row>
    <row r="1031" spans="2:12" ht="15" hidden="1">
      <c r="B1031" s="136">
        <v>44691</v>
      </c>
      <c r="C1031" s="49" t="s">
        <v>1792</v>
      </c>
      <c r="D1031" s="718" t="s">
        <v>1826</v>
      </c>
      <c r="E1031" s="15" t="s">
        <v>988</v>
      </c>
      <c r="F1031" s="50">
        <v>1800000</v>
      </c>
      <c r="G1031" s="49" t="s">
        <v>907</v>
      </c>
      <c r="H1031" s="49" t="s">
        <v>104</v>
      </c>
      <c r="I1031" s="49" t="s">
        <v>104</v>
      </c>
      <c r="J1031" s="49">
        <v>1</v>
      </c>
      <c r="K1031" s="49"/>
      <c r="L1031" s="49" t="s">
        <v>607</v>
      </c>
    </row>
    <row r="1032" spans="2:12" ht="15" hidden="1">
      <c r="B1032" s="136">
        <v>44691</v>
      </c>
      <c r="C1032" s="49" t="s">
        <v>1792</v>
      </c>
      <c r="D1032" s="718" t="s">
        <v>1827</v>
      </c>
      <c r="E1032" s="15" t="s">
        <v>982</v>
      </c>
      <c r="F1032" s="50">
        <v>1600000</v>
      </c>
      <c r="G1032" s="49" t="s">
        <v>907</v>
      </c>
      <c r="H1032" s="49" t="s">
        <v>104</v>
      </c>
      <c r="I1032" s="49" t="s">
        <v>104</v>
      </c>
      <c r="J1032" s="49">
        <v>1</v>
      </c>
      <c r="K1032" s="49"/>
      <c r="L1032" s="49" t="s">
        <v>1688</v>
      </c>
    </row>
    <row r="1033" spans="2:12" ht="15" hidden="1">
      <c r="B1033" s="136">
        <v>44844</v>
      </c>
      <c r="C1033" s="49" t="s">
        <v>1792</v>
      </c>
      <c r="D1033" s="718" t="s">
        <v>1828</v>
      </c>
      <c r="E1033" s="15" t="s">
        <v>982</v>
      </c>
      <c r="F1033" s="50">
        <v>1600000</v>
      </c>
      <c r="G1033" s="49" t="s">
        <v>907</v>
      </c>
      <c r="H1033" s="49" t="s">
        <v>104</v>
      </c>
      <c r="I1033" s="49" t="s">
        <v>104</v>
      </c>
      <c r="J1033" s="49">
        <v>1</v>
      </c>
      <c r="K1033" s="49"/>
      <c r="L1033" s="49" t="s">
        <v>607</v>
      </c>
    </row>
    <row r="1034" spans="2:12" ht="15" hidden="1">
      <c r="B1034" s="60">
        <v>44905</v>
      </c>
      <c r="C1034" s="61" t="s">
        <v>1792</v>
      </c>
      <c r="D1034" s="754" t="s">
        <v>1829</v>
      </c>
      <c r="E1034" s="489" t="s">
        <v>982</v>
      </c>
      <c r="F1034" s="904">
        <v>1600000</v>
      </c>
      <c r="G1034" s="719" t="s">
        <v>907</v>
      </c>
      <c r="H1034" s="61" t="s">
        <v>104</v>
      </c>
      <c r="I1034" s="61" t="s">
        <v>104</v>
      </c>
      <c r="J1034" s="61">
        <v>1</v>
      </c>
      <c r="K1034" s="905"/>
      <c r="L1034" s="70" t="s">
        <v>633</v>
      </c>
    </row>
    <row r="1035" spans="2:12" ht="15" hidden="1">
      <c r="B1035" s="136" t="s">
        <v>1830</v>
      </c>
      <c r="C1035" s="61" t="s">
        <v>1792</v>
      </c>
      <c r="D1035" s="718" t="s">
        <v>1827</v>
      </c>
      <c r="E1035" s="489" t="s">
        <v>982</v>
      </c>
      <c r="F1035" s="50">
        <v>1350000</v>
      </c>
      <c r="G1035" s="49" t="s">
        <v>907</v>
      </c>
      <c r="H1035" s="49" t="s">
        <v>104</v>
      </c>
      <c r="I1035" s="49" t="s">
        <v>104</v>
      </c>
      <c r="J1035" s="49">
        <v>1</v>
      </c>
      <c r="K1035" s="49"/>
      <c r="L1035" s="49" t="s">
        <v>607</v>
      </c>
    </row>
    <row r="1036" spans="2:12" ht="15" hidden="1">
      <c r="B1036" s="136" t="s">
        <v>1830</v>
      </c>
      <c r="C1036" s="61" t="s">
        <v>1792</v>
      </c>
      <c r="D1036" s="718" t="s">
        <v>1831</v>
      </c>
      <c r="E1036" s="489" t="s">
        <v>982</v>
      </c>
      <c r="F1036" s="50">
        <v>1350000</v>
      </c>
      <c r="G1036" s="49" t="s">
        <v>907</v>
      </c>
      <c r="H1036" s="49" t="s">
        <v>104</v>
      </c>
      <c r="I1036" s="49" t="s">
        <v>104</v>
      </c>
      <c r="J1036" s="49">
        <v>1</v>
      </c>
      <c r="K1036" s="49"/>
      <c r="L1036" s="49" t="s">
        <v>1688</v>
      </c>
    </row>
    <row r="1037" spans="2:12" ht="15" hidden="1">
      <c r="B1037" s="136" t="s">
        <v>1830</v>
      </c>
      <c r="C1037" s="61" t="s">
        <v>1792</v>
      </c>
      <c r="D1037" s="718" t="s">
        <v>1832</v>
      </c>
      <c r="E1037" s="15" t="s">
        <v>1747</v>
      </c>
      <c r="F1037" s="50">
        <v>1300000</v>
      </c>
      <c r="G1037" s="49" t="s">
        <v>907</v>
      </c>
      <c r="H1037" s="49" t="s">
        <v>104</v>
      </c>
      <c r="I1037" s="49" t="s">
        <v>104</v>
      </c>
      <c r="J1037" s="49">
        <v>1</v>
      </c>
      <c r="K1037" s="49"/>
      <c r="L1037" s="49"/>
    </row>
    <row r="1038" spans="2:12" ht="15" hidden="1">
      <c r="B1038" s="136" t="s">
        <v>1830</v>
      </c>
      <c r="C1038" s="61" t="s">
        <v>1792</v>
      </c>
      <c r="D1038" s="718" t="s">
        <v>1833</v>
      </c>
      <c r="E1038" s="489" t="s">
        <v>982</v>
      </c>
      <c r="F1038" s="50">
        <v>1350000</v>
      </c>
      <c r="G1038" s="49" t="s">
        <v>907</v>
      </c>
      <c r="H1038" s="49" t="s">
        <v>104</v>
      </c>
      <c r="I1038" s="49" t="s">
        <v>104</v>
      </c>
      <c r="J1038" s="49">
        <v>1</v>
      </c>
      <c r="K1038" s="49"/>
      <c r="L1038" s="49" t="s">
        <v>1688</v>
      </c>
    </row>
    <row r="1039" spans="2:12" ht="15" hidden="1">
      <c r="B1039" s="136" t="s">
        <v>1830</v>
      </c>
      <c r="C1039" s="61" t="s">
        <v>1792</v>
      </c>
      <c r="D1039" s="718" t="s">
        <v>1834</v>
      </c>
      <c r="E1039" s="15" t="s">
        <v>1040</v>
      </c>
      <c r="F1039" s="50">
        <v>1800000</v>
      </c>
      <c r="G1039" s="49" t="s">
        <v>907</v>
      </c>
      <c r="H1039" s="49" t="s">
        <v>104</v>
      </c>
      <c r="I1039" s="49" t="s">
        <v>104</v>
      </c>
      <c r="J1039" s="49">
        <v>1</v>
      </c>
      <c r="K1039" s="49"/>
      <c r="L1039" s="49"/>
    </row>
    <row r="1040" spans="2:12" ht="15" hidden="1">
      <c r="B1040" s="136" t="s">
        <v>1830</v>
      </c>
      <c r="C1040" s="61" t="s">
        <v>1792</v>
      </c>
      <c r="D1040" s="718" t="s">
        <v>1835</v>
      </c>
      <c r="E1040" s="489" t="s">
        <v>982</v>
      </c>
      <c r="F1040" s="50">
        <v>2100000</v>
      </c>
      <c r="G1040" s="49" t="s">
        <v>907</v>
      </c>
      <c r="H1040" s="49" t="s">
        <v>104</v>
      </c>
      <c r="I1040" s="49" t="s">
        <v>104</v>
      </c>
      <c r="J1040" s="49">
        <v>1</v>
      </c>
      <c r="K1040" s="49"/>
      <c r="L1040" s="49" t="s">
        <v>633</v>
      </c>
    </row>
    <row r="1041" spans="2:12" ht="15" hidden="1">
      <c r="B1041" s="136" t="s">
        <v>1830</v>
      </c>
      <c r="C1041" s="61" t="s">
        <v>1792</v>
      </c>
      <c r="D1041" s="718" t="s">
        <v>1836</v>
      </c>
      <c r="E1041" s="15" t="s">
        <v>1040</v>
      </c>
      <c r="F1041" s="50">
        <v>2600000</v>
      </c>
      <c r="G1041" s="49" t="s">
        <v>907</v>
      </c>
      <c r="H1041" s="49" t="s">
        <v>104</v>
      </c>
      <c r="I1041" s="49" t="s">
        <v>104</v>
      </c>
      <c r="J1041" s="49">
        <v>1</v>
      </c>
      <c r="K1041" s="49"/>
      <c r="L1041" s="49" t="s">
        <v>633</v>
      </c>
    </row>
    <row r="1042" spans="2:12" ht="15" hidden="1">
      <c r="B1042" s="136" t="s">
        <v>1830</v>
      </c>
      <c r="C1042" s="61" t="s">
        <v>1792</v>
      </c>
      <c r="D1042" s="15" t="s">
        <v>1837</v>
      </c>
      <c r="E1042" s="15" t="s">
        <v>1040</v>
      </c>
      <c r="F1042" s="50">
        <v>2600000</v>
      </c>
      <c r="G1042" s="49" t="s">
        <v>907</v>
      </c>
      <c r="H1042" s="49" t="s">
        <v>104</v>
      </c>
      <c r="I1042" s="49" t="s">
        <v>104</v>
      </c>
      <c r="J1042" s="49">
        <v>1</v>
      </c>
      <c r="K1042" s="49"/>
      <c r="L1042" s="49" t="s">
        <v>633</v>
      </c>
    </row>
    <row r="1043" spans="2:12" hidden="1">
      <c r="B1043" s="52"/>
      <c r="C1043" s="52"/>
      <c r="D1043" s="52"/>
      <c r="E1043" s="52"/>
      <c r="F1043" s="52"/>
      <c r="G1043" s="52"/>
      <c r="H1043" s="52"/>
      <c r="I1043" s="52"/>
      <c r="J1043" s="83">
        <f>SUM(J1019:J1042)</f>
        <v>24</v>
      </c>
      <c r="K1043" s="52"/>
      <c r="L1043" s="52"/>
    </row>
    <row r="1044" spans="2:12" ht="18.75" hidden="1">
      <c r="B1044" s="1091" t="s">
        <v>1838</v>
      </c>
      <c r="C1044" s="1092"/>
      <c r="D1044" s="1092"/>
      <c r="E1044" s="1092"/>
      <c r="F1044" s="1092"/>
      <c r="G1044" s="1092"/>
      <c r="H1044" s="1092"/>
      <c r="I1044" s="1092"/>
      <c r="J1044" s="1092"/>
      <c r="K1044" s="1092"/>
      <c r="L1044" s="1093"/>
    </row>
    <row r="1045" spans="2:12" ht="18.75" hidden="1">
      <c r="B1045" s="328" t="s">
        <v>892</v>
      </c>
      <c r="C1045" s="329" t="s">
        <v>893</v>
      </c>
      <c r="D1045" s="329" t="s">
        <v>894</v>
      </c>
      <c r="E1045" s="329" t="s">
        <v>895</v>
      </c>
      <c r="F1045" s="330" t="s">
        <v>896</v>
      </c>
      <c r="G1045" s="329" t="s">
        <v>897</v>
      </c>
      <c r="H1045" s="329" t="s">
        <v>898</v>
      </c>
      <c r="I1045" s="329" t="s">
        <v>899</v>
      </c>
      <c r="J1045" s="329" t="s">
        <v>900</v>
      </c>
      <c r="K1045" s="329" t="s">
        <v>901</v>
      </c>
      <c r="L1045" s="329" t="s">
        <v>902</v>
      </c>
    </row>
    <row r="1046" spans="2:12" ht="15" hidden="1">
      <c r="B1046" s="136" t="s">
        <v>1788</v>
      </c>
      <c r="C1046" s="49" t="s">
        <v>894</v>
      </c>
      <c r="D1046" s="718" t="s">
        <v>1839</v>
      </c>
      <c r="E1046" s="15" t="s">
        <v>1452</v>
      </c>
      <c r="F1046" s="50">
        <v>2000000</v>
      </c>
      <c r="G1046" s="49" t="s">
        <v>1091</v>
      </c>
      <c r="H1046" s="49" t="s">
        <v>104</v>
      </c>
      <c r="I1046" s="49" t="s">
        <v>104</v>
      </c>
      <c r="J1046" s="49">
        <v>1</v>
      </c>
      <c r="K1046" s="49"/>
      <c r="L1046" s="49" t="s">
        <v>1688</v>
      </c>
    </row>
    <row r="1047" spans="2:12" ht="15" hidden="1">
      <c r="B1047" s="136" t="s">
        <v>1788</v>
      </c>
      <c r="C1047" s="49" t="s">
        <v>894</v>
      </c>
      <c r="D1047" s="718" t="s">
        <v>1840</v>
      </c>
      <c r="E1047" s="15" t="s">
        <v>997</v>
      </c>
      <c r="F1047" s="50">
        <v>2400000</v>
      </c>
      <c r="G1047" s="49" t="s">
        <v>907</v>
      </c>
      <c r="H1047" s="49" t="s">
        <v>104</v>
      </c>
      <c r="I1047" s="49" t="s">
        <v>104</v>
      </c>
      <c r="J1047" s="49">
        <v>1</v>
      </c>
      <c r="K1047" s="49"/>
      <c r="L1047" s="49" t="s">
        <v>607</v>
      </c>
    </row>
    <row r="1048" spans="2:12" ht="15" hidden="1">
      <c r="B1048" s="136" t="s">
        <v>1788</v>
      </c>
      <c r="C1048" s="49" t="s">
        <v>894</v>
      </c>
      <c r="D1048" s="718" t="s">
        <v>1841</v>
      </c>
      <c r="E1048" s="15" t="s">
        <v>1842</v>
      </c>
      <c r="F1048" s="50">
        <v>1700000</v>
      </c>
      <c r="G1048" s="49" t="s">
        <v>1091</v>
      </c>
      <c r="H1048" s="49" t="s">
        <v>104</v>
      </c>
      <c r="I1048" s="49" t="s">
        <v>104</v>
      </c>
      <c r="J1048" s="49">
        <v>1</v>
      </c>
      <c r="K1048" s="49"/>
      <c r="L1048" s="49" t="s">
        <v>633</v>
      </c>
    </row>
    <row r="1049" spans="2:12" ht="15" hidden="1">
      <c r="B1049" s="906">
        <v>44844</v>
      </c>
      <c r="C1049" s="61" t="s">
        <v>894</v>
      </c>
      <c r="D1049" s="761" t="s">
        <v>1843</v>
      </c>
      <c r="E1049" s="709" t="s">
        <v>997</v>
      </c>
      <c r="F1049" s="490">
        <v>2000000</v>
      </c>
      <c r="G1049" s="49" t="s">
        <v>1091</v>
      </c>
      <c r="H1049" s="49" t="s">
        <v>104</v>
      </c>
      <c r="I1049" s="49" t="s">
        <v>104</v>
      </c>
      <c r="J1049" s="49">
        <v>1</v>
      </c>
      <c r="K1049" s="52"/>
      <c r="L1049" s="49" t="s">
        <v>633</v>
      </c>
    </row>
    <row r="1050" spans="2:12" ht="15" hidden="1">
      <c r="B1050" s="60">
        <v>44844</v>
      </c>
      <c r="C1050" s="61" t="s">
        <v>1792</v>
      </c>
      <c r="D1050" s="761" t="s">
        <v>1844</v>
      </c>
      <c r="E1050" s="489" t="s">
        <v>985</v>
      </c>
      <c r="F1050" s="50">
        <v>1400000</v>
      </c>
      <c r="G1050" s="69" t="s">
        <v>1091</v>
      </c>
      <c r="H1050" s="49" t="s">
        <v>104</v>
      </c>
      <c r="I1050" s="49" t="s">
        <v>104</v>
      </c>
      <c r="J1050" s="49">
        <v>1</v>
      </c>
      <c r="K1050" s="49"/>
      <c r="L1050" s="49" t="s">
        <v>607</v>
      </c>
    </row>
    <row r="1051" spans="2:12" ht="15" hidden="1">
      <c r="B1051" s="136">
        <v>44905</v>
      </c>
      <c r="C1051" s="49" t="s">
        <v>1792</v>
      </c>
      <c r="D1051" s="738" t="s">
        <v>1516</v>
      </c>
      <c r="E1051" s="15" t="s">
        <v>1452</v>
      </c>
      <c r="F1051" s="759">
        <v>2300000</v>
      </c>
      <c r="G1051" s="69" t="s">
        <v>1091</v>
      </c>
      <c r="H1051" s="49" t="s">
        <v>104</v>
      </c>
      <c r="I1051" s="49" t="s">
        <v>104</v>
      </c>
      <c r="J1051" s="49">
        <v>1</v>
      </c>
      <c r="K1051" s="49"/>
      <c r="L1051" s="49" t="s">
        <v>1688</v>
      </c>
    </row>
    <row r="1052" spans="2:12" ht="15" hidden="1">
      <c r="B1052" s="136" t="s">
        <v>1830</v>
      </c>
      <c r="C1052" s="49" t="s">
        <v>1792</v>
      </c>
      <c r="D1052" s="738" t="s">
        <v>1845</v>
      </c>
      <c r="E1052" s="15" t="s">
        <v>1807</v>
      </c>
      <c r="F1052" s="759">
        <v>2300000</v>
      </c>
      <c r="G1052" s="69" t="s">
        <v>1091</v>
      </c>
      <c r="H1052" s="49" t="s">
        <v>104</v>
      </c>
      <c r="I1052" s="49" t="s">
        <v>104</v>
      </c>
      <c r="J1052" s="49">
        <v>1</v>
      </c>
      <c r="K1052" s="49"/>
      <c r="L1052" s="49" t="s">
        <v>607</v>
      </c>
    </row>
    <row r="1053" spans="2:12" ht="15" hidden="1">
      <c r="B1053" s="136" t="s">
        <v>1830</v>
      </c>
      <c r="C1053" s="49" t="s">
        <v>1792</v>
      </c>
      <c r="D1053" s="718" t="s">
        <v>1846</v>
      </c>
      <c r="E1053" s="15" t="s">
        <v>1452</v>
      </c>
      <c r="F1053" s="759">
        <v>1900000</v>
      </c>
      <c r="G1053" s="69" t="s">
        <v>1091</v>
      </c>
      <c r="H1053" s="49" t="s">
        <v>104</v>
      </c>
      <c r="I1053" s="49" t="s">
        <v>104</v>
      </c>
      <c r="J1053" s="49">
        <v>1</v>
      </c>
      <c r="K1053" s="49"/>
      <c r="L1053" s="49" t="s">
        <v>633</v>
      </c>
    </row>
    <row r="1054" spans="2:12" ht="15" hidden="1">
      <c r="B1054" s="136" t="s">
        <v>1830</v>
      </c>
      <c r="C1054" s="49" t="s">
        <v>1792</v>
      </c>
      <c r="D1054" s="718" t="s">
        <v>1847</v>
      </c>
      <c r="E1054" s="15" t="s">
        <v>1040</v>
      </c>
      <c r="F1054" s="759">
        <v>3000000</v>
      </c>
      <c r="G1054" s="69" t="s">
        <v>1091</v>
      </c>
      <c r="H1054" s="49" t="s">
        <v>104</v>
      </c>
      <c r="I1054" s="49" t="s">
        <v>104</v>
      </c>
      <c r="J1054" s="49">
        <v>1</v>
      </c>
      <c r="K1054" s="49"/>
      <c r="L1054" s="49" t="s">
        <v>633</v>
      </c>
    </row>
    <row r="1055" spans="2:12" ht="15" hidden="1">
      <c r="B1055" s="136" t="s">
        <v>1830</v>
      </c>
      <c r="C1055" s="49" t="s">
        <v>1792</v>
      </c>
      <c r="D1055" s="718" t="s">
        <v>1848</v>
      </c>
      <c r="E1055" s="15" t="s">
        <v>1040</v>
      </c>
      <c r="F1055" s="759">
        <v>2500000</v>
      </c>
      <c r="G1055" s="69" t="s">
        <v>1091</v>
      </c>
      <c r="H1055" s="49" t="s">
        <v>104</v>
      </c>
      <c r="I1055" s="49" t="s">
        <v>104</v>
      </c>
      <c r="J1055" s="49">
        <v>1</v>
      </c>
      <c r="K1055" s="49"/>
      <c r="L1055" s="49" t="s">
        <v>607</v>
      </c>
    </row>
    <row r="1056" spans="2:12" ht="15" hidden="1">
      <c r="B1056" s="136" t="s">
        <v>1810</v>
      </c>
      <c r="C1056" s="49" t="s">
        <v>1792</v>
      </c>
      <c r="D1056" s="718" t="s">
        <v>1849</v>
      </c>
      <c r="E1056" s="15" t="s">
        <v>1040</v>
      </c>
      <c r="F1056" s="759">
        <v>2200000</v>
      </c>
      <c r="G1056" s="69" t="s">
        <v>907</v>
      </c>
      <c r="H1056" s="49" t="s">
        <v>104</v>
      </c>
      <c r="I1056" s="49" t="s">
        <v>104</v>
      </c>
      <c r="J1056" s="49">
        <v>1</v>
      </c>
      <c r="K1056" s="49"/>
      <c r="L1056" s="49" t="s">
        <v>607</v>
      </c>
    </row>
    <row r="1057" spans="2:12" ht="15" hidden="1">
      <c r="B1057" s="136" t="s">
        <v>1810</v>
      </c>
      <c r="C1057" s="49" t="s">
        <v>1792</v>
      </c>
      <c r="D1057" s="718" t="s">
        <v>1850</v>
      </c>
      <c r="E1057" s="15" t="s">
        <v>1040</v>
      </c>
      <c r="F1057" s="759">
        <v>3300000</v>
      </c>
      <c r="G1057" s="69" t="s">
        <v>907</v>
      </c>
      <c r="H1057" s="49" t="s">
        <v>104</v>
      </c>
      <c r="I1057" s="49" t="s">
        <v>104</v>
      </c>
      <c r="J1057" s="49">
        <v>1</v>
      </c>
      <c r="K1057" s="49"/>
      <c r="L1057" s="49" t="s">
        <v>1688</v>
      </c>
    </row>
    <row r="1058" spans="2:12" ht="15" hidden="1">
      <c r="B1058" s="136" t="s">
        <v>1810</v>
      </c>
      <c r="C1058" s="49" t="s">
        <v>1792</v>
      </c>
      <c r="D1058" s="718" t="s">
        <v>1851</v>
      </c>
      <c r="E1058" s="15" t="s">
        <v>1040</v>
      </c>
      <c r="F1058" s="759">
        <v>2000000</v>
      </c>
      <c r="G1058" s="69" t="s">
        <v>907</v>
      </c>
      <c r="H1058" s="49" t="s">
        <v>104</v>
      </c>
      <c r="I1058" s="49" t="s">
        <v>104</v>
      </c>
      <c r="J1058" s="49">
        <v>1</v>
      </c>
      <c r="K1058" s="49"/>
      <c r="L1058" s="49" t="s">
        <v>1688</v>
      </c>
    </row>
    <row r="1059" spans="2:12" ht="15" hidden="1">
      <c r="B1059" s="136" t="s">
        <v>1852</v>
      </c>
      <c r="C1059" s="49" t="s">
        <v>1792</v>
      </c>
      <c r="D1059" s="718" t="s">
        <v>1853</v>
      </c>
      <c r="E1059" s="15" t="s">
        <v>1747</v>
      </c>
      <c r="F1059" s="759">
        <v>1300000</v>
      </c>
      <c r="G1059" s="69" t="s">
        <v>907</v>
      </c>
      <c r="H1059" s="49" t="s">
        <v>104</v>
      </c>
      <c r="I1059" s="49" t="s">
        <v>104</v>
      </c>
      <c r="J1059" s="49">
        <v>1</v>
      </c>
      <c r="K1059" s="49"/>
      <c r="L1059" s="49" t="s">
        <v>607</v>
      </c>
    </row>
    <row r="1060" spans="2:12" ht="15" hidden="1">
      <c r="B1060" s="136"/>
      <c r="C1060" s="49"/>
      <c r="D1060" s="15"/>
      <c r="E1060" s="15"/>
      <c r="F1060" s="759"/>
      <c r="G1060" s="69"/>
      <c r="H1060" s="49"/>
      <c r="I1060" s="49"/>
      <c r="J1060" s="890">
        <f>SUM(J1046:J1059)</f>
        <v>14</v>
      </c>
      <c r="K1060" s="49"/>
      <c r="L1060" s="49"/>
    </row>
    <row r="1061" spans="2:12" ht="18.75" hidden="1">
      <c r="B1061" s="1091" t="s">
        <v>1854</v>
      </c>
      <c r="C1061" s="1092"/>
      <c r="D1061" s="1092"/>
      <c r="E1061" s="1092"/>
      <c r="F1061" s="1092"/>
      <c r="G1061" s="1092"/>
      <c r="H1061" s="1092"/>
      <c r="I1061" s="1092"/>
      <c r="J1061" s="1092"/>
      <c r="K1061" s="1092"/>
      <c r="L1061" s="1093"/>
    </row>
    <row r="1062" spans="2:12" ht="18.75" hidden="1">
      <c r="B1062" s="328" t="s">
        <v>892</v>
      </c>
      <c r="C1062" s="329" t="s">
        <v>893</v>
      </c>
      <c r="D1062" s="329" t="s">
        <v>894</v>
      </c>
      <c r="E1062" s="329" t="s">
        <v>895</v>
      </c>
      <c r="F1062" s="330" t="s">
        <v>896</v>
      </c>
      <c r="G1062" s="329" t="s">
        <v>897</v>
      </c>
      <c r="H1062" s="329" t="s">
        <v>898</v>
      </c>
      <c r="I1062" s="329" t="s">
        <v>899</v>
      </c>
      <c r="J1062" s="329" t="s">
        <v>900</v>
      </c>
      <c r="K1062" s="329" t="s">
        <v>901</v>
      </c>
      <c r="L1062" s="329" t="s">
        <v>902</v>
      </c>
    </row>
    <row r="1063" spans="2:12" ht="15" hidden="1">
      <c r="B1063" s="136" t="s">
        <v>1788</v>
      </c>
      <c r="C1063" s="49" t="s">
        <v>894</v>
      </c>
      <c r="D1063" s="718" t="s">
        <v>1855</v>
      </c>
      <c r="E1063" s="737" t="s">
        <v>997</v>
      </c>
      <c r="F1063" s="50">
        <v>1400000</v>
      </c>
      <c r="G1063" s="49" t="s">
        <v>907</v>
      </c>
      <c r="H1063" s="49" t="s">
        <v>104</v>
      </c>
      <c r="I1063" s="49" t="s">
        <v>104</v>
      </c>
      <c r="J1063" s="49">
        <v>1</v>
      </c>
      <c r="K1063" s="49"/>
      <c r="L1063" s="49" t="s">
        <v>607</v>
      </c>
    </row>
    <row r="1064" spans="2:12" ht="15" hidden="1">
      <c r="B1064" s="136" t="s">
        <v>1788</v>
      </c>
      <c r="C1064" s="49" t="s">
        <v>894</v>
      </c>
      <c r="D1064" s="718" t="s">
        <v>1856</v>
      </c>
      <c r="E1064" s="737" t="s">
        <v>997</v>
      </c>
      <c r="F1064" s="50">
        <v>1700000</v>
      </c>
      <c r="G1064" s="49" t="s">
        <v>907</v>
      </c>
      <c r="H1064" s="49" t="s">
        <v>104</v>
      </c>
      <c r="I1064" s="49" t="s">
        <v>104</v>
      </c>
      <c r="J1064" s="49">
        <v>1</v>
      </c>
      <c r="K1064" s="49"/>
      <c r="L1064" s="49" t="s">
        <v>1688</v>
      </c>
    </row>
    <row r="1065" spans="2:12" ht="15" hidden="1">
      <c r="B1065" s="136">
        <v>44691</v>
      </c>
      <c r="C1065" s="49" t="s">
        <v>1792</v>
      </c>
      <c r="D1065" s="718" t="s">
        <v>1857</v>
      </c>
      <c r="E1065" s="762" t="s">
        <v>1747</v>
      </c>
      <c r="F1065" s="490">
        <v>1200000</v>
      </c>
      <c r="G1065" s="61" t="s">
        <v>907</v>
      </c>
      <c r="H1065" s="61" t="s">
        <v>104</v>
      </c>
      <c r="I1065" s="61" t="s">
        <v>104</v>
      </c>
      <c r="J1065" s="61">
        <v>1</v>
      </c>
      <c r="K1065" s="61"/>
      <c r="L1065" s="61" t="s">
        <v>1688</v>
      </c>
    </row>
    <row r="1066" spans="2:12" ht="15" hidden="1">
      <c r="B1066" s="136"/>
      <c r="C1066" s="49"/>
      <c r="D1066" s="15"/>
      <c r="E1066" s="737"/>
      <c r="F1066" s="50"/>
      <c r="G1066" s="49"/>
      <c r="H1066" s="49"/>
      <c r="I1066" s="49"/>
      <c r="J1066" s="49"/>
      <c r="K1066" s="719"/>
      <c r="L1066" s="61"/>
    </row>
    <row r="1067" spans="2:12" ht="15" hidden="1">
      <c r="B1067" s="136"/>
      <c r="C1067" s="49"/>
      <c r="D1067" s="15"/>
      <c r="E1067" s="737"/>
      <c r="F1067" s="50"/>
      <c r="G1067" s="49"/>
      <c r="H1067" s="49"/>
      <c r="I1067" s="49"/>
      <c r="J1067" s="49"/>
      <c r="K1067" s="69"/>
      <c r="L1067" s="49"/>
    </row>
    <row r="1068" spans="2:12" ht="15" hidden="1">
      <c r="B1068" s="619"/>
      <c r="C1068" s="620"/>
      <c r="D1068" s="896"/>
      <c r="E1068" s="15"/>
      <c r="F1068" s="50"/>
      <c r="G1068" s="49"/>
      <c r="H1068" s="49"/>
      <c r="I1068" s="49"/>
      <c r="J1068" s="49"/>
      <c r="K1068" s="69"/>
      <c r="L1068" s="49"/>
    </row>
    <row r="1069" spans="2:12" ht="15" hidden="1">
      <c r="B1069" s="136"/>
      <c r="C1069" s="49"/>
      <c r="D1069" s="15"/>
      <c r="E1069" s="15"/>
      <c r="F1069" s="50"/>
      <c r="G1069" s="49"/>
      <c r="H1069" s="49"/>
      <c r="I1069" s="49"/>
      <c r="J1069" s="49"/>
      <c r="K1069" s="69"/>
      <c r="L1069" s="49"/>
    </row>
    <row r="1070" spans="2:12" ht="15" hidden="1">
      <c r="B1070" s="619"/>
      <c r="C1070" s="620"/>
      <c r="D1070" s="621"/>
      <c r="E1070" s="621"/>
      <c r="F1070" s="622"/>
      <c r="G1070" s="620"/>
      <c r="H1070" s="620"/>
      <c r="I1070" s="620"/>
      <c r="J1070" s="620">
        <f>SUM(J1063:J1069)</f>
        <v>3</v>
      </c>
      <c r="K1070" s="49"/>
      <c r="L1070" s="49"/>
    </row>
    <row r="1071" spans="2:12" ht="18.75" hidden="1">
      <c r="B1071" s="1094" t="s">
        <v>1858</v>
      </c>
      <c r="C1071" s="1095"/>
      <c r="D1071" s="1095"/>
      <c r="E1071" s="1095"/>
      <c r="F1071" s="1095"/>
      <c r="G1071" s="1095"/>
      <c r="H1071" s="1095"/>
      <c r="I1071" s="1095"/>
      <c r="J1071" s="1095"/>
      <c r="K1071" s="1095"/>
      <c r="L1071" s="1096"/>
    </row>
    <row r="1072" spans="2:12" ht="18.75" hidden="1">
      <c r="B1072" s="328" t="s">
        <v>892</v>
      </c>
      <c r="C1072" s="329" t="s">
        <v>893</v>
      </c>
      <c r="D1072" s="329" t="s">
        <v>894</v>
      </c>
      <c r="E1072" s="329" t="s">
        <v>895</v>
      </c>
      <c r="F1072" s="330" t="s">
        <v>896</v>
      </c>
      <c r="G1072" s="329" t="s">
        <v>897</v>
      </c>
      <c r="H1072" s="329" t="s">
        <v>898</v>
      </c>
      <c r="I1072" s="329" t="s">
        <v>899</v>
      </c>
      <c r="J1072" s="329" t="s">
        <v>900</v>
      </c>
      <c r="K1072" s="329" t="s">
        <v>901</v>
      </c>
      <c r="L1072" s="329" t="s">
        <v>902</v>
      </c>
    </row>
    <row r="1073" spans="2:12" ht="15" hidden="1">
      <c r="B1073" s="136" t="s">
        <v>1788</v>
      </c>
      <c r="C1073" s="49" t="s">
        <v>1792</v>
      </c>
      <c r="D1073" s="393" t="s">
        <v>532</v>
      </c>
      <c r="E1073" s="15" t="s">
        <v>997</v>
      </c>
      <c r="F1073" s="50">
        <v>2100000</v>
      </c>
      <c r="G1073" s="49" t="s">
        <v>1598</v>
      </c>
      <c r="H1073" s="49" t="s">
        <v>104</v>
      </c>
      <c r="I1073" s="49" t="s">
        <v>104</v>
      </c>
      <c r="J1073" s="49">
        <v>1</v>
      </c>
      <c r="K1073" s="49"/>
      <c r="L1073" s="49" t="s">
        <v>1688</v>
      </c>
    </row>
    <row r="1074" spans="2:12" ht="15" hidden="1">
      <c r="B1074" s="136" t="s">
        <v>1788</v>
      </c>
      <c r="C1074" s="49" t="s">
        <v>1792</v>
      </c>
      <c r="D1074" s="717" t="s">
        <v>1859</v>
      </c>
      <c r="E1074" s="15" t="s">
        <v>997</v>
      </c>
      <c r="F1074" s="50">
        <v>3300000</v>
      </c>
      <c r="G1074" s="49" t="s">
        <v>1598</v>
      </c>
      <c r="H1074" s="49" t="s">
        <v>104</v>
      </c>
      <c r="I1074" s="49" t="s">
        <v>104</v>
      </c>
      <c r="J1074" s="49">
        <v>1</v>
      </c>
      <c r="K1074" s="49"/>
      <c r="L1074" s="49" t="s">
        <v>1688</v>
      </c>
    </row>
    <row r="1075" spans="2:12" ht="15" hidden="1">
      <c r="B1075" s="60"/>
      <c r="C1075" s="61"/>
      <c r="D1075" s="489"/>
      <c r="E1075" s="489"/>
      <c r="F1075" s="490"/>
      <c r="G1075" s="61"/>
      <c r="H1075" s="61"/>
      <c r="I1075" s="61"/>
      <c r="J1075" s="61"/>
      <c r="K1075" s="61"/>
      <c r="L1075" s="61"/>
    </row>
    <row r="1076" spans="2:12" ht="15" hidden="1">
      <c r="B1076" s="136"/>
      <c r="C1076" s="49"/>
      <c r="D1076" s="15"/>
      <c r="E1076" s="15"/>
      <c r="F1076" s="50"/>
      <c r="G1076" s="49"/>
      <c r="H1076" s="49"/>
      <c r="I1076" s="49"/>
      <c r="J1076" s="49"/>
      <c r="K1076" s="719"/>
      <c r="L1076" s="61"/>
    </row>
    <row r="1077" spans="2:12" ht="15" hidden="1">
      <c r="B1077" s="136"/>
      <c r="C1077" s="49"/>
      <c r="D1077" s="15"/>
      <c r="E1077" s="15"/>
      <c r="F1077" s="50"/>
      <c r="G1077" s="49"/>
      <c r="H1077" s="49"/>
      <c r="I1077" s="49"/>
      <c r="J1077" s="49"/>
      <c r="K1077" s="69"/>
      <c r="L1077" s="49"/>
    </row>
    <row r="1078" spans="2:12" ht="15" hidden="1">
      <c r="B1078" s="136"/>
      <c r="C1078" s="49"/>
      <c r="D1078" s="738"/>
      <c r="E1078" s="15"/>
      <c r="F1078" s="50"/>
      <c r="G1078" s="49"/>
      <c r="H1078" s="49"/>
      <c r="I1078" s="49"/>
      <c r="J1078" s="49"/>
      <c r="K1078" s="69"/>
      <c r="L1078" s="49"/>
    </row>
    <row r="1079" spans="2:12" ht="15" hidden="1">
      <c r="B1079" s="136"/>
      <c r="C1079" s="49"/>
      <c r="D1079" s="15"/>
      <c r="E1079" s="15"/>
      <c r="F1079" s="50"/>
      <c r="G1079" s="49"/>
      <c r="H1079" s="49"/>
      <c r="I1079" s="49"/>
      <c r="J1079" s="49"/>
      <c r="K1079" s="69"/>
      <c r="L1079" s="49"/>
    </row>
    <row r="1080" spans="2:12" ht="15" hidden="1">
      <c r="B1080" s="619"/>
      <c r="C1080" s="620"/>
      <c r="D1080" s="621"/>
      <c r="E1080" s="621"/>
      <c r="F1080" s="622"/>
      <c r="G1080" s="620"/>
      <c r="H1080" s="620"/>
      <c r="I1080" s="620"/>
      <c r="J1080" s="620">
        <f>SUM(J1073:J1079)</f>
        <v>2</v>
      </c>
      <c r="K1080" s="49"/>
      <c r="L1080" s="49"/>
    </row>
    <row r="1081" spans="2:12" hidden="1"/>
    <row r="1082" spans="2:12" ht="18.75" hidden="1">
      <c r="B1082" s="1094" t="s">
        <v>1860</v>
      </c>
      <c r="C1082" s="1095"/>
      <c r="D1082" s="1095"/>
      <c r="E1082" s="1095"/>
      <c r="F1082" s="1095"/>
      <c r="G1082" s="1095"/>
      <c r="H1082" s="1095"/>
      <c r="I1082" s="1095"/>
      <c r="J1082" s="1095"/>
      <c r="K1082" s="1095"/>
      <c r="L1082" s="1096"/>
    </row>
    <row r="1083" spans="2:12" ht="18.75" hidden="1">
      <c r="B1083" s="328" t="s">
        <v>892</v>
      </c>
      <c r="C1083" s="329" t="s">
        <v>893</v>
      </c>
      <c r="D1083" s="329" t="s">
        <v>894</v>
      </c>
      <c r="E1083" s="329" t="s">
        <v>895</v>
      </c>
      <c r="F1083" s="330" t="s">
        <v>896</v>
      </c>
      <c r="G1083" s="329" t="s">
        <v>897</v>
      </c>
      <c r="H1083" s="329" t="s">
        <v>898</v>
      </c>
      <c r="I1083" s="329" t="s">
        <v>899</v>
      </c>
      <c r="J1083" s="329" t="s">
        <v>900</v>
      </c>
      <c r="K1083" s="329" t="s">
        <v>901</v>
      </c>
      <c r="L1083" s="329" t="s">
        <v>902</v>
      </c>
    </row>
    <row r="1084" spans="2:12" ht="15" hidden="1">
      <c r="B1084" s="136" t="s">
        <v>1861</v>
      </c>
      <c r="C1084" s="49" t="s">
        <v>1792</v>
      </c>
      <c r="D1084" s="717" t="s">
        <v>1862</v>
      </c>
      <c r="E1084" s="15" t="s">
        <v>988</v>
      </c>
      <c r="F1084" s="50">
        <v>2800000</v>
      </c>
      <c r="G1084" s="49" t="s">
        <v>1598</v>
      </c>
      <c r="H1084" s="49" t="s">
        <v>104</v>
      </c>
      <c r="I1084" s="49" t="s">
        <v>104</v>
      </c>
      <c r="J1084" s="49">
        <v>1</v>
      </c>
      <c r="K1084" s="49"/>
      <c r="L1084" s="49" t="s">
        <v>633</v>
      </c>
    </row>
    <row r="1085" spans="2:12" ht="15" hidden="1">
      <c r="B1085" s="136">
        <v>44844</v>
      </c>
      <c r="C1085" s="49" t="s">
        <v>1792</v>
      </c>
      <c r="D1085" s="717" t="s">
        <v>1863</v>
      </c>
      <c r="E1085" s="15" t="s">
        <v>997</v>
      </c>
      <c r="F1085" s="759">
        <v>2500000</v>
      </c>
      <c r="G1085" s="49" t="s">
        <v>1598</v>
      </c>
      <c r="H1085" s="49" t="s">
        <v>104</v>
      </c>
      <c r="I1085" s="49" t="s">
        <v>104</v>
      </c>
      <c r="J1085" s="49">
        <v>1</v>
      </c>
      <c r="K1085" s="719"/>
      <c r="L1085" s="61" t="s">
        <v>607</v>
      </c>
    </row>
    <row r="1086" spans="2:12" ht="15" hidden="1">
      <c r="B1086" s="136">
        <v>44844</v>
      </c>
      <c r="C1086" s="49" t="s">
        <v>1792</v>
      </c>
      <c r="D1086" s="114" t="s">
        <v>538</v>
      </c>
      <c r="E1086" s="15" t="s">
        <v>982</v>
      </c>
      <c r="F1086" s="50">
        <v>1600000</v>
      </c>
      <c r="G1086" s="49" t="s">
        <v>1598</v>
      </c>
      <c r="H1086" s="49" t="s">
        <v>104</v>
      </c>
      <c r="I1086" s="49" t="s">
        <v>104</v>
      </c>
      <c r="J1086" s="49">
        <v>1</v>
      </c>
      <c r="K1086" s="719"/>
      <c r="L1086" s="61" t="s">
        <v>1351</v>
      </c>
    </row>
    <row r="1087" spans="2:12" ht="15" hidden="1">
      <c r="B1087" s="136">
        <v>44844</v>
      </c>
      <c r="C1087" s="49" t="s">
        <v>1792</v>
      </c>
      <c r="D1087" s="114" t="s">
        <v>540</v>
      </c>
      <c r="E1087" s="15" t="s">
        <v>1040</v>
      </c>
      <c r="F1087" s="50">
        <v>1700000</v>
      </c>
      <c r="G1087" s="49" t="s">
        <v>1598</v>
      </c>
      <c r="H1087" s="49" t="s">
        <v>104</v>
      </c>
      <c r="I1087" s="49" t="s">
        <v>104</v>
      </c>
      <c r="J1087" s="49">
        <v>1</v>
      </c>
      <c r="K1087" s="69"/>
      <c r="L1087" s="61" t="s">
        <v>1351</v>
      </c>
    </row>
    <row r="1088" spans="2:12" ht="15" hidden="1">
      <c r="B1088" s="136">
        <v>44844</v>
      </c>
      <c r="C1088" s="49" t="s">
        <v>1792</v>
      </c>
      <c r="D1088" s="114" t="s">
        <v>542</v>
      </c>
      <c r="E1088" s="15" t="s">
        <v>1452</v>
      </c>
      <c r="F1088" s="50">
        <v>2200000</v>
      </c>
      <c r="G1088" s="49" t="s">
        <v>1598</v>
      </c>
      <c r="H1088" s="49" t="s">
        <v>104</v>
      </c>
      <c r="I1088" s="49" t="s">
        <v>104</v>
      </c>
      <c r="J1088" s="49">
        <v>1</v>
      </c>
      <c r="K1088" s="69"/>
      <c r="L1088" s="61" t="s">
        <v>1351</v>
      </c>
    </row>
    <row r="1089" spans="2:12" ht="15" hidden="1">
      <c r="B1089" s="136">
        <v>44844</v>
      </c>
      <c r="C1089" s="49" t="s">
        <v>1792</v>
      </c>
      <c r="D1089" s="424" t="s">
        <v>543</v>
      </c>
      <c r="E1089" s="15" t="s">
        <v>997</v>
      </c>
      <c r="F1089" s="50">
        <v>2500000</v>
      </c>
      <c r="G1089" s="49" t="s">
        <v>1598</v>
      </c>
      <c r="H1089" s="49" t="s">
        <v>104</v>
      </c>
      <c r="I1089" s="49" t="s">
        <v>104</v>
      </c>
      <c r="J1089" s="49">
        <v>1</v>
      </c>
      <c r="K1089" s="69"/>
      <c r="L1089" s="61" t="s">
        <v>1351</v>
      </c>
    </row>
    <row r="1090" spans="2:12" ht="15" hidden="1">
      <c r="B1090" s="136">
        <v>44844</v>
      </c>
      <c r="C1090" s="49" t="s">
        <v>1792</v>
      </c>
      <c r="D1090" s="114" t="s">
        <v>547</v>
      </c>
      <c r="E1090" s="621" t="s">
        <v>1040</v>
      </c>
      <c r="F1090" s="622">
        <v>2500000</v>
      </c>
      <c r="G1090" s="49" t="s">
        <v>1598</v>
      </c>
      <c r="H1090" s="49" t="s">
        <v>104</v>
      </c>
      <c r="I1090" s="49" t="s">
        <v>104</v>
      </c>
      <c r="J1090" s="49">
        <v>1</v>
      </c>
      <c r="K1090" s="49"/>
      <c r="L1090" s="61" t="s">
        <v>1351</v>
      </c>
    </row>
    <row r="1091" spans="2:12" hidden="1"/>
    <row r="1092" spans="2:12" ht="31.5" customHeight="1">
      <c r="B1092" s="987" t="s">
        <v>555</v>
      </c>
      <c r="C1092" s="987"/>
      <c r="D1092" s="987"/>
      <c r="E1092" s="987"/>
      <c r="F1092" s="987"/>
      <c r="G1092" s="987"/>
      <c r="H1092" s="987"/>
      <c r="I1092" s="987"/>
      <c r="J1092" s="987"/>
      <c r="K1092" s="987"/>
      <c r="L1092" s="987"/>
    </row>
    <row r="1093" spans="2:12" ht="18.75" customHeight="1">
      <c r="B1093" s="1094" t="s">
        <v>1864</v>
      </c>
      <c r="C1093" s="1095"/>
      <c r="D1093" s="1095"/>
      <c r="E1093" s="1095"/>
      <c r="F1093" s="1095"/>
      <c r="G1093" s="1095"/>
      <c r="H1093" s="1095"/>
      <c r="I1093" s="1095"/>
      <c r="J1093" s="1095"/>
      <c r="K1093" s="1095"/>
      <c r="L1093" s="1096"/>
    </row>
    <row r="1094" spans="2:12" ht="18.75">
      <c r="B1094" s="328" t="s">
        <v>892</v>
      </c>
      <c r="C1094" s="329" t="s">
        <v>893</v>
      </c>
      <c r="D1094" s="329" t="s">
        <v>894</v>
      </c>
      <c r="E1094" s="329" t="s">
        <v>895</v>
      </c>
      <c r="F1094" s="330" t="s">
        <v>896</v>
      </c>
      <c r="G1094" s="329" t="s">
        <v>897</v>
      </c>
      <c r="H1094" s="329" t="s">
        <v>898</v>
      </c>
      <c r="I1094" s="329" t="s">
        <v>899</v>
      </c>
      <c r="J1094" s="329" t="s">
        <v>900</v>
      </c>
      <c r="K1094" s="329" t="s">
        <v>901</v>
      </c>
      <c r="L1094" s="329" t="s">
        <v>902</v>
      </c>
    </row>
    <row r="1095" spans="2:12" ht="15">
      <c r="B1095" s="897">
        <v>44572</v>
      </c>
      <c r="C1095" s="52" t="s">
        <v>1792</v>
      </c>
      <c r="D1095" s="718" t="s">
        <v>1865</v>
      </c>
      <c r="E1095" s="52" t="s">
        <v>1866</v>
      </c>
      <c r="F1095" s="929">
        <v>2700000</v>
      </c>
      <c r="G1095" s="52" t="s">
        <v>907</v>
      </c>
      <c r="H1095" s="52" t="s">
        <v>104</v>
      </c>
      <c r="I1095" s="52" t="s">
        <v>104</v>
      </c>
      <c r="J1095" s="52">
        <v>1</v>
      </c>
      <c r="K1095" s="52"/>
      <c r="L1095" s="52" t="s">
        <v>1688</v>
      </c>
    </row>
    <row r="1096" spans="2:12" ht="15">
      <c r="B1096" s="897">
        <v>44572</v>
      </c>
      <c r="C1096" s="52" t="s">
        <v>1792</v>
      </c>
      <c r="D1096" s="52" t="s">
        <v>1867</v>
      </c>
      <c r="E1096" s="52" t="s">
        <v>997</v>
      </c>
      <c r="F1096" s="929">
        <v>2800000</v>
      </c>
      <c r="G1096" s="52" t="s">
        <v>907</v>
      </c>
      <c r="H1096" s="52" t="s">
        <v>104</v>
      </c>
      <c r="I1096" s="52" t="s">
        <v>104</v>
      </c>
      <c r="J1096" s="52">
        <v>1</v>
      </c>
      <c r="K1096" s="52"/>
      <c r="L1096" s="52" t="s">
        <v>607</v>
      </c>
    </row>
    <row r="1097" spans="2:12" ht="15">
      <c r="B1097" s="897">
        <v>44692</v>
      </c>
      <c r="C1097" s="52" t="s">
        <v>1792</v>
      </c>
      <c r="D1097" s="718" t="s">
        <v>1868</v>
      </c>
      <c r="E1097" s="52" t="s">
        <v>997</v>
      </c>
      <c r="F1097" s="929">
        <v>2400000</v>
      </c>
      <c r="G1097" s="52" t="s">
        <v>907</v>
      </c>
      <c r="H1097" s="52" t="s">
        <v>104</v>
      </c>
      <c r="I1097" s="52" t="s">
        <v>104</v>
      </c>
      <c r="J1097" s="52">
        <v>1</v>
      </c>
      <c r="K1097" s="52"/>
      <c r="L1097" s="52" t="s">
        <v>1688</v>
      </c>
    </row>
    <row r="1098" spans="2:12" ht="15">
      <c r="B1098" s="897">
        <v>44692</v>
      </c>
      <c r="C1098" s="52" t="s">
        <v>1792</v>
      </c>
      <c r="D1098" s="718" t="s">
        <v>1304</v>
      </c>
      <c r="E1098" s="52" t="s">
        <v>997</v>
      </c>
      <c r="F1098" s="929">
        <v>2400000</v>
      </c>
      <c r="G1098" s="52" t="s">
        <v>907</v>
      </c>
      <c r="H1098" s="52" t="s">
        <v>104</v>
      </c>
      <c r="I1098" s="52" t="s">
        <v>104</v>
      </c>
      <c r="J1098" s="52">
        <v>1</v>
      </c>
      <c r="K1098" s="52"/>
      <c r="L1098" s="52" t="s">
        <v>607</v>
      </c>
    </row>
    <row r="1099" spans="2:12" ht="15">
      <c r="B1099" s="897">
        <v>44692</v>
      </c>
      <c r="C1099" s="52" t="s">
        <v>1792</v>
      </c>
      <c r="D1099" s="718" t="s">
        <v>1869</v>
      </c>
      <c r="E1099" s="52" t="s">
        <v>997</v>
      </c>
      <c r="F1099" s="929">
        <v>2000000</v>
      </c>
      <c r="G1099" s="52" t="s">
        <v>907</v>
      </c>
      <c r="H1099" s="52" t="s">
        <v>104</v>
      </c>
      <c r="I1099" s="52" t="s">
        <v>104</v>
      </c>
      <c r="J1099" s="52">
        <v>1</v>
      </c>
      <c r="K1099" s="52"/>
      <c r="L1099" s="52" t="s">
        <v>1688</v>
      </c>
    </row>
    <row r="1100" spans="2:12" ht="15">
      <c r="B1100" s="897">
        <v>44876</v>
      </c>
      <c r="C1100" s="52" t="s">
        <v>1792</v>
      </c>
      <c r="D1100" s="718" t="s">
        <v>1870</v>
      </c>
      <c r="E1100" s="52" t="s">
        <v>1337</v>
      </c>
      <c r="F1100" s="929">
        <v>2500000</v>
      </c>
      <c r="G1100" s="52" t="s">
        <v>907</v>
      </c>
      <c r="H1100" s="52" t="s">
        <v>104</v>
      </c>
      <c r="I1100" s="52" t="s">
        <v>104</v>
      </c>
      <c r="J1100" s="52">
        <v>1</v>
      </c>
      <c r="K1100" s="52"/>
      <c r="L1100" s="52" t="s">
        <v>633</v>
      </c>
    </row>
    <row r="1101" spans="2:12" ht="15">
      <c r="B1101" s="897">
        <v>44876</v>
      </c>
      <c r="C1101" s="52" t="s">
        <v>1792</v>
      </c>
      <c r="D1101" s="52" t="s">
        <v>1871</v>
      </c>
      <c r="E1101" s="52" t="s">
        <v>1337</v>
      </c>
      <c r="F1101" s="929">
        <v>2500000</v>
      </c>
      <c r="G1101" s="52" t="s">
        <v>907</v>
      </c>
      <c r="H1101" s="52" t="s">
        <v>104</v>
      </c>
      <c r="I1101" s="52" t="s">
        <v>104</v>
      </c>
      <c r="J1101" s="52">
        <v>1</v>
      </c>
      <c r="K1101" s="52"/>
      <c r="L1101" s="52" t="s">
        <v>607</v>
      </c>
    </row>
    <row r="1102" spans="2:12" ht="15">
      <c r="B1102" s="906">
        <v>44876</v>
      </c>
      <c r="C1102" s="709" t="s">
        <v>1792</v>
      </c>
      <c r="D1102" s="761" t="s">
        <v>1872</v>
      </c>
      <c r="E1102" s="709" t="s">
        <v>997</v>
      </c>
      <c r="F1102" s="929">
        <v>2800000</v>
      </c>
      <c r="G1102" s="52" t="s">
        <v>907</v>
      </c>
      <c r="H1102" s="52" t="s">
        <v>104</v>
      </c>
      <c r="I1102" s="52" t="s">
        <v>104</v>
      </c>
      <c r="J1102" s="52">
        <v>1</v>
      </c>
      <c r="K1102" s="52"/>
      <c r="L1102" s="52" t="s">
        <v>1688</v>
      </c>
    </row>
    <row r="1103" spans="2:12" ht="15">
      <c r="B1103" s="897">
        <v>44876</v>
      </c>
      <c r="C1103" s="52" t="s">
        <v>1792</v>
      </c>
      <c r="D1103" s="718" t="s">
        <v>1873</v>
      </c>
      <c r="E1103" s="52" t="s">
        <v>997</v>
      </c>
      <c r="F1103" s="933">
        <v>2800000</v>
      </c>
      <c r="G1103" s="52" t="s">
        <v>907</v>
      </c>
      <c r="H1103" s="52" t="s">
        <v>104</v>
      </c>
      <c r="I1103" s="52" t="s">
        <v>104</v>
      </c>
      <c r="J1103" s="52">
        <v>1</v>
      </c>
      <c r="K1103" s="52"/>
      <c r="L1103" s="52" t="s">
        <v>607</v>
      </c>
    </row>
    <row r="1104" spans="2:12" ht="14.25">
      <c r="B1104" s="897">
        <v>44876</v>
      </c>
      <c r="C1104" s="52" t="s">
        <v>1792</v>
      </c>
      <c r="D1104" s="718" t="s">
        <v>1874</v>
      </c>
      <c r="E1104" s="52" t="s">
        <v>997</v>
      </c>
      <c r="F1104" s="285">
        <v>2100000</v>
      </c>
      <c r="G1104" s="52" t="s">
        <v>907</v>
      </c>
      <c r="H1104" s="52" t="s">
        <v>104</v>
      </c>
      <c r="I1104" s="52" t="s">
        <v>104</v>
      </c>
      <c r="J1104" s="52">
        <v>1</v>
      </c>
      <c r="K1104" s="52"/>
      <c r="L1104" s="52" t="s">
        <v>1688</v>
      </c>
    </row>
    <row r="1105" spans="2:12" ht="14.25">
      <c r="B1105" s="903" t="s">
        <v>1875</v>
      </c>
      <c r="C1105" s="52" t="s">
        <v>1792</v>
      </c>
      <c r="D1105" s="718" t="s">
        <v>1876</v>
      </c>
      <c r="E1105" s="52" t="s">
        <v>1452</v>
      </c>
      <c r="F1105" s="285">
        <v>2500000</v>
      </c>
      <c r="G1105" s="52" t="s">
        <v>907</v>
      </c>
      <c r="H1105" s="52" t="s">
        <v>104</v>
      </c>
      <c r="I1105" s="52" t="s">
        <v>104</v>
      </c>
      <c r="J1105" s="52">
        <v>1</v>
      </c>
      <c r="K1105" s="52"/>
      <c r="L1105" s="52" t="s">
        <v>633</v>
      </c>
    </row>
    <row r="1106" spans="2:12" ht="14.25">
      <c r="B1106" s="903" t="s">
        <v>1875</v>
      </c>
      <c r="C1106" s="52" t="s">
        <v>1792</v>
      </c>
      <c r="D1106" s="718" t="s">
        <v>1877</v>
      </c>
      <c r="E1106" s="52" t="s">
        <v>997</v>
      </c>
      <c r="F1106" s="285">
        <v>2200000</v>
      </c>
      <c r="G1106" s="52" t="s">
        <v>907</v>
      </c>
      <c r="H1106" s="52" t="s">
        <v>104</v>
      </c>
      <c r="I1106" s="52" t="s">
        <v>104</v>
      </c>
      <c r="J1106" s="52">
        <v>1</v>
      </c>
      <c r="K1106" s="52"/>
      <c r="L1106" s="52" t="s">
        <v>633</v>
      </c>
    </row>
    <row r="1107" spans="2:12" ht="16.5">
      <c r="B1107" s="903" t="s">
        <v>1875</v>
      </c>
      <c r="C1107" s="52" t="s">
        <v>1792</v>
      </c>
      <c r="D1107" s="889" t="s">
        <v>1878</v>
      </c>
      <c r="E1107" s="52" t="s">
        <v>1879</v>
      </c>
      <c r="F1107" s="285">
        <v>5500000</v>
      </c>
      <c r="G1107" s="52" t="s">
        <v>907</v>
      </c>
      <c r="H1107" s="52" t="s">
        <v>104</v>
      </c>
      <c r="I1107" s="52" t="s">
        <v>104</v>
      </c>
      <c r="J1107" s="52">
        <v>1</v>
      </c>
      <c r="K1107" s="52"/>
      <c r="L1107" s="52" t="s">
        <v>607</v>
      </c>
    </row>
    <row r="1108" spans="2:12" ht="15">
      <c r="B1108" s="918" t="s">
        <v>1880</v>
      </c>
      <c r="C1108" s="709" t="s">
        <v>1792</v>
      </c>
      <c r="D1108" s="761" t="s">
        <v>1881</v>
      </c>
      <c r="E1108" s="52" t="s">
        <v>988</v>
      </c>
      <c r="F1108" s="933">
        <v>5500000</v>
      </c>
      <c r="G1108" s="285" t="s">
        <v>907</v>
      </c>
      <c r="H1108" s="52" t="s">
        <v>104</v>
      </c>
      <c r="I1108" s="52" t="s">
        <v>104</v>
      </c>
      <c r="J1108" s="52">
        <v>1</v>
      </c>
      <c r="K1108" s="52"/>
      <c r="L1108" s="52" t="s">
        <v>1688</v>
      </c>
    </row>
    <row r="1109" spans="2:12" ht="15">
      <c r="B1109" s="903" t="s">
        <v>1882</v>
      </c>
      <c r="C1109" s="52" t="s">
        <v>1792</v>
      </c>
      <c r="D1109" s="718" t="s">
        <v>1883</v>
      </c>
      <c r="E1109" s="285" t="s">
        <v>1866</v>
      </c>
      <c r="F1109" s="933">
        <v>2500000</v>
      </c>
      <c r="G1109" s="285" t="s">
        <v>907</v>
      </c>
      <c r="H1109" s="52" t="s">
        <v>104</v>
      </c>
      <c r="I1109" s="52" t="s">
        <v>104</v>
      </c>
      <c r="J1109" s="52">
        <v>1</v>
      </c>
      <c r="K1109" s="52"/>
      <c r="L1109" s="52" t="s">
        <v>1351</v>
      </c>
    </row>
    <row r="1110" spans="2:12" ht="15">
      <c r="B1110" s="903" t="s">
        <v>1882</v>
      </c>
      <c r="C1110" s="52" t="s">
        <v>1792</v>
      </c>
      <c r="D1110" s="718" t="s">
        <v>1884</v>
      </c>
      <c r="E1110" s="285" t="s">
        <v>1866</v>
      </c>
      <c r="F1110" s="933">
        <v>2100000</v>
      </c>
      <c r="G1110" s="285" t="s">
        <v>907</v>
      </c>
      <c r="H1110" s="52" t="s">
        <v>104</v>
      </c>
      <c r="I1110" s="52" t="s">
        <v>104</v>
      </c>
      <c r="J1110" s="52">
        <v>1</v>
      </c>
      <c r="K1110" s="52"/>
      <c r="L1110" s="52" t="s">
        <v>1688</v>
      </c>
    </row>
    <row r="1111" spans="2:12" ht="16.5">
      <c r="B1111" s="903" t="s">
        <v>1882</v>
      </c>
      <c r="C1111" s="52" t="s">
        <v>1792</v>
      </c>
      <c r="D1111" s="854" t="s">
        <v>1885</v>
      </c>
      <c r="E1111" s="285" t="s">
        <v>1866</v>
      </c>
      <c r="F1111" s="933">
        <v>2500000</v>
      </c>
      <c r="G1111" s="285" t="s">
        <v>907</v>
      </c>
      <c r="H1111" s="52" t="s">
        <v>104</v>
      </c>
      <c r="I1111" s="52" t="s">
        <v>104</v>
      </c>
      <c r="J1111" s="52">
        <v>1</v>
      </c>
      <c r="K1111" s="52"/>
      <c r="L1111" s="52" t="s">
        <v>633</v>
      </c>
    </row>
    <row r="1112" spans="2:12" ht="15">
      <c r="B1112" s="903" t="s">
        <v>1886</v>
      </c>
      <c r="C1112" s="52" t="s">
        <v>1792</v>
      </c>
      <c r="D1112" s="717" t="s">
        <v>1887</v>
      </c>
      <c r="E1112" s="938" t="s">
        <v>997</v>
      </c>
      <c r="F1112" s="933">
        <v>3400000</v>
      </c>
      <c r="G1112" s="285" t="s">
        <v>907</v>
      </c>
      <c r="H1112" s="52" t="s">
        <v>104</v>
      </c>
      <c r="I1112" s="52" t="s">
        <v>104</v>
      </c>
      <c r="J1112" s="52">
        <v>1</v>
      </c>
      <c r="K1112" s="52"/>
      <c r="L1112" s="52" t="s">
        <v>633</v>
      </c>
    </row>
    <row r="1113" spans="2:12" ht="15">
      <c r="B1113" s="903" t="s">
        <v>1886</v>
      </c>
      <c r="C1113" s="52" t="s">
        <v>1792</v>
      </c>
      <c r="D1113" s="717" t="s">
        <v>1888</v>
      </c>
      <c r="E1113" s="938" t="s">
        <v>997</v>
      </c>
      <c r="F1113" s="933">
        <v>3000000</v>
      </c>
      <c r="G1113" s="285" t="s">
        <v>907</v>
      </c>
      <c r="H1113" s="52" t="s">
        <v>104</v>
      </c>
      <c r="I1113" s="52" t="s">
        <v>104</v>
      </c>
      <c r="J1113" s="52">
        <v>1</v>
      </c>
      <c r="K1113" s="52"/>
      <c r="L1113" s="52" t="s">
        <v>1688</v>
      </c>
    </row>
    <row r="1114" spans="2:12" ht="15">
      <c r="B1114" s="903" t="s">
        <v>1886</v>
      </c>
      <c r="C1114" s="52" t="s">
        <v>1792</v>
      </c>
      <c r="D1114" s="717" t="s">
        <v>1889</v>
      </c>
      <c r="E1114" s="285" t="s">
        <v>1866</v>
      </c>
      <c r="F1114" s="933">
        <v>2500000</v>
      </c>
      <c r="G1114" s="285" t="s">
        <v>907</v>
      </c>
      <c r="H1114" s="52" t="s">
        <v>104</v>
      </c>
      <c r="I1114" s="52" t="s">
        <v>104</v>
      </c>
      <c r="J1114" s="52">
        <v>1</v>
      </c>
      <c r="K1114" s="52"/>
      <c r="L1114" s="52" t="s">
        <v>633</v>
      </c>
    </row>
    <row r="1115" spans="2:12">
      <c r="B1115" s="52"/>
      <c r="C1115" s="52"/>
      <c r="D1115" s="855"/>
      <c r="E1115" s="938"/>
      <c r="F1115" s="52"/>
      <c r="G1115" s="52"/>
      <c r="H1115" s="52"/>
      <c r="I1115" s="52"/>
      <c r="J1115" s="52">
        <f>SUM(J1095:J1114)</f>
        <v>20</v>
      </c>
      <c r="K1115" s="52"/>
      <c r="L1115" s="52"/>
    </row>
    <row r="1116" spans="2:12" ht="18.75" customHeight="1">
      <c r="B1116" s="1091" t="s">
        <v>1890</v>
      </c>
      <c r="C1116" s="1092"/>
      <c r="D1116" s="1092"/>
      <c r="E1116" s="1092"/>
      <c r="F1116" s="1092"/>
      <c r="G1116" s="1092"/>
      <c r="H1116" s="1092"/>
      <c r="I1116" s="1092"/>
      <c r="J1116" s="1092"/>
      <c r="K1116" s="1092"/>
      <c r="L1116" s="1093"/>
    </row>
    <row r="1117" spans="2:12" ht="18.75">
      <c r="B1117" s="328" t="s">
        <v>892</v>
      </c>
      <c r="C1117" s="329" t="s">
        <v>893</v>
      </c>
      <c r="D1117" s="329" t="s">
        <v>894</v>
      </c>
      <c r="E1117" s="329" t="s">
        <v>895</v>
      </c>
      <c r="F1117" s="330" t="s">
        <v>896</v>
      </c>
      <c r="G1117" s="329" t="s">
        <v>897</v>
      </c>
      <c r="H1117" s="329" t="s">
        <v>898</v>
      </c>
      <c r="I1117" s="329" t="s">
        <v>899</v>
      </c>
      <c r="J1117" s="329" t="s">
        <v>900</v>
      </c>
      <c r="K1117" s="329" t="s">
        <v>901</v>
      </c>
      <c r="L1117" s="329" t="s">
        <v>902</v>
      </c>
    </row>
    <row r="1118" spans="2:12" ht="15">
      <c r="B1118" s="415" t="s">
        <v>1891</v>
      </c>
      <c r="C1118" s="52" t="s">
        <v>1792</v>
      </c>
      <c r="D1118" s="927" t="s">
        <v>1892</v>
      </c>
      <c r="E1118" s="52" t="s">
        <v>982</v>
      </c>
      <c r="F1118" s="929">
        <v>1350000</v>
      </c>
      <c r="G1118" s="285" t="s">
        <v>907</v>
      </c>
      <c r="H1118" s="52" t="s">
        <v>104</v>
      </c>
      <c r="I1118" s="52" t="s">
        <v>104</v>
      </c>
      <c r="J1118" s="52">
        <v>1</v>
      </c>
      <c r="K1118" s="52"/>
      <c r="L1118" s="52" t="s">
        <v>607</v>
      </c>
    </row>
    <row r="1119" spans="2:12" ht="15">
      <c r="B1119" s="415" t="s">
        <v>1891</v>
      </c>
      <c r="C1119" s="52" t="s">
        <v>1792</v>
      </c>
      <c r="D1119" s="927" t="s">
        <v>1893</v>
      </c>
      <c r="E1119" s="52" t="s">
        <v>997</v>
      </c>
      <c r="F1119" s="929">
        <v>2200000</v>
      </c>
      <c r="G1119" s="285" t="s">
        <v>907</v>
      </c>
      <c r="H1119" s="52" t="s">
        <v>104</v>
      </c>
      <c r="I1119" s="52" t="s">
        <v>104</v>
      </c>
      <c r="J1119" s="52">
        <v>1</v>
      </c>
      <c r="K1119" s="52"/>
      <c r="L1119" s="52" t="s">
        <v>1688</v>
      </c>
    </row>
    <row r="1120" spans="2:12" ht="15">
      <c r="B1120" s="415" t="s">
        <v>1891</v>
      </c>
      <c r="C1120" s="52" t="s">
        <v>1792</v>
      </c>
      <c r="D1120" s="927" t="s">
        <v>1894</v>
      </c>
      <c r="E1120" s="52" t="s">
        <v>1895</v>
      </c>
      <c r="F1120" s="929">
        <v>1200000</v>
      </c>
      <c r="G1120" s="285" t="s">
        <v>907</v>
      </c>
      <c r="H1120" s="52" t="s">
        <v>104</v>
      </c>
      <c r="I1120" s="52" t="s">
        <v>104</v>
      </c>
      <c r="J1120" s="52">
        <v>1</v>
      </c>
      <c r="K1120" s="52"/>
      <c r="L1120" s="52" t="s">
        <v>607</v>
      </c>
    </row>
    <row r="1121" spans="2:12" ht="15">
      <c r="B1121" s="934" t="s">
        <v>1891</v>
      </c>
      <c r="C1121" s="709" t="s">
        <v>1792</v>
      </c>
      <c r="D1121" s="935" t="s">
        <v>1896</v>
      </c>
      <c r="E1121" s="709" t="s">
        <v>1895</v>
      </c>
      <c r="F1121" s="929">
        <v>900000</v>
      </c>
      <c r="G1121" s="285" t="s">
        <v>907</v>
      </c>
      <c r="H1121" s="52" t="s">
        <v>104</v>
      </c>
      <c r="I1121" s="52" t="s">
        <v>104</v>
      </c>
      <c r="J1121" s="52">
        <v>1</v>
      </c>
      <c r="K1121" s="52"/>
      <c r="L1121" s="52" t="s">
        <v>1688</v>
      </c>
    </row>
    <row r="1122" spans="2:12" ht="16.5">
      <c r="B1122" s="415" t="s">
        <v>1891</v>
      </c>
      <c r="C1122" s="52" t="s">
        <v>1792</v>
      </c>
      <c r="D1122" s="928" t="s">
        <v>1897</v>
      </c>
      <c r="E1122" s="52" t="s">
        <v>1895</v>
      </c>
      <c r="F1122" s="933">
        <v>900000</v>
      </c>
      <c r="G1122" s="285" t="s">
        <v>907</v>
      </c>
      <c r="H1122" s="52" t="s">
        <v>104</v>
      </c>
      <c r="I1122" s="52" t="s">
        <v>104</v>
      </c>
      <c r="J1122" s="52">
        <v>1</v>
      </c>
      <c r="K1122" s="52"/>
      <c r="L1122" s="52" t="s">
        <v>607</v>
      </c>
    </row>
    <row r="1123" spans="2:12" ht="15">
      <c r="B1123" s="934" t="s">
        <v>1891</v>
      </c>
      <c r="C1123" s="709" t="s">
        <v>1792</v>
      </c>
      <c r="D1123" s="935" t="s">
        <v>1898</v>
      </c>
      <c r="E1123" s="709" t="s">
        <v>988</v>
      </c>
      <c r="F1123" s="933">
        <v>1800000</v>
      </c>
      <c r="G1123" s="285" t="s">
        <v>907</v>
      </c>
      <c r="H1123" s="52" t="s">
        <v>104</v>
      </c>
      <c r="I1123" s="52" t="s">
        <v>104</v>
      </c>
      <c r="J1123" s="52">
        <v>1</v>
      </c>
      <c r="K1123" s="52"/>
      <c r="L1123" s="52" t="s">
        <v>1351</v>
      </c>
    </row>
    <row r="1124" spans="2:12" ht="14.25">
      <c r="B1124" s="903">
        <v>44572</v>
      </c>
      <c r="C1124" s="52" t="s">
        <v>1792</v>
      </c>
      <c r="D1124" s="718" t="s">
        <v>1899</v>
      </c>
      <c r="E1124" s="52" t="s">
        <v>988</v>
      </c>
      <c r="F1124" s="285">
        <v>1800000</v>
      </c>
      <c r="G1124" s="285" t="s">
        <v>907</v>
      </c>
      <c r="H1124" s="52" t="s">
        <v>104</v>
      </c>
      <c r="I1124" s="52" t="s">
        <v>104</v>
      </c>
      <c r="J1124" s="52">
        <v>1</v>
      </c>
      <c r="K1124" s="52"/>
      <c r="L1124" s="52" t="s">
        <v>1688</v>
      </c>
    </row>
    <row r="1125" spans="2:12" ht="15">
      <c r="B1125" s="903">
        <v>44572</v>
      </c>
      <c r="C1125" s="52" t="s">
        <v>1792</v>
      </c>
      <c r="D1125" s="718" t="s">
        <v>1900</v>
      </c>
      <c r="E1125" s="52" t="s">
        <v>988</v>
      </c>
      <c r="F1125" s="933">
        <v>1800000</v>
      </c>
      <c r="G1125" s="285" t="s">
        <v>907</v>
      </c>
      <c r="H1125" s="52" t="s">
        <v>104</v>
      </c>
      <c r="I1125" s="52" t="s">
        <v>104</v>
      </c>
      <c r="J1125" s="52">
        <v>1</v>
      </c>
      <c r="K1125" s="52"/>
      <c r="L1125" s="52" t="s">
        <v>607</v>
      </c>
    </row>
    <row r="1126" spans="2:12" ht="15">
      <c r="B1126" s="897">
        <v>44603</v>
      </c>
      <c r="C1126" s="52" t="s">
        <v>1792</v>
      </c>
      <c r="D1126" s="718" t="s">
        <v>1736</v>
      </c>
      <c r="E1126" s="52" t="s">
        <v>982</v>
      </c>
      <c r="F1126" s="933">
        <v>1500000</v>
      </c>
      <c r="G1126" s="285" t="s">
        <v>907</v>
      </c>
      <c r="H1126" s="52" t="s">
        <v>104</v>
      </c>
      <c r="I1126" s="52" t="s">
        <v>104</v>
      </c>
      <c r="J1126" s="52">
        <v>1</v>
      </c>
      <c r="K1126" s="52"/>
      <c r="L1126" s="52" t="s">
        <v>1688</v>
      </c>
    </row>
    <row r="1127" spans="2:12" ht="15">
      <c r="B1127" s="906">
        <v>44692</v>
      </c>
      <c r="C1127" s="709" t="s">
        <v>1792</v>
      </c>
      <c r="D1127" s="761" t="s">
        <v>1901</v>
      </c>
      <c r="E1127" s="709" t="s">
        <v>982</v>
      </c>
      <c r="F1127" s="949">
        <v>1500000</v>
      </c>
      <c r="G1127" s="936" t="s">
        <v>907</v>
      </c>
      <c r="H1127" s="709" t="s">
        <v>104</v>
      </c>
      <c r="I1127" s="709" t="s">
        <v>104</v>
      </c>
      <c r="J1127" s="709">
        <v>1</v>
      </c>
      <c r="K1127" s="709"/>
      <c r="L1127" s="709" t="s">
        <v>607</v>
      </c>
    </row>
    <row r="1128" spans="2:12" ht="15">
      <c r="B1128" s="947">
        <v>44692</v>
      </c>
      <c r="C1128" s="52" t="s">
        <v>1792</v>
      </c>
      <c r="D1128" s="718" t="s">
        <v>1902</v>
      </c>
      <c r="E1128" s="52" t="s">
        <v>988</v>
      </c>
      <c r="F1128" s="929">
        <v>2000000</v>
      </c>
      <c r="G1128" s="52" t="s">
        <v>907</v>
      </c>
      <c r="H1128" s="52" t="s">
        <v>104</v>
      </c>
      <c r="I1128" s="52" t="s">
        <v>104</v>
      </c>
      <c r="J1128" s="52">
        <v>1</v>
      </c>
      <c r="K1128" s="52"/>
      <c r="L1128" s="52" t="s">
        <v>1688</v>
      </c>
    </row>
    <row r="1129" spans="2:12" ht="15">
      <c r="B1129" s="947">
        <v>44692</v>
      </c>
      <c r="C1129" s="52" t="s">
        <v>1792</v>
      </c>
      <c r="D1129" s="718" t="s">
        <v>1903</v>
      </c>
      <c r="E1129" s="52" t="s">
        <v>982</v>
      </c>
      <c r="F1129" s="929">
        <v>1500000</v>
      </c>
      <c r="G1129" s="52" t="s">
        <v>907</v>
      </c>
      <c r="H1129" s="52" t="s">
        <v>104</v>
      </c>
      <c r="I1129" s="52" t="s">
        <v>104</v>
      </c>
      <c r="J1129" s="52">
        <v>1</v>
      </c>
      <c r="K1129" s="52"/>
      <c r="L1129" s="52" t="s">
        <v>607</v>
      </c>
    </row>
    <row r="1130" spans="2:12" ht="15">
      <c r="B1130" s="947">
        <v>44815</v>
      </c>
      <c r="C1130" s="52" t="s">
        <v>1792</v>
      </c>
      <c r="D1130" s="718" t="s">
        <v>1904</v>
      </c>
      <c r="E1130" s="52" t="s">
        <v>988</v>
      </c>
      <c r="F1130" s="929">
        <v>1900000</v>
      </c>
      <c r="G1130" s="52" t="s">
        <v>907</v>
      </c>
      <c r="H1130" s="52" t="s">
        <v>104</v>
      </c>
      <c r="I1130" s="52" t="s">
        <v>104</v>
      </c>
      <c r="J1130" s="52">
        <v>1</v>
      </c>
      <c r="K1130" s="52"/>
      <c r="L1130" s="52" t="s">
        <v>633</v>
      </c>
    </row>
    <row r="1131" spans="2:12" ht="15">
      <c r="B1131" s="948" t="s">
        <v>1880</v>
      </c>
      <c r="C1131" s="52" t="s">
        <v>1792</v>
      </c>
      <c r="D1131" s="718" t="s">
        <v>1905</v>
      </c>
      <c r="E1131" s="52" t="s">
        <v>982</v>
      </c>
      <c r="F1131" s="929">
        <v>1600000</v>
      </c>
      <c r="G1131" s="52" t="s">
        <v>907</v>
      </c>
      <c r="H1131" s="52" t="s">
        <v>104</v>
      </c>
      <c r="I1131" s="52" t="s">
        <v>104</v>
      </c>
      <c r="J1131" s="52">
        <v>1</v>
      </c>
      <c r="K1131" s="52"/>
      <c r="L1131" s="52" t="s">
        <v>633</v>
      </c>
    </row>
    <row r="1132" spans="2:12" ht="15">
      <c r="B1132" s="948" t="s">
        <v>1880</v>
      </c>
      <c r="C1132" s="52" t="s">
        <v>1792</v>
      </c>
      <c r="D1132" s="718" t="s">
        <v>1906</v>
      </c>
      <c r="E1132" s="52" t="s">
        <v>982</v>
      </c>
      <c r="F1132" s="929">
        <v>1500000</v>
      </c>
      <c r="G1132" s="52" t="s">
        <v>907</v>
      </c>
      <c r="H1132" s="52" t="s">
        <v>104</v>
      </c>
      <c r="I1132" s="52" t="s">
        <v>104</v>
      </c>
      <c r="J1132" s="52">
        <v>1</v>
      </c>
      <c r="K1132" s="52"/>
      <c r="L1132" s="52" t="s">
        <v>607</v>
      </c>
    </row>
    <row r="1133" spans="2:12" ht="15">
      <c r="B1133" s="948" t="s">
        <v>1880</v>
      </c>
      <c r="C1133" s="52" t="s">
        <v>1792</v>
      </c>
      <c r="D1133" s="718" t="s">
        <v>1907</v>
      </c>
      <c r="E1133" s="52" t="s">
        <v>982</v>
      </c>
      <c r="F1133" s="929">
        <v>2500000</v>
      </c>
      <c r="G1133" s="52" t="s">
        <v>907</v>
      </c>
      <c r="H1133" s="52" t="s">
        <v>104</v>
      </c>
      <c r="I1133" s="52" t="s">
        <v>104</v>
      </c>
      <c r="J1133" s="52">
        <v>1</v>
      </c>
      <c r="K1133" s="52"/>
      <c r="L1133" s="52" t="s">
        <v>1351</v>
      </c>
    </row>
    <row r="1134" spans="2:12">
      <c r="B1134" s="948" t="s">
        <v>1882</v>
      </c>
      <c r="C1134" s="52" t="s">
        <v>1792</v>
      </c>
      <c r="D1134" s="52" t="s">
        <v>1908</v>
      </c>
      <c r="E1134" s="52" t="s">
        <v>988</v>
      </c>
      <c r="F1134" s="52">
        <v>2700000</v>
      </c>
      <c r="G1134" s="52" t="s">
        <v>907</v>
      </c>
      <c r="H1134" s="52" t="s">
        <v>104</v>
      </c>
      <c r="I1134" s="52" t="s">
        <v>104</v>
      </c>
      <c r="J1134" s="52">
        <v>1</v>
      </c>
      <c r="K1134" s="52"/>
      <c r="L1134" s="52" t="s">
        <v>1688</v>
      </c>
    </row>
    <row r="1135" spans="2:12">
      <c r="B1135" s="52"/>
      <c r="C1135" s="429"/>
      <c r="D1135" s="429"/>
      <c r="E1135" s="938"/>
      <c r="F1135" s="938"/>
      <c r="G1135" s="429"/>
      <c r="H1135" s="429"/>
      <c r="I1135" s="429"/>
      <c r="J1135" s="429">
        <f>SUM(J1118:J1134)</f>
        <v>17</v>
      </c>
      <c r="K1135" s="429"/>
      <c r="L1135" s="429"/>
    </row>
    <row r="1137" spans="2:12" ht="18.75" customHeight="1">
      <c r="B1137" s="1094" t="s">
        <v>1909</v>
      </c>
      <c r="C1137" s="1095"/>
      <c r="D1137" s="1095"/>
      <c r="E1137" s="1095"/>
      <c r="F1137" s="1095"/>
      <c r="G1137" s="1095"/>
      <c r="H1137" s="1095"/>
      <c r="I1137" s="1095"/>
      <c r="J1137" s="1095"/>
      <c r="K1137" s="1095"/>
      <c r="L1137" s="1096"/>
    </row>
    <row r="1138" spans="2:12" ht="18.75">
      <c r="B1138" s="328" t="s">
        <v>892</v>
      </c>
      <c r="C1138" s="329" t="s">
        <v>893</v>
      </c>
      <c r="D1138" s="329" t="s">
        <v>894</v>
      </c>
      <c r="E1138" s="329" t="s">
        <v>895</v>
      </c>
      <c r="F1138" s="330" t="s">
        <v>896</v>
      </c>
      <c r="G1138" s="329" t="s">
        <v>897</v>
      </c>
      <c r="H1138" s="329" t="s">
        <v>898</v>
      </c>
      <c r="I1138" s="329" t="s">
        <v>899</v>
      </c>
      <c r="J1138" s="329" t="s">
        <v>900</v>
      </c>
      <c r="K1138" s="329" t="s">
        <v>901</v>
      </c>
      <c r="L1138" s="329" t="s">
        <v>902</v>
      </c>
    </row>
    <row r="1139" spans="2:12" ht="15">
      <c r="B1139" s="897">
        <v>44631</v>
      </c>
      <c r="C1139" s="52" t="s">
        <v>1792</v>
      </c>
      <c r="D1139" s="718" t="s">
        <v>1910</v>
      </c>
      <c r="E1139" s="52" t="s">
        <v>1452</v>
      </c>
      <c r="F1139" s="929">
        <v>1650000</v>
      </c>
      <c r="G1139" s="52" t="s">
        <v>907</v>
      </c>
      <c r="H1139" s="52" t="s">
        <v>104</v>
      </c>
      <c r="I1139" s="52" t="s">
        <v>104</v>
      </c>
      <c r="J1139" s="52">
        <v>1</v>
      </c>
      <c r="K1139" s="52"/>
      <c r="L1139" s="52" t="s">
        <v>1688</v>
      </c>
    </row>
    <row r="1140" spans="2:12" ht="15">
      <c r="B1140" s="897">
        <v>44631</v>
      </c>
      <c r="C1140" s="52" t="s">
        <v>1792</v>
      </c>
      <c r="D1140" s="718" t="s">
        <v>1911</v>
      </c>
      <c r="E1140" s="52" t="s">
        <v>1452</v>
      </c>
      <c r="F1140" s="929">
        <v>2500000</v>
      </c>
      <c r="G1140" s="52" t="s">
        <v>907</v>
      </c>
      <c r="H1140" s="52" t="s">
        <v>104</v>
      </c>
      <c r="I1140" s="52" t="s">
        <v>104</v>
      </c>
      <c r="J1140" s="52">
        <v>1</v>
      </c>
      <c r="K1140" s="52"/>
      <c r="L1140" s="52" t="s">
        <v>607</v>
      </c>
    </row>
    <row r="1141" spans="2:12" ht="15">
      <c r="B1141" s="897">
        <v>44631</v>
      </c>
      <c r="C1141" s="52" t="s">
        <v>1792</v>
      </c>
      <c r="D1141" s="718" t="s">
        <v>1912</v>
      </c>
      <c r="E1141" s="52" t="s">
        <v>1452</v>
      </c>
      <c r="F1141" s="929">
        <v>1600000</v>
      </c>
      <c r="G1141" s="52" t="s">
        <v>907</v>
      </c>
      <c r="H1141" s="52" t="s">
        <v>104</v>
      </c>
      <c r="I1141" s="52" t="s">
        <v>104</v>
      </c>
      <c r="J1141" s="52">
        <v>1</v>
      </c>
      <c r="K1141" s="52"/>
      <c r="L1141" s="52" t="s">
        <v>1688</v>
      </c>
    </row>
    <row r="1142" spans="2:12" ht="15">
      <c r="B1142" s="897">
        <v>44631</v>
      </c>
      <c r="C1142" s="52" t="s">
        <v>1792</v>
      </c>
      <c r="D1142" s="718" t="s">
        <v>1913</v>
      </c>
      <c r="E1142" s="52" t="s">
        <v>1452</v>
      </c>
      <c r="F1142" s="929">
        <v>1850000</v>
      </c>
      <c r="G1142" s="52" t="s">
        <v>907</v>
      </c>
      <c r="H1142" s="52" t="s">
        <v>104</v>
      </c>
      <c r="I1142" s="52" t="s">
        <v>104</v>
      </c>
      <c r="J1142" s="52">
        <v>1</v>
      </c>
      <c r="K1142" s="52"/>
      <c r="L1142" s="52" t="s">
        <v>607</v>
      </c>
    </row>
    <row r="1143" spans="2:12" ht="15">
      <c r="B1143" s="897">
        <v>44631</v>
      </c>
      <c r="C1143" s="52" t="s">
        <v>1792</v>
      </c>
      <c r="D1143" s="718" t="s">
        <v>1914</v>
      </c>
      <c r="E1143" s="52" t="s">
        <v>1915</v>
      </c>
      <c r="F1143" s="929">
        <v>3500000</v>
      </c>
      <c r="G1143" s="52" t="s">
        <v>907</v>
      </c>
      <c r="H1143" s="52" t="s">
        <v>104</v>
      </c>
      <c r="I1143" s="52" t="s">
        <v>104</v>
      </c>
      <c r="J1143" s="52">
        <v>1</v>
      </c>
      <c r="K1143" s="52"/>
      <c r="L1143" s="52" t="s">
        <v>607</v>
      </c>
    </row>
    <row r="1144" spans="2:12" ht="15">
      <c r="B1144" s="897">
        <v>44631</v>
      </c>
      <c r="C1144" s="52" t="s">
        <v>1792</v>
      </c>
      <c r="D1144" s="718" t="s">
        <v>1916</v>
      </c>
      <c r="E1144" s="52" t="s">
        <v>997</v>
      </c>
      <c r="F1144" s="929">
        <v>3500000</v>
      </c>
      <c r="G1144" s="52" t="s">
        <v>907</v>
      </c>
      <c r="H1144" s="52" t="s">
        <v>104</v>
      </c>
      <c r="I1144" s="52" t="s">
        <v>104</v>
      </c>
      <c r="J1144" s="52">
        <v>1</v>
      </c>
      <c r="K1144" s="52"/>
      <c r="L1144" s="52" t="s">
        <v>1688</v>
      </c>
    </row>
    <row r="1145" spans="2:12" ht="15">
      <c r="B1145" s="903" t="s">
        <v>1875</v>
      </c>
      <c r="C1145" s="52" t="s">
        <v>1792</v>
      </c>
      <c r="D1145" s="718" t="s">
        <v>1917</v>
      </c>
      <c r="E1145" s="52" t="s">
        <v>988</v>
      </c>
      <c r="F1145" s="929">
        <v>2500000</v>
      </c>
      <c r="G1145" s="52" t="s">
        <v>907</v>
      </c>
      <c r="H1145" s="52" t="s">
        <v>104</v>
      </c>
      <c r="I1145" s="52" t="s">
        <v>104</v>
      </c>
      <c r="J1145" s="52">
        <v>1</v>
      </c>
      <c r="K1145" s="52"/>
      <c r="L1145" s="52" t="s">
        <v>1688</v>
      </c>
    </row>
    <row r="1146" spans="2:12" ht="16.5">
      <c r="B1146" s="903" t="s">
        <v>1875</v>
      </c>
      <c r="C1146" s="52" t="s">
        <v>1792</v>
      </c>
      <c r="D1146" s="889" t="s">
        <v>1918</v>
      </c>
      <c r="E1146" s="52" t="s">
        <v>1088</v>
      </c>
      <c r="F1146" s="929">
        <v>1850000</v>
      </c>
      <c r="G1146" s="52" t="s">
        <v>907</v>
      </c>
      <c r="H1146" s="52" t="s">
        <v>104</v>
      </c>
      <c r="I1146" s="52" t="s">
        <v>104</v>
      </c>
      <c r="J1146" s="52">
        <v>1</v>
      </c>
      <c r="K1146" s="52"/>
      <c r="L1146" s="52" t="s">
        <v>607</v>
      </c>
    </row>
    <row r="1147" spans="2:12" ht="15">
      <c r="B1147" s="903" t="s">
        <v>1875</v>
      </c>
      <c r="C1147" s="52" t="s">
        <v>1792</v>
      </c>
      <c r="D1147" s="718" t="s">
        <v>1919</v>
      </c>
      <c r="E1147" s="52" t="s">
        <v>1040</v>
      </c>
      <c r="F1147" s="929">
        <v>2200000</v>
      </c>
      <c r="G1147" s="52" t="s">
        <v>907</v>
      </c>
      <c r="H1147" s="52" t="s">
        <v>104</v>
      </c>
      <c r="I1147" s="52" t="s">
        <v>104</v>
      </c>
      <c r="J1147" s="52">
        <v>1</v>
      </c>
      <c r="K1147" s="52"/>
      <c r="L1147" s="52" t="s">
        <v>633</v>
      </c>
    </row>
    <row r="1148" spans="2:12" ht="15">
      <c r="B1148" s="903" t="s">
        <v>1886</v>
      </c>
      <c r="C1148" s="52" t="s">
        <v>1792</v>
      </c>
      <c r="D1148" s="718" t="s">
        <v>1920</v>
      </c>
      <c r="E1148" s="52" t="s">
        <v>1452</v>
      </c>
      <c r="F1148" s="929">
        <v>2350000</v>
      </c>
      <c r="G1148" s="52" t="s">
        <v>907</v>
      </c>
      <c r="H1148" s="52" t="s">
        <v>104</v>
      </c>
      <c r="I1148" s="52" t="s">
        <v>104</v>
      </c>
      <c r="J1148" s="52">
        <v>1</v>
      </c>
      <c r="K1148" s="52"/>
      <c r="L1148" s="52" t="s">
        <v>633</v>
      </c>
    </row>
    <row r="1149" spans="2:12" ht="15">
      <c r="B1149" s="903" t="s">
        <v>1886</v>
      </c>
      <c r="C1149" s="709" t="s">
        <v>1792</v>
      </c>
      <c r="D1149" s="761" t="s">
        <v>1921</v>
      </c>
      <c r="E1149" s="709" t="s">
        <v>1452</v>
      </c>
      <c r="F1149" s="929">
        <v>2350000</v>
      </c>
      <c r="G1149" s="52" t="s">
        <v>907</v>
      </c>
      <c r="H1149" s="52" t="s">
        <v>104</v>
      </c>
      <c r="I1149" s="52" t="s">
        <v>104</v>
      </c>
      <c r="J1149" s="52">
        <v>1</v>
      </c>
      <c r="K1149" s="52"/>
      <c r="L1149" s="52" t="s">
        <v>1688</v>
      </c>
    </row>
    <row r="1150" spans="2:12" ht="15">
      <c r="B1150" s="948" t="s">
        <v>1922</v>
      </c>
      <c r="C1150" s="52" t="s">
        <v>1792</v>
      </c>
      <c r="D1150" s="718" t="s">
        <v>1923</v>
      </c>
      <c r="E1150" s="52" t="s">
        <v>997</v>
      </c>
      <c r="F1150" s="933">
        <v>1900000</v>
      </c>
      <c r="G1150" s="52" t="s">
        <v>907</v>
      </c>
      <c r="H1150" s="52" t="s">
        <v>104</v>
      </c>
      <c r="I1150" s="52" t="s">
        <v>104</v>
      </c>
      <c r="J1150" s="52">
        <v>1</v>
      </c>
      <c r="K1150" s="52"/>
      <c r="L1150" s="52" t="s">
        <v>1688</v>
      </c>
    </row>
    <row r="1151" spans="2:12" ht="15">
      <c r="B1151" s="948" t="s">
        <v>1922</v>
      </c>
      <c r="C1151" s="52" t="s">
        <v>1792</v>
      </c>
      <c r="D1151" s="718" t="s">
        <v>1924</v>
      </c>
      <c r="E1151" s="52" t="s">
        <v>988</v>
      </c>
      <c r="F1151" s="933">
        <v>2600000</v>
      </c>
      <c r="G1151" s="52" t="s">
        <v>907</v>
      </c>
      <c r="H1151" s="52" t="s">
        <v>104</v>
      </c>
      <c r="I1151" s="52" t="s">
        <v>104</v>
      </c>
      <c r="J1151" s="52">
        <v>1</v>
      </c>
      <c r="K1151" s="52"/>
      <c r="L1151" s="52" t="s">
        <v>633</v>
      </c>
    </row>
    <row r="1152" spans="2:12" ht="15">
      <c r="B1152" s="957" t="s">
        <v>1925</v>
      </c>
      <c r="C1152" s="52" t="s">
        <v>1792</v>
      </c>
      <c r="D1152" s="718" t="s">
        <v>1926</v>
      </c>
      <c r="E1152" s="52" t="s">
        <v>1452</v>
      </c>
      <c r="F1152" s="933">
        <v>2350000</v>
      </c>
      <c r="G1152" s="52" t="s">
        <v>907</v>
      </c>
      <c r="H1152" s="52" t="s">
        <v>104</v>
      </c>
      <c r="I1152" s="52" t="s">
        <v>104</v>
      </c>
      <c r="J1152" s="52">
        <v>1</v>
      </c>
      <c r="K1152" s="52"/>
      <c r="L1152" s="52" t="s">
        <v>633</v>
      </c>
    </row>
    <row r="1153" spans="2:12">
      <c r="B1153" s="958"/>
      <c r="C1153" s="52"/>
      <c r="D1153" s="52"/>
      <c r="E1153" s="52"/>
      <c r="F1153" s="938"/>
      <c r="G1153" s="429"/>
      <c r="H1153" s="429"/>
      <c r="I1153" s="429"/>
      <c r="J1153" s="429">
        <f>SUM(J1139:J1152)</f>
        <v>14</v>
      </c>
      <c r="K1153" s="429"/>
      <c r="L1153" s="429"/>
    </row>
    <row r="1154" spans="2:12" ht="18.75" customHeight="1">
      <c r="B1154" s="1091" t="s">
        <v>1927</v>
      </c>
      <c r="C1154" s="1092"/>
      <c r="D1154" s="1092"/>
      <c r="E1154" s="1092"/>
      <c r="F1154" s="1092"/>
      <c r="G1154" s="1092"/>
      <c r="H1154" s="1092"/>
      <c r="I1154" s="1092"/>
      <c r="J1154" s="1092"/>
      <c r="K1154" s="1092"/>
      <c r="L1154" s="1093"/>
    </row>
    <row r="1155" spans="2:12" ht="18.75">
      <c r="B1155" s="328" t="s">
        <v>892</v>
      </c>
      <c r="C1155" s="329" t="s">
        <v>893</v>
      </c>
      <c r="D1155" s="329" t="s">
        <v>894</v>
      </c>
      <c r="E1155" s="329" t="s">
        <v>895</v>
      </c>
      <c r="F1155" s="330" t="s">
        <v>896</v>
      </c>
      <c r="G1155" s="329" t="s">
        <v>897</v>
      </c>
      <c r="H1155" s="329" t="s">
        <v>898</v>
      </c>
      <c r="I1155" s="329" t="s">
        <v>899</v>
      </c>
      <c r="J1155" s="329" t="s">
        <v>900</v>
      </c>
      <c r="K1155" s="329" t="s">
        <v>901</v>
      </c>
      <c r="L1155" s="329" t="s">
        <v>902</v>
      </c>
    </row>
    <row r="1156" spans="2:12" ht="15">
      <c r="B1156" s="897">
        <v>44572</v>
      </c>
      <c r="C1156" s="52" t="s">
        <v>1792</v>
      </c>
      <c r="D1156" s="718" t="s">
        <v>1928</v>
      </c>
      <c r="E1156" s="52" t="s">
        <v>997</v>
      </c>
      <c r="F1156" s="929">
        <v>2000000</v>
      </c>
      <c r="G1156" s="52" t="s">
        <v>1091</v>
      </c>
      <c r="H1156" s="52" t="s">
        <v>104</v>
      </c>
      <c r="I1156" s="52" t="s">
        <v>104</v>
      </c>
      <c r="J1156" s="52">
        <v>1</v>
      </c>
      <c r="K1156" s="52"/>
      <c r="L1156" s="52" t="s">
        <v>1688</v>
      </c>
    </row>
    <row r="1157" spans="2:12" ht="15">
      <c r="B1157" s="897">
        <v>44815</v>
      </c>
      <c r="C1157" s="52" t="s">
        <v>992</v>
      </c>
      <c r="D1157" s="718" t="s">
        <v>1929</v>
      </c>
      <c r="E1157" s="52" t="s">
        <v>997</v>
      </c>
      <c r="F1157" s="929">
        <v>1600000</v>
      </c>
      <c r="G1157" s="52" t="s">
        <v>1091</v>
      </c>
      <c r="H1157" s="52" t="s">
        <v>104</v>
      </c>
      <c r="I1157" s="52" t="s">
        <v>104</v>
      </c>
      <c r="J1157" s="52">
        <v>1</v>
      </c>
      <c r="K1157" s="52"/>
      <c r="L1157" s="52" t="s">
        <v>633</v>
      </c>
    </row>
    <row r="1158" spans="2:12" ht="16.5">
      <c r="B1158" s="897">
        <v>44815</v>
      </c>
      <c r="C1158" s="52" t="s">
        <v>1792</v>
      </c>
      <c r="D1158" s="854" t="s">
        <v>1930</v>
      </c>
      <c r="E1158" s="52" t="s">
        <v>1394</v>
      </c>
      <c r="F1158" s="929">
        <v>1700000</v>
      </c>
      <c r="G1158" s="52" t="s">
        <v>911</v>
      </c>
      <c r="H1158" s="52" t="s">
        <v>104</v>
      </c>
      <c r="I1158" s="52" t="s">
        <v>104</v>
      </c>
      <c r="J1158" s="52">
        <v>1</v>
      </c>
      <c r="K1158" s="52"/>
      <c r="L1158" s="52" t="s">
        <v>633</v>
      </c>
    </row>
    <row r="1159" spans="2:12" ht="15">
      <c r="B1159" s="897">
        <v>44815</v>
      </c>
      <c r="C1159" s="52" t="s">
        <v>1792</v>
      </c>
      <c r="D1159" s="718" t="s">
        <v>1931</v>
      </c>
      <c r="E1159" s="52" t="s">
        <v>1508</v>
      </c>
      <c r="F1159" s="929">
        <v>1300000</v>
      </c>
      <c r="G1159" s="52" t="s">
        <v>1091</v>
      </c>
      <c r="H1159" s="52" t="s">
        <v>104</v>
      </c>
      <c r="I1159" s="52" t="s">
        <v>104</v>
      </c>
      <c r="J1159" s="52">
        <v>1</v>
      </c>
      <c r="K1159" s="52"/>
      <c r="L1159" s="52" t="s">
        <v>1688</v>
      </c>
    </row>
    <row r="1160" spans="2:12" ht="15">
      <c r="B1160" s="903" t="s">
        <v>1932</v>
      </c>
      <c r="C1160" s="52" t="s">
        <v>1792</v>
      </c>
      <c r="D1160" s="718" t="s">
        <v>1933</v>
      </c>
      <c r="E1160" s="52" t="s">
        <v>1508</v>
      </c>
      <c r="F1160" s="929">
        <v>1300000</v>
      </c>
      <c r="G1160" s="52" t="s">
        <v>1091</v>
      </c>
      <c r="H1160" s="52" t="s">
        <v>104</v>
      </c>
      <c r="I1160" s="52" t="s">
        <v>104</v>
      </c>
      <c r="J1160" s="52">
        <v>1</v>
      </c>
      <c r="K1160" s="52"/>
      <c r="L1160" s="52" t="s">
        <v>633</v>
      </c>
    </row>
    <row r="1161" spans="2:12" ht="15">
      <c r="B1161" s="903" t="s">
        <v>1932</v>
      </c>
      <c r="C1161" s="52" t="s">
        <v>1792</v>
      </c>
      <c r="D1161" s="718" t="s">
        <v>1934</v>
      </c>
      <c r="E1161" s="52" t="s">
        <v>1935</v>
      </c>
      <c r="F1161" s="929">
        <v>1700000</v>
      </c>
      <c r="G1161" s="52" t="s">
        <v>907</v>
      </c>
      <c r="H1161" s="52" t="s">
        <v>104</v>
      </c>
      <c r="I1161" s="52" t="s">
        <v>104</v>
      </c>
      <c r="J1161" s="52">
        <v>1</v>
      </c>
      <c r="K1161" s="52"/>
      <c r="L1161" s="52" t="s">
        <v>607</v>
      </c>
    </row>
    <row r="1162" spans="2:12" ht="15">
      <c r="B1162" s="903" t="s">
        <v>1932</v>
      </c>
      <c r="C1162" s="52" t="s">
        <v>1792</v>
      </c>
      <c r="D1162" s="718" t="s">
        <v>1934</v>
      </c>
      <c r="E1162" s="52" t="s">
        <v>1935</v>
      </c>
      <c r="F1162" s="929">
        <v>1700000</v>
      </c>
      <c r="G1162" s="52" t="s">
        <v>907</v>
      </c>
      <c r="H1162" s="52" t="s">
        <v>104</v>
      </c>
      <c r="I1162" s="52" t="s">
        <v>104</v>
      </c>
      <c r="J1162" s="52">
        <v>1</v>
      </c>
      <c r="K1162" s="52"/>
      <c r="L1162" s="52" t="s">
        <v>1688</v>
      </c>
    </row>
    <row r="1163" spans="2:12" ht="15">
      <c r="B1163" s="415" t="s">
        <v>1936</v>
      </c>
      <c r="C1163" s="52" t="s">
        <v>1792</v>
      </c>
      <c r="D1163" s="718" t="s">
        <v>1937</v>
      </c>
      <c r="E1163" s="52" t="s">
        <v>1508</v>
      </c>
      <c r="F1163" s="929">
        <v>2100000</v>
      </c>
      <c r="G1163" s="52" t="s">
        <v>907</v>
      </c>
      <c r="H1163" s="52" t="s">
        <v>104</v>
      </c>
      <c r="I1163" s="52" t="s">
        <v>104</v>
      </c>
      <c r="J1163" s="52">
        <v>1</v>
      </c>
      <c r="K1163" s="52"/>
      <c r="L1163" s="52" t="s">
        <v>607</v>
      </c>
    </row>
    <row r="1164" spans="2:12">
      <c r="B1164" s="52"/>
      <c r="C1164" s="52"/>
      <c r="D1164" s="52"/>
      <c r="E1164" s="52"/>
      <c r="F1164" s="52"/>
      <c r="G1164" s="52"/>
      <c r="H1164" s="52"/>
      <c r="I1164" s="52"/>
      <c r="J1164" s="52"/>
      <c r="K1164" s="52"/>
      <c r="L1164" s="52"/>
    </row>
    <row r="1165" spans="2:12">
      <c r="B1165" s="429"/>
      <c r="C1165" s="429"/>
      <c r="D1165" s="429"/>
      <c r="E1165" s="429"/>
      <c r="F1165" s="429"/>
      <c r="G1165" s="429"/>
      <c r="H1165" s="429"/>
      <c r="I1165" s="429"/>
      <c r="J1165" s="429">
        <f>SUM(J1156:J1164)</f>
        <v>8</v>
      </c>
      <c r="K1165" s="429"/>
      <c r="L1165" s="429"/>
    </row>
    <row r="1166" spans="2:12" ht="18.75" customHeight="1">
      <c r="B1166" s="1091" t="s">
        <v>1938</v>
      </c>
      <c r="C1166" s="1092"/>
      <c r="D1166" s="1092"/>
      <c r="E1166" s="1092"/>
      <c r="F1166" s="1092"/>
      <c r="G1166" s="1092"/>
      <c r="H1166" s="1092"/>
      <c r="I1166" s="1092"/>
      <c r="J1166" s="1092"/>
      <c r="K1166" s="1092"/>
      <c r="L1166" s="1093"/>
    </row>
    <row r="1167" spans="2:12" ht="18.75">
      <c r="B1167" s="328" t="s">
        <v>892</v>
      </c>
      <c r="C1167" s="329" t="s">
        <v>893</v>
      </c>
      <c r="D1167" s="329" t="s">
        <v>894</v>
      </c>
      <c r="E1167" s="329" t="s">
        <v>895</v>
      </c>
      <c r="F1167" s="330" t="s">
        <v>896</v>
      </c>
      <c r="G1167" s="329" t="s">
        <v>897</v>
      </c>
      <c r="H1167" s="329" t="s">
        <v>898</v>
      </c>
      <c r="I1167" s="329" t="s">
        <v>899</v>
      </c>
      <c r="J1167" s="329" t="s">
        <v>900</v>
      </c>
      <c r="K1167" s="329" t="s">
        <v>901</v>
      </c>
      <c r="L1167" s="329" t="s">
        <v>902</v>
      </c>
    </row>
    <row r="1168" spans="2:12" ht="15">
      <c r="B1168" s="897">
        <v>44631</v>
      </c>
      <c r="C1168" s="52" t="s">
        <v>1792</v>
      </c>
      <c r="D1168" s="718" t="s">
        <v>1939</v>
      </c>
      <c r="E1168" s="52" t="s">
        <v>988</v>
      </c>
      <c r="F1168" s="929">
        <v>2200000</v>
      </c>
      <c r="G1168" s="285" t="s">
        <v>907</v>
      </c>
      <c r="H1168" s="52" t="s">
        <v>104</v>
      </c>
      <c r="I1168" s="52" t="s">
        <v>104</v>
      </c>
      <c r="J1168" s="52">
        <v>1</v>
      </c>
      <c r="K1168" s="52"/>
      <c r="L1168" s="52" t="s">
        <v>1688</v>
      </c>
    </row>
    <row r="1169" spans="2:12" ht="15">
      <c r="B1169" s="897">
        <v>44815</v>
      </c>
      <c r="C1169" s="52" t="s">
        <v>1792</v>
      </c>
      <c r="D1169" s="718" t="s">
        <v>1940</v>
      </c>
      <c r="E1169" s="52" t="s">
        <v>988</v>
      </c>
      <c r="F1169" s="929">
        <v>1800000</v>
      </c>
      <c r="G1169" s="285" t="s">
        <v>907</v>
      </c>
      <c r="H1169" s="52" t="s">
        <v>104</v>
      </c>
      <c r="I1169" s="52" t="s">
        <v>104</v>
      </c>
      <c r="J1169" s="52">
        <v>1</v>
      </c>
      <c r="K1169" s="52"/>
      <c r="L1169" s="52" t="s">
        <v>1688</v>
      </c>
    </row>
    <row r="1170" spans="2:12" ht="15">
      <c r="B1170" s="934" t="s">
        <v>1936</v>
      </c>
      <c r="C1170" s="709" t="s">
        <v>1792</v>
      </c>
      <c r="D1170" s="761" t="s">
        <v>1941</v>
      </c>
      <c r="E1170" s="709" t="s">
        <v>1508</v>
      </c>
      <c r="F1170" s="929">
        <v>900000</v>
      </c>
      <c r="G1170" s="285" t="s">
        <v>907</v>
      </c>
      <c r="H1170" s="52" t="s">
        <v>104</v>
      </c>
      <c r="I1170" s="52" t="s">
        <v>104</v>
      </c>
      <c r="J1170" s="52">
        <v>1</v>
      </c>
      <c r="K1170" s="52"/>
      <c r="L1170" s="52" t="s">
        <v>633</v>
      </c>
    </row>
    <row r="1171" spans="2:12" ht="15">
      <c r="B1171" s="52"/>
      <c r="C1171" s="709" t="s">
        <v>1792</v>
      </c>
      <c r="D1171" s="953" t="s">
        <v>1942</v>
      </c>
      <c r="E1171" s="709" t="s">
        <v>1508</v>
      </c>
      <c r="F1171" s="285"/>
      <c r="G1171" s="285" t="s">
        <v>907</v>
      </c>
      <c r="H1171" s="52" t="s">
        <v>104</v>
      </c>
      <c r="I1171" s="52" t="s">
        <v>104</v>
      </c>
      <c r="J1171" s="52">
        <v>1</v>
      </c>
      <c r="K1171" s="52"/>
      <c r="L1171" s="52"/>
    </row>
    <row r="1172" spans="2:12" ht="15">
      <c r="B1172" s="52"/>
      <c r="C1172" s="709" t="s">
        <v>1792</v>
      </c>
      <c r="D1172" s="953" t="s">
        <v>1943</v>
      </c>
      <c r="E1172" s="52" t="s">
        <v>997</v>
      </c>
      <c r="F1172" s="285"/>
      <c r="G1172" s="285" t="s">
        <v>907</v>
      </c>
      <c r="H1172" s="52" t="s">
        <v>104</v>
      </c>
      <c r="I1172" s="52" t="s">
        <v>104</v>
      </c>
      <c r="J1172" s="52">
        <v>1</v>
      </c>
      <c r="K1172" s="52"/>
      <c r="L1172" s="52"/>
    </row>
    <row r="1173" spans="2:12" ht="15">
      <c r="B1173" s="52"/>
      <c r="C1173" s="709" t="s">
        <v>1792</v>
      </c>
      <c r="D1173" s="953" t="s">
        <v>1944</v>
      </c>
      <c r="E1173" s="52" t="s">
        <v>1346</v>
      </c>
      <c r="F1173" s="285"/>
      <c r="G1173" s="285" t="s">
        <v>907</v>
      </c>
      <c r="H1173" s="52" t="s">
        <v>104</v>
      </c>
      <c r="I1173" s="52" t="s">
        <v>104</v>
      </c>
      <c r="J1173" s="52">
        <v>1</v>
      </c>
      <c r="K1173" s="52"/>
      <c r="L1173" s="52"/>
    </row>
    <row r="1174" spans="2:12" ht="15">
      <c r="B1174" s="52"/>
      <c r="C1174" s="709" t="s">
        <v>1792</v>
      </c>
      <c r="D1174" s="953" t="s">
        <v>1945</v>
      </c>
      <c r="E1174" s="52" t="s">
        <v>1452</v>
      </c>
      <c r="F1174" s="938"/>
      <c r="G1174" s="285" t="s">
        <v>907</v>
      </c>
      <c r="H1174" s="52" t="s">
        <v>104</v>
      </c>
      <c r="I1174" s="52" t="s">
        <v>104</v>
      </c>
      <c r="J1174" s="52">
        <v>1</v>
      </c>
      <c r="K1174" s="52"/>
      <c r="L1174" s="52"/>
    </row>
    <row r="1175" spans="2:12" ht="15">
      <c r="B1175" s="52"/>
      <c r="C1175" s="709" t="s">
        <v>1792</v>
      </c>
      <c r="D1175" s="953" t="s">
        <v>1946</v>
      </c>
      <c r="E1175" s="52" t="s">
        <v>1947</v>
      </c>
      <c r="F1175" s="285"/>
      <c r="G1175" s="285" t="s">
        <v>907</v>
      </c>
      <c r="H1175" s="52" t="s">
        <v>104</v>
      </c>
      <c r="I1175" s="52" t="s">
        <v>104</v>
      </c>
      <c r="J1175" s="52">
        <v>1</v>
      </c>
      <c r="K1175" s="52"/>
      <c r="L1175" s="52"/>
    </row>
    <row r="1176" spans="2:12" ht="15">
      <c r="B1176" s="52"/>
      <c r="C1176" s="709" t="s">
        <v>1792</v>
      </c>
      <c r="D1176" s="953" t="s">
        <v>1948</v>
      </c>
      <c r="E1176" s="52" t="s">
        <v>982</v>
      </c>
      <c r="F1176" s="285"/>
      <c r="G1176" s="285" t="s">
        <v>907</v>
      </c>
      <c r="H1176" s="52" t="s">
        <v>104</v>
      </c>
      <c r="I1176" s="52" t="s">
        <v>104</v>
      </c>
      <c r="J1176" s="52">
        <v>1</v>
      </c>
      <c r="K1176" s="52"/>
      <c r="L1176" s="52"/>
    </row>
    <row r="1177" spans="2:12">
      <c r="B1177" s="52"/>
      <c r="C1177" s="52"/>
      <c r="D1177" s="52"/>
      <c r="E1177" s="52"/>
      <c r="F1177" s="285"/>
      <c r="G1177" s="52"/>
      <c r="H1177" s="52"/>
      <c r="I1177" s="52"/>
      <c r="J1177" s="52">
        <f>SUM(J1168:J1176)</f>
        <v>9</v>
      </c>
      <c r="K1177" s="52"/>
      <c r="L1177" s="52"/>
    </row>
    <row r="1178" spans="2:12" ht="31.5">
      <c r="B1178" s="987" t="s">
        <v>1949</v>
      </c>
      <c r="C1178" s="987"/>
      <c r="D1178" s="987"/>
      <c r="E1178" s="987"/>
      <c r="F1178" s="987"/>
      <c r="G1178" s="987"/>
      <c r="H1178" s="987"/>
      <c r="I1178" s="987"/>
      <c r="J1178" s="987"/>
      <c r="K1178" s="987"/>
      <c r="L1178" s="987"/>
    </row>
    <row r="1179" spans="2:12" ht="18.75">
      <c r="B1179" s="1094" t="s">
        <v>1950</v>
      </c>
      <c r="C1179" s="1095"/>
      <c r="D1179" s="1095"/>
      <c r="E1179" s="1095"/>
      <c r="F1179" s="1095"/>
      <c r="G1179" s="1095"/>
      <c r="H1179" s="1095"/>
      <c r="I1179" s="1095"/>
      <c r="J1179" s="1095"/>
      <c r="K1179" s="1095"/>
      <c r="L1179" s="1096"/>
    </row>
    <row r="1180" spans="2:12" ht="18.75">
      <c r="B1180" s="328" t="s">
        <v>892</v>
      </c>
      <c r="C1180" s="329" t="s">
        <v>893</v>
      </c>
      <c r="D1180" s="329" t="s">
        <v>894</v>
      </c>
      <c r="E1180" s="329" t="s">
        <v>895</v>
      </c>
      <c r="F1180" s="330" t="s">
        <v>896</v>
      </c>
      <c r="G1180" s="329" t="s">
        <v>897</v>
      </c>
      <c r="H1180" s="329" t="s">
        <v>898</v>
      </c>
      <c r="I1180" s="329" t="s">
        <v>899</v>
      </c>
      <c r="J1180" s="329" t="s">
        <v>900</v>
      </c>
      <c r="K1180" s="329" t="s">
        <v>901</v>
      </c>
      <c r="L1180" s="329" t="s">
        <v>902</v>
      </c>
    </row>
    <row r="1181" spans="2:12" ht="15">
      <c r="B1181" s="897" t="s">
        <v>1951</v>
      </c>
      <c r="C1181" s="52" t="s">
        <v>894</v>
      </c>
      <c r="D1181" s="718" t="s">
        <v>1952</v>
      </c>
      <c r="E1181" s="52" t="s">
        <v>1953</v>
      </c>
      <c r="F1181" s="929">
        <v>2100000</v>
      </c>
      <c r="G1181" s="52" t="s">
        <v>911</v>
      </c>
      <c r="H1181" s="52" t="s">
        <v>104</v>
      </c>
      <c r="I1181" s="52" t="s">
        <v>104</v>
      </c>
      <c r="J1181" s="52">
        <v>1</v>
      </c>
      <c r="K1181" s="52"/>
      <c r="L1181" s="52" t="s">
        <v>533</v>
      </c>
    </row>
    <row r="1182" spans="2:12" ht="15">
      <c r="B1182" s="897" t="s">
        <v>1951</v>
      </c>
      <c r="C1182" s="52" t="s">
        <v>894</v>
      </c>
      <c r="D1182" s="718" t="s">
        <v>1954</v>
      </c>
      <c r="E1182" s="52" t="s">
        <v>1955</v>
      </c>
      <c r="F1182" s="929">
        <v>2200000</v>
      </c>
      <c r="G1182" s="52" t="s">
        <v>911</v>
      </c>
      <c r="H1182" s="52" t="s">
        <v>104</v>
      </c>
      <c r="I1182" s="52" t="s">
        <v>104</v>
      </c>
      <c r="J1182" s="52">
        <v>1</v>
      </c>
      <c r="K1182" s="52"/>
      <c r="L1182" s="52" t="s">
        <v>533</v>
      </c>
    </row>
    <row r="1183" spans="2:12" ht="15">
      <c r="B1183" s="897"/>
      <c r="C1183" s="52"/>
      <c r="D1183" s="718"/>
      <c r="E1183" s="52"/>
      <c r="F1183" s="929"/>
      <c r="G1183" s="52"/>
      <c r="H1183" s="52"/>
      <c r="I1183" s="52"/>
      <c r="J1183" s="52"/>
      <c r="K1183" s="52"/>
      <c r="L1183" s="52"/>
    </row>
    <row r="1184" spans="2:12" ht="15">
      <c r="B1184" s="897"/>
      <c r="C1184" s="52"/>
      <c r="D1184" s="718"/>
      <c r="E1184" s="52"/>
      <c r="F1184" s="929"/>
      <c r="G1184" s="52"/>
      <c r="H1184" s="52"/>
      <c r="I1184" s="52"/>
      <c r="J1184" s="52"/>
      <c r="K1184" s="52"/>
      <c r="L1184" s="52"/>
    </row>
    <row r="1185" spans="2:12" ht="15">
      <c r="B1185" s="897"/>
      <c r="C1185" s="52"/>
      <c r="D1185" s="718"/>
      <c r="E1185" s="52"/>
      <c r="F1185" s="929"/>
      <c r="G1185" s="52"/>
      <c r="H1185" s="52"/>
      <c r="I1185" s="52"/>
      <c r="J1185" s="52"/>
      <c r="K1185" s="52"/>
      <c r="L1185" s="52"/>
    </row>
    <row r="1186" spans="2:12" ht="15">
      <c r="B1186" s="897"/>
      <c r="C1186" s="52"/>
      <c r="D1186" s="718"/>
      <c r="E1186" s="52"/>
      <c r="F1186" s="929"/>
      <c r="G1186" s="52"/>
      <c r="H1186" s="52"/>
      <c r="I1186" s="52"/>
      <c r="J1186" s="52"/>
      <c r="K1186" s="52"/>
      <c r="L1186" s="52"/>
    </row>
    <row r="1187" spans="2:12" ht="15">
      <c r="B1187" s="971"/>
      <c r="C1187" s="429"/>
      <c r="D1187" s="429"/>
      <c r="E1187" s="429"/>
      <c r="F1187" s="972"/>
      <c r="G1187" s="429"/>
      <c r="H1187" s="429"/>
      <c r="I1187" s="429"/>
      <c r="J1187" s="429"/>
      <c r="K1187" s="429"/>
      <c r="L1187" s="429"/>
    </row>
    <row r="1188" spans="2:12" ht="15">
      <c r="B1188" s="906"/>
      <c r="C1188" s="709"/>
      <c r="D1188" s="761"/>
      <c r="E1188" s="709"/>
      <c r="F1188" s="929"/>
      <c r="G1188" s="52"/>
      <c r="H1188" s="52"/>
      <c r="I1188" s="52"/>
      <c r="J1188" s="52"/>
      <c r="K1188" s="52"/>
      <c r="L1188" s="52"/>
    </row>
    <row r="1189" spans="2:12" ht="15">
      <c r="B1189" s="897"/>
      <c r="C1189" s="52"/>
      <c r="D1189" s="718"/>
      <c r="E1189" s="52"/>
      <c r="F1189" s="933"/>
      <c r="G1189" s="52"/>
      <c r="H1189" s="52"/>
      <c r="I1189" s="52"/>
      <c r="J1189" s="52"/>
      <c r="K1189" s="52"/>
      <c r="L1189" s="52"/>
    </row>
    <row r="1190" spans="2:12" ht="14.25">
      <c r="B1190" s="897"/>
      <c r="C1190" s="52"/>
      <c r="D1190" s="718"/>
      <c r="E1190" s="52"/>
      <c r="F1190" s="285"/>
      <c r="G1190" s="52"/>
      <c r="H1190" s="52"/>
      <c r="I1190" s="52"/>
      <c r="J1190" s="52"/>
      <c r="K1190" s="52"/>
      <c r="L1190" s="52"/>
    </row>
    <row r="1191" spans="2:12" ht="14.25">
      <c r="B1191" s="903"/>
      <c r="C1191" s="52"/>
      <c r="D1191" s="718"/>
      <c r="E1191" s="52"/>
      <c r="F1191" s="285"/>
      <c r="G1191" s="52"/>
      <c r="H1191" s="52"/>
      <c r="I1191" s="52"/>
      <c r="J1191" s="52"/>
      <c r="K1191" s="52"/>
      <c r="L1191" s="52"/>
    </row>
    <row r="1192" spans="2:12" ht="14.25">
      <c r="B1192" s="903"/>
      <c r="C1192" s="52"/>
      <c r="D1192" s="718"/>
      <c r="E1192" s="52"/>
      <c r="F1192" s="285"/>
      <c r="G1192" s="52"/>
      <c r="H1192" s="52"/>
      <c r="I1192" s="52"/>
      <c r="J1192" s="52"/>
      <c r="K1192" s="52"/>
      <c r="L1192" s="52"/>
    </row>
    <row r="1193" spans="2:12" ht="14.25">
      <c r="B1193" s="903"/>
      <c r="C1193" s="52"/>
      <c r="D1193" s="889"/>
      <c r="E1193" s="52"/>
      <c r="F1193" s="285"/>
      <c r="G1193" s="52"/>
      <c r="H1193" s="52"/>
      <c r="I1193" s="52"/>
      <c r="J1193" s="52"/>
      <c r="K1193" s="52"/>
      <c r="L1193" s="52"/>
    </row>
    <row r="1194" spans="2:12" ht="15">
      <c r="B1194" s="918"/>
      <c r="C1194" s="709"/>
      <c r="D1194" s="761"/>
      <c r="E1194" s="52"/>
      <c r="F1194" s="933"/>
      <c r="G1194" s="285"/>
      <c r="H1194" s="52"/>
      <c r="I1194" s="52"/>
      <c r="J1194" s="52"/>
      <c r="K1194" s="52"/>
      <c r="L1194" s="52"/>
    </row>
    <row r="1195" spans="2:12" ht="15">
      <c r="B1195" s="903"/>
      <c r="C1195" s="52"/>
      <c r="D1195" s="718"/>
      <c r="E1195" s="285"/>
      <c r="F1195" s="933"/>
      <c r="G1195" s="285"/>
      <c r="H1195" s="52"/>
      <c r="I1195" s="52"/>
      <c r="J1195" s="52"/>
      <c r="K1195" s="52"/>
      <c r="L1195" s="52"/>
    </row>
    <row r="1196" spans="2:12" ht="18.75">
      <c r="B1196" s="1094" t="s">
        <v>1956</v>
      </c>
      <c r="C1196" s="1095"/>
      <c r="D1196" s="1095"/>
      <c r="E1196" s="1095"/>
      <c r="F1196" s="1095"/>
      <c r="G1196" s="1095"/>
      <c r="H1196" s="1095"/>
      <c r="I1196" s="1095"/>
      <c r="J1196" s="1095"/>
      <c r="K1196" s="1095"/>
      <c r="L1196" s="1096"/>
    </row>
    <row r="1197" spans="2:12" ht="18.75">
      <c r="B1197" s="328" t="s">
        <v>892</v>
      </c>
      <c r="C1197" s="329" t="s">
        <v>893</v>
      </c>
      <c r="D1197" s="329" t="s">
        <v>894</v>
      </c>
      <c r="E1197" s="329" t="s">
        <v>895</v>
      </c>
      <c r="F1197" s="330" t="s">
        <v>896</v>
      </c>
      <c r="G1197" s="329" t="s">
        <v>897</v>
      </c>
      <c r="H1197" s="329" t="s">
        <v>898</v>
      </c>
      <c r="I1197" s="329" t="s">
        <v>899</v>
      </c>
      <c r="J1197" s="329" t="s">
        <v>900</v>
      </c>
      <c r="K1197" s="329" t="s">
        <v>901</v>
      </c>
      <c r="L1197" s="329" t="s">
        <v>902</v>
      </c>
    </row>
    <row r="1198" spans="2:12" ht="15">
      <c r="B1198" s="906" t="s">
        <v>1951</v>
      </c>
      <c r="C1198" s="709" t="s">
        <v>894</v>
      </c>
      <c r="D1198" s="717" t="s">
        <v>1957</v>
      </c>
      <c r="E1198" s="709" t="s">
        <v>988</v>
      </c>
      <c r="F1198" s="929">
        <v>1900000</v>
      </c>
      <c r="G1198" s="52" t="s">
        <v>907</v>
      </c>
      <c r="H1198" s="52" t="s">
        <v>104</v>
      </c>
      <c r="I1198" s="52" t="s">
        <v>104</v>
      </c>
      <c r="J1198" s="52">
        <v>1</v>
      </c>
      <c r="K1198" s="52"/>
      <c r="L1198" s="52" t="s">
        <v>633</v>
      </c>
    </row>
    <row r="1199" spans="2:12" ht="15">
      <c r="B1199" s="897" t="s">
        <v>1951</v>
      </c>
      <c r="C1199" s="52" t="s">
        <v>894</v>
      </c>
      <c r="D1199" s="718" t="s">
        <v>1958</v>
      </c>
      <c r="E1199" s="52" t="s">
        <v>988</v>
      </c>
      <c r="F1199" s="933">
        <v>1900000</v>
      </c>
      <c r="G1199" s="52" t="s">
        <v>907</v>
      </c>
      <c r="H1199" s="52" t="s">
        <v>104</v>
      </c>
      <c r="I1199" s="52" t="s">
        <v>104</v>
      </c>
      <c r="J1199" s="52">
        <v>1</v>
      </c>
      <c r="K1199" s="52"/>
      <c r="L1199" s="52" t="s">
        <v>533</v>
      </c>
    </row>
    <row r="1200" spans="2:12" ht="15">
      <c r="B1200" s="897" t="s">
        <v>1951</v>
      </c>
      <c r="C1200" s="52" t="s">
        <v>894</v>
      </c>
      <c r="D1200" s="718" t="s">
        <v>1959</v>
      </c>
      <c r="E1200" s="52" t="s">
        <v>1088</v>
      </c>
      <c r="F1200" s="933">
        <v>1550000</v>
      </c>
      <c r="G1200" s="52" t="s">
        <v>907</v>
      </c>
      <c r="H1200" s="52" t="s">
        <v>104</v>
      </c>
      <c r="I1200" s="52" t="s">
        <v>104</v>
      </c>
      <c r="J1200" s="52">
        <v>1</v>
      </c>
      <c r="K1200" s="52"/>
      <c r="L1200" s="52" t="s">
        <v>633</v>
      </c>
    </row>
    <row r="1201" spans="2:12" ht="15">
      <c r="B1201" s="897" t="s">
        <v>1951</v>
      </c>
      <c r="C1201" s="52" t="s">
        <v>894</v>
      </c>
      <c r="D1201" s="718" t="s">
        <v>1960</v>
      </c>
      <c r="E1201" s="52" t="s">
        <v>982</v>
      </c>
      <c r="F1201" s="933">
        <v>2700000</v>
      </c>
      <c r="G1201" s="52" t="s">
        <v>907</v>
      </c>
      <c r="H1201" s="52" t="s">
        <v>104</v>
      </c>
      <c r="I1201" s="52" t="s">
        <v>104</v>
      </c>
      <c r="J1201" s="52">
        <v>1</v>
      </c>
      <c r="K1201" s="52"/>
      <c r="L1201" s="52" t="s">
        <v>533</v>
      </c>
    </row>
    <row r="1202" spans="2:12" ht="15">
      <c r="B1202" s="897" t="s">
        <v>1951</v>
      </c>
      <c r="C1202" s="52" t="s">
        <v>894</v>
      </c>
      <c r="D1202" s="717" t="s">
        <v>1961</v>
      </c>
      <c r="E1202" s="52" t="s">
        <v>997</v>
      </c>
      <c r="F1202" s="933">
        <v>5000000</v>
      </c>
      <c r="G1202" s="52" t="s">
        <v>907</v>
      </c>
      <c r="H1202" s="52" t="s">
        <v>104</v>
      </c>
      <c r="I1202" s="52" t="s">
        <v>104</v>
      </c>
      <c r="J1202" s="52">
        <v>1</v>
      </c>
      <c r="K1202" s="52"/>
      <c r="L1202" s="52" t="s">
        <v>533</v>
      </c>
    </row>
    <row r="1203" spans="2:12" ht="15">
      <c r="B1203" s="897"/>
      <c r="C1203" s="52"/>
      <c r="D1203" s="718"/>
      <c r="E1203" s="52"/>
      <c r="F1203" s="933"/>
      <c r="G1203" s="52"/>
      <c r="H1203" s="52"/>
      <c r="I1203" s="52"/>
      <c r="J1203" s="52"/>
      <c r="K1203" s="52"/>
      <c r="L1203" s="52"/>
    </row>
    <row r="1204" spans="2:12" ht="15">
      <c r="B1204" s="897"/>
      <c r="C1204" s="52"/>
      <c r="D1204" s="52"/>
      <c r="E1204" s="52"/>
      <c r="F1204" s="933"/>
      <c r="G1204" s="52"/>
      <c r="H1204" s="52"/>
      <c r="I1204" s="52"/>
      <c r="J1204" s="52"/>
      <c r="K1204" s="52"/>
      <c r="L1204" s="52"/>
    </row>
    <row r="1205" spans="2:12" ht="15">
      <c r="B1205" s="973"/>
      <c r="C1205" s="974"/>
      <c r="D1205" s="975"/>
      <c r="E1205" s="974"/>
      <c r="F1205" s="929"/>
      <c r="G1205" s="52"/>
      <c r="H1205" s="52"/>
      <c r="I1205" s="52"/>
      <c r="J1205" s="52"/>
      <c r="K1205" s="52"/>
      <c r="L1205" s="52"/>
    </row>
    <row r="1206" spans="2:12" ht="15">
      <c r="B1206" s="897"/>
      <c r="C1206" s="52"/>
      <c r="D1206" s="718"/>
      <c r="E1206" s="52"/>
      <c r="F1206" s="933"/>
      <c r="G1206" s="52"/>
      <c r="H1206" s="52"/>
      <c r="I1206" s="52"/>
      <c r="J1206" s="52"/>
      <c r="K1206" s="52"/>
      <c r="L1206" s="52"/>
    </row>
    <row r="1207" spans="2:12" ht="14.25">
      <c r="B1207" s="897"/>
      <c r="C1207" s="52"/>
      <c r="D1207" s="718"/>
      <c r="E1207" s="52"/>
      <c r="F1207" s="285"/>
      <c r="G1207" s="52"/>
      <c r="H1207" s="52"/>
      <c r="I1207" s="52"/>
      <c r="J1207" s="52"/>
      <c r="K1207" s="52"/>
      <c r="L1207" s="52"/>
    </row>
    <row r="1208" spans="2:12" ht="14.25">
      <c r="B1208" s="903"/>
      <c r="C1208" s="52"/>
      <c r="D1208" s="718"/>
      <c r="E1208" s="52"/>
      <c r="F1208" s="285"/>
      <c r="G1208" s="52"/>
      <c r="H1208" s="52"/>
      <c r="I1208" s="52"/>
      <c r="J1208" s="52"/>
      <c r="K1208" s="52"/>
      <c r="L1208" s="52"/>
    </row>
    <row r="1209" spans="2:12" ht="14.25">
      <c r="B1209" s="903"/>
      <c r="C1209" s="52"/>
      <c r="D1209" s="718"/>
      <c r="E1209" s="52"/>
      <c r="F1209" s="285"/>
      <c r="G1209" s="52"/>
      <c r="H1209" s="52"/>
      <c r="I1209" s="52"/>
      <c r="J1209" s="52"/>
      <c r="K1209" s="52"/>
      <c r="L1209" s="52"/>
    </row>
    <row r="1210" spans="2:12" ht="14.25">
      <c r="B1210" s="903"/>
      <c r="C1210" s="52"/>
      <c r="D1210" s="889"/>
      <c r="E1210" s="52"/>
      <c r="F1210" s="285"/>
      <c r="G1210" s="52"/>
      <c r="H1210" s="52"/>
      <c r="I1210" s="52"/>
      <c r="J1210" s="52"/>
      <c r="K1210" s="52"/>
      <c r="L1210" s="52"/>
    </row>
    <row r="1211" spans="2:12" ht="15">
      <c r="B1211" s="918"/>
      <c r="C1211" s="709"/>
      <c r="D1211" s="761"/>
      <c r="E1211" s="52"/>
      <c r="F1211" s="933"/>
      <c r="G1211" s="285"/>
      <c r="H1211" s="52"/>
      <c r="I1211" s="52"/>
      <c r="J1211" s="52"/>
      <c r="K1211" s="52"/>
      <c r="L1211" s="52"/>
    </row>
    <row r="1212" spans="2:12" ht="15">
      <c r="B1212" s="903"/>
      <c r="C1212" s="52"/>
      <c r="D1212" s="718"/>
      <c r="E1212" s="285"/>
      <c r="F1212" s="933"/>
      <c r="G1212" s="285"/>
      <c r="H1212" s="52"/>
      <c r="I1212" s="52"/>
      <c r="J1212" s="52"/>
      <c r="K1212" s="52"/>
      <c r="L1212" s="52"/>
    </row>
    <row r="1213" spans="2:12" ht="18.75">
      <c r="B1213" s="1094" t="s">
        <v>1962</v>
      </c>
      <c r="C1213" s="1095"/>
      <c r="D1213" s="1095"/>
      <c r="E1213" s="1095"/>
      <c r="F1213" s="1095"/>
      <c r="G1213" s="1095"/>
      <c r="H1213" s="1095"/>
      <c r="I1213" s="1095"/>
      <c r="J1213" s="1095"/>
      <c r="K1213" s="1095"/>
      <c r="L1213" s="1096"/>
    </row>
    <row r="1214" spans="2:12" ht="18.75">
      <c r="B1214" s="328" t="s">
        <v>892</v>
      </c>
      <c r="C1214" s="329" t="s">
        <v>893</v>
      </c>
      <c r="D1214" s="329" t="s">
        <v>894</v>
      </c>
      <c r="E1214" s="329" t="s">
        <v>895</v>
      </c>
      <c r="F1214" s="330" t="s">
        <v>896</v>
      </c>
      <c r="G1214" s="329" t="s">
        <v>897</v>
      </c>
      <c r="H1214" s="329" t="s">
        <v>898</v>
      </c>
      <c r="I1214" s="329" t="s">
        <v>899</v>
      </c>
      <c r="J1214" s="329" t="s">
        <v>900</v>
      </c>
      <c r="K1214" s="329" t="s">
        <v>901</v>
      </c>
      <c r="L1214" s="329" t="s">
        <v>902</v>
      </c>
    </row>
    <row r="1215" spans="2:12" ht="15">
      <c r="B1215" s="897" t="s">
        <v>1951</v>
      </c>
      <c r="C1215" s="52" t="s">
        <v>1792</v>
      </c>
      <c r="D1215" s="717" t="s">
        <v>1963</v>
      </c>
      <c r="E1215" s="52" t="s">
        <v>1088</v>
      </c>
      <c r="F1215" s="929">
        <v>2400000</v>
      </c>
      <c r="G1215" s="52" t="s">
        <v>1964</v>
      </c>
      <c r="H1215" s="52" t="s">
        <v>104</v>
      </c>
      <c r="I1215" s="52" t="s">
        <v>104</v>
      </c>
      <c r="J1215" s="52">
        <v>1</v>
      </c>
      <c r="K1215" s="52"/>
      <c r="L1215" s="52" t="s">
        <v>633</v>
      </c>
    </row>
    <row r="1216" spans="2:12" ht="15">
      <c r="B1216" s="897"/>
      <c r="C1216" s="52"/>
      <c r="D1216" s="52"/>
      <c r="E1216" s="52"/>
      <c r="F1216" s="929"/>
      <c r="G1216" s="52"/>
      <c r="H1216" s="52"/>
      <c r="I1216" s="52"/>
      <c r="J1216" s="52"/>
      <c r="K1216" s="52"/>
      <c r="L1216" s="52"/>
    </row>
    <row r="1217" spans="2:12" ht="15">
      <c r="B1217" s="897"/>
      <c r="C1217" s="52"/>
      <c r="D1217" s="718"/>
      <c r="E1217" s="52"/>
      <c r="F1217" s="929"/>
      <c r="G1217" s="52"/>
      <c r="H1217" s="52"/>
      <c r="I1217" s="52"/>
      <c r="J1217" s="52"/>
      <c r="K1217" s="52"/>
      <c r="L1217" s="52"/>
    </row>
    <row r="1218" spans="2:12" ht="15">
      <c r="B1218" s="897"/>
      <c r="C1218" s="52"/>
      <c r="D1218" s="718"/>
      <c r="E1218" s="52"/>
      <c r="F1218" s="929"/>
      <c r="G1218" s="52"/>
      <c r="H1218" s="52"/>
      <c r="I1218" s="52"/>
      <c r="J1218" s="52"/>
      <c r="K1218" s="52"/>
      <c r="L1218" s="52"/>
    </row>
    <row r="1219" spans="2:12" ht="15">
      <c r="B1219" s="897"/>
      <c r="C1219" s="52"/>
      <c r="D1219" s="718"/>
      <c r="E1219" s="52"/>
      <c r="F1219" s="929"/>
      <c r="G1219" s="52"/>
      <c r="H1219" s="52"/>
      <c r="I1219" s="52"/>
      <c r="J1219" s="52"/>
      <c r="K1219" s="52"/>
      <c r="L1219" s="52"/>
    </row>
    <row r="1220" spans="2:12" ht="15">
      <c r="B1220" s="897"/>
      <c r="C1220" s="52"/>
      <c r="D1220" s="718"/>
      <c r="E1220" s="52"/>
      <c r="F1220" s="929"/>
      <c r="G1220" s="52"/>
      <c r="H1220" s="52"/>
      <c r="I1220" s="52"/>
      <c r="J1220" s="52"/>
      <c r="K1220" s="52"/>
      <c r="L1220" s="52"/>
    </row>
    <row r="1221" spans="2:12" ht="15">
      <c r="B1221" s="897"/>
      <c r="C1221" s="52"/>
      <c r="D1221" s="52"/>
      <c r="E1221" s="52"/>
      <c r="F1221" s="929"/>
      <c r="G1221" s="52"/>
      <c r="H1221" s="52"/>
      <c r="I1221" s="52"/>
      <c r="J1221" s="52"/>
      <c r="K1221" s="52"/>
      <c r="L1221" s="52"/>
    </row>
    <row r="1222" spans="2:12" ht="15">
      <c r="B1222" s="906"/>
      <c r="C1222" s="709"/>
      <c r="D1222" s="761"/>
      <c r="E1222" s="709"/>
      <c r="F1222" s="929"/>
      <c r="G1222" s="52"/>
      <c r="H1222" s="52"/>
      <c r="I1222" s="52"/>
      <c r="J1222" s="52"/>
      <c r="K1222" s="52"/>
      <c r="L1222" s="52"/>
    </row>
    <row r="1223" spans="2:12" ht="15">
      <c r="B1223" s="897"/>
      <c r="C1223" s="52"/>
      <c r="D1223" s="718"/>
      <c r="E1223" s="52"/>
      <c r="F1223" s="933"/>
      <c r="G1223" s="52"/>
      <c r="H1223" s="52"/>
      <c r="I1223" s="52"/>
      <c r="J1223" s="52"/>
      <c r="K1223" s="52"/>
      <c r="L1223" s="52"/>
    </row>
    <row r="1224" spans="2:12" ht="14.25">
      <c r="B1224" s="897"/>
      <c r="C1224" s="52"/>
      <c r="D1224" s="718"/>
      <c r="E1224" s="52"/>
      <c r="F1224" s="285"/>
      <c r="G1224" s="52"/>
      <c r="H1224" s="52"/>
      <c r="I1224" s="52"/>
      <c r="J1224" s="52"/>
      <c r="K1224" s="52"/>
      <c r="L1224" s="52"/>
    </row>
    <row r="1225" spans="2:12" ht="14.25">
      <c r="B1225" s="903"/>
      <c r="C1225" s="52"/>
      <c r="D1225" s="718"/>
      <c r="E1225" s="52"/>
      <c r="F1225" s="285"/>
      <c r="G1225" s="52"/>
      <c r="H1225" s="52"/>
      <c r="I1225" s="52"/>
      <c r="J1225" s="52"/>
      <c r="K1225" s="52"/>
      <c r="L1225" s="52"/>
    </row>
    <row r="1226" spans="2:12" ht="14.25">
      <c r="B1226" s="903"/>
      <c r="C1226" s="52"/>
      <c r="D1226" s="718"/>
      <c r="E1226" s="52"/>
      <c r="F1226" s="285"/>
      <c r="G1226" s="52"/>
      <c r="H1226" s="52"/>
      <c r="I1226" s="52"/>
      <c r="J1226" s="52"/>
      <c r="K1226" s="52"/>
      <c r="L1226" s="52"/>
    </row>
    <row r="1227" spans="2:12" ht="14.25">
      <c r="B1227" s="903"/>
      <c r="C1227" s="52"/>
      <c r="D1227" s="889"/>
      <c r="E1227" s="52"/>
      <c r="F1227" s="285"/>
      <c r="G1227" s="52"/>
      <c r="H1227" s="52"/>
      <c r="I1227" s="52"/>
      <c r="J1227" s="52"/>
      <c r="K1227" s="52"/>
      <c r="L1227" s="52"/>
    </row>
    <row r="1228" spans="2:12" ht="15">
      <c r="B1228" s="918"/>
      <c r="C1228" s="709"/>
      <c r="D1228" s="761"/>
      <c r="E1228" s="52"/>
      <c r="F1228" s="933"/>
      <c r="G1228" s="285"/>
      <c r="H1228" s="52"/>
      <c r="I1228" s="52"/>
      <c r="J1228" s="52"/>
      <c r="K1228" s="52"/>
      <c r="L1228" s="52"/>
    </row>
    <row r="1229" spans="2:12" ht="15">
      <c r="B1229" s="903"/>
      <c r="C1229" s="52"/>
      <c r="D1229" s="718"/>
      <c r="E1229" s="285"/>
      <c r="F1229" s="933"/>
      <c r="G1229" s="285"/>
      <c r="H1229" s="52"/>
      <c r="I1229" s="52"/>
      <c r="J1229" s="52"/>
      <c r="K1229" s="52"/>
      <c r="L1229" s="52"/>
    </row>
    <row r="1230" spans="2:12" ht="18.75">
      <c r="B1230" s="1094" t="s">
        <v>1965</v>
      </c>
      <c r="C1230" s="1095"/>
      <c r="D1230" s="1095"/>
      <c r="E1230" s="1095"/>
      <c r="F1230" s="1095"/>
      <c r="G1230" s="1095"/>
      <c r="H1230" s="1095"/>
      <c r="I1230" s="1095"/>
      <c r="J1230" s="1095"/>
      <c r="K1230" s="1095"/>
      <c r="L1230" s="1096"/>
    </row>
    <row r="1231" spans="2:12" ht="18.75">
      <c r="B1231" s="328" t="s">
        <v>892</v>
      </c>
      <c r="C1231" s="329" t="s">
        <v>893</v>
      </c>
      <c r="D1231" s="329" t="s">
        <v>894</v>
      </c>
      <c r="E1231" s="329" t="s">
        <v>895</v>
      </c>
      <c r="F1231" s="330" t="s">
        <v>896</v>
      </c>
      <c r="G1231" s="329" t="s">
        <v>897</v>
      </c>
      <c r="H1231" s="329" t="s">
        <v>898</v>
      </c>
      <c r="I1231" s="329" t="s">
        <v>899</v>
      </c>
      <c r="J1231" s="329" t="s">
        <v>900</v>
      </c>
      <c r="K1231" s="329" t="s">
        <v>901</v>
      </c>
      <c r="L1231" s="329" t="s">
        <v>902</v>
      </c>
    </row>
    <row r="1232" spans="2:12" ht="15">
      <c r="B1232" s="897"/>
      <c r="C1232" s="52"/>
      <c r="D1232" s="718"/>
      <c r="E1232" s="52"/>
      <c r="F1232" s="929"/>
      <c r="G1232" s="52"/>
      <c r="H1232" s="52"/>
      <c r="I1232" s="52"/>
      <c r="J1232" s="52"/>
      <c r="K1232" s="52"/>
      <c r="L1232" s="52"/>
    </row>
    <row r="1233" spans="2:12" ht="15">
      <c r="B1233" s="897"/>
      <c r="C1233" s="52"/>
      <c r="D1233" s="52"/>
      <c r="E1233" s="52"/>
      <c r="F1233" s="929"/>
      <c r="G1233" s="52"/>
      <c r="H1233" s="52"/>
      <c r="I1233" s="52"/>
      <c r="J1233" s="52"/>
      <c r="K1233" s="52"/>
      <c r="L1233" s="52"/>
    </row>
    <row r="1234" spans="2:12" ht="15">
      <c r="B1234" s="897"/>
      <c r="C1234" s="52"/>
      <c r="D1234" s="718"/>
      <c r="E1234" s="52"/>
      <c r="F1234" s="929"/>
      <c r="G1234" s="52"/>
      <c r="H1234" s="52"/>
      <c r="I1234" s="52"/>
      <c r="J1234" s="52"/>
      <c r="K1234" s="52"/>
      <c r="L1234" s="52"/>
    </row>
    <row r="1235" spans="2:12" ht="15">
      <c r="B1235" s="897"/>
      <c r="C1235" s="52"/>
      <c r="D1235" s="718"/>
      <c r="E1235" s="52"/>
      <c r="F1235" s="929"/>
      <c r="G1235" s="52"/>
      <c r="H1235" s="52"/>
      <c r="I1235" s="52"/>
      <c r="J1235" s="52"/>
      <c r="K1235" s="52"/>
      <c r="L1235" s="52"/>
    </row>
    <row r="1236" spans="2:12" ht="15">
      <c r="B1236" s="897"/>
      <c r="C1236" s="52"/>
      <c r="D1236" s="718"/>
      <c r="E1236" s="52"/>
      <c r="F1236" s="929"/>
      <c r="G1236" s="52"/>
      <c r="H1236" s="52"/>
      <c r="I1236" s="52"/>
      <c r="J1236" s="52"/>
      <c r="K1236" s="52"/>
      <c r="L1236" s="52"/>
    </row>
    <row r="1237" spans="2:12" ht="15">
      <c r="B1237" s="897"/>
      <c r="C1237" s="52"/>
      <c r="D1237" s="718"/>
      <c r="E1237" s="52"/>
      <c r="F1237" s="929"/>
      <c r="G1237" s="52"/>
      <c r="H1237" s="52"/>
      <c r="I1237" s="52"/>
      <c r="J1237" s="52"/>
      <c r="K1237" s="52"/>
      <c r="L1237" s="52"/>
    </row>
    <row r="1238" spans="2:12" ht="14.25">
      <c r="B1238" s="903"/>
      <c r="C1238" s="52"/>
      <c r="D1238" s="889"/>
      <c r="E1238" s="52"/>
      <c r="F1238" s="285"/>
      <c r="G1238" s="52"/>
      <c r="H1238" s="52"/>
      <c r="I1238" s="52"/>
      <c r="J1238" s="52"/>
      <c r="K1238" s="52"/>
      <c r="L1238" s="52"/>
    </row>
    <row r="1239" spans="2:12" ht="15">
      <c r="B1239" s="918"/>
      <c r="C1239" s="709"/>
      <c r="D1239" s="761"/>
      <c r="E1239" s="52"/>
      <c r="F1239" s="933"/>
      <c r="G1239" s="285"/>
      <c r="H1239" s="52"/>
      <c r="I1239" s="52"/>
      <c r="J1239" s="52"/>
      <c r="K1239" s="52"/>
      <c r="L1239" s="52"/>
    </row>
    <row r="1240" spans="2:12" ht="15">
      <c r="B1240" s="903"/>
      <c r="C1240" s="52"/>
      <c r="D1240" s="718"/>
      <c r="E1240" s="285"/>
      <c r="F1240" s="933"/>
      <c r="G1240" s="285"/>
      <c r="H1240" s="52"/>
      <c r="I1240" s="52"/>
      <c r="J1240" s="52"/>
      <c r="K1240" s="52"/>
      <c r="L1240" s="52"/>
    </row>
    <row r="1241" spans="2:12" ht="18.75">
      <c r="B1241" s="1094" t="s">
        <v>1966</v>
      </c>
      <c r="C1241" s="1095"/>
      <c r="D1241" s="1095"/>
      <c r="E1241" s="1095"/>
      <c r="F1241" s="1095"/>
      <c r="G1241" s="1095"/>
      <c r="H1241" s="1095"/>
      <c r="I1241" s="1095"/>
      <c r="J1241" s="1095"/>
      <c r="K1241" s="1095"/>
      <c r="L1241" s="1096"/>
    </row>
    <row r="1242" spans="2:12" ht="18.75">
      <c r="B1242" s="328" t="s">
        <v>892</v>
      </c>
      <c r="C1242" s="329" t="s">
        <v>893</v>
      </c>
      <c r="D1242" s="329" t="s">
        <v>894</v>
      </c>
      <c r="E1242" s="329" t="s">
        <v>895</v>
      </c>
      <c r="F1242" s="330" t="s">
        <v>896</v>
      </c>
      <c r="G1242" s="329" t="s">
        <v>897</v>
      </c>
      <c r="H1242" s="329" t="s">
        <v>898</v>
      </c>
      <c r="I1242" s="329" t="s">
        <v>899</v>
      </c>
      <c r="J1242" s="329" t="s">
        <v>900</v>
      </c>
      <c r="K1242" s="329" t="s">
        <v>901</v>
      </c>
      <c r="L1242" s="329" t="s">
        <v>902</v>
      </c>
    </row>
    <row r="1243" spans="2:12" ht="15">
      <c r="B1243" s="897" t="s">
        <v>1951</v>
      </c>
      <c r="C1243" s="52" t="s">
        <v>1792</v>
      </c>
      <c r="D1243" s="717" t="s">
        <v>1967</v>
      </c>
      <c r="E1243" s="52" t="s">
        <v>982</v>
      </c>
      <c r="F1243" s="929">
        <v>1400000</v>
      </c>
      <c r="G1243" s="52" t="s">
        <v>911</v>
      </c>
      <c r="H1243" s="52" t="s">
        <v>104</v>
      </c>
      <c r="I1243" s="52" t="s">
        <v>104</v>
      </c>
      <c r="J1243" s="52">
        <v>1</v>
      </c>
      <c r="K1243" s="52"/>
      <c r="L1243" s="52" t="s">
        <v>633</v>
      </c>
    </row>
    <row r="1244" spans="2:12" ht="15">
      <c r="B1244" s="897"/>
      <c r="C1244" s="52"/>
      <c r="D1244" s="52"/>
      <c r="E1244" s="52"/>
      <c r="F1244" s="929"/>
      <c r="G1244" s="52"/>
      <c r="H1244" s="52"/>
      <c r="I1244" s="52"/>
      <c r="J1244" s="52"/>
      <c r="K1244" s="52"/>
      <c r="L1244" s="52"/>
    </row>
    <row r="1245" spans="2:12" ht="15">
      <c r="B1245" s="897"/>
      <c r="C1245" s="52"/>
      <c r="D1245" s="718"/>
      <c r="E1245" s="52"/>
      <c r="F1245" s="929"/>
      <c r="G1245" s="52"/>
      <c r="H1245" s="52"/>
      <c r="I1245" s="52"/>
      <c r="J1245" s="52"/>
      <c r="K1245" s="52"/>
      <c r="L1245" s="52"/>
    </row>
    <row r="1246" spans="2:12" ht="15">
      <c r="B1246" s="897"/>
      <c r="C1246" s="52"/>
      <c r="D1246" s="718"/>
      <c r="E1246" s="52"/>
      <c r="F1246" s="929"/>
      <c r="G1246" s="52"/>
      <c r="H1246" s="52"/>
      <c r="I1246" s="52"/>
      <c r="J1246" s="52"/>
      <c r="K1246" s="52"/>
      <c r="L1246" s="52"/>
    </row>
    <row r="1247" spans="2:12" ht="15">
      <c r="B1247" s="897"/>
      <c r="C1247" s="52"/>
      <c r="D1247" s="718"/>
      <c r="E1247" s="52"/>
      <c r="F1247" s="929"/>
      <c r="G1247" s="52"/>
      <c r="H1247" s="52"/>
      <c r="I1247" s="52"/>
      <c r="J1247" s="52"/>
      <c r="K1247" s="52"/>
      <c r="L1247" s="52"/>
    </row>
  </sheetData>
  <mergeCells count="102">
    <mergeCell ref="B1241:L1241"/>
    <mergeCell ref="B1178:L1178"/>
    <mergeCell ref="B1179:L1179"/>
    <mergeCell ref="B1196:L1196"/>
    <mergeCell ref="B1213:L1213"/>
    <mergeCell ref="B1230:L1230"/>
    <mergeCell ref="B982:L982"/>
    <mergeCell ref="B889:L889"/>
    <mergeCell ref="B890:L890"/>
    <mergeCell ref="B922:L922"/>
    <mergeCell ref="B950:L950"/>
    <mergeCell ref="B971:L971"/>
    <mergeCell ref="B1082:L1082"/>
    <mergeCell ref="B1071:L1071"/>
    <mergeCell ref="B993:L993"/>
    <mergeCell ref="B994:L994"/>
    <mergeCell ref="B1017:L1017"/>
    <mergeCell ref="B1044:L1044"/>
    <mergeCell ref="B1061:L1061"/>
    <mergeCell ref="B1166:L1166"/>
    <mergeCell ref="B1092:L1092"/>
    <mergeCell ref="B1093:L1093"/>
    <mergeCell ref="B1116:L1116"/>
    <mergeCell ref="B1137:L1137"/>
    <mergeCell ref="B533:I533"/>
    <mergeCell ref="B516:L516"/>
    <mergeCell ref="B778:L778"/>
    <mergeCell ref="B779:L779"/>
    <mergeCell ref="B806:L806"/>
    <mergeCell ref="B835:L835"/>
    <mergeCell ref="B872:L872"/>
    <mergeCell ref="B861:L861"/>
    <mergeCell ref="B687:L687"/>
    <mergeCell ref="B596:L596"/>
    <mergeCell ref="B597:L597"/>
    <mergeCell ref="B624:L624"/>
    <mergeCell ref="B653:L653"/>
    <mergeCell ref="B679:L679"/>
    <mergeCell ref="B769:L769"/>
    <mergeCell ref="B698:L698"/>
    <mergeCell ref="B699:L699"/>
    <mergeCell ref="B717:L717"/>
    <mergeCell ref="B743:L743"/>
    <mergeCell ref="B343:I343"/>
    <mergeCell ref="B295:L295"/>
    <mergeCell ref="B321:I321"/>
    <mergeCell ref="B325:L325"/>
    <mergeCell ref="B331:I331"/>
    <mergeCell ref="B334:L334"/>
    <mergeCell ref="B266:L266"/>
    <mergeCell ref="B292:I292"/>
    <mergeCell ref="B204:L204"/>
    <mergeCell ref="B206:L206"/>
    <mergeCell ref="B232:I232"/>
    <mergeCell ref="B234:L234"/>
    <mergeCell ref="B263:I263"/>
    <mergeCell ref="B160:I160"/>
    <mergeCell ref="B2:L2"/>
    <mergeCell ref="B4:L4"/>
    <mergeCell ref="B32:I32"/>
    <mergeCell ref="B34:L34"/>
    <mergeCell ref="B61:I61"/>
    <mergeCell ref="B187:L187"/>
    <mergeCell ref="B196:I196"/>
    <mergeCell ref="B72:L72"/>
    <mergeCell ref="B78:I78"/>
    <mergeCell ref="B63:L63"/>
    <mergeCell ref="B69:I69"/>
    <mergeCell ref="B80:L80"/>
    <mergeCell ref="B82:L82"/>
    <mergeCell ref="B110:I110"/>
    <mergeCell ref="B112:L112"/>
    <mergeCell ref="B140:I140"/>
    <mergeCell ref="B162:L162"/>
    <mergeCell ref="B184:I184"/>
    <mergeCell ref="B142:L142"/>
    <mergeCell ref="B150:I150"/>
    <mergeCell ref="B153:L153"/>
    <mergeCell ref="B1154:L1154"/>
    <mergeCell ref="B476:L476"/>
    <mergeCell ref="B485:I485"/>
    <mergeCell ref="B348:L348"/>
    <mergeCell ref="B435:I435"/>
    <mergeCell ref="B438:L438"/>
    <mergeCell ref="B464:I464"/>
    <mergeCell ref="B468:L468"/>
    <mergeCell ref="B473:I473"/>
    <mergeCell ref="B352:L352"/>
    <mergeCell ref="B378:I378"/>
    <mergeCell ref="B380:L380"/>
    <mergeCell ref="B406:I406"/>
    <mergeCell ref="B409:L409"/>
    <mergeCell ref="B535:L535"/>
    <mergeCell ref="B550:I550"/>
    <mergeCell ref="B595:I595"/>
    <mergeCell ref="B552:L552"/>
    <mergeCell ref="B582:I582"/>
    <mergeCell ref="B584:L584"/>
    <mergeCell ref="B488:L488"/>
    <mergeCell ref="B489:L489"/>
    <mergeCell ref="B515:I515"/>
    <mergeCell ref="B517:L517"/>
  </mergeCells>
  <printOptions horizontalCentered="1" gridLines="1"/>
  <pageMargins left="0.7" right="0.7" top="0.75" bottom="0.75" header="0.51180555555555496" footer="0.51180555555555496"/>
  <pageSetup firstPageNumber="0" pageOrder="overThenDown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56D2-5B2F-427E-9544-CC1B5F88BD26}">
  <dimension ref="A1:H61"/>
  <sheetViews>
    <sheetView topLeftCell="A92" workbookViewId="0">
      <selection activeCell="D103" sqref="D103"/>
    </sheetView>
  </sheetViews>
  <sheetFormatPr defaultRowHeight="12.75"/>
  <cols>
    <col min="1" max="1" width="33.28515625" customWidth="1"/>
    <col min="2" max="2" width="23.140625" customWidth="1"/>
    <col min="3" max="3" width="48" customWidth="1"/>
    <col min="4" max="4" width="26" customWidth="1"/>
  </cols>
  <sheetData>
    <row r="1" spans="1:6" ht="24.75" customHeight="1">
      <c r="A1" s="1089" t="s">
        <v>1968</v>
      </c>
      <c r="B1" s="1089"/>
      <c r="C1" s="1089"/>
    </row>
    <row r="2" spans="1:6">
      <c r="A2" s="895" t="s">
        <v>1969</v>
      </c>
      <c r="B2" s="895" t="s">
        <v>902</v>
      </c>
      <c r="C2" s="895" t="s">
        <v>1970</v>
      </c>
    </row>
    <row r="3" spans="1:6">
      <c r="A3" s="114" t="s">
        <v>1971</v>
      </c>
      <c r="B3" s="114" t="s">
        <v>1972</v>
      </c>
      <c r="C3" s="894">
        <v>44100</v>
      </c>
    </row>
    <row r="4" spans="1:6">
      <c r="A4" s="114" t="s">
        <v>1971</v>
      </c>
      <c r="B4" s="114" t="s">
        <v>318</v>
      </c>
      <c r="C4" s="894">
        <v>44100</v>
      </c>
    </row>
    <row r="5" spans="1:6">
      <c r="A5" s="114" t="s">
        <v>1971</v>
      </c>
      <c r="B5" s="114" t="s">
        <v>383</v>
      </c>
      <c r="C5" s="894">
        <v>44100</v>
      </c>
    </row>
    <row r="6" spans="1:6">
      <c r="A6" s="114" t="s">
        <v>1971</v>
      </c>
      <c r="B6" s="114" t="s">
        <v>1973</v>
      </c>
      <c r="C6" s="894"/>
    </row>
    <row r="7" spans="1:6">
      <c r="A7" s="114" t="s">
        <v>1971</v>
      </c>
      <c r="B7" s="114" t="s">
        <v>1974</v>
      </c>
      <c r="C7" s="894">
        <v>44100</v>
      </c>
    </row>
    <row r="8" spans="1:6">
      <c r="A8" s="114" t="s">
        <v>1971</v>
      </c>
      <c r="B8" s="114" t="s">
        <v>1975</v>
      </c>
      <c r="C8" s="894">
        <v>44100</v>
      </c>
    </row>
    <row r="9" spans="1:6">
      <c r="A9" s="114" t="s">
        <v>1976</v>
      </c>
      <c r="B9" s="114" t="s">
        <v>511</v>
      </c>
      <c r="C9" s="894">
        <v>40500</v>
      </c>
    </row>
    <row r="10" spans="1:6">
      <c r="A10" s="114" t="s">
        <v>1971</v>
      </c>
      <c r="B10" s="114" t="s">
        <v>1977</v>
      </c>
      <c r="C10" s="894">
        <v>44100</v>
      </c>
    </row>
    <row r="11" spans="1:6">
      <c r="A11" s="114"/>
      <c r="B11" s="114"/>
      <c r="C11" s="894"/>
    </row>
    <row r="12" spans="1:6">
      <c r="A12" s="855"/>
      <c r="B12" s="855"/>
      <c r="C12" s="894">
        <f>SUM(C3:C11)</f>
        <v>305100</v>
      </c>
    </row>
    <row r="15" spans="1:6" hidden="1">
      <c r="A15" s="31"/>
      <c r="B15" s="31"/>
      <c r="C15" s="31"/>
      <c r="D15" s="31"/>
      <c r="E15" s="31"/>
      <c r="F15" s="31"/>
    </row>
    <row r="16" spans="1:6" ht="14.25">
      <c r="A16" s="1109" t="s">
        <v>1978</v>
      </c>
      <c r="B16" s="1109"/>
      <c r="C16" s="1109"/>
      <c r="D16" s="1109"/>
      <c r="E16" s="31"/>
      <c r="F16" s="31"/>
    </row>
    <row r="17" spans="1:8" ht="14.25">
      <c r="A17" s="898" t="s">
        <v>1979</v>
      </c>
      <c r="B17" s="898" t="s">
        <v>1980</v>
      </c>
      <c r="C17" s="898" t="s">
        <v>1981</v>
      </c>
      <c r="D17" s="510" t="s">
        <v>1982</v>
      </c>
      <c r="E17" s="31"/>
      <c r="F17" s="31"/>
    </row>
    <row r="18" spans="1:8" ht="14.25">
      <c r="A18" s="898" t="s">
        <v>1983</v>
      </c>
      <c r="B18" s="114">
        <v>1007269208</v>
      </c>
      <c r="C18" s="945" t="s">
        <v>1984</v>
      </c>
      <c r="D18" s="944">
        <v>3112714049</v>
      </c>
      <c r="E18" s="31"/>
      <c r="F18" s="31"/>
      <c r="H18" t="s">
        <v>1985</v>
      </c>
    </row>
    <row r="19" spans="1:8" ht="14.25">
      <c r="A19" s="898" t="s">
        <v>1986</v>
      </c>
      <c r="B19" s="114">
        <v>32352839</v>
      </c>
      <c r="C19" s="945" t="s">
        <v>1987</v>
      </c>
      <c r="D19" s="944" t="s">
        <v>1988</v>
      </c>
      <c r="E19" s="31"/>
      <c r="F19" s="31"/>
    </row>
    <row r="20" spans="1:8" ht="14.25">
      <c r="A20" s="898" t="s">
        <v>1989</v>
      </c>
      <c r="B20" s="114">
        <v>1036615588</v>
      </c>
      <c r="C20" s="945" t="s">
        <v>1990</v>
      </c>
      <c r="D20" s="944" t="s">
        <v>1991</v>
      </c>
      <c r="E20" s="31"/>
      <c r="F20" s="31"/>
    </row>
    <row r="21" spans="1:8" ht="14.25">
      <c r="A21" s="898" t="s">
        <v>1992</v>
      </c>
      <c r="B21" s="114">
        <v>1000442156</v>
      </c>
      <c r="C21" s="945" t="s">
        <v>1993</v>
      </c>
      <c r="D21" s="944" t="s">
        <v>1994</v>
      </c>
      <c r="E21" s="31"/>
      <c r="F21" s="31"/>
    </row>
    <row r="22" spans="1:8" ht="14.25">
      <c r="A22" s="898" t="s">
        <v>1995</v>
      </c>
      <c r="B22" s="114">
        <v>1000899922</v>
      </c>
      <c r="C22" s="945" t="s">
        <v>1996</v>
      </c>
      <c r="D22" s="944" t="s">
        <v>1997</v>
      </c>
      <c r="E22" s="31"/>
      <c r="F22" s="31"/>
    </row>
    <row r="23" spans="1:8" ht="14.25">
      <c r="A23" s="898" t="s">
        <v>1998</v>
      </c>
      <c r="B23" s="114">
        <v>1128438280</v>
      </c>
      <c r="C23" s="946" t="s">
        <v>1999</v>
      </c>
      <c r="D23" s="944" t="s">
        <v>2000</v>
      </c>
      <c r="E23" s="31"/>
      <c r="F23" s="31"/>
    </row>
    <row r="24" spans="1:8" ht="14.25">
      <c r="A24" s="898" t="s">
        <v>2001</v>
      </c>
      <c r="B24" s="855">
        <v>98512890</v>
      </c>
      <c r="C24" s="945" t="s">
        <v>2002</v>
      </c>
      <c r="D24" s="944" t="s">
        <v>2003</v>
      </c>
      <c r="E24" s="31"/>
      <c r="F24" s="31"/>
    </row>
    <row r="25" spans="1:8" ht="14.25">
      <c r="A25" s="898" t="s">
        <v>2004</v>
      </c>
      <c r="B25" s="855">
        <v>10394614.91</v>
      </c>
      <c r="C25" s="945" t="s">
        <v>2005</v>
      </c>
      <c r="D25" s="944">
        <v>3012214296</v>
      </c>
      <c r="E25" s="31"/>
      <c r="F25" s="31"/>
    </row>
    <row r="26" spans="1:8" ht="14.25">
      <c r="A26" s="898"/>
      <c r="B26" s="25"/>
      <c r="C26" s="114"/>
      <c r="D26" s="510"/>
      <c r="E26" s="31"/>
      <c r="F26" s="31"/>
    </row>
    <row r="27" spans="1:8" ht="14.25">
      <c r="A27" s="898"/>
      <c r="B27" s="25"/>
      <c r="C27" s="114"/>
      <c r="D27" s="510"/>
      <c r="E27" s="31"/>
      <c r="F27" s="31"/>
    </row>
    <row r="28" spans="1:8" ht="14.25">
      <c r="A28" s="940"/>
      <c r="B28" s="941"/>
      <c r="C28" s="461"/>
      <c r="D28" s="679"/>
      <c r="E28" s="31"/>
      <c r="F28" s="31"/>
    </row>
    <row r="29" spans="1:8" ht="14.25">
      <c r="A29" s="898"/>
      <c r="B29" s="25"/>
      <c r="C29" s="247"/>
      <c r="D29" s="510"/>
      <c r="E29" s="31"/>
      <c r="F29" s="31"/>
    </row>
    <row r="30" spans="1:8" ht="14.25">
      <c r="A30" s="898"/>
      <c r="B30" s="25"/>
      <c r="C30" s="247"/>
      <c r="D30" s="510"/>
      <c r="E30" s="31"/>
      <c r="F30" s="31"/>
    </row>
    <row r="31" spans="1:8" ht="14.25">
      <c r="A31" s="898"/>
      <c r="B31" s="25"/>
      <c r="C31" s="247"/>
      <c r="D31" s="510"/>
      <c r="E31" s="31"/>
      <c r="F31" s="31"/>
    </row>
    <row r="32" spans="1:8" ht="14.25">
      <c r="A32" s="898"/>
      <c r="B32" s="25"/>
      <c r="C32" s="114"/>
      <c r="D32" s="510"/>
      <c r="E32" s="31"/>
      <c r="F32" s="31"/>
    </row>
    <row r="33" spans="1:6" ht="14.25">
      <c r="A33" s="898"/>
      <c r="B33" s="25"/>
      <c r="C33" s="114"/>
      <c r="D33" s="510"/>
      <c r="E33" s="31"/>
      <c r="F33" s="31"/>
    </row>
    <row r="34" spans="1:6" ht="14.25">
      <c r="A34" s="898"/>
      <c r="B34" s="25"/>
      <c r="C34" s="114"/>
      <c r="D34" s="510"/>
      <c r="E34" s="31"/>
      <c r="F34" s="31"/>
    </row>
    <row r="35" spans="1:6" ht="14.25">
      <c r="A35" s="898"/>
      <c r="B35" s="25"/>
      <c r="C35" s="114"/>
      <c r="D35" s="510"/>
      <c r="E35" s="31"/>
      <c r="F35" s="31"/>
    </row>
    <row r="36" spans="1:6" ht="14.25">
      <c r="A36" s="898"/>
      <c r="B36" s="25"/>
      <c r="C36" s="114"/>
      <c r="D36" s="510"/>
      <c r="E36" s="31"/>
      <c r="F36" s="31"/>
    </row>
    <row r="37" spans="1:6" ht="14.25">
      <c r="A37" s="898"/>
      <c r="B37" s="25"/>
      <c r="C37" s="114"/>
      <c r="D37" s="510"/>
      <c r="E37" s="31"/>
      <c r="F37" s="31"/>
    </row>
    <row r="38" spans="1:6" ht="14.25">
      <c r="A38" s="898"/>
      <c r="B38" s="25"/>
      <c r="C38" s="114"/>
      <c r="D38" s="510"/>
      <c r="E38" s="31"/>
      <c r="F38" s="31"/>
    </row>
    <row r="39" spans="1:6" ht="14.25">
      <c r="A39" s="898"/>
      <c r="B39" s="343"/>
      <c r="C39" s="114"/>
      <c r="D39" s="510"/>
      <c r="E39" s="31"/>
      <c r="F39" s="31"/>
    </row>
    <row r="40" spans="1:6" ht="14.25">
      <c r="A40" s="898"/>
      <c r="B40" s="25"/>
      <c r="C40" s="114"/>
      <c r="D40" s="510"/>
      <c r="E40" s="31"/>
      <c r="F40" s="31"/>
    </row>
    <row r="41" spans="1:6" ht="14.25">
      <c r="A41" s="898"/>
      <c r="B41" s="25"/>
      <c r="C41" s="114"/>
      <c r="D41" s="510"/>
      <c r="E41" s="31"/>
      <c r="F41" s="31"/>
    </row>
    <row r="42" spans="1:6" ht="14.25">
      <c r="A42" s="898"/>
      <c r="B42" s="25"/>
      <c r="C42" s="114"/>
      <c r="D42" s="510"/>
      <c r="E42" s="31"/>
      <c r="F42" s="31"/>
    </row>
    <row r="43" spans="1:6" ht="14.25">
      <c r="A43" s="898"/>
      <c r="B43" s="25"/>
      <c r="C43" s="408"/>
      <c r="D43" s="682"/>
      <c r="E43" s="31"/>
      <c r="F43" s="31"/>
    </row>
    <row r="44" spans="1:6" ht="14.25">
      <c r="A44" s="898"/>
      <c r="B44" s="25"/>
      <c r="C44" s="721"/>
      <c r="D44" s="682"/>
      <c r="E44" s="31"/>
      <c r="F44" s="31"/>
    </row>
    <row r="45" spans="1:6" ht="14.25">
      <c r="A45" s="898"/>
      <c r="B45" s="666"/>
      <c r="C45" s="424"/>
      <c r="D45" s="682"/>
      <c r="E45" s="31"/>
      <c r="F45" s="31"/>
    </row>
    <row r="46" spans="1:6" ht="14.25">
      <c r="A46" s="898"/>
      <c r="B46" s="25"/>
      <c r="C46" s="114"/>
      <c r="D46" s="510"/>
      <c r="E46" s="31"/>
      <c r="F46" s="31"/>
    </row>
    <row r="47" spans="1:6" ht="14.25">
      <c r="A47" s="898"/>
      <c r="B47" s="343"/>
      <c r="C47" s="114"/>
      <c r="D47" s="510"/>
      <c r="E47" s="31"/>
      <c r="F47" s="31"/>
    </row>
    <row r="48" spans="1:6" ht="14.25">
      <c r="A48" s="898"/>
      <c r="B48" s="343"/>
      <c r="C48" s="114"/>
      <c r="D48" s="510"/>
      <c r="E48" s="31"/>
      <c r="F48" s="31"/>
    </row>
    <row r="49" spans="1:6" ht="14.25">
      <c r="A49" s="898"/>
      <c r="B49" s="25"/>
      <c r="C49" s="114"/>
      <c r="D49" s="510"/>
      <c r="E49" s="31"/>
      <c r="F49" s="31"/>
    </row>
    <row r="50" spans="1:6" ht="14.25">
      <c r="A50" s="898"/>
      <c r="B50" s="25"/>
      <c r="C50" s="114"/>
      <c r="D50" s="510"/>
      <c r="E50" s="31"/>
      <c r="F50" s="31"/>
    </row>
    <row r="51" spans="1:6" ht="14.25">
      <c r="A51" s="898"/>
      <c r="B51" s="25"/>
      <c r="C51" s="114"/>
      <c r="D51" s="510"/>
      <c r="E51" s="31"/>
      <c r="F51" s="31"/>
    </row>
    <row r="52" spans="1:6" ht="14.25">
      <c r="A52" s="898"/>
      <c r="B52" s="907"/>
      <c r="C52" s="424"/>
      <c r="D52" s="682"/>
      <c r="E52" s="31"/>
      <c r="F52" s="31"/>
    </row>
    <row r="53" spans="1:6">
      <c r="A53" s="31"/>
      <c r="B53" s="31"/>
      <c r="C53" s="31"/>
      <c r="D53" s="31"/>
      <c r="E53" s="31"/>
      <c r="F53" s="31"/>
    </row>
    <row r="54" spans="1:6">
      <c r="A54" s="31"/>
      <c r="B54" s="31"/>
      <c r="C54" s="31"/>
      <c r="D54" s="31"/>
      <c r="E54" s="31"/>
      <c r="F54" s="31"/>
    </row>
    <row r="55" spans="1:6">
      <c r="A55" s="31"/>
      <c r="B55" s="31"/>
      <c r="C55" s="31"/>
      <c r="D55" s="31"/>
      <c r="E55" s="31"/>
      <c r="F55" s="31"/>
    </row>
    <row r="56" spans="1:6">
      <c r="A56" s="31"/>
      <c r="B56" s="31"/>
      <c r="C56" s="31"/>
      <c r="D56" s="31"/>
      <c r="E56" s="31"/>
      <c r="F56" s="31"/>
    </row>
    <row r="57" spans="1:6">
      <c r="A57" s="31"/>
      <c r="B57" s="31"/>
      <c r="C57" s="31"/>
      <c r="D57" s="31"/>
      <c r="E57" s="31"/>
      <c r="F57" s="31"/>
    </row>
    <row r="58" spans="1:6">
      <c r="A58" s="31"/>
      <c r="B58" s="31"/>
      <c r="C58" s="31"/>
      <c r="D58" s="31"/>
      <c r="E58" s="31"/>
      <c r="F58" s="31"/>
    </row>
    <row r="59" spans="1:6">
      <c r="A59" s="31"/>
      <c r="B59" s="31"/>
      <c r="C59" s="31"/>
      <c r="D59" s="31"/>
      <c r="E59" s="31"/>
      <c r="F59" s="31"/>
    </row>
    <row r="60" spans="1:6">
      <c r="A60" s="31"/>
      <c r="B60" s="31"/>
      <c r="C60" s="31"/>
      <c r="D60" s="31"/>
      <c r="E60" s="31"/>
      <c r="F60" s="31"/>
    </row>
    <row r="61" spans="1:6">
      <c r="A61" s="31"/>
      <c r="B61" s="31"/>
      <c r="C61" s="31"/>
      <c r="D61" s="31"/>
      <c r="E61" s="31"/>
      <c r="F61" s="31"/>
    </row>
  </sheetData>
  <mergeCells count="2">
    <mergeCell ref="A1:C1"/>
    <mergeCell ref="A16:D16"/>
  </mergeCells>
  <hyperlinks>
    <hyperlink ref="C19" r:id="rId1" xr:uid="{08208A8F-A60B-4E04-BF1F-81A732C7D8EC}"/>
    <hyperlink ref="C20" r:id="rId2" xr:uid="{B4EEFF28-43D2-4727-910A-57D2802BCC22}"/>
    <hyperlink ref="C21" r:id="rId3" xr:uid="{C4CD100F-1B26-4F87-9593-FC508EAA9545}"/>
    <hyperlink ref="C22" r:id="rId4" xr:uid="{76A0AEEC-BA66-4AA2-A157-533F16FBEDD4}"/>
    <hyperlink ref="C23" r:id="rId5" xr:uid="{CB5EA39C-E6F6-4372-8A9E-A0AA7F8E6DAB}"/>
    <hyperlink ref="C25" r:id="rId6" xr:uid="{EF30894B-F0CB-4528-BCF1-569FC07776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Gisela Rojas</cp:lastModifiedBy>
  <cp:revision>1</cp:revision>
  <dcterms:created xsi:type="dcterms:W3CDTF">2019-05-02T22:35:47Z</dcterms:created>
  <dcterms:modified xsi:type="dcterms:W3CDTF">2022-12-01T16:32:36Z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