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17314" documentId="11_9248B46DC1CBB2E3ED7FF6F9903E8C1851038383" xr6:coauthVersionLast="47" xr6:coauthVersionMax="47" xr10:uidLastSave="{A72E6A52-32A0-46EF-9F0B-19C4FF93483C}"/>
  <bookViews>
    <workbookView xWindow="240" yWindow="105" windowWidth="14805" windowHeight="8010" xr2:uid="{00000000-000D-0000-FFFF-FFFF00000000}"/>
  </bookViews>
  <sheets>
    <sheet name="ASESORES EXTERNOS" sheetId="1" r:id="rId1"/>
    <sheet name="ASESORAS INTERNAS" sheetId="2" r:id="rId2"/>
    <sheet name="SUBROGACIONES Y EMPALMES " sheetId="4" r:id="rId3"/>
    <sheet name="PLACAS DE MOTO 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5" i="1" l="1"/>
  <c r="E1019" i="1"/>
  <c r="Q1008" i="1"/>
  <c r="Q1007" i="1"/>
  <c r="Q990" i="1"/>
  <c r="Q989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26" i="1"/>
  <c r="G1041" i="1" s="1"/>
  <c r="G1007" i="1"/>
  <c r="G1008" i="1"/>
  <c r="G1009" i="1"/>
  <c r="G1010" i="1"/>
  <c r="G1011" i="1"/>
  <c r="G1012" i="1"/>
  <c r="G1013" i="1"/>
  <c r="G1014" i="1"/>
  <c r="G1015" i="1"/>
  <c r="G1016" i="1"/>
  <c r="G1017" i="1"/>
  <c r="G1006" i="1"/>
  <c r="G1019" i="1" s="1"/>
  <c r="Q1006" i="1"/>
  <c r="Q1018" i="1" s="1"/>
  <c r="G987" i="1"/>
  <c r="G988" i="1"/>
  <c r="G989" i="1"/>
  <c r="G990" i="1"/>
  <c r="G991" i="1"/>
  <c r="G992" i="1"/>
  <c r="G993" i="1"/>
  <c r="G994" i="1"/>
  <c r="G995" i="1"/>
  <c r="G996" i="1"/>
  <c r="G997" i="1"/>
  <c r="G986" i="1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22" i="2"/>
  <c r="G1584" i="2" s="1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29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54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75" i="2"/>
  <c r="G1499" i="2"/>
  <c r="G1500" i="2"/>
  <c r="G1501" i="2"/>
  <c r="G1502" i="2"/>
  <c r="G1503" i="2"/>
  <c r="G1504" i="2"/>
  <c r="G1505" i="2"/>
  <c r="G1506" i="2"/>
  <c r="G1507" i="2"/>
  <c r="G1508" i="2"/>
  <c r="G1498" i="2"/>
  <c r="Q987" i="1"/>
  <c r="Q988" i="1"/>
  <c r="Q986" i="1"/>
  <c r="Q1000" i="1" s="1"/>
  <c r="E1584" i="2"/>
  <c r="E1509" i="2"/>
  <c r="G1509" i="2"/>
  <c r="E1492" i="2"/>
  <c r="G1492" i="2"/>
  <c r="E1469" i="2"/>
  <c r="G1469" i="2"/>
  <c r="E1447" i="2"/>
  <c r="G1447" i="2"/>
  <c r="D1189" i="1"/>
  <c r="O1181" i="1"/>
  <c r="E1181" i="1"/>
  <c r="Q1151" i="1"/>
  <c r="E1151" i="1"/>
  <c r="G1123" i="1"/>
  <c r="Q1123" i="1" s="1"/>
  <c r="E1123" i="1"/>
  <c r="G1098" i="1"/>
  <c r="Q1098" i="1" s="1"/>
  <c r="E1098" i="1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349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23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0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8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50" i="2"/>
  <c r="G941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23" i="1"/>
  <c r="G943" i="1" s="1"/>
  <c r="Q923" i="1"/>
  <c r="Q943" i="1" s="1"/>
  <c r="Q905" i="1"/>
  <c r="Q904" i="1"/>
  <c r="G905" i="1"/>
  <c r="G906" i="1"/>
  <c r="G907" i="1"/>
  <c r="G908" i="1"/>
  <c r="G909" i="1"/>
  <c r="G910" i="1"/>
  <c r="G911" i="1"/>
  <c r="G912" i="1"/>
  <c r="G913" i="1"/>
  <c r="G914" i="1"/>
  <c r="G904" i="1"/>
  <c r="G887" i="1"/>
  <c r="G888" i="1"/>
  <c r="G889" i="1"/>
  <c r="G890" i="1"/>
  <c r="G891" i="1"/>
  <c r="G892" i="1"/>
  <c r="G893" i="1"/>
  <c r="G894" i="1"/>
  <c r="G895" i="1"/>
  <c r="G896" i="1"/>
  <c r="G897" i="1"/>
  <c r="G886" i="1"/>
  <c r="O1062" i="1"/>
  <c r="E1062" i="1"/>
  <c r="Q1041" i="1"/>
  <c r="E1041" i="1"/>
  <c r="G1001" i="1"/>
  <c r="Q1001" i="1" s="1"/>
  <c r="E1001" i="1"/>
  <c r="D1066" i="1" s="1"/>
  <c r="E1417" i="2"/>
  <c r="G1417" i="2"/>
  <c r="E1336" i="2"/>
  <c r="G1336" i="2"/>
  <c r="E1317" i="2"/>
  <c r="G1317" i="2"/>
  <c r="E1294" i="2"/>
  <c r="G1294" i="2"/>
  <c r="E1273" i="2"/>
  <c r="G1273" i="2"/>
  <c r="G1212" i="2"/>
  <c r="G1149" i="2"/>
  <c r="G813" i="1"/>
  <c r="G845" i="1"/>
  <c r="G847" i="1" s="1"/>
  <c r="G812" i="1"/>
  <c r="G801" i="1"/>
  <c r="G802" i="1"/>
  <c r="G803" i="1"/>
  <c r="G804" i="1"/>
  <c r="G805" i="1"/>
  <c r="G806" i="1"/>
  <c r="G807" i="1"/>
  <c r="G808" i="1"/>
  <c r="G809" i="1"/>
  <c r="G810" i="1"/>
  <c r="G811" i="1"/>
  <c r="G800" i="1"/>
  <c r="Q824" i="1"/>
  <c r="G825" i="1"/>
  <c r="G826" i="1"/>
  <c r="G827" i="1"/>
  <c r="G828" i="1"/>
  <c r="G829" i="1"/>
  <c r="G830" i="1"/>
  <c r="G831" i="1"/>
  <c r="G832" i="1"/>
  <c r="G833" i="1"/>
  <c r="G834" i="1"/>
  <c r="G824" i="1"/>
  <c r="G1144" i="2"/>
  <c r="G1145" i="2"/>
  <c r="G1146" i="2"/>
  <c r="G1147" i="2"/>
  <c r="G1148" i="2"/>
  <c r="G1143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099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22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56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185" i="2"/>
  <c r="G1176" i="2"/>
  <c r="G1177" i="2"/>
  <c r="G1175" i="2"/>
  <c r="E1169" i="2"/>
  <c r="E899" i="1"/>
  <c r="G899" i="1"/>
  <c r="Q899" i="1" s="1"/>
  <c r="E916" i="1"/>
  <c r="G916" i="1"/>
  <c r="Q916" i="1" s="1"/>
  <c r="E943" i="1"/>
  <c r="E969" i="1"/>
  <c r="O969" i="1"/>
  <c r="E1238" i="2"/>
  <c r="G1238" i="2"/>
  <c r="E1178" i="2"/>
  <c r="G1178" i="2"/>
  <c r="G1169" i="2"/>
  <c r="E1150" i="2"/>
  <c r="G1150" i="2"/>
  <c r="E1137" i="2"/>
  <c r="G1137" i="2"/>
  <c r="E1115" i="2"/>
  <c r="G1115" i="2"/>
  <c r="G722" i="1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25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26" i="2"/>
  <c r="G943" i="2" s="1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50" i="2"/>
  <c r="G966" i="2" s="1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72" i="2"/>
  <c r="G1008" i="2"/>
  <c r="G1009" i="2"/>
  <c r="G1007" i="2"/>
  <c r="G1010" i="2" s="1"/>
  <c r="G999" i="2"/>
  <c r="G1000" i="2"/>
  <c r="G998" i="2"/>
  <c r="Q700" i="1"/>
  <c r="Q699" i="1"/>
  <c r="G700" i="1"/>
  <c r="G701" i="1"/>
  <c r="G702" i="1"/>
  <c r="G703" i="1"/>
  <c r="G699" i="1"/>
  <c r="G731" i="1"/>
  <c r="G730" i="1"/>
  <c r="G737" i="1" s="1"/>
  <c r="Q730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09" i="1"/>
  <c r="Q710" i="1"/>
  <c r="Q711" i="1"/>
  <c r="Q712" i="1"/>
  <c r="Q713" i="1"/>
  <c r="Q709" i="1"/>
  <c r="Q723" i="1" s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43" i="1"/>
  <c r="G762" i="1" s="1"/>
  <c r="O870" i="1"/>
  <c r="E870" i="1"/>
  <c r="Q847" i="1"/>
  <c r="E847" i="1"/>
  <c r="G838" i="1"/>
  <c r="Q838" i="1" s="1"/>
  <c r="E838" i="1"/>
  <c r="G819" i="1"/>
  <c r="Q819" i="1" s="1"/>
  <c r="E819" i="1"/>
  <c r="D873" i="1" s="1"/>
  <c r="E943" i="2"/>
  <c r="E966" i="2"/>
  <c r="E1010" i="2"/>
  <c r="G1001" i="2"/>
  <c r="E1001" i="2"/>
  <c r="E1086" i="2"/>
  <c r="G1086" i="2"/>
  <c r="E1019" i="2"/>
  <c r="E992" i="2"/>
  <c r="G992" i="2"/>
  <c r="E737" i="1"/>
  <c r="E914" i="2"/>
  <c r="G644" i="1"/>
  <c r="G645" i="1"/>
  <c r="G646" i="1"/>
  <c r="G647" i="1"/>
  <c r="G648" i="1"/>
  <c r="G649" i="1"/>
  <c r="G650" i="1"/>
  <c r="G651" i="1"/>
  <c r="G652" i="1"/>
  <c r="G653" i="1"/>
  <c r="G654" i="1"/>
  <c r="G643" i="1"/>
  <c r="G659" i="1" s="1"/>
  <c r="Q644" i="1"/>
  <c r="Q643" i="1"/>
  <c r="Q614" i="1"/>
  <c r="Q590" i="1"/>
  <c r="Q591" i="1"/>
  <c r="Q589" i="1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51" i="2"/>
  <c r="G914" i="2" s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14" i="1"/>
  <c r="E845" i="2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589" i="1"/>
  <c r="G831" i="2"/>
  <c r="G832" i="2"/>
  <c r="G830" i="2"/>
  <c r="G833" i="2" s="1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799" i="2"/>
  <c r="G824" i="2" s="1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66" i="2"/>
  <c r="E833" i="2"/>
  <c r="E824" i="2"/>
  <c r="O784" i="1"/>
  <c r="E784" i="1"/>
  <c r="Q762" i="1"/>
  <c r="E762" i="1"/>
  <c r="G724" i="1"/>
  <c r="Q724" i="1" s="1"/>
  <c r="E724" i="1"/>
  <c r="G704" i="1"/>
  <c r="Q704" i="1" s="1"/>
  <c r="E704" i="1"/>
  <c r="E792" i="2"/>
  <c r="G792" i="2"/>
  <c r="G636" i="1"/>
  <c r="Q500" i="1"/>
  <c r="Q499" i="1"/>
  <c r="Q510" i="1" s="1"/>
  <c r="G535" i="1"/>
  <c r="G536" i="1"/>
  <c r="G537" i="1"/>
  <c r="G538" i="1"/>
  <c r="G534" i="1"/>
  <c r="G548" i="1"/>
  <c r="G549" i="1"/>
  <c r="G550" i="1"/>
  <c r="G551" i="1"/>
  <c r="G552" i="1"/>
  <c r="G553" i="1"/>
  <c r="G554" i="1"/>
  <c r="G547" i="1"/>
  <c r="G555" i="1" s="1"/>
  <c r="Q518" i="1"/>
  <c r="Q517" i="1"/>
  <c r="Q527" i="1" s="1"/>
  <c r="G518" i="1"/>
  <c r="G519" i="1"/>
  <c r="G520" i="1"/>
  <c r="G521" i="1"/>
  <c r="G522" i="1"/>
  <c r="G523" i="1"/>
  <c r="G524" i="1"/>
  <c r="G525" i="1"/>
  <c r="G526" i="1"/>
  <c r="G517" i="1"/>
  <c r="G500" i="1"/>
  <c r="G501" i="1"/>
  <c r="G502" i="1"/>
  <c r="G503" i="1"/>
  <c r="G504" i="1"/>
  <c r="G505" i="1"/>
  <c r="G506" i="1"/>
  <c r="G507" i="1"/>
  <c r="G508" i="1"/>
  <c r="G499" i="1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20" i="2"/>
  <c r="G701" i="2"/>
  <c r="G702" i="2"/>
  <c r="G703" i="2"/>
  <c r="G704" i="2"/>
  <c r="G705" i="2"/>
  <c r="G706" i="2"/>
  <c r="G707" i="2"/>
  <c r="G708" i="2"/>
  <c r="G700" i="2"/>
  <c r="G687" i="2"/>
  <c r="G688" i="2"/>
  <c r="G689" i="2"/>
  <c r="G690" i="2"/>
  <c r="G691" i="2"/>
  <c r="G692" i="2"/>
  <c r="G693" i="2"/>
  <c r="G686" i="2"/>
  <c r="G674" i="2"/>
  <c r="G675" i="2"/>
  <c r="G676" i="2"/>
  <c r="G677" i="2"/>
  <c r="G678" i="2"/>
  <c r="G673" i="2"/>
  <c r="G655" i="2"/>
  <c r="G656" i="2"/>
  <c r="G657" i="2"/>
  <c r="G658" i="2"/>
  <c r="G659" i="2"/>
  <c r="G660" i="2"/>
  <c r="G661" i="2"/>
  <c r="G662" i="2"/>
  <c r="G663" i="2"/>
  <c r="G664" i="2"/>
  <c r="G654" i="2"/>
  <c r="O684" i="1"/>
  <c r="E684" i="1"/>
  <c r="E659" i="1"/>
  <c r="G638" i="1"/>
  <c r="Q638" i="1" s="1"/>
  <c r="E638" i="1"/>
  <c r="G631" i="1"/>
  <c r="Q631" i="1" s="1"/>
  <c r="E631" i="1"/>
  <c r="G609" i="1"/>
  <c r="Q609" i="1" s="1"/>
  <c r="E609" i="1"/>
  <c r="E754" i="2"/>
  <c r="G754" i="2"/>
  <c r="E713" i="2"/>
  <c r="G713" i="2"/>
  <c r="E694" i="2"/>
  <c r="G694" i="2"/>
  <c r="E680" i="2"/>
  <c r="G680" i="2"/>
  <c r="E667" i="2"/>
  <c r="G667" i="2"/>
  <c r="E542" i="1"/>
  <c r="G542" i="1"/>
  <c r="Q542" i="1"/>
  <c r="E555" i="1"/>
  <c r="G540" i="2"/>
  <c r="E467" i="1"/>
  <c r="G466" i="1"/>
  <c r="E589" i="2"/>
  <c r="G587" i="2"/>
  <c r="G641" i="2"/>
  <c r="E642" i="2"/>
  <c r="G465" i="1"/>
  <c r="G640" i="2"/>
  <c r="G586" i="2"/>
  <c r="G418" i="1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03" i="2"/>
  <c r="G642" i="2" s="1"/>
  <c r="Q426" i="1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72" i="2"/>
  <c r="G589" i="2" s="1"/>
  <c r="G549" i="2"/>
  <c r="G548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27" i="2"/>
  <c r="G558" i="2"/>
  <c r="G559" i="2"/>
  <c r="G560" i="2"/>
  <c r="G561" i="2"/>
  <c r="G562" i="2"/>
  <c r="G563" i="2"/>
  <c r="G564" i="2"/>
  <c r="G557" i="2"/>
  <c r="Q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51" i="1"/>
  <c r="G467" i="1" s="1"/>
  <c r="G427" i="1"/>
  <c r="G428" i="1"/>
  <c r="G429" i="1"/>
  <c r="G430" i="1"/>
  <c r="G431" i="1"/>
  <c r="G432" i="1"/>
  <c r="G433" i="1"/>
  <c r="G434" i="1"/>
  <c r="G435" i="1"/>
  <c r="G426" i="1"/>
  <c r="Q408" i="1"/>
  <c r="Q407" i="1"/>
  <c r="Q419" i="1" s="1"/>
  <c r="G408" i="1"/>
  <c r="G409" i="1"/>
  <c r="G410" i="1"/>
  <c r="G411" i="1"/>
  <c r="G412" i="1"/>
  <c r="G413" i="1"/>
  <c r="G414" i="1"/>
  <c r="G415" i="1"/>
  <c r="G416" i="1"/>
  <c r="G417" i="1"/>
  <c r="G407" i="1"/>
  <c r="G596" i="2"/>
  <c r="E596" i="2"/>
  <c r="O572" i="1"/>
  <c r="E572" i="1"/>
  <c r="Q555" i="1"/>
  <c r="G529" i="1"/>
  <c r="Q529" i="1" s="1"/>
  <c r="E529" i="1"/>
  <c r="G512" i="1"/>
  <c r="E512" i="1"/>
  <c r="G444" i="1"/>
  <c r="G443" i="1"/>
  <c r="E566" i="2"/>
  <c r="G566" i="2"/>
  <c r="E551" i="2"/>
  <c r="G551" i="2"/>
  <c r="E542" i="2"/>
  <c r="G542" i="2"/>
  <c r="G514" i="2"/>
  <c r="E515" i="2"/>
  <c r="E476" i="2"/>
  <c r="G471" i="2"/>
  <c r="E377" i="1"/>
  <c r="G376" i="1"/>
  <c r="G513" i="2"/>
  <c r="G450" i="2"/>
  <c r="E444" i="2"/>
  <c r="E432" i="2"/>
  <c r="G431" i="2"/>
  <c r="G335" i="1"/>
  <c r="G334" i="1"/>
  <c r="G470" i="2"/>
  <c r="G333" i="1"/>
  <c r="G451" i="2"/>
  <c r="G459" i="2"/>
  <c r="G460" i="2"/>
  <c r="G461" i="2"/>
  <c r="G462" i="2"/>
  <c r="G463" i="2"/>
  <c r="G464" i="2"/>
  <c r="G465" i="2"/>
  <c r="G466" i="2"/>
  <c r="G467" i="2"/>
  <c r="G468" i="2"/>
  <c r="G469" i="2"/>
  <c r="G458" i="2"/>
  <c r="G476" i="2" s="1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483" i="2"/>
  <c r="G515" i="2" s="1"/>
  <c r="G427" i="2"/>
  <c r="G428" i="2"/>
  <c r="G429" i="2"/>
  <c r="G430" i="2"/>
  <c r="G426" i="2"/>
  <c r="G432" i="2" s="1"/>
  <c r="G439" i="2"/>
  <c r="G440" i="2"/>
  <c r="G441" i="2"/>
  <c r="G442" i="2"/>
  <c r="G443" i="2"/>
  <c r="G438" i="2"/>
  <c r="Q347" i="1"/>
  <c r="E452" i="2"/>
  <c r="G332" i="1"/>
  <c r="Q346" i="1"/>
  <c r="G329" i="1"/>
  <c r="G330" i="1"/>
  <c r="G331" i="1"/>
  <c r="G328" i="1"/>
  <c r="Q345" i="1"/>
  <c r="Q344" i="1"/>
  <c r="Q351" i="1" s="1"/>
  <c r="G345" i="1"/>
  <c r="G346" i="1"/>
  <c r="G347" i="1"/>
  <c r="G348" i="1"/>
  <c r="G349" i="1"/>
  <c r="G350" i="1"/>
  <c r="G344" i="1"/>
  <c r="G367" i="1"/>
  <c r="G368" i="1"/>
  <c r="G369" i="1"/>
  <c r="G370" i="1"/>
  <c r="G371" i="1"/>
  <c r="G372" i="1"/>
  <c r="G373" i="1"/>
  <c r="G374" i="1"/>
  <c r="G375" i="1"/>
  <c r="G366" i="1"/>
  <c r="G377" i="1" s="1"/>
  <c r="G358" i="1"/>
  <c r="G357" i="1"/>
  <c r="E421" i="1"/>
  <c r="G421" i="1"/>
  <c r="Q421" i="1" s="1"/>
  <c r="E438" i="1"/>
  <c r="G438" i="1"/>
  <c r="Q438" i="1" s="1"/>
  <c r="E446" i="1"/>
  <c r="G446" i="1"/>
  <c r="Q446" i="1"/>
  <c r="Q467" i="1"/>
  <c r="E482" i="1"/>
  <c r="O482" i="1"/>
  <c r="D485" i="1"/>
  <c r="D489" i="1"/>
  <c r="G444" i="2"/>
  <c r="O391" i="1"/>
  <c r="E391" i="1"/>
  <c r="Q377" i="1"/>
  <c r="E361" i="1"/>
  <c r="G361" i="1"/>
  <c r="Q361" i="1" s="1"/>
  <c r="E352" i="1"/>
  <c r="G352" i="1"/>
  <c r="Q352" i="1" s="1"/>
  <c r="E339" i="1"/>
  <c r="G339" i="1"/>
  <c r="Q339" i="1" s="1"/>
  <c r="G279" i="1"/>
  <c r="G280" i="1"/>
  <c r="G281" i="1"/>
  <c r="G282" i="1"/>
  <c r="G283" i="1"/>
  <c r="G284" i="1"/>
  <c r="G285" i="1"/>
  <c r="G286" i="1"/>
  <c r="G287" i="1"/>
  <c r="G278" i="1"/>
  <c r="G259" i="1"/>
  <c r="G260" i="1"/>
  <c r="G261" i="1"/>
  <c r="G262" i="1"/>
  <c r="G263" i="1"/>
  <c r="G264" i="1"/>
  <c r="G265" i="1"/>
  <c r="G266" i="1"/>
  <c r="G258" i="1"/>
  <c r="G273" i="1" s="1"/>
  <c r="Q224" i="1"/>
  <c r="G242" i="1"/>
  <c r="G243" i="1"/>
  <c r="G244" i="1"/>
  <c r="G245" i="1"/>
  <c r="G246" i="1"/>
  <c r="G247" i="1"/>
  <c r="G248" i="1"/>
  <c r="G249" i="1"/>
  <c r="G250" i="1"/>
  <c r="G241" i="1"/>
  <c r="G225" i="1"/>
  <c r="G226" i="1"/>
  <c r="G227" i="1"/>
  <c r="G228" i="1"/>
  <c r="G229" i="1"/>
  <c r="G230" i="1"/>
  <c r="G231" i="1"/>
  <c r="G232" i="1"/>
  <c r="G233" i="1"/>
  <c r="G224" i="1"/>
  <c r="G236" i="1" s="1"/>
  <c r="Q236" i="1" s="1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49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07" i="2"/>
  <c r="G330" i="2"/>
  <c r="G331" i="2"/>
  <c r="G332" i="2"/>
  <c r="G333" i="2"/>
  <c r="G334" i="2"/>
  <c r="G335" i="2"/>
  <c r="G329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374" i="2"/>
  <c r="E414" i="2"/>
  <c r="G414" i="2"/>
  <c r="E367" i="2"/>
  <c r="G367" i="2"/>
  <c r="G343" i="2"/>
  <c r="E343" i="2"/>
  <c r="E336" i="2"/>
  <c r="G336" i="2"/>
  <c r="E323" i="2"/>
  <c r="G323" i="2"/>
  <c r="Q155" i="1"/>
  <c r="Q140" i="1"/>
  <c r="Q139" i="1"/>
  <c r="Q141" i="1" s="1"/>
  <c r="Q119" i="1"/>
  <c r="Q120" i="1"/>
  <c r="Q118" i="1"/>
  <c r="Q121" i="1" s="1"/>
  <c r="Q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74" i="1"/>
  <c r="G164" i="1"/>
  <c r="G156" i="1"/>
  <c r="G157" i="1"/>
  <c r="G158" i="1"/>
  <c r="G159" i="1"/>
  <c r="G160" i="1"/>
  <c r="G161" i="1"/>
  <c r="G162" i="1"/>
  <c r="G163" i="1"/>
  <c r="G155" i="1"/>
  <c r="G140" i="1"/>
  <c r="G141" i="1"/>
  <c r="G142" i="1"/>
  <c r="G143" i="1"/>
  <c r="G144" i="1"/>
  <c r="G145" i="1"/>
  <c r="G146" i="1"/>
  <c r="G147" i="1"/>
  <c r="G148" i="1"/>
  <c r="G139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18" i="1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7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59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10" i="2"/>
  <c r="G235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43" i="2"/>
  <c r="G236" i="2"/>
  <c r="E236" i="2"/>
  <c r="O313" i="1"/>
  <c r="E313" i="1"/>
  <c r="G291" i="1"/>
  <c r="Q291" i="1" s="1"/>
  <c r="E291" i="1"/>
  <c r="Q273" i="1"/>
  <c r="E273" i="1"/>
  <c r="G253" i="1"/>
  <c r="Q253" i="1" s="1"/>
  <c r="E253" i="1"/>
  <c r="E236" i="1"/>
  <c r="D316" i="1" s="1"/>
  <c r="E295" i="2"/>
  <c r="G295" i="2"/>
  <c r="E229" i="2"/>
  <c r="G229" i="2"/>
  <c r="E204" i="2"/>
  <c r="G204" i="2"/>
  <c r="E194" i="2"/>
  <c r="G194" i="2"/>
  <c r="E173" i="2"/>
  <c r="G173" i="2"/>
  <c r="E148" i="2"/>
  <c r="G72" i="1"/>
  <c r="G73" i="1"/>
  <c r="G74" i="1"/>
  <c r="G75" i="1"/>
  <c r="G76" i="1"/>
  <c r="G77" i="1"/>
  <c r="G78" i="1"/>
  <c r="G79" i="1"/>
  <c r="G71" i="1"/>
  <c r="G50" i="1"/>
  <c r="G51" i="1"/>
  <c r="G52" i="1"/>
  <c r="G53" i="1"/>
  <c r="G54" i="1"/>
  <c r="G55" i="1"/>
  <c r="G56" i="1"/>
  <c r="G57" i="1"/>
  <c r="G58" i="1"/>
  <c r="G59" i="1"/>
  <c r="G60" i="1"/>
  <c r="G49" i="1"/>
  <c r="G30" i="1"/>
  <c r="G31" i="1"/>
  <c r="G32" i="1"/>
  <c r="G33" i="1"/>
  <c r="G34" i="1"/>
  <c r="G35" i="1"/>
  <c r="G36" i="1"/>
  <c r="G37" i="1"/>
  <c r="G38" i="1"/>
  <c r="G39" i="1"/>
  <c r="G40" i="1"/>
  <c r="G41" i="1"/>
  <c r="G29" i="1"/>
  <c r="G6" i="1"/>
  <c r="G7" i="1"/>
  <c r="G8" i="1"/>
  <c r="G9" i="1"/>
  <c r="G10" i="1"/>
  <c r="G11" i="1"/>
  <c r="G12" i="1"/>
  <c r="G13" i="1"/>
  <c r="G14" i="1"/>
  <c r="G15" i="1"/>
  <c r="G16" i="1"/>
  <c r="G17" i="1"/>
  <c r="G5" i="1"/>
  <c r="G10" i="2"/>
  <c r="G11" i="2"/>
  <c r="G12" i="2"/>
  <c r="G13" i="2"/>
  <c r="G14" i="2"/>
  <c r="G15" i="2"/>
  <c r="G16" i="2"/>
  <c r="G17" i="2"/>
  <c r="G18" i="2"/>
  <c r="G19" i="2"/>
  <c r="G20" i="2"/>
  <c r="G21" i="2"/>
  <c r="G9" i="2"/>
  <c r="G34" i="2"/>
  <c r="G35" i="2"/>
  <c r="G36" i="2"/>
  <c r="G37" i="2"/>
  <c r="G38" i="2"/>
  <c r="G39" i="2"/>
  <c r="G40" i="2"/>
  <c r="G41" i="2"/>
  <c r="G42" i="2"/>
  <c r="G43" i="2"/>
  <c r="G44" i="2"/>
  <c r="G33" i="2"/>
  <c r="G54" i="2"/>
  <c r="G55" i="2"/>
  <c r="G56" i="2"/>
  <c r="G57" i="2"/>
  <c r="G58" i="2"/>
  <c r="G59" i="2"/>
  <c r="G60" i="2"/>
  <c r="G61" i="2"/>
  <c r="G53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72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98" i="2"/>
  <c r="G148" i="2"/>
  <c r="Q49" i="1"/>
  <c r="Q29" i="1"/>
  <c r="O209" i="1"/>
  <c r="E209" i="1"/>
  <c r="G188" i="1"/>
  <c r="Q188" i="1" s="1"/>
  <c r="E188" i="1"/>
  <c r="G169" i="1"/>
  <c r="Q169" i="1" s="1"/>
  <c r="E169" i="1"/>
  <c r="G150" i="1"/>
  <c r="Q150" i="1" s="1"/>
  <c r="E150" i="1"/>
  <c r="G134" i="1"/>
  <c r="Q134" i="1" s="1"/>
  <c r="E134" i="1"/>
  <c r="D212" i="1" s="1"/>
  <c r="E65" i="1"/>
  <c r="E92" i="2"/>
  <c r="G92" i="2"/>
  <c r="E66" i="2"/>
  <c r="G66" i="2"/>
  <c r="E47" i="2"/>
  <c r="G47" i="2"/>
  <c r="E27" i="2"/>
  <c r="G27" i="2"/>
  <c r="O103" i="1"/>
  <c r="E103" i="1"/>
  <c r="E85" i="1"/>
  <c r="G85" i="1"/>
  <c r="G65" i="1"/>
  <c r="Q65" i="1" s="1"/>
  <c r="E43" i="1"/>
  <c r="G43" i="1"/>
  <c r="Q43" i="1" s="1"/>
  <c r="E24" i="1"/>
  <c r="G24" i="1"/>
  <c r="Q24" i="1" s="1"/>
  <c r="Q1019" i="1" l="1"/>
  <c r="D972" i="1"/>
  <c r="D976" i="1" s="1"/>
  <c r="Q737" i="1"/>
  <c r="D877" i="1"/>
  <c r="D787" i="1"/>
  <c r="Q659" i="1"/>
  <c r="D687" i="1"/>
  <c r="D791" i="1"/>
  <c r="D691" i="1"/>
  <c r="Q512" i="1"/>
  <c r="D575" i="1"/>
  <c r="D579" i="1" s="1"/>
  <c r="G452" i="2"/>
  <c r="D320" i="1"/>
  <c r="D216" i="1"/>
  <c r="D106" i="1"/>
  <c r="D110" i="1"/>
  <c r="Q85" i="1"/>
  <c r="D394" i="1"/>
  <c r="D3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tc={7F32690A-A5AC-42C8-965B-BD08B33F334D}</author>
  </authors>
  <commentList>
    <comment ref="Q610" authorId="0" shapeId="0" xr:uid="{7F32690A-A5AC-42C8-965B-BD08B33F334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descuenta 175,000 contrato pagado el mes pasado que el cliente desiste.</t>
      </text>
    </comment>
  </commentList>
</comments>
</file>

<file path=xl/sharedStrings.xml><?xml version="1.0" encoding="utf-8"?>
<sst xmlns="http://schemas.openxmlformats.org/spreadsheetml/2006/main" count="5761" uniqueCount="1041">
  <si>
    <t>ENERO 2022</t>
  </si>
  <si>
    <t>ARRIENDOS VANESSA TUBERQUIA</t>
  </si>
  <si>
    <t>CONSIGNACIONES</t>
  </si>
  <si>
    <t>CONTRATO</t>
  </si>
  <si>
    <t>%PROPIETARIO</t>
  </si>
  <si>
    <t>INMUEBLE</t>
  </si>
  <si>
    <t>CANON</t>
  </si>
  <si>
    <t>%</t>
  </si>
  <si>
    <t xml:space="preserve">COMISION </t>
  </si>
  <si>
    <t>ASESOR 2</t>
  </si>
  <si>
    <t>EJECUTIVA</t>
  </si>
  <si>
    <t>FACTURAR</t>
  </si>
  <si>
    <t>INVENTARIO</t>
  </si>
  <si>
    <t>OBSERVACIONES</t>
  </si>
  <si>
    <t>POR CONSIGNACION</t>
  </si>
  <si>
    <t>20+3</t>
  </si>
  <si>
    <t>CUARZO 2304</t>
  </si>
  <si>
    <t>VANESSA</t>
  </si>
  <si>
    <t xml:space="preserve">CAMILA </t>
  </si>
  <si>
    <t>X</t>
  </si>
  <si>
    <t>AVENIDA DEL CERRO 207</t>
  </si>
  <si>
    <t xml:space="preserve">TABATHA </t>
  </si>
  <si>
    <t>URBANIZACIÓN ROBLEDALES CASA 234</t>
  </si>
  <si>
    <t xml:space="preserve">SEBASTIAN </t>
  </si>
  <si>
    <t>CUARZO 2704</t>
  </si>
  <si>
    <t>PORTOVELHO 1605</t>
  </si>
  <si>
    <t>PORTADA</t>
  </si>
  <si>
    <t>TORRES DE HUNGRIA 103</t>
  </si>
  <si>
    <t>ALTAMIRA 429</t>
  </si>
  <si>
    <t>LUIS</t>
  </si>
  <si>
    <t>TORRES DE LA FUENTE 1118</t>
  </si>
  <si>
    <t xml:space="preserve">VERONICA </t>
  </si>
  <si>
    <t xml:space="preserve">CIUDADELA SEVILLA 1147 </t>
  </si>
  <si>
    <t>CUARZO 1616</t>
  </si>
  <si>
    <t xml:space="preserve">CUARZO 2308 </t>
  </si>
  <si>
    <t xml:space="preserve">ALEXANDER </t>
  </si>
  <si>
    <t>ORANGE 1505</t>
  </si>
  <si>
    <t xml:space="preserve">PORTADA </t>
  </si>
  <si>
    <t>CALLE 78 # 46-28</t>
  </si>
  <si>
    <t xml:space="preserve">LUIS </t>
  </si>
  <si>
    <t xml:space="preserve">DESISTIO </t>
  </si>
  <si>
    <t>ED SANTA MARIA DE LOS CAMINOS 501-2.000.000</t>
  </si>
  <si>
    <t>DISTRITO 65 AP 1403- 2.100.000</t>
  </si>
  <si>
    <t>SUBROGACION PLARA PILARICA 801- 1.400.000</t>
  </si>
  <si>
    <t>URB LOS COLORES 204- 1.400.000</t>
  </si>
  <si>
    <t>SUBROGACION PLAZA PILARICA 801-1.400.000</t>
  </si>
  <si>
    <t>TOTAL</t>
  </si>
  <si>
    <t xml:space="preserve">TOTAL </t>
  </si>
  <si>
    <t>ARRIENDOS ALEJANDRO OCAMPO</t>
  </si>
  <si>
    <t xml:space="preserve"> CANON</t>
  </si>
  <si>
    <t>COMISION</t>
  </si>
  <si>
    <t>20+6</t>
  </si>
  <si>
    <t xml:space="preserve">EMPALME ONIX 1805 - ojo cliente portero </t>
  </si>
  <si>
    <t>PENINSULA 507</t>
  </si>
  <si>
    <t>PERLATO 1417</t>
  </si>
  <si>
    <t>ALEJANDRO O</t>
  </si>
  <si>
    <t xml:space="preserve">COLORES DEL SOL 202 - ojo cliente portero </t>
  </si>
  <si>
    <t>SUBROGACION PLAZA PILARICA 801</t>
  </si>
  <si>
    <t>CITRINO 1703</t>
  </si>
  <si>
    <t>SENDEROS DEL PALMAR 1317</t>
  </si>
  <si>
    <t xml:space="preserve">ERIKA </t>
  </si>
  <si>
    <t xml:space="preserve">TORRESELVA 905 </t>
  </si>
  <si>
    <t xml:space="preserve">ALEJANDRO O </t>
  </si>
  <si>
    <t>AVENIDA DEL CERRO 902</t>
  </si>
  <si>
    <t>ALMENDRA 2207</t>
  </si>
  <si>
    <t>ESCALARES 1101</t>
  </si>
  <si>
    <t xml:space="preserve">CUARZO 810 </t>
  </si>
  <si>
    <t xml:space="preserve">ALTAMAR 2004 </t>
  </si>
  <si>
    <t>ALMENDRA 1608</t>
  </si>
  <si>
    <t xml:space="preserve">EN ESTUDIO </t>
  </si>
  <si>
    <t xml:space="preserve"> TOTAL ---------------------------------&gt;		</t>
  </si>
  <si>
    <t>ARRIENDOS SANTIAGO SANTA</t>
  </si>
  <si>
    <t>20+4</t>
  </si>
  <si>
    <t>PLAZA DE COLORES 405</t>
  </si>
  <si>
    <t xml:space="preserve">SANTIAGO </t>
  </si>
  <si>
    <t>PUERTO VENTURA 403</t>
  </si>
  <si>
    <t>CAMINO DE COLORES 1311</t>
  </si>
  <si>
    <t xml:space="preserve">NUEVO MUNDO 512 </t>
  </si>
  <si>
    <t xml:space="preserve">URBANIZACION LOS COLORES 1516 </t>
  </si>
  <si>
    <t xml:space="preserve">AIRES DE VALENCIA 810 </t>
  </si>
  <si>
    <t>AIRES DE VALENCIA 1412</t>
  </si>
  <si>
    <t>PONTEVEDRA 904</t>
  </si>
  <si>
    <t>ARTURO RUIZ</t>
  </si>
  <si>
    <t>URBANIZACION LOS COLORES 204</t>
  </si>
  <si>
    <t xml:space="preserve">CARRERA 44 # 66-08 201 (PALOS VERDES) </t>
  </si>
  <si>
    <t>CALLE 49 A # 76A- 105 AP 301</t>
  </si>
  <si>
    <t>OASIS DE COLORES 1504</t>
  </si>
  <si>
    <t xml:space="preserve">CALLE 47 F N° 94-60 AP 201 - OJO </t>
  </si>
  <si>
    <t>PONTEVEDRA 904- 1.800.000</t>
  </si>
  <si>
    <t>URBANIZACION LOS COLORES 204-1.400.000</t>
  </si>
  <si>
    <t>ESTADIO 70 AP 408 - 1.550.000</t>
  </si>
  <si>
    <t>ARRIENDOS ALEJANDRO CARDONA</t>
  </si>
  <si>
    <t>LUNA DEL CAMPO 1015</t>
  </si>
  <si>
    <t>ALEJANDRO C</t>
  </si>
  <si>
    <t xml:space="preserve">LUNA DEL VALLE 517 </t>
  </si>
  <si>
    <t xml:space="preserve">ALEJANDRO C </t>
  </si>
  <si>
    <t>LUNA DEL CAMPO 1224</t>
  </si>
  <si>
    <t>EL CORTIJO 322</t>
  </si>
  <si>
    <t>TERRITORIO AURORA 1646</t>
  </si>
  <si>
    <t xml:space="preserve">LUNA DEL CAMPO 207 </t>
  </si>
  <si>
    <t>LUNA DEL CAMPO 913</t>
  </si>
  <si>
    <t xml:space="preserve">LUNA DEL CAMPO 2317 </t>
  </si>
  <si>
    <t>CR 86 77 CC 21 Bellohorizonte - 1.000.000</t>
  </si>
  <si>
    <t>AIRES DE VALENCIA 206-1.200.000</t>
  </si>
  <si>
    <t>LOS ROBLES AP 9909 - $700.000</t>
  </si>
  <si>
    <t>LUNA DEL VALLE 727- 850.0000</t>
  </si>
  <si>
    <t>BOSQUES DE LA MACARENA 2312- 950.000</t>
  </si>
  <si>
    <t>ARRIENDOS PORTADA INMOBILIARIA</t>
  </si>
  <si>
    <t xml:space="preserve">PLAZA DE COLORES 1401 - ojo cliente portero </t>
  </si>
  <si>
    <t>EDIFICIO ALCARAZ 401</t>
  </si>
  <si>
    <t xml:space="preserve">CARLOS </t>
  </si>
  <si>
    <t>DANIELA</t>
  </si>
  <si>
    <t>CALLE 92 C # 65 A 21 AP 201</t>
  </si>
  <si>
    <t>EDIFICIO ALCARAZ 403</t>
  </si>
  <si>
    <t>CAMINO DE COLORES 1311 -1.800.000</t>
  </si>
  <si>
    <t>EMPALME ONIX 1805</t>
  </si>
  <si>
    <t>COLORES DEL SOL 202</t>
  </si>
  <si>
    <t>TOTAL FIRMADO</t>
  </si>
  <si>
    <t xml:space="preserve">OJOO $1.200.000 PERTENECEN A CALASANZ </t>
  </si>
  <si>
    <t>TOTAL APROBADO EN FIRMAS</t>
  </si>
  <si>
    <t>TOTAL EN ESTUDIO</t>
  </si>
  <si>
    <t>DESISTIDOS</t>
  </si>
  <si>
    <t>FEBRERO 2022</t>
  </si>
  <si>
    <t>RINCON DE LA VILLA 119</t>
  </si>
  <si>
    <t>FANNY 201</t>
  </si>
  <si>
    <t>CUARZO 1515</t>
  </si>
  <si>
    <t>CUARZO 1305</t>
  </si>
  <si>
    <t>CAPRI 1816</t>
  </si>
  <si>
    <t xml:space="preserve">LUNA DEL VALLE 2223 </t>
  </si>
  <si>
    <t xml:space="preserve">MIRADOR DE BARCELONA 302 </t>
  </si>
  <si>
    <t>URANIA 702</t>
  </si>
  <si>
    <t>PRADO DE SAN NICOLAS 1006</t>
  </si>
  <si>
    <t xml:space="preserve">PAULA </t>
  </si>
  <si>
    <t xml:space="preserve">TORRE ANGEL 1206 </t>
  </si>
  <si>
    <t>CUARZO 1122</t>
  </si>
  <si>
    <t>PORTON DEL PARQUE 1304</t>
  </si>
  <si>
    <t xml:space="preserve">EL DORAL 1405 </t>
  </si>
  <si>
    <t xml:space="preserve">CUARZO 2403 </t>
  </si>
  <si>
    <t>URBANIZACION LOS COLORES 1413</t>
  </si>
  <si>
    <t>CUARZO 624</t>
  </si>
  <si>
    <t>PORTALES DE LA CAMPIÑA 202 - 800.000</t>
  </si>
  <si>
    <t>EL DORAL 1405 - 850.000</t>
  </si>
  <si>
    <t>VILLA SURAMERICA 9901- 750.000</t>
  </si>
  <si>
    <t>TOTAL -----------------------------------------------&gt;</t>
  </si>
  <si>
    <t>ORANGE 711</t>
  </si>
  <si>
    <t>FARO VERDE 1701</t>
  </si>
  <si>
    <t>PERLATO 211 - Ojo cliente portero</t>
  </si>
  <si>
    <t>VERONICA</t>
  </si>
  <si>
    <t>MAZIRUMA 301</t>
  </si>
  <si>
    <t>JAZZ 703</t>
  </si>
  <si>
    <t>GUACARI 104</t>
  </si>
  <si>
    <t>ORANGE 2006</t>
  </si>
  <si>
    <t>ORANGE 1801</t>
  </si>
  <si>
    <t>ORANGE 1019</t>
  </si>
  <si>
    <t>ALMENDRA 2610</t>
  </si>
  <si>
    <t>FUENTE AZUL 1406- 1.200.000</t>
  </si>
  <si>
    <t>ESCORIAL 78 APTO 202</t>
  </si>
  <si>
    <t>CARRERA 90A 45-62</t>
  </si>
  <si>
    <t>SANTA MARIA DE LOS CAMINOS 501</t>
  </si>
  <si>
    <t xml:space="preserve">TORRES DEL ESTADIO 547 </t>
  </si>
  <si>
    <t>PARQUE DE COLORES 1407</t>
  </si>
  <si>
    <t>BRISAS DEL ESTADIO 107</t>
  </si>
  <si>
    <t xml:space="preserve">PLAZA DE COLORES 116 </t>
  </si>
  <si>
    <t>JARDIN DE COLORES 1102</t>
  </si>
  <si>
    <t>CARRERA 64 B N° 51 B – 33 AP 401 BLOQUE 58</t>
  </si>
  <si>
    <t xml:space="preserve">LUNA DEL MAR 1926 </t>
  </si>
  <si>
    <t>OASIS DE COLORES 805</t>
  </si>
  <si>
    <t>TORRES DEL ESTADIO 538- 1.700.000</t>
  </si>
  <si>
    <t>LOCAL VALVERDE 10 - 2.500.000</t>
  </si>
  <si>
    <t>TORRES DEL ESTADIO 547 - 1,600.000</t>
  </si>
  <si>
    <t>VILLA SURAMERICANA 9901- 750.000</t>
  </si>
  <si>
    <t>LUNA DEL CAMPO 1123</t>
  </si>
  <si>
    <t>CAMPO VERDE 9907</t>
  </si>
  <si>
    <t>LUNA DEL CAMPO 610</t>
  </si>
  <si>
    <t xml:space="preserve">LUNA DEL CAMPO 1605 </t>
  </si>
  <si>
    <t>LUNA DEL BOSQUE 508</t>
  </si>
  <si>
    <t xml:space="preserve">CALLE 65 C # 91 - 117  AP 127 </t>
  </si>
  <si>
    <t>LUNA DEL MAR 2023</t>
  </si>
  <si>
    <t xml:space="preserve">LUNA DEL CAMPO 1420 </t>
  </si>
  <si>
    <t>LUNA DEL CAMPO 1320</t>
  </si>
  <si>
    <t>LUNA DEL VALLE 2414</t>
  </si>
  <si>
    <t>LUNA DEL CAMPO 308</t>
  </si>
  <si>
    <t xml:space="preserve">CARRERA 74 A # 95-14 AP 301 </t>
  </si>
  <si>
    <t xml:space="preserve">TORRES DE LA MACARENA 202 </t>
  </si>
  <si>
    <t xml:space="preserve">CALLE 77 C N° 85B - 26 </t>
  </si>
  <si>
    <t xml:space="preserve">JUAN PABLO </t>
  </si>
  <si>
    <t xml:space="preserve">JARDIN DE COLORES 1109 OJO CLIENTE PORTERO </t>
  </si>
  <si>
    <t>ARBOLEDA DE COLORES 402</t>
  </si>
  <si>
    <t>BOSQUES DE LA MACARENA 2312</t>
  </si>
  <si>
    <t xml:space="preserve">CUARZO 2612 </t>
  </si>
  <si>
    <t>CARRERA 74 N° 48 – 37 LOCAL 259- 260</t>
  </si>
  <si>
    <t>DESISTIO</t>
  </si>
  <si>
    <t xml:space="preserve">JARDIN DE LOS LAURELES 419 -3.800.000 </t>
  </si>
  <si>
    <t xml:space="preserve">CALLE 65 C # 91 - 117 </t>
  </si>
  <si>
    <t>MARZO 2022</t>
  </si>
  <si>
    <t>PIZARRA 1511</t>
  </si>
  <si>
    <t>YERMANY</t>
  </si>
  <si>
    <t>SENDEROS DEL PALMAR 634</t>
  </si>
  <si>
    <t>NUEVO MUNDO 905</t>
  </si>
  <si>
    <t xml:space="preserve">CUARZO 1620 </t>
  </si>
  <si>
    <t xml:space="preserve">CUARZO 2003 </t>
  </si>
  <si>
    <t>CARRERA 30 # 35-79 AP 9902</t>
  </si>
  <si>
    <t xml:space="preserve">IVON </t>
  </si>
  <si>
    <t>PILARICA BLUE 605</t>
  </si>
  <si>
    <t>SUBROGACION CITRINO 1106</t>
  </si>
  <si>
    <t>PIZARRA 2912</t>
  </si>
  <si>
    <t xml:space="preserve">VANESSA </t>
  </si>
  <si>
    <t>CUARZO 2703</t>
  </si>
  <si>
    <t>JARDIN DE COLORES 1704</t>
  </si>
  <si>
    <t>PARAISO DE COLORES 1408- 1.600.000</t>
  </si>
  <si>
    <t>PILARICA BLUE 605- 1.900.000</t>
  </si>
  <si>
    <t>TOTAL ----------------------&gt;</t>
  </si>
  <si>
    <t>20+5</t>
  </si>
  <si>
    <t>OASIS 1008</t>
  </si>
  <si>
    <t xml:space="preserve">CITRINO  1702 </t>
  </si>
  <si>
    <t xml:space="preserve">ORANGE 714 - OJO CLIENTE PORTERO </t>
  </si>
  <si>
    <t xml:space="preserve">VILLA SURAMERICANA 9901 </t>
  </si>
  <si>
    <t>JAZZ 503</t>
  </si>
  <si>
    <t>PORTOVELHO 1503</t>
  </si>
  <si>
    <t xml:space="preserve">BRASILIA 301 </t>
  </si>
  <si>
    <t>CAMILO G</t>
  </si>
  <si>
    <t>CAMINO DE COLORES 1703</t>
  </si>
  <si>
    <t xml:space="preserve">DANIELA </t>
  </si>
  <si>
    <t>GIRASOLES DEL PILAR 304</t>
  </si>
  <si>
    <t>CALLE 82 # 76-24- 1.200.000</t>
  </si>
  <si>
    <t>ALTAMAR 2102-1.200.000</t>
  </si>
  <si>
    <t>13+5</t>
  </si>
  <si>
    <t xml:space="preserve">MIRADOR DEL EXITO 301 </t>
  </si>
  <si>
    <t>AIRES DE VALENCIA 712 OJO CLIENTE PORTERO</t>
  </si>
  <si>
    <t>CARRERA 68 N° 80 – 23</t>
  </si>
  <si>
    <t>CARRERA 74 A # 98-55</t>
  </si>
  <si>
    <t>CAMINO DE COLORES 804</t>
  </si>
  <si>
    <t>CAMINO DE COLORES 1114</t>
  </si>
  <si>
    <t>AIRES DE VALENCIA 609</t>
  </si>
  <si>
    <t xml:space="preserve">PLAZA DE COLORES 1515 </t>
  </si>
  <si>
    <t>CARRERA 32 # 40A-29 AP 301</t>
  </si>
  <si>
    <t>ARAGON 303 - 1.600.000</t>
  </si>
  <si>
    <t>BRASILIA 301 -1.500.000</t>
  </si>
  <si>
    <t>CALLE 50 C # 81-36 - 800.000</t>
  </si>
  <si>
    <t>MIRADOR DEL EXITO 201 - 2.000.000</t>
  </si>
  <si>
    <t>LOCAL CARRERA 73 N° 51 A – 2 - 4.00.000</t>
  </si>
  <si>
    <t>CARRERA 32 # 40 A 29 AP 301 - 1.500.000</t>
  </si>
  <si>
    <t xml:space="preserve">LUNA DEL CAMPO 2108 </t>
  </si>
  <si>
    <t xml:space="preserve">LUNA DEL BOSQUE 116 </t>
  </si>
  <si>
    <t>LUNA DEL VALLE 522</t>
  </si>
  <si>
    <t>LUNA DEL BOSQUE 2208</t>
  </si>
  <si>
    <t xml:space="preserve">LUNA DEL CAMPO 1818 </t>
  </si>
  <si>
    <t>LUNA DEL VALLE 1718</t>
  </si>
  <si>
    <t>PENINSULA 1614</t>
  </si>
  <si>
    <t>CANTARES 406</t>
  </si>
  <si>
    <t>LUNA DEL CAMPO 1121</t>
  </si>
  <si>
    <t>PORTALES DE LA CAMPIÑA 202</t>
  </si>
  <si>
    <t>LUNA DEL CAMPO 202-1.200.000</t>
  </si>
  <si>
    <t>TORRES DE LA MACARENA 302- 750.000</t>
  </si>
  <si>
    <t>LUNA DEL VALLE 1910-900.000</t>
  </si>
  <si>
    <t>SUBROGACION COLORES DEL SOL 802</t>
  </si>
  <si>
    <t xml:space="preserve">ADRIANA </t>
  </si>
  <si>
    <t xml:space="preserve">ORANGE 714 </t>
  </si>
  <si>
    <t>ABRIL 2022</t>
  </si>
  <si>
    <t>SUBROGACION PARQUE DE COLORES 704</t>
  </si>
  <si>
    <t>ROBLEDO PLAZA 503</t>
  </si>
  <si>
    <t>ARAGON 603</t>
  </si>
  <si>
    <t>PORTOVELHO 606</t>
  </si>
  <si>
    <t>BOSQUES DE LA MACARENA 814</t>
  </si>
  <si>
    <t xml:space="preserve">KEVIN </t>
  </si>
  <si>
    <t>CARRERA 44 # 80 - 51</t>
  </si>
  <si>
    <t>CARRERA 132 # 63-84</t>
  </si>
  <si>
    <t>BASALTO 1305</t>
  </si>
  <si>
    <t>PRADOS DE SAN NICOLAS 913- 850.000</t>
  </si>
  <si>
    <t>PARQUE DE COLORES 1006- 1.650.000</t>
  </si>
  <si>
    <t>CUARZO 1302- 2.000.000</t>
  </si>
  <si>
    <t>CALLE 82 N° 76-24</t>
  </si>
  <si>
    <t>PENINSULA 603</t>
  </si>
  <si>
    <t>PILARICA BLUE 1108- OJO CLIENTE PORTERO</t>
  </si>
  <si>
    <t>FUENTE AZUL 602</t>
  </si>
  <si>
    <t>GRABACION</t>
  </si>
  <si>
    <t>PILARICA BLUE 1404</t>
  </si>
  <si>
    <t>COLINA DE ASIS 1229</t>
  </si>
  <si>
    <t>ALMENDRA 907</t>
  </si>
  <si>
    <t>PILARICA BLUE 1101</t>
  </si>
  <si>
    <t xml:space="preserve">ORANGE 1608 - OJO CLIENTE PORTERO </t>
  </si>
  <si>
    <t>PARAISO DE COLORES 702</t>
  </si>
  <si>
    <t>BOSQUE VERDE 1246</t>
  </si>
  <si>
    <t>SHIRLEY M</t>
  </si>
  <si>
    <t>URB LOS COLORES 1407-1.500.000</t>
  </si>
  <si>
    <t>LUNA DEL VALLE 2119</t>
  </si>
  <si>
    <t>LUNA DEL MAR 618</t>
  </si>
  <si>
    <t>LUNA DEL MAR 2021</t>
  </si>
  <si>
    <t>EL POMAR 608</t>
  </si>
  <si>
    <t>TORRE JORDAN 1303</t>
  </si>
  <si>
    <t>LUNA DEL VALLE 212</t>
  </si>
  <si>
    <t>ROBLEDALES CASA 266</t>
  </si>
  <si>
    <t>LUNA DEL CAMPO 2302</t>
  </si>
  <si>
    <t>LUNA DEL MAR 2123</t>
  </si>
  <si>
    <t>LUNA DEL CAMPO 2308</t>
  </si>
  <si>
    <t>PARAISO DE COLORES 1408</t>
  </si>
  <si>
    <t xml:space="preserve">LUNA DEL VALLE 1120 </t>
  </si>
  <si>
    <t>CALLE 48B # 77-05 AP 201</t>
  </si>
  <si>
    <t>CALLE 78 # 46-26 AP 201</t>
  </si>
  <si>
    <t>MAYO 2022</t>
  </si>
  <si>
    <t xml:space="preserve">CANON </t>
  </si>
  <si>
    <t>EMPALME PAISAJES ETAPA  2</t>
  </si>
  <si>
    <t>KEVIN</t>
  </si>
  <si>
    <t>CUARZO 2018</t>
  </si>
  <si>
    <t>TORRE JORDAN 1903</t>
  </si>
  <si>
    <t xml:space="preserve">TORRES DE HUNGRIA 409 </t>
  </si>
  <si>
    <t>ED. VALDELLANO 101</t>
  </si>
  <si>
    <t>CARLOS V</t>
  </si>
  <si>
    <t>CUARZO 2604</t>
  </si>
  <si>
    <t xml:space="preserve">BALI 605 </t>
  </si>
  <si>
    <t>FUENTE AZUL 603</t>
  </si>
  <si>
    <t>CARRERA 88 N° 68B-83 AP 301</t>
  </si>
  <si>
    <t>CUARZO 2207</t>
  </si>
  <si>
    <t>COLORS 1001</t>
  </si>
  <si>
    <t>CAMINO DE COLORES 2006</t>
  </si>
  <si>
    <t>VIVALDI 1105</t>
  </si>
  <si>
    <t>FUENTE COLORES 1907</t>
  </si>
  <si>
    <t>GUAYACAN 201- 2.200.000</t>
  </si>
  <si>
    <t>TORRES DE HUNGRIA 409-1.150.000</t>
  </si>
  <si>
    <t>CUARZO 619</t>
  </si>
  <si>
    <t>FARALLONES 321</t>
  </si>
  <si>
    <t xml:space="preserve">ARAGON 1201 </t>
  </si>
  <si>
    <t>LOS POMOS 201</t>
  </si>
  <si>
    <t>VICTOR V.</t>
  </si>
  <si>
    <t>ORANGE 2013</t>
  </si>
  <si>
    <t>AVENIDA DEL CERRO 2207</t>
  </si>
  <si>
    <t>CARRERA 15 BB N° 35-58</t>
  </si>
  <si>
    <t>SUBROGACION CARRERA 72B # 82-20 AP 201</t>
  </si>
  <si>
    <t>NOGALES 702</t>
  </si>
  <si>
    <t>CUARZO 521</t>
  </si>
  <si>
    <t>LOS POMOS 201- 2´500.00</t>
  </si>
  <si>
    <t>PLAZA DE COLORES 1413</t>
  </si>
  <si>
    <t>JARDIN DE COLORES 604</t>
  </si>
  <si>
    <t>SANTIAGO</t>
  </si>
  <si>
    <t>LUNA DEL CAMPO 508</t>
  </si>
  <si>
    <t>TORRES DE LA MACARENA 302</t>
  </si>
  <si>
    <t xml:space="preserve">MARIA PAULA </t>
  </si>
  <si>
    <t>LUNA DEL MAR 1827</t>
  </si>
  <si>
    <t>LUNA DEL VALLE 406</t>
  </si>
  <si>
    <t>LUNA DEL VALLE 1422</t>
  </si>
  <si>
    <t>LUNA DEL CAMPO 704</t>
  </si>
  <si>
    <t>LUNA DEL VALLE 1002</t>
  </si>
  <si>
    <t>TERRITORIO AURORA 1213</t>
  </si>
  <si>
    <t xml:space="preserve">LUNA DEL VALLE 2215 </t>
  </si>
  <si>
    <t>LUNA DEL CAMPO 2303</t>
  </si>
  <si>
    <t>TERRITORIO AURORA 919</t>
  </si>
  <si>
    <t>LUNA DEL MAR 1720</t>
  </si>
  <si>
    <t>LUNA DEL CAMPO 1415</t>
  </si>
  <si>
    <t>LUNA DEL MAR 1117</t>
  </si>
  <si>
    <t xml:space="preserve">VILLA DEL PARQUE 2108 </t>
  </si>
  <si>
    <t xml:space="preserve">EMPALME JARDIN DE COLORES 1610 </t>
  </si>
  <si>
    <t xml:space="preserve">OJOO $1.700.000 LE CORRESPONDEN A CALASANZ </t>
  </si>
  <si>
    <t xml:space="preserve">OJOO $1.500.000 LE CORRESPONDEN A LA ESTRELLA </t>
  </si>
  <si>
    <t>JUNIO  2022</t>
  </si>
  <si>
    <t>CUARZO 1508</t>
  </si>
  <si>
    <t>ARBOLEDA DE COLORES 1706</t>
  </si>
  <si>
    <t>SUBROGACION CAMINO DE COLORES 1311</t>
  </si>
  <si>
    <t>TULIPANES 201</t>
  </si>
  <si>
    <t xml:space="preserve">CARRERA 50A # 90-24 </t>
  </si>
  <si>
    <t>BOLERAMA 302</t>
  </si>
  <si>
    <t>PARQUE DE LOS COLORES 1403</t>
  </si>
  <si>
    <t>CARRERA 65 N 91D-15</t>
  </si>
  <si>
    <t>PARQUE DE COLORES 1906</t>
  </si>
  <si>
    <t xml:space="preserve">CRUCERO DE LA 80 407 OJOO CLIENTE PORTERO </t>
  </si>
  <si>
    <t>PORTON DE PILARICA 602</t>
  </si>
  <si>
    <t xml:space="preserve">LOCAL CALLE 48C # 66-35 - OJO CLIENTE PORTERO </t>
  </si>
  <si>
    <t>CUARZO 412- 1.850.000</t>
  </si>
  <si>
    <t>PORTON DE PILARICA 602-1.700.000</t>
  </si>
  <si>
    <t>ARBOLEDA DE COLORES 1005-2.500.000</t>
  </si>
  <si>
    <t>PIZARRA 2403</t>
  </si>
  <si>
    <t>ALTAMAR 2201</t>
  </si>
  <si>
    <t>PILARICA BLUE 703</t>
  </si>
  <si>
    <t>ALEJANDO O</t>
  </si>
  <si>
    <t>PENINSULA 2915</t>
  </si>
  <si>
    <t>SUBROGACION CITRINO 1703</t>
  </si>
  <si>
    <t>FUENTE AZUL 1405</t>
  </si>
  <si>
    <t>CUARZO 1921</t>
  </si>
  <si>
    <t xml:space="preserve">PARAISO DE COLORES 401 </t>
  </si>
  <si>
    <t>TRANSVERSAL 79C 80-78 AP 404</t>
  </si>
  <si>
    <t>PIZARRA 1105</t>
  </si>
  <si>
    <t>ESCALARES 303</t>
  </si>
  <si>
    <t>AIRES DE VALENCIA 805 - 1.800.000</t>
  </si>
  <si>
    <t xml:space="preserve">ARRIENDOS SANTIAGO ARIAS </t>
  </si>
  <si>
    <t>5+4</t>
  </si>
  <si>
    <t xml:space="preserve">AIRES DE VALENCIA 805 </t>
  </si>
  <si>
    <t>PORTOVELHO 1107</t>
  </si>
  <si>
    <t xml:space="preserve">ARBOLEDA DEL SEMINARIO 226 </t>
  </si>
  <si>
    <t>TORRES DE SANTA ELENA 1710</t>
  </si>
  <si>
    <t>JARDIN DE COLORES 607 - 1.900.000</t>
  </si>
  <si>
    <t>PRADOS DE VILLA NUEVA 504- 950.000</t>
  </si>
  <si>
    <t>ALTAMAR 2201-1.100.000</t>
  </si>
  <si>
    <t>LUNA DEL MAR 1327</t>
  </si>
  <si>
    <t>SUBROGACION LUNA DEL CAMPO 1016</t>
  </si>
  <si>
    <t>LUNA DEL CAMPO 2212</t>
  </si>
  <si>
    <t>CUBOX 201</t>
  </si>
  <si>
    <t>LUNA DEL BOSQUE 2124</t>
  </si>
  <si>
    <t xml:space="preserve">LUNA DEL CAMPO 2019 </t>
  </si>
  <si>
    <t>11+3</t>
  </si>
  <si>
    <t>LOMAS DEL PILAR 143</t>
  </si>
  <si>
    <t xml:space="preserve">PIZARRA 1105 </t>
  </si>
  <si>
    <t>JULIO  2022</t>
  </si>
  <si>
    <t xml:space="preserve">METROPOLITAN 1323  </t>
  </si>
  <si>
    <t>CITRINO 2111</t>
  </si>
  <si>
    <t xml:space="preserve">METROPOLITAN  1921              </t>
  </si>
  <si>
    <t xml:space="preserve">TORRES DE HUNGRIA 1210 - OJO CLIENTE PORTERO </t>
  </si>
  <si>
    <t xml:space="preserve">CUARZO 710 </t>
  </si>
  <si>
    <t>CORALINA 2001</t>
  </si>
  <si>
    <t>ALTAMAR 1403</t>
  </si>
  <si>
    <t>TURMALINA 2304</t>
  </si>
  <si>
    <t xml:space="preserve">CALLE 77E N° 71-75 </t>
  </si>
  <si>
    <t xml:space="preserve">MANUELA </t>
  </si>
  <si>
    <t>SUBROGACION CUARZO 1615</t>
  </si>
  <si>
    <t xml:space="preserve">CAMINO DE COLORES 810 </t>
  </si>
  <si>
    <t>SAN LORENZO DEL ESCORIAL 1710 - OJO CLIENTE PORTE.</t>
  </si>
  <si>
    <t>MIRADOR DE BOSTON 904</t>
  </si>
  <si>
    <t xml:space="preserve">JULIAN </t>
  </si>
  <si>
    <t>ARIAL 1701</t>
  </si>
  <si>
    <t>RIBERA DEL VALLE 839</t>
  </si>
  <si>
    <t>PORTOVELHO 210- 1.800.000</t>
  </si>
  <si>
    <t>BOSQUE VERDE 922- 900.000</t>
  </si>
  <si>
    <t xml:space="preserve">NEGADO </t>
  </si>
  <si>
    <t>CUARZO 511- 1.850.000</t>
  </si>
  <si>
    <t>BALCON DE LOS COLORES 602-1.800.000</t>
  </si>
  <si>
    <t xml:space="preserve">OJO DESCONTAR $175.000 CONTRATO NO REALIZADO </t>
  </si>
  <si>
    <t>SUBROGACION CITRINO 908</t>
  </si>
  <si>
    <t xml:space="preserve">ACQUAVELLA 804 </t>
  </si>
  <si>
    <t>SUBROGACION AVENIDA DEL CERRO 1206</t>
  </si>
  <si>
    <t>FUENTE AZUL 1609</t>
  </si>
  <si>
    <t>ARAGON 1003</t>
  </si>
  <si>
    <t>CUARZO 511</t>
  </si>
  <si>
    <t>ARAGON 1408</t>
  </si>
  <si>
    <t>ARAGON 305</t>
  </si>
  <si>
    <t xml:space="preserve">BASALTO 902 - OJO CLIENTE PORTERO </t>
  </si>
  <si>
    <t xml:space="preserve">CUARZO 2007 </t>
  </si>
  <si>
    <t>SUBROGACION BALCON DE LOS COLORES 602</t>
  </si>
  <si>
    <t xml:space="preserve">14596
</t>
  </si>
  <si>
    <t>PIZARRA 2815</t>
  </si>
  <si>
    <t>CALLE 92 A # 83B - 03- 1.100.000</t>
  </si>
  <si>
    <t>S</t>
  </si>
  <si>
    <t>PENINSULA 3118 - 900.000</t>
  </si>
  <si>
    <t>CAMILA</t>
  </si>
  <si>
    <t>JARDIN DE COLORES 607</t>
  </si>
  <si>
    <t>COLORS 302-  2.200.000</t>
  </si>
  <si>
    <t xml:space="preserve">LUNA DEL VALLE 1602 </t>
  </si>
  <si>
    <t xml:space="preserve">LUNA DEL MAR 2219 </t>
  </si>
  <si>
    <t>LUNA DEL CAMPO 614</t>
  </si>
  <si>
    <t xml:space="preserve">PENINSULA 3118 </t>
  </si>
  <si>
    <t>LUNA DEL CAMPO 918</t>
  </si>
  <si>
    <t>LUNA DEL CAMPO 306</t>
  </si>
  <si>
    <t>BOSQUES DE LA MACARENA 412</t>
  </si>
  <si>
    <t>LUNA DEL CAMPO 203</t>
  </si>
  <si>
    <t>LUNA DEL VALLE 1628</t>
  </si>
  <si>
    <t>ALEJANDEO C</t>
  </si>
  <si>
    <t xml:space="preserve">14579
</t>
  </si>
  <si>
    <t>LUNA DEL VALLE 1220</t>
  </si>
  <si>
    <t>LUNA DEL MAR 1118</t>
  </si>
  <si>
    <t>ROBLEALTO 816</t>
  </si>
  <si>
    <t xml:space="preserve">LUNA DEL CAMPO 306- 1.100.000 </t>
  </si>
  <si>
    <t xml:space="preserve">NEGADOS </t>
  </si>
  <si>
    <t>LUNA DEL CAMPO 203- 1.200.000</t>
  </si>
  <si>
    <t>SUBROGACION COLORES DEL SOL 802-1.300.000</t>
  </si>
  <si>
    <t>15+5</t>
  </si>
  <si>
    <t xml:space="preserve">JARDIN DE COLORES 1107 </t>
  </si>
  <si>
    <t>MIRADOR DE LA 80 AP 904</t>
  </si>
  <si>
    <t>OASIS DE COLORES 1309</t>
  </si>
  <si>
    <t>CORALINA 2201</t>
  </si>
  <si>
    <t>NUEVO MUNDO 602</t>
  </si>
  <si>
    <t>EMPALME FUENTE DE COLORES 1208</t>
  </si>
  <si>
    <t>NUEVO MUNDO 602-1.600.000</t>
  </si>
  <si>
    <t xml:space="preserve">PDTE </t>
  </si>
  <si>
    <t>ALTAMAR 303 - 1.300.000</t>
  </si>
  <si>
    <t>AGOSTO  2022</t>
  </si>
  <si>
    <t>EMPALME CUARZO 603</t>
  </si>
  <si>
    <t>PILARICA PARK  1004</t>
  </si>
  <si>
    <t>CARRERA 47 A # 70-26</t>
  </si>
  <si>
    <t>IVON</t>
  </si>
  <si>
    <t>LUNA DEL CAMPO 2124</t>
  </si>
  <si>
    <t>SUBROGACION TORRE ANGEL 1206</t>
  </si>
  <si>
    <t>JESSICA</t>
  </si>
  <si>
    <t xml:space="preserve">CARRERA 47 A # 78-28 AP 301 </t>
  </si>
  <si>
    <t>PARQUE DE COLORES 2007</t>
  </si>
  <si>
    <t>EMPALME CITRINO 1314</t>
  </si>
  <si>
    <t>EDIFICIO CEIBA 402</t>
  </si>
  <si>
    <t>PIZARRA 701</t>
  </si>
  <si>
    <t xml:space="preserve">ALEJANDRO </t>
  </si>
  <si>
    <t>OCEANA 2025</t>
  </si>
  <si>
    <t>SUBROGACION BARCAROLA 304</t>
  </si>
  <si>
    <t xml:space="preserve">AL PARQUE 310 </t>
  </si>
  <si>
    <t>ALMENDRA 1309</t>
  </si>
  <si>
    <t>METROPOLITAN 1536</t>
  </si>
  <si>
    <t>PERLATO 2313</t>
  </si>
  <si>
    <t>METROPOLITAN 2132</t>
  </si>
  <si>
    <t>FUENTE DE COLORES 1609</t>
  </si>
  <si>
    <t>CORALINA 501</t>
  </si>
  <si>
    <t>SUBROGACION VIVALDI 1301</t>
  </si>
  <si>
    <t>ALMENDRA 508</t>
  </si>
  <si>
    <t xml:space="preserve">ORANGE 2014 - OJO CLIENTE PORTERO </t>
  </si>
  <si>
    <t>CUARZO 2705</t>
  </si>
  <si>
    <t>SAN PABLO 405</t>
  </si>
  <si>
    <t xml:space="preserve">MARSELLA AP 1013 </t>
  </si>
  <si>
    <t>CAMILA F</t>
  </si>
  <si>
    <t>ESCALARES 603 - 1.900.000</t>
  </si>
  <si>
    <t xml:space="preserve">ARRIENDOS GERLIX MOLINA </t>
  </si>
  <si>
    <t>19+3</t>
  </si>
  <si>
    <t>PRADOS DE SAN NICOLAS 1802</t>
  </si>
  <si>
    <t>CAPELLA 611</t>
  </si>
  <si>
    <t>COLINAS DE LA CANDELARIA 207</t>
  </si>
  <si>
    <t>ESTADIO SEÑORIAL 201 - 2.200.000</t>
  </si>
  <si>
    <t>CALLE 53B # 77 E 72 - 2.300.000</t>
  </si>
  <si>
    <t>DANSERYAZ 201-1.850.000</t>
  </si>
  <si>
    <t>PLAZA DE COLORES 907- 1.650.000</t>
  </si>
  <si>
    <t>TORRE ANGEL 1206- 900.000</t>
  </si>
  <si>
    <t>21+8</t>
  </si>
  <si>
    <t xml:space="preserve">CALLE 95 # 67-43 </t>
  </si>
  <si>
    <t xml:space="preserve">14643
</t>
  </si>
  <si>
    <t>CARRERA 76 # -89-75 AP 302</t>
  </si>
  <si>
    <t>CARRERA 76 # -89-75 AP 301</t>
  </si>
  <si>
    <t xml:space="preserve">TORRE LUNA 1008 </t>
  </si>
  <si>
    <t>LUNA DEL VALLE 923</t>
  </si>
  <si>
    <t>LUNA DEL BOSQUE 115</t>
  </si>
  <si>
    <t xml:space="preserve">LUNA DEL CAMPO 1801 </t>
  </si>
  <si>
    <t xml:space="preserve">CARRERA 89 # 68 A - 186 </t>
  </si>
  <si>
    <t>EMPALME TORRES DE LA MACARENA 102</t>
  </si>
  <si>
    <t>LUNA DEL CAMPO 218</t>
  </si>
  <si>
    <t xml:space="preserve">TORRES DE HUNGRIA 1012 </t>
  </si>
  <si>
    <t>LUNA DEL VALLE 207</t>
  </si>
  <si>
    <t>LUNA DEL VALLE 2131</t>
  </si>
  <si>
    <t xml:space="preserve">CALLE 73 A # 48 A 20 </t>
  </si>
  <si>
    <t>LUNA DEL CAMPO 1306</t>
  </si>
  <si>
    <t>LUNA DEL VALLE 325</t>
  </si>
  <si>
    <t xml:space="preserve">EMPALME PENINSULA 2109 </t>
  </si>
  <si>
    <t>14+5</t>
  </si>
  <si>
    <t>PIZARRA 1508- 1.600.000</t>
  </si>
  <si>
    <t xml:space="preserve">CALLE 66 D # 37-61 AP 101 </t>
  </si>
  <si>
    <t xml:space="preserve">ELIZABETH </t>
  </si>
  <si>
    <t xml:space="preserve">PILARICA BLUE 602 </t>
  </si>
  <si>
    <t xml:space="preserve">PENINSULA 2109 </t>
  </si>
  <si>
    <t>OJO $1.850.000 SON DE CALASANZ</t>
  </si>
  <si>
    <t>SEPTIEMBRE  2022</t>
  </si>
  <si>
    <t>21+4</t>
  </si>
  <si>
    <t xml:space="preserve">PLAZA DE COLORES 1108 </t>
  </si>
  <si>
    <t>MOLINOS DE CATALUÑA 110</t>
  </si>
  <si>
    <t>CAMILA V</t>
  </si>
  <si>
    <t>LOCAL CALLE 66 F # 91 A 59</t>
  </si>
  <si>
    <t>BRISAS DEL ESTADIO 221</t>
  </si>
  <si>
    <t xml:space="preserve">CAMILA V </t>
  </si>
  <si>
    <t>CUARZO 807</t>
  </si>
  <si>
    <t>CASA EN BOSTON CALLE 57B N 34 11</t>
  </si>
  <si>
    <t>CAMINO DE COLORES 606</t>
  </si>
  <si>
    <t>CITRINO 1506</t>
  </si>
  <si>
    <t>TORRES DE HUNGRIA 1511</t>
  </si>
  <si>
    <t>LUNA DEL CAMPO 1512</t>
  </si>
  <si>
    <t xml:space="preserve">MATEO </t>
  </si>
  <si>
    <t>FANNY 301</t>
  </si>
  <si>
    <t>CAMINO DE COLORES 712</t>
  </si>
  <si>
    <t>CALLE 66 D # 37-61 AP 9901</t>
  </si>
  <si>
    <t>PIZARRA 1103</t>
  </si>
  <si>
    <t>CALLE 66 D # 37-61- 750.000</t>
  </si>
  <si>
    <t xml:space="preserve">CAMILA F </t>
  </si>
  <si>
    <t>FANNY 501- 2.500.000</t>
  </si>
  <si>
    <t>LUNA DEL MAR 1432- 1.200.000</t>
  </si>
  <si>
    <t>LUNA DEL MAR 1921- 1.200.000</t>
  </si>
  <si>
    <t>CONDOMINIO PILARICA 1 CASA 151</t>
  </si>
  <si>
    <t xml:space="preserve">AEJANDRO O </t>
  </si>
  <si>
    <t>JARDIN DE COLORES 1508</t>
  </si>
  <si>
    <t>LUNA DEL MAR 1626</t>
  </si>
  <si>
    <t>CRUCERO DE LA 80 406</t>
  </si>
  <si>
    <t>JORGE ROBLEDO 401</t>
  </si>
  <si>
    <t>URB LOS COLORES ETAPA ll AP 501</t>
  </si>
  <si>
    <t>ESTADIO NORTE 201</t>
  </si>
  <si>
    <t xml:space="preserve">PALMAR DEL ESTADIO 703 </t>
  </si>
  <si>
    <t>TRICENTENARIO 301</t>
  </si>
  <si>
    <t>AIRES DE VALENCIA 211</t>
  </si>
  <si>
    <t>JARDIN DE COLORES 1111</t>
  </si>
  <si>
    <t xml:space="preserve">OJO </t>
  </si>
  <si>
    <t>LUNA DEL VALLE 2202- 1.100.000</t>
  </si>
  <si>
    <t>AIRES DE VALENCIA 211-2.400.000</t>
  </si>
  <si>
    <t>LUNA DEL MAR AP 1226</t>
  </si>
  <si>
    <t>EMPALME MARBELLA 101</t>
  </si>
  <si>
    <t>TABATHA</t>
  </si>
  <si>
    <t xml:space="preserve">PLAZA PILARICA 601 </t>
  </si>
  <si>
    <t>FANNY 501</t>
  </si>
  <si>
    <t>OCTUBRE  2022</t>
  </si>
  <si>
    <t xml:space="preserve">PLAZA DE COLORES 810 </t>
  </si>
  <si>
    <t>EMPALME PIZARRA 2810</t>
  </si>
  <si>
    <t>EMPALME CUARZO 2702</t>
  </si>
  <si>
    <t xml:space="preserve">PIZARRA 303 </t>
  </si>
  <si>
    <t>TURMALINA 1914</t>
  </si>
  <si>
    <t xml:space="preserve">SUBROGACION CUARZO 2207 </t>
  </si>
  <si>
    <t>ENTREVERDE 301</t>
  </si>
  <si>
    <t>CARRERA 30 N 35-79 AP 201</t>
  </si>
  <si>
    <t>VIVALDI 205</t>
  </si>
  <si>
    <t xml:space="preserve">EMPALME PLAZA DE COLORES 706 </t>
  </si>
  <si>
    <t>CITRINO 1302</t>
  </si>
  <si>
    <t>CUARZO 801- 2.200.000</t>
  </si>
  <si>
    <t>14+3</t>
  </si>
  <si>
    <t>SUBROGACION PIZARRA 1210</t>
  </si>
  <si>
    <t>CITRINO 1603</t>
  </si>
  <si>
    <t>CALLE 47 N° 73-21 COMERCIAL</t>
  </si>
  <si>
    <t>PIZARRA 3112</t>
  </si>
  <si>
    <t xml:space="preserve">ORANGE 705- Ojoo cliente portero </t>
  </si>
  <si>
    <t>JARDIN DE COLORES 1904</t>
  </si>
  <si>
    <t>EMPALME CORALINA 802</t>
  </si>
  <si>
    <t>CUARZO 902</t>
  </si>
  <si>
    <t>ALMENDRA 2301</t>
  </si>
  <si>
    <t>FUENTE AZUL 1501</t>
  </si>
  <si>
    <t>COLORS 402</t>
  </si>
  <si>
    <t>NO</t>
  </si>
  <si>
    <t>CUARZO 2208</t>
  </si>
  <si>
    <t>CUARZO 1723-1.800.000</t>
  </si>
  <si>
    <t>TORRES HUNGRIA 107</t>
  </si>
  <si>
    <t>TURIN 1703</t>
  </si>
  <si>
    <t>TORRE ANGEL 2306</t>
  </si>
  <si>
    <t>LUNA DEL MAR 1432</t>
  </si>
  <si>
    <t>ALTAGRACIA 802</t>
  </si>
  <si>
    <t>LUNA DEL MAR 910</t>
  </si>
  <si>
    <t>LUNA DEL VALLE 303</t>
  </si>
  <si>
    <t xml:space="preserve">ALTAMAR 2201 </t>
  </si>
  <si>
    <t xml:space="preserve">LUNA DEL VALLE 606 </t>
  </si>
  <si>
    <t>EMPALME LUNA DEL VALLE 718</t>
  </si>
  <si>
    <t>EL CORTIJO 423</t>
  </si>
  <si>
    <t>LUNA DEL CAMPO 1218</t>
  </si>
  <si>
    <t>LUNA DEL BOSQUE 1510</t>
  </si>
  <si>
    <t xml:space="preserve">ALEJANDO C </t>
  </si>
  <si>
    <t>EMPALME LUNA DEL VALLE 212</t>
  </si>
  <si>
    <t>LUNA DEL CAMPO 1815</t>
  </si>
  <si>
    <t>LUNA DEL VIENTO 1627</t>
  </si>
  <si>
    <t xml:space="preserve">MIRADOR DE LA 80 2304 - OJO CLIENTE PORTERO </t>
  </si>
  <si>
    <t>LUNA DEL VALLE 823</t>
  </si>
  <si>
    <t>LUNA DEL MAR 1412</t>
  </si>
  <si>
    <t>LUNA DEL MAR 129 - $800.000</t>
  </si>
  <si>
    <t>OASIS DE COLORES 604</t>
  </si>
  <si>
    <t>CARRERA 90 BB N.º 65 EE 96 AP 201</t>
  </si>
  <si>
    <t>CARLOS</t>
  </si>
  <si>
    <t xml:space="preserve">ESTEFANIA </t>
  </si>
  <si>
    <t>LOCAL CARRERA 49 N° 44 – 94</t>
  </si>
  <si>
    <t xml:space="preserve">CUARZO 2208 </t>
  </si>
  <si>
    <t>NOVIEMBRE  2022</t>
  </si>
  <si>
    <t>18+3</t>
  </si>
  <si>
    <t>CAMINO DE COLORES 1510</t>
  </si>
  <si>
    <t>MAGENTA 1103</t>
  </si>
  <si>
    <t xml:space="preserve">EMPALME LUNA DEL CAMPO 508 </t>
  </si>
  <si>
    <t>CUARZO 2108</t>
  </si>
  <si>
    <t xml:space="preserve">JAZZ 1101 </t>
  </si>
  <si>
    <t>ED VENUS 301</t>
  </si>
  <si>
    <t xml:space="preserve">JESSICA </t>
  </si>
  <si>
    <t xml:space="preserve">PENINSULA 1107 </t>
  </si>
  <si>
    <t>EMPALME MANRIQUE CARRERA 44 N 80-51</t>
  </si>
  <si>
    <t xml:space="preserve">METROPOLITAN 1220 </t>
  </si>
  <si>
    <t>PLAZA DEL LIMONAR 408</t>
  </si>
  <si>
    <t xml:space="preserve">ACACIAS DE COOMEVA 1203 </t>
  </si>
  <si>
    <t>CUARZO 910</t>
  </si>
  <si>
    <t>CALLE 45 G # 77 A 61</t>
  </si>
  <si>
    <t>CALLE 57B N° 34-13</t>
  </si>
  <si>
    <t>ED CARIBE 415</t>
  </si>
  <si>
    <t>CALLE 97 # 76 - 171</t>
  </si>
  <si>
    <t>ARBOLEDA DE COLORES 1008- 3.300.000</t>
  </si>
  <si>
    <t>EMPALME PRADOS DE SAN NICOLAS 1802-900.000</t>
  </si>
  <si>
    <t xml:space="preserve">ORANGE 1513 </t>
  </si>
  <si>
    <t>LUNA DEL MAR 2014</t>
  </si>
  <si>
    <t>LUNA DEL MAR 825</t>
  </si>
  <si>
    <t>TURIN 912</t>
  </si>
  <si>
    <t>CANTARES 101</t>
  </si>
  <si>
    <t>ORANGE 1004</t>
  </si>
  <si>
    <t>EMPALME AIRES DE VALENCIA 712</t>
  </si>
  <si>
    <t xml:space="preserve">CUARZO 2719 - Ojo cliente portero </t>
  </si>
  <si>
    <t>OASIS DE COLORES 601</t>
  </si>
  <si>
    <t>TURMALINA 103</t>
  </si>
  <si>
    <t>CUARZO 1002</t>
  </si>
  <si>
    <t>PERLATO 416</t>
  </si>
  <si>
    <t>ARBOLEDA DE COLORES 1008</t>
  </si>
  <si>
    <t>ARRIENDOS SEBASTIAN VALENCIA</t>
  </si>
  <si>
    <t>MANUELA</t>
  </si>
  <si>
    <t>MANANTIALES DE ROBLEDO AP 309</t>
  </si>
  <si>
    <t xml:space="preserve">CARRERA 90BB N° 65EE-96 </t>
  </si>
  <si>
    <t>LUNA DEL MAR 2129</t>
  </si>
  <si>
    <t>LUNA DEL CAMPO 1411</t>
  </si>
  <si>
    <t>LUNA DEL VIENTO 2232</t>
  </si>
  <si>
    <t>LUNA DEL VIENTO 731</t>
  </si>
  <si>
    <t>LUNA DEL MAR 1932</t>
  </si>
  <si>
    <t xml:space="preserve">EMPALME TERRITORIO AURORA 919 </t>
  </si>
  <si>
    <t>LUNA DEL CAMPO 1212</t>
  </si>
  <si>
    <t>LUNA DEL BOSQUE 1911</t>
  </si>
  <si>
    <t>LUNA DEL CAMPO 1212 - 1.300.000</t>
  </si>
  <si>
    <t>LUNA DEL VIENTO 731 - 1.400.000</t>
  </si>
  <si>
    <t>COLORS 402-2.300.000</t>
  </si>
  <si>
    <t>CALLE 83 N° 44-53</t>
  </si>
  <si>
    <t>PERLATO 1913</t>
  </si>
  <si>
    <t>NUEVO MUNDO 810</t>
  </si>
  <si>
    <t>BALCON DE LOS COLORES 502</t>
  </si>
  <si>
    <t>LUNA DEL BOSQUE 1710-1.200.000</t>
  </si>
  <si>
    <t>EMPALME TERRITORIO AURORA 919- 950.000</t>
  </si>
  <si>
    <t>DICIEMBRE  2022</t>
  </si>
  <si>
    <t>EMPALME CITRINO 2313</t>
  </si>
  <si>
    <t>OJO</t>
  </si>
  <si>
    <t>EMPALME CUARZO 2304-2.100.000</t>
  </si>
  <si>
    <t xml:space="preserve">EN FIRMAS </t>
  </si>
  <si>
    <t>BASALTO 205- 2.100.000</t>
  </si>
  <si>
    <t>EN ESTUDIO</t>
  </si>
  <si>
    <t>ED BALCONES 302 - 1.900.000</t>
  </si>
  <si>
    <t xml:space="preserve">EMPALME PIZARRA 1501 - 1.950.000 </t>
  </si>
  <si>
    <t>ARAGON 1406- 1.600.000</t>
  </si>
  <si>
    <t>AGUA MARINA 404 - 2.100.000</t>
  </si>
  <si>
    <t>LUNA DEL CAMPO 314- 1.100.000</t>
  </si>
  <si>
    <t>LUNA DEL CAMPO 1506- 1,200,000</t>
  </si>
  <si>
    <t>LUNA DEL MAR 2023 - 1.150.000</t>
  </si>
  <si>
    <t>CASA SAN MARTIN - 1.100.000</t>
  </si>
  <si>
    <t>ALTOS DE LA MACARENA 113 - 900.000</t>
  </si>
  <si>
    <t>INFORME COLORES ENERO 2022  -CAMILA VELASQUEZ</t>
  </si>
  <si>
    <t>% PROPIETARIO</t>
  </si>
  <si>
    <t>UNIDAD</t>
  </si>
  <si>
    <t>OBSERVACION POR QUE CAMBIA EL %</t>
  </si>
  <si>
    <t xml:space="preserve">CALLE 78 # 46-28 </t>
  </si>
  <si>
    <t>INFORME COLORES ENERO 2022  -ERIKA GONZALEZ</t>
  </si>
  <si>
    <t>CUARZO 810</t>
  </si>
  <si>
    <t>INFORME COLORES ENERO 2022  -VERONICA OCHOA</t>
  </si>
  <si>
    <t>CALLE 47 F N° 94-60 AP 201 - SANTA LUCIA</t>
  </si>
  <si>
    <t>OJO LE CUENTA SEDE CALASANZ</t>
  </si>
  <si>
    <t>INFORME COLORES ENERO 2022  -TABATHA ROJAS</t>
  </si>
  <si>
    <t xml:space="preserve">INFORME GLOBAL COLORES ENERO 2022  -ADRIANA ZAPATA </t>
  </si>
  <si>
    <t>INFORME COLORES FEBRERO 2022  -CAMILA VELASQUEZ</t>
  </si>
  <si>
    <t xml:space="preserve">ORANGE 711- OJO CLIENTE PORTERO </t>
  </si>
  <si>
    <t>INFORME COLORES FEBRERO 2022  -ERIKA GONZALEZ</t>
  </si>
  <si>
    <t xml:space="preserve">OJOO LE PERTENECE A CALASANZ </t>
  </si>
  <si>
    <t>INFORME COLORES FEBRERO 2022  -VERONICA OCHOA</t>
  </si>
  <si>
    <t xml:space="preserve">PERLATO 211 - OJO CLIENTE PORTERO </t>
  </si>
  <si>
    <t xml:space="preserve">JARDIN DE COLORES 1109 - OJO CLIENTE PORTERO </t>
  </si>
  <si>
    <t xml:space="preserve">INFORME COLORES FEBRERO 2022  -TABATHA ROJAS </t>
  </si>
  <si>
    <t xml:space="preserve">PORTON DEL PARQUE 1304 </t>
  </si>
  <si>
    <t xml:space="preserve">CARRERA 64 B N° 51 B – 33 AP 401 BLOQUE 58 - ojo cliente portero </t>
  </si>
  <si>
    <t>CALLE 65 C # 91 - 117 AP 127</t>
  </si>
  <si>
    <t>CIUDADELA DE LOS LAURELES 405</t>
  </si>
  <si>
    <t xml:space="preserve">OJOO PERTENECE A LA SEDE LAURELES </t>
  </si>
  <si>
    <t xml:space="preserve">INFORME COLORES FEBRERO 2022  - PAULA CARDONA </t>
  </si>
  <si>
    <t xml:space="preserve">INFORME GLOBAL COLORES FEBRERO 2022  -ADRIANA ZAPATA </t>
  </si>
  <si>
    <t>PERLATO 211</t>
  </si>
  <si>
    <t xml:space="preserve">REALIZÓ DANIELA SEDE CALASANZ </t>
  </si>
  <si>
    <t>INFORME COLORES MARZO 2022  -CAMILA VELASQUEZ</t>
  </si>
  <si>
    <t xml:space="preserve">SUBROGACION CITRINO 1106 - ojo cliente portero </t>
  </si>
  <si>
    <t>LUNA DEL CAMPO 1818</t>
  </si>
  <si>
    <t>DEVOLUCION</t>
  </si>
  <si>
    <t>CTO 13371 ORANGE 1019</t>
  </si>
  <si>
    <t>DESCONTAR $49.500</t>
  </si>
  <si>
    <t>INFORME COLORES MARZO 2022  -ERIKA GONZALEZ</t>
  </si>
  <si>
    <t xml:space="preserve">INFORME COLORES MARZO 2022  -DANIELA BOTERO - SEDE CALASANZ </t>
  </si>
  <si>
    <t xml:space="preserve">INFORME COLORES MARZO 2022  -TABATHA ROJAS </t>
  </si>
  <si>
    <t xml:space="preserve">DEVOLUCION </t>
  </si>
  <si>
    <t>CTO 13349 CARRERA 64 B N° 51 B – 33 AP 401 BLOQUE 58</t>
  </si>
  <si>
    <t>DESCONTAR $60.0000</t>
  </si>
  <si>
    <t xml:space="preserve">INFORME GLOBAL COLORES MARZO 2022  -ADRIANA ZAPATA </t>
  </si>
  <si>
    <t>INFORME COLORES ABRIL 2022  -CAMILA VELASQUEZ</t>
  </si>
  <si>
    <t>INFORME COLORES ABRIL 2022  -ERIKA GONZALEZ</t>
  </si>
  <si>
    <t>INFORME COLORES ABRIL 2022  -KEVIN ARENAS</t>
  </si>
  <si>
    <t>CARRERA 132 # 63-84 - 800.000</t>
  </si>
  <si>
    <t xml:space="preserve">INFORME COLORES ABRIL 2022  -TABATHA ROJAS </t>
  </si>
  <si>
    <t xml:space="preserve">CARRERA 44 # 80 - 51 </t>
  </si>
  <si>
    <t xml:space="preserve">INFORME GLOBAL COLORES ABRIL 2022  -ADRIANA ZAPATA </t>
  </si>
  <si>
    <t>INFORME COLORES MAYO 2022  -CAMILA VELASQUEZ</t>
  </si>
  <si>
    <t>INFORME COLORES MAYO 2022  - PAULA OCHOA</t>
  </si>
  <si>
    <t>INFORME COLORES MAYO 2022  -KEVIN ARENAS</t>
  </si>
  <si>
    <t xml:space="preserve">INFORME COLORES MAYO 2022  -TABATHA ROJAS </t>
  </si>
  <si>
    <t xml:space="preserve">CUARZO 2207 </t>
  </si>
  <si>
    <t xml:space="preserve">INFORME GLOBAL COLORES MAYO 2022  -ADRIANA ZAPATA </t>
  </si>
  <si>
    <t>INFORME COLORES JUNIO  2022  -CAMILA VELASQUEZ</t>
  </si>
  <si>
    <t>INFORME COLORES JUNIO  2022  - PAULA OCHOA</t>
  </si>
  <si>
    <t>INFORME COLORES JUNIO  2022  -KEVIN ARENAS</t>
  </si>
  <si>
    <t xml:space="preserve">TULIPANES 201 </t>
  </si>
  <si>
    <t xml:space="preserve">LOCAL CALLE 48C # 66-35 - ojo cliente portero </t>
  </si>
  <si>
    <t xml:space="preserve">INFORME COLORES JUNIO 2022  -TABATHA ROJAS </t>
  </si>
  <si>
    <t xml:space="preserve">INFORME GLOBAL COLORES JUNIO  2022  -ADRIANA ZAPATA </t>
  </si>
  <si>
    <t xml:space="preserve">LOCAL CALLE 48C # 66-35 </t>
  </si>
  <si>
    <t>INFORME COLORES JULIO  2022  -CAMILA VELASQUEZ</t>
  </si>
  <si>
    <t xml:space="preserve">INFORME COLORES JULIO 2022  -TABATHA ROJAS </t>
  </si>
  <si>
    <t xml:space="preserve">SAN LORENZO DEL ESCORIAL 1710 OJO CLIENTE PORTERO </t>
  </si>
  <si>
    <t>LOCAL CARRERA 44B # 70-54- 1.000.000</t>
  </si>
  <si>
    <t xml:space="preserve">INFORME COLORES JULIO 2022  -JULIAN VILLA </t>
  </si>
  <si>
    <t>MIRADOR DE BOSTON 901</t>
  </si>
  <si>
    <t>INFORME COLORES JULIO 2022  -MANUELA MONSALVE</t>
  </si>
  <si>
    <t>OJOO SE LIQUIDA EN LA SEDE CALASANZ</t>
  </si>
  <si>
    <t xml:space="preserve">INFORME GLOBAL COLORES JULIO  2022  -ADRIANA ZAPATA </t>
  </si>
  <si>
    <t>SAN LORENZO DEL ESCORIAL 1710</t>
  </si>
  <si>
    <t>CALLE 47 DD # 89-39</t>
  </si>
  <si>
    <t xml:space="preserve">CARRERA 86C # 48BB -47 AP 201 </t>
  </si>
  <si>
    <t>IBIZA 706</t>
  </si>
  <si>
    <t>CALLE 48 A # 94-35</t>
  </si>
  <si>
    <t>CARRERA 83 #  50A 14 AP 201</t>
  </si>
  <si>
    <t xml:space="preserve">CARRERA 83 #  50A 14 AP 401                     </t>
  </si>
  <si>
    <t xml:space="preserve">EL ROSAL 516 </t>
  </si>
  <si>
    <t>CEREZOS DE CALASANIA 520</t>
  </si>
  <si>
    <t>SOL CRECIENTE 1014</t>
  </si>
  <si>
    <t>IBIZA 1102</t>
  </si>
  <si>
    <t>CARRERA 80 N° 53A-11 AP 401</t>
  </si>
  <si>
    <t>NUEVO PORTAL 1702</t>
  </si>
  <si>
    <t>EDIFICIO IBIZA 1305</t>
  </si>
  <si>
    <t xml:space="preserve">NUEVO PORTAL 2003 - OJO CLIENTE PORTERO </t>
  </si>
  <si>
    <t>EL ROSAL 306</t>
  </si>
  <si>
    <t>CEREZOS DE CALASANIA 519</t>
  </si>
  <si>
    <t xml:space="preserve">SOL CRECIENTE 1807- OJO CLIENTE PORTERO </t>
  </si>
  <si>
    <t>CARRERA 83 #  50A 14 AP 402</t>
  </si>
  <si>
    <t xml:space="preserve">OJO DESCONTAR $50.000 CONTRATO NO REALIZADO </t>
  </si>
  <si>
    <t>INFORME COLORES AGOSTO 2022  -CAMILA VELASQUEZ</t>
  </si>
  <si>
    <r>
      <rPr>
        <b/>
        <sz val="12"/>
        <color rgb="FF000000"/>
        <rFont val="Arial"/>
      </rPr>
      <t xml:space="preserve">CEREZOS DE CALASANIA 1206 - </t>
    </r>
    <r>
      <rPr>
        <b/>
        <sz val="9"/>
        <color rgb="FF000000"/>
        <rFont val="Arial"/>
      </rPr>
      <t xml:space="preserve">OJO CLIENTE PORTERO </t>
    </r>
  </si>
  <si>
    <t>SEDE CALASANZ</t>
  </si>
  <si>
    <t xml:space="preserve">BELOROHORIZONTE 606 - ojo cliente portero </t>
  </si>
  <si>
    <t>ACUARELA 1308</t>
  </si>
  <si>
    <t xml:space="preserve">NUEVO PORTAL 1502 - ojo cliente portero </t>
  </si>
  <si>
    <t>AMANECERES 507</t>
  </si>
  <si>
    <t xml:space="preserve">INFORME COLORES AGOSTO 2022  -TABATHA ROJAS </t>
  </si>
  <si>
    <t>CALASANZ CAMPESTRE 424</t>
  </si>
  <si>
    <t>INFORME COLORES AGOSTO 2022  -MANUELA MONSALVE</t>
  </si>
  <si>
    <t>SUBROGACION INFINITO 1603</t>
  </si>
  <si>
    <t>CARRERA 83 # 50A 14 AP 202</t>
  </si>
  <si>
    <t>CEREZOS DE CALASANIA 224</t>
  </si>
  <si>
    <t>ALTOS DE CALASANZ 302</t>
  </si>
  <si>
    <t xml:space="preserve">MONTEPARAISO 1312 </t>
  </si>
  <si>
    <t xml:space="preserve">AMANECERES 1508 </t>
  </si>
  <si>
    <t xml:space="preserve">DIA DE CAMPO 9911- Ojo cliente portero </t>
  </si>
  <si>
    <t>MONIMAR 201</t>
  </si>
  <si>
    <t>CALASANZ AZUL 1401</t>
  </si>
  <si>
    <t>EMPALME PORTAL DE CALASANZ 302</t>
  </si>
  <si>
    <t>SOL NACIENTE 2106</t>
  </si>
  <si>
    <t>EL ROSAL 1611</t>
  </si>
  <si>
    <t>INFORME COLORES AGOSTO 2022  -CAMILA FONNEGRA</t>
  </si>
  <si>
    <t xml:space="preserve">CALLE 47f # 94-36 101 </t>
  </si>
  <si>
    <t xml:space="preserve">INFORME COLORES AGOSTO 2022  -JESSICA IBARRA </t>
  </si>
  <si>
    <t>SAN MICHEL 398</t>
  </si>
  <si>
    <t xml:space="preserve">INFORME COLORES AGOSTO 2022  -DANIELA BOTERO </t>
  </si>
  <si>
    <t xml:space="preserve">OJO LIQUIDAN EN BELLO </t>
  </si>
  <si>
    <t xml:space="preserve">INFORME GLOBAL COLORES AGOSTO  2022  -ADRIANA ZAPATA </t>
  </si>
  <si>
    <t>NUEVO PORTAL 1502</t>
  </si>
  <si>
    <t>INFORME COLORES SEPTIEMBRE 2022  -CAMILA VELASQUEZ</t>
  </si>
  <si>
    <t>CARRERA 89 # 44B-113 AP 302</t>
  </si>
  <si>
    <t xml:space="preserve">TORRE CORINTO 302 - Ojo cliente portero </t>
  </si>
  <si>
    <t>SUBROGACION CALASANZ AZUL 1701</t>
  </si>
  <si>
    <t xml:space="preserve">EL ROSAL 1515 - OJO CLIENTE PORTERO </t>
  </si>
  <si>
    <t>CALASANZ AZUL 1301</t>
  </si>
  <si>
    <t>EL ROSAL 1112</t>
  </si>
  <si>
    <t>CALLE 48D # 93-27</t>
  </si>
  <si>
    <t xml:space="preserve">CALLE 48D 93-36 </t>
  </si>
  <si>
    <t xml:space="preserve">INFORME COLORES SEPTIEMBRE 2022  -TABATHA ROJAS </t>
  </si>
  <si>
    <t>SAN MICHEL 106</t>
  </si>
  <si>
    <t>NUEVO PORTAL 404</t>
  </si>
  <si>
    <t>EL ROSAL 1313</t>
  </si>
  <si>
    <t>INFORME COLORES SEPTIEMBRE 2022  -MANUELA MONSALVE</t>
  </si>
  <si>
    <t>INFORME COLORES SEPTIEMBRE 2022  - JESSICA IBARRA</t>
  </si>
  <si>
    <t>CALASANZ AZUL 1724</t>
  </si>
  <si>
    <t>CARRERA 96 N° 43 -53 AP 501</t>
  </si>
  <si>
    <t>MONTEPARAISO 408</t>
  </si>
  <si>
    <t xml:space="preserve">CALLE 38 A # 108-15 AP 301 </t>
  </si>
  <si>
    <t>VIVENZA 302</t>
  </si>
  <si>
    <t>TORREMONTANA  532</t>
  </si>
  <si>
    <t>BETHEL 301</t>
  </si>
  <si>
    <t>CALLE 51B N° 81B- 47 AP 301</t>
  </si>
  <si>
    <t>EDIFICIO MORENO JARA AP 302</t>
  </si>
  <si>
    <t>CALASANZ AZUL 107</t>
  </si>
  <si>
    <t xml:space="preserve">MONTEPARAISO 213 - OJO CLIENTE PORTERO </t>
  </si>
  <si>
    <t xml:space="preserve">OJOO DESCONTAR $24.000 NEGOCIO NO REALIZADO </t>
  </si>
  <si>
    <t xml:space="preserve">INFORME COLORES AGOSTO 2022  - CAMILA FONNEGRA </t>
  </si>
  <si>
    <t>EMPALME RACHED 401</t>
  </si>
  <si>
    <t>CALLE 51 B # 81 B 47 AP 201</t>
  </si>
  <si>
    <t>CALLE 51 B # 81 B 47 AP 302</t>
  </si>
  <si>
    <t xml:space="preserve">INFORME GLOBAL COLORES SEPTIEMBRE  2022  -ADRIANA ZAPATA </t>
  </si>
  <si>
    <t xml:space="preserve">TORRE CORINTO 302 </t>
  </si>
  <si>
    <t xml:space="preserve">EL ROSAL 1515 </t>
  </si>
  <si>
    <t>MONTEPARAISO 213</t>
  </si>
  <si>
    <t xml:space="preserve">OJOO DESCONTAR $30.000 NEGOCIO NO REALIZADO </t>
  </si>
  <si>
    <t>INFORME COLORES OCTUBRE 2022  -CAMILA VELASQUEZ</t>
  </si>
  <si>
    <t>AMANECERES 1010</t>
  </si>
  <si>
    <t>FIORENZA 906</t>
  </si>
  <si>
    <t>BENEVENTO 802</t>
  </si>
  <si>
    <t>CALLE 51 B # 81 B 47 AP 401</t>
  </si>
  <si>
    <t>SOL NACIENTE 1103</t>
  </si>
  <si>
    <t>SOL NACIENTE 1508</t>
  </si>
  <si>
    <t>NUEVO PORTAL 2004</t>
  </si>
  <si>
    <t>AMANECERES 406</t>
  </si>
  <si>
    <t xml:space="preserve">INFORME COLORES OCTUBRE 2022  -TABATHA ROJAS </t>
  </si>
  <si>
    <t>SUBROGACION CAMPO VERDE 213</t>
  </si>
  <si>
    <t>INFORME COLORES OCTUBRE 2022  -MANUELA MONSALVE</t>
  </si>
  <si>
    <t>JAPON 404</t>
  </si>
  <si>
    <t xml:space="preserve">NUEVO PORTAL 702 - CLIENTE PORTERO </t>
  </si>
  <si>
    <t>LOCAL CALLE 47 C # 101-2</t>
  </si>
  <si>
    <t>AMANECERES 1303</t>
  </si>
  <si>
    <t xml:space="preserve">MONTEPARAISO 909 </t>
  </si>
  <si>
    <t>OLIVENZA CASA 169</t>
  </si>
  <si>
    <t>CALLE 48 D N° 93 – 5</t>
  </si>
  <si>
    <t>SUBROGACION SOL NACIENTE 1405</t>
  </si>
  <si>
    <t>EMPALME MONTEPARAISO 210</t>
  </si>
  <si>
    <t>INFORME COLORES OCTUBRE 2022  - JESSICA IBARRA</t>
  </si>
  <si>
    <t xml:space="preserve">NUEVO PORTAL 902 </t>
  </si>
  <si>
    <t xml:space="preserve">CALLE 47 C # 101-2 AP 101 </t>
  </si>
  <si>
    <t>CARRERA 87 C # 46-18</t>
  </si>
  <si>
    <t>SOL NACIENTE 805</t>
  </si>
  <si>
    <t>CAMPO VERDE 9819</t>
  </si>
  <si>
    <t xml:space="preserve">INFORME COLORES OCTUBRE 2022  - ESTEFANIA ROMERO (SEDE ENVIGADO) </t>
  </si>
  <si>
    <t xml:space="preserve">INFORME GLOBAL COLORES OCTUBRE  2022  -ADRIANA ZAPATA </t>
  </si>
  <si>
    <t>INFORME COLORES NOVIEMBRE 2022  -CAMILA VELASQUEZ</t>
  </si>
  <si>
    <t>SERRAVALLE 714</t>
  </si>
  <si>
    <t>NUEVO PORTAL 1204</t>
  </si>
  <si>
    <t>EMPALME EDIFICIO JAPON 302</t>
  </si>
  <si>
    <t>EMPALME CEREZOS DE CALASANIA 1019</t>
  </si>
  <si>
    <t>CEREZOS DE CALASANIA 820</t>
  </si>
  <si>
    <t>CARRERA 81C # 49-21</t>
  </si>
  <si>
    <t xml:space="preserve">INFORME COLORES NOVIEMBRE 2022  -TABATHA ROJAS </t>
  </si>
  <si>
    <t>CALASANIA 2 AP 9912</t>
  </si>
  <si>
    <t xml:space="preserve">SEDE CALASANZ </t>
  </si>
  <si>
    <t>INFORME COLORES NOVIEMBRE 2022  -MANUELA MONSALVE</t>
  </si>
  <si>
    <t>CALASANZ AZUL 1708</t>
  </si>
  <si>
    <t>EMPALME CALASANZ AZUL 1202</t>
  </si>
  <si>
    <t xml:space="preserve">EMPALME CALASANZ AZUL 424 </t>
  </si>
  <si>
    <t xml:space="preserve">CALASANZ AZUL 826 - Ojo cliente portero </t>
  </si>
  <si>
    <t xml:space="preserve">DOÑANA 508 - Ojo cliente portero </t>
  </si>
  <si>
    <t>INFORME COLORES NOVIEMBRE 2022  - JESSICA IBARRA</t>
  </si>
  <si>
    <t>EMPALME MONTEPARAISO 9501</t>
  </si>
  <si>
    <t>EMPALME SOL NACIENTE 2010</t>
  </si>
  <si>
    <t>ALTOS DE CALASANZ 201</t>
  </si>
  <si>
    <t>MIRADOR DE CALASANZ 303</t>
  </si>
  <si>
    <t>LOCAL EDIFICIO MIXTO IL-CARPINELO P.H. LOCAL 9901</t>
  </si>
  <si>
    <t>SOLNACIENTE 1305</t>
  </si>
  <si>
    <t>TORRE SAN SEBASTIAN 803</t>
  </si>
  <si>
    <t>SENDERO DE LA 80 1316</t>
  </si>
  <si>
    <t xml:space="preserve">INFORME COLORES NOVIEMBRE 2022  - JESSICA ORTIZ (SEDE LAURELES) </t>
  </si>
  <si>
    <t>EMPALME CALLE 48BB N.º 86 – 18</t>
  </si>
  <si>
    <t xml:space="preserve">INFORME GLOBAL COLORES NOVIEMBRE  2022  -ADRIANA ZAPATA </t>
  </si>
  <si>
    <t>SOL NACIENTE 1305</t>
  </si>
  <si>
    <t xml:space="preserve">SUBROGACIONES / EMPALMES AGOSTO </t>
  </si>
  <si>
    <t xml:space="preserve">CONTRATO </t>
  </si>
  <si>
    <t xml:space="preserve">INMUEBLE </t>
  </si>
  <si>
    <t xml:space="preserve">ACUERDO </t>
  </si>
  <si>
    <t>EMPALME/SUBRO</t>
  </si>
  <si>
    <t>SENDEROS DE LA 80 1213</t>
  </si>
  <si>
    <t>ENVIADO</t>
  </si>
  <si>
    <t xml:space="preserve">SUBROGACION </t>
  </si>
  <si>
    <t>CL 54 A 80 17 AP 401</t>
  </si>
  <si>
    <t>EMPALME</t>
  </si>
  <si>
    <t>PARQUE DE COLORES 403</t>
  </si>
  <si>
    <t>NEGADO</t>
  </si>
  <si>
    <t>CARREARA 81 C # 49-21</t>
  </si>
  <si>
    <t>VIVALDI 1301</t>
  </si>
  <si>
    <t xml:space="preserve">ENVIADO </t>
  </si>
  <si>
    <t>CALASANZ AZUL 1701</t>
  </si>
  <si>
    <t>PIZARRA 1103 - VERONICA MONSALVE  3168731130</t>
  </si>
  <si>
    <t xml:space="preserve">NO DESEA </t>
  </si>
  <si>
    <t xml:space="preserve">EMPALME </t>
  </si>
  <si>
    <t>TORRE ANGEL 1206</t>
  </si>
  <si>
    <t xml:space="preserve">TURMALINA 1913 - OCTUBRE </t>
  </si>
  <si>
    <t xml:space="preserve">DESISTE </t>
  </si>
  <si>
    <t>CAMINO DE COLORES 1404</t>
  </si>
  <si>
    <t xml:space="preserve">SOL NACIENTE 1402 </t>
  </si>
  <si>
    <t>PIZARRA 1210</t>
  </si>
  <si>
    <t>TURIN 1901</t>
  </si>
  <si>
    <t>CEREZOS DE CALASANIA 1019</t>
  </si>
  <si>
    <t xml:space="preserve">LISTO </t>
  </si>
  <si>
    <t>LUNA DEL VALLE 718</t>
  </si>
  <si>
    <t xml:space="preserve">PLAZA PILARICA 306 </t>
  </si>
  <si>
    <t xml:space="preserve">SUBROGACIONES / EMPALMES SEPTIEMBRE </t>
  </si>
  <si>
    <t>CUARZO 2702- DON DIEGO</t>
  </si>
  <si>
    <t xml:space="preserve">CALLE 82 # 76 24             </t>
  </si>
  <si>
    <t xml:space="preserve">GESTION </t>
  </si>
  <si>
    <t xml:space="preserve">LOCAL CL 48 BB# 86- 18            </t>
  </si>
  <si>
    <t>MARBELLA 101</t>
  </si>
  <si>
    <t>11070 </t>
  </si>
  <si>
    <t xml:space="preserve">SOL NACIENTE 1405 </t>
  </si>
  <si>
    <t>AVENIDA DEL CERRO 1007  María José al 3108718813</t>
  </si>
  <si>
    <t>CALLE 92 # 66 - 10</t>
  </si>
  <si>
    <t>CITRINO 2203 - Yessica 3113356900</t>
  </si>
  <si>
    <t>PIZARRA 2406</t>
  </si>
  <si>
    <t xml:space="preserve"> CORALINA 802 NATALIA 3104103034 </t>
  </si>
  <si>
    <t xml:space="preserve">COLINAS DE OCCIDENTE 301 - WSP </t>
  </si>
  <si>
    <t xml:space="preserve">PIZARRA 2810 </t>
  </si>
  <si>
    <t>CAMPO VERDE 213</t>
  </si>
  <si>
    <t>MONTEPARAISO 210</t>
  </si>
  <si>
    <t>LUNA DEL MAR 2030</t>
  </si>
  <si>
    <t>CALASANZ AZUL 424 - JUAN CARLOS -3222141577</t>
  </si>
  <si>
    <r>
      <t>LUNA</t>
    </r>
    <r>
      <rPr>
        <sz val="12"/>
        <color rgb="FF323130"/>
        <rFont val="Arial"/>
      </rPr>
      <t> </t>
    </r>
    <r>
      <rPr>
        <sz val="12"/>
        <color rgb="FF000000"/>
        <rFont val="Arial"/>
      </rPr>
      <t>DEL</t>
    </r>
    <r>
      <rPr>
        <sz val="12"/>
        <color rgb="FF323130"/>
        <rFont val="Arial"/>
      </rPr>
      <t> </t>
    </r>
    <r>
      <rPr>
        <sz val="12"/>
        <color rgb="FF000000"/>
        <rFont val="Arial"/>
      </rPr>
      <t>VALLE</t>
    </r>
    <r>
      <rPr>
        <sz val="12"/>
        <color rgb="FF323130"/>
        <rFont val="Arial"/>
      </rPr>
      <t> </t>
    </r>
    <r>
      <rPr>
        <sz val="12"/>
        <color rgb="FF000000"/>
        <rFont val="Arial"/>
      </rPr>
      <t>1002</t>
    </r>
  </si>
  <si>
    <t xml:space="preserve">PRADOS DE SAN NICOLAS 1802 </t>
  </si>
  <si>
    <t>SUBROGACIONES / EMPALMES OCTUBRE</t>
  </si>
  <si>
    <t xml:space="preserve">LUNA DEL CAMPO 508 </t>
  </si>
  <si>
    <t xml:space="preserve">LUNA DEL CAMPO 1016 </t>
  </si>
  <si>
    <t>MONTEPARAISO 9501</t>
  </si>
  <si>
    <t xml:space="preserve">LUNA DEL VALLE 212 </t>
  </si>
  <si>
    <t>PLAZA DE COLORES 706</t>
  </si>
  <si>
    <t xml:space="preserve">SOL NACIENTE 2010 </t>
  </si>
  <si>
    <t>CALASANZ AZUL 1202</t>
  </si>
  <si>
    <t xml:space="preserve">CR 44 # 80 51                    </t>
  </si>
  <si>
    <t>MONTEPARAISO 1208</t>
  </si>
  <si>
    <t xml:space="preserve">JAPON 302 </t>
  </si>
  <si>
    <t xml:space="preserve">CUARZO 2304 </t>
  </si>
  <si>
    <t>EL ROSAL 204</t>
  </si>
  <si>
    <t>CR 97 B 64 AE 14</t>
  </si>
  <si>
    <t>MONTEPARAISO 1913</t>
  </si>
  <si>
    <t>PLAZUELAS DEL METRO 109 - 3246835777</t>
  </si>
  <si>
    <t xml:space="preserve">AIRES DE VALENCIA 712 </t>
  </si>
  <si>
    <t xml:space="preserve">LUNA DEL CAMPO 308 </t>
  </si>
  <si>
    <t>PROMO</t>
  </si>
  <si>
    <t>SENDERO DE LA 80 816 - ALEIDY OSPINA 3216356766</t>
  </si>
  <si>
    <t>PLAZA DE COLORES 116</t>
  </si>
  <si>
    <t xml:space="preserve">SUBROGACIONES / EMPALMES NOVIEMBRE </t>
  </si>
  <si>
    <t xml:space="preserve">LUNA DEL CAMPO 501 </t>
  </si>
  <si>
    <t>CITRINO 2313</t>
  </si>
  <si>
    <t>JAQUELINE 3013068209</t>
  </si>
  <si>
    <t xml:space="preserve">Tabatha </t>
  </si>
  <si>
    <t xml:space="preserve">ESTADIO CAMPESTRE 101 </t>
  </si>
  <si>
    <t>TORRES DE LA FUENTE 517</t>
  </si>
  <si>
    <t>MONTEPARAISO 1710 - Tatiana Toloza 3142353160</t>
  </si>
  <si>
    <t xml:space="preserve">FEBRERO </t>
  </si>
  <si>
    <t>LUNA DEL BOSQUE 1410</t>
  </si>
  <si>
    <t>PIZARRA 1501</t>
  </si>
  <si>
    <t>CR 88 68 B 83 AP 201  -3006731544</t>
  </si>
  <si>
    <t>NOGALES 1401 MEJIA RIVERA ALEXANDRA 3185954922</t>
  </si>
  <si>
    <t>ESCORIAL 82 AP 202</t>
  </si>
  <si>
    <t xml:space="preserve"> CR 15B B 35 58 -ARCILA GIRALDO ELKIN DARIO -3005485417</t>
  </si>
  <si>
    <t xml:space="preserve">NUEVO SOL 1707 </t>
  </si>
  <si>
    <t>LUNA DEL MAR 2123- 3192367760</t>
  </si>
  <si>
    <t xml:space="preserve">PARQUE DE COLORES 1810 </t>
  </si>
  <si>
    <t xml:space="preserve">Ojo enviar acuerdo </t>
  </si>
  <si>
    <t xml:space="preserve">TORRE DEL VIENTO 202 </t>
  </si>
  <si>
    <t>FIORENZA 2103</t>
  </si>
  <si>
    <t>PLAZA DEL ESCORIAL 202</t>
  </si>
  <si>
    <t xml:space="preserve">LUNA DEL BOSQUE 115 </t>
  </si>
  <si>
    <t> 10594</t>
  </si>
  <si>
    <t xml:space="preserve">EDIFICIO SELECTO 401 </t>
  </si>
  <si>
    <t>SUBROGACIONES / EMPALMES DICIEMBRE</t>
  </si>
  <si>
    <t>MIRADOR DE BARCELONA 302</t>
  </si>
  <si>
    <t xml:space="preserve">CAMINO DE COLORES 1904 </t>
  </si>
  <si>
    <t xml:space="preserve">PORTADA INMOBILIARIA </t>
  </si>
  <si>
    <t xml:space="preserve">ADRIANA ZAPATA </t>
  </si>
  <si>
    <t>PKC28D</t>
  </si>
  <si>
    <t xml:space="preserve">VANESSA TUBERQUIA </t>
  </si>
  <si>
    <t>RIB51F - AAJ16F</t>
  </si>
  <si>
    <t xml:space="preserve">MANUELA MONSALVE </t>
  </si>
  <si>
    <t>VSW04E</t>
  </si>
  <si>
    <t xml:space="preserve">IVON LOBO </t>
  </si>
  <si>
    <t>RZJ35E</t>
  </si>
  <si>
    <t xml:space="preserve">ALEJANDRO OCAMPO </t>
  </si>
  <si>
    <t>AOX01G</t>
  </si>
  <si>
    <t xml:space="preserve">ALEJANDRO CARDONA </t>
  </si>
  <si>
    <t>URZ04A</t>
  </si>
  <si>
    <t xml:space="preserve">LUIS CORREA </t>
  </si>
  <si>
    <t>ERA83F</t>
  </si>
  <si>
    <t xml:space="preserve">SEBASTIAN SUAREZ </t>
  </si>
  <si>
    <t>NVR17F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</si>
</sst>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mmmm\ yyyy"/>
    <numFmt numFmtId="165" formatCode="[$ $]#,##0"/>
    <numFmt numFmtId="166" formatCode="&quot;$&quot;#,##0"/>
    <numFmt numFmtId="167" formatCode="_-[$$-240A]\ * #,##0_-;\-[$$-240A]\ * #,##0_-;_-[$$-240A]\ * &quot;-&quot;??_-;_-@_-"/>
  </numFmts>
  <fonts count="58">
    <font>
      <sz val="11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</font>
    <font>
      <sz val="10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  <font>
      <b/>
      <sz val="12"/>
      <color rgb="FF000000"/>
      <name val="Arial"/>
      <charset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</font>
    <font>
      <sz val="14"/>
      <name val="Arial"/>
      <family val="2"/>
    </font>
    <font>
      <sz val="11"/>
      <color rgb="FF000000"/>
      <name val="Arial"/>
      <family val="2"/>
    </font>
    <font>
      <b/>
      <sz val="14"/>
      <name val="Arial"/>
      <family val="2"/>
    </font>
    <font>
      <b/>
      <sz val="36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theme="1"/>
      <name val="Arial"/>
    </font>
    <font>
      <b/>
      <sz val="10"/>
      <color rgb="FF000000"/>
      <name val="Arial"/>
    </font>
    <font>
      <b/>
      <sz val="12"/>
      <color rgb="FFFF0000"/>
      <name val="Arial"/>
    </font>
    <font>
      <b/>
      <sz val="14"/>
      <name val="Arial"/>
    </font>
    <font>
      <b/>
      <sz val="10"/>
      <name val="Arial"/>
    </font>
    <font>
      <b/>
      <sz val="14"/>
      <color theme="1"/>
      <name val="Arial"/>
    </font>
    <font>
      <sz val="10"/>
      <name val="Arial"/>
    </font>
    <font>
      <b/>
      <sz val="14"/>
      <color rgb="FF000000"/>
      <name val="Arial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48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1"/>
      <color theme="1"/>
      <name val="Arial"/>
    </font>
    <font>
      <b/>
      <sz val="11"/>
      <color rgb="FF000000"/>
      <name val="Arial"/>
    </font>
    <font>
      <sz val="12"/>
      <color theme="1"/>
      <name val="Arial"/>
    </font>
    <font>
      <sz val="11"/>
      <color theme="1"/>
      <name val="Arial"/>
    </font>
    <font>
      <b/>
      <sz val="12"/>
      <color theme="1"/>
      <name val="Calibri"/>
      <family val="2"/>
      <scheme val="minor"/>
    </font>
    <font>
      <b/>
      <sz val="9"/>
      <color rgb="FF000000"/>
      <name val="Arial"/>
    </font>
    <font>
      <b/>
      <sz val="11"/>
      <color rgb="FF000000"/>
      <name val="Arial"/>
      <charset val="1"/>
    </font>
    <font>
      <sz val="12"/>
      <color rgb="FF323130"/>
      <name val="Arial"/>
    </font>
    <font>
      <sz val="11"/>
      <color rgb="FF323130"/>
      <name val="Segoe UI"/>
      <charset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Arial"/>
    </font>
    <font>
      <sz val="12"/>
      <color rgb="FF424242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DD9C4"/>
        <bgColor rgb="FFDDD9C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20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right"/>
    </xf>
    <xf numFmtId="165" fontId="5" fillId="6" borderId="6" xfId="0" applyNumberFormat="1" applyFont="1" applyFill="1" applyBorder="1" applyAlignment="1">
      <alignment horizontal="right"/>
    </xf>
    <xf numFmtId="3" fontId="8" fillId="6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7" borderId="6" xfId="0" applyFont="1" applyFill="1" applyBorder="1"/>
    <xf numFmtId="0" fontId="4" fillId="5" borderId="2" xfId="0" applyFont="1" applyFill="1" applyBorder="1" applyAlignment="1">
      <alignment horizontal="center" vertical="top"/>
    </xf>
    <xf numFmtId="9" fontId="4" fillId="5" borderId="4" xfId="0" applyNumberFormat="1" applyFont="1" applyFill="1" applyBorder="1" applyAlignment="1">
      <alignment horizontal="center"/>
    </xf>
    <xf numFmtId="0" fontId="4" fillId="5" borderId="1" xfId="0" applyFont="1" applyFill="1" applyBorder="1"/>
    <xf numFmtId="165" fontId="5" fillId="5" borderId="1" xfId="0" applyNumberFormat="1" applyFont="1" applyFill="1" applyBorder="1"/>
    <xf numFmtId="9" fontId="6" fillId="5" borderId="1" xfId="0" applyNumberFormat="1" applyFont="1" applyFill="1" applyBorder="1"/>
    <xf numFmtId="166" fontId="6" fillId="5" borderId="1" xfId="0" applyNumberFormat="1" applyFont="1" applyFill="1" applyBorder="1" applyAlignment="1">
      <alignment horizontal="center"/>
    </xf>
    <xf numFmtId="167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4" xfId="0" applyNumberFormat="1" applyFont="1" applyFill="1" applyBorder="1" applyAlignment="1">
      <alignment horizontal="center"/>
    </xf>
    <xf numFmtId="10" fontId="4" fillId="5" borderId="4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165" fontId="6" fillId="5" borderId="1" xfId="0" applyNumberFormat="1" applyFont="1" applyFill="1" applyBorder="1"/>
    <xf numFmtId="0" fontId="10" fillId="5" borderId="11" xfId="0" applyFont="1" applyFill="1" applyBorder="1" applyAlignment="1">
      <alignment horizontal="center"/>
    </xf>
    <xf numFmtId="0" fontId="12" fillId="5" borderId="1" xfId="0" applyFont="1" applyFill="1" applyBorder="1"/>
    <xf numFmtId="165" fontId="10" fillId="5" borderId="1" xfId="0" applyNumberFormat="1" applyFont="1" applyFill="1" applyBorder="1"/>
    <xf numFmtId="9" fontId="10" fillId="5" borderId="5" xfId="0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9" fontId="10" fillId="5" borderId="1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11" fillId="5" borderId="1" xfId="0" applyFont="1" applyFill="1" applyBorder="1"/>
    <xf numFmtId="9" fontId="6" fillId="5" borderId="5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8" fillId="7" borderId="7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165" fontId="6" fillId="4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3" fontId="6" fillId="4" borderId="2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8" fillId="5" borderId="5" xfId="0" applyFont="1" applyFill="1" applyBorder="1"/>
    <xf numFmtId="0" fontId="16" fillId="5" borderId="1" xfId="0" applyFont="1" applyFill="1" applyBorder="1" applyAlignment="1">
      <alignment horizontal="center"/>
    </xf>
    <xf numFmtId="0" fontId="8" fillId="5" borderId="9" xfId="0" applyFont="1" applyFill="1" applyBorder="1" applyAlignment="1">
      <alignment wrapText="1"/>
    </xf>
    <xf numFmtId="0" fontId="8" fillId="0" borderId="9" xfId="0" applyFont="1" applyBorder="1" applyAlignment="1">
      <alignment horizontal="center" vertical="center"/>
    </xf>
    <xf numFmtId="0" fontId="16" fillId="0" borderId="1" xfId="0" applyFont="1" applyBorder="1"/>
    <xf numFmtId="0" fontId="6" fillId="5" borderId="6" xfId="0" applyFont="1" applyFill="1" applyBorder="1" applyAlignment="1">
      <alignment horizontal="center" vertical="top"/>
    </xf>
    <xf numFmtId="0" fontId="8" fillId="5" borderId="9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9" fontId="6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1" fillId="5" borderId="4" xfId="0" applyFont="1" applyFill="1" applyBorder="1"/>
    <xf numFmtId="165" fontId="5" fillId="5" borderId="6" xfId="0" applyNumberFormat="1" applyFont="1" applyFill="1" applyBorder="1"/>
    <xf numFmtId="9" fontId="6" fillId="5" borderId="9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4" xfId="0" applyFont="1" applyFill="1" applyBorder="1"/>
    <xf numFmtId="0" fontId="4" fillId="5" borderId="4" xfId="0" applyFont="1" applyFill="1" applyBorder="1"/>
    <xf numFmtId="0" fontId="13" fillId="0" borderId="6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165" fontId="6" fillId="4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165" fontId="5" fillId="6" borderId="7" xfId="0" applyNumberFormat="1" applyFont="1" applyFill="1" applyBorder="1" applyAlignment="1">
      <alignment horizontal="right"/>
    </xf>
    <xf numFmtId="0" fontId="8" fillId="7" borderId="1" xfId="0" applyFont="1" applyFill="1" applyBorder="1"/>
    <xf numFmtId="165" fontId="5" fillId="5" borderId="4" xfId="0" applyNumberFormat="1" applyFont="1" applyFill="1" applyBorder="1"/>
    <xf numFmtId="9" fontId="7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/>
    </xf>
    <xf numFmtId="165" fontId="6" fillId="5" borderId="4" xfId="0" applyNumberFormat="1" applyFont="1" applyFill="1" applyBorder="1"/>
    <xf numFmtId="0" fontId="6" fillId="5" borderId="5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6" fillId="4" borderId="5" xfId="0" applyFont="1" applyFill="1" applyBorder="1" applyAlignment="1">
      <alignment horizontal="center" vertical="top"/>
    </xf>
    <xf numFmtId="3" fontId="6" fillId="4" borderId="5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0" fontId="8" fillId="5" borderId="1" xfId="0" applyFont="1" applyFill="1" applyBorder="1"/>
    <xf numFmtId="0" fontId="16" fillId="5" borderId="4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left" wrapText="1"/>
    </xf>
    <xf numFmtId="0" fontId="6" fillId="5" borderId="1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8" fillId="5" borderId="4" xfId="0" applyFont="1" applyFill="1" applyBorder="1"/>
    <xf numFmtId="0" fontId="6" fillId="5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/>
    <xf numFmtId="165" fontId="5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9" xfId="0" applyFont="1" applyFill="1" applyBorder="1"/>
    <xf numFmtId="0" fontId="16" fillId="0" borderId="6" xfId="0" applyFont="1" applyBorder="1"/>
    <xf numFmtId="0" fontId="6" fillId="5" borderId="6" xfId="0" applyFont="1" applyFill="1" applyBorder="1"/>
    <xf numFmtId="166" fontId="18" fillId="5" borderId="1" xfId="0" applyNumberFormat="1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top"/>
    </xf>
    <xf numFmtId="165" fontId="6" fillId="4" borderId="10" xfId="0" applyNumberFormat="1" applyFont="1" applyFill="1" applyBorder="1" applyAlignment="1">
      <alignment horizontal="center"/>
    </xf>
    <xf numFmtId="3" fontId="6" fillId="4" borderId="10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5" borderId="9" xfId="0" applyFont="1" applyFill="1" applyBorder="1"/>
    <xf numFmtId="0" fontId="16" fillId="0" borderId="1" xfId="0" applyFont="1" applyBorder="1" applyAlignment="1">
      <alignment horizontal="center"/>
    </xf>
    <xf numFmtId="0" fontId="16" fillId="5" borderId="1" xfId="0" applyFont="1" applyFill="1" applyBorder="1"/>
    <xf numFmtId="165" fontId="16" fillId="5" borderId="1" xfId="0" applyNumberFormat="1" applyFont="1" applyFill="1" applyBorder="1"/>
    <xf numFmtId="0" fontId="5" fillId="5" borderId="9" xfId="0" applyFont="1" applyFill="1" applyBorder="1" applyAlignment="1">
      <alignment horizontal="center" vertical="top"/>
    </xf>
    <xf numFmtId="9" fontId="7" fillId="5" borderId="10" xfId="0" applyNumberFormat="1" applyFont="1" applyFill="1" applyBorder="1" applyAlignment="1">
      <alignment horizontal="center"/>
    </xf>
    <xf numFmtId="0" fontId="8" fillId="5" borderId="10" xfId="0" applyFont="1" applyFill="1" applyBorder="1"/>
    <xf numFmtId="165" fontId="8" fillId="5" borderId="9" xfId="0" applyNumberFormat="1" applyFont="1" applyFill="1" applyBorder="1"/>
    <xf numFmtId="9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top"/>
    </xf>
    <xf numFmtId="9" fontId="8" fillId="5" borderId="1" xfId="0" applyNumberFormat="1" applyFont="1" applyFill="1" applyBorder="1" applyAlignment="1">
      <alignment horizontal="center"/>
    </xf>
    <xf numFmtId="3" fontId="8" fillId="5" borderId="9" xfId="0" applyNumberFormat="1" applyFont="1" applyFill="1" applyBorder="1"/>
    <xf numFmtId="0" fontId="6" fillId="5" borderId="9" xfId="0" applyFont="1" applyFill="1" applyBorder="1" applyAlignment="1">
      <alignment horizontal="center" vertical="top"/>
    </xf>
    <xf numFmtId="0" fontId="16" fillId="5" borderId="9" xfId="0" applyFont="1" applyFill="1" applyBorder="1"/>
    <xf numFmtId="165" fontId="6" fillId="5" borderId="9" xfId="0" applyNumberFormat="1" applyFont="1" applyFill="1" applyBorder="1"/>
    <xf numFmtId="9" fontId="16" fillId="5" borderId="9" xfId="0" applyNumberFormat="1" applyFont="1" applyFill="1" applyBorder="1" applyAlignment="1">
      <alignment horizontal="center"/>
    </xf>
    <xf numFmtId="165" fontId="16" fillId="5" borderId="9" xfId="0" applyNumberFormat="1" applyFont="1" applyFill="1" applyBorder="1"/>
    <xf numFmtId="0" fontId="16" fillId="5" borderId="9" xfId="0" applyFont="1" applyFill="1" applyBorder="1" applyAlignment="1">
      <alignment horizontal="center"/>
    </xf>
    <xf numFmtId="9" fontId="17" fillId="5" borderId="5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top"/>
    </xf>
    <xf numFmtId="0" fontId="8" fillId="6" borderId="8" xfId="0" applyFont="1" applyFill="1" applyBorder="1" applyAlignment="1">
      <alignment horizontal="center"/>
    </xf>
    <xf numFmtId="0" fontId="8" fillId="6" borderId="1" xfId="0" applyFont="1" applyFill="1" applyBorder="1"/>
    <xf numFmtId="165" fontId="5" fillId="6" borderId="9" xfId="0" applyNumberFormat="1" applyFont="1" applyFill="1" applyBorder="1" applyAlignment="1">
      <alignment horizontal="right"/>
    </xf>
    <xf numFmtId="0" fontId="8" fillId="6" borderId="9" xfId="0" applyFont="1" applyFill="1" applyBorder="1" applyAlignment="1">
      <alignment horizontal="center"/>
    </xf>
    <xf numFmtId="3" fontId="8" fillId="6" borderId="9" xfId="0" applyNumberFormat="1" applyFont="1" applyFill="1" applyBorder="1" applyAlignment="1">
      <alignment horizontal="right"/>
    </xf>
    <xf numFmtId="0" fontId="8" fillId="6" borderId="9" xfId="0" applyFont="1" applyFill="1" applyBorder="1" applyAlignment="1">
      <alignment horizontal="center" vertical="center"/>
    </xf>
    <xf numFmtId="0" fontId="8" fillId="6" borderId="9" xfId="0" applyFont="1" applyFill="1" applyBorder="1"/>
    <xf numFmtId="166" fontId="16" fillId="5" borderId="1" xfId="0" applyNumberFormat="1" applyFont="1" applyFill="1" applyBorder="1"/>
    <xf numFmtId="0" fontId="16" fillId="5" borderId="5" xfId="0" applyFont="1" applyFill="1" applyBorder="1"/>
    <xf numFmtId="9" fontId="16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6" fontId="6" fillId="5" borderId="9" xfId="0" applyNumberFormat="1" applyFont="1" applyFill="1" applyBorder="1"/>
    <xf numFmtId="0" fontId="5" fillId="5" borderId="6" xfId="0" applyFont="1" applyFill="1" applyBorder="1"/>
    <xf numFmtId="0" fontId="11" fillId="5" borderId="15" xfId="0" applyFont="1" applyFill="1" applyBorder="1" applyAlignment="1">
      <alignment horizontal="center" vertical="top"/>
    </xf>
    <xf numFmtId="9" fontId="11" fillId="5" borderId="15" xfId="0" applyNumberFormat="1" applyFont="1" applyFill="1" applyBorder="1" applyAlignment="1">
      <alignment horizontal="center" vertical="top"/>
    </xf>
    <xf numFmtId="0" fontId="13" fillId="5" borderId="0" xfId="0" applyFont="1" applyFill="1"/>
    <xf numFmtId="9" fontId="5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0" fontId="8" fillId="5" borderId="8" xfId="0" applyFont="1" applyFill="1" applyBorder="1" applyAlignment="1">
      <alignment wrapText="1"/>
    </xf>
    <xf numFmtId="165" fontId="8" fillId="5" borderId="8" xfId="0" applyNumberFormat="1" applyFont="1" applyFill="1" applyBorder="1"/>
    <xf numFmtId="0" fontId="5" fillId="5" borderId="9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center"/>
    </xf>
    <xf numFmtId="165" fontId="21" fillId="11" borderId="1" xfId="0" applyNumberFormat="1" applyFont="1" applyFill="1" applyBorder="1" applyAlignment="1">
      <alignment horizontal="right"/>
    </xf>
    <xf numFmtId="0" fontId="13" fillId="0" borderId="0" xfId="0" applyFont="1"/>
    <xf numFmtId="0" fontId="12" fillId="0" borderId="9" xfId="0" applyFont="1" applyBorder="1" applyAlignment="1">
      <alignment horizontal="center"/>
    </xf>
    <xf numFmtId="165" fontId="21" fillId="12" borderId="9" xfId="0" applyNumberFormat="1" applyFont="1" applyFill="1" applyBorder="1"/>
    <xf numFmtId="3" fontId="12" fillId="6" borderId="9" xfId="0" applyNumberFormat="1" applyFont="1" applyFill="1" applyBorder="1" applyAlignment="1">
      <alignment horizontal="center"/>
    </xf>
    <xf numFmtId="167" fontId="21" fillId="13" borderId="9" xfId="0" applyNumberFormat="1" applyFont="1" applyFill="1" applyBorder="1" applyAlignment="1">
      <alignment horizontal="right"/>
    </xf>
    <xf numFmtId="3" fontId="12" fillId="6" borderId="9" xfId="0" applyNumberFormat="1" applyFont="1" applyFill="1" applyBorder="1"/>
    <xf numFmtId="0" fontId="12" fillId="0" borderId="10" xfId="0" applyFont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/>
    </xf>
    <xf numFmtId="165" fontId="5" fillId="6" borderId="9" xfId="0" applyNumberFormat="1" applyFont="1" applyFill="1" applyBorder="1"/>
    <xf numFmtId="0" fontId="24" fillId="6" borderId="2" xfId="0" applyFont="1" applyFill="1" applyBorder="1" applyAlignment="1">
      <alignment horizontal="center"/>
    </xf>
    <xf numFmtId="0" fontId="25" fillId="6" borderId="2" xfId="0" applyFont="1" applyFill="1" applyBorder="1" applyAlignment="1">
      <alignment horizontal="left"/>
    </xf>
    <xf numFmtId="3" fontId="24" fillId="6" borderId="2" xfId="0" applyNumberFormat="1" applyFont="1" applyFill="1" applyBorder="1" applyAlignment="1">
      <alignment horizontal="center"/>
    </xf>
    <xf numFmtId="0" fontId="26" fillId="15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0" fillId="5" borderId="1" xfId="0" applyFill="1" applyBorder="1"/>
    <xf numFmtId="0" fontId="0" fillId="5" borderId="7" xfId="0" applyFill="1" applyBorder="1" applyAlignment="1">
      <alignment horizontal="left"/>
    </xf>
    <xf numFmtId="165" fontId="30" fillId="5" borderId="1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25" fillId="6" borderId="10" xfId="0" applyFont="1" applyFill="1" applyBorder="1" applyAlignment="1">
      <alignment horizontal="left"/>
    </xf>
    <xf numFmtId="3" fontId="31" fillId="6" borderId="15" xfId="0" applyNumberFormat="1" applyFont="1" applyFill="1" applyBorder="1" applyAlignment="1">
      <alignment horizontal="center"/>
    </xf>
    <xf numFmtId="0" fontId="26" fillId="15" borderId="15" xfId="0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5" fontId="32" fillId="0" borderId="1" xfId="0" applyNumberFormat="1" applyFont="1" applyBorder="1"/>
    <xf numFmtId="166" fontId="30" fillId="5" borderId="1" xfId="0" applyNumberFormat="1" applyFont="1" applyFill="1" applyBorder="1" applyAlignment="1">
      <alignment horizontal="right"/>
    </xf>
    <xf numFmtId="0" fontId="4" fillId="5" borderId="6" xfId="0" applyFont="1" applyFill="1" applyBorder="1"/>
    <xf numFmtId="0" fontId="31" fillId="6" borderId="13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/>
    </xf>
    <xf numFmtId="0" fontId="25" fillId="6" borderId="14" xfId="0" applyFont="1" applyFill="1" applyBorder="1" applyAlignment="1">
      <alignment horizontal="left"/>
    </xf>
    <xf numFmtId="3" fontId="31" fillId="6" borderId="2" xfId="0" applyNumberFormat="1" applyFont="1" applyFill="1" applyBorder="1" applyAlignment="1">
      <alignment horizontal="center"/>
    </xf>
    <xf numFmtId="0" fontId="33" fillId="0" borderId="2" xfId="0" applyFont="1" applyBorder="1" applyAlignment="1">
      <alignment horizontal="right"/>
    </xf>
    <xf numFmtId="165" fontId="34" fillId="0" borderId="5" xfId="0" applyNumberFormat="1" applyFont="1" applyBorder="1"/>
    <xf numFmtId="165" fontId="32" fillId="5" borderId="1" xfId="0" applyNumberFormat="1" applyFont="1" applyFill="1" applyBorder="1"/>
    <xf numFmtId="0" fontId="0" fillId="0" borderId="5" xfId="0" applyBorder="1"/>
    <xf numFmtId="0" fontId="6" fillId="5" borderId="5" xfId="0" applyFont="1" applyFill="1" applyBorder="1"/>
    <xf numFmtId="165" fontId="32" fillId="5" borderId="5" xfId="0" applyNumberFormat="1" applyFont="1" applyFill="1" applyBorder="1"/>
    <xf numFmtId="0" fontId="4" fillId="16" borderId="2" xfId="0" applyFont="1" applyFill="1" applyBorder="1" applyAlignment="1">
      <alignment horizontal="center" vertical="top"/>
    </xf>
    <xf numFmtId="0" fontId="4" fillId="16" borderId="6" xfId="0" applyFont="1" applyFill="1" applyBorder="1"/>
    <xf numFmtId="166" fontId="18" fillId="16" borderId="1" xfId="0" applyNumberFormat="1" applyFont="1" applyFill="1" applyBorder="1" applyAlignment="1">
      <alignment horizontal="right"/>
    </xf>
    <xf numFmtId="9" fontId="4" fillId="16" borderId="4" xfId="0" applyNumberFormat="1" applyFont="1" applyFill="1" applyBorder="1" applyAlignment="1">
      <alignment horizontal="center"/>
    </xf>
    <xf numFmtId="0" fontId="4" fillId="16" borderId="1" xfId="0" applyFont="1" applyFill="1" applyBorder="1"/>
    <xf numFmtId="165" fontId="5" fillId="16" borderId="1" xfId="0" applyNumberFormat="1" applyFont="1" applyFill="1" applyBorder="1"/>
    <xf numFmtId="9" fontId="6" fillId="16" borderId="1" xfId="0" applyNumberFormat="1" applyFont="1" applyFill="1" applyBorder="1"/>
    <xf numFmtId="166" fontId="6" fillId="16" borderId="1" xfId="0" applyNumberFormat="1" applyFont="1" applyFill="1" applyBorder="1" applyAlignment="1">
      <alignment horizontal="center"/>
    </xf>
    <xf numFmtId="167" fontId="6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top"/>
    </xf>
    <xf numFmtId="0" fontId="27" fillId="17" borderId="1" xfId="0" applyFont="1" applyFill="1" applyBorder="1"/>
    <xf numFmtId="165" fontId="5" fillId="17" borderId="4" xfId="0" applyNumberFormat="1" applyFont="1" applyFill="1" applyBorder="1"/>
    <xf numFmtId="9" fontId="7" fillId="17" borderId="1" xfId="0" applyNumberFormat="1" applyFont="1" applyFill="1" applyBorder="1" applyAlignment="1">
      <alignment horizontal="center"/>
    </xf>
    <xf numFmtId="166" fontId="6" fillId="17" borderId="1" xfId="0" applyNumberFormat="1" applyFont="1" applyFill="1" applyBorder="1" applyAlignment="1">
      <alignment horizontal="right"/>
    </xf>
    <xf numFmtId="0" fontId="5" fillId="17" borderId="5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9" fontId="6" fillId="17" borderId="5" xfId="0" applyNumberFormat="1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 vertical="top"/>
    </xf>
    <xf numFmtId="0" fontId="25" fillId="17" borderId="1" xfId="0" applyFont="1" applyFill="1" applyBorder="1" applyAlignment="1">
      <alignment horizontal="left"/>
    </xf>
    <xf numFmtId="165" fontId="18" fillId="17" borderId="1" xfId="0" applyNumberFormat="1" applyFont="1" applyFill="1" applyBorder="1"/>
    <xf numFmtId="9" fontId="29" fillId="17" borderId="1" xfId="0" applyNumberFormat="1" applyFont="1" applyFill="1" applyBorder="1" applyAlignment="1">
      <alignment horizontal="center"/>
    </xf>
    <xf numFmtId="166" fontId="18" fillId="17" borderId="1" xfId="0" applyNumberFormat="1" applyFont="1" applyFill="1" applyBorder="1" applyAlignment="1">
      <alignment horizontal="right"/>
    </xf>
    <xf numFmtId="0" fontId="6" fillId="17" borderId="5" xfId="0" applyFont="1" applyFill="1" applyBorder="1" applyAlignment="1">
      <alignment horizontal="center" vertical="top"/>
    </xf>
    <xf numFmtId="9" fontId="6" fillId="17" borderId="1" xfId="0" applyNumberFormat="1" applyFont="1" applyFill="1" applyBorder="1" applyAlignment="1">
      <alignment horizontal="center"/>
    </xf>
    <xf numFmtId="0" fontId="4" fillId="17" borderId="4" xfId="0" applyFont="1" applyFill="1" applyBorder="1"/>
    <xf numFmtId="165" fontId="5" fillId="17" borderId="1" xfId="0" applyNumberFormat="1" applyFont="1" applyFill="1" applyBorder="1"/>
    <xf numFmtId="9" fontId="6" fillId="17" borderId="4" xfId="0" applyNumberFormat="1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9" fontId="4" fillId="17" borderId="4" xfId="0" applyNumberFormat="1" applyFont="1" applyFill="1" applyBorder="1" applyAlignment="1">
      <alignment horizontal="center"/>
    </xf>
    <xf numFmtId="0" fontId="6" fillId="17" borderId="1" xfId="0" applyFont="1" applyFill="1" applyBorder="1" applyAlignment="1">
      <alignment horizontal="left"/>
    </xf>
    <xf numFmtId="166" fontId="6" fillId="17" borderId="1" xfId="0" applyNumberFormat="1" applyFont="1" applyFill="1" applyBorder="1" applyAlignment="1">
      <alignment horizontal="center"/>
    </xf>
    <xf numFmtId="167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top"/>
    </xf>
    <xf numFmtId="0" fontId="6" fillId="17" borderId="6" xfId="0" applyFont="1" applyFill="1" applyBorder="1"/>
    <xf numFmtId="165" fontId="6" fillId="17" borderId="1" xfId="0" applyNumberFormat="1" applyFont="1" applyFill="1" applyBorder="1"/>
    <xf numFmtId="166" fontId="5" fillId="17" borderId="1" xfId="0" applyNumberFormat="1" applyFont="1" applyFill="1" applyBorder="1" applyAlignment="1">
      <alignment horizontal="right"/>
    </xf>
    <xf numFmtId="0" fontId="6" fillId="17" borderId="1" xfId="0" applyFont="1" applyFill="1" applyBorder="1" applyAlignment="1">
      <alignment horizontal="center"/>
    </xf>
    <xf numFmtId="0" fontId="25" fillId="17" borderId="4" xfId="0" applyFont="1" applyFill="1" applyBorder="1" applyAlignment="1">
      <alignment horizontal="left"/>
    </xf>
    <xf numFmtId="165" fontId="11" fillId="17" borderId="1" xfId="0" applyNumberFormat="1" applyFont="1" applyFill="1" applyBorder="1"/>
    <xf numFmtId="9" fontId="11" fillId="17" borderId="5" xfId="0" applyNumberFormat="1" applyFont="1" applyFill="1" applyBorder="1" applyAlignment="1">
      <alignment horizontal="center"/>
    </xf>
    <xf numFmtId="166" fontId="11" fillId="17" borderId="1" xfId="0" applyNumberFormat="1" applyFont="1" applyFill="1" applyBorder="1" applyAlignment="1">
      <alignment horizontal="right"/>
    </xf>
    <xf numFmtId="0" fontId="0" fillId="17" borderId="1" xfId="0" applyFill="1" applyBorder="1" applyAlignment="1">
      <alignment horizontal="left"/>
    </xf>
    <xf numFmtId="9" fontId="11" fillId="17" borderId="1" xfId="0" applyNumberFormat="1" applyFont="1" applyFill="1" applyBorder="1" applyAlignment="1">
      <alignment horizontal="center"/>
    </xf>
    <xf numFmtId="0" fontId="25" fillId="17" borderId="14" xfId="0" applyFont="1" applyFill="1" applyBorder="1" applyAlignment="1">
      <alignment horizontal="left"/>
    </xf>
    <xf numFmtId="0" fontId="6" fillId="17" borderId="13" xfId="0" applyFont="1" applyFill="1" applyBorder="1" applyAlignment="1">
      <alignment horizontal="center" vertical="top"/>
    </xf>
    <xf numFmtId="0" fontId="6" fillId="16" borderId="6" xfId="0" applyFont="1" applyFill="1" applyBorder="1" applyAlignment="1">
      <alignment horizontal="center" vertical="top"/>
    </xf>
    <xf numFmtId="9" fontId="6" fillId="16" borderId="1" xfId="0" applyNumberFormat="1" applyFont="1" applyFill="1" applyBorder="1" applyAlignment="1">
      <alignment horizontal="center"/>
    </xf>
    <xf numFmtId="165" fontId="6" fillId="16" borderId="1" xfId="0" applyNumberFormat="1" applyFont="1" applyFill="1" applyBorder="1"/>
    <xf numFmtId="9" fontId="16" fillId="16" borderId="1" xfId="0" applyNumberFormat="1" applyFont="1" applyFill="1" applyBorder="1" applyAlignment="1">
      <alignment horizontal="center"/>
    </xf>
    <xf numFmtId="165" fontId="16" fillId="16" borderId="1" xfId="0" applyNumberFormat="1" applyFont="1" applyFill="1" applyBorder="1"/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top"/>
    </xf>
    <xf numFmtId="0" fontId="4" fillId="17" borderId="1" xfId="0" applyFont="1" applyFill="1" applyBorder="1"/>
    <xf numFmtId="0" fontId="15" fillId="16" borderId="1" xfId="0" applyFont="1" applyFill="1" applyBorder="1" applyAlignment="1">
      <alignment horizontal="center"/>
    </xf>
    <xf numFmtId="9" fontId="6" fillId="16" borderId="5" xfId="0" applyNumberFormat="1" applyFont="1" applyFill="1" applyBorder="1" applyAlignment="1">
      <alignment horizontal="center"/>
    </xf>
    <xf numFmtId="0" fontId="6" fillId="16" borderId="6" xfId="0" applyFont="1" applyFill="1" applyBorder="1" applyAlignment="1">
      <alignment horizontal="left"/>
    </xf>
    <xf numFmtId="165" fontId="5" fillId="16" borderId="4" xfId="0" applyNumberFormat="1" applyFont="1" applyFill="1" applyBorder="1"/>
    <xf numFmtId="166" fontId="6" fillId="16" borderId="1" xfId="0" applyNumberFormat="1" applyFont="1" applyFill="1" applyBorder="1" applyAlignment="1">
      <alignment horizontal="right"/>
    </xf>
    <xf numFmtId="0" fontId="5" fillId="16" borderId="5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/>
    </xf>
    <xf numFmtId="9" fontId="7" fillId="16" borderId="1" xfId="0" applyNumberFormat="1" applyFont="1" applyFill="1" applyBorder="1" applyAlignment="1">
      <alignment horizontal="center"/>
    </xf>
    <xf numFmtId="0" fontId="4" fillId="17" borderId="6" xfId="0" applyFont="1" applyFill="1" applyBorder="1"/>
    <xf numFmtId="9" fontId="16" fillId="17" borderId="1" xfId="0" applyNumberFormat="1" applyFont="1" applyFill="1" applyBorder="1" applyAlignment="1">
      <alignment horizontal="center"/>
    </xf>
    <xf numFmtId="165" fontId="16" fillId="17" borderId="1" xfId="0" applyNumberFormat="1" applyFont="1" applyFill="1" applyBorder="1"/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left"/>
    </xf>
    <xf numFmtId="165" fontId="6" fillId="17" borderId="4" xfId="0" applyNumberFormat="1" applyFont="1" applyFill="1" applyBorder="1"/>
    <xf numFmtId="0" fontId="6" fillId="17" borderId="5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top"/>
    </xf>
    <xf numFmtId="9" fontId="6" fillId="16" borderId="14" xfId="0" applyNumberFormat="1" applyFont="1" applyFill="1" applyBorder="1" applyAlignment="1">
      <alignment horizontal="center"/>
    </xf>
    <xf numFmtId="0" fontId="11" fillId="16" borderId="4" xfId="0" applyFont="1" applyFill="1" applyBorder="1"/>
    <xf numFmtId="165" fontId="5" fillId="16" borderId="6" xfId="0" applyNumberFormat="1" applyFont="1" applyFill="1" applyBorder="1"/>
    <xf numFmtId="9" fontId="6" fillId="16" borderId="9" xfId="0" applyNumberFormat="1" applyFont="1" applyFill="1" applyBorder="1" applyAlignment="1">
      <alignment horizontal="center"/>
    </xf>
    <xf numFmtId="166" fontId="8" fillId="16" borderId="1" xfId="0" applyNumberFormat="1" applyFont="1" applyFill="1" applyBorder="1" applyAlignment="1">
      <alignment horizontal="right"/>
    </xf>
    <xf numFmtId="0" fontId="5" fillId="16" borderId="2" xfId="0" applyFont="1" applyFill="1" applyBorder="1" applyAlignment="1">
      <alignment horizontal="center"/>
    </xf>
    <xf numFmtId="0" fontId="4" fillId="16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11" fillId="16" borderId="6" xfId="0" applyFont="1" applyFill="1" applyBorder="1"/>
    <xf numFmtId="0" fontId="6" fillId="16" borderId="1" xfId="0" applyFont="1" applyFill="1" applyBorder="1" applyAlignment="1">
      <alignment horizontal="center"/>
    </xf>
    <xf numFmtId="166" fontId="5" fillId="16" borderId="1" xfId="0" applyNumberFormat="1" applyFont="1" applyFill="1" applyBorder="1" applyAlignment="1">
      <alignment horizontal="right"/>
    </xf>
    <xf numFmtId="0" fontId="11" fillId="17" borderId="1" xfId="0" applyFont="1" applyFill="1" applyBorder="1" applyAlignment="1">
      <alignment horizontal="center"/>
    </xf>
    <xf numFmtId="165" fontId="5" fillId="17" borderId="6" xfId="0" applyNumberFormat="1" applyFont="1" applyFill="1" applyBorder="1"/>
    <xf numFmtId="9" fontId="6" fillId="17" borderId="9" xfId="0" applyNumberFormat="1" applyFont="1" applyFill="1" applyBorder="1" applyAlignment="1">
      <alignment horizontal="center"/>
    </xf>
    <xf numFmtId="9" fontId="6" fillId="17" borderId="2" xfId="0" applyNumberFormat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0" fontId="31" fillId="6" borderId="6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 vertical="top"/>
    </xf>
    <xf numFmtId="165" fontId="28" fillId="17" borderId="1" xfId="0" applyNumberFormat="1" applyFont="1" applyFill="1" applyBorder="1"/>
    <xf numFmtId="165" fontId="28" fillId="17" borderId="14" xfId="0" applyNumberFormat="1" applyFont="1" applyFill="1" applyBorder="1"/>
    <xf numFmtId="0" fontId="25" fillId="17" borderId="5" xfId="0" applyFont="1" applyFill="1" applyBorder="1" applyAlignment="1">
      <alignment horizontal="left"/>
    </xf>
    <xf numFmtId="165" fontId="18" fillId="17" borderId="2" xfId="0" applyNumberFormat="1" applyFont="1" applyFill="1" applyBorder="1"/>
    <xf numFmtId="165" fontId="18" fillId="17" borderId="15" xfId="0" applyNumberFormat="1" applyFont="1" applyFill="1" applyBorder="1"/>
    <xf numFmtId="0" fontId="25" fillId="17" borderId="2" xfId="0" applyFont="1" applyFill="1" applyBorder="1" applyAlignment="1">
      <alignment horizontal="left"/>
    </xf>
    <xf numFmtId="0" fontId="5" fillId="17" borderId="6" xfId="0" applyFont="1" applyFill="1" applyBorder="1" applyAlignment="1">
      <alignment horizontal="center"/>
    </xf>
    <xf numFmtId="9" fontId="6" fillId="17" borderId="11" xfId="0" applyNumberFormat="1" applyFont="1" applyFill="1" applyBorder="1" applyAlignment="1">
      <alignment horizontal="center"/>
    </xf>
    <xf numFmtId="165" fontId="5" fillId="17" borderId="11" xfId="0" applyNumberFormat="1" applyFont="1" applyFill="1" applyBorder="1"/>
    <xf numFmtId="0" fontId="35" fillId="17" borderId="1" xfId="0" applyFont="1" applyFill="1" applyBorder="1" applyAlignment="1">
      <alignment horizontal="left"/>
    </xf>
    <xf numFmtId="0" fontId="4" fillId="17" borderId="2" xfId="0" applyFont="1" applyFill="1" applyBorder="1"/>
    <xf numFmtId="0" fontId="4" fillId="16" borderId="5" xfId="0" applyFont="1" applyFill="1" applyBorder="1"/>
    <xf numFmtId="0" fontId="10" fillId="5" borderId="8" xfId="0" applyFont="1" applyFill="1" applyBorder="1" applyAlignment="1">
      <alignment horizontal="center"/>
    </xf>
    <xf numFmtId="165" fontId="6" fillId="5" borderId="6" xfId="0" applyNumberFormat="1" applyFont="1" applyFill="1" applyBorder="1"/>
    <xf numFmtId="9" fontId="6" fillId="5" borderId="7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165" fontId="4" fillId="5" borderId="6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4" fillId="17" borderId="5" xfId="0" applyFont="1" applyFill="1" applyBorder="1"/>
    <xf numFmtId="0" fontId="6" fillId="16" borderId="1" xfId="0" applyFont="1" applyFill="1" applyBorder="1" applyAlignment="1">
      <alignment horizontal="center" vertical="top"/>
    </xf>
    <xf numFmtId="0" fontId="6" fillId="4" borderId="1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9" fontId="6" fillId="16" borderId="4" xfId="0" applyNumberFormat="1" applyFont="1" applyFill="1" applyBorder="1" applyAlignment="1">
      <alignment horizontal="center"/>
    </xf>
    <xf numFmtId="9" fontId="6" fillId="16" borderId="11" xfId="0" applyNumberFormat="1" applyFont="1" applyFill="1" applyBorder="1" applyAlignment="1">
      <alignment horizontal="center"/>
    </xf>
    <xf numFmtId="0" fontId="15" fillId="16" borderId="1" xfId="0" applyFont="1" applyFill="1" applyBorder="1"/>
    <xf numFmtId="165" fontId="6" fillId="16" borderId="4" xfId="0" applyNumberFormat="1" applyFont="1" applyFill="1" applyBorder="1"/>
    <xf numFmtId="0" fontId="6" fillId="17" borderId="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wrapText="1"/>
    </xf>
    <xf numFmtId="0" fontId="11" fillId="16" borderId="1" xfId="0" applyFont="1" applyFill="1" applyBorder="1" applyAlignment="1">
      <alignment horizontal="center"/>
    </xf>
    <xf numFmtId="0" fontId="6" fillId="16" borderId="6" xfId="0" applyFont="1" applyFill="1" applyBorder="1"/>
    <xf numFmtId="0" fontId="11" fillId="16" borderId="15" xfId="0" applyFont="1" applyFill="1" applyBorder="1"/>
    <xf numFmtId="0" fontId="11" fillId="17" borderId="2" xfId="0" applyFont="1" applyFill="1" applyBorder="1" applyAlignment="1">
      <alignment horizontal="center"/>
    </xf>
    <xf numFmtId="0" fontId="11" fillId="17" borderId="4" xfId="0" applyFont="1" applyFill="1" applyBorder="1"/>
    <xf numFmtId="9" fontId="6" fillId="17" borderId="10" xfId="0" applyNumberFormat="1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/>
    </xf>
    <xf numFmtId="9" fontId="6" fillId="17" borderId="8" xfId="0" applyNumberFormat="1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/>
    </xf>
    <xf numFmtId="0" fontId="6" fillId="17" borderId="1" xfId="0" applyFont="1" applyFill="1" applyBorder="1"/>
    <xf numFmtId="0" fontId="0" fillId="17" borderId="9" xfId="0" applyFill="1" applyBorder="1" applyAlignment="1">
      <alignment horizontal="left"/>
    </xf>
    <xf numFmtId="165" fontId="11" fillId="17" borderId="6" xfId="0" applyNumberFormat="1" applyFont="1" applyFill="1" applyBorder="1"/>
    <xf numFmtId="9" fontId="7" fillId="17" borderId="4" xfId="0" applyNumberFormat="1" applyFont="1" applyFill="1" applyBorder="1" applyAlignment="1">
      <alignment horizontal="center"/>
    </xf>
    <xf numFmtId="9" fontId="7" fillId="17" borderId="5" xfId="0" applyNumberFormat="1" applyFont="1" applyFill="1" applyBorder="1" applyAlignment="1">
      <alignment horizontal="center"/>
    </xf>
    <xf numFmtId="9" fontId="29" fillId="17" borderId="5" xfId="0" applyNumberFormat="1" applyFont="1" applyFill="1" applyBorder="1" applyAlignment="1">
      <alignment horizontal="center"/>
    </xf>
    <xf numFmtId="0" fontId="6" fillId="17" borderId="9" xfId="0" applyFont="1" applyFill="1" applyBorder="1" applyAlignment="1">
      <alignment horizontal="center" vertical="center"/>
    </xf>
    <xf numFmtId="0" fontId="8" fillId="17" borderId="9" xfId="0" applyFont="1" applyFill="1" applyBorder="1" applyAlignment="1">
      <alignment horizontal="center" vertical="center"/>
    </xf>
    <xf numFmtId="9" fontId="11" fillId="17" borderId="4" xfId="0" applyNumberFormat="1" applyFont="1" applyFill="1" applyBorder="1" applyAlignment="1">
      <alignment horizontal="center" vertical="top"/>
    </xf>
    <xf numFmtId="0" fontId="0" fillId="17" borderId="4" xfId="0" applyFill="1" applyBorder="1" applyAlignment="1">
      <alignment horizontal="left"/>
    </xf>
    <xf numFmtId="0" fontId="6" fillId="5" borderId="11" xfId="0" applyFont="1" applyFill="1" applyBorder="1" applyAlignment="1">
      <alignment horizontal="center"/>
    </xf>
    <xf numFmtId="0" fontId="6" fillId="17" borderId="15" xfId="0" applyFont="1" applyFill="1" applyBorder="1"/>
    <xf numFmtId="165" fontId="6" fillId="17" borderId="2" xfId="0" applyNumberFormat="1" applyFont="1" applyFill="1" applyBorder="1"/>
    <xf numFmtId="9" fontId="6" fillId="17" borderId="12" xfId="0" applyNumberFormat="1" applyFont="1" applyFill="1" applyBorder="1" applyAlignment="1">
      <alignment horizontal="center"/>
    </xf>
    <xf numFmtId="0" fontId="5" fillId="17" borderId="6" xfId="0" applyFont="1" applyFill="1" applyBorder="1" applyAlignment="1">
      <alignment wrapText="1"/>
    </xf>
    <xf numFmtId="0" fontId="5" fillId="17" borderId="9" xfId="0" applyFont="1" applyFill="1" applyBorder="1" applyAlignment="1">
      <alignment wrapText="1"/>
    </xf>
    <xf numFmtId="0" fontId="8" fillId="17" borderId="9" xfId="0" applyFont="1" applyFill="1" applyBorder="1" applyAlignment="1">
      <alignment wrapText="1"/>
    </xf>
    <xf numFmtId="0" fontId="8" fillId="16" borderId="9" xfId="0" applyFont="1" applyFill="1" applyBorder="1" applyAlignment="1">
      <alignment wrapText="1"/>
    </xf>
    <xf numFmtId="0" fontId="16" fillId="17" borderId="1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5" fontId="4" fillId="17" borderId="1" xfId="0" applyNumberFormat="1" applyFont="1" applyFill="1" applyBorder="1" applyAlignment="1">
      <alignment horizontal="center"/>
    </xf>
    <xf numFmtId="0" fontId="6" fillId="16" borderId="5" xfId="0" applyFont="1" applyFill="1" applyBorder="1" applyAlignment="1">
      <alignment horizontal="center"/>
    </xf>
    <xf numFmtId="0" fontId="16" fillId="17" borderId="1" xfId="0" applyFont="1" applyFill="1" applyBorder="1" applyAlignment="1">
      <alignment horizontal="center" vertical="center"/>
    </xf>
    <xf numFmtId="0" fontId="8" fillId="17" borderId="9" xfId="0" applyFont="1" applyFill="1" applyBorder="1"/>
    <xf numFmtId="0" fontId="16" fillId="16" borderId="1" xfId="0" applyFont="1" applyFill="1" applyBorder="1" applyAlignment="1">
      <alignment horizontal="center" vertical="center"/>
    </xf>
    <xf numFmtId="0" fontId="8" fillId="16" borderId="9" xfId="0" applyFont="1" applyFill="1" applyBorder="1"/>
    <xf numFmtId="0" fontId="17" fillId="5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17" borderId="8" xfId="0" applyFont="1" applyFill="1" applyBorder="1" applyAlignment="1">
      <alignment horizontal="center"/>
    </xf>
    <xf numFmtId="0" fontId="17" fillId="17" borderId="14" xfId="0" applyFont="1" applyFill="1" applyBorder="1" applyAlignment="1">
      <alignment horizontal="left"/>
    </xf>
    <xf numFmtId="0" fontId="17" fillId="16" borderId="14" xfId="0" applyFont="1" applyFill="1" applyBorder="1" applyAlignment="1">
      <alignment horizontal="left"/>
    </xf>
    <xf numFmtId="166" fontId="4" fillId="17" borderId="4" xfId="0" applyNumberFormat="1" applyFont="1" applyFill="1" applyBorder="1" applyAlignment="1">
      <alignment horizontal="center"/>
    </xf>
    <xf numFmtId="10" fontId="4" fillId="17" borderId="4" xfId="0" applyNumberFormat="1" applyFont="1" applyFill="1" applyBorder="1" applyAlignment="1">
      <alignment horizontal="center"/>
    </xf>
    <xf numFmtId="9" fontId="11" fillId="17" borderId="11" xfId="0" applyNumberFormat="1" applyFont="1" applyFill="1" applyBorder="1" applyAlignment="1">
      <alignment horizontal="center" vertical="top"/>
    </xf>
    <xf numFmtId="166" fontId="4" fillId="5" borderId="1" xfId="0" applyNumberFormat="1" applyFont="1" applyFill="1" applyBorder="1"/>
    <xf numFmtId="9" fontId="11" fillId="17" borderId="2" xfId="0" applyNumberFormat="1" applyFont="1" applyFill="1" applyBorder="1" applyAlignment="1">
      <alignment horizontal="center"/>
    </xf>
    <xf numFmtId="9" fontId="29" fillId="17" borderId="2" xfId="0" applyNumberFormat="1" applyFont="1" applyFill="1" applyBorder="1" applyAlignment="1">
      <alignment horizontal="center"/>
    </xf>
    <xf numFmtId="165" fontId="18" fillId="17" borderId="2" xfId="0" applyNumberFormat="1" applyFont="1" applyFill="1" applyBorder="1" applyAlignment="1">
      <alignment horizontal="center"/>
    </xf>
    <xf numFmtId="165" fontId="28" fillId="17" borderId="4" xfId="0" applyNumberFormat="1" applyFont="1" applyFill="1" applyBorder="1"/>
    <xf numFmtId="165" fontId="5" fillId="6" borderId="6" xfId="0" applyNumberFormat="1" applyFont="1" applyFill="1" applyBorder="1"/>
    <xf numFmtId="165" fontId="36" fillId="5" borderId="1" xfId="0" applyNumberFormat="1" applyFont="1" applyFill="1" applyBorder="1" applyAlignment="1">
      <alignment horizontal="center" vertical="center"/>
    </xf>
    <xf numFmtId="9" fontId="27" fillId="16" borderId="4" xfId="0" applyNumberFormat="1" applyFont="1" applyFill="1" applyBorder="1" applyAlignment="1">
      <alignment horizontal="center"/>
    </xf>
    <xf numFmtId="0" fontId="27" fillId="16" borderId="6" xfId="0" applyFont="1" applyFill="1" applyBorder="1"/>
    <xf numFmtId="165" fontId="28" fillId="16" borderId="8" xfId="0" applyNumberFormat="1" applyFont="1" applyFill="1" applyBorder="1"/>
    <xf numFmtId="165" fontId="11" fillId="16" borderId="1" xfId="0" applyNumberFormat="1" applyFont="1" applyFill="1" applyBorder="1"/>
    <xf numFmtId="9" fontId="11" fillId="16" borderId="5" xfId="0" applyNumberFormat="1" applyFont="1" applyFill="1" applyBorder="1" applyAlignment="1">
      <alignment horizontal="center"/>
    </xf>
    <xf numFmtId="166" fontId="11" fillId="16" borderId="1" xfId="0" applyNumberFormat="1" applyFont="1" applyFill="1" applyBorder="1" applyAlignment="1">
      <alignment horizontal="right"/>
    </xf>
    <xf numFmtId="0" fontId="11" fillId="16" borderId="2" xfId="0" applyFont="1" applyFill="1" applyBorder="1" applyAlignment="1">
      <alignment horizontal="center" vertical="top"/>
    </xf>
    <xf numFmtId="9" fontId="11" fillId="16" borderId="14" xfId="0" applyNumberFormat="1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 vertical="top"/>
    </xf>
    <xf numFmtId="0" fontId="11" fillId="16" borderId="6" xfId="0" applyFont="1" applyFill="1" applyBorder="1" applyAlignment="1">
      <alignment horizontal="left"/>
    </xf>
    <xf numFmtId="9" fontId="11" fillId="16" borderId="1" xfId="0" applyNumberFormat="1" applyFont="1" applyFill="1" applyBorder="1" applyAlignment="1">
      <alignment horizontal="center"/>
    </xf>
    <xf numFmtId="0" fontId="27" fillId="16" borderId="1" xfId="0" applyFont="1" applyFill="1" applyBorder="1"/>
    <xf numFmtId="0" fontId="0" fillId="16" borderId="1" xfId="0" applyFill="1" applyBorder="1" applyAlignment="1">
      <alignment horizontal="left"/>
    </xf>
    <xf numFmtId="166" fontId="27" fillId="16" borderId="1" xfId="0" applyNumberFormat="1" applyFont="1" applyFill="1" applyBorder="1"/>
    <xf numFmtId="0" fontId="35" fillId="16" borderId="1" xfId="0" applyFont="1" applyFill="1" applyBorder="1" applyAlignment="1">
      <alignment horizontal="left"/>
    </xf>
    <xf numFmtId="165" fontId="5" fillId="16" borderId="11" xfId="0" applyNumberFormat="1" applyFont="1" applyFill="1" applyBorder="1"/>
    <xf numFmtId="9" fontId="11" fillId="16" borderId="4" xfId="0" applyNumberFormat="1" applyFont="1" applyFill="1" applyBorder="1" applyAlignment="1">
      <alignment horizontal="center" vertical="top"/>
    </xf>
    <xf numFmtId="0" fontId="0" fillId="16" borderId="4" xfId="0" applyFill="1" applyBorder="1" applyAlignment="1">
      <alignment horizontal="left"/>
    </xf>
    <xf numFmtId="165" fontId="18" fillId="16" borderId="1" xfId="0" applyNumberFormat="1" applyFont="1" applyFill="1" applyBorder="1"/>
    <xf numFmtId="9" fontId="0" fillId="0" borderId="5" xfId="0" applyNumberFormat="1" applyBorder="1"/>
    <xf numFmtId="0" fontId="25" fillId="5" borderId="4" xfId="0" applyFont="1" applyFill="1" applyBorder="1" applyAlignment="1">
      <alignment horizontal="left"/>
    </xf>
    <xf numFmtId="165" fontId="11" fillId="5" borderId="1" xfId="0" applyNumberFormat="1" applyFont="1" applyFill="1" applyBorder="1"/>
    <xf numFmtId="9" fontId="11" fillId="5" borderId="1" xfId="0" applyNumberFormat="1" applyFont="1" applyFill="1" applyBorder="1" applyAlignment="1">
      <alignment horizontal="center"/>
    </xf>
    <xf numFmtId="9" fontId="4" fillId="17" borderId="11" xfId="0" applyNumberFormat="1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15" xfId="0" applyFont="1" applyFill="1" applyBorder="1" applyAlignment="1">
      <alignment horizontal="center"/>
    </xf>
    <xf numFmtId="0" fontId="6" fillId="17" borderId="15" xfId="0" applyFont="1" applyFill="1" applyBorder="1" applyAlignment="1">
      <alignment horizontal="center" vertical="top"/>
    </xf>
    <xf numFmtId="0" fontId="0" fillId="0" borderId="6" xfId="0" applyBorder="1"/>
    <xf numFmtId="0" fontId="35" fillId="17" borderId="9" xfId="0" applyFont="1" applyFill="1" applyBorder="1" applyAlignment="1">
      <alignment horizontal="left"/>
    </xf>
    <xf numFmtId="165" fontId="5" fillId="17" borderId="2" xfId="0" applyNumberFormat="1" applyFont="1" applyFill="1" applyBorder="1"/>
    <xf numFmtId="165" fontId="18" fillId="17" borderId="6" xfId="0" applyNumberFormat="1" applyFont="1" applyFill="1" applyBorder="1"/>
    <xf numFmtId="165" fontId="6" fillId="17" borderId="6" xfId="0" applyNumberFormat="1" applyFont="1" applyFill="1" applyBorder="1"/>
    <xf numFmtId="0" fontId="5" fillId="16" borderId="6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wrapText="1"/>
    </xf>
    <xf numFmtId="0" fontId="6" fillId="17" borderId="4" xfId="0" applyFont="1" applyFill="1" applyBorder="1" applyAlignment="1">
      <alignment horizontal="center"/>
    </xf>
    <xf numFmtId="0" fontId="5" fillId="17" borderId="1" xfId="0" applyFont="1" applyFill="1" applyBorder="1"/>
    <xf numFmtId="0" fontId="6" fillId="17" borderId="8" xfId="0" applyFont="1" applyFill="1" applyBorder="1" applyAlignment="1">
      <alignment horizontal="left"/>
    </xf>
    <xf numFmtId="0" fontId="6" fillId="17" borderId="9" xfId="0" applyFont="1" applyFill="1" applyBorder="1" applyAlignment="1">
      <alignment horizontal="center"/>
    </xf>
    <xf numFmtId="0" fontId="5" fillId="17" borderId="5" xfId="0" applyFont="1" applyFill="1" applyBorder="1"/>
    <xf numFmtId="0" fontId="8" fillId="1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15" fillId="17" borderId="15" xfId="0" applyFont="1" applyFill="1" applyBorder="1" applyAlignment="1">
      <alignment horizontal="center"/>
    </xf>
    <xf numFmtId="0" fontId="5" fillId="0" borderId="6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0" fontId="5" fillId="0" borderId="5" xfId="0" applyFont="1" applyBorder="1"/>
    <xf numFmtId="165" fontId="6" fillId="0" borderId="1" xfId="0" applyNumberFormat="1" applyFont="1" applyBorder="1"/>
    <xf numFmtId="0" fontId="16" fillId="0" borderId="4" xfId="0" applyFont="1" applyBorder="1" applyAlignment="1">
      <alignment horizontal="center"/>
    </xf>
    <xf numFmtId="0" fontId="8" fillId="0" borderId="5" xfId="0" applyFont="1" applyBorder="1"/>
    <xf numFmtId="0" fontId="6" fillId="0" borderId="6" xfId="0" applyFont="1" applyBorder="1" applyAlignment="1">
      <alignment horizontal="center" vertical="top"/>
    </xf>
    <xf numFmtId="0" fontId="17" fillId="0" borderId="14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15" xfId="0" applyFont="1" applyFill="1" applyBorder="1" applyAlignment="1">
      <alignment horizontal="center"/>
    </xf>
    <xf numFmtId="165" fontId="6" fillId="4" borderId="15" xfId="0" applyNumberFormat="1" applyFont="1" applyFill="1" applyBorder="1" applyAlignment="1">
      <alignment horizontal="center"/>
    </xf>
    <xf numFmtId="3" fontId="6" fillId="4" borderId="15" xfId="0" applyNumberFormat="1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5" fillId="0" borderId="1" xfId="0" applyFont="1" applyBorder="1"/>
    <xf numFmtId="0" fontId="8" fillId="0" borderId="1" xfId="0" applyFont="1" applyBorder="1"/>
    <xf numFmtId="0" fontId="4" fillId="0" borderId="9" xfId="0" applyFont="1" applyBorder="1" applyAlignment="1">
      <alignment horizontal="center"/>
    </xf>
    <xf numFmtId="0" fontId="6" fillId="4" borderId="7" xfId="0" applyFont="1" applyFill="1" applyBorder="1" applyAlignment="1">
      <alignment horizontal="center" vertical="top"/>
    </xf>
    <xf numFmtId="165" fontId="6" fillId="4" borderId="6" xfId="0" applyNumberFormat="1" applyFont="1" applyFill="1" applyBorder="1" applyAlignment="1">
      <alignment horizontal="center"/>
    </xf>
    <xf numFmtId="3" fontId="6" fillId="4" borderId="7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165" fontId="6" fillId="0" borderId="4" xfId="0" applyNumberFormat="1" applyFont="1" applyBorder="1"/>
    <xf numFmtId="9" fontId="16" fillId="0" borderId="1" xfId="0" applyNumberFormat="1" applyFont="1" applyBorder="1" applyAlignment="1">
      <alignment horizontal="center"/>
    </xf>
    <xf numFmtId="165" fontId="16" fillId="0" borderId="1" xfId="0" applyNumberFormat="1" applyFont="1" applyBorder="1"/>
    <xf numFmtId="0" fontId="16" fillId="0" borderId="1" xfId="0" applyFont="1" applyBorder="1" applyAlignment="1">
      <alignment horizontal="center" vertical="center"/>
    </xf>
    <xf numFmtId="0" fontId="8" fillId="0" borderId="9" xfId="0" applyFont="1" applyBorder="1"/>
    <xf numFmtId="0" fontId="0" fillId="5" borderId="6" xfId="0" applyFill="1" applyBorder="1"/>
    <xf numFmtId="165" fontId="4" fillId="17" borderId="4" xfId="0" applyNumberFormat="1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 vertical="top"/>
    </xf>
    <xf numFmtId="165" fontId="5" fillId="17" borderId="9" xfId="0" applyNumberFormat="1" applyFont="1" applyFill="1" applyBorder="1"/>
    <xf numFmtId="0" fontId="9" fillId="10" borderId="9" xfId="0" applyFont="1" applyFill="1" applyBorder="1" applyAlignment="1">
      <alignment horizontal="center"/>
    </xf>
    <xf numFmtId="9" fontId="3" fillId="17" borderId="6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9" fontId="3" fillId="17" borderId="1" xfId="0" applyNumberFormat="1" applyFont="1" applyFill="1" applyBorder="1" applyAlignment="1">
      <alignment horizontal="center"/>
    </xf>
    <xf numFmtId="165" fontId="9" fillId="17" borderId="4" xfId="0" applyNumberFormat="1" applyFont="1" applyFill="1" applyBorder="1" applyAlignment="1">
      <alignment horizontal="center"/>
    </xf>
    <xf numFmtId="165" fontId="9" fillId="5" borderId="4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right"/>
    </xf>
    <xf numFmtId="0" fontId="5" fillId="18" borderId="5" xfId="0" applyFont="1" applyFill="1" applyBorder="1" applyAlignment="1">
      <alignment horizontal="right"/>
    </xf>
    <xf numFmtId="165" fontId="6" fillId="18" borderId="1" xfId="0" applyNumberFormat="1" applyFont="1" applyFill="1" applyBorder="1"/>
    <xf numFmtId="9" fontId="6" fillId="18" borderId="1" xfId="0" applyNumberFormat="1" applyFont="1" applyFill="1" applyBorder="1" applyAlignment="1">
      <alignment horizontal="center"/>
    </xf>
    <xf numFmtId="165" fontId="4" fillId="18" borderId="4" xfId="0" applyNumberFormat="1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6" fillId="0" borderId="5" xfId="0" applyFont="1" applyBorder="1"/>
    <xf numFmtId="165" fontId="4" fillId="9" borderId="4" xfId="0" applyNumberFormat="1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8" fillId="5" borderId="8" xfId="0" applyFont="1" applyFill="1" applyBorder="1"/>
    <xf numFmtId="0" fontId="6" fillId="17" borderId="9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5" fontId="4" fillId="0" borderId="4" xfId="0" applyNumberFormat="1" applyFont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9" fontId="6" fillId="9" borderId="4" xfId="0" applyNumberFormat="1" applyFont="1" applyFill="1" applyBorder="1" applyAlignment="1">
      <alignment horizontal="center"/>
    </xf>
    <xf numFmtId="0" fontId="27" fillId="17" borderId="0" xfId="0" applyFont="1" applyFill="1" applyAlignment="1">
      <alignment horizontal="center"/>
    </xf>
    <xf numFmtId="0" fontId="24" fillId="6" borderId="1" xfId="0" applyFont="1" applyFill="1" applyBorder="1" applyAlignment="1">
      <alignment horizontal="center"/>
    </xf>
    <xf numFmtId="10" fontId="11" fillId="17" borderId="2" xfId="0" applyNumberFormat="1" applyFont="1" applyFill="1" applyBorder="1" applyAlignment="1">
      <alignment horizontal="center"/>
    </xf>
    <xf numFmtId="10" fontId="29" fillId="17" borderId="2" xfId="0" applyNumberFormat="1" applyFont="1" applyFill="1" applyBorder="1" applyAlignment="1">
      <alignment horizontal="center"/>
    </xf>
    <xf numFmtId="0" fontId="8" fillId="0" borderId="13" xfId="0" applyFont="1" applyBorder="1"/>
    <xf numFmtId="165" fontId="6" fillId="0" borderId="2" xfId="0" applyNumberFormat="1" applyFont="1" applyBorder="1"/>
    <xf numFmtId="9" fontId="6" fillId="0" borderId="2" xfId="0" applyNumberFormat="1" applyFont="1" applyBorder="1" applyAlignment="1">
      <alignment horizontal="center"/>
    </xf>
    <xf numFmtId="165" fontId="5" fillId="0" borderId="4" xfId="0" applyNumberFormat="1" applyFont="1" applyBorder="1"/>
    <xf numFmtId="0" fontId="4" fillId="0" borderId="5" xfId="0" applyFont="1" applyBorder="1"/>
    <xf numFmtId="165" fontId="5" fillId="0" borderId="1" xfId="0" applyNumberFormat="1" applyFont="1" applyBorder="1"/>
    <xf numFmtId="9" fontId="7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right"/>
    </xf>
    <xf numFmtId="9" fontId="6" fillId="0" borderId="5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166" fontId="6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16" borderId="6" xfId="0" applyFont="1" applyFill="1" applyBorder="1" applyAlignment="1">
      <alignment wrapText="1"/>
    </xf>
    <xf numFmtId="0" fontId="4" fillId="9" borderId="1" xfId="0" applyFont="1" applyFill="1" applyBorder="1"/>
    <xf numFmtId="165" fontId="6" fillId="9" borderId="4" xfId="0" applyNumberFormat="1" applyFont="1" applyFill="1" applyBorder="1"/>
    <xf numFmtId="9" fontId="11" fillId="9" borderId="1" xfId="0" applyNumberFormat="1" applyFont="1" applyFill="1" applyBorder="1" applyAlignment="1">
      <alignment horizontal="center"/>
    </xf>
    <xf numFmtId="166" fontId="18" fillId="9" borderId="1" xfId="0" applyNumberFormat="1" applyFont="1" applyFill="1" applyBorder="1" applyAlignment="1">
      <alignment horizontal="right"/>
    </xf>
    <xf numFmtId="0" fontId="38" fillId="9" borderId="1" xfId="0" applyFont="1" applyFill="1" applyBorder="1"/>
    <xf numFmtId="165" fontId="6" fillId="9" borderId="8" xfId="0" applyNumberFormat="1" applyFont="1" applyFill="1" applyBorder="1"/>
    <xf numFmtId="165" fontId="11" fillId="9" borderId="1" xfId="0" applyNumberFormat="1" applyFont="1" applyFill="1" applyBorder="1"/>
    <xf numFmtId="9" fontId="11" fillId="9" borderId="5" xfId="0" applyNumberFormat="1" applyFont="1" applyFill="1" applyBorder="1" applyAlignment="1">
      <alignment horizontal="center"/>
    </xf>
    <xf numFmtId="166" fontId="11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 vertical="top"/>
    </xf>
    <xf numFmtId="9" fontId="6" fillId="17" borderId="1" xfId="0" applyNumberFormat="1" applyFont="1" applyFill="1" applyBorder="1"/>
    <xf numFmtId="9" fontId="4" fillId="16" borderId="11" xfId="0" applyNumberFormat="1" applyFont="1" applyFill="1" applyBorder="1" applyAlignment="1">
      <alignment horizontal="center"/>
    </xf>
    <xf numFmtId="9" fontId="7" fillId="5" borderId="4" xfId="0" applyNumberFormat="1" applyFont="1" applyFill="1" applyBorder="1" applyAlignment="1">
      <alignment horizontal="center"/>
    </xf>
    <xf numFmtId="9" fontId="7" fillId="17" borderId="1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wrapText="1"/>
    </xf>
    <xf numFmtId="166" fontId="6" fillId="5" borderId="1" xfId="0" applyNumberFormat="1" applyFont="1" applyFill="1" applyBorder="1" applyAlignment="1">
      <alignment horizontal="right"/>
    </xf>
    <xf numFmtId="0" fontId="5" fillId="5" borderId="5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left"/>
    </xf>
    <xf numFmtId="0" fontId="38" fillId="17" borderId="6" xfId="0" applyFont="1" applyFill="1" applyBorder="1"/>
    <xf numFmtId="0" fontId="38" fillId="17" borderId="1" xfId="0" applyFont="1" applyFill="1" applyBorder="1"/>
    <xf numFmtId="0" fontId="9" fillId="17" borderId="1" xfId="0" applyFont="1" applyFill="1" applyBorder="1"/>
    <xf numFmtId="166" fontId="6" fillId="17" borderId="9" xfId="0" applyNumberFormat="1" applyFont="1" applyFill="1" applyBorder="1"/>
    <xf numFmtId="165" fontId="5" fillId="17" borderId="5" xfId="0" applyNumberFormat="1" applyFont="1" applyFill="1" applyBorder="1"/>
    <xf numFmtId="0" fontId="31" fillId="0" borderId="2" xfId="0" applyFont="1" applyBorder="1" applyAlignment="1">
      <alignment horizontal="center"/>
    </xf>
    <xf numFmtId="9" fontId="29" fillId="16" borderId="1" xfId="0" applyNumberFormat="1" applyFont="1" applyFill="1" applyBorder="1" applyAlignment="1">
      <alignment horizontal="center"/>
    </xf>
    <xf numFmtId="165" fontId="32" fillId="5" borderId="1" xfId="0" applyNumberFormat="1" applyFont="1" applyFill="1" applyBorder="1" applyAlignment="1">
      <alignment horizontal="center"/>
    </xf>
    <xf numFmtId="0" fontId="6" fillId="17" borderId="5" xfId="0" applyFont="1" applyFill="1" applyBorder="1"/>
    <xf numFmtId="0" fontId="3" fillId="17" borderId="1" xfId="0" applyFont="1" applyFill="1" applyBorder="1" applyAlignment="1">
      <alignment horizontal="center"/>
    </xf>
    <xf numFmtId="165" fontId="6" fillId="17" borderId="4" xfId="0" applyNumberFormat="1" applyFont="1" applyFill="1" applyBorder="1" applyAlignment="1">
      <alignment horizontal="center"/>
    </xf>
    <xf numFmtId="0" fontId="39" fillId="17" borderId="0" xfId="0" applyFont="1" applyFill="1"/>
    <xf numFmtId="165" fontId="6" fillId="17" borderId="7" xfId="0" applyNumberFormat="1" applyFont="1" applyFill="1" applyBorder="1"/>
    <xf numFmtId="0" fontId="15" fillId="17" borderId="6" xfId="0" applyFont="1" applyFill="1" applyBorder="1" applyAlignment="1">
      <alignment horizontal="center"/>
    </xf>
    <xf numFmtId="165" fontId="40" fillId="17" borderId="0" xfId="0" applyNumberFormat="1" applyFont="1" applyFill="1"/>
    <xf numFmtId="166" fontId="11" fillId="17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left" wrapText="1"/>
    </xf>
    <xf numFmtId="0" fontId="8" fillId="0" borderId="7" xfId="0" applyFont="1" applyBorder="1"/>
    <xf numFmtId="165" fontId="6" fillId="0" borderId="8" xfId="0" applyNumberFormat="1" applyFont="1" applyBorder="1"/>
    <xf numFmtId="9" fontId="6" fillId="0" borderId="8" xfId="0" applyNumberFormat="1" applyFont="1" applyBorder="1" applyAlignment="1">
      <alignment horizontal="center"/>
    </xf>
    <xf numFmtId="165" fontId="6" fillId="17" borderId="5" xfId="0" applyNumberFormat="1" applyFont="1" applyFill="1" applyBorder="1"/>
    <xf numFmtId="9" fontId="7" fillId="16" borderId="4" xfId="0" applyNumberFormat="1" applyFont="1" applyFill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8" borderId="5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15" fillId="17" borderId="0" xfId="0" applyFont="1" applyFill="1"/>
    <xf numFmtId="0" fontId="11" fillId="5" borderId="1" xfId="0" applyFont="1" applyFill="1" applyBorder="1" applyAlignment="1">
      <alignment horizontal="center"/>
    </xf>
    <xf numFmtId="9" fontId="7" fillId="5" borderId="11" xfId="0" applyNumberFormat="1" applyFont="1" applyFill="1" applyBorder="1" applyAlignment="1">
      <alignment horizontal="center"/>
    </xf>
    <xf numFmtId="166" fontId="30" fillId="5" borderId="6" xfId="0" applyNumberFormat="1" applyFont="1" applyFill="1" applyBorder="1" applyAlignment="1">
      <alignment horizontal="right"/>
    </xf>
    <xf numFmtId="9" fontId="4" fillId="17" borderId="1" xfId="0" applyNumberFormat="1" applyFont="1" applyFill="1" applyBorder="1" applyAlignment="1">
      <alignment horizontal="center"/>
    </xf>
    <xf numFmtId="0" fontId="15" fillId="17" borderId="8" xfId="0" applyFont="1" applyFill="1" applyBorder="1"/>
    <xf numFmtId="165" fontId="40" fillId="17" borderId="1" xfId="0" applyNumberFormat="1" applyFont="1" applyFill="1" applyBorder="1"/>
    <xf numFmtId="0" fontId="6" fillId="8" borderId="1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6" fillId="17" borderId="11" xfId="0" applyNumberFormat="1" applyFont="1" applyFill="1" applyBorder="1"/>
    <xf numFmtId="0" fontId="35" fillId="0" borderId="0" xfId="0" applyFont="1"/>
    <xf numFmtId="0" fontId="6" fillId="8" borderId="13" xfId="0" applyFont="1" applyFill="1" applyBorder="1" applyAlignment="1">
      <alignment horizontal="center"/>
    </xf>
    <xf numFmtId="166" fontId="6" fillId="17" borderId="5" xfId="0" applyNumberFormat="1" applyFont="1" applyFill="1" applyBorder="1" applyAlignment="1">
      <alignment horizontal="center"/>
    </xf>
    <xf numFmtId="165" fontId="5" fillId="18" borderId="1" xfId="0" applyNumberFormat="1" applyFont="1" applyFill="1" applyBorder="1"/>
    <xf numFmtId="0" fontId="4" fillId="18" borderId="1" xfId="0" applyFont="1" applyFill="1" applyBorder="1" applyAlignment="1">
      <alignment horizontal="right"/>
    </xf>
    <xf numFmtId="0" fontId="6" fillId="17" borderId="6" xfId="0" applyFont="1" applyFill="1" applyBorder="1" applyAlignment="1">
      <alignment horizontal="center" vertical="center"/>
    </xf>
    <xf numFmtId="0" fontId="6" fillId="8" borderId="1" xfId="0" applyFont="1" applyFill="1" applyBorder="1"/>
    <xf numFmtId="0" fontId="2" fillId="19" borderId="11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18" fillId="17" borderId="1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 vertical="top"/>
    </xf>
    <xf numFmtId="9" fontId="4" fillId="17" borderId="12" xfId="0" applyNumberFormat="1" applyFont="1" applyFill="1" applyBorder="1" applyAlignment="1">
      <alignment horizontal="center"/>
    </xf>
    <xf numFmtId="0" fontId="11" fillId="17" borderId="1" xfId="0" applyFont="1" applyFill="1" applyBorder="1"/>
    <xf numFmtId="9" fontId="4" fillId="17" borderId="7" xfId="0" applyNumberFormat="1" applyFont="1" applyFill="1" applyBorder="1" applyAlignment="1">
      <alignment horizontal="center"/>
    </xf>
    <xf numFmtId="9" fontId="27" fillId="17" borderId="7" xfId="0" applyNumberFormat="1" applyFont="1" applyFill="1" applyBorder="1" applyAlignment="1">
      <alignment horizontal="center"/>
    </xf>
    <xf numFmtId="165" fontId="18" fillId="17" borderId="5" xfId="0" applyNumberFormat="1" applyFont="1" applyFill="1" applyBorder="1"/>
    <xf numFmtId="0" fontId="25" fillId="17" borderId="8" xfId="0" applyFont="1" applyFill="1" applyBorder="1" applyAlignment="1">
      <alignment horizontal="left"/>
    </xf>
    <xf numFmtId="165" fontId="6" fillId="17" borderId="14" xfId="0" applyNumberFormat="1" applyFont="1" applyFill="1" applyBorder="1"/>
    <xf numFmtId="165" fontId="6" fillId="16" borderId="7" xfId="0" applyNumberFormat="1" applyFont="1" applyFill="1" applyBorder="1"/>
    <xf numFmtId="0" fontId="25" fillId="16" borderId="4" xfId="0" applyFont="1" applyFill="1" applyBorder="1" applyAlignment="1">
      <alignment horizontal="left"/>
    </xf>
    <xf numFmtId="165" fontId="6" fillId="16" borderId="5" xfId="0" applyNumberFormat="1" applyFont="1" applyFill="1" applyBorder="1"/>
    <xf numFmtId="165" fontId="40" fillId="16" borderId="6" xfId="0" applyNumberFormat="1" applyFont="1" applyFill="1" applyBorder="1"/>
    <xf numFmtId="0" fontId="25" fillId="16" borderId="8" xfId="0" applyFont="1" applyFill="1" applyBorder="1" applyAlignment="1">
      <alignment horizontal="left"/>
    </xf>
    <xf numFmtId="165" fontId="18" fillId="16" borderId="5" xfId="0" applyNumberFormat="1" applyFont="1" applyFill="1" applyBorder="1"/>
    <xf numFmtId="0" fontId="8" fillId="17" borderId="9" xfId="0" applyFont="1" applyFill="1" applyBorder="1" applyAlignment="1">
      <alignment horizontal="left" wrapText="1"/>
    </xf>
    <xf numFmtId="166" fontId="34" fillId="5" borderId="1" xfId="0" applyNumberFormat="1" applyFont="1" applyFill="1" applyBorder="1" applyAlignment="1">
      <alignment horizontal="right"/>
    </xf>
    <xf numFmtId="0" fontId="4" fillId="16" borderId="15" xfId="0" applyFont="1" applyFill="1" applyBorder="1" applyAlignment="1">
      <alignment horizontal="center" vertical="top"/>
    </xf>
    <xf numFmtId="0" fontId="6" fillId="17" borderId="4" xfId="0" applyFont="1" applyFill="1" applyBorder="1"/>
    <xf numFmtId="0" fontId="3" fillId="8" borderId="3" xfId="0" applyFont="1" applyFill="1" applyBorder="1"/>
    <xf numFmtId="0" fontId="5" fillId="5" borderId="1" xfId="0" applyFont="1" applyFill="1" applyBorder="1" applyAlignment="1">
      <alignment horizontal="center" vertical="top"/>
    </xf>
    <xf numFmtId="0" fontId="4" fillId="17" borderId="6" xfId="0" applyFont="1" applyFill="1" applyBorder="1" applyAlignment="1">
      <alignment horizontal="center" vertical="top"/>
    </xf>
    <xf numFmtId="0" fontId="4" fillId="17" borderId="15" xfId="0" applyFont="1" applyFill="1" applyBorder="1"/>
    <xf numFmtId="9" fontId="29" fillId="5" borderId="5" xfId="0" applyNumberFormat="1" applyFont="1" applyFill="1" applyBorder="1" applyAlignment="1">
      <alignment horizontal="center"/>
    </xf>
    <xf numFmtId="165" fontId="6" fillId="5" borderId="7" xfId="0" applyNumberFormat="1" applyFont="1" applyFill="1" applyBorder="1"/>
    <xf numFmtId="0" fontId="31" fillId="6" borderId="5" xfId="0" applyFont="1" applyFill="1" applyBorder="1" applyAlignment="1">
      <alignment horizontal="center"/>
    </xf>
    <xf numFmtId="0" fontId="27" fillId="17" borderId="8" xfId="0" applyFont="1" applyFill="1" applyBorder="1" applyAlignment="1">
      <alignment horizontal="center"/>
    </xf>
    <xf numFmtId="0" fontId="27" fillId="17" borderId="1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9" fontId="6" fillId="17" borderId="7" xfId="0" applyNumberFormat="1" applyFont="1" applyFill="1" applyBorder="1" applyAlignment="1">
      <alignment horizontal="center"/>
    </xf>
    <xf numFmtId="9" fontId="6" fillId="16" borderId="7" xfId="0" applyNumberFormat="1" applyFont="1" applyFill="1" applyBorder="1" applyAlignment="1">
      <alignment horizontal="center"/>
    </xf>
    <xf numFmtId="165" fontId="5" fillId="16" borderId="8" xfId="0" applyNumberFormat="1" applyFont="1" applyFill="1" applyBorder="1"/>
    <xf numFmtId="9" fontId="6" fillId="16" borderId="6" xfId="0" applyNumberFormat="1" applyFont="1" applyFill="1" applyBorder="1" applyAlignment="1">
      <alignment horizontal="center"/>
    </xf>
    <xf numFmtId="166" fontId="6" fillId="16" borderId="6" xfId="0" applyNumberFormat="1" applyFont="1" applyFill="1" applyBorder="1" applyAlignment="1">
      <alignment horizontal="right"/>
    </xf>
    <xf numFmtId="0" fontId="5" fillId="16" borderId="7" xfId="0" applyFont="1" applyFill="1" applyBorder="1" applyAlignment="1">
      <alignment horizontal="center"/>
    </xf>
    <xf numFmtId="9" fontId="7" fillId="16" borderId="11" xfId="0" applyNumberFormat="1" applyFont="1" applyFill="1" applyBorder="1" applyAlignment="1">
      <alignment horizontal="center"/>
    </xf>
    <xf numFmtId="165" fontId="5" fillId="17" borderId="8" xfId="0" applyNumberFormat="1" applyFont="1" applyFill="1" applyBorder="1"/>
    <xf numFmtId="9" fontId="6" fillId="17" borderId="6" xfId="0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6" xfId="0" applyFont="1" applyBorder="1"/>
    <xf numFmtId="167" fontId="6" fillId="0" borderId="1" xfId="0" applyNumberFormat="1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0" fontId="6" fillId="0" borderId="6" xfId="0" applyFont="1" applyBorder="1"/>
    <xf numFmtId="0" fontId="11" fillId="0" borderId="6" xfId="0" applyFont="1" applyBorder="1" applyAlignment="1">
      <alignment horizontal="center"/>
    </xf>
    <xf numFmtId="0" fontId="6" fillId="19" borderId="7" xfId="0" applyFont="1" applyFill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41" fillId="16" borderId="9" xfId="0" applyFont="1" applyFill="1" applyBorder="1" applyAlignment="1">
      <alignment horizontal="center" vertical="center"/>
    </xf>
    <xf numFmtId="0" fontId="5" fillId="17" borderId="6" xfId="0" applyFont="1" applyFill="1" applyBorder="1"/>
    <xf numFmtId="0" fontId="10" fillId="17" borderId="6" xfId="0" applyFont="1" applyFill="1" applyBorder="1"/>
    <xf numFmtId="166" fontId="36" fillId="5" borderId="1" xfId="0" applyNumberFormat="1" applyFont="1" applyFill="1" applyBorder="1"/>
    <xf numFmtId="0" fontId="3" fillId="4" borderId="13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165" fontId="6" fillId="10" borderId="1" xfId="0" applyNumberFormat="1" applyFont="1" applyFill="1" applyBorder="1"/>
    <xf numFmtId="9" fontId="6" fillId="10" borderId="1" xfId="0" applyNumberFormat="1" applyFont="1" applyFill="1" applyBorder="1" applyAlignment="1">
      <alignment horizontal="center"/>
    </xf>
    <xf numFmtId="165" fontId="4" fillId="10" borderId="4" xfId="0" applyNumberFormat="1" applyFont="1" applyFill="1" applyBorder="1" applyAlignment="1">
      <alignment horizontal="center"/>
    </xf>
    <xf numFmtId="0" fontId="4" fillId="17" borderId="7" xfId="0" applyFont="1" applyFill="1" applyBorder="1"/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left"/>
    </xf>
    <xf numFmtId="166" fontId="6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4" fillId="9" borderId="6" xfId="0" applyNumberFormat="1" applyFont="1" applyFill="1" applyBorder="1" applyAlignment="1">
      <alignment horizontal="center"/>
    </xf>
    <xf numFmtId="165" fontId="5" fillId="20" borderId="1" xfId="0" applyNumberFormat="1" applyFont="1" applyFill="1" applyBorder="1"/>
    <xf numFmtId="9" fontId="6" fillId="20" borderId="1" xfId="0" applyNumberFormat="1" applyFont="1" applyFill="1" applyBorder="1" applyAlignment="1">
      <alignment horizontal="center"/>
    </xf>
    <xf numFmtId="165" fontId="4" fillId="20" borderId="4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top"/>
    </xf>
    <xf numFmtId="166" fontId="18" fillId="0" borderId="1" xfId="0" applyNumberFormat="1" applyFont="1" applyBorder="1" applyAlignment="1">
      <alignment horizontal="right"/>
    </xf>
    <xf numFmtId="0" fontId="4" fillId="16" borderId="6" xfId="0" applyFont="1" applyFill="1" applyBorder="1" applyAlignment="1">
      <alignment horizontal="center" vertical="top"/>
    </xf>
    <xf numFmtId="9" fontId="11" fillId="0" borderId="1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top"/>
    </xf>
    <xf numFmtId="9" fontId="11" fillId="0" borderId="15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9" fontId="7" fillId="0" borderId="10" xfId="0" applyNumberFormat="1" applyFont="1" applyBorder="1" applyAlignment="1">
      <alignment horizontal="center"/>
    </xf>
    <xf numFmtId="0" fontId="8" fillId="0" borderId="10" xfId="0" applyFont="1" applyBorder="1"/>
    <xf numFmtId="165" fontId="8" fillId="0" borderId="9" xfId="0" applyNumberFormat="1" applyFont="1" applyBorder="1"/>
    <xf numFmtId="9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17" borderId="6" xfId="0" applyFont="1" applyFill="1" applyBorder="1" applyAlignment="1">
      <alignment horizontal="center" vertical="top" wrapText="1"/>
    </xf>
    <xf numFmtId="0" fontId="11" fillId="17" borderId="6" xfId="0" applyFont="1" applyFill="1" applyBorder="1" applyAlignment="1">
      <alignment horizontal="center" vertical="top"/>
    </xf>
    <xf numFmtId="9" fontId="11" fillId="17" borderId="11" xfId="0" applyNumberFormat="1" applyFont="1" applyFill="1" applyBorder="1" applyAlignment="1">
      <alignment horizontal="center"/>
    </xf>
    <xf numFmtId="0" fontId="27" fillId="17" borderId="6" xfId="0" applyFont="1" applyFill="1" applyBorder="1"/>
    <xf numFmtId="165" fontId="18" fillId="17" borderId="4" xfId="0" applyNumberFormat="1" applyFont="1" applyFill="1" applyBorder="1"/>
    <xf numFmtId="0" fontId="11" fillId="17" borderId="2" xfId="0" applyFont="1" applyFill="1" applyBorder="1" applyAlignment="1">
      <alignment horizontal="center" vertical="top"/>
    </xf>
    <xf numFmtId="9" fontId="11" fillId="17" borderId="4" xfId="0" applyNumberFormat="1" applyFont="1" applyFill="1" applyBorder="1" applyAlignment="1">
      <alignment horizontal="center"/>
    </xf>
    <xf numFmtId="0" fontId="11" fillId="17" borderId="6" xfId="0" applyFont="1" applyFill="1" applyBorder="1"/>
    <xf numFmtId="0" fontId="11" fillId="17" borderId="1" xfId="0" applyFont="1" applyFill="1" applyBorder="1" applyAlignment="1">
      <alignment horizontal="center" vertical="top"/>
    </xf>
    <xf numFmtId="9" fontId="11" fillId="17" borderId="9" xfId="0" applyNumberFormat="1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 vertical="top" wrapText="1"/>
    </xf>
    <xf numFmtId="0" fontId="27" fillId="17" borderId="1" xfId="0" applyFont="1" applyFill="1" applyBorder="1" applyAlignment="1">
      <alignment horizontal="center" vertical="top"/>
    </xf>
    <xf numFmtId="165" fontId="11" fillId="17" borderId="4" xfId="0" applyNumberFormat="1" applyFont="1" applyFill="1" applyBorder="1"/>
    <xf numFmtId="0" fontId="27" fillId="17" borderId="6" xfId="0" applyFont="1" applyFill="1" applyBorder="1" applyAlignment="1">
      <alignment horizontal="center" vertical="top"/>
    </xf>
    <xf numFmtId="0" fontId="27" fillId="0" borderId="6" xfId="0" applyFont="1" applyBorder="1" applyAlignment="1">
      <alignment horizontal="center" vertical="top"/>
    </xf>
    <xf numFmtId="9" fontId="11" fillId="0" borderId="4" xfId="0" applyNumberFormat="1" applyFont="1" applyBorder="1" applyAlignment="1">
      <alignment horizontal="center"/>
    </xf>
    <xf numFmtId="0" fontId="27" fillId="0" borderId="6" xfId="0" applyFont="1" applyBorder="1"/>
    <xf numFmtId="165" fontId="18" fillId="0" borderId="1" xfId="0" applyNumberFormat="1" applyFont="1" applyBorder="1"/>
    <xf numFmtId="165" fontId="34" fillId="0" borderId="1" xfId="0" applyNumberFormat="1" applyFont="1" applyBorder="1"/>
    <xf numFmtId="9" fontId="29" fillId="17" borderId="11" xfId="0" applyNumberFormat="1" applyFont="1" applyFill="1" applyBorder="1" applyAlignment="1">
      <alignment horizontal="center"/>
    </xf>
    <xf numFmtId="166" fontId="30" fillId="0" borderId="1" xfId="0" applyNumberFormat="1" applyFont="1" applyBorder="1" applyAlignment="1">
      <alignment horizontal="right"/>
    </xf>
    <xf numFmtId="0" fontId="42" fillId="10" borderId="4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6" fillId="17" borderId="6" xfId="0" applyFont="1" applyFill="1" applyBorder="1" applyAlignment="1">
      <alignment horizontal="center"/>
    </xf>
    <xf numFmtId="9" fontId="7" fillId="17" borderId="9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/>
    </xf>
    <xf numFmtId="166" fontId="15" fillId="17" borderId="1" xfId="0" applyNumberFormat="1" applyFont="1" applyFill="1" applyBorder="1" applyAlignment="1">
      <alignment horizontal="right"/>
    </xf>
    <xf numFmtId="166" fontId="15" fillId="17" borderId="0" xfId="0" applyNumberFormat="1" applyFont="1" applyFill="1" applyAlignment="1">
      <alignment horizontal="right"/>
    </xf>
    <xf numFmtId="0" fontId="11" fillId="0" borderId="6" xfId="0" applyFont="1" applyBorder="1" applyAlignment="1">
      <alignment horizontal="center" vertical="top"/>
    </xf>
    <xf numFmtId="0" fontId="11" fillId="0" borderId="6" xfId="0" applyFont="1" applyBorder="1"/>
    <xf numFmtId="165" fontId="11" fillId="0" borderId="1" xfId="0" applyNumberFormat="1" applyFont="1" applyBorder="1"/>
    <xf numFmtId="165" fontId="31" fillId="9" borderId="1" xfId="0" applyNumberFormat="1" applyFont="1" applyFill="1" applyBorder="1"/>
    <xf numFmtId="0" fontId="35" fillId="9" borderId="3" xfId="0" applyFont="1" applyFill="1" applyBorder="1"/>
    <xf numFmtId="0" fontId="35" fillId="9" borderId="0" xfId="0" applyFont="1" applyFill="1"/>
    <xf numFmtId="0" fontId="0" fillId="9" borderId="0" xfId="0" applyFill="1"/>
    <xf numFmtId="165" fontId="36" fillId="9" borderId="1" xfId="0" applyNumberFormat="1" applyFont="1" applyFill="1" applyBorder="1" applyAlignment="1">
      <alignment horizontal="center"/>
    </xf>
    <xf numFmtId="165" fontId="36" fillId="9" borderId="4" xfId="0" applyNumberFormat="1" applyFont="1" applyFill="1" applyBorder="1" applyAlignment="1">
      <alignment horizontal="center"/>
    </xf>
    <xf numFmtId="0" fontId="8" fillId="16" borderId="1" xfId="0" applyFont="1" applyFill="1" applyBorder="1" applyAlignment="1">
      <alignment horizontal="left" wrapText="1"/>
    </xf>
    <xf numFmtId="9" fontId="11" fillId="16" borderId="4" xfId="0" applyNumberFormat="1" applyFont="1" applyFill="1" applyBorder="1" applyAlignment="1">
      <alignment horizontal="center"/>
    </xf>
    <xf numFmtId="165" fontId="11" fillId="16" borderId="4" xfId="0" applyNumberFormat="1" applyFont="1" applyFill="1" applyBorder="1"/>
    <xf numFmtId="9" fontId="29" fillId="17" borderId="4" xfId="0" applyNumberFormat="1" applyFont="1" applyFill="1" applyBorder="1" applyAlignment="1">
      <alignment horizontal="center"/>
    </xf>
    <xf numFmtId="0" fontId="11" fillId="22" borderId="1" xfId="0" applyFont="1" applyFill="1" applyBorder="1"/>
    <xf numFmtId="6" fontId="11" fillId="22" borderId="1" xfId="0" applyNumberFormat="1" applyFont="1" applyFill="1" applyBorder="1"/>
    <xf numFmtId="0" fontId="11" fillId="22" borderId="2" xfId="0" applyFont="1" applyFill="1" applyBorder="1"/>
    <xf numFmtId="10" fontId="11" fillId="22" borderId="2" xfId="0" applyNumberFormat="1" applyFont="1" applyFill="1" applyBorder="1"/>
    <xf numFmtId="10" fontId="29" fillId="22" borderId="2" xfId="0" applyNumberFormat="1" applyFont="1" applyFill="1" applyBorder="1"/>
    <xf numFmtId="0" fontId="11" fillId="22" borderId="6" xfId="0" applyFont="1" applyFill="1" applyBorder="1"/>
    <xf numFmtId="6" fontId="11" fillId="22" borderId="6" xfId="0" applyNumberFormat="1" applyFont="1" applyFill="1" applyBorder="1"/>
    <xf numFmtId="0" fontId="5" fillId="22" borderId="1" xfId="0" applyFont="1" applyFill="1" applyBorder="1"/>
    <xf numFmtId="6" fontId="5" fillId="22" borderId="4" xfId="0" applyNumberFormat="1" applyFont="1" applyFill="1" applyBorder="1"/>
    <xf numFmtId="6" fontId="6" fillId="22" borderId="1" xfId="0" applyNumberFormat="1" applyFont="1" applyFill="1" applyBorder="1"/>
    <xf numFmtId="9" fontId="11" fillId="22" borderId="1" xfId="0" applyNumberFormat="1" applyFont="1" applyFill="1" applyBorder="1" applyAlignment="1">
      <alignment horizontal="center"/>
    </xf>
    <xf numFmtId="9" fontId="29" fillId="22" borderId="1" xfId="0" applyNumberFormat="1" applyFont="1" applyFill="1" applyBorder="1" applyAlignment="1">
      <alignment horizontal="center"/>
    </xf>
    <xf numFmtId="6" fontId="18" fillId="22" borderId="1" xfId="0" applyNumberFormat="1" applyFont="1" applyFill="1" applyBorder="1" applyAlignment="1">
      <alignment horizontal="center"/>
    </xf>
    <xf numFmtId="9" fontId="29" fillId="22" borderId="2" xfId="0" applyNumberFormat="1" applyFont="1" applyFill="1" applyBorder="1" applyAlignment="1">
      <alignment horizontal="center"/>
    </xf>
    <xf numFmtId="0" fontId="5" fillId="22" borderId="13" xfId="0" applyFont="1" applyFill="1" applyBorder="1"/>
    <xf numFmtId="6" fontId="6" fillId="22" borderId="13" xfId="0" applyNumberFormat="1" applyFont="1" applyFill="1" applyBorder="1"/>
    <xf numFmtId="6" fontId="18" fillId="22" borderId="2" xfId="0" applyNumberFormat="1" applyFont="1" applyFill="1" applyBorder="1" applyAlignment="1">
      <alignment horizontal="center"/>
    </xf>
    <xf numFmtId="165" fontId="36" fillId="17" borderId="1" xfId="0" applyNumberFormat="1" applyFont="1" applyFill="1" applyBorder="1" applyAlignment="1">
      <alignment horizontal="center"/>
    </xf>
    <xf numFmtId="3" fontId="40" fillId="9" borderId="0" xfId="0" applyNumberFormat="1" applyFont="1" applyFill="1"/>
    <xf numFmtId="0" fontId="11" fillId="22" borderId="1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11" fillId="22" borderId="15" xfId="0" applyFont="1" applyFill="1" applyBorder="1" applyAlignment="1">
      <alignment horizontal="center"/>
    </xf>
    <xf numFmtId="0" fontId="42" fillId="0" borderId="0" xfId="0" applyFont="1"/>
    <xf numFmtId="0" fontId="6" fillId="17" borderId="13" xfId="0" applyFont="1" applyFill="1" applyBorder="1" applyAlignment="1">
      <alignment horizontal="center" vertical="top" wrapText="1"/>
    </xf>
    <xf numFmtId="0" fontId="27" fillId="0" borderId="1" xfId="0" applyFont="1" applyBorder="1"/>
    <xf numFmtId="0" fontId="44" fillId="0" borderId="1" xfId="0" applyFont="1" applyBorder="1"/>
    <xf numFmtId="0" fontId="44" fillId="17" borderId="1" xfId="0" applyFont="1" applyFill="1" applyBorder="1"/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165" fontId="5" fillId="0" borderId="7" xfId="0" applyNumberFormat="1" applyFont="1" applyBorder="1" applyAlignment="1">
      <alignment horizontal="right"/>
    </xf>
    <xf numFmtId="3" fontId="8" fillId="0" borderId="6" xfId="0" applyNumberFormat="1" applyFont="1" applyBorder="1" applyAlignment="1">
      <alignment horizontal="center"/>
    </xf>
    <xf numFmtId="165" fontId="5" fillId="0" borderId="6" xfId="0" applyNumberFormat="1" applyFont="1" applyBorder="1"/>
    <xf numFmtId="0" fontId="8" fillId="0" borderId="6" xfId="0" applyFont="1" applyBorder="1" applyAlignment="1">
      <alignment horizontal="center" vertical="center"/>
    </xf>
    <xf numFmtId="0" fontId="11" fillId="17" borderId="1" xfId="0" applyFont="1" applyFill="1" applyBorder="1" applyAlignment="1">
      <alignment horizontal="center" wrapText="1"/>
    </xf>
    <xf numFmtId="9" fontId="6" fillId="17" borderId="14" xfId="0" applyNumberFormat="1" applyFont="1" applyFill="1" applyBorder="1" applyAlignment="1">
      <alignment horizontal="center"/>
    </xf>
    <xf numFmtId="0" fontId="6" fillId="17" borderId="8" xfId="0" applyFont="1" applyFill="1" applyBorder="1"/>
    <xf numFmtId="0" fontId="44" fillId="23" borderId="1" xfId="0" applyFont="1" applyFill="1" applyBorder="1"/>
    <xf numFmtId="0" fontId="44" fillId="16" borderId="1" xfId="0" applyFont="1" applyFill="1" applyBorder="1"/>
    <xf numFmtId="0" fontId="15" fillId="16" borderId="6" xfId="0" applyFont="1" applyFill="1" applyBorder="1" applyAlignment="1">
      <alignment horizontal="center"/>
    </xf>
    <xf numFmtId="9" fontId="7" fillId="16" borderId="9" xfId="0" applyNumberFormat="1" applyFont="1" applyFill="1" applyBorder="1" applyAlignment="1">
      <alignment horizontal="center"/>
    </xf>
    <xf numFmtId="166" fontId="6" fillId="0" borderId="11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45" fillId="0" borderId="2" xfId="0" applyFont="1" applyBorder="1"/>
    <xf numFmtId="0" fontId="44" fillId="17" borderId="2" xfId="0" applyFont="1" applyFill="1" applyBorder="1"/>
    <xf numFmtId="0" fontId="27" fillId="16" borderId="8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30" fillId="5" borderId="6" xfId="0" applyNumberFormat="1" applyFont="1" applyFill="1" applyBorder="1"/>
    <xf numFmtId="165" fontId="31" fillId="0" borderId="1" xfId="0" applyNumberFormat="1" applyFont="1" applyBorder="1"/>
    <xf numFmtId="0" fontId="1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9" fontId="8" fillId="0" borderId="1" xfId="0" applyNumberFormat="1" applyFont="1" applyBorder="1" applyAlignment="1">
      <alignment horizontal="center"/>
    </xf>
    <xf numFmtId="0" fontId="8" fillId="0" borderId="4" xfId="0" applyFont="1" applyBorder="1"/>
    <xf numFmtId="3" fontId="8" fillId="0" borderId="9" xfId="0" applyNumberFormat="1" applyFont="1" applyBorder="1"/>
    <xf numFmtId="0" fontId="6" fillId="17" borderId="0" xfId="0" applyFont="1" applyFill="1"/>
    <xf numFmtId="0" fontId="6" fillId="17" borderId="9" xfId="0" applyFont="1" applyFill="1" applyBorder="1"/>
    <xf numFmtId="0" fontId="6" fillId="17" borderId="1" xfId="0" applyFont="1" applyFill="1" applyBorder="1" applyAlignment="1">
      <alignment horizontal="center" vertical="top" wrapText="1"/>
    </xf>
    <xf numFmtId="0" fontId="5" fillId="5" borderId="5" xfId="0" applyFont="1" applyFill="1" applyBorder="1"/>
    <xf numFmtId="0" fontId="11" fillId="17" borderId="2" xfId="0" applyFont="1" applyFill="1" applyBorder="1" applyAlignment="1">
      <alignment horizontal="center" wrapText="1"/>
    </xf>
    <xf numFmtId="0" fontId="15" fillId="5" borderId="6" xfId="0" applyFont="1" applyFill="1" applyBorder="1" applyAlignment="1">
      <alignment horizontal="center"/>
    </xf>
    <xf numFmtId="0" fontId="11" fillId="22" borderId="5" xfId="0" applyFont="1" applyFill="1" applyBorder="1"/>
    <xf numFmtId="6" fontId="11" fillId="22" borderId="4" xfId="0" applyNumberFormat="1" applyFont="1" applyFill="1" applyBorder="1"/>
    <xf numFmtId="9" fontId="11" fillId="22" borderId="5" xfId="0" applyNumberFormat="1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15" fillId="22" borderId="8" xfId="0" applyFont="1" applyFill="1" applyBorder="1"/>
    <xf numFmtId="0" fontId="15" fillId="22" borderId="6" xfId="0" applyFont="1" applyFill="1" applyBorder="1"/>
    <xf numFmtId="6" fontId="11" fillId="22" borderId="11" xfId="0" applyNumberFormat="1" applyFont="1" applyFill="1" applyBorder="1"/>
    <xf numFmtId="0" fontId="15" fillId="22" borderId="2" xfId="0" applyFont="1" applyFill="1" applyBorder="1"/>
    <xf numFmtId="0" fontId="11" fillId="22" borderId="4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6" fontId="11" fillId="22" borderId="14" xfId="0" applyNumberFormat="1" applyFont="1" applyFill="1" applyBorder="1"/>
    <xf numFmtId="165" fontId="6" fillId="0" borderId="5" xfId="0" applyNumberFormat="1" applyFont="1" applyBorder="1"/>
    <xf numFmtId="9" fontId="7" fillId="17" borderId="8" xfId="0" applyNumberFormat="1" applyFont="1" applyFill="1" applyBorder="1" applyAlignment="1">
      <alignment horizontal="center"/>
    </xf>
    <xf numFmtId="9" fontId="29" fillId="22" borderId="5" xfId="0" applyNumberFormat="1" applyFont="1" applyFill="1" applyBorder="1" applyAlignment="1">
      <alignment horizontal="center"/>
    </xf>
    <xf numFmtId="0" fontId="48" fillId="17" borderId="1" xfId="0" applyFont="1" applyFill="1" applyBorder="1" applyAlignment="1">
      <alignment horizontal="center"/>
    </xf>
    <xf numFmtId="0" fontId="3" fillId="17" borderId="6" xfId="0" applyFont="1" applyFill="1" applyBorder="1" applyAlignment="1">
      <alignment horizontal="center"/>
    </xf>
    <xf numFmtId="0" fontId="48" fillId="16" borderId="6" xfId="0" applyFont="1" applyFill="1" applyBorder="1" applyAlignment="1">
      <alignment horizontal="center"/>
    </xf>
    <xf numFmtId="9" fontId="6" fillId="16" borderId="8" xfId="0" applyNumberFormat="1" applyFont="1" applyFill="1" applyBorder="1" applyAlignment="1">
      <alignment horizontal="center"/>
    </xf>
    <xf numFmtId="0" fontId="44" fillId="0" borderId="2" xfId="0" applyFont="1" applyBorder="1"/>
    <xf numFmtId="9" fontId="11" fillId="0" borderId="5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right"/>
    </xf>
    <xf numFmtId="0" fontId="11" fillId="0" borderId="1" xfId="0" applyFont="1" applyBorder="1"/>
    <xf numFmtId="6" fontId="11" fillId="0" borderId="1" xfId="0" applyNumberFormat="1" applyFont="1" applyBorder="1"/>
    <xf numFmtId="9" fontId="11" fillId="0" borderId="11" xfId="0" applyNumberFormat="1" applyFont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9" fontId="6" fillId="17" borderId="6" xfId="0" applyNumberFormat="1" applyFont="1" applyFill="1" applyBorder="1" applyAlignment="1">
      <alignment horizontal="center" vertical="top"/>
    </xf>
    <xf numFmtId="0" fontId="11" fillId="22" borderId="5" xfId="0" applyFont="1" applyFill="1" applyBorder="1" applyAlignment="1">
      <alignment horizontal="center"/>
    </xf>
    <xf numFmtId="0" fontId="48" fillId="22" borderId="0" xfId="0" applyFont="1" applyFill="1" applyAlignment="1">
      <alignment horizontal="center"/>
    </xf>
    <xf numFmtId="0" fontId="48" fillId="22" borderId="1" xfId="0" applyFont="1" applyFill="1" applyBorder="1" applyAlignment="1">
      <alignment horizontal="center"/>
    </xf>
    <xf numFmtId="9" fontId="11" fillId="22" borderId="4" xfId="0" applyNumberFormat="1" applyFont="1" applyFill="1" applyBorder="1" applyAlignment="1">
      <alignment horizontal="center"/>
    </xf>
    <xf numFmtId="0" fontId="15" fillId="22" borderId="8" xfId="0" applyFont="1" applyFill="1" applyBorder="1" applyAlignment="1">
      <alignment horizontal="center"/>
    </xf>
    <xf numFmtId="0" fontId="15" fillId="22" borderId="1" xfId="0" applyFont="1" applyFill="1" applyBorder="1"/>
    <xf numFmtId="165" fontId="18" fillId="0" borderId="4" xfId="0" applyNumberFormat="1" applyFont="1" applyBorder="1"/>
    <xf numFmtId="0" fontId="15" fillId="22" borderId="0" xfId="0" applyFont="1" applyFill="1" applyAlignment="1">
      <alignment horizontal="center"/>
    </xf>
    <xf numFmtId="0" fontId="11" fillId="22" borderId="14" xfId="0" applyFont="1" applyFill="1" applyBorder="1"/>
    <xf numFmtId="9" fontId="11" fillId="22" borderId="13" xfId="0" applyNumberFormat="1" applyFont="1" applyFill="1" applyBorder="1" applyAlignment="1">
      <alignment horizontal="center"/>
    </xf>
    <xf numFmtId="0" fontId="15" fillId="17" borderId="8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50" fillId="0" borderId="0" xfId="0" applyFont="1"/>
    <xf numFmtId="0" fontId="15" fillId="22" borderId="1" xfId="0" applyFont="1" applyFill="1" applyBorder="1" applyAlignment="1">
      <alignment horizontal="center"/>
    </xf>
    <xf numFmtId="0" fontId="51" fillId="9" borderId="0" xfId="0" applyFont="1" applyFill="1"/>
    <xf numFmtId="0" fontId="52" fillId="9" borderId="0" xfId="0" applyFont="1" applyFill="1"/>
    <xf numFmtId="0" fontId="44" fillId="16" borderId="2" xfId="0" applyFont="1" applyFill="1" applyBorder="1"/>
    <xf numFmtId="0" fontId="5" fillId="17" borderId="9" xfId="0" applyFont="1" applyFill="1" applyBorder="1" applyAlignment="1">
      <alignment horizontal="left"/>
    </xf>
    <xf numFmtId="0" fontId="6" fillId="0" borderId="5" xfId="0" applyFont="1" applyBorder="1"/>
    <xf numFmtId="0" fontId="6" fillId="0" borderId="1" xfId="0" applyFont="1" applyBorder="1"/>
    <xf numFmtId="165" fontId="6" fillId="0" borderId="4" xfId="0" applyNumberFormat="1" applyFont="1" applyBorder="1" applyAlignment="1">
      <alignment horizontal="center"/>
    </xf>
    <xf numFmtId="0" fontId="39" fillId="0" borderId="0" xfId="0" applyFont="1"/>
    <xf numFmtId="0" fontId="44" fillId="23" borderId="2" xfId="0" applyFont="1" applyFill="1" applyBorder="1"/>
    <xf numFmtId="0" fontId="6" fillId="17" borderId="15" xfId="0" applyFont="1" applyFill="1" applyBorder="1" applyAlignment="1">
      <alignment horizontal="center" vertical="top" wrapText="1"/>
    </xf>
    <xf numFmtId="0" fontId="45" fillId="23" borderId="1" xfId="0" applyFont="1" applyFill="1" applyBorder="1"/>
    <xf numFmtId="0" fontId="4" fillId="5" borderId="5" xfId="0" applyFont="1" applyFill="1" applyBorder="1"/>
    <xf numFmtId="165" fontId="4" fillId="5" borderId="4" xfId="0" applyNumberFormat="1" applyFont="1" applyFill="1" applyBorder="1" applyAlignment="1">
      <alignment horizontal="center"/>
    </xf>
    <xf numFmtId="0" fontId="0" fillId="5" borderId="0" xfId="0" applyFill="1"/>
    <xf numFmtId="9" fontId="6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6" fontId="11" fillId="17" borderId="1" xfId="0" applyNumberFormat="1" applyFont="1" applyFill="1" applyBorder="1"/>
    <xf numFmtId="0" fontId="6" fillId="0" borderId="15" xfId="0" applyFont="1" applyBorder="1" applyAlignment="1">
      <alignment horizontal="center" vertical="top" wrapText="1"/>
    </xf>
    <xf numFmtId="166" fontId="6" fillId="17" borderId="6" xfId="0" applyNumberFormat="1" applyFont="1" applyFill="1" applyBorder="1"/>
    <xf numFmtId="0" fontId="15" fillId="17" borderId="2" xfId="0" applyFont="1" applyFill="1" applyBorder="1"/>
    <xf numFmtId="0" fontId="11" fillId="17" borderId="4" xfId="0" applyFont="1" applyFill="1" applyBorder="1" applyAlignment="1">
      <alignment horizontal="center"/>
    </xf>
    <xf numFmtId="0" fontId="27" fillId="0" borderId="0" xfId="0" applyFont="1" applyAlignment="1">
      <alignment horizontal="center" vertical="top"/>
    </xf>
    <xf numFmtId="9" fontId="11" fillId="0" borderId="0" xfId="0" applyNumberFormat="1" applyFont="1" applyAlignment="1">
      <alignment horizontal="center"/>
    </xf>
    <xf numFmtId="0" fontId="27" fillId="0" borderId="0" xfId="0" applyFont="1"/>
    <xf numFmtId="165" fontId="18" fillId="0" borderId="0" xfId="0" applyNumberFormat="1" applyFont="1"/>
    <xf numFmtId="165" fontId="34" fillId="0" borderId="0" xfId="0" applyNumberFormat="1" applyFont="1"/>
    <xf numFmtId="166" fontId="30" fillId="0" borderId="0" xfId="0" applyNumberFormat="1" applyFont="1" applyAlignment="1">
      <alignment horizontal="right"/>
    </xf>
    <xf numFmtId="0" fontId="11" fillId="22" borderId="4" xfId="0" applyFont="1" applyFill="1" applyBorder="1"/>
    <xf numFmtId="0" fontId="11" fillId="22" borderId="8" xfId="0" applyFont="1" applyFill="1" applyBorder="1" applyAlignment="1">
      <alignment horizontal="center"/>
    </xf>
    <xf numFmtId="0" fontId="15" fillId="17" borderId="1" xfId="0" applyFont="1" applyFill="1" applyBorder="1"/>
    <xf numFmtId="9" fontId="6" fillId="9" borderId="11" xfId="0" applyNumberFormat="1" applyFont="1" applyFill="1" applyBorder="1" applyAlignment="1">
      <alignment horizontal="center"/>
    </xf>
    <xf numFmtId="0" fontId="6" fillId="9" borderId="6" xfId="0" applyFont="1" applyFill="1" applyBorder="1"/>
    <xf numFmtId="9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 vertical="top" wrapText="1"/>
    </xf>
    <xf numFmtId="0" fontId="15" fillId="17" borderId="6" xfId="0" applyFont="1" applyFill="1" applyBorder="1"/>
    <xf numFmtId="6" fontId="11" fillId="17" borderId="4" xfId="0" applyNumberFormat="1" applyFont="1" applyFill="1" applyBorder="1"/>
    <xf numFmtId="0" fontId="6" fillId="12" borderId="6" xfId="0" applyFont="1" applyFill="1" applyBorder="1"/>
    <xf numFmtId="0" fontId="15" fillId="12" borderId="1" xfId="0" applyFont="1" applyFill="1" applyBorder="1" applyAlignment="1">
      <alignment horizontal="center"/>
    </xf>
    <xf numFmtId="9" fontId="6" fillId="12" borderId="11" xfId="0" applyNumberFormat="1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 vertical="center"/>
    </xf>
    <xf numFmtId="0" fontId="45" fillId="23" borderId="2" xfId="0" applyFont="1" applyFill="1" applyBorder="1"/>
    <xf numFmtId="0" fontId="15" fillId="9" borderId="6" xfId="0" applyFont="1" applyFill="1" applyBorder="1" applyAlignment="1">
      <alignment horizontal="center"/>
    </xf>
    <xf numFmtId="9" fontId="6" fillId="9" borderId="8" xfId="0" applyNumberFormat="1" applyFont="1" applyFill="1" applyBorder="1" applyAlignment="1">
      <alignment horizontal="center"/>
    </xf>
    <xf numFmtId="165" fontId="6" fillId="9" borderId="1" xfId="0" applyNumberFormat="1" applyFont="1" applyFill="1" applyBorder="1"/>
    <xf numFmtId="0" fontId="5" fillId="9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 wrapText="1"/>
    </xf>
    <xf numFmtId="9" fontId="7" fillId="0" borderId="8" xfId="0" applyNumberFormat="1" applyFont="1" applyBorder="1" applyAlignment="1">
      <alignment horizontal="center"/>
    </xf>
    <xf numFmtId="0" fontId="15" fillId="0" borderId="6" xfId="0" applyFont="1" applyBorder="1"/>
    <xf numFmtId="6" fontId="11" fillId="0" borderId="4" xfId="0" applyNumberFormat="1" applyFont="1" applyBorder="1"/>
    <xf numFmtId="0" fontId="8" fillId="0" borderId="8" xfId="0" applyFont="1" applyBorder="1" applyAlignment="1">
      <alignment wrapText="1"/>
    </xf>
    <xf numFmtId="165" fontId="8" fillId="0" borderId="8" xfId="0" applyNumberFormat="1" applyFont="1" applyBorder="1"/>
    <xf numFmtId="166" fontId="6" fillId="9" borderId="1" xfId="0" applyNumberFormat="1" applyFont="1" applyFill="1" applyBorder="1" applyAlignment="1">
      <alignment horizontal="center"/>
    </xf>
    <xf numFmtId="167" fontId="6" fillId="9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165" fontId="6" fillId="18" borderId="4" xfId="0" applyNumberFormat="1" applyFont="1" applyFill="1" applyBorder="1" applyAlignment="1">
      <alignment horizontal="center"/>
    </xf>
    <xf numFmtId="0" fontId="11" fillId="22" borderId="0" xfId="0" applyFont="1" applyFill="1" applyAlignment="1">
      <alignment horizontal="center"/>
    </xf>
    <xf numFmtId="0" fontId="6" fillId="16" borderId="5" xfId="0" applyFont="1" applyFill="1" applyBorder="1"/>
    <xf numFmtId="0" fontId="4" fillId="0" borderId="2" xfId="0" applyFont="1" applyBorder="1" applyAlignment="1">
      <alignment horizontal="center"/>
    </xf>
    <xf numFmtId="9" fontId="6" fillId="17" borderId="13" xfId="0" applyNumberFormat="1" applyFont="1" applyFill="1" applyBorder="1" applyAlignment="1">
      <alignment horizontal="center"/>
    </xf>
    <xf numFmtId="0" fontId="6" fillId="18" borderId="1" xfId="0" applyFont="1" applyFill="1" applyBorder="1"/>
    <xf numFmtId="165" fontId="6" fillId="18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 vertical="top" wrapText="1"/>
    </xf>
    <xf numFmtId="0" fontId="6" fillId="16" borderId="15" xfId="0" applyFont="1" applyFill="1" applyBorder="1" applyAlignment="1">
      <alignment horizontal="center" vertical="top" wrapText="1"/>
    </xf>
    <xf numFmtId="166" fontId="11" fillId="17" borderId="1" xfId="0" applyNumberFormat="1" applyFont="1" applyFill="1" applyBorder="1"/>
    <xf numFmtId="165" fontId="32" fillId="0" borderId="1" xfId="0" applyNumberFormat="1" applyFont="1" applyBorder="1" applyAlignment="1">
      <alignment horizontal="right"/>
    </xf>
    <xf numFmtId="166" fontId="0" fillId="0" borderId="0" xfId="0" applyNumberFormat="1"/>
    <xf numFmtId="166" fontId="3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center"/>
    </xf>
    <xf numFmtId="0" fontId="5" fillId="18" borderId="5" xfId="0" applyFont="1" applyFill="1" applyBorder="1"/>
    <xf numFmtId="0" fontId="45" fillId="0" borderId="1" xfId="0" applyFont="1" applyBorder="1"/>
    <xf numFmtId="0" fontId="15" fillId="24" borderId="1" xfId="0" applyFont="1" applyFill="1" applyBorder="1" applyAlignment="1">
      <alignment horizontal="center"/>
    </xf>
    <xf numFmtId="9" fontId="6" fillId="24" borderId="11" xfId="0" applyNumberFormat="1" applyFont="1" applyFill="1" applyBorder="1" applyAlignment="1">
      <alignment horizontal="center"/>
    </xf>
    <xf numFmtId="0" fontId="6" fillId="24" borderId="6" xfId="0" applyFont="1" applyFill="1" applyBorder="1"/>
    <xf numFmtId="165" fontId="6" fillId="24" borderId="1" xfId="0" applyNumberFormat="1" applyFont="1" applyFill="1" applyBorder="1"/>
    <xf numFmtId="9" fontId="6" fillId="24" borderId="1" xfId="0" applyNumberFormat="1" applyFont="1" applyFill="1" applyBorder="1" applyAlignment="1">
      <alignment horizontal="center"/>
    </xf>
    <xf numFmtId="166" fontId="6" fillId="24" borderId="1" xfId="0" applyNumberFormat="1" applyFont="1" applyFill="1" applyBorder="1" applyAlignment="1">
      <alignment horizontal="right"/>
    </xf>
    <xf numFmtId="0" fontId="6" fillId="24" borderId="1" xfId="0" applyFont="1" applyFill="1" applyBorder="1" applyAlignment="1">
      <alignment horizontal="center"/>
    </xf>
    <xf numFmtId="0" fontId="6" fillId="24" borderId="1" xfId="0" applyFont="1" applyFill="1" applyBorder="1" applyAlignment="1">
      <alignment horizontal="center" vertical="center"/>
    </xf>
    <xf numFmtId="9" fontId="7" fillId="24" borderId="11" xfId="0" applyNumberFormat="1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44" fillId="0" borderId="2" xfId="0" applyFont="1" applyBorder="1" applyAlignment="1">
      <alignment vertical="center"/>
    </xf>
    <xf numFmtId="0" fontId="6" fillId="9" borderId="6" xfId="0" applyFont="1" applyFill="1" applyBorder="1" applyAlignment="1">
      <alignment horizontal="center" vertical="top"/>
    </xf>
    <xf numFmtId="0" fontId="6" fillId="24" borderId="6" xfId="0" applyFont="1" applyFill="1" applyBorder="1" applyAlignment="1">
      <alignment horizontal="center" vertical="top"/>
    </xf>
    <xf numFmtId="165" fontId="6" fillId="24" borderId="4" xfId="0" applyNumberFormat="1" applyFont="1" applyFill="1" applyBorder="1"/>
    <xf numFmtId="166" fontId="6" fillId="24" borderId="1" xfId="0" applyNumberFormat="1" applyFont="1" applyFill="1" applyBorder="1" applyAlignment="1">
      <alignment horizontal="center"/>
    </xf>
    <xf numFmtId="167" fontId="6" fillId="24" borderId="1" xfId="0" applyNumberFormat="1" applyFont="1" applyFill="1" applyBorder="1" applyAlignment="1">
      <alignment horizontal="center" vertical="center"/>
    </xf>
    <xf numFmtId="0" fontId="15" fillId="24" borderId="6" xfId="0" applyFont="1" applyFill="1" applyBorder="1" applyAlignment="1">
      <alignment horizontal="center"/>
    </xf>
    <xf numFmtId="9" fontId="6" fillId="24" borderId="8" xfId="0" applyNumberFormat="1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/>
    </xf>
    <xf numFmtId="0" fontId="8" fillId="24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8" borderId="5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5" fillId="11" borderId="1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0" fillId="8" borderId="8" xfId="0" applyFont="1" applyFill="1" applyBorder="1" applyAlignment="1">
      <alignment horizontal="center"/>
    </xf>
    <xf numFmtId="0" fontId="37" fillId="6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43" fillId="8" borderId="1" xfId="0" applyFont="1" applyFill="1" applyBorder="1" applyAlignment="1">
      <alignment horizontal="center"/>
    </xf>
    <xf numFmtId="0" fontId="43" fillId="8" borderId="2" xfId="0" applyFont="1" applyFill="1" applyBorder="1" applyAlignment="1">
      <alignment horizontal="center"/>
    </xf>
    <xf numFmtId="0" fontId="46" fillId="10" borderId="1" xfId="0" applyFont="1" applyFill="1" applyBorder="1" applyAlignment="1">
      <alignment horizontal="center"/>
    </xf>
    <xf numFmtId="165" fontId="6" fillId="18" borderId="5" xfId="0" applyNumberFormat="1" applyFont="1" applyFill="1" applyBorder="1" applyAlignment="1">
      <alignment horizontal="center"/>
    </xf>
    <xf numFmtId="165" fontId="6" fillId="18" borderId="4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  <xf numFmtId="0" fontId="35" fillId="9" borderId="3" xfId="0" applyFont="1" applyFill="1" applyBorder="1" applyAlignment="1">
      <alignment horizontal="center"/>
    </xf>
    <xf numFmtId="0" fontId="35" fillId="9" borderId="0" xfId="0" applyFont="1" applyFill="1" applyAlignment="1">
      <alignment horizontal="center"/>
    </xf>
    <xf numFmtId="0" fontId="35" fillId="5" borderId="3" xfId="0" applyFont="1" applyFill="1" applyBorder="1" applyAlignment="1">
      <alignment horizontal="center"/>
    </xf>
    <xf numFmtId="0" fontId="35" fillId="5" borderId="0" xfId="0" applyFont="1" applyFill="1" applyAlignment="1">
      <alignment horizontal="center"/>
    </xf>
    <xf numFmtId="0" fontId="5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3" xfId="0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44" fillId="16" borderId="13" xfId="0" applyFont="1" applyFill="1" applyBorder="1" applyAlignment="1">
      <alignment horizontal="center"/>
    </xf>
    <xf numFmtId="0" fontId="44" fillId="16" borderId="14" xfId="0" applyFont="1" applyFill="1" applyBorder="1" applyAlignment="1">
      <alignment horizontal="center"/>
    </xf>
    <xf numFmtId="0" fontId="44" fillId="16" borderId="12" xfId="0" applyFont="1" applyFill="1" applyBorder="1" applyAlignment="1">
      <alignment horizontal="center"/>
    </xf>
    <xf numFmtId="0" fontId="53" fillId="0" borderId="13" xfId="0" applyFont="1" applyBorder="1" applyAlignment="1">
      <alignment horizontal="center" wrapText="1"/>
    </xf>
    <xf numFmtId="0" fontId="44" fillId="0" borderId="1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53" fillId="0" borderId="7" xfId="0" applyFont="1" applyBorder="1" applyAlignment="1">
      <alignment horizontal="center" wrapText="1"/>
    </xf>
    <xf numFmtId="0" fontId="44" fillId="0" borderId="8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4" fillId="0" borderId="13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wrapText="1"/>
    </xf>
    <xf numFmtId="0" fontId="53" fillId="0" borderId="2" xfId="0" applyFont="1" applyBorder="1" applyAlignment="1">
      <alignment horizontal="center"/>
    </xf>
    <xf numFmtId="0" fontId="44" fillId="23" borderId="1" xfId="0" applyFont="1" applyFill="1" applyBorder="1" applyAlignment="1">
      <alignment horizontal="center"/>
    </xf>
    <xf numFmtId="0" fontId="45" fillId="23" borderId="1" xfId="0" applyFont="1" applyFill="1" applyBorder="1" applyAlignment="1">
      <alignment horizontal="center" wrapText="1"/>
    </xf>
    <xf numFmtId="0" fontId="45" fillId="23" borderId="1" xfId="0" applyFont="1" applyFill="1" applyBorder="1" applyAlignment="1">
      <alignment horizontal="center"/>
    </xf>
    <xf numFmtId="0" fontId="44" fillId="16" borderId="5" xfId="0" applyFont="1" applyFill="1" applyBorder="1" applyAlignment="1">
      <alignment horizontal="center"/>
    </xf>
    <xf numFmtId="0" fontId="44" fillId="16" borderId="4" xfId="0" applyFont="1" applyFill="1" applyBorder="1" applyAlignment="1">
      <alignment horizontal="center"/>
    </xf>
    <xf numFmtId="0" fontId="44" fillId="16" borderId="11" xfId="0" applyFont="1" applyFill="1" applyBorder="1" applyAlignment="1">
      <alignment horizontal="center"/>
    </xf>
    <xf numFmtId="0" fontId="44" fillId="23" borderId="5" xfId="0" applyFont="1" applyFill="1" applyBorder="1" applyAlignment="1">
      <alignment horizontal="center"/>
    </xf>
    <xf numFmtId="0" fontId="44" fillId="23" borderId="4" xfId="0" applyFont="1" applyFill="1" applyBorder="1" applyAlignment="1">
      <alignment horizontal="center"/>
    </xf>
    <xf numFmtId="0" fontId="44" fillId="23" borderId="13" xfId="0" applyFont="1" applyFill="1" applyBorder="1" applyAlignment="1">
      <alignment horizontal="center"/>
    </xf>
    <xf numFmtId="0" fontId="44" fillId="23" borderId="12" xfId="0" applyFont="1" applyFill="1" applyBorder="1" applyAlignment="1">
      <alignment horizontal="center"/>
    </xf>
    <xf numFmtId="0" fontId="44" fillId="23" borderId="14" xfId="0" applyFont="1" applyFill="1" applyBorder="1" applyAlignment="1">
      <alignment horizontal="center"/>
    </xf>
    <xf numFmtId="0" fontId="55" fillId="16" borderId="7" xfId="0" applyFont="1" applyFill="1" applyBorder="1" applyAlignment="1">
      <alignment horizontal="center"/>
    </xf>
    <xf numFmtId="0" fontId="55" fillId="16" borderId="8" xfId="0" applyFont="1" applyFill="1" applyBorder="1" applyAlignment="1">
      <alignment horizontal="center"/>
    </xf>
    <xf numFmtId="0" fontId="55" fillId="16" borderId="9" xfId="0" applyFont="1" applyFill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27" fillId="23" borderId="1" xfId="0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9" fillId="17" borderId="5" xfId="0" applyFont="1" applyFill="1" applyBorder="1" applyAlignment="1">
      <alignment horizontal="center"/>
    </xf>
    <xf numFmtId="0" fontId="44" fillId="17" borderId="4" xfId="0" applyFont="1" applyFill="1" applyBorder="1" applyAlignment="1">
      <alignment horizontal="center"/>
    </xf>
    <xf numFmtId="0" fontId="53" fillId="17" borderId="5" xfId="0" applyFont="1" applyFill="1" applyBorder="1" applyAlignment="1">
      <alignment horizontal="center" wrapText="1"/>
    </xf>
    <xf numFmtId="0" fontId="44" fillId="17" borderId="11" xfId="0" applyFont="1" applyFill="1" applyBorder="1" applyAlignment="1">
      <alignment horizontal="center"/>
    </xf>
    <xf numFmtId="0" fontId="44" fillId="17" borderId="5" xfId="0" applyFont="1" applyFill="1" applyBorder="1" applyAlignment="1">
      <alignment horizontal="center"/>
    </xf>
    <xf numFmtId="0" fontId="44" fillId="23" borderId="11" xfId="0" applyFont="1" applyFill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44" fillId="17" borderId="13" xfId="0" applyFont="1" applyFill="1" applyBorder="1" applyAlignment="1">
      <alignment horizontal="center"/>
    </xf>
    <xf numFmtId="0" fontId="44" fillId="17" borderId="14" xfId="0" applyFont="1" applyFill="1" applyBorder="1" applyAlignment="1">
      <alignment horizontal="center"/>
    </xf>
    <xf numFmtId="0" fontId="44" fillId="17" borderId="12" xfId="0" applyFont="1" applyFill="1" applyBorder="1" applyAlignment="1">
      <alignment horizontal="center"/>
    </xf>
    <xf numFmtId="0" fontId="44" fillId="23" borderId="2" xfId="0" applyFont="1" applyFill="1" applyBorder="1" applyAlignment="1">
      <alignment horizontal="center"/>
    </xf>
    <xf numFmtId="0" fontId="44" fillId="17" borderId="1" xfId="0" applyFont="1" applyFill="1" applyBorder="1" applyAlignment="1">
      <alignment horizontal="center"/>
    </xf>
    <xf numFmtId="0" fontId="53" fillId="23" borderId="13" xfId="0" applyFont="1" applyFill="1" applyBorder="1" applyAlignment="1">
      <alignment horizontal="center"/>
    </xf>
    <xf numFmtId="0" fontId="54" fillId="16" borderId="2" xfId="0" applyFont="1" applyFill="1" applyBorder="1" applyAlignment="1">
      <alignment horizontal="center"/>
    </xf>
    <xf numFmtId="0" fontId="44" fillId="16" borderId="2" xfId="0" applyFont="1" applyFill="1" applyBorder="1" applyAlignment="1">
      <alignment horizontal="center"/>
    </xf>
    <xf numFmtId="0" fontId="44" fillId="17" borderId="2" xfId="0" applyFont="1" applyFill="1" applyBorder="1" applyAlignment="1">
      <alignment horizontal="center"/>
    </xf>
    <xf numFmtId="0" fontId="45" fillId="23" borderId="13" xfId="0" applyFont="1" applyFill="1" applyBorder="1" applyAlignment="1">
      <alignment horizontal="center"/>
    </xf>
    <xf numFmtId="0" fontId="45" fillId="23" borderId="12" xfId="0" applyFont="1" applyFill="1" applyBorder="1" applyAlignment="1">
      <alignment horizontal="center"/>
    </xf>
    <xf numFmtId="0" fontId="45" fillId="23" borderId="14" xfId="0" applyFont="1" applyFill="1" applyBorder="1" applyAlignment="1">
      <alignment horizontal="center"/>
    </xf>
    <xf numFmtId="0" fontId="49" fillId="23" borderId="5" xfId="0" applyFont="1" applyFill="1" applyBorder="1" applyAlignment="1">
      <alignment horizontal="center"/>
    </xf>
    <xf numFmtId="0" fontId="44" fillId="23" borderId="7" xfId="0" applyFont="1" applyFill="1" applyBorder="1" applyAlignment="1">
      <alignment horizontal="center"/>
    </xf>
    <xf numFmtId="0" fontId="44" fillId="23" borderId="8" xfId="0" applyFont="1" applyFill="1" applyBorder="1" applyAlignment="1">
      <alignment horizontal="center"/>
    </xf>
    <xf numFmtId="0" fontId="44" fillId="23" borderId="9" xfId="0" applyFont="1" applyFill="1" applyBorder="1" applyAlignment="1">
      <alignment horizontal="center"/>
    </xf>
    <xf numFmtId="0" fontId="44" fillId="23" borderId="5" xfId="0" applyFont="1" applyFill="1" applyBorder="1" applyAlignment="1">
      <alignment horizontal="center" vertical="center"/>
    </xf>
    <xf numFmtId="0" fontId="44" fillId="23" borderId="11" xfId="0" applyFont="1" applyFill="1" applyBorder="1" applyAlignment="1">
      <alignment horizontal="center" vertical="center"/>
    </xf>
    <xf numFmtId="0" fontId="44" fillId="23" borderId="4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5" fillId="17" borderId="13" xfId="0" applyFont="1" applyFill="1" applyBorder="1" applyAlignment="1">
      <alignment horizontal="center"/>
    </xf>
    <xf numFmtId="0" fontId="45" fillId="17" borderId="12" xfId="0" applyFont="1" applyFill="1" applyBorder="1" applyAlignment="1">
      <alignment horizontal="center"/>
    </xf>
    <xf numFmtId="0" fontId="45" fillId="17" borderId="14" xfId="0" applyFont="1" applyFill="1" applyBorder="1" applyAlignment="1">
      <alignment horizontal="center"/>
    </xf>
    <xf numFmtId="0" fontId="53" fillId="16" borderId="13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0" fontId="44" fillId="17" borderId="8" xfId="0" applyFont="1" applyFill="1" applyBorder="1" applyAlignment="1">
      <alignment horizontal="center"/>
    </xf>
    <xf numFmtId="0" fontId="44" fillId="17" borderId="9" xfId="0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53" fillId="0" borderId="5" xfId="0" applyFont="1" applyBorder="1" applyAlignment="1">
      <alignment horizontal="center" wrapText="1"/>
    </xf>
    <xf numFmtId="0" fontId="44" fillId="0" borderId="7" xfId="0" applyFont="1" applyBorder="1" applyAlignment="1">
      <alignment horizontal="center"/>
    </xf>
    <xf numFmtId="0" fontId="45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/>
    </xf>
    <xf numFmtId="0" fontId="45" fillId="0" borderId="13" xfId="0" applyFont="1" applyBorder="1" applyAlignment="1">
      <alignment horizontal="center" wrapText="1"/>
    </xf>
    <xf numFmtId="0" fontId="56" fillId="0" borderId="13" xfId="0" applyFont="1" applyBorder="1" applyAlignment="1">
      <alignment horizontal="center" wrapText="1"/>
    </xf>
    <xf numFmtId="0" fontId="57" fillId="0" borderId="1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7" fillId="0" borderId="7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5" fillId="12" borderId="9" xfId="0" applyFont="1" applyFill="1" applyBorder="1" applyAlignment="1"/>
    <xf numFmtId="0" fontId="5" fillId="13" borderId="9" xfId="0" applyFont="1" applyFill="1" applyBorder="1" applyAlignment="1"/>
    <xf numFmtId="0" fontId="5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E0A42168-1793-4E34-AB3E-9BF2534D6B59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10" dT="2022-07-29T15:32:19.90" personId="{E0A42168-1793-4E34-AB3E-9BF2534D6B59}" id="{7F32690A-A5AC-42C8-965B-BD08B33F334D}">
    <text>Se descuenta 175,000 contrato pagado el mes pasado que el cliente desiste.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9"/>
  <sheetViews>
    <sheetView tabSelected="1" topLeftCell="A994" workbookViewId="0">
      <selection activeCell="J998" sqref="J998"/>
    </sheetView>
  </sheetViews>
  <sheetFormatPr defaultRowHeight="15"/>
  <cols>
    <col min="1" max="1" width="27.28515625" customWidth="1"/>
    <col min="2" max="2" width="20.28515625" customWidth="1"/>
    <col min="3" max="3" width="23.42578125" customWidth="1"/>
    <col min="4" max="4" width="67.85546875" customWidth="1"/>
    <col min="5" max="5" width="17.85546875" customWidth="1"/>
    <col min="7" max="7" width="15.7109375" customWidth="1"/>
    <col min="8" max="8" width="19" customWidth="1"/>
    <col min="9" max="9" width="16.85546875" customWidth="1"/>
    <col min="10" max="10" width="17.28515625" customWidth="1"/>
    <col min="11" max="11" width="16.28515625" customWidth="1"/>
    <col min="12" max="12" width="42" customWidth="1"/>
    <col min="13" max="13" width="14.85546875" customWidth="1"/>
    <col min="14" max="14" width="51.85546875" customWidth="1"/>
    <col min="15" max="15" width="20.42578125" customWidth="1"/>
    <col min="17" max="17" width="17" customWidth="1"/>
    <col min="18" max="18" width="20.85546875" customWidth="1"/>
  </cols>
  <sheetData>
    <row r="1" spans="1:17" ht="45">
      <c r="A1" s="935" t="s">
        <v>0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</row>
    <row r="3" spans="1:17" ht="18">
      <c r="A3" s="918" t="s">
        <v>1</v>
      </c>
      <c r="B3" s="918"/>
      <c r="C3" s="918"/>
      <c r="D3" s="918"/>
      <c r="E3" s="918"/>
      <c r="F3" s="918"/>
      <c r="G3" s="918"/>
      <c r="H3" s="918"/>
      <c r="I3" s="918"/>
      <c r="J3" s="918"/>
      <c r="K3" s="918"/>
      <c r="L3" s="918"/>
    </row>
    <row r="4" spans="1:17">
      <c r="A4" s="1" t="s">
        <v>2</v>
      </c>
      <c r="B4" s="2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5" t="s">
        <v>8</v>
      </c>
      <c r="H4" s="3" t="s">
        <v>9</v>
      </c>
      <c r="I4" s="6" t="s">
        <v>10</v>
      </c>
      <c r="J4" s="6" t="s">
        <v>11</v>
      </c>
      <c r="K4" s="6" t="s">
        <v>12</v>
      </c>
      <c r="L4" s="40" t="s">
        <v>13</v>
      </c>
      <c r="M4" s="943" t="s">
        <v>14</v>
      </c>
      <c r="N4" s="943"/>
      <c r="O4" s="943"/>
      <c r="P4" s="943"/>
      <c r="Q4" s="318"/>
    </row>
    <row r="5" spans="1:17" ht="15.75">
      <c r="A5" s="936" t="s">
        <v>15</v>
      </c>
      <c r="B5" s="222">
        <v>12930</v>
      </c>
      <c r="C5" s="347">
        <v>0.08</v>
      </c>
      <c r="D5" s="236" t="s">
        <v>16</v>
      </c>
      <c r="E5" s="230">
        <v>1650000</v>
      </c>
      <c r="F5" s="217">
        <v>0.1</v>
      </c>
      <c r="G5" s="218">
        <f>E5*F5</f>
        <v>165000</v>
      </c>
      <c r="H5" s="238" t="s">
        <v>17</v>
      </c>
      <c r="I5" s="239" t="s">
        <v>18</v>
      </c>
      <c r="J5" s="239" t="s">
        <v>19</v>
      </c>
      <c r="K5" s="239"/>
      <c r="L5" s="321"/>
      <c r="M5" s="316"/>
      <c r="N5" s="316"/>
      <c r="O5" s="100"/>
      <c r="P5" s="316"/>
      <c r="Q5" s="320"/>
    </row>
    <row r="6" spans="1:17" ht="15.75">
      <c r="A6" s="936"/>
      <c r="B6" s="222">
        <v>12955</v>
      </c>
      <c r="C6" s="235">
        <v>0.1</v>
      </c>
      <c r="D6" s="261" t="s">
        <v>20</v>
      </c>
      <c r="E6" s="230">
        <v>750000</v>
      </c>
      <c r="F6" s="228">
        <v>0.12</v>
      </c>
      <c r="G6" s="218">
        <f t="shared" ref="G6:G17" si="0">E6*F6</f>
        <v>90000</v>
      </c>
      <c r="H6" s="238" t="s">
        <v>17</v>
      </c>
      <c r="I6" s="239" t="s">
        <v>21</v>
      </c>
      <c r="J6" s="239" t="s">
        <v>19</v>
      </c>
      <c r="K6" s="239"/>
      <c r="L6" s="321"/>
      <c r="M6" s="316"/>
      <c r="N6" s="316"/>
      <c r="O6" s="100"/>
      <c r="P6" s="316"/>
      <c r="Q6" s="320"/>
    </row>
    <row r="7" spans="1:17" ht="15.75">
      <c r="A7" s="936"/>
      <c r="B7" s="222">
        <v>12997</v>
      </c>
      <c r="C7" s="235">
        <v>0.1</v>
      </c>
      <c r="D7" s="272" t="s">
        <v>22</v>
      </c>
      <c r="E7" s="230">
        <v>1000000</v>
      </c>
      <c r="F7" s="228">
        <v>7.0000000000000007E-2</v>
      </c>
      <c r="G7" s="218">
        <f t="shared" si="0"/>
        <v>70000</v>
      </c>
      <c r="H7" s="238" t="s">
        <v>23</v>
      </c>
      <c r="I7" s="239" t="s">
        <v>21</v>
      </c>
      <c r="J7" s="239" t="s">
        <v>19</v>
      </c>
      <c r="K7" s="239"/>
      <c r="L7" s="321"/>
      <c r="M7" s="316"/>
      <c r="N7" s="316"/>
      <c r="O7" s="100"/>
      <c r="P7" s="316"/>
      <c r="Q7" s="320"/>
    </row>
    <row r="8" spans="1:17" ht="15.75">
      <c r="A8" s="936"/>
      <c r="B8" s="222">
        <v>13034</v>
      </c>
      <c r="C8" s="347">
        <v>0.08</v>
      </c>
      <c r="D8" s="272" t="s">
        <v>24</v>
      </c>
      <c r="E8" s="230">
        <v>1800000</v>
      </c>
      <c r="F8" s="217">
        <v>0.1</v>
      </c>
      <c r="G8" s="218">
        <f t="shared" si="0"/>
        <v>180000</v>
      </c>
      <c r="H8" s="238" t="s">
        <v>17</v>
      </c>
      <c r="I8" s="239" t="s">
        <v>21</v>
      </c>
      <c r="J8" s="239" t="s">
        <v>19</v>
      </c>
      <c r="K8" s="239"/>
      <c r="L8" s="321"/>
      <c r="M8" s="316"/>
      <c r="N8" s="316"/>
      <c r="O8" s="100"/>
      <c r="P8" s="316"/>
      <c r="Q8" s="320"/>
    </row>
    <row r="9" spans="1:17" ht="15.75">
      <c r="A9" s="936"/>
      <c r="B9" s="222">
        <v>13036</v>
      </c>
      <c r="C9" s="347">
        <v>0.08</v>
      </c>
      <c r="D9" s="272" t="s">
        <v>25</v>
      </c>
      <c r="E9" s="230">
        <v>1700000</v>
      </c>
      <c r="F9" s="217">
        <v>0.06</v>
      </c>
      <c r="G9" s="218">
        <f t="shared" si="0"/>
        <v>102000</v>
      </c>
      <c r="H9" s="238" t="s">
        <v>26</v>
      </c>
      <c r="I9" s="239" t="s">
        <v>18</v>
      </c>
      <c r="J9" s="239" t="s">
        <v>19</v>
      </c>
      <c r="K9" s="239"/>
      <c r="L9" s="321"/>
      <c r="M9" s="316"/>
      <c r="N9" s="316"/>
      <c r="O9" s="100"/>
      <c r="P9" s="316"/>
      <c r="Q9" s="320"/>
    </row>
    <row r="10" spans="1:17" ht="15.75">
      <c r="A10" s="936"/>
      <c r="B10" s="222">
        <v>13055</v>
      </c>
      <c r="C10" s="235">
        <v>0.1</v>
      </c>
      <c r="D10" s="272" t="s">
        <v>27</v>
      </c>
      <c r="E10" s="230">
        <v>1050000</v>
      </c>
      <c r="F10" s="228">
        <v>0.12</v>
      </c>
      <c r="G10" s="218">
        <f t="shared" si="0"/>
        <v>126000</v>
      </c>
      <c r="H10" s="238" t="s">
        <v>17</v>
      </c>
      <c r="I10" s="239" t="s">
        <v>21</v>
      </c>
      <c r="J10" s="239" t="s">
        <v>19</v>
      </c>
      <c r="K10" s="239"/>
      <c r="L10" s="321"/>
      <c r="M10" s="316"/>
      <c r="N10" s="316"/>
      <c r="O10" s="100"/>
      <c r="P10" s="316"/>
      <c r="Q10" s="320"/>
    </row>
    <row r="11" spans="1:17" ht="15.75">
      <c r="A11" s="936"/>
      <c r="B11" s="222">
        <v>13082</v>
      </c>
      <c r="C11" s="235">
        <v>0.1</v>
      </c>
      <c r="D11" s="272" t="s">
        <v>28</v>
      </c>
      <c r="E11" s="230">
        <v>1500000</v>
      </c>
      <c r="F11" s="228">
        <v>7.0000000000000007E-2</v>
      </c>
      <c r="G11" s="218">
        <f t="shared" si="0"/>
        <v>105000.00000000001</v>
      </c>
      <c r="H11" s="238" t="s">
        <v>29</v>
      </c>
      <c r="I11" s="239" t="s">
        <v>21</v>
      </c>
      <c r="J11" s="239" t="s">
        <v>19</v>
      </c>
      <c r="K11" s="239"/>
      <c r="L11" s="321"/>
      <c r="M11" s="316"/>
      <c r="N11" s="316"/>
      <c r="O11" s="100"/>
      <c r="P11" s="316"/>
      <c r="Q11" s="320"/>
    </row>
    <row r="12" spans="1:17" ht="15.75">
      <c r="A12" s="936"/>
      <c r="B12" s="222">
        <v>13083</v>
      </c>
      <c r="C12" s="235">
        <v>0.1</v>
      </c>
      <c r="D12" s="272" t="s">
        <v>30</v>
      </c>
      <c r="E12" s="230">
        <v>1200000</v>
      </c>
      <c r="F12" s="228">
        <v>7.0000000000000007E-2</v>
      </c>
      <c r="G12" s="218">
        <f t="shared" si="0"/>
        <v>84000.000000000015</v>
      </c>
      <c r="H12" s="238" t="s">
        <v>26</v>
      </c>
      <c r="I12" s="239" t="s">
        <v>31</v>
      </c>
      <c r="J12" s="239" t="s">
        <v>19</v>
      </c>
      <c r="K12" s="239"/>
      <c r="L12" s="321"/>
      <c r="M12" s="316"/>
      <c r="N12" s="316"/>
      <c r="O12" s="100"/>
      <c r="P12" s="316"/>
      <c r="Q12" s="320"/>
    </row>
    <row r="13" spans="1:17" ht="15.75">
      <c r="A13" s="936"/>
      <c r="B13" s="222">
        <v>13084</v>
      </c>
      <c r="C13" s="235">
        <v>0.1</v>
      </c>
      <c r="D13" s="272" t="s">
        <v>32</v>
      </c>
      <c r="E13" s="230">
        <v>950000</v>
      </c>
      <c r="F13" s="228">
        <v>0.12</v>
      </c>
      <c r="G13" s="218">
        <f t="shared" si="0"/>
        <v>114000</v>
      </c>
      <c r="H13" s="238" t="s">
        <v>17</v>
      </c>
      <c r="I13" s="239" t="s">
        <v>31</v>
      </c>
      <c r="J13" s="239" t="s">
        <v>19</v>
      </c>
      <c r="K13" s="239"/>
      <c r="L13" s="321"/>
      <c r="M13" s="316"/>
      <c r="N13" s="316"/>
      <c r="O13" s="100"/>
      <c r="P13" s="316"/>
      <c r="Q13" s="320"/>
    </row>
    <row r="14" spans="1:17" ht="15.75">
      <c r="A14" s="936"/>
      <c r="B14" s="222">
        <v>13097</v>
      </c>
      <c r="C14" s="235">
        <v>0.1</v>
      </c>
      <c r="D14" s="272" t="s">
        <v>33</v>
      </c>
      <c r="E14" s="230">
        <v>1500000</v>
      </c>
      <c r="F14" s="228">
        <v>7.0000000000000007E-2</v>
      </c>
      <c r="G14" s="218">
        <f t="shared" si="0"/>
        <v>105000.00000000001</v>
      </c>
      <c r="H14" s="238" t="s">
        <v>26</v>
      </c>
      <c r="I14" s="239" t="s">
        <v>21</v>
      </c>
      <c r="J14" s="239" t="s">
        <v>19</v>
      </c>
      <c r="K14" s="239"/>
      <c r="L14" s="321"/>
      <c r="M14" s="316"/>
      <c r="N14" s="316"/>
      <c r="O14" s="100"/>
      <c r="P14" s="316"/>
      <c r="Q14" s="320"/>
    </row>
    <row r="15" spans="1:17" ht="15.75">
      <c r="A15" s="936"/>
      <c r="B15" s="222">
        <v>13103</v>
      </c>
      <c r="C15" s="235">
        <v>0.1</v>
      </c>
      <c r="D15" s="272" t="s">
        <v>34</v>
      </c>
      <c r="E15" s="230">
        <v>1500000</v>
      </c>
      <c r="F15" s="228">
        <v>7.0000000000000007E-2</v>
      </c>
      <c r="G15" s="218">
        <f t="shared" si="0"/>
        <v>105000.00000000001</v>
      </c>
      <c r="H15" s="238" t="s">
        <v>35</v>
      </c>
      <c r="I15" s="239" t="s">
        <v>31</v>
      </c>
      <c r="J15" s="239" t="s">
        <v>19</v>
      </c>
      <c r="K15" s="239"/>
      <c r="L15" s="321"/>
      <c r="M15" s="316"/>
      <c r="N15" s="316"/>
      <c r="O15" s="100"/>
      <c r="P15" s="316"/>
      <c r="Q15" s="320"/>
    </row>
    <row r="16" spans="1:17" ht="15.75">
      <c r="A16" s="936"/>
      <c r="B16" s="222">
        <v>13115</v>
      </c>
      <c r="C16" s="235">
        <v>0.1</v>
      </c>
      <c r="D16" s="272" t="s">
        <v>36</v>
      </c>
      <c r="E16" s="230">
        <v>1800000</v>
      </c>
      <c r="F16" s="228">
        <v>7.0000000000000007E-2</v>
      </c>
      <c r="G16" s="218">
        <f t="shared" si="0"/>
        <v>126000.00000000001</v>
      </c>
      <c r="H16" s="238" t="s">
        <v>37</v>
      </c>
      <c r="I16" s="239" t="s">
        <v>21</v>
      </c>
      <c r="J16" s="239" t="s">
        <v>19</v>
      </c>
      <c r="K16" s="239"/>
      <c r="L16" s="321"/>
      <c r="M16" s="316"/>
      <c r="N16" s="316"/>
      <c r="O16" s="100"/>
      <c r="P16" s="316"/>
      <c r="Q16" s="320"/>
    </row>
    <row r="17" spans="1:17" ht="15.75">
      <c r="A17" s="936"/>
      <c r="B17" s="222">
        <v>13124</v>
      </c>
      <c r="C17" s="235">
        <v>0.1</v>
      </c>
      <c r="D17" s="272" t="s">
        <v>38</v>
      </c>
      <c r="E17" s="230">
        <v>1000000</v>
      </c>
      <c r="F17" s="228">
        <v>7.0000000000000007E-2</v>
      </c>
      <c r="G17" s="218">
        <f t="shared" si="0"/>
        <v>70000</v>
      </c>
      <c r="H17" s="238" t="s">
        <v>39</v>
      </c>
      <c r="I17" s="239" t="s">
        <v>18</v>
      </c>
      <c r="J17" s="239" t="s">
        <v>19</v>
      </c>
      <c r="K17" s="239"/>
      <c r="L17" s="321"/>
      <c r="M17" s="316"/>
      <c r="N17" s="316"/>
      <c r="O17" s="100"/>
      <c r="P17" s="316"/>
      <c r="Q17" s="320"/>
    </row>
    <row r="18" spans="1:17" ht="15.75">
      <c r="A18" s="936"/>
      <c r="B18" s="204" t="s">
        <v>40</v>
      </c>
      <c r="C18" s="207"/>
      <c r="D18" s="205" t="s">
        <v>41</v>
      </c>
      <c r="E18" s="209"/>
      <c r="F18" s="210"/>
      <c r="G18" s="211"/>
      <c r="H18" s="212"/>
      <c r="I18" s="213" t="s">
        <v>21</v>
      </c>
      <c r="J18" s="213"/>
      <c r="K18" s="213"/>
      <c r="L18" s="312"/>
      <c r="M18" s="316"/>
      <c r="N18" s="316"/>
      <c r="O18" s="100"/>
      <c r="P18" s="316"/>
      <c r="Q18" s="320"/>
    </row>
    <row r="19" spans="1:17" ht="15.75">
      <c r="A19" s="936"/>
      <c r="B19" s="204" t="s">
        <v>40</v>
      </c>
      <c r="C19" s="207"/>
      <c r="D19" s="205" t="s">
        <v>42</v>
      </c>
      <c r="E19" s="209"/>
      <c r="F19" s="210"/>
      <c r="G19" s="211"/>
      <c r="H19" s="212"/>
      <c r="I19" s="213" t="s">
        <v>21</v>
      </c>
      <c r="J19" s="213"/>
      <c r="K19" s="213"/>
      <c r="L19" s="312"/>
      <c r="M19" s="316"/>
      <c r="N19" s="316"/>
      <c r="O19" s="100"/>
      <c r="P19" s="316"/>
      <c r="Q19" s="320"/>
    </row>
    <row r="20" spans="1:17" ht="15.75">
      <c r="A20" s="936"/>
      <c r="B20" s="204" t="s">
        <v>40</v>
      </c>
      <c r="C20" s="207"/>
      <c r="D20" s="208" t="s">
        <v>43</v>
      </c>
      <c r="E20" s="209"/>
      <c r="F20" s="210"/>
      <c r="G20" s="211"/>
      <c r="H20" s="212"/>
      <c r="I20" s="213" t="s">
        <v>21</v>
      </c>
      <c r="J20" s="213"/>
      <c r="K20" s="213"/>
      <c r="L20" s="312"/>
      <c r="M20" s="37"/>
      <c r="N20" s="42"/>
      <c r="O20" s="31"/>
      <c r="P20" s="67"/>
      <c r="Q20" s="44"/>
    </row>
    <row r="21" spans="1:17" ht="15.75">
      <c r="A21" s="936"/>
      <c r="B21" s="204" t="s">
        <v>40</v>
      </c>
      <c r="C21" s="207"/>
      <c r="D21" s="205" t="s">
        <v>44</v>
      </c>
      <c r="E21" s="209"/>
      <c r="F21" s="210"/>
      <c r="G21" s="211"/>
      <c r="H21" s="212"/>
      <c r="I21" s="213" t="s">
        <v>21</v>
      </c>
      <c r="J21" s="213"/>
      <c r="K21" s="213"/>
      <c r="L21" s="208"/>
      <c r="M21" s="313"/>
      <c r="N21" s="30"/>
      <c r="O21" s="314"/>
      <c r="P21" s="315"/>
      <c r="Q21" s="319"/>
    </row>
    <row r="22" spans="1:17" ht="15.75">
      <c r="A22" s="936"/>
      <c r="B22" s="204" t="s">
        <v>40</v>
      </c>
      <c r="C22" s="207"/>
      <c r="D22" s="205" t="s">
        <v>45</v>
      </c>
      <c r="E22" s="209"/>
      <c r="F22" s="210"/>
      <c r="G22" s="211"/>
      <c r="H22" s="212"/>
      <c r="I22" s="213" t="s">
        <v>18</v>
      </c>
      <c r="J22" s="213"/>
      <c r="K22" s="213"/>
      <c r="L22" s="208"/>
      <c r="M22" s="32"/>
      <c r="N22" s="33"/>
      <c r="O22" s="34"/>
      <c r="P22" s="35"/>
      <c r="Q22" s="36"/>
    </row>
    <row r="23" spans="1:17" ht="15.75">
      <c r="A23" s="936"/>
      <c r="B23" s="20"/>
      <c r="C23" s="21"/>
      <c r="D23" s="22"/>
      <c r="E23" s="23"/>
      <c r="F23" s="24"/>
      <c r="G23" s="25"/>
      <c r="H23" s="26"/>
      <c r="I23" s="27"/>
      <c r="J23" s="27"/>
      <c r="K23" s="27"/>
      <c r="L23" s="8"/>
      <c r="M23" s="32"/>
      <c r="N23" s="33"/>
      <c r="O23" s="34"/>
      <c r="P23" s="35"/>
      <c r="Q23" s="36"/>
    </row>
    <row r="24" spans="1:17" ht="21" customHeight="1">
      <c r="A24" s="937"/>
      <c r="B24" s="103"/>
      <c r="C24" s="145"/>
      <c r="D24" s="15" t="s">
        <v>46</v>
      </c>
      <c r="E24" s="16">
        <f>SUM(E5:E23)</f>
        <v>17400000</v>
      </c>
      <c r="F24" s="17"/>
      <c r="G24" s="383">
        <f>SUM(G5:G23)</f>
        <v>1442000</v>
      </c>
      <c r="H24" s="17"/>
      <c r="I24" s="18"/>
      <c r="J24" s="18"/>
      <c r="K24" s="18"/>
      <c r="L24" s="45"/>
      <c r="M24" s="37"/>
      <c r="N24" s="73" t="s">
        <v>47</v>
      </c>
      <c r="O24" s="34"/>
      <c r="P24" s="38"/>
      <c r="Q24" s="384">
        <f>G24</f>
        <v>1442000</v>
      </c>
    </row>
    <row r="27" spans="1:17" ht="18">
      <c r="A27" s="918" t="s">
        <v>48</v>
      </c>
      <c r="B27" s="918"/>
      <c r="C27" s="918"/>
      <c r="D27" s="918"/>
      <c r="E27" s="918"/>
      <c r="F27" s="918"/>
      <c r="G27" s="918"/>
      <c r="H27" s="918"/>
      <c r="I27" s="918"/>
      <c r="J27" s="919"/>
      <c r="K27" s="919"/>
      <c r="L27" s="941"/>
      <c r="M27" s="928" t="s">
        <v>14</v>
      </c>
      <c r="N27" s="928"/>
      <c r="O27" s="928"/>
      <c r="P27" s="928"/>
      <c r="Q27" s="363"/>
    </row>
    <row r="28" spans="1:17" ht="15.75">
      <c r="A28" s="46" t="s">
        <v>2</v>
      </c>
      <c r="B28" s="47" t="s">
        <v>3</v>
      </c>
      <c r="C28" s="46" t="s">
        <v>4</v>
      </c>
      <c r="D28" s="46" t="s">
        <v>5</v>
      </c>
      <c r="E28" s="48" t="s">
        <v>6</v>
      </c>
      <c r="F28" s="49" t="s">
        <v>7</v>
      </c>
      <c r="G28" s="50" t="s">
        <v>8</v>
      </c>
      <c r="H28" s="46" t="s">
        <v>9</v>
      </c>
      <c r="I28" s="51" t="s">
        <v>10</v>
      </c>
      <c r="J28" s="52" t="s">
        <v>11</v>
      </c>
      <c r="K28" s="52" t="s">
        <v>12</v>
      </c>
      <c r="L28" s="53" t="s">
        <v>13</v>
      </c>
      <c r="M28" s="54" t="s">
        <v>3</v>
      </c>
      <c r="N28" s="54" t="s">
        <v>5</v>
      </c>
      <c r="O28" s="54" t="s">
        <v>49</v>
      </c>
      <c r="P28" s="55" t="s">
        <v>7</v>
      </c>
      <c r="Q28" s="56" t="s">
        <v>50</v>
      </c>
    </row>
    <row r="29" spans="1:17" ht="15.75">
      <c r="A29" s="923" t="s">
        <v>51</v>
      </c>
      <c r="B29" s="227">
        <v>12944</v>
      </c>
      <c r="C29" s="228">
        <v>0.1</v>
      </c>
      <c r="D29" s="229" t="s">
        <v>52</v>
      </c>
      <c r="E29" s="230">
        <v>2400000</v>
      </c>
      <c r="F29" s="231">
        <v>7.0000000000000007E-2</v>
      </c>
      <c r="G29" s="243">
        <f>E29*F29</f>
        <v>168000.00000000003</v>
      </c>
      <c r="H29" s="232" t="s">
        <v>26</v>
      </c>
      <c r="I29" s="233" t="s">
        <v>21</v>
      </c>
      <c r="J29" s="234" t="s">
        <v>19</v>
      </c>
      <c r="K29" s="351"/>
      <c r="L29" s="358"/>
      <c r="M29" s="240">
        <v>13032</v>
      </c>
      <c r="N29" s="355" t="s">
        <v>53</v>
      </c>
      <c r="O29" s="356">
        <v>800000</v>
      </c>
      <c r="P29" s="357">
        <v>0.05</v>
      </c>
      <c r="Q29" s="364">
        <f>O29*P29</f>
        <v>40000</v>
      </c>
    </row>
    <row r="30" spans="1:17" ht="15.75">
      <c r="A30" s="923"/>
      <c r="B30" s="227">
        <v>13022</v>
      </c>
      <c r="C30" s="228">
        <v>0.1</v>
      </c>
      <c r="D30" s="229" t="s">
        <v>54</v>
      </c>
      <c r="E30" s="230">
        <v>2200000</v>
      </c>
      <c r="F30" s="231">
        <v>0.12</v>
      </c>
      <c r="G30" s="243">
        <f t="shared" ref="G30:G41" si="1">E30*F30</f>
        <v>264000</v>
      </c>
      <c r="H30" s="232" t="s">
        <v>55</v>
      </c>
      <c r="I30" s="233" t="s">
        <v>18</v>
      </c>
      <c r="J30" s="234" t="s">
        <v>19</v>
      </c>
      <c r="K30" s="351"/>
      <c r="L30" s="358"/>
      <c r="M30" s="354"/>
      <c r="N30" s="96"/>
      <c r="O30" s="31"/>
      <c r="P30" s="67"/>
      <c r="Q30" s="97"/>
    </row>
    <row r="31" spans="1:17" ht="15.75">
      <c r="A31" s="923"/>
      <c r="B31" s="227">
        <v>13023</v>
      </c>
      <c r="C31" s="228">
        <v>0.1</v>
      </c>
      <c r="D31" s="229" t="s">
        <v>56</v>
      </c>
      <c r="E31" s="230">
        <v>1050000</v>
      </c>
      <c r="F31" s="231">
        <v>7.0000000000000007E-2</v>
      </c>
      <c r="G31" s="243">
        <f t="shared" si="1"/>
        <v>73500</v>
      </c>
      <c r="H31" s="232" t="s">
        <v>26</v>
      </c>
      <c r="I31" s="233" t="s">
        <v>18</v>
      </c>
      <c r="J31" s="234" t="s">
        <v>19</v>
      </c>
      <c r="K31" s="351"/>
      <c r="L31" s="358"/>
      <c r="M31" s="354"/>
      <c r="N31" s="96"/>
      <c r="O31" s="31"/>
      <c r="P31" s="67"/>
      <c r="Q31" s="97"/>
    </row>
    <row r="32" spans="1:17" ht="15.75">
      <c r="A32" s="923"/>
      <c r="B32" s="227">
        <v>13132</v>
      </c>
      <c r="C32" s="228">
        <v>0.1</v>
      </c>
      <c r="D32" s="229" t="s">
        <v>57</v>
      </c>
      <c r="E32" s="230">
        <v>1400000</v>
      </c>
      <c r="F32" s="231">
        <v>7.0000000000000007E-2</v>
      </c>
      <c r="G32" s="243">
        <f t="shared" si="1"/>
        <v>98000.000000000015</v>
      </c>
      <c r="H32" s="232" t="s">
        <v>26</v>
      </c>
      <c r="I32" s="233" t="s">
        <v>31</v>
      </c>
      <c r="J32" s="234" t="s">
        <v>19</v>
      </c>
      <c r="K32" s="351"/>
      <c r="L32" s="358"/>
      <c r="M32" s="354"/>
      <c r="N32" s="96"/>
      <c r="O32" s="31"/>
      <c r="P32" s="67"/>
      <c r="Q32" s="97"/>
    </row>
    <row r="33" spans="1:17" ht="15.75">
      <c r="A33" s="923"/>
      <c r="B33" s="227">
        <v>13048</v>
      </c>
      <c r="C33" s="228">
        <v>0.1</v>
      </c>
      <c r="D33" s="229" t="s">
        <v>58</v>
      </c>
      <c r="E33" s="230">
        <v>1800000</v>
      </c>
      <c r="F33" s="231">
        <v>0.12</v>
      </c>
      <c r="G33" s="243">
        <f t="shared" si="1"/>
        <v>216000</v>
      </c>
      <c r="H33" s="232" t="s">
        <v>55</v>
      </c>
      <c r="I33" s="233" t="s">
        <v>21</v>
      </c>
      <c r="J33" s="234" t="s">
        <v>19</v>
      </c>
      <c r="K33" s="351"/>
      <c r="L33" s="358"/>
      <c r="M33" s="354"/>
      <c r="N33" s="96"/>
      <c r="O33" s="31"/>
      <c r="P33" s="67"/>
      <c r="Q33" s="97"/>
    </row>
    <row r="34" spans="1:17" ht="15.75">
      <c r="A34" s="923"/>
      <c r="B34" s="227">
        <v>13046</v>
      </c>
      <c r="C34" s="228">
        <v>0.1</v>
      </c>
      <c r="D34" s="229" t="s">
        <v>59</v>
      </c>
      <c r="E34" s="230">
        <v>1450000</v>
      </c>
      <c r="F34" s="231">
        <v>0.12</v>
      </c>
      <c r="G34" s="243">
        <f t="shared" si="1"/>
        <v>174000</v>
      </c>
      <c r="H34" s="232" t="s">
        <v>55</v>
      </c>
      <c r="I34" s="233" t="s">
        <v>60</v>
      </c>
      <c r="J34" s="234" t="s">
        <v>19</v>
      </c>
      <c r="K34" s="351"/>
      <c r="L34" s="358"/>
      <c r="M34" s="354"/>
      <c r="N34" s="96"/>
      <c r="O34" s="31"/>
      <c r="P34" s="67"/>
      <c r="Q34" s="97"/>
    </row>
    <row r="35" spans="1:17" ht="15.75">
      <c r="A35" s="923"/>
      <c r="B35" s="227">
        <v>13057</v>
      </c>
      <c r="C35" s="296">
        <v>0.1</v>
      </c>
      <c r="D35" s="229" t="s">
        <v>61</v>
      </c>
      <c r="E35" s="230">
        <v>1500000</v>
      </c>
      <c r="F35" s="231">
        <v>0.12</v>
      </c>
      <c r="G35" s="243">
        <f t="shared" si="1"/>
        <v>180000</v>
      </c>
      <c r="H35" s="298" t="s">
        <v>62</v>
      </c>
      <c r="I35" s="233" t="s">
        <v>31</v>
      </c>
      <c r="J35" s="234" t="s">
        <v>19</v>
      </c>
      <c r="K35" s="351"/>
      <c r="L35" s="358"/>
      <c r="M35" s="354"/>
      <c r="N35" s="96"/>
      <c r="O35" s="31"/>
      <c r="P35" s="67"/>
      <c r="Q35" s="97"/>
    </row>
    <row r="36" spans="1:17" ht="15.75">
      <c r="A36" s="923"/>
      <c r="B36" s="252">
        <v>13061</v>
      </c>
      <c r="C36" s="228">
        <v>0.1</v>
      </c>
      <c r="D36" s="229" t="s">
        <v>63</v>
      </c>
      <c r="E36" s="294">
        <v>1000000</v>
      </c>
      <c r="F36" s="295">
        <v>0.12</v>
      </c>
      <c r="G36" s="243">
        <f t="shared" si="1"/>
        <v>120000</v>
      </c>
      <c r="H36" s="297" t="s">
        <v>62</v>
      </c>
      <c r="I36" s="234" t="s">
        <v>18</v>
      </c>
      <c r="J36" s="234" t="s">
        <v>19</v>
      </c>
      <c r="K36" s="351"/>
      <c r="L36" s="359"/>
      <c r="M36" s="354"/>
      <c r="N36" s="96"/>
      <c r="O36" s="31"/>
      <c r="P36" s="67"/>
      <c r="Q36" s="97"/>
    </row>
    <row r="37" spans="1:17" ht="15.75">
      <c r="A37" s="923"/>
      <c r="B37" s="240">
        <v>13089</v>
      </c>
      <c r="C37" s="340">
        <v>0.1</v>
      </c>
      <c r="D37" s="229" t="s">
        <v>64</v>
      </c>
      <c r="E37" s="294">
        <v>1600000</v>
      </c>
      <c r="F37" s="295">
        <v>0.12</v>
      </c>
      <c r="G37" s="243">
        <f t="shared" si="1"/>
        <v>192000</v>
      </c>
      <c r="H37" s="307" t="s">
        <v>62</v>
      </c>
      <c r="I37" s="234" t="s">
        <v>21</v>
      </c>
      <c r="J37" s="234" t="s">
        <v>19</v>
      </c>
      <c r="K37" s="351"/>
      <c r="L37" s="359"/>
      <c r="M37" s="354"/>
      <c r="N37" s="96"/>
      <c r="O37" s="31"/>
      <c r="P37" s="67"/>
      <c r="Q37" s="97"/>
    </row>
    <row r="38" spans="1:17" ht="15.75">
      <c r="A38" s="923"/>
      <c r="B38" s="341">
        <v>13111</v>
      </c>
      <c r="C38" s="228">
        <v>0.1</v>
      </c>
      <c r="D38" s="339" t="s">
        <v>65</v>
      </c>
      <c r="E38" s="294">
        <v>1800000</v>
      </c>
      <c r="F38" s="295">
        <v>0.12</v>
      </c>
      <c r="G38" s="243">
        <f t="shared" si="1"/>
        <v>216000</v>
      </c>
      <c r="H38" s="307" t="s">
        <v>62</v>
      </c>
      <c r="I38" s="234" t="s">
        <v>60</v>
      </c>
      <c r="J38" s="350" t="s">
        <v>19</v>
      </c>
      <c r="K38" s="350"/>
      <c r="L38" s="359"/>
      <c r="M38" s="354"/>
      <c r="N38" s="96"/>
      <c r="O38" s="31"/>
      <c r="P38" s="67"/>
      <c r="Q38" s="97"/>
    </row>
    <row r="39" spans="1:17" ht="15.75">
      <c r="A39" s="923"/>
      <c r="B39" s="341">
        <v>13112</v>
      </c>
      <c r="C39" s="228">
        <v>0.1</v>
      </c>
      <c r="D39" s="339" t="s">
        <v>66</v>
      </c>
      <c r="E39" s="294">
        <v>1800000</v>
      </c>
      <c r="F39" s="342">
        <v>7.0000000000000007E-2</v>
      </c>
      <c r="G39" s="243">
        <f t="shared" si="1"/>
        <v>126000.00000000001</v>
      </c>
      <c r="H39" s="232" t="s">
        <v>39</v>
      </c>
      <c r="I39" s="234" t="s">
        <v>60</v>
      </c>
      <c r="J39" s="350" t="s">
        <v>19</v>
      </c>
      <c r="K39" s="350"/>
      <c r="L39" s="359"/>
      <c r="M39" s="354"/>
      <c r="N39" s="96"/>
      <c r="O39" s="31"/>
      <c r="P39" s="67"/>
      <c r="Q39" s="97"/>
    </row>
    <row r="40" spans="1:17" ht="15.75">
      <c r="A40" s="923"/>
      <c r="B40" s="341">
        <v>13126</v>
      </c>
      <c r="C40" s="228">
        <v>0.1</v>
      </c>
      <c r="D40" s="229" t="s">
        <v>67</v>
      </c>
      <c r="E40" s="230">
        <v>1030000</v>
      </c>
      <c r="F40" s="231">
        <v>7.0000000000000007E-2</v>
      </c>
      <c r="G40" s="243">
        <f t="shared" si="1"/>
        <v>72100</v>
      </c>
      <c r="H40" s="232" t="s">
        <v>39</v>
      </c>
      <c r="I40" s="233" t="s">
        <v>21</v>
      </c>
      <c r="J40" s="234" t="s">
        <v>19</v>
      </c>
      <c r="K40" s="351"/>
      <c r="L40" s="360"/>
      <c r="M40" s="354"/>
      <c r="N40" s="96"/>
      <c r="O40" s="31"/>
      <c r="P40" s="67"/>
      <c r="Q40" s="97"/>
    </row>
    <row r="41" spans="1:17" ht="15.75">
      <c r="A41" s="923"/>
      <c r="B41" s="343">
        <v>13131</v>
      </c>
      <c r="C41" s="231">
        <v>0.1</v>
      </c>
      <c r="D41" s="344" t="s">
        <v>68</v>
      </c>
      <c r="E41" s="230">
        <v>1700000</v>
      </c>
      <c r="F41" s="231">
        <v>0.12</v>
      </c>
      <c r="G41" s="243">
        <f t="shared" si="1"/>
        <v>204000</v>
      </c>
      <c r="H41" s="232" t="s">
        <v>62</v>
      </c>
      <c r="I41" s="233" t="s">
        <v>31</v>
      </c>
      <c r="J41" s="234" t="s">
        <v>19</v>
      </c>
      <c r="K41" s="351"/>
      <c r="L41" s="360"/>
      <c r="M41" s="354"/>
      <c r="N41" s="96"/>
      <c r="O41" s="31"/>
      <c r="P41" s="67"/>
      <c r="Q41" s="97"/>
    </row>
    <row r="42" spans="1:17" ht="15.75">
      <c r="A42" s="923"/>
      <c r="B42" s="281" t="s">
        <v>69</v>
      </c>
      <c r="C42" s="282"/>
      <c r="D42" s="283" t="s">
        <v>45</v>
      </c>
      <c r="E42" s="284"/>
      <c r="F42" s="285"/>
      <c r="G42" s="286"/>
      <c r="H42" s="287"/>
      <c r="I42" s="288" t="s">
        <v>18</v>
      </c>
      <c r="J42" s="289"/>
      <c r="K42" s="289"/>
      <c r="L42" s="361"/>
      <c r="M42" s="354"/>
      <c r="N42" s="96"/>
      <c r="O42" s="31"/>
      <c r="P42" s="67"/>
      <c r="Q42" s="97"/>
    </row>
    <row r="43" spans="1:17" ht="15.75">
      <c r="A43" s="924"/>
      <c r="B43" s="13"/>
      <c r="C43" s="14"/>
      <c r="D43" s="15" t="s">
        <v>46</v>
      </c>
      <c r="E43" s="16">
        <f>SUM(E29:E42)</f>
        <v>20730000</v>
      </c>
      <c r="F43" s="17"/>
      <c r="G43" s="383">
        <f>SUM(G29:G42)</f>
        <v>2103600</v>
      </c>
      <c r="H43" s="17"/>
      <c r="I43" s="18"/>
      <c r="J43" s="18"/>
      <c r="K43" s="18"/>
      <c r="L43" s="19"/>
      <c r="M43" s="62"/>
      <c r="N43" s="925" t="s">
        <v>70</v>
      </c>
      <c r="O43" s="926"/>
      <c r="P43" s="926"/>
      <c r="Q43" s="65">
        <f>G43+Q29</f>
        <v>2143600</v>
      </c>
    </row>
    <row r="47" spans="1:17" ht="18">
      <c r="A47" s="918" t="s">
        <v>71</v>
      </c>
      <c r="B47" s="918"/>
      <c r="C47" s="918"/>
      <c r="D47" s="918"/>
      <c r="E47" s="918"/>
      <c r="F47" s="918"/>
      <c r="G47" s="918"/>
      <c r="H47" s="918"/>
      <c r="I47" s="968"/>
      <c r="J47" s="968"/>
      <c r="K47" s="968"/>
      <c r="L47" s="968"/>
      <c r="M47" s="955" t="s">
        <v>14</v>
      </c>
      <c r="N47" s="955"/>
      <c r="O47" s="955"/>
      <c r="P47" s="955"/>
      <c r="Q47" s="76"/>
    </row>
    <row r="48" spans="1:17" ht="15.75">
      <c r="A48" s="46" t="s">
        <v>2</v>
      </c>
      <c r="B48" s="77" t="s">
        <v>3</v>
      </c>
      <c r="C48" s="49" t="s">
        <v>4</v>
      </c>
      <c r="D48" s="46" t="s">
        <v>5</v>
      </c>
      <c r="E48" s="78" t="s">
        <v>6</v>
      </c>
      <c r="F48" s="49" t="s">
        <v>7</v>
      </c>
      <c r="G48" s="50" t="s">
        <v>8</v>
      </c>
      <c r="H48" s="49" t="s">
        <v>9</v>
      </c>
      <c r="I48" s="79" t="s">
        <v>10</v>
      </c>
      <c r="J48" s="79" t="s">
        <v>11</v>
      </c>
      <c r="K48" s="79" t="s">
        <v>12</v>
      </c>
      <c r="L48" s="49" t="s">
        <v>13</v>
      </c>
      <c r="M48" s="54" t="s">
        <v>3</v>
      </c>
      <c r="N48" s="39" t="s">
        <v>5</v>
      </c>
      <c r="O48" s="39" t="s">
        <v>49</v>
      </c>
      <c r="P48" s="371" t="s">
        <v>7</v>
      </c>
      <c r="Q48" s="56" t="s">
        <v>50</v>
      </c>
    </row>
    <row r="49" spans="1:17" ht="15.75">
      <c r="A49" s="923" t="s">
        <v>72</v>
      </c>
      <c r="B49" s="214">
        <v>12915</v>
      </c>
      <c r="C49" s="348">
        <v>0.09</v>
      </c>
      <c r="D49" s="215" t="s">
        <v>73</v>
      </c>
      <c r="E49" s="216">
        <v>1650000</v>
      </c>
      <c r="F49" s="217">
        <v>0.08</v>
      </c>
      <c r="G49" s="218">
        <f>E49*F49</f>
        <v>132000</v>
      </c>
      <c r="H49" s="219" t="s">
        <v>74</v>
      </c>
      <c r="I49" s="220" t="s">
        <v>21</v>
      </c>
      <c r="J49" s="220" t="s">
        <v>19</v>
      </c>
      <c r="K49" s="220"/>
      <c r="L49" s="373"/>
      <c r="M49" s="372">
        <v>13105</v>
      </c>
      <c r="N49" s="236" t="s">
        <v>75</v>
      </c>
      <c r="O49" s="237">
        <v>1450000</v>
      </c>
      <c r="P49" s="228">
        <v>0.05</v>
      </c>
      <c r="Q49" s="375">
        <f>O49*P49</f>
        <v>72500</v>
      </c>
    </row>
    <row r="50" spans="1:17" ht="15.75">
      <c r="A50" s="923"/>
      <c r="B50" s="214">
        <v>12949</v>
      </c>
      <c r="C50" s="221">
        <v>0.1</v>
      </c>
      <c r="D50" s="261" t="s">
        <v>76</v>
      </c>
      <c r="E50" s="216">
        <v>1800000</v>
      </c>
      <c r="F50" s="228">
        <v>0.06</v>
      </c>
      <c r="G50" s="218">
        <f t="shared" ref="G50:G60" si="2">E50*F50</f>
        <v>108000</v>
      </c>
      <c r="H50" s="219" t="s">
        <v>26</v>
      </c>
      <c r="I50" s="220" t="s">
        <v>18</v>
      </c>
      <c r="J50" s="220" t="s">
        <v>19</v>
      </c>
      <c r="K50" s="220"/>
      <c r="L50" s="373"/>
      <c r="M50" s="80"/>
      <c r="N50" s="370"/>
      <c r="O50" s="370"/>
      <c r="P50" s="370"/>
      <c r="Q50" s="97"/>
    </row>
    <row r="51" spans="1:17" ht="15.75">
      <c r="A51" s="923"/>
      <c r="B51" s="214">
        <v>12972</v>
      </c>
      <c r="C51" s="221">
        <v>0.1</v>
      </c>
      <c r="D51" s="261" t="s">
        <v>77</v>
      </c>
      <c r="E51" s="216">
        <v>1550000</v>
      </c>
      <c r="F51" s="228">
        <v>0.1</v>
      </c>
      <c r="G51" s="218">
        <f t="shared" si="2"/>
        <v>155000</v>
      </c>
      <c r="H51" s="219" t="s">
        <v>74</v>
      </c>
      <c r="I51" s="220" t="s">
        <v>18</v>
      </c>
      <c r="J51" s="220" t="s">
        <v>19</v>
      </c>
      <c r="K51" s="220"/>
      <c r="L51" s="373"/>
      <c r="M51" s="80"/>
      <c r="N51" s="370"/>
      <c r="O51" s="370"/>
      <c r="P51" s="370"/>
      <c r="Q51" s="97"/>
    </row>
    <row r="52" spans="1:17" ht="15.75">
      <c r="A52" s="923"/>
      <c r="B52" s="214">
        <v>12979</v>
      </c>
      <c r="C52" s="221">
        <v>0.1</v>
      </c>
      <c r="D52" s="261" t="s">
        <v>78</v>
      </c>
      <c r="E52" s="216">
        <v>1450000</v>
      </c>
      <c r="F52" s="228">
        <v>0.06</v>
      </c>
      <c r="G52" s="218">
        <f t="shared" si="2"/>
        <v>87000</v>
      </c>
      <c r="H52" s="219" t="s">
        <v>26</v>
      </c>
      <c r="I52" s="220" t="s">
        <v>18</v>
      </c>
      <c r="J52" s="220" t="s">
        <v>19</v>
      </c>
      <c r="K52" s="220"/>
      <c r="L52" s="373"/>
      <c r="M52" s="80"/>
      <c r="N52" s="370"/>
      <c r="O52" s="370"/>
      <c r="P52" s="370"/>
      <c r="Q52" s="97"/>
    </row>
    <row r="53" spans="1:17" ht="15.75">
      <c r="A53" s="923"/>
      <c r="B53" s="214">
        <v>12983</v>
      </c>
      <c r="C53" s="221">
        <v>0.1</v>
      </c>
      <c r="D53" s="261" t="s">
        <v>79</v>
      </c>
      <c r="E53" s="216">
        <v>1200000</v>
      </c>
      <c r="F53" s="228">
        <v>0.1</v>
      </c>
      <c r="G53" s="218">
        <f t="shared" si="2"/>
        <v>120000</v>
      </c>
      <c r="H53" s="219" t="s">
        <v>74</v>
      </c>
      <c r="I53" s="220" t="s">
        <v>21</v>
      </c>
      <c r="J53" s="220" t="s">
        <v>19</v>
      </c>
      <c r="K53" s="220"/>
      <c r="L53" s="373"/>
      <c r="M53" s="80"/>
      <c r="N53" s="370"/>
      <c r="O53" s="370"/>
      <c r="P53" s="370"/>
      <c r="Q53" s="97"/>
    </row>
    <row r="54" spans="1:17" ht="15.75">
      <c r="A54" s="923"/>
      <c r="B54" s="214">
        <v>12989</v>
      </c>
      <c r="C54" s="221">
        <v>0.1</v>
      </c>
      <c r="D54" s="272" t="s">
        <v>80</v>
      </c>
      <c r="E54" s="216">
        <v>1700000</v>
      </c>
      <c r="F54" s="228">
        <v>0.06</v>
      </c>
      <c r="G54" s="218">
        <f t="shared" si="2"/>
        <v>102000</v>
      </c>
      <c r="H54" s="219" t="s">
        <v>26</v>
      </c>
      <c r="I54" s="220" t="s">
        <v>60</v>
      </c>
      <c r="J54" s="233" t="s">
        <v>19</v>
      </c>
      <c r="K54" s="233"/>
      <c r="L54" s="373"/>
      <c r="M54" s="80"/>
      <c r="N54" s="370"/>
      <c r="O54" s="370"/>
      <c r="P54" s="370"/>
      <c r="Q54" s="97"/>
    </row>
    <row r="55" spans="1:17" ht="15.75">
      <c r="A55" s="923"/>
      <c r="B55" s="214">
        <v>12992</v>
      </c>
      <c r="C55" s="221">
        <v>0.1</v>
      </c>
      <c r="D55" s="272" t="s">
        <v>81</v>
      </c>
      <c r="E55" s="216">
        <v>1800000</v>
      </c>
      <c r="F55" s="228">
        <v>0.05</v>
      </c>
      <c r="G55" s="218">
        <f t="shared" si="2"/>
        <v>90000</v>
      </c>
      <c r="H55" s="219" t="s">
        <v>82</v>
      </c>
      <c r="I55" s="220" t="s">
        <v>21</v>
      </c>
      <c r="J55" s="233" t="s">
        <v>19</v>
      </c>
      <c r="K55" s="233"/>
      <c r="L55" s="373"/>
      <c r="M55" s="80"/>
      <c r="N55" s="370"/>
      <c r="O55" s="370"/>
      <c r="P55" s="370"/>
      <c r="Q55" s="97"/>
    </row>
    <row r="56" spans="1:17" ht="15.75">
      <c r="A56" s="923"/>
      <c r="B56" s="214">
        <v>13056</v>
      </c>
      <c r="C56" s="221">
        <v>0.1</v>
      </c>
      <c r="D56" s="272" t="s">
        <v>83</v>
      </c>
      <c r="E56" s="216">
        <v>1400000</v>
      </c>
      <c r="F56" s="228">
        <v>0.1</v>
      </c>
      <c r="G56" s="218">
        <f t="shared" si="2"/>
        <v>140000</v>
      </c>
      <c r="H56" s="219" t="s">
        <v>74</v>
      </c>
      <c r="I56" s="220" t="s">
        <v>60</v>
      </c>
      <c r="J56" s="233" t="s">
        <v>19</v>
      </c>
      <c r="K56" s="233"/>
      <c r="L56" s="373"/>
      <c r="M56" s="80"/>
      <c r="N56" s="370"/>
      <c r="O56" s="370"/>
      <c r="P56" s="370"/>
      <c r="Q56" s="97"/>
    </row>
    <row r="57" spans="1:17" ht="15.75">
      <c r="A57" s="923"/>
      <c r="B57" s="214">
        <v>13013</v>
      </c>
      <c r="C57" s="221">
        <v>0.1</v>
      </c>
      <c r="D57" s="277" t="s">
        <v>84</v>
      </c>
      <c r="E57" s="278">
        <v>1300000</v>
      </c>
      <c r="F57" s="228">
        <v>0.1</v>
      </c>
      <c r="G57" s="218">
        <f t="shared" si="2"/>
        <v>130000</v>
      </c>
      <c r="H57" s="279" t="s">
        <v>74</v>
      </c>
      <c r="I57" s="220" t="s">
        <v>60</v>
      </c>
      <c r="J57" s="280" t="s">
        <v>19</v>
      </c>
      <c r="K57" s="280"/>
      <c r="L57" s="373"/>
      <c r="M57" s="80"/>
      <c r="N57" s="370"/>
      <c r="O57" s="370"/>
      <c r="P57" s="370"/>
      <c r="Q57" s="97"/>
    </row>
    <row r="58" spans="1:17" ht="15.75">
      <c r="A58" s="923"/>
      <c r="B58" s="214">
        <v>13035</v>
      </c>
      <c r="C58" s="348">
        <v>0.08</v>
      </c>
      <c r="D58" s="277" t="s">
        <v>85</v>
      </c>
      <c r="E58" s="216">
        <v>2600000</v>
      </c>
      <c r="F58" s="217">
        <v>0.08</v>
      </c>
      <c r="G58" s="218">
        <f t="shared" si="2"/>
        <v>208000</v>
      </c>
      <c r="H58" s="219" t="s">
        <v>74</v>
      </c>
      <c r="I58" s="220" t="s">
        <v>31</v>
      </c>
      <c r="J58" s="280" t="s">
        <v>19</v>
      </c>
      <c r="K58" s="280"/>
      <c r="L58" s="373"/>
      <c r="M58" s="80"/>
      <c r="N58" s="370"/>
      <c r="O58" s="370"/>
      <c r="P58" s="370"/>
      <c r="Q58" s="97"/>
    </row>
    <row r="59" spans="1:17" ht="15.75">
      <c r="A59" s="923"/>
      <c r="B59" s="214">
        <v>13044</v>
      </c>
      <c r="C59" s="221">
        <v>0.1</v>
      </c>
      <c r="D59" s="277" t="s">
        <v>86</v>
      </c>
      <c r="E59" s="216">
        <v>1800000</v>
      </c>
      <c r="F59" s="228">
        <v>0.05</v>
      </c>
      <c r="G59" s="218">
        <f t="shared" si="2"/>
        <v>90000</v>
      </c>
      <c r="H59" s="219" t="s">
        <v>29</v>
      </c>
      <c r="I59" s="220" t="s">
        <v>60</v>
      </c>
      <c r="J59" s="280" t="s">
        <v>19</v>
      </c>
      <c r="K59" s="280"/>
      <c r="L59" s="373"/>
      <c r="M59" s="80"/>
      <c r="N59" s="370"/>
      <c r="O59" s="370"/>
      <c r="P59" s="370"/>
      <c r="Q59" s="97"/>
    </row>
    <row r="60" spans="1:17" ht="15.75">
      <c r="A60" s="923"/>
      <c r="B60" s="214">
        <v>12984</v>
      </c>
      <c r="C60" s="221">
        <v>0.1</v>
      </c>
      <c r="D60" s="277" t="s">
        <v>87</v>
      </c>
      <c r="E60" s="216">
        <v>1200000</v>
      </c>
      <c r="F60" s="228">
        <v>0.06</v>
      </c>
      <c r="G60" s="218">
        <f t="shared" si="2"/>
        <v>72000</v>
      </c>
      <c r="H60" s="219" t="s">
        <v>26</v>
      </c>
      <c r="I60" s="220" t="s">
        <v>31</v>
      </c>
      <c r="J60" s="280" t="s">
        <v>19</v>
      </c>
      <c r="K60" s="280"/>
      <c r="L60" s="373"/>
      <c r="M60" s="80"/>
      <c r="N60" s="370"/>
      <c r="O60" s="370"/>
      <c r="P60" s="370"/>
      <c r="Q60" s="97"/>
    </row>
    <row r="61" spans="1:17" ht="15.75">
      <c r="A61" s="923"/>
      <c r="B61" s="262" t="s">
        <v>40</v>
      </c>
      <c r="C61" s="263"/>
      <c r="D61" s="264" t="s">
        <v>88</v>
      </c>
      <c r="E61" s="265"/>
      <c r="F61" s="254"/>
      <c r="G61" s="266"/>
      <c r="H61" s="267"/>
      <c r="I61" s="268" t="s">
        <v>60</v>
      </c>
      <c r="J61" s="269"/>
      <c r="K61" s="269"/>
      <c r="L61" s="374"/>
      <c r="M61" s="80"/>
      <c r="N61" s="370"/>
      <c r="O61" s="370"/>
      <c r="P61" s="370"/>
      <c r="Q61" s="97"/>
    </row>
    <row r="62" spans="1:17" ht="15.75">
      <c r="A62" s="923"/>
      <c r="B62" s="253" t="s">
        <v>40</v>
      </c>
      <c r="C62" s="263"/>
      <c r="D62" s="270" t="s">
        <v>42</v>
      </c>
      <c r="E62" s="265"/>
      <c r="F62" s="271"/>
      <c r="G62" s="266"/>
      <c r="H62" s="267"/>
      <c r="I62" s="268" t="s">
        <v>60</v>
      </c>
      <c r="J62" s="269"/>
      <c r="K62" s="269"/>
      <c r="L62" s="374"/>
      <c r="M62" s="80"/>
      <c r="N62" s="370"/>
      <c r="O62" s="370"/>
      <c r="P62" s="370"/>
      <c r="Q62" s="97"/>
    </row>
    <row r="63" spans="1:17" ht="15.75">
      <c r="A63" s="923"/>
      <c r="B63" s="253" t="s">
        <v>40</v>
      </c>
      <c r="C63" s="263"/>
      <c r="D63" s="264" t="s">
        <v>89</v>
      </c>
      <c r="E63" s="265"/>
      <c r="F63" s="254"/>
      <c r="G63" s="266"/>
      <c r="H63" s="267"/>
      <c r="I63" s="268" t="s">
        <v>18</v>
      </c>
      <c r="J63" s="269"/>
      <c r="K63" s="269"/>
      <c r="L63" s="374"/>
      <c r="M63" s="80"/>
      <c r="N63" s="370"/>
      <c r="O63" s="370"/>
      <c r="P63" s="370"/>
      <c r="Q63" s="97"/>
    </row>
    <row r="64" spans="1:17" ht="15.75">
      <c r="A64" s="923"/>
      <c r="B64" s="253" t="s">
        <v>40</v>
      </c>
      <c r="C64" s="263"/>
      <c r="D64" s="264" t="s">
        <v>90</v>
      </c>
      <c r="E64" s="265"/>
      <c r="F64" s="254"/>
      <c r="G64" s="266"/>
      <c r="H64" s="267"/>
      <c r="I64" s="268" t="s">
        <v>18</v>
      </c>
      <c r="J64" s="269"/>
      <c r="K64" s="269"/>
      <c r="L64" s="374"/>
      <c r="M64" s="80"/>
      <c r="N64" s="370"/>
      <c r="O64" s="370"/>
      <c r="P64" s="370"/>
      <c r="Q64" s="97"/>
    </row>
    <row r="65" spans="1:17" ht="15.75">
      <c r="A65" s="954"/>
      <c r="B65" s="13"/>
      <c r="C65" s="14"/>
      <c r="D65" s="15" t="s">
        <v>46</v>
      </c>
      <c r="E65" s="82">
        <f>SUM(E49:E64)</f>
        <v>19450000</v>
      </c>
      <c r="F65" s="17"/>
      <c r="G65" s="383">
        <f>SUM(G49:G64)</f>
        <v>1434000</v>
      </c>
      <c r="H65" s="17"/>
      <c r="I65" s="18"/>
      <c r="J65" s="18"/>
      <c r="K65" s="18"/>
      <c r="L65" s="83"/>
      <c r="M65" s="62"/>
      <c r="N65" s="926" t="s">
        <v>70</v>
      </c>
      <c r="O65" s="926"/>
      <c r="P65" s="926"/>
      <c r="Q65" s="65">
        <f>G65+Q49</f>
        <v>1506500</v>
      </c>
    </row>
    <row r="69" spans="1:17" ht="18">
      <c r="A69" s="918" t="s">
        <v>91</v>
      </c>
      <c r="B69" s="918"/>
      <c r="C69" s="919"/>
      <c r="D69" s="919"/>
      <c r="E69" s="919"/>
      <c r="F69" s="919"/>
      <c r="G69" s="919"/>
      <c r="H69" s="919"/>
      <c r="I69" s="966"/>
      <c r="J69" s="967"/>
      <c r="K69" s="958"/>
      <c r="L69" s="958"/>
      <c r="M69" s="921" t="s">
        <v>14</v>
      </c>
      <c r="N69" s="921"/>
      <c r="O69" s="921"/>
      <c r="P69" s="921"/>
      <c r="Q69" s="89"/>
    </row>
    <row r="70" spans="1:17" ht="15.75">
      <c r="A70" s="46" t="s">
        <v>2</v>
      </c>
      <c r="B70" s="90" t="s">
        <v>3</v>
      </c>
      <c r="C70" s="46" t="s">
        <v>4</v>
      </c>
      <c r="D70" s="46" t="s">
        <v>5</v>
      </c>
      <c r="E70" s="48" t="s">
        <v>6</v>
      </c>
      <c r="F70" s="46" t="s">
        <v>7</v>
      </c>
      <c r="G70" s="91" t="s">
        <v>8</v>
      </c>
      <c r="H70" s="46" t="s">
        <v>9</v>
      </c>
      <c r="I70" s="52" t="s">
        <v>10</v>
      </c>
      <c r="J70" s="52" t="s">
        <v>11</v>
      </c>
      <c r="K70" s="92" t="s">
        <v>12</v>
      </c>
      <c r="L70" s="93" t="s">
        <v>13</v>
      </c>
      <c r="M70" s="46" t="s">
        <v>3</v>
      </c>
      <c r="N70" s="46" t="s">
        <v>5</v>
      </c>
      <c r="O70" s="46" t="s">
        <v>49</v>
      </c>
      <c r="P70" s="46" t="s">
        <v>7</v>
      </c>
      <c r="Q70" s="94" t="s">
        <v>50</v>
      </c>
    </row>
    <row r="71" spans="1:17" ht="15.75">
      <c r="A71" s="923" t="s">
        <v>15</v>
      </c>
      <c r="B71" s="240">
        <v>12936</v>
      </c>
      <c r="C71" s="228">
        <v>0.1</v>
      </c>
      <c r="D71" s="241" t="s">
        <v>92</v>
      </c>
      <c r="E71" s="242">
        <v>1000000</v>
      </c>
      <c r="F71" s="228">
        <v>0.1</v>
      </c>
      <c r="G71" s="243">
        <f>E71*F71</f>
        <v>100000</v>
      </c>
      <c r="H71" s="244" t="s">
        <v>93</v>
      </c>
      <c r="I71" s="239" t="s">
        <v>18</v>
      </c>
      <c r="J71" s="239" t="s">
        <v>19</v>
      </c>
      <c r="K71" s="27"/>
      <c r="L71" s="95"/>
      <c r="M71" s="57"/>
      <c r="N71" s="96"/>
      <c r="O71" s="31"/>
      <c r="P71" s="67"/>
      <c r="Q71" s="97"/>
    </row>
    <row r="72" spans="1:17" ht="15.75">
      <c r="A72" s="923"/>
      <c r="B72" s="240">
        <v>12950</v>
      </c>
      <c r="C72" s="228">
        <v>0.1</v>
      </c>
      <c r="D72" s="241" t="s">
        <v>94</v>
      </c>
      <c r="E72" s="242">
        <v>850000</v>
      </c>
      <c r="F72" s="228">
        <v>0.1</v>
      </c>
      <c r="G72" s="243">
        <f t="shared" ref="G72:G79" si="3">E72*F72</f>
        <v>85000</v>
      </c>
      <c r="H72" s="244" t="s">
        <v>95</v>
      </c>
      <c r="I72" s="239" t="s">
        <v>18</v>
      </c>
      <c r="J72" s="239" t="s">
        <v>19</v>
      </c>
      <c r="K72" s="27"/>
      <c r="L72" s="95"/>
      <c r="M72" s="57"/>
      <c r="N72" s="96"/>
      <c r="O72" s="31"/>
      <c r="P72" s="67"/>
      <c r="Q72" s="97"/>
    </row>
    <row r="73" spans="1:17" ht="15.75">
      <c r="A73" s="923"/>
      <c r="B73" s="240">
        <v>12966</v>
      </c>
      <c r="C73" s="228">
        <v>0.1</v>
      </c>
      <c r="D73" s="241" t="s">
        <v>96</v>
      </c>
      <c r="E73" s="242">
        <v>1100000</v>
      </c>
      <c r="F73" s="228">
        <v>0.1</v>
      </c>
      <c r="G73" s="243">
        <f t="shared" si="3"/>
        <v>110000</v>
      </c>
      <c r="H73" s="244" t="s">
        <v>95</v>
      </c>
      <c r="I73" s="239" t="s">
        <v>18</v>
      </c>
      <c r="J73" s="239" t="s">
        <v>19</v>
      </c>
      <c r="K73" s="27"/>
      <c r="L73" s="95"/>
      <c r="M73" s="57"/>
      <c r="N73" s="96"/>
      <c r="O73" s="31"/>
      <c r="P73" s="67"/>
      <c r="Q73" s="97"/>
    </row>
    <row r="74" spans="1:17" ht="15.75">
      <c r="A74" s="923"/>
      <c r="B74" s="260">
        <v>12974</v>
      </c>
      <c r="C74" s="228">
        <v>0.1</v>
      </c>
      <c r="D74" s="241" t="s">
        <v>97</v>
      </c>
      <c r="E74" s="242">
        <v>1100000</v>
      </c>
      <c r="F74" s="228">
        <v>0.06</v>
      </c>
      <c r="G74" s="243">
        <f t="shared" si="3"/>
        <v>66000</v>
      </c>
      <c r="H74" s="244" t="s">
        <v>26</v>
      </c>
      <c r="I74" s="239" t="s">
        <v>60</v>
      </c>
      <c r="J74" s="239" t="s">
        <v>19</v>
      </c>
      <c r="K74" s="27"/>
      <c r="L74" s="95"/>
      <c r="M74" s="57"/>
      <c r="N74" s="96"/>
      <c r="O74" s="31"/>
      <c r="P74" s="67"/>
      <c r="Q74" s="97"/>
    </row>
    <row r="75" spans="1:17" ht="15.75">
      <c r="A75" s="923"/>
      <c r="B75" s="240">
        <v>12982</v>
      </c>
      <c r="C75" s="228">
        <v>0.1</v>
      </c>
      <c r="D75" s="241" t="s">
        <v>98</v>
      </c>
      <c r="E75" s="242">
        <v>800000</v>
      </c>
      <c r="F75" s="228">
        <v>0.06</v>
      </c>
      <c r="G75" s="243">
        <f t="shared" si="3"/>
        <v>48000</v>
      </c>
      <c r="H75" s="244" t="s">
        <v>26</v>
      </c>
      <c r="I75" s="239" t="s">
        <v>60</v>
      </c>
      <c r="J75" s="239" t="s">
        <v>19</v>
      </c>
      <c r="K75" s="27"/>
      <c r="L75" s="95"/>
      <c r="M75" s="57"/>
      <c r="N75" s="96"/>
      <c r="O75" s="31"/>
      <c r="P75" s="67"/>
      <c r="Q75" s="97"/>
    </row>
    <row r="76" spans="1:17" ht="15.75">
      <c r="A76" s="923"/>
      <c r="B76" s="240">
        <v>13010</v>
      </c>
      <c r="C76" s="228">
        <v>0.1</v>
      </c>
      <c r="D76" s="241" t="s">
        <v>99</v>
      </c>
      <c r="E76" s="242">
        <v>1000000</v>
      </c>
      <c r="F76" s="228">
        <v>0.1</v>
      </c>
      <c r="G76" s="243">
        <f t="shared" si="3"/>
        <v>100000</v>
      </c>
      <c r="H76" s="244" t="s">
        <v>95</v>
      </c>
      <c r="I76" s="239" t="s">
        <v>18</v>
      </c>
      <c r="J76" s="239" t="s">
        <v>19</v>
      </c>
      <c r="K76" s="27"/>
      <c r="L76" s="95"/>
      <c r="M76" s="57"/>
      <c r="N76" s="96"/>
      <c r="O76" s="31"/>
      <c r="P76" s="67"/>
      <c r="Q76" s="97"/>
    </row>
    <row r="77" spans="1:17" ht="15.75">
      <c r="A77" s="923"/>
      <c r="B77" s="240">
        <v>13027</v>
      </c>
      <c r="C77" s="228">
        <v>0.1</v>
      </c>
      <c r="D77" s="241" t="s">
        <v>100</v>
      </c>
      <c r="E77" s="242">
        <v>1100000</v>
      </c>
      <c r="F77" s="228">
        <v>0.1</v>
      </c>
      <c r="G77" s="243">
        <f t="shared" si="3"/>
        <v>110000</v>
      </c>
      <c r="H77" s="244" t="s">
        <v>95</v>
      </c>
      <c r="I77" s="239" t="s">
        <v>60</v>
      </c>
      <c r="J77" s="239" t="s">
        <v>19</v>
      </c>
      <c r="K77" s="27"/>
      <c r="L77" s="95"/>
      <c r="M77" s="57"/>
      <c r="N77" s="96"/>
      <c r="O77" s="31"/>
      <c r="P77" s="67"/>
      <c r="Q77" s="97"/>
    </row>
    <row r="78" spans="1:17" ht="15.75">
      <c r="A78" s="923"/>
      <c r="B78" s="240">
        <v>13032</v>
      </c>
      <c r="C78" s="228">
        <v>0.1</v>
      </c>
      <c r="D78" s="241" t="s">
        <v>53</v>
      </c>
      <c r="E78" s="242">
        <v>800000</v>
      </c>
      <c r="F78" s="228">
        <v>0.05</v>
      </c>
      <c r="G78" s="243">
        <f t="shared" si="3"/>
        <v>40000</v>
      </c>
      <c r="H78" s="244" t="s">
        <v>62</v>
      </c>
      <c r="I78" s="239" t="s">
        <v>21</v>
      </c>
      <c r="J78" s="239" t="s">
        <v>19</v>
      </c>
      <c r="K78" s="324"/>
      <c r="L78" s="95"/>
      <c r="M78" s="57"/>
      <c r="N78" s="96"/>
      <c r="O78" s="31"/>
      <c r="P78" s="67"/>
      <c r="Q78" s="97"/>
    </row>
    <row r="79" spans="1:17" ht="15.75">
      <c r="A79" s="923"/>
      <c r="B79" s="338">
        <v>13064</v>
      </c>
      <c r="C79" s="231">
        <v>0.1</v>
      </c>
      <c r="D79" s="241" t="s">
        <v>101</v>
      </c>
      <c r="E79" s="242">
        <v>1100000</v>
      </c>
      <c r="F79" s="228">
        <v>0.1</v>
      </c>
      <c r="G79" s="243">
        <f t="shared" si="3"/>
        <v>110000</v>
      </c>
      <c r="H79" s="244" t="s">
        <v>95</v>
      </c>
      <c r="I79" s="239" t="s">
        <v>60</v>
      </c>
      <c r="J79" s="332" t="s">
        <v>19</v>
      </c>
      <c r="K79" s="27"/>
      <c r="L79" s="334"/>
      <c r="M79" s="57"/>
      <c r="N79" s="96"/>
      <c r="O79" s="31"/>
      <c r="P79" s="67"/>
      <c r="Q79" s="97"/>
    </row>
    <row r="80" spans="1:17" ht="15.75">
      <c r="A80" s="923"/>
      <c r="B80" s="322" t="s">
        <v>40</v>
      </c>
      <c r="C80" s="328"/>
      <c r="D80" s="290" t="s">
        <v>102</v>
      </c>
      <c r="E80" s="255"/>
      <c r="F80" s="254"/>
      <c r="G80" s="292"/>
      <c r="H80" s="291"/>
      <c r="I80" s="213" t="s">
        <v>21</v>
      </c>
      <c r="J80" s="333"/>
      <c r="K80" s="27"/>
      <c r="L80" s="98"/>
      <c r="M80" s="99"/>
      <c r="N80" s="101"/>
      <c r="O80" s="31"/>
      <c r="P80" s="67"/>
      <c r="Q80" s="97"/>
    </row>
    <row r="81" spans="1:17" ht="15.75">
      <c r="A81" s="923"/>
      <c r="B81" s="253" t="s">
        <v>40</v>
      </c>
      <c r="C81" s="329"/>
      <c r="D81" s="330" t="s">
        <v>103</v>
      </c>
      <c r="E81" s="331"/>
      <c r="F81" s="254"/>
      <c r="G81" s="292"/>
      <c r="H81" s="291"/>
      <c r="I81" s="213" t="s">
        <v>31</v>
      </c>
      <c r="J81" s="333"/>
      <c r="K81" s="27"/>
      <c r="L81" s="334"/>
      <c r="M81" s="100"/>
      <c r="N81" s="101"/>
      <c r="O81" s="31"/>
      <c r="P81" s="67"/>
      <c r="Q81" s="97"/>
    </row>
    <row r="82" spans="1:17" ht="15.75">
      <c r="A82" s="923"/>
      <c r="B82" s="253" t="s">
        <v>40</v>
      </c>
      <c r="C82" s="254"/>
      <c r="D82" s="337" t="s">
        <v>104</v>
      </c>
      <c r="E82" s="255"/>
      <c r="F82" s="254"/>
      <c r="G82" s="206"/>
      <c r="H82" s="291"/>
      <c r="I82" s="213" t="s">
        <v>31</v>
      </c>
      <c r="J82" s="333"/>
      <c r="K82" s="27"/>
      <c r="L82" s="334"/>
      <c r="M82" s="100"/>
      <c r="N82" s="101"/>
      <c r="O82" s="31"/>
      <c r="P82" s="67"/>
      <c r="Q82" s="97"/>
    </row>
    <row r="83" spans="1:17" ht="15.75">
      <c r="A83" s="923"/>
      <c r="B83" s="281" t="s">
        <v>40</v>
      </c>
      <c r="C83" s="263"/>
      <c r="D83" s="330" t="s">
        <v>105</v>
      </c>
      <c r="E83" s="331"/>
      <c r="F83" s="254"/>
      <c r="G83" s="292"/>
      <c r="H83" s="291"/>
      <c r="I83" s="213" t="s">
        <v>31</v>
      </c>
      <c r="J83" s="333"/>
      <c r="K83" s="27"/>
      <c r="L83" s="334"/>
      <c r="M83" s="100"/>
      <c r="N83" s="101"/>
      <c r="O83" s="31"/>
      <c r="P83" s="67"/>
      <c r="Q83" s="97"/>
    </row>
    <row r="84" spans="1:17" ht="15.75">
      <c r="A84" s="923"/>
      <c r="B84" s="335" t="s">
        <v>40</v>
      </c>
      <c r="C84" s="328"/>
      <c r="D84" s="336" t="s">
        <v>106</v>
      </c>
      <c r="E84" s="255"/>
      <c r="F84" s="254"/>
      <c r="G84" s="292"/>
      <c r="H84" s="291"/>
      <c r="I84" s="213" t="s">
        <v>31</v>
      </c>
      <c r="J84" s="213"/>
      <c r="K84" s="325"/>
      <c r="L84" s="95"/>
      <c r="M84" s="100"/>
      <c r="N84" s="101"/>
      <c r="O84" s="31"/>
      <c r="P84" s="67"/>
      <c r="Q84" s="97"/>
    </row>
    <row r="85" spans="1:17" ht="15.75">
      <c r="A85" s="924"/>
      <c r="B85" s="103"/>
      <c r="C85" s="104"/>
      <c r="D85" s="105" t="s">
        <v>46</v>
      </c>
      <c r="E85" s="106">
        <f>SUM(E71:E84)</f>
        <v>8850000</v>
      </c>
      <c r="F85" s="107"/>
      <c r="G85" s="108">
        <f>SUM(G71:G84)</f>
        <v>769000</v>
      </c>
      <c r="H85" s="107"/>
      <c r="I85" s="109"/>
      <c r="J85" s="110"/>
      <c r="K85" s="110"/>
      <c r="L85" s="111"/>
      <c r="M85" s="112"/>
      <c r="N85" s="925" t="s">
        <v>70</v>
      </c>
      <c r="O85" s="926"/>
      <c r="P85" s="926"/>
      <c r="Q85" s="65">
        <f>G85</f>
        <v>769000</v>
      </c>
    </row>
    <row r="88" spans="1:17" ht="18">
      <c r="A88" s="958" t="s">
        <v>107</v>
      </c>
      <c r="B88" s="959"/>
      <c r="C88" s="959"/>
      <c r="D88" s="959"/>
      <c r="E88" s="959"/>
      <c r="F88" s="959"/>
      <c r="G88" s="959"/>
      <c r="H88" s="959"/>
      <c r="I88" s="959"/>
      <c r="J88" s="959"/>
      <c r="K88" s="959"/>
      <c r="L88" s="960"/>
      <c r="M88" s="961" t="s">
        <v>14</v>
      </c>
      <c r="N88" s="961"/>
      <c r="O88" s="961"/>
      <c r="P88" s="961"/>
      <c r="Q88" s="76"/>
    </row>
    <row r="89" spans="1:17" ht="15.75">
      <c r="A89" s="115" t="s">
        <v>2</v>
      </c>
      <c r="B89" s="116" t="s">
        <v>3</v>
      </c>
      <c r="C89" s="39" t="s">
        <v>4</v>
      </c>
      <c r="D89" s="39" t="s">
        <v>5</v>
      </c>
      <c r="E89" s="117" t="s">
        <v>6</v>
      </c>
      <c r="F89" s="39" t="s">
        <v>7</v>
      </c>
      <c r="G89" s="118" t="s">
        <v>8</v>
      </c>
      <c r="H89" s="39" t="s">
        <v>9</v>
      </c>
      <c r="I89" s="119" t="s">
        <v>10</v>
      </c>
      <c r="J89" s="79" t="s">
        <v>11</v>
      </c>
      <c r="K89" s="79" t="s">
        <v>12</v>
      </c>
      <c r="L89" s="54" t="s">
        <v>13</v>
      </c>
      <c r="M89" s="39" t="s">
        <v>3</v>
      </c>
      <c r="N89" s="54" t="s">
        <v>5</v>
      </c>
      <c r="O89" s="54" t="s">
        <v>49</v>
      </c>
      <c r="P89" s="55" t="s">
        <v>7</v>
      </c>
      <c r="Q89" s="56" t="s">
        <v>50</v>
      </c>
    </row>
    <row r="90" spans="1:17" ht="15.75">
      <c r="A90" s="962">
        <v>8</v>
      </c>
      <c r="B90" s="214">
        <v>12987</v>
      </c>
      <c r="C90" s="228">
        <v>0.1</v>
      </c>
      <c r="D90" s="311" t="s">
        <v>108</v>
      </c>
      <c r="E90" s="242">
        <v>1450000</v>
      </c>
      <c r="F90" s="273"/>
      <c r="G90" s="274"/>
      <c r="H90" s="275" t="s">
        <v>26</v>
      </c>
      <c r="I90" s="276" t="s">
        <v>60</v>
      </c>
      <c r="J90" s="276" t="s">
        <v>19</v>
      </c>
      <c r="K90" s="366"/>
      <c r="L90" s="367"/>
      <c r="M90" s="222">
        <v>13036</v>
      </c>
      <c r="N90" s="272" t="s">
        <v>25</v>
      </c>
      <c r="O90" s="230">
        <v>1700000</v>
      </c>
      <c r="P90" s="221"/>
      <c r="Q90" s="362"/>
    </row>
    <row r="91" spans="1:17" ht="15.75">
      <c r="A91" s="962"/>
      <c r="B91" s="214">
        <v>13021</v>
      </c>
      <c r="C91" s="348">
        <v>0.08</v>
      </c>
      <c r="D91" s="261" t="s">
        <v>109</v>
      </c>
      <c r="E91" s="278">
        <v>900000</v>
      </c>
      <c r="F91" s="273"/>
      <c r="G91" s="274"/>
      <c r="H91" s="275" t="s">
        <v>110</v>
      </c>
      <c r="I91" s="276" t="s">
        <v>111</v>
      </c>
      <c r="J91" s="276" t="s">
        <v>19</v>
      </c>
      <c r="K91" s="366"/>
      <c r="L91" s="367"/>
      <c r="M91" s="222">
        <v>13083</v>
      </c>
      <c r="N91" s="272" t="s">
        <v>30</v>
      </c>
      <c r="O91" s="230">
        <v>1200000</v>
      </c>
      <c r="P91" s="221"/>
      <c r="Q91" s="362"/>
    </row>
    <row r="92" spans="1:17" ht="15.75">
      <c r="A92" s="962"/>
      <c r="B92" s="214">
        <v>13129</v>
      </c>
      <c r="C92" s="228">
        <v>0.1</v>
      </c>
      <c r="D92" s="272" t="s">
        <v>112</v>
      </c>
      <c r="E92" s="242">
        <v>800000</v>
      </c>
      <c r="F92" s="273"/>
      <c r="G92" s="274"/>
      <c r="H92" s="275" t="s">
        <v>26</v>
      </c>
      <c r="I92" s="276" t="s">
        <v>31</v>
      </c>
      <c r="J92" s="276" t="s">
        <v>19</v>
      </c>
      <c r="K92" s="366"/>
      <c r="L92" s="367"/>
      <c r="M92" s="222">
        <v>13097</v>
      </c>
      <c r="N92" s="272" t="s">
        <v>33</v>
      </c>
      <c r="O92" s="230">
        <v>1500000</v>
      </c>
      <c r="P92" s="221"/>
      <c r="Q92" s="362"/>
    </row>
    <row r="93" spans="1:17" ht="15.75">
      <c r="A93" s="962"/>
      <c r="B93" s="214">
        <v>13120</v>
      </c>
      <c r="C93" s="217">
        <v>0.08</v>
      </c>
      <c r="D93" s="261" t="s">
        <v>113</v>
      </c>
      <c r="E93" s="242">
        <v>1000000</v>
      </c>
      <c r="F93" s="273"/>
      <c r="G93" s="274"/>
      <c r="H93" s="275" t="s">
        <v>110</v>
      </c>
      <c r="I93" s="276" t="s">
        <v>111</v>
      </c>
      <c r="J93" s="276" t="s">
        <v>19</v>
      </c>
      <c r="K93" s="366"/>
      <c r="L93" s="367"/>
      <c r="M93" s="365"/>
      <c r="N93" s="272" t="s">
        <v>36</v>
      </c>
      <c r="O93" s="230">
        <v>1800000</v>
      </c>
      <c r="P93" s="221"/>
      <c r="Q93" s="362"/>
    </row>
    <row r="94" spans="1:17" ht="15.75">
      <c r="A94" s="962"/>
      <c r="B94" s="253" t="s">
        <v>40</v>
      </c>
      <c r="C94" s="254"/>
      <c r="D94" s="208" t="s">
        <v>114</v>
      </c>
      <c r="E94" s="255"/>
      <c r="F94" s="256"/>
      <c r="G94" s="257"/>
      <c r="H94" s="258"/>
      <c r="I94" s="259" t="s">
        <v>18</v>
      </c>
      <c r="J94" s="259"/>
      <c r="K94" s="368"/>
      <c r="L94" s="369"/>
      <c r="M94" s="227">
        <v>12944</v>
      </c>
      <c r="N94" s="229" t="s">
        <v>115</v>
      </c>
      <c r="O94" s="230">
        <v>2400000</v>
      </c>
      <c r="P94" s="221"/>
      <c r="Q94" s="362"/>
    </row>
    <row r="95" spans="1:17" ht="15.75">
      <c r="A95" s="962"/>
      <c r="B95" s="155"/>
      <c r="C95" s="156"/>
      <c r="D95" s="113"/>
      <c r="E95" s="31"/>
      <c r="F95" s="157"/>
      <c r="G95" s="124"/>
      <c r="H95" s="152"/>
      <c r="I95" s="68"/>
      <c r="J95" s="120"/>
      <c r="K95" s="120"/>
      <c r="L95" s="121"/>
      <c r="M95" s="227">
        <v>13023</v>
      </c>
      <c r="N95" s="229" t="s">
        <v>116</v>
      </c>
      <c r="O95" s="230">
        <v>1050000</v>
      </c>
      <c r="P95" s="235"/>
      <c r="Q95" s="362"/>
    </row>
    <row r="96" spans="1:17" ht="15.75">
      <c r="A96" s="963"/>
      <c r="B96" s="86"/>
      <c r="C96" s="85"/>
      <c r="D96" s="123"/>
      <c r="E96" s="31"/>
      <c r="F96" s="151"/>
      <c r="G96" s="124"/>
      <c r="H96" s="59"/>
      <c r="I96" s="120"/>
      <c r="J96" s="120"/>
      <c r="K96" s="120"/>
      <c r="L96" s="160"/>
      <c r="M96" s="227">
        <v>13132</v>
      </c>
      <c r="N96" s="229" t="s">
        <v>57</v>
      </c>
      <c r="O96" s="230">
        <v>1400000</v>
      </c>
      <c r="P96" s="235"/>
      <c r="Q96" s="362"/>
    </row>
    <row r="97" spans="1:17" ht="15.75">
      <c r="A97" s="964"/>
      <c r="B97" s="125"/>
      <c r="C97" s="126"/>
      <c r="D97" s="127"/>
      <c r="E97" s="128"/>
      <c r="F97" s="129"/>
      <c r="G97" s="128"/>
      <c r="H97" s="130"/>
      <c r="I97" s="64"/>
      <c r="J97" s="64"/>
      <c r="K97" s="64"/>
      <c r="L97" s="161"/>
      <c r="M97" s="214">
        <v>12949</v>
      </c>
      <c r="N97" s="261" t="s">
        <v>76</v>
      </c>
      <c r="O97" s="216">
        <v>1800000</v>
      </c>
      <c r="P97" s="376"/>
      <c r="Q97" s="362"/>
    </row>
    <row r="98" spans="1:17" ht="15.75">
      <c r="A98" s="964"/>
      <c r="B98" s="131"/>
      <c r="C98" s="132"/>
      <c r="D98" s="101"/>
      <c r="E98" s="128"/>
      <c r="F98" s="129"/>
      <c r="G98" s="133"/>
      <c r="H98" s="130"/>
      <c r="I98" s="64"/>
      <c r="J98" s="64"/>
      <c r="K98" s="64"/>
      <c r="L98" s="161"/>
      <c r="M98" s="214">
        <v>12979</v>
      </c>
      <c r="N98" s="261" t="s">
        <v>78</v>
      </c>
      <c r="O98" s="216">
        <v>1450000</v>
      </c>
      <c r="P98" s="231"/>
      <c r="Q98" s="362"/>
    </row>
    <row r="99" spans="1:17" ht="15.75">
      <c r="A99" s="964"/>
      <c r="B99" s="131"/>
      <c r="C99" s="132"/>
      <c r="D99" s="121"/>
      <c r="E99" s="128"/>
      <c r="F99" s="129"/>
      <c r="G99" s="133"/>
      <c r="H99" s="130"/>
      <c r="I99" s="64"/>
      <c r="J99" s="64"/>
      <c r="K99" s="64"/>
      <c r="L99" s="161"/>
      <c r="M99" s="214">
        <v>12989</v>
      </c>
      <c r="N99" s="272" t="s">
        <v>80</v>
      </c>
      <c r="O99" s="216">
        <v>1700000</v>
      </c>
      <c r="P99" s="231"/>
      <c r="Q99" s="362"/>
    </row>
    <row r="100" spans="1:17" ht="15.75">
      <c r="A100" s="964"/>
      <c r="B100" s="131"/>
      <c r="C100" s="132"/>
      <c r="D100" s="121"/>
      <c r="E100" s="128"/>
      <c r="F100" s="129"/>
      <c r="G100" s="133"/>
      <c r="H100" s="130"/>
      <c r="I100" s="64"/>
      <c r="J100" s="64"/>
      <c r="K100" s="64"/>
      <c r="L100" s="161"/>
      <c r="M100" s="260">
        <v>12974</v>
      </c>
      <c r="N100" s="241" t="s">
        <v>97</v>
      </c>
      <c r="O100" s="242">
        <v>1100000</v>
      </c>
      <c r="P100" s="221"/>
      <c r="Q100" s="362"/>
    </row>
    <row r="101" spans="1:17" ht="15.75">
      <c r="A101" s="964"/>
      <c r="B101" s="131"/>
      <c r="C101" s="132"/>
      <c r="D101" s="121"/>
      <c r="E101" s="128"/>
      <c r="F101" s="129"/>
      <c r="G101" s="133"/>
      <c r="H101" s="130"/>
      <c r="I101" s="64"/>
      <c r="J101" s="64"/>
      <c r="K101" s="64"/>
      <c r="L101" s="161"/>
      <c r="M101" s="240">
        <v>12982</v>
      </c>
      <c r="N101" s="241" t="s">
        <v>98</v>
      </c>
      <c r="O101" s="242">
        <v>800000</v>
      </c>
      <c r="P101" s="221"/>
      <c r="Q101" s="362"/>
    </row>
    <row r="102" spans="1:17" ht="15.75">
      <c r="A102" s="964"/>
      <c r="B102" s="131"/>
      <c r="C102" s="132"/>
      <c r="D102" s="121"/>
      <c r="E102" s="128"/>
      <c r="F102" s="129"/>
      <c r="G102" s="133"/>
      <c r="H102" s="130"/>
      <c r="I102" s="64"/>
      <c r="J102" s="64"/>
      <c r="K102" s="64"/>
      <c r="L102" s="161"/>
      <c r="M102" s="86"/>
      <c r="N102" s="163"/>
      <c r="O102" s="84"/>
      <c r="P102" s="43"/>
      <c r="Q102" s="122"/>
    </row>
    <row r="103" spans="1:17" ht="15.75">
      <c r="A103" s="965"/>
      <c r="B103" s="141" t="s">
        <v>46</v>
      </c>
      <c r="C103" s="142"/>
      <c r="D103" s="143"/>
      <c r="E103" s="144">
        <f>SUM(E90:E102)</f>
        <v>4150000</v>
      </c>
      <c r="F103" s="145"/>
      <c r="G103" s="146"/>
      <c r="H103" s="145"/>
      <c r="I103" s="147"/>
      <c r="J103" s="147"/>
      <c r="K103" s="147"/>
      <c r="L103" s="148"/>
      <c r="M103" s="123"/>
      <c r="N103" s="123"/>
      <c r="O103" s="378">
        <f>SUM(O90:O102)</f>
        <v>17900000</v>
      </c>
      <c r="P103" s="150"/>
      <c r="Q103" s="122"/>
    </row>
    <row r="106" spans="1:17" ht="18">
      <c r="A106" s="933" t="s">
        <v>117</v>
      </c>
      <c r="B106" s="1116"/>
      <c r="C106" s="164"/>
      <c r="D106" s="165">
        <f>E24+E43+E65+E85+E103</f>
        <v>70580000</v>
      </c>
      <c r="E106" s="956" t="s">
        <v>118</v>
      </c>
      <c r="F106" s="957"/>
      <c r="G106" s="957"/>
      <c r="H106" s="957"/>
    </row>
    <row r="107" spans="1:17" ht="18">
      <c r="A107" s="934" t="s">
        <v>119</v>
      </c>
      <c r="B107" s="1117"/>
      <c r="C107" s="167"/>
      <c r="D107" s="168"/>
      <c r="E107" s="166"/>
    </row>
    <row r="108" spans="1:17" ht="18">
      <c r="A108" s="916" t="s">
        <v>120</v>
      </c>
      <c r="B108" s="1118"/>
      <c r="C108" s="169"/>
      <c r="D108" s="170"/>
      <c r="E108" s="166"/>
    </row>
    <row r="109" spans="1:17" ht="15.75">
      <c r="A109" s="917" t="s">
        <v>121</v>
      </c>
      <c r="B109" s="1119"/>
      <c r="C109" s="169"/>
      <c r="D109" s="171"/>
      <c r="E109" s="166"/>
    </row>
    <row r="110" spans="1:17" ht="15.75">
      <c r="A110" s="172"/>
      <c r="B110" s="141" t="s">
        <v>47</v>
      </c>
      <c r="C110" s="173"/>
      <c r="D110" s="174">
        <f>SUM(D106:D109)</f>
        <v>70580000</v>
      </c>
      <c r="E110" s="166"/>
    </row>
    <row r="114" spans="1:17" ht="45">
      <c r="A114" s="935" t="s">
        <v>122</v>
      </c>
      <c r="B114" s="935"/>
      <c r="C114" s="935"/>
      <c r="D114" s="935"/>
      <c r="E114" s="935"/>
      <c r="F114" s="935"/>
      <c r="G114" s="935"/>
      <c r="H114" s="935"/>
      <c r="I114" s="935"/>
      <c r="J114" s="935"/>
      <c r="K114" s="935"/>
      <c r="L114" s="935"/>
    </row>
    <row r="116" spans="1:17" ht="18">
      <c r="A116" s="918" t="s">
        <v>1</v>
      </c>
      <c r="B116" s="918"/>
      <c r="C116" s="918"/>
      <c r="D116" s="918"/>
      <c r="E116" s="918"/>
      <c r="F116" s="918"/>
      <c r="G116" s="918"/>
      <c r="H116" s="918"/>
      <c r="I116" s="918"/>
      <c r="J116" s="918"/>
      <c r="K116" s="918"/>
      <c r="L116" s="918"/>
      <c r="M116" s="928" t="s">
        <v>14</v>
      </c>
      <c r="N116" s="928"/>
      <c r="O116" s="928"/>
      <c r="P116" s="953"/>
      <c r="Q116" s="190"/>
    </row>
    <row r="117" spans="1:17">
      <c r="A117" s="1" t="s">
        <v>2</v>
      </c>
      <c r="B117" s="2" t="s">
        <v>3</v>
      </c>
      <c r="C117" s="3" t="s">
        <v>4</v>
      </c>
      <c r="D117" s="3" t="s">
        <v>5</v>
      </c>
      <c r="E117" s="4" t="s">
        <v>6</v>
      </c>
      <c r="F117" s="3" t="s">
        <v>7</v>
      </c>
      <c r="G117" s="5" t="s">
        <v>8</v>
      </c>
      <c r="H117" s="3" t="s">
        <v>9</v>
      </c>
      <c r="I117" s="6" t="s">
        <v>10</v>
      </c>
      <c r="J117" s="6" t="s">
        <v>11</v>
      </c>
      <c r="K117" s="6" t="s">
        <v>12</v>
      </c>
      <c r="L117" s="40" t="s">
        <v>13</v>
      </c>
      <c r="M117" s="425" t="s">
        <v>3</v>
      </c>
      <c r="N117" s="425" t="s">
        <v>5</v>
      </c>
      <c r="O117" s="425" t="s">
        <v>6</v>
      </c>
      <c r="P117" s="425" t="s">
        <v>7</v>
      </c>
      <c r="Q117" s="465" t="s">
        <v>50</v>
      </c>
    </row>
    <row r="118" spans="1:17" ht="15.75">
      <c r="A118" s="936" t="s">
        <v>15</v>
      </c>
      <c r="B118" s="222">
        <v>13146</v>
      </c>
      <c r="C118" s="408">
        <v>0.1</v>
      </c>
      <c r="D118" s="261" t="s">
        <v>123</v>
      </c>
      <c r="E118" s="216">
        <v>1450000</v>
      </c>
      <c r="F118" s="228">
        <v>7.0000000000000007E-2</v>
      </c>
      <c r="G118" s="218">
        <f>E118*F118</f>
        <v>101500.00000000001</v>
      </c>
      <c r="H118" s="238" t="s">
        <v>26</v>
      </c>
      <c r="I118" s="239" t="s">
        <v>21</v>
      </c>
      <c r="J118" s="239" t="s">
        <v>19</v>
      </c>
      <c r="K118" s="239"/>
      <c r="L118" s="321"/>
      <c r="M118" s="463">
        <v>13197</v>
      </c>
      <c r="N118" s="272" t="s">
        <v>124</v>
      </c>
      <c r="O118" s="464">
        <v>2200000</v>
      </c>
      <c r="P118" s="466">
        <v>0.05</v>
      </c>
      <c r="Q118" s="469">
        <f>O118*P118</f>
        <v>110000</v>
      </c>
    </row>
    <row r="119" spans="1:17" ht="15.75">
      <c r="A119" s="936"/>
      <c r="B119" s="222">
        <v>13181</v>
      </c>
      <c r="C119" s="235">
        <v>0.1</v>
      </c>
      <c r="D119" s="272" t="s">
        <v>125</v>
      </c>
      <c r="E119" s="230">
        <v>1550000</v>
      </c>
      <c r="F119" s="228">
        <v>0.12</v>
      </c>
      <c r="G119" s="218">
        <f t="shared" ref="G119:G130" si="4">E119*F119</f>
        <v>186000</v>
      </c>
      <c r="H119" s="238" t="s">
        <v>17</v>
      </c>
      <c r="I119" s="239" t="s">
        <v>18</v>
      </c>
      <c r="J119" s="239" t="s">
        <v>19</v>
      </c>
      <c r="K119" s="239"/>
      <c r="L119" s="321"/>
      <c r="M119" s="467"/>
      <c r="N119" s="272" t="s">
        <v>126</v>
      </c>
      <c r="O119" s="230">
        <v>1800000</v>
      </c>
      <c r="P119" s="468">
        <v>0.05</v>
      </c>
      <c r="Q119" s="469">
        <f t="shared" ref="Q119:Q120" si="5">O119*P119</f>
        <v>90000</v>
      </c>
    </row>
    <row r="120" spans="1:17" ht="15.75">
      <c r="A120" s="936"/>
      <c r="B120" s="222">
        <v>13136</v>
      </c>
      <c r="C120" s="235">
        <v>0.1</v>
      </c>
      <c r="D120" s="272" t="s">
        <v>127</v>
      </c>
      <c r="E120" s="230">
        <v>900000</v>
      </c>
      <c r="F120" s="228">
        <v>0.12</v>
      </c>
      <c r="G120" s="218">
        <f t="shared" si="4"/>
        <v>108000</v>
      </c>
      <c r="H120" s="238" t="s">
        <v>17</v>
      </c>
      <c r="I120" s="239" t="s">
        <v>31</v>
      </c>
      <c r="J120" s="239" t="s">
        <v>19</v>
      </c>
      <c r="K120" s="239"/>
      <c r="L120" s="321"/>
      <c r="M120" s="240">
        <v>13407</v>
      </c>
      <c r="N120" s="241" t="s">
        <v>128</v>
      </c>
      <c r="O120" s="242">
        <v>1000000</v>
      </c>
      <c r="P120" s="228">
        <v>0.05</v>
      </c>
      <c r="Q120" s="469">
        <f t="shared" si="5"/>
        <v>50000</v>
      </c>
    </row>
    <row r="121" spans="1:17" ht="15.75">
      <c r="A121" s="936"/>
      <c r="B121" s="222">
        <v>13166</v>
      </c>
      <c r="C121" s="235">
        <v>0.1</v>
      </c>
      <c r="D121" s="272" t="s">
        <v>129</v>
      </c>
      <c r="E121" s="230">
        <v>850000</v>
      </c>
      <c r="F121" s="228">
        <v>7.0000000000000007E-2</v>
      </c>
      <c r="G121" s="218">
        <f t="shared" si="4"/>
        <v>59500.000000000007</v>
      </c>
      <c r="H121" s="238" t="s">
        <v>39</v>
      </c>
      <c r="I121" s="239" t="s">
        <v>21</v>
      </c>
      <c r="J121" s="239" t="s">
        <v>19</v>
      </c>
      <c r="K121" s="239"/>
      <c r="L121" s="321"/>
      <c r="M121" s="477"/>
      <c r="N121" s="471" t="s">
        <v>47</v>
      </c>
      <c r="O121" s="476"/>
      <c r="P121" s="477"/>
      <c r="Q121" s="475">
        <f>SUM(Q107:Q120)</f>
        <v>250000</v>
      </c>
    </row>
    <row r="122" spans="1:17" ht="15.75">
      <c r="A122" s="936"/>
      <c r="B122" s="222">
        <v>13248</v>
      </c>
      <c r="C122" s="347">
        <v>0.08</v>
      </c>
      <c r="D122" s="272" t="s">
        <v>130</v>
      </c>
      <c r="E122" s="230">
        <v>1600000</v>
      </c>
      <c r="F122" s="217">
        <v>0.06</v>
      </c>
      <c r="G122" s="218">
        <f t="shared" si="4"/>
        <v>96000</v>
      </c>
      <c r="H122" s="238" t="s">
        <v>26</v>
      </c>
      <c r="I122" s="239" t="s">
        <v>18</v>
      </c>
      <c r="J122" s="239" t="s">
        <v>19</v>
      </c>
      <c r="K122" s="239"/>
      <c r="L122" s="321"/>
      <c r="M122" s="485"/>
      <c r="N122" s="486"/>
      <c r="O122" s="445"/>
      <c r="P122" s="485"/>
      <c r="Q122" s="487"/>
    </row>
    <row r="123" spans="1:17" ht="15.75">
      <c r="A123" s="936"/>
      <c r="B123" s="222">
        <v>13255</v>
      </c>
      <c r="C123" s="235">
        <v>0.1</v>
      </c>
      <c r="D123" s="272" t="s">
        <v>131</v>
      </c>
      <c r="E123" s="230">
        <v>850000</v>
      </c>
      <c r="F123" s="228">
        <v>7.0000000000000007E-2</v>
      </c>
      <c r="G123" s="218">
        <f t="shared" si="4"/>
        <v>59500.000000000007</v>
      </c>
      <c r="H123" s="238" t="s">
        <v>39</v>
      </c>
      <c r="I123" s="239" t="s">
        <v>132</v>
      </c>
      <c r="J123" s="239" t="s">
        <v>19</v>
      </c>
      <c r="K123" s="239"/>
      <c r="L123" s="321"/>
      <c r="M123" s="485"/>
      <c r="N123" s="485"/>
      <c r="O123" s="445"/>
      <c r="P123" s="485"/>
      <c r="Q123" s="363"/>
    </row>
    <row r="124" spans="1:17" ht="15.75">
      <c r="A124" s="936"/>
      <c r="B124" s="222">
        <v>13282</v>
      </c>
      <c r="C124" s="235">
        <v>0.1</v>
      </c>
      <c r="D124" s="272" t="s">
        <v>133</v>
      </c>
      <c r="E124" s="230">
        <v>850000</v>
      </c>
      <c r="F124" s="228">
        <v>0.12</v>
      </c>
      <c r="G124" s="218">
        <f t="shared" si="4"/>
        <v>102000</v>
      </c>
      <c r="H124" s="238" t="s">
        <v>17</v>
      </c>
      <c r="I124" s="239" t="s">
        <v>21</v>
      </c>
      <c r="J124" s="239" t="s">
        <v>19</v>
      </c>
      <c r="K124" s="239"/>
      <c r="L124" s="321"/>
      <c r="M124" s="316"/>
      <c r="N124" s="316"/>
      <c r="O124" s="100"/>
      <c r="P124" s="316"/>
      <c r="Q124" s="317"/>
    </row>
    <row r="125" spans="1:17" ht="15.75">
      <c r="A125" s="936"/>
      <c r="B125" s="222">
        <v>13345</v>
      </c>
      <c r="C125" s="347">
        <v>0.08</v>
      </c>
      <c r="D125" s="272" t="s">
        <v>134</v>
      </c>
      <c r="E125" s="230">
        <v>2300000</v>
      </c>
      <c r="F125" s="217">
        <v>0.1</v>
      </c>
      <c r="G125" s="218">
        <f t="shared" si="4"/>
        <v>230000</v>
      </c>
      <c r="H125" s="238" t="s">
        <v>17</v>
      </c>
      <c r="I125" s="239" t="s">
        <v>60</v>
      </c>
      <c r="J125" s="239" t="s">
        <v>19</v>
      </c>
      <c r="K125" s="239"/>
      <c r="L125" s="321"/>
      <c r="M125" s="316"/>
      <c r="N125" s="316"/>
      <c r="O125" s="100"/>
      <c r="P125" s="316"/>
      <c r="Q125" s="317"/>
    </row>
    <row r="126" spans="1:17" ht="15.75">
      <c r="A126" s="936"/>
      <c r="B126" s="222">
        <v>13361</v>
      </c>
      <c r="C126" s="235">
        <v>0.1</v>
      </c>
      <c r="D126" s="272" t="s">
        <v>135</v>
      </c>
      <c r="E126" s="230">
        <v>1400000</v>
      </c>
      <c r="F126" s="228">
        <v>0.12</v>
      </c>
      <c r="G126" s="218">
        <f t="shared" si="4"/>
        <v>168000</v>
      </c>
      <c r="H126" s="238" t="s">
        <v>17</v>
      </c>
      <c r="I126" s="239" t="s">
        <v>21</v>
      </c>
      <c r="J126" s="239" t="s">
        <v>19</v>
      </c>
      <c r="K126" s="239"/>
      <c r="L126" s="321"/>
      <c r="M126" s="316"/>
      <c r="N126" s="316"/>
      <c r="O126" s="100"/>
      <c r="P126" s="316"/>
      <c r="Q126" s="317"/>
    </row>
    <row r="127" spans="1:17" ht="15.75">
      <c r="A127" s="936"/>
      <c r="B127" s="222">
        <v>13364</v>
      </c>
      <c r="C127" s="235">
        <v>0.1</v>
      </c>
      <c r="D127" s="272" t="s">
        <v>136</v>
      </c>
      <c r="E127" s="230">
        <v>850000</v>
      </c>
      <c r="F127" s="228">
        <v>7.0000000000000007E-2</v>
      </c>
      <c r="G127" s="218">
        <f t="shared" si="4"/>
        <v>59500.000000000007</v>
      </c>
      <c r="H127" s="238" t="s">
        <v>26</v>
      </c>
      <c r="I127" s="239" t="s">
        <v>21</v>
      </c>
      <c r="J127" s="239" t="s">
        <v>19</v>
      </c>
      <c r="K127" s="239"/>
      <c r="L127" s="321"/>
      <c r="M127" s="316"/>
      <c r="N127" s="316"/>
      <c r="O127" s="100"/>
      <c r="P127" s="316"/>
      <c r="Q127" s="317"/>
    </row>
    <row r="128" spans="1:17" ht="15.75">
      <c r="A128" s="936"/>
      <c r="B128" s="222">
        <v>13379</v>
      </c>
      <c r="C128" s="347">
        <v>0.08</v>
      </c>
      <c r="D128" s="272" t="s">
        <v>137</v>
      </c>
      <c r="E128" s="230">
        <v>1800000</v>
      </c>
      <c r="F128" s="217">
        <v>0.1</v>
      </c>
      <c r="G128" s="218">
        <f t="shared" si="4"/>
        <v>180000</v>
      </c>
      <c r="H128" s="238" t="s">
        <v>17</v>
      </c>
      <c r="I128" s="239" t="s">
        <v>60</v>
      </c>
      <c r="J128" s="239" t="s">
        <v>19</v>
      </c>
      <c r="K128" s="239"/>
      <c r="L128" s="321"/>
      <c r="M128" s="316"/>
      <c r="N128" s="316"/>
      <c r="O128" s="100"/>
      <c r="P128" s="316"/>
      <c r="Q128" s="317"/>
    </row>
    <row r="129" spans="1:17" ht="15.75">
      <c r="A129" s="936"/>
      <c r="B129" s="222">
        <v>13385</v>
      </c>
      <c r="C129" s="231">
        <v>0.1</v>
      </c>
      <c r="D129" s="272" t="s">
        <v>138</v>
      </c>
      <c r="E129" s="230">
        <v>1450000</v>
      </c>
      <c r="F129" s="228">
        <v>7.0000000000000007E-2</v>
      </c>
      <c r="G129" s="218">
        <f t="shared" si="4"/>
        <v>101500.00000000001</v>
      </c>
      <c r="H129" s="238" t="s">
        <v>26</v>
      </c>
      <c r="I129" s="239" t="s">
        <v>18</v>
      </c>
      <c r="J129" s="239" t="s">
        <v>19</v>
      </c>
      <c r="K129" s="239"/>
      <c r="L129" s="321"/>
      <c r="M129" s="316"/>
      <c r="N129" s="316"/>
      <c r="O129" s="100"/>
      <c r="P129" s="316"/>
      <c r="Q129" s="317"/>
    </row>
    <row r="130" spans="1:17" ht="15.75">
      <c r="A130" s="936"/>
      <c r="B130" s="222">
        <v>13404</v>
      </c>
      <c r="C130" s="231">
        <v>0.1</v>
      </c>
      <c r="D130" s="272" t="s">
        <v>139</v>
      </c>
      <c r="E130" s="230">
        <v>1600000</v>
      </c>
      <c r="F130" s="228">
        <v>0.12</v>
      </c>
      <c r="G130" s="218">
        <f t="shared" si="4"/>
        <v>192000</v>
      </c>
      <c r="H130" s="238" t="s">
        <v>17</v>
      </c>
      <c r="I130" s="239" t="s">
        <v>60</v>
      </c>
      <c r="J130" s="239" t="s">
        <v>19</v>
      </c>
      <c r="K130" s="239"/>
      <c r="L130" s="321"/>
      <c r="M130" s="316"/>
      <c r="N130" s="316"/>
      <c r="O130" s="100"/>
      <c r="P130" s="316"/>
      <c r="Q130" s="317"/>
    </row>
    <row r="131" spans="1:17" ht="15.75">
      <c r="A131" s="936"/>
      <c r="B131" s="204" t="s">
        <v>40</v>
      </c>
      <c r="C131" s="207"/>
      <c r="D131" s="205" t="s">
        <v>140</v>
      </c>
      <c r="E131" s="209"/>
      <c r="F131" s="210"/>
      <c r="G131" s="211"/>
      <c r="H131" s="212"/>
      <c r="I131" s="213" t="s">
        <v>21</v>
      </c>
      <c r="J131" s="213"/>
      <c r="K131" s="213"/>
      <c r="L131" s="312"/>
      <c r="M131" s="316"/>
      <c r="N131" s="316"/>
      <c r="O131" s="100"/>
      <c r="P131" s="316"/>
      <c r="Q131" s="317"/>
    </row>
    <row r="132" spans="1:17" ht="15.75">
      <c r="A132" s="936"/>
      <c r="B132" s="204" t="s">
        <v>40</v>
      </c>
      <c r="C132" s="207"/>
      <c r="D132" s="205" t="s">
        <v>141</v>
      </c>
      <c r="E132" s="209"/>
      <c r="F132" s="210"/>
      <c r="G132" s="211"/>
      <c r="H132" s="212"/>
      <c r="I132" s="213" t="s">
        <v>18</v>
      </c>
      <c r="J132" s="213"/>
      <c r="K132" s="213"/>
      <c r="L132" s="312"/>
      <c r="M132" s="316"/>
      <c r="N132" s="316"/>
      <c r="O132" s="100"/>
      <c r="P132" s="316"/>
      <c r="Q132" s="470"/>
    </row>
    <row r="133" spans="1:17" ht="15.75">
      <c r="A133" s="936"/>
      <c r="B133" s="204" t="s">
        <v>40</v>
      </c>
      <c r="C133" s="207"/>
      <c r="D133" s="205" t="s">
        <v>142</v>
      </c>
      <c r="E133" s="209"/>
      <c r="F133" s="210"/>
      <c r="G133" s="211"/>
      <c r="H133" s="212"/>
      <c r="I133" s="213" t="s">
        <v>60</v>
      </c>
      <c r="J133" s="213"/>
      <c r="K133" s="213"/>
      <c r="L133" s="312"/>
      <c r="M133" s="316"/>
      <c r="N133" s="316"/>
      <c r="O133" s="100"/>
      <c r="P133" s="316"/>
      <c r="Q133" s="317"/>
    </row>
    <row r="134" spans="1:17" ht="15.75">
      <c r="A134" s="937"/>
      <c r="B134" s="13"/>
      <c r="C134" s="14"/>
      <c r="D134" s="15" t="s">
        <v>46</v>
      </c>
      <c r="E134" s="16">
        <f>SUM(E118:E133)</f>
        <v>17450000</v>
      </c>
      <c r="F134" s="17"/>
      <c r="G134" s="383">
        <f>SUM(G118:G133)</f>
        <v>1643500</v>
      </c>
      <c r="H134" s="17"/>
      <c r="I134" s="18"/>
      <c r="J134" s="18"/>
      <c r="K134" s="18"/>
      <c r="L134" s="45"/>
      <c r="M134" s="37"/>
      <c r="N134" s="938" t="s">
        <v>143</v>
      </c>
      <c r="O134" s="939"/>
      <c r="P134" s="940"/>
      <c r="Q134" s="65">
        <f>G134+Q121</f>
        <v>1893500</v>
      </c>
    </row>
    <row r="137" spans="1:17" ht="18">
      <c r="A137" s="918" t="s">
        <v>48</v>
      </c>
      <c r="B137" s="918"/>
      <c r="C137" s="918"/>
      <c r="D137" s="918"/>
      <c r="E137" s="918"/>
      <c r="F137" s="918"/>
      <c r="G137" s="918"/>
      <c r="H137" s="918"/>
      <c r="I137" s="918"/>
      <c r="J137" s="919"/>
      <c r="K137" s="919"/>
      <c r="L137" s="941"/>
      <c r="M137" s="928" t="s">
        <v>14</v>
      </c>
      <c r="N137" s="928"/>
      <c r="O137" s="928"/>
      <c r="P137" s="928"/>
      <c r="Q137" s="363"/>
    </row>
    <row r="138" spans="1:17" ht="15.75">
      <c r="A138" s="46" t="s">
        <v>2</v>
      </c>
      <c r="B138" s="47" t="s">
        <v>3</v>
      </c>
      <c r="C138" s="49" t="s">
        <v>4</v>
      </c>
      <c r="D138" s="49" t="s">
        <v>5</v>
      </c>
      <c r="E138" s="78" t="s">
        <v>6</v>
      </c>
      <c r="F138" s="49" t="s">
        <v>7</v>
      </c>
      <c r="G138" s="50" t="s">
        <v>8</v>
      </c>
      <c r="H138" s="49" t="s">
        <v>9</v>
      </c>
      <c r="I138" s="323" t="s">
        <v>10</v>
      </c>
      <c r="J138" s="79" t="s">
        <v>11</v>
      </c>
      <c r="K138" s="52" t="s">
        <v>12</v>
      </c>
      <c r="L138" s="53" t="s">
        <v>13</v>
      </c>
      <c r="M138" s="54" t="s">
        <v>3</v>
      </c>
      <c r="N138" s="54" t="s">
        <v>5</v>
      </c>
      <c r="O138" s="39" t="s">
        <v>49</v>
      </c>
      <c r="P138" s="371" t="s">
        <v>7</v>
      </c>
      <c r="Q138" s="56" t="s">
        <v>50</v>
      </c>
    </row>
    <row r="139" spans="1:17" ht="15.75">
      <c r="A139" s="923" t="s">
        <v>15</v>
      </c>
      <c r="B139" s="343">
        <v>13156</v>
      </c>
      <c r="C139" s="231">
        <v>0.1</v>
      </c>
      <c r="D139" s="344" t="s">
        <v>144</v>
      </c>
      <c r="E139" s="230">
        <v>1850000</v>
      </c>
      <c r="F139" s="228">
        <v>0.12</v>
      </c>
      <c r="G139" s="243">
        <f>E139*F139</f>
        <v>222000</v>
      </c>
      <c r="H139" s="297" t="s">
        <v>62</v>
      </c>
      <c r="I139" s="220" t="s">
        <v>18</v>
      </c>
      <c r="J139" s="220" t="s">
        <v>19</v>
      </c>
      <c r="K139" s="351"/>
      <c r="L139" s="358"/>
      <c r="M139" s="419">
        <v>13295</v>
      </c>
      <c r="N139" s="423" t="s">
        <v>145</v>
      </c>
      <c r="O139" s="242">
        <v>1500000</v>
      </c>
      <c r="P139" s="228">
        <v>0.05</v>
      </c>
      <c r="Q139" s="462">
        <f>O139*P139</f>
        <v>75000</v>
      </c>
    </row>
    <row r="140" spans="1:17" ht="15.75">
      <c r="A140" s="923"/>
      <c r="B140" s="343">
        <v>13151</v>
      </c>
      <c r="C140" s="231">
        <v>0.1</v>
      </c>
      <c r="D140" s="344" t="s">
        <v>146</v>
      </c>
      <c r="E140" s="230">
        <v>2400000</v>
      </c>
      <c r="F140" s="228">
        <v>7.0000000000000007E-2</v>
      </c>
      <c r="G140" s="243">
        <f t="shared" ref="G140:G148" si="6">E140*F140</f>
        <v>168000.00000000003</v>
      </c>
      <c r="H140" s="297" t="s">
        <v>39</v>
      </c>
      <c r="I140" s="220" t="s">
        <v>147</v>
      </c>
      <c r="J140" s="220" t="s">
        <v>19</v>
      </c>
      <c r="K140" s="351"/>
      <c r="L140" s="358"/>
      <c r="M140" s="419">
        <v>13149</v>
      </c>
      <c r="N140" s="423" t="s">
        <v>148</v>
      </c>
      <c r="O140" s="242">
        <v>1300000</v>
      </c>
      <c r="P140" s="228">
        <v>0.05</v>
      </c>
      <c r="Q140" s="462">
        <f>O140*P140</f>
        <v>65000</v>
      </c>
    </row>
    <row r="141" spans="1:17" ht="15.75">
      <c r="A141" s="923"/>
      <c r="B141" s="343">
        <v>13142</v>
      </c>
      <c r="C141" s="231">
        <v>0.1</v>
      </c>
      <c r="D141" s="344" t="s">
        <v>149</v>
      </c>
      <c r="E141" s="230">
        <v>2600000</v>
      </c>
      <c r="F141" s="228">
        <v>0.12</v>
      </c>
      <c r="G141" s="243">
        <f t="shared" si="6"/>
        <v>312000</v>
      </c>
      <c r="H141" s="297" t="s">
        <v>55</v>
      </c>
      <c r="I141" s="220" t="s">
        <v>18</v>
      </c>
      <c r="J141" s="220" t="s">
        <v>19</v>
      </c>
      <c r="K141" s="351"/>
      <c r="L141" s="358"/>
      <c r="M141" s="478"/>
      <c r="N141" s="472" t="s">
        <v>47</v>
      </c>
      <c r="O141" s="473"/>
      <c r="P141" s="474"/>
      <c r="Q141" s="475">
        <f>SUM(Q139:Q140)</f>
        <v>140000</v>
      </c>
    </row>
    <row r="142" spans="1:17" ht="15.75">
      <c r="A142" s="923"/>
      <c r="B142" s="260">
        <v>13213</v>
      </c>
      <c r="C142" s="228">
        <v>0.1</v>
      </c>
      <c r="D142" s="261" t="s">
        <v>150</v>
      </c>
      <c r="E142" s="230">
        <v>1100000</v>
      </c>
      <c r="F142" s="228">
        <v>7.0000000000000007E-2</v>
      </c>
      <c r="G142" s="243">
        <f t="shared" si="6"/>
        <v>77000.000000000015</v>
      </c>
      <c r="H142" s="297" t="s">
        <v>26</v>
      </c>
      <c r="I142" s="220" t="s">
        <v>18</v>
      </c>
      <c r="J142" s="220" t="s">
        <v>19</v>
      </c>
      <c r="K142" s="351"/>
      <c r="L142" s="358"/>
      <c r="M142" s="428"/>
      <c r="N142" s="58"/>
      <c r="O142" s="31"/>
      <c r="P142" s="67"/>
      <c r="Q142" s="97"/>
    </row>
    <row r="143" spans="1:17" ht="15.75">
      <c r="A143" s="923"/>
      <c r="B143" s="222">
        <v>13197</v>
      </c>
      <c r="C143" s="235">
        <v>0.1</v>
      </c>
      <c r="D143" s="272" t="s">
        <v>124</v>
      </c>
      <c r="E143" s="230">
        <v>2200000</v>
      </c>
      <c r="F143" s="228">
        <v>7.0000000000000007E-2</v>
      </c>
      <c r="G143" s="243">
        <f t="shared" si="6"/>
        <v>154000.00000000003</v>
      </c>
      <c r="H143" s="238" t="s">
        <v>17</v>
      </c>
      <c r="I143" s="239" t="s">
        <v>18</v>
      </c>
      <c r="J143" s="239" t="s">
        <v>19</v>
      </c>
      <c r="K143" s="351"/>
      <c r="L143" s="359"/>
      <c r="M143" s="428"/>
      <c r="N143" s="58"/>
      <c r="O143" s="31"/>
      <c r="P143" s="67"/>
      <c r="Q143" s="97"/>
    </row>
    <row r="144" spans="1:17" ht="15.75">
      <c r="A144" s="923"/>
      <c r="B144" s="222">
        <v>13320</v>
      </c>
      <c r="C144" s="235">
        <v>0.1</v>
      </c>
      <c r="D144" s="272" t="s">
        <v>151</v>
      </c>
      <c r="E144" s="230">
        <v>1700000</v>
      </c>
      <c r="F144" s="228">
        <v>0.12</v>
      </c>
      <c r="G144" s="243">
        <f t="shared" si="6"/>
        <v>204000</v>
      </c>
      <c r="H144" s="238" t="s">
        <v>62</v>
      </c>
      <c r="I144" s="239" t="s">
        <v>21</v>
      </c>
      <c r="J144" s="239" t="s">
        <v>19</v>
      </c>
      <c r="K144" s="351"/>
      <c r="L144" s="359"/>
      <c r="M144" s="428"/>
      <c r="N144" s="58"/>
      <c r="O144" s="31"/>
      <c r="P144" s="67"/>
      <c r="Q144" s="97"/>
    </row>
    <row r="145" spans="1:17" ht="15.75">
      <c r="A145" s="923"/>
      <c r="B145" s="222">
        <v>13347</v>
      </c>
      <c r="C145" s="235">
        <v>0.1</v>
      </c>
      <c r="D145" s="272" t="s">
        <v>152</v>
      </c>
      <c r="E145" s="230">
        <v>1750000</v>
      </c>
      <c r="F145" s="228">
        <v>7.0000000000000007E-2</v>
      </c>
      <c r="G145" s="243">
        <f t="shared" si="6"/>
        <v>122500.00000000001</v>
      </c>
      <c r="H145" s="238" t="s">
        <v>26</v>
      </c>
      <c r="I145" s="239" t="s">
        <v>60</v>
      </c>
      <c r="J145" s="239" t="s">
        <v>19</v>
      </c>
      <c r="K145" s="351"/>
      <c r="L145" s="359"/>
      <c r="M145" s="428"/>
      <c r="N145" s="58"/>
      <c r="O145" s="31"/>
      <c r="P145" s="67"/>
      <c r="Q145" s="97"/>
    </row>
    <row r="146" spans="1:17" ht="15" customHeight="1">
      <c r="A146" s="923"/>
      <c r="B146" s="222">
        <v>13371</v>
      </c>
      <c r="C146" s="235">
        <v>0.1</v>
      </c>
      <c r="D146" s="272" t="s">
        <v>153</v>
      </c>
      <c r="E146" s="230">
        <v>1650000</v>
      </c>
      <c r="F146" s="228">
        <v>7.0000000000000007E-2</v>
      </c>
      <c r="G146" s="243">
        <f t="shared" si="6"/>
        <v>115500.00000000001</v>
      </c>
      <c r="H146" s="238" t="s">
        <v>26</v>
      </c>
      <c r="I146" s="239" t="s">
        <v>18</v>
      </c>
      <c r="J146" s="239" t="s">
        <v>19</v>
      </c>
      <c r="K146" s="351"/>
      <c r="L146" s="359"/>
      <c r="M146" s="428"/>
      <c r="N146" s="58"/>
      <c r="O146" s="31"/>
      <c r="P146" s="67"/>
      <c r="Q146" s="97"/>
    </row>
    <row r="147" spans="1:17" ht="15" customHeight="1">
      <c r="A147" s="923"/>
      <c r="B147" s="222">
        <v>13412</v>
      </c>
      <c r="C147" s="235">
        <v>0.1</v>
      </c>
      <c r="D147" s="272" t="s">
        <v>126</v>
      </c>
      <c r="E147" s="230">
        <v>1800000</v>
      </c>
      <c r="F147" s="228">
        <v>7.0000000000000007E-2</v>
      </c>
      <c r="G147" s="243">
        <f t="shared" si="6"/>
        <v>126000.00000000001</v>
      </c>
      <c r="H147" s="238" t="s">
        <v>17</v>
      </c>
      <c r="I147" s="239" t="s">
        <v>21</v>
      </c>
      <c r="J147" s="239" t="s">
        <v>19</v>
      </c>
      <c r="K147" s="351"/>
      <c r="L147" s="359"/>
      <c r="M147" s="428"/>
      <c r="N147" s="58"/>
      <c r="O147" s="31"/>
      <c r="P147" s="67"/>
      <c r="Q147" s="97"/>
    </row>
    <row r="148" spans="1:17" ht="15" customHeight="1">
      <c r="A148" s="923"/>
      <c r="B148" s="222">
        <v>13400</v>
      </c>
      <c r="C148" s="235">
        <v>0.1</v>
      </c>
      <c r="D148" s="272" t="s">
        <v>154</v>
      </c>
      <c r="E148" s="230">
        <v>1700000</v>
      </c>
      <c r="F148" s="228">
        <v>0.12</v>
      </c>
      <c r="G148" s="243">
        <f t="shared" si="6"/>
        <v>204000</v>
      </c>
      <c r="H148" s="238" t="s">
        <v>62</v>
      </c>
      <c r="I148" s="239" t="s">
        <v>60</v>
      </c>
      <c r="J148" s="239" t="s">
        <v>19</v>
      </c>
      <c r="K148" s="351"/>
      <c r="L148" s="359"/>
      <c r="M148" s="428"/>
      <c r="N148" s="58"/>
      <c r="O148" s="31"/>
      <c r="P148" s="67"/>
      <c r="Q148" s="97"/>
    </row>
    <row r="149" spans="1:17" ht="15.75">
      <c r="A149" s="923"/>
      <c r="B149" s="204" t="s">
        <v>40</v>
      </c>
      <c r="C149" s="207"/>
      <c r="D149" s="205" t="s">
        <v>155</v>
      </c>
      <c r="E149" s="209"/>
      <c r="F149" s="210"/>
      <c r="G149" s="211"/>
      <c r="H149" s="212"/>
      <c r="I149" s="213" t="s">
        <v>18</v>
      </c>
      <c r="J149" s="424"/>
      <c r="K149" s="289"/>
      <c r="L149" s="361"/>
      <c r="M149" s="428"/>
      <c r="N149" s="58"/>
      <c r="O149" s="31"/>
      <c r="P149" s="67"/>
      <c r="Q149" s="97"/>
    </row>
    <row r="150" spans="1:17" ht="15.75">
      <c r="A150" s="924"/>
      <c r="B150" s="13"/>
      <c r="C150" s="14"/>
      <c r="D150" s="15" t="s">
        <v>46</v>
      </c>
      <c r="E150" s="16">
        <f>SUM(E139:E149)</f>
        <v>18750000</v>
      </c>
      <c r="F150" s="17"/>
      <c r="G150" s="383">
        <f>SUM(G139:G149)</f>
        <v>1705000</v>
      </c>
      <c r="H150" s="17"/>
      <c r="I150" s="18"/>
      <c r="J150" s="18"/>
      <c r="K150" s="18"/>
      <c r="L150" s="19"/>
      <c r="M150" s="62"/>
      <c r="N150" s="950" t="s">
        <v>70</v>
      </c>
      <c r="O150" s="926"/>
      <c r="P150" s="926"/>
      <c r="Q150" s="65">
        <f>G150+Q139</f>
        <v>1780000</v>
      </c>
    </row>
    <row r="153" spans="1:17" ht="18">
      <c r="A153" s="918" t="s">
        <v>71</v>
      </c>
      <c r="B153" s="918"/>
      <c r="C153" s="918"/>
      <c r="D153" s="918"/>
      <c r="E153" s="918"/>
      <c r="F153" s="918"/>
      <c r="G153" s="918"/>
      <c r="H153" s="918"/>
      <c r="I153" s="918"/>
      <c r="J153" s="918"/>
      <c r="K153" s="918"/>
      <c r="L153" s="918"/>
      <c r="M153" s="928" t="s">
        <v>14</v>
      </c>
      <c r="N153" s="928"/>
      <c r="O153" s="928"/>
      <c r="P153" s="928"/>
      <c r="Q153" s="326"/>
    </row>
    <row r="154" spans="1:17" ht="15.75">
      <c r="A154" s="115" t="s">
        <v>2</v>
      </c>
      <c r="B154" s="440" t="s">
        <v>3</v>
      </c>
      <c r="C154" s="441" t="s">
        <v>4</v>
      </c>
      <c r="D154" s="115" t="s">
        <v>5</v>
      </c>
      <c r="E154" s="442" t="s">
        <v>6</v>
      </c>
      <c r="F154" s="441" t="s">
        <v>7</v>
      </c>
      <c r="G154" s="443" t="s">
        <v>8</v>
      </c>
      <c r="H154" s="441" t="s">
        <v>9</v>
      </c>
      <c r="I154" s="444" t="s">
        <v>10</v>
      </c>
      <c r="J154" s="444" t="s">
        <v>11</v>
      </c>
      <c r="K154" s="444" t="s">
        <v>12</v>
      </c>
      <c r="L154" s="441" t="s">
        <v>13</v>
      </c>
      <c r="M154" s="54" t="s">
        <v>3</v>
      </c>
      <c r="N154" s="54" t="s">
        <v>5</v>
      </c>
      <c r="O154" s="39" t="s">
        <v>49</v>
      </c>
      <c r="P154" s="371" t="s">
        <v>7</v>
      </c>
      <c r="Q154" s="455" t="s">
        <v>50</v>
      </c>
    </row>
    <row r="155" spans="1:17" ht="15.75">
      <c r="A155" s="923" t="s">
        <v>72</v>
      </c>
      <c r="B155" s="214">
        <v>13162</v>
      </c>
      <c r="C155" s="221">
        <v>0.1</v>
      </c>
      <c r="D155" s="277" t="s">
        <v>156</v>
      </c>
      <c r="E155" s="216">
        <v>2150000</v>
      </c>
      <c r="F155" s="228">
        <v>0.1</v>
      </c>
      <c r="G155" s="218">
        <f>E155*F155</f>
        <v>215000</v>
      </c>
      <c r="H155" s="219" t="s">
        <v>74</v>
      </c>
      <c r="I155" s="220" t="s">
        <v>111</v>
      </c>
      <c r="J155" s="220" t="s">
        <v>19</v>
      </c>
      <c r="K155" s="220"/>
      <c r="L155" s="373"/>
      <c r="M155" s="422">
        <v>13338</v>
      </c>
      <c r="N155" s="421" t="s">
        <v>157</v>
      </c>
      <c r="O155" s="237">
        <v>2500000</v>
      </c>
      <c r="P155" s="228">
        <v>0.05</v>
      </c>
      <c r="Q155" s="375">
        <f>O155*P155</f>
        <v>125000</v>
      </c>
    </row>
    <row r="156" spans="1:17" ht="15.75">
      <c r="A156" s="923"/>
      <c r="B156" s="214">
        <v>13150</v>
      </c>
      <c r="C156" s="348">
        <v>0.08</v>
      </c>
      <c r="D156" s="277" t="s">
        <v>158</v>
      </c>
      <c r="E156" s="216">
        <v>2000000</v>
      </c>
      <c r="F156" s="217">
        <v>0.05</v>
      </c>
      <c r="G156" s="218">
        <f t="shared" ref="G156:G163" si="7">E156*F156</f>
        <v>100000</v>
      </c>
      <c r="H156" s="219" t="s">
        <v>26</v>
      </c>
      <c r="I156" s="220" t="s">
        <v>111</v>
      </c>
      <c r="J156" s="220" t="s">
        <v>19</v>
      </c>
      <c r="K156" s="220"/>
      <c r="L156" s="373"/>
      <c r="M156" s="81"/>
      <c r="N156" s="80"/>
      <c r="O156" s="370"/>
      <c r="P156" s="370"/>
      <c r="Q156" s="97"/>
    </row>
    <row r="157" spans="1:17" ht="15.75">
      <c r="A157" s="923"/>
      <c r="B157" s="214">
        <v>13199</v>
      </c>
      <c r="C157" s="221">
        <v>0.1</v>
      </c>
      <c r="D157" s="277" t="s">
        <v>159</v>
      </c>
      <c r="E157" s="216">
        <v>1600000</v>
      </c>
      <c r="F157" s="228">
        <v>0.06</v>
      </c>
      <c r="G157" s="218">
        <f t="shared" si="7"/>
        <v>96000</v>
      </c>
      <c r="H157" s="219" t="s">
        <v>26</v>
      </c>
      <c r="I157" s="220" t="s">
        <v>21</v>
      </c>
      <c r="J157" s="220" t="s">
        <v>19</v>
      </c>
      <c r="K157" s="220"/>
      <c r="L157" s="373"/>
      <c r="M157" s="81"/>
      <c r="N157" s="80"/>
      <c r="O157" s="370"/>
      <c r="P157" s="370"/>
      <c r="Q157" s="97"/>
    </row>
    <row r="158" spans="1:17" ht="15.75">
      <c r="A158" s="923"/>
      <c r="B158" s="214">
        <v>13222</v>
      </c>
      <c r="C158" s="221">
        <v>0.1</v>
      </c>
      <c r="D158" s="277" t="s">
        <v>160</v>
      </c>
      <c r="E158" s="216">
        <v>1750000</v>
      </c>
      <c r="F158" s="228">
        <v>0.06</v>
      </c>
      <c r="G158" s="218">
        <f t="shared" si="7"/>
        <v>105000</v>
      </c>
      <c r="H158" s="219" t="s">
        <v>26</v>
      </c>
      <c r="I158" s="220" t="s">
        <v>18</v>
      </c>
      <c r="J158" s="220" t="s">
        <v>19</v>
      </c>
      <c r="K158" s="220"/>
      <c r="L158" s="373"/>
      <c r="M158" s="81"/>
      <c r="N158" s="80"/>
      <c r="O158" s="370"/>
      <c r="P158" s="370"/>
      <c r="Q158" s="97"/>
    </row>
    <row r="159" spans="1:17" ht="15.75">
      <c r="A159" s="923"/>
      <c r="B159" s="214">
        <v>13227</v>
      </c>
      <c r="C159" s="221">
        <v>0.1</v>
      </c>
      <c r="D159" s="277" t="s">
        <v>161</v>
      </c>
      <c r="E159" s="216">
        <v>850000</v>
      </c>
      <c r="F159" s="228">
        <v>0.05</v>
      </c>
      <c r="G159" s="218">
        <f t="shared" si="7"/>
        <v>42500</v>
      </c>
      <c r="H159" s="219" t="s">
        <v>39</v>
      </c>
      <c r="I159" s="220" t="s">
        <v>60</v>
      </c>
      <c r="J159" s="220" t="s">
        <v>19</v>
      </c>
      <c r="K159" s="220"/>
      <c r="L159" s="373"/>
      <c r="M159" s="81"/>
      <c r="N159" s="80"/>
      <c r="O159" s="370"/>
      <c r="P159" s="370"/>
      <c r="Q159" s="97"/>
    </row>
    <row r="160" spans="1:17" ht="15.75">
      <c r="A160" s="923"/>
      <c r="B160" s="214">
        <v>13235</v>
      </c>
      <c r="C160" s="221">
        <v>0.1</v>
      </c>
      <c r="D160" s="277" t="s">
        <v>162</v>
      </c>
      <c r="E160" s="216">
        <v>1500000</v>
      </c>
      <c r="F160" s="228">
        <v>0.1</v>
      </c>
      <c r="G160" s="218">
        <f t="shared" si="7"/>
        <v>150000</v>
      </c>
      <c r="H160" s="219" t="s">
        <v>74</v>
      </c>
      <c r="I160" s="220" t="s">
        <v>60</v>
      </c>
      <c r="J160" s="220" t="s">
        <v>19</v>
      </c>
      <c r="K160" s="220"/>
      <c r="L160" s="373"/>
      <c r="M160" s="81"/>
      <c r="N160" s="80"/>
      <c r="O160" s="370"/>
      <c r="P160" s="370"/>
      <c r="Q160" s="97"/>
    </row>
    <row r="161" spans="1:17" ht="15.75">
      <c r="A161" s="923"/>
      <c r="B161" s="214">
        <v>13297</v>
      </c>
      <c r="C161" s="221">
        <v>0.1</v>
      </c>
      <c r="D161" s="277" t="s">
        <v>163</v>
      </c>
      <c r="E161" s="216">
        <v>1700000</v>
      </c>
      <c r="F161" s="228">
        <v>0.06</v>
      </c>
      <c r="G161" s="218">
        <f t="shared" si="7"/>
        <v>102000</v>
      </c>
      <c r="H161" s="219" t="s">
        <v>26</v>
      </c>
      <c r="I161" s="220" t="s">
        <v>21</v>
      </c>
      <c r="J161" s="220" t="s">
        <v>19</v>
      </c>
      <c r="K161" s="220"/>
      <c r="L161" s="373"/>
      <c r="M161" s="81"/>
      <c r="N161" s="80"/>
      <c r="O161" s="370"/>
      <c r="P161" s="370"/>
      <c r="Q161" s="97"/>
    </row>
    <row r="162" spans="1:17" ht="15.75">
      <c r="A162" s="923"/>
      <c r="B162" s="214">
        <v>13349</v>
      </c>
      <c r="C162" s="221">
        <v>0.1</v>
      </c>
      <c r="D162" s="277" t="s">
        <v>164</v>
      </c>
      <c r="E162" s="216">
        <v>2000000</v>
      </c>
      <c r="F162" s="228">
        <v>0.06</v>
      </c>
      <c r="G162" s="218">
        <f t="shared" si="7"/>
        <v>120000</v>
      </c>
      <c r="H162" s="219" t="s">
        <v>26</v>
      </c>
      <c r="I162" s="220" t="s">
        <v>21</v>
      </c>
      <c r="J162" s="220" t="s">
        <v>19</v>
      </c>
      <c r="K162" s="220"/>
      <c r="L162" s="373"/>
      <c r="M162" s="81"/>
      <c r="N162" s="80"/>
      <c r="O162" s="370"/>
      <c r="P162" s="370"/>
      <c r="Q162" s="97"/>
    </row>
    <row r="163" spans="1:17" ht="15.75">
      <c r="A163" s="923"/>
      <c r="B163" s="214">
        <v>13362</v>
      </c>
      <c r="C163" s="221">
        <v>0.1</v>
      </c>
      <c r="D163" s="241" t="s">
        <v>165</v>
      </c>
      <c r="E163" s="242">
        <v>1100000</v>
      </c>
      <c r="F163" s="228">
        <v>0.1</v>
      </c>
      <c r="G163" s="218">
        <f t="shared" si="7"/>
        <v>110000</v>
      </c>
      <c r="H163" s="219" t="s">
        <v>74</v>
      </c>
      <c r="I163" s="220" t="s">
        <v>60</v>
      </c>
      <c r="J163" s="220" t="s">
        <v>19</v>
      </c>
      <c r="K163" s="220"/>
      <c r="L163" s="373"/>
      <c r="M163" s="81"/>
      <c r="N163" s="80"/>
      <c r="O163" s="370"/>
      <c r="P163" s="370"/>
      <c r="Q163" s="97"/>
    </row>
    <row r="164" spans="1:17" ht="15.75">
      <c r="A164" s="923"/>
      <c r="B164" s="214">
        <v>13366</v>
      </c>
      <c r="C164" s="221">
        <v>0.1</v>
      </c>
      <c r="D164" s="277" t="s">
        <v>166</v>
      </c>
      <c r="E164" s="216">
        <v>1800000</v>
      </c>
      <c r="F164" s="228">
        <v>0.1</v>
      </c>
      <c r="G164" s="218">
        <f>E164*F164</f>
        <v>180000</v>
      </c>
      <c r="H164" s="219" t="s">
        <v>74</v>
      </c>
      <c r="I164" s="220" t="s">
        <v>21</v>
      </c>
      <c r="J164" s="220" t="s">
        <v>19</v>
      </c>
      <c r="K164" s="220"/>
      <c r="L164" s="373"/>
      <c r="M164" s="81"/>
      <c r="N164" s="80"/>
      <c r="O164" s="370"/>
      <c r="P164" s="370"/>
      <c r="Q164" s="97"/>
    </row>
    <row r="165" spans="1:17" ht="15.75">
      <c r="A165" s="923"/>
      <c r="B165" s="253" t="s">
        <v>40</v>
      </c>
      <c r="C165" s="263"/>
      <c r="D165" s="264" t="s">
        <v>167</v>
      </c>
      <c r="E165" s="265"/>
      <c r="F165" s="254"/>
      <c r="G165" s="266"/>
      <c r="H165" s="267"/>
      <c r="I165" s="268" t="s">
        <v>60</v>
      </c>
      <c r="J165" s="268"/>
      <c r="K165" s="268"/>
      <c r="L165" s="374"/>
      <c r="M165" s="81"/>
      <c r="N165" s="80"/>
      <c r="O165" s="370"/>
      <c r="P165" s="370"/>
      <c r="Q165" s="97"/>
    </row>
    <row r="166" spans="1:17" ht="15.75">
      <c r="A166" s="923"/>
      <c r="B166" s="253" t="s">
        <v>40</v>
      </c>
      <c r="C166" s="263"/>
      <c r="D166" s="264" t="s">
        <v>168</v>
      </c>
      <c r="E166" s="265"/>
      <c r="F166" s="254"/>
      <c r="G166" s="266"/>
      <c r="H166" s="267"/>
      <c r="I166" s="268" t="s">
        <v>21</v>
      </c>
      <c r="J166" s="268"/>
      <c r="K166" s="268"/>
      <c r="L166" s="374"/>
      <c r="M166" s="81"/>
      <c r="N166" s="80"/>
      <c r="O166" s="370"/>
      <c r="P166" s="370"/>
      <c r="Q166" s="97"/>
    </row>
    <row r="167" spans="1:17" ht="15.75">
      <c r="A167" s="923"/>
      <c r="B167" s="253" t="s">
        <v>40</v>
      </c>
      <c r="C167" s="263"/>
      <c r="D167" s="264" t="s">
        <v>169</v>
      </c>
      <c r="E167" s="265"/>
      <c r="F167" s="254"/>
      <c r="G167" s="266"/>
      <c r="H167" s="267"/>
      <c r="I167" s="268" t="s">
        <v>21</v>
      </c>
      <c r="J167" s="268"/>
      <c r="K167" s="268"/>
      <c r="L167" s="374"/>
      <c r="M167" s="81"/>
      <c r="N167" s="80"/>
      <c r="O167" s="479"/>
      <c r="P167" s="479"/>
      <c r="Q167" s="97"/>
    </row>
    <row r="168" spans="1:17" ht="15.75">
      <c r="A168" s="923"/>
      <c r="B168" s="253" t="s">
        <v>40</v>
      </c>
      <c r="C168" s="263"/>
      <c r="D168" s="264" t="s">
        <v>170</v>
      </c>
      <c r="E168" s="265"/>
      <c r="F168" s="271"/>
      <c r="G168" s="266"/>
      <c r="H168" s="267"/>
      <c r="I168" s="268" t="s">
        <v>60</v>
      </c>
      <c r="J168" s="417"/>
      <c r="K168" s="417"/>
      <c r="L168" s="374"/>
      <c r="M168" s="81"/>
      <c r="N168" s="482"/>
      <c r="O168" s="479"/>
      <c r="P168" s="479"/>
      <c r="Q168" s="97"/>
    </row>
    <row r="169" spans="1:17" ht="15.75">
      <c r="A169" s="954"/>
      <c r="B169" s="13"/>
      <c r="C169" s="14"/>
      <c r="D169" s="15" t="s">
        <v>46</v>
      </c>
      <c r="E169" s="82">
        <f>SUM(E155:E168)</f>
        <v>16450000</v>
      </c>
      <c r="F169" s="17"/>
      <c r="G169" s="383">
        <f>SUM(G155:G168)</f>
        <v>1220500</v>
      </c>
      <c r="H169" s="17"/>
      <c r="I169" s="18"/>
      <c r="J169" s="18"/>
      <c r="K169" s="18"/>
      <c r="L169" s="83"/>
      <c r="M169" s="480"/>
      <c r="N169" s="942" t="s">
        <v>70</v>
      </c>
      <c r="O169" s="942"/>
      <c r="P169" s="942"/>
      <c r="Q169" s="481">
        <f>G169+Q155</f>
        <v>1345500</v>
      </c>
    </row>
    <row r="172" spans="1:17" ht="18">
      <c r="A172" s="918" t="s">
        <v>91</v>
      </c>
      <c r="B172" s="918"/>
      <c r="C172" s="918"/>
      <c r="D172" s="918"/>
      <c r="E172" s="918"/>
      <c r="F172" s="918"/>
      <c r="G172" s="918"/>
      <c r="H172" s="918"/>
      <c r="I172" s="918"/>
      <c r="J172" s="918"/>
      <c r="K172" s="918"/>
      <c r="L172" s="918"/>
      <c r="M172" s="944" t="s">
        <v>14</v>
      </c>
      <c r="N172" s="945"/>
      <c r="O172" s="945"/>
      <c r="P172" s="946"/>
      <c r="Q172" s="122"/>
    </row>
    <row r="173" spans="1:17" ht="15.75">
      <c r="A173" s="115" t="s">
        <v>2</v>
      </c>
      <c r="B173" s="450" t="s">
        <v>3</v>
      </c>
      <c r="C173" s="115" t="s">
        <v>4</v>
      </c>
      <c r="D173" s="115" t="s">
        <v>5</v>
      </c>
      <c r="E173" s="451" t="s">
        <v>6</v>
      </c>
      <c r="F173" s="115" t="s">
        <v>7</v>
      </c>
      <c r="G173" s="452" t="s">
        <v>8</v>
      </c>
      <c r="H173" s="115" t="s">
        <v>9</v>
      </c>
      <c r="I173" s="453" t="s">
        <v>10</v>
      </c>
      <c r="J173" s="453" t="s">
        <v>11</v>
      </c>
      <c r="K173" s="119" t="s">
        <v>12</v>
      </c>
      <c r="L173" s="454" t="s">
        <v>13</v>
      </c>
      <c r="M173" s="46" t="s">
        <v>3</v>
      </c>
      <c r="N173" s="46" t="s">
        <v>5</v>
      </c>
      <c r="O173" s="46" t="s">
        <v>49</v>
      </c>
      <c r="P173" s="46" t="s">
        <v>7</v>
      </c>
      <c r="Q173" s="449" t="s">
        <v>50</v>
      </c>
    </row>
    <row r="174" spans="1:17" ht="15.75">
      <c r="A174" s="923" t="s">
        <v>15</v>
      </c>
      <c r="B174" s="293">
        <v>13137</v>
      </c>
      <c r="C174" s="231">
        <v>0.1</v>
      </c>
      <c r="D174" s="241" t="s">
        <v>171</v>
      </c>
      <c r="E174" s="242">
        <v>1100000</v>
      </c>
      <c r="F174" s="228">
        <v>0.1</v>
      </c>
      <c r="G174" s="243">
        <f>E174*F174</f>
        <v>110000</v>
      </c>
      <c r="H174" s="244" t="s">
        <v>93</v>
      </c>
      <c r="I174" s="239" t="s">
        <v>60</v>
      </c>
      <c r="J174" s="239" t="s">
        <v>19</v>
      </c>
      <c r="K174" s="239"/>
      <c r="L174" s="418"/>
      <c r="M174" s="419">
        <v>13217</v>
      </c>
      <c r="N174" s="420" t="s">
        <v>172</v>
      </c>
      <c r="O174" s="242">
        <v>1250000</v>
      </c>
      <c r="P174" s="228">
        <v>0.05</v>
      </c>
      <c r="Q174" s="462">
        <f>O174*P174</f>
        <v>62500</v>
      </c>
    </row>
    <row r="175" spans="1:17" ht="15.75">
      <c r="A175" s="923"/>
      <c r="B175" s="410">
        <v>13152</v>
      </c>
      <c r="C175" s="231">
        <v>0.1</v>
      </c>
      <c r="D175" s="241" t="s">
        <v>173</v>
      </c>
      <c r="E175" s="242">
        <v>1100000</v>
      </c>
      <c r="F175" s="228">
        <v>0.1</v>
      </c>
      <c r="G175" s="243">
        <f t="shared" ref="G175:G187" si="8">E175*F175</f>
        <v>110000</v>
      </c>
      <c r="H175" s="244" t="s">
        <v>93</v>
      </c>
      <c r="I175" s="239" t="s">
        <v>21</v>
      </c>
      <c r="J175" s="239" t="s">
        <v>19</v>
      </c>
      <c r="K175" s="239"/>
      <c r="L175" s="418"/>
      <c r="M175" s="57"/>
      <c r="N175" s="96"/>
      <c r="O175" s="31"/>
      <c r="P175" s="67"/>
      <c r="Q175" s="97"/>
    </row>
    <row r="176" spans="1:17" ht="15.75">
      <c r="A176" s="923"/>
      <c r="B176" s="240">
        <v>13202</v>
      </c>
      <c r="C176" s="228">
        <v>0.1</v>
      </c>
      <c r="D176" s="241" t="s">
        <v>174</v>
      </c>
      <c r="E176" s="242">
        <v>1200000</v>
      </c>
      <c r="F176" s="228">
        <v>0.1</v>
      </c>
      <c r="G176" s="243">
        <f t="shared" si="8"/>
        <v>120000</v>
      </c>
      <c r="H176" s="244" t="s">
        <v>93</v>
      </c>
      <c r="I176" s="239" t="s">
        <v>18</v>
      </c>
      <c r="J176" s="239" t="s">
        <v>19</v>
      </c>
      <c r="K176" s="239"/>
      <c r="L176" s="418"/>
      <c r="M176" s="57"/>
      <c r="N176" s="96"/>
      <c r="O176" s="31"/>
      <c r="P176" s="67"/>
      <c r="Q176" s="97"/>
    </row>
    <row r="177" spans="1:17" ht="15.75">
      <c r="A177" s="923"/>
      <c r="B177" s="240">
        <v>13258</v>
      </c>
      <c r="C177" s="228">
        <v>0.1</v>
      </c>
      <c r="D177" s="241" t="s">
        <v>175</v>
      </c>
      <c r="E177" s="242">
        <v>1100000</v>
      </c>
      <c r="F177" s="228">
        <v>0.1</v>
      </c>
      <c r="G177" s="243">
        <f t="shared" si="8"/>
        <v>110000</v>
      </c>
      <c r="H177" s="244" t="s">
        <v>93</v>
      </c>
      <c r="I177" s="239" t="s">
        <v>60</v>
      </c>
      <c r="J177" s="239" t="s">
        <v>19</v>
      </c>
      <c r="K177" s="239"/>
      <c r="L177" s="418"/>
      <c r="M177" s="57"/>
      <c r="N177" s="96"/>
      <c r="O177" s="31"/>
      <c r="P177" s="67"/>
      <c r="Q177" s="97"/>
    </row>
    <row r="178" spans="1:17" ht="15.75">
      <c r="A178" s="923"/>
      <c r="B178" s="240">
        <v>13261</v>
      </c>
      <c r="C178" s="228">
        <v>0.1</v>
      </c>
      <c r="D178" s="241" t="s">
        <v>176</v>
      </c>
      <c r="E178" s="242">
        <v>520000</v>
      </c>
      <c r="F178" s="228">
        <v>0.06</v>
      </c>
      <c r="G178" s="243">
        <f t="shared" si="8"/>
        <v>31200</v>
      </c>
      <c r="H178" s="244" t="s">
        <v>26</v>
      </c>
      <c r="I178" s="239" t="s">
        <v>21</v>
      </c>
      <c r="J178" s="239" t="s">
        <v>19</v>
      </c>
      <c r="K178" s="239"/>
      <c r="L178" s="418"/>
      <c r="M178" s="57"/>
      <c r="N178" s="96"/>
      <c r="O178" s="31"/>
      <c r="P178" s="67"/>
      <c r="Q178" s="97"/>
    </row>
    <row r="179" spans="1:17" ht="15.75">
      <c r="A179" s="923"/>
      <c r="B179" s="240">
        <v>13296</v>
      </c>
      <c r="C179" s="228">
        <v>0.1</v>
      </c>
      <c r="D179" s="241" t="s">
        <v>177</v>
      </c>
      <c r="E179" s="242">
        <v>950000</v>
      </c>
      <c r="F179" s="228">
        <v>0.1</v>
      </c>
      <c r="G179" s="243">
        <f t="shared" si="8"/>
        <v>95000</v>
      </c>
      <c r="H179" s="244" t="s">
        <v>93</v>
      </c>
      <c r="I179" s="239" t="s">
        <v>18</v>
      </c>
      <c r="J179" s="239" t="s">
        <v>19</v>
      </c>
      <c r="K179" s="239"/>
      <c r="L179" s="418"/>
      <c r="M179" s="57"/>
      <c r="N179" s="96"/>
      <c r="O179" s="31"/>
      <c r="P179" s="67"/>
      <c r="Q179" s="97"/>
    </row>
    <row r="180" spans="1:17" ht="15.75">
      <c r="A180" s="923"/>
      <c r="B180" s="240">
        <v>13302</v>
      </c>
      <c r="C180" s="228">
        <v>0.1</v>
      </c>
      <c r="D180" s="241" t="s">
        <v>178</v>
      </c>
      <c r="E180" s="242">
        <v>1200000</v>
      </c>
      <c r="F180" s="228">
        <v>0.1</v>
      </c>
      <c r="G180" s="243">
        <f t="shared" si="8"/>
        <v>120000</v>
      </c>
      <c r="H180" s="244" t="s">
        <v>95</v>
      </c>
      <c r="I180" s="239" t="s">
        <v>60</v>
      </c>
      <c r="J180" s="239" t="s">
        <v>19</v>
      </c>
      <c r="K180" s="239"/>
      <c r="L180" s="418"/>
      <c r="M180" s="57"/>
      <c r="N180" s="96"/>
      <c r="O180" s="31"/>
      <c r="P180" s="67"/>
      <c r="Q180" s="97"/>
    </row>
    <row r="181" spans="1:17" ht="15.75">
      <c r="A181" s="923"/>
      <c r="B181" s="240">
        <v>13304</v>
      </c>
      <c r="C181" s="228">
        <v>0.1</v>
      </c>
      <c r="D181" s="241" t="s">
        <v>179</v>
      </c>
      <c r="E181" s="242">
        <v>1200000</v>
      </c>
      <c r="F181" s="228">
        <v>0.1</v>
      </c>
      <c r="G181" s="243">
        <f t="shared" si="8"/>
        <v>120000</v>
      </c>
      <c r="H181" s="244" t="s">
        <v>95</v>
      </c>
      <c r="I181" s="239" t="s">
        <v>18</v>
      </c>
      <c r="J181" s="239" t="s">
        <v>19</v>
      </c>
      <c r="K181" s="239"/>
      <c r="L181" s="418"/>
      <c r="M181" s="57"/>
      <c r="N181" s="96"/>
      <c r="O181" s="31"/>
      <c r="P181" s="67"/>
      <c r="Q181" s="97"/>
    </row>
    <row r="182" spans="1:17" ht="15.75">
      <c r="A182" s="923"/>
      <c r="B182" s="240">
        <v>13316</v>
      </c>
      <c r="C182" s="228">
        <v>0.1</v>
      </c>
      <c r="D182" s="241" t="s">
        <v>180</v>
      </c>
      <c r="E182" s="242">
        <v>750000</v>
      </c>
      <c r="F182" s="228">
        <v>0.1</v>
      </c>
      <c r="G182" s="243">
        <f t="shared" si="8"/>
        <v>75000</v>
      </c>
      <c r="H182" s="244" t="s">
        <v>95</v>
      </c>
      <c r="I182" s="239" t="s">
        <v>60</v>
      </c>
      <c r="J182" s="239" t="s">
        <v>19</v>
      </c>
      <c r="K182" s="239"/>
      <c r="L182" s="418"/>
      <c r="M182" s="57"/>
      <c r="N182" s="96"/>
      <c r="O182" s="31"/>
      <c r="P182" s="67"/>
      <c r="Q182" s="97"/>
    </row>
    <row r="183" spans="1:17" ht="15.75">
      <c r="A183" s="923"/>
      <c r="B183" s="240">
        <v>13317</v>
      </c>
      <c r="C183" s="228">
        <v>0.1</v>
      </c>
      <c r="D183" s="241" t="s">
        <v>181</v>
      </c>
      <c r="E183" s="242">
        <v>1200000</v>
      </c>
      <c r="F183" s="228">
        <v>0.1</v>
      </c>
      <c r="G183" s="243">
        <f t="shared" si="8"/>
        <v>120000</v>
      </c>
      <c r="H183" s="244" t="s">
        <v>95</v>
      </c>
      <c r="I183" s="239" t="s">
        <v>21</v>
      </c>
      <c r="J183" s="239" t="s">
        <v>19</v>
      </c>
      <c r="K183" s="239"/>
      <c r="L183" s="418"/>
      <c r="M183" s="57"/>
      <c r="N183" s="96"/>
      <c r="O183" s="31"/>
      <c r="P183" s="67"/>
      <c r="Q183" s="97"/>
    </row>
    <row r="184" spans="1:17" ht="15.75">
      <c r="A184" s="923"/>
      <c r="B184" s="240">
        <v>13344</v>
      </c>
      <c r="C184" s="228">
        <v>0.1</v>
      </c>
      <c r="D184" s="241" t="s">
        <v>182</v>
      </c>
      <c r="E184" s="242">
        <v>950000</v>
      </c>
      <c r="F184" s="228">
        <v>0.06</v>
      </c>
      <c r="G184" s="243">
        <f t="shared" si="8"/>
        <v>57000</v>
      </c>
      <c r="H184" s="244" t="s">
        <v>26</v>
      </c>
      <c r="I184" s="239" t="s">
        <v>21</v>
      </c>
      <c r="J184" s="239" t="s">
        <v>19</v>
      </c>
      <c r="K184" s="239"/>
      <c r="L184" s="418"/>
      <c r="M184" s="57"/>
      <c r="N184" s="96"/>
      <c r="O184" s="31"/>
      <c r="P184" s="67"/>
      <c r="Q184" s="97"/>
    </row>
    <row r="185" spans="1:17" ht="15.75">
      <c r="A185" s="923"/>
      <c r="B185" s="240">
        <v>13355</v>
      </c>
      <c r="C185" s="228">
        <v>0.1</v>
      </c>
      <c r="D185" s="241" t="s">
        <v>183</v>
      </c>
      <c r="E185" s="242">
        <v>650000</v>
      </c>
      <c r="F185" s="228">
        <v>0.1</v>
      </c>
      <c r="G185" s="243">
        <f t="shared" si="8"/>
        <v>65000</v>
      </c>
      <c r="H185" s="244" t="s">
        <v>95</v>
      </c>
      <c r="I185" s="239" t="s">
        <v>18</v>
      </c>
      <c r="J185" s="239" t="s">
        <v>19</v>
      </c>
      <c r="K185" s="239"/>
      <c r="L185" s="418"/>
      <c r="M185" s="57"/>
      <c r="N185" s="96"/>
      <c r="O185" s="31"/>
      <c r="P185" s="67"/>
      <c r="Q185" s="97"/>
    </row>
    <row r="186" spans="1:17" ht="15.75">
      <c r="A186" s="923"/>
      <c r="B186" s="260">
        <v>13390</v>
      </c>
      <c r="C186" s="217">
        <v>0.08</v>
      </c>
      <c r="D186" s="241" t="s">
        <v>184</v>
      </c>
      <c r="E186" s="242">
        <v>1250000</v>
      </c>
      <c r="F186" s="217">
        <v>0.04</v>
      </c>
      <c r="G186" s="243">
        <f t="shared" si="8"/>
        <v>50000</v>
      </c>
      <c r="H186" s="244" t="s">
        <v>185</v>
      </c>
      <c r="I186" s="239" t="s">
        <v>60</v>
      </c>
      <c r="J186" s="239" t="s">
        <v>19</v>
      </c>
      <c r="K186" s="239"/>
      <c r="L186" s="418"/>
      <c r="M186" s="57"/>
      <c r="N186" s="96"/>
      <c r="O186" s="31"/>
      <c r="P186" s="67"/>
      <c r="Q186" s="97"/>
    </row>
    <row r="187" spans="1:17" ht="15.75">
      <c r="A187" s="923"/>
      <c r="B187" s="240">
        <v>13407</v>
      </c>
      <c r="C187" s="228">
        <v>0.1</v>
      </c>
      <c r="D187" s="241" t="s">
        <v>128</v>
      </c>
      <c r="E187" s="242">
        <v>1000000</v>
      </c>
      <c r="F187" s="228">
        <v>0.05</v>
      </c>
      <c r="G187" s="243">
        <f t="shared" si="8"/>
        <v>50000</v>
      </c>
      <c r="H187" s="244" t="s">
        <v>17</v>
      </c>
      <c r="I187" s="239" t="s">
        <v>21</v>
      </c>
      <c r="J187" s="239" t="s">
        <v>19</v>
      </c>
      <c r="K187" s="239"/>
      <c r="L187" s="418"/>
      <c r="M187" s="57"/>
      <c r="N187" s="96"/>
      <c r="O187" s="31"/>
      <c r="P187" s="67"/>
      <c r="Q187" s="97"/>
    </row>
    <row r="188" spans="1:17" ht="15.75">
      <c r="A188" s="924"/>
      <c r="B188" s="103"/>
      <c r="C188" s="104"/>
      <c r="D188" s="105" t="s">
        <v>46</v>
      </c>
      <c r="E188" s="106">
        <f>SUM(E174:E187)</f>
        <v>14170000</v>
      </c>
      <c r="F188" s="107"/>
      <c r="G188" s="108">
        <f>SUM(G174:G187)</f>
        <v>1233200</v>
      </c>
      <c r="H188" s="107"/>
      <c r="I188" s="109"/>
      <c r="J188" s="110"/>
      <c r="K188" s="110"/>
      <c r="L188" s="111"/>
      <c r="M188" s="112"/>
      <c r="N188" s="925" t="s">
        <v>70</v>
      </c>
      <c r="O188" s="926"/>
      <c r="P188" s="926"/>
      <c r="Q188" s="65">
        <f>G188+Q174</f>
        <v>1295700</v>
      </c>
    </row>
    <row r="191" spans="1:17" ht="18">
      <c r="A191" s="918" t="s">
        <v>107</v>
      </c>
      <c r="B191" s="927"/>
      <c r="C191" s="927"/>
      <c r="D191" s="927"/>
      <c r="E191" s="927"/>
      <c r="F191" s="927"/>
      <c r="G191" s="927"/>
      <c r="H191" s="927"/>
      <c r="I191" s="927"/>
      <c r="J191" s="927"/>
      <c r="K191" s="927"/>
      <c r="L191" s="927"/>
      <c r="M191" s="928" t="s">
        <v>14</v>
      </c>
      <c r="N191" s="928"/>
      <c r="O191" s="928"/>
      <c r="P191" s="928"/>
      <c r="Q191" s="326"/>
    </row>
    <row r="192" spans="1:17" ht="15.75">
      <c r="A192" s="46" t="s">
        <v>2</v>
      </c>
      <c r="B192" s="77" t="s">
        <v>3</v>
      </c>
      <c r="C192" s="46" t="s">
        <v>4</v>
      </c>
      <c r="D192" s="46" t="s">
        <v>5</v>
      </c>
      <c r="E192" s="48" t="s">
        <v>6</v>
      </c>
      <c r="F192" s="46" t="s">
        <v>7</v>
      </c>
      <c r="G192" s="327" t="s">
        <v>8</v>
      </c>
      <c r="H192" s="46" t="s">
        <v>9</v>
      </c>
      <c r="I192" s="52" t="s">
        <v>10</v>
      </c>
      <c r="J192" s="52" t="s">
        <v>11</v>
      </c>
      <c r="K192" s="52" t="s">
        <v>12</v>
      </c>
      <c r="L192" s="46" t="s">
        <v>13</v>
      </c>
      <c r="M192" s="46" t="s">
        <v>3</v>
      </c>
      <c r="N192" s="46" t="s">
        <v>5</v>
      </c>
      <c r="O192" s="46" t="s">
        <v>49</v>
      </c>
      <c r="P192" s="46" t="s">
        <v>7</v>
      </c>
      <c r="Q192" s="56" t="s">
        <v>50</v>
      </c>
    </row>
    <row r="193" spans="1:17" ht="15.75">
      <c r="A193" s="929">
        <v>22</v>
      </c>
      <c r="B193" s="214">
        <v>13140</v>
      </c>
      <c r="C193" s="228">
        <v>0.1</v>
      </c>
      <c r="D193" s="261" t="s">
        <v>186</v>
      </c>
      <c r="E193" s="278">
        <v>1800000</v>
      </c>
      <c r="F193" s="273"/>
      <c r="G193" s="274"/>
      <c r="H193" s="275" t="s">
        <v>26</v>
      </c>
      <c r="I193" s="276" t="s">
        <v>147</v>
      </c>
      <c r="J193" s="276" t="s">
        <v>19</v>
      </c>
      <c r="K193" s="366"/>
      <c r="L193" s="367"/>
      <c r="M193" s="222">
        <v>13146</v>
      </c>
      <c r="N193" s="261" t="s">
        <v>123</v>
      </c>
      <c r="O193" s="216">
        <v>1450000</v>
      </c>
      <c r="P193" s="221"/>
      <c r="Q193" s="362"/>
    </row>
    <row r="194" spans="1:17" ht="15.75">
      <c r="A194" s="929"/>
      <c r="B194" s="214">
        <v>13159</v>
      </c>
      <c r="C194" s="228">
        <v>0.1</v>
      </c>
      <c r="D194" s="261" t="s">
        <v>187</v>
      </c>
      <c r="E194" s="278">
        <v>1950000</v>
      </c>
      <c r="F194" s="273"/>
      <c r="G194" s="274"/>
      <c r="H194" s="275" t="s">
        <v>26</v>
      </c>
      <c r="I194" s="276" t="s">
        <v>18</v>
      </c>
      <c r="J194" s="276" t="s">
        <v>19</v>
      </c>
      <c r="K194" s="366"/>
      <c r="L194" s="367"/>
      <c r="M194" s="222">
        <v>13248</v>
      </c>
      <c r="N194" s="272" t="s">
        <v>130</v>
      </c>
      <c r="O194" s="230">
        <v>1600000</v>
      </c>
      <c r="P194" s="221"/>
      <c r="Q194" s="362"/>
    </row>
    <row r="195" spans="1:17" ht="15.75">
      <c r="A195" s="929"/>
      <c r="B195" s="214">
        <v>13219</v>
      </c>
      <c r="C195" s="228">
        <v>0.1</v>
      </c>
      <c r="D195" s="261" t="s">
        <v>188</v>
      </c>
      <c r="E195" s="278">
        <v>950000</v>
      </c>
      <c r="F195" s="273"/>
      <c r="G195" s="274"/>
      <c r="H195" s="275" t="s">
        <v>39</v>
      </c>
      <c r="I195" s="276" t="s">
        <v>21</v>
      </c>
      <c r="J195" s="276" t="s">
        <v>19</v>
      </c>
      <c r="K195" s="366"/>
      <c r="L195" s="367"/>
      <c r="M195" s="222">
        <v>13364</v>
      </c>
      <c r="N195" s="272" t="s">
        <v>136</v>
      </c>
      <c r="O195" s="230">
        <v>850000</v>
      </c>
      <c r="P195" s="221"/>
      <c r="Q195" s="362"/>
    </row>
    <row r="196" spans="1:17" ht="15.75">
      <c r="A196" s="929"/>
      <c r="B196" s="214">
        <v>13278</v>
      </c>
      <c r="C196" s="217">
        <v>0.08</v>
      </c>
      <c r="D196" s="261" t="s">
        <v>189</v>
      </c>
      <c r="E196" s="278">
        <v>1550000</v>
      </c>
      <c r="F196" s="273"/>
      <c r="G196" s="274"/>
      <c r="H196" s="275" t="s">
        <v>26</v>
      </c>
      <c r="I196" s="276" t="s">
        <v>21</v>
      </c>
      <c r="J196" s="276" t="s">
        <v>19</v>
      </c>
      <c r="K196" s="366"/>
      <c r="L196" s="367"/>
      <c r="M196" s="222">
        <v>13385</v>
      </c>
      <c r="N196" s="272" t="s">
        <v>138</v>
      </c>
      <c r="O196" s="230">
        <v>1450000</v>
      </c>
      <c r="P196" s="221"/>
      <c r="Q196" s="362"/>
    </row>
    <row r="197" spans="1:17" ht="15.75">
      <c r="A197" s="929"/>
      <c r="B197" s="214">
        <v>13340</v>
      </c>
      <c r="C197" s="228">
        <v>0.1</v>
      </c>
      <c r="D197" s="261" t="s">
        <v>190</v>
      </c>
      <c r="E197" s="278">
        <v>2100000</v>
      </c>
      <c r="F197" s="273"/>
      <c r="G197" s="274"/>
      <c r="H197" s="275" t="s">
        <v>26</v>
      </c>
      <c r="I197" s="276" t="s">
        <v>60</v>
      </c>
      <c r="J197" s="276" t="s">
        <v>19</v>
      </c>
      <c r="K197" s="366"/>
      <c r="L197" s="367"/>
      <c r="M197" s="260">
        <v>13213</v>
      </c>
      <c r="N197" s="261" t="s">
        <v>150</v>
      </c>
      <c r="O197" s="230">
        <v>1100000</v>
      </c>
      <c r="P197" s="221"/>
      <c r="Q197" s="362"/>
    </row>
    <row r="198" spans="1:17" ht="15.75">
      <c r="A198" s="929"/>
      <c r="B198" s="253" t="s">
        <v>191</v>
      </c>
      <c r="C198" s="254"/>
      <c r="D198" s="208" t="s">
        <v>192</v>
      </c>
      <c r="E198" s="255"/>
      <c r="F198" s="256"/>
      <c r="G198" s="257"/>
      <c r="H198" s="258"/>
      <c r="I198" s="259" t="s">
        <v>21</v>
      </c>
      <c r="J198" s="259"/>
      <c r="K198" s="368"/>
      <c r="L198" s="369"/>
      <c r="M198" s="222">
        <v>13347</v>
      </c>
      <c r="N198" s="272" t="s">
        <v>152</v>
      </c>
      <c r="O198" s="230">
        <v>1750000</v>
      </c>
      <c r="P198" s="221"/>
      <c r="Q198" s="362"/>
    </row>
    <row r="199" spans="1:17" ht="15.75">
      <c r="A199" s="929"/>
      <c r="B199" s="63"/>
      <c r="C199" s="67"/>
      <c r="D199" s="22"/>
      <c r="E199" s="31"/>
      <c r="F199" s="151"/>
      <c r="G199" s="124"/>
      <c r="H199" s="152"/>
      <c r="I199" s="68"/>
      <c r="J199" s="68"/>
      <c r="K199" s="120"/>
      <c r="L199" s="121"/>
      <c r="M199" s="222">
        <v>13371</v>
      </c>
      <c r="N199" s="272" t="s">
        <v>153</v>
      </c>
      <c r="O199" s="230">
        <v>1650000</v>
      </c>
      <c r="P199" s="221"/>
      <c r="Q199" s="362"/>
    </row>
    <row r="200" spans="1:17" ht="15.75">
      <c r="A200" s="929"/>
      <c r="B200" s="63"/>
      <c r="C200" s="67"/>
      <c r="D200" s="22"/>
      <c r="E200" s="31"/>
      <c r="F200" s="151"/>
      <c r="G200" s="124"/>
      <c r="H200" s="152"/>
      <c r="I200" s="68"/>
      <c r="J200" s="68"/>
      <c r="K200" s="120"/>
      <c r="L200" s="483"/>
      <c r="M200" s="260">
        <v>13150</v>
      </c>
      <c r="N200" s="484" t="s">
        <v>158</v>
      </c>
      <c r="O200" s="216">
        <v>2000000</v>
      </c>
      <c r="P200" s="221"/>
      <c r="Q200" s="362"/>
    </row>
    <row r="201" spans="1:17" ht="15.75">
      <c r="A201" s="929"/>
      <c r="B201" s="63"/>
      <c r="C201" s="67"/>
      <c r="D201" s="22"/>
      <c r="E201" s="31"/>
      <c r="F201" s="151"/>
      <c r="G201" s="124"/>
      <c r="H201" s="152"/>
      <c r="I201" s="68"/>
      <c r="J201" s="68"/>
      <c r="K201" s="120"/>
      <c r="L201" s="121"/>
      <c r="M201" s="214">
        <v>13199</v>
      </c>
      <c r="N201" s="277" t="s">
        <v>159</v>
      </c>
      <c r="O201" s="216">
        <v>1600000</v>
      </c>
      <c r="P201" s="221"/>
      <c r="Q201" s="362"/>
    </row>
    <row r="202" spans="1:17" ht="15.75">
      <c r="A202" s="929"/>
      <c r="B202" s="63"/>
      <c r="C202" s="67"/>
      <c r="D202" s="22"/>
      <c r="E202" s="31"/>
      <c r="F202" s="151"/>
      <c r="G202" s="124"/>
      <c r="H202" s="152"/>
      <c r="I202" s="68"/>
      <c r="J202" s="68"/>
      <c r="K202" s="120"/>
      <c r="L202" s="121"/>
      <c r="M202" s="214">
        <v>13222</v>
      </c>
      <c r="N202" s="277" t="s">
        <v>160</v>
      </c>
      <c r="O202" s="216">
        <v>1750000</v>
      </c>
      <c r="P202" s="221"/>
      <c r="Q202" s="362"/>
    </row>
    <row r="203" spans="1:17" ht="15.75">
      <c r="A203" s="929"/>
      <c r="B203" s="155"/>
      <c r="C203" s="156"/>
      <c r="D203" s="113"/>
      <c r="E203" s="31"/>
      <c r="F203" s="157"/>
      <c r="G203" s="124"/>
      <c r="H203" s="152"/>
      <c r="I203" s="68"/>
      <c r="J203" s="120"/>
      <c r="K203" s="120"/>
      <c r="L203" s="121"/>
      <c r="M203" s="214">
        <v>13297</v>
      </c>
      <c r="N203" s="277" t="s">
        <v>163</v>
      </c>
      <c r="O203" s="216">
        <v>1700000</v>
      </c>
      <c r="P203" s="235"/>
      <c r="Q203" s="362"/>
    </row>
    <row r="204" spans="1:17" ht="15.75">
      <c r="A204" s="930"/>
      <c r="B204" s="86"/>
      <c r="C204" s="85"/>
      <c r="D204" s="123"/>
      <c r="E204" s="31"/>
      <c r="F204" s="151"/>
      <c r="G204" s="124"/>
      <c r="H204" s="59"/>
      <c r="I204" s="120"/>
      <c r="J204" s="120"/>
      <c r="K204" s="120"/>
      <c r="L204" s="160"/>
      <c r="M204" s="214">
        <v>13349</v>
      </c>
      <c r="N204" s="277" t="s">
        <v>164</v>
      </c>
      <c r="O204" s="216">
        <v>2000000</v>
      </c>
      <c r="P204" s="235"/>
      <c r="Q204" s="362"/>
    </row>
    <row r="205" spans="1:17" ht="15.75">
      <c r="A205" s="931"/>
      <c r="B205" s="125"/>
      <c r="C205" s="126"/>
      <c r="D205" s="127"/>
      <c r="E205" s="128"/>
      <c r="F205" s="129"/>
      <c r="G205" s="128"/>
      <c r="H205" s="130"/>
      <c r="I205" s="64"/>
      <c r="J205" s="64"/>
      <c r="K205" s="64"/>
      <c r="L205" s="161"/>
      <c r="M205" s="240">
        <v>13261</v>
      </c>
      <c r="N205" s="241" t="s">
        <v>193</v>
      </c>
      <c r="O205" s="242">
        <v>520000</v>
      </c>
      <c r="P205" s="376"/>
      <c r="Q205" s="362"/>
    </row>
    <row r="206" spans="1:17" ht="15.75">
      <c r="A206" s="931"/>
      <c r="B206" s="131"/>
      <c r="C206" s="132"/>
      <c r="D206" s="101"/>
      <c r="E206" s="128"/>
      <c r="F206" s="129"/>
      <c r="G206" s="133"/>
      <c r="H206" s="130"/>
      <c r="I206" s="64"/>
      <c r="J206" s="64"/>
      <c r="K206" s="64"/>
      <c r="L206" s="161"/>
      <c r="M206" s="240">
        <v>13344</v>
      </c>
      <c r="N206" s="241" t="s">
        <v>182</v>
      </c>
      <c r="O206" s="242">
        <v>950000</v>
      </c>
      <c r="P206" s="231"/>
      <c r="Q206" s="362"/>
    </row>
    <row r="207" spans="1:17" ht="15.75">
      <c r="A207" s="931"/>
      <c r="B207" s="131"/>
      <c r="C207" s="132"/>
      <c r="D207" s="121"/>
      <c r="E207" s="128"/>
      <c r="F207" s="129"/>
      <c r="G207" s="133"/>
      <c r="H207" s="130"/>
      <c r="I207" s="64"/>
      <c r="J207" s="64"/>
      <c r="K207" s="64"/>
      <c r="L207" s="161"/>
      <c r="M207" s="86"/>
      <c r="N207" s="70"/>
      <c r="O207" s="71"/>
      <c r="P207" s="28"/>
      <c r="Q207" s="122"/>
    </row>
    <row r="208" spans="1:17" ht="15.75">
      <c r="A208" s="931"/>
      <c r="B208" s="134"/>
      <c r="C208" s="72"/>
      <c r="D208" s="135"/>
      <c r="E208" s="136"/>
      <c r="F208" s="137"/>
      <c r="G208" s="138"/>
      <c r="H208" s="139"/>
      <c r="I208" s="69"/>
      <c r="J208" s="69"/>
      <c r="K208" s="69"/>
      <c r="L208" s="60"/>
      <c r="M208" s="102"/>
      <c r="N208" s="96"/>
      <c r="O208" s="23"/>
      <c r="P208" s="140"/>
      <c r="Q208" s="122"/>
    </row>
    <row r="209" spans="1:17" ht="15.75">
      <c r="A209" s="932"/>
      <c r="B209" s="141" t="s">
        <v>46</v>
      </c>
      <c r="C209" s="142"/>
      <c r="D209" s="143"/>
      <c r="E209" s="144">
        <f>SUM(E193:E208)</f>
        <v>8350000</v>
      </c>
      <c r="F209" s="145"/>
      <c r="G209" s="146"/>
      <c r="H209" s="145"/>
      <c r="I209" s="147"/>
      <c r="J209" s="147"/>
      <c r="K209" s="147"/>
      <c r="L209" s="148"/>
      <c r="M209" s="123"/>
      <c r="N209" s="123"/>
      <c r="O209" s="378">
        <f>SUM(O193:O208)</f>
        <v>20370000</v>
      </c>
      <c r="P209" s="150"/>
      <c r="Q209" s="122"/>
    </row>
    <row r="212" spans="1:17" ht="18">
      <c r="A212" s="933" t="s">
        <v>117</v>
      </c>
      <c r="B212" s="1116"/>
      <c r="C212" s="164"/>
      <c r="D212" s="165">
        <f>E134+E150+E169+E188+E209</f>
        <v>75170000</v>
      </c>
    </row>
    <row r="213" spans="1:17" ht="18">
      <c r="A213" s="934" t="s">
        <v>119</v>
      </c>
      <c r="B213" s="1117"/>
      <c r="C213" s="167"/>
      <c r="D213" s="168"/>
    </row>
    <row r="214" spans="1:17" ht="18">
      <c r="A214" s="916" t="s">
        <v>120</v>
      </c>
      <c r="B214" s="1118"/>
      <c r="C214" s="169"/>
      <c r="D214" s="170"/>
    </row>
    <row r="215" spans="1:17" ht="15.75">
      <c r="A215" s="917" t="s">
        <v>121</v>
      </c>
      <c r="B215" s="1119"/>
      <c r="C215" s="169"/>
      <c r="D215" s="171"/>
    </row>
    <row r="216" spans="1:17" ht="15.75">
      <c r="A216" s="172"/>
      <c r="B216" s="141" t="s">
        <v>47</v>
      </c>
      <c r="C216" s="173"/>
      <c r="D216" s="174">
        <f>SUM(D212:D215)</f>
        <v>75170000</v>
      </c>
    </row>
    <row r="220" spans="1:17" ht="45">
      <c r="A220" s="935" t="s">
        <v>194</v>
      </c>
      <c r="B220" s="935"/>
      <c r="C220" s="935"/>
      <c r="D220" s="935"/>
      <c r="E220" s="935"/>
      <c r="F220" s="935"/>
      <c r="G220" s="935"/>
      <c r="H220" s="935"/>
      <c r="I220" s="935"/>
      <c r="J220" s="935"/>
      <c r="K220" s="935"/>
      <c r="L220" s="935"/>
    </row>
    <row r="222" spans="1:17" ht="18">
      <c r="A222" s="918" t="s">
        <v>1</v>
      </c>
      <c r="B222" s="918"/>
      <c r="C222" s="918"/>
      <c r="D222" s="918"/>
      <c r="E222" s="918"/>
      <c r="F222" s="918"/>
      <c r="G222" s="918"/>
      <c r="H222" s="918"/>
      <c r="I222" s="918"/>
      <c r="J222" s="918"/>
      <c r="K222" s="918"/>
      <c r="L222" s="918"/>
    </row>
    <row r="223" spans="1:17">
      <c r="A223" s="1" t="s">
        <v>2</v>
      </c>
      <c r="B223" s="2" t="s">
        <v>3</v>
      </c>
      <c r="C223" s="3" t="s">
        <v>4</v>
      </c>
      <c r="D223" s="3" t="s">
        <v>5</v>
      </c>
      <c r="E223" s="4" t="s">
        <v>6</v>
      </c>
      <c r="F223" s="3" t="s">
        <v>7</v>
      </c>
      <c r="G223" s="5" t="s">
        <v>8</v>
      </c>
      <c r="H223" s="3" t="s">
        <v>9</v>
      </c>
      <c r="I223" s="6" t="s">
        <v>10</v>
      </c>
      <c r="J223" s="6" t="s">
        <v>11</v>
      </c>
      <c r="K223" s="6" t="s">
        <v>12</v>
      </c>
      <c r="L223" s="40" t="s">
        <v>13</v>
      </c>
      <c r="M223" s="943" t="s">
        <v>14</v>
      </c>
      <c r="N223" s="943"/>
      <c r="O223" s="943"/>
      <c r="P223" s="943"/>
      <c r="Q223" s="41"/>
    </row>
    <row r="224" spans="1:17" ht="15.75">
      <c r="A224" s="936" t="s">
        <v>15</v>
      </c>
      <c r="B224" s="222">
        <v>13418</v>
      </c>
      <c r="C224" s="408">
        <v>0.1</v>
      </c>
      <c r="D224" s="261" t="s">
        <v>195</v>
      </c>
      <c r="E224" s="216">
        <v>1600000</v>
      </c>
      <c r="F224" s="228">
        <v>7.0000000000000007E-2</v>
      </c>
      <c r="G224" s="237">
        <f>E224*F224</f>
        <v>112000.00000000001</v>
      </c>
      <c r="H224" s="238" t="s">
        <v>196</v>
      </c>
      <c r="I224" s="239" t="s">
        <v>21</v>
      </c>
      <c r="J224" s="239" t="s">
        <v>19</v>
      </c>
      <c r="K224" s="239"/>
      <c r="L224" s="321"/>
      <c r="M224" s="240">
        <v>13639</v>
      </c>
      <c r="N224" s="261" t="s">
        <v>197</v>
      </c>
      <c r="O224" s="230">
        <v>1550000</v>
      </c>
      <c r="P224" s="228">
        <v>0.05</v>
      </c>
      <c r="Q224" s="462">
        <f>O224*P224</f>
        <v>77500</v>
      </c>
    </row>
    <row r="225" spans="1:17" ht="15.75">
      <c r="A225" s="936"/>
      <c r="B225" s="222">
        <v>13433</v>
      </c>
      <c r="C225" s="408">
        <v>0.1</v>
      </c>
      <c r="D225" s="272" t="s">
        <v>198</v>
      </c>
      <c r="E225" s="230">
        <v>1550000</v>
      </c>
      <c r="F225" s="228">
        <v>7.0000000000000007E-2</v>
      </c>
      <c r="G225" s="237">
        <f t="shared" ref="G225:G233" si="9">E225*F225</f>
        <v>108500.00000000001</v>
      </c>
      <c r="H225" s="238" t="s">
        <v>37</v>
      </c>
      <c r="I225" s="239" t="s">
        <v>18</v>
      </c>
      <c r="J225" s="239" t="s">
        <v>19</v>
      </c>
      <c r="K225" s="239"/>
      <c r="L225" s="321"/>
      <c r="M225" s="316"/>
      <c r="N225" s="316"/>
      <c r="O225" s="100"/>
      <c r="P225" s="316"/>
      <c r="Q225" s="317"/>
    </row>
    <row r="226" spans="1:17" ht="15.75">
      <c r="A226" s="936"/>
      <c r="B226" s="222">
        <v>13458</v>
      </c>
      <c r="C226" s="408">
        <v>0.1</v>
      </c>
      <c r="D226" s="261" t="s">
        <v>199</v>
      </c>
      <c r="E226" s="230">
        <v>1600000</v>
      </c>
      <c r="F226" s="228">
        <v>0.12</v>
      </c>
      <c r="G226" s="237">
        <f t="shared" si="9"/>
        <v>192000</v>
      </c>
      <c r="H226" s="238" t="s">
        <v>17</v>
      </c>
      <c r="I226" s="239" t="s">
        <v>21</v>
      </c>
      <c r="J226" s="239" t="s">
        <v>19</v>
      </c>
      <c r="K226" s="239"/>
      <c r="L226" s="321"/>
      <c r="M226" s="316"/>
      <c r="N226" s="316"/>
      <c r="O226" s="100"/>
      <c r="P226" s="316"/>
      <c r="Q226" s="317"/>
    </row>
    <row r="227" spans="1:17" ht="15.75">
      <c r="A227" s="936"/>
      <c r="B227" s="222">
        <v>13530</v>
      </c>
      <c r="C227" s="347">
        <v>0.08</v>
      </c>
      <c r="D227" s="272" t="s">
        <v>200</v>
      </c>
      <c r="E227" s="230">
        <v>1800000</v>
      </c>
      <c r="F227" s="217">
        <v>0.1</v>
      </c>
      <c r="G227" s="237">
        <f t="shared" si="9"/>
        <v>180000</v>
      </c>
      <c r="H227" s="238" t="s">
        <v>17</v>
      </c>
      <c r="I227" s="239" t="s">
        <v>60</v>
      </c>
      <c r="J227" s="239" t="s">
        <v>19</v>
      </c>
      <c r="K227" s="239"/>
      <c r="L227" s="321"/>
      <c r="M227" s="316"/>
      <c r="N227" s="316"/>
      <c r="O227" s="100"/>
      <c r="P227" s="316"/>
      <c r="Q227" s="317"/>
    </row>
    <row r="228" spans="1:17" ht="15.75">
      <c r="A228" s="936"/>
      <c r="B228" s="222">
        <v>13560</v>
      </c>
      <c r="C228" s="231">
        <v>0.1</v>
      </c>
      <c r="D228" s="272" t="s">
        <v>201</v>
      </c>
      <c r="E228" s="230">
        <v>750000</v>
      </c>
      <c r="F228" s="228">
        <v>7.0000000000000007E-2</v>
      </c>
      <c r="G228" s="237">
        <f t="shared" si="9"/>
        <v>52500.000000000007</v>
      </c>
      <c r="H228" s="238" t="s">
        <v>202</v>
      </c>
      <c r="I228" s="239" t="s">
        <v>21</v>
      </c>
      <c r="J228" s="239" t="s">
        <v>19</v>
      </c>
      <c r="K228" s="239"/>
      <c r="L228" s="321"/>
      <c r="M228" s="316"/>
      <c r="N228" s="316"/>
      <c r="O228" s="100"/>
      <c r="P228" s="316"/>
      <c r="Q228" s="317"/>
    </row>
    <row r="229" spans="1:17" ht="15.75">
      <c r="A229" s="936"/>
      <c r="B229" s="222">
        <v>13585</v>
      </c>
      <c r="C229" s="231">
        <v>0.1</v>
      </c>
      <c r="D229" s="272" t="s">
        <v>203</v>
      </c>
      <c r="E229" s="230">
        <v>1900000</v>
      </c>
      <c r="F229" s="228">
        <v>0.12</v>
      </c>
      <c r="G229" s="237">
        <f t="shared" si="9"/>
        <v>228000</v>
      </c>
      <c r="H229" s="238" t="s">
        <v>17</v>
      </c>
      <c r="I229" s="239" t="s">
        <v>21</v>
      </c>
      <c r="J229" s="239" t="s">
        <v>19</v>
      </c>
      <c r="K229" s="239"/>
      <c r="L229" s="321"/>
      <c r="M229" s="316"/>
      <c r="N229" s="316"/>
      <c r="O229" s="100"/>
      <c r="P229" s="316"/>
      <c r="Q229" s="317"/>
    </row>
    <row r="230" spans="1:17" ht="15.75">
      <c r="A230" s="936"/>
      <c r="B230" s="222">
        <v>13637</v>
      </c>
      <c r="C230" s="231">
        <v>0.1</v>
      </c>
      <c r="D230" s="272" t="s">
        <v>204</v>
      </c>
      <c r="E230" s="230">
        <v>1500000</v>
      </c>
      <c r="F230" s="228">
        <v>7.0000000000000007E-2</v>
      </c>
      <c r="G230" s="237">
        <f t="shared" si="9"/>
        <v>105000.00000000001</v>
      </c>
      <c r="H230" s="238" t="s">
        <v>37</v>
      </c>
      <c r="I230" s="239" t="s">
        <v>18</v>
      </c>
      <c r="J230" s="239" t="s">
        <v>19</v>
      </c>
      <c r="K230" s="239"/>
      <c r="L230" s="321"/>
      <c r="M230" s="316"/>
      <c r="N230" s="316"/>
      <c r="O230" s="100"/>
      <c r="P230" s="316"/>
      <c r="Q230" s="317"/>
    </row>
    <row r="231" spans="1:17" ht="15.75">
      <c r="A231" s="936"/>
      <c r="B231" s="222">
        <v>13586</v>
      </c>
      <c r="C231" s="231">
        <v>0.1</v>
      </c>
      <c r="D231" s="272" t="s">
        <v>205</v>
      </c>
      <c r="E231" s="230">
        <v>1650000</v>
      </c>
      <c r="F231" s="228">
        <v>0.12</v>
      </c>
      <c r="G231" s="237">
        <f t="shared" si="9"/>
        <v>198000</v>
      </c>
      <c r="H231" s="238" t="s">
        <v>206</v>
      </c>
      <c r="I231" s="239" t="s">
        <v>18</v>
      </c>
      <c r="J231" s="239" t="s">
        <v>19</v>
      </c>
      <c r="K231" s="239"/>
      <c r="L231" s="321"/>
      <c r="M231" s="316"/>
      <c r="N231" s="316"/>
      <c r="O231" s="100"/>
      <c r="P231" s="316"/>
      <c r="Q231" s="317"/>
    </row>
    <row r="232" spans="1:17" ht="15.75">
      <c r="A232" s="936"/>
      <c r="B232" s="222">
        <v>13601</v>
      </c>
      <c r="C232" s="347">
        <v>0.08</v>
      </c>
      <c r="D232" s="272" t="s">
        <v>207</v>
      </c>
      <c r="E232" s="230">
        <v>1800000</v>
      </c>
      <c r="F232" s="217">
        <v>0.1</v>
      </c>
      <c r="G232" s="237">
        <f t="shared" si="9"/>
        <v>180000</v>
      </c>
      <c r="H232" s="238" t="s">
        <v>17</v>
      </c>
      <c r="I232" s="239" t="s">
        <v>21</v>
      </c>
      <c r="J232" s="239" t="s">
        <v>19</v>
      </c>
      <c r="K232" s="239"/>
      <c r="L232" s="321"/>
      <c r="M232" s="316"/>
      <c r="N232" s="316"/>
      <c r="O232" s="100"/>
      <c r="P232" s="316"/>
      <c r="Q232" s="317"/>
    </row>
    <row r="233" spans="1:17" ht="15.75">
      <c r="A233" s="936"/>
      <c r="B233" s="222">
        <v>13664</v>
      </c>
      <c r="C233" s="347">
        <v>0.08</v>
      </c>
      <c r="D233" s="272" t="s">
        <v>208</v>
      </c>
      <c r="E233" s="230">
        <v>2000000</v>
      </c>
      <c r="F233" s="217">
        <v>0.06</v>
      </c>
      <c r="G233" s="237">
        <f t="shared" si="9"/>
        <v>120000</v>
      </c>
      <c r="H233" s="238" t="s">
        <v>29</v>
      </c>
      <c r="I233" s="239" t="s">
        <v>21</v>
      </c>
      <c r="J233" s="239" t="s">
        <v>19</v>
      </c>
      <c r="K233" s="239"/>
      <c r="L233" s="321"/>
      <c r="M233" s="316"/>
      <c r="N233" s="316"/>
      <c r="O233" s="100"/>
      <c r="P233" s="316"/>
      <c r="Q233" s="317"/>
    </row>
    <row r="234" spans="1:17" ht="15.75">
      <c r="A234" s="936"/>
      <c r="B234" s="204" t="s">
        <v>191</v>
      </c>
      <c r="C234" s="328"/>
      <c r="D234" s="205" t="s">
        <v>209</v>
      </c>
      <c r="E234" s="209"/>
      <c r="F234" s="210"/>
      <c r="G234" s="211"/>
      <c r="H234" s="212"/>
      <c r="I234" s="213" t="s">
        <v>21</v>
      </c>
      <c r="J234" s="213"/>
      <c r="K234" s="213"/>
      <c r="L234" s="312"/>
      <c r="M234" s="316"/>
      <c r="N234" s="316"/>
      <c r="O234" s="100"/>
      <c r="P234" s="316"/>
      <c r="Q234" s="317"/>
    </row>
    <row r="235" spans="1:17" ht="15.75">
      <c r="A235" s="936"/>
      <c r="B235" s="204" t="s">
        <v>40</v>
      </c>
      <c r="C235" s="207"/>
      <c r="D235" s="205" t="s">
        <v>210</v>
      </c>
      <c r="E235" s="209"/>
      <c r="F235" s="210"/>
      <c r="G235" s="211"/>
      <c r="H235" s="212"/>
      <c r="I235" s="213" t="s">
        <v>21</v>
      </c>
      <c r="J235" s="213"/>
      <c r="K235" s="213"/>
      <c r="L235" s="312"/>
      <c r="M235" s="316"/>
      <c r="N235" s="316"/>
      <c r="O235" s="100"/>
      <c r="P235" s="316"/>
      <c r="Q235" s="317"/>
    </row>
    <row r="236" spans="1:17" ht="15.75">
      <c r="A236" s="937"/>
      <c r="B236" s="13"/>
      <c r="C236" s="14"/>
      <c r="D236" s="15" t="s">
        <v>46</v>
      </c>
      <c r="E236" s="16">
        <f>SUM(E224:E235)</f>
        <v>16150000</v>
      </c>
      <c r="F236" s="17"/>
      <c r="G236" s="383">
        <f>SUM(G224:G235)</f>
        <v>1476000</v>
      </c>
      <c r="H236" s="17"/>
      <c r="I236" s="18"/>
      <c r="J236" s="18"/>
      <c r="K236" s="18"/>
      <c r="L236" s="45"/>
      <c r="M236" s="37"/>
      <c r="N236" s="938" t="s">
        <v>211</v>
      </c>
      <c r="O236" s="939"/>
      <c r="P236" s="940"/>
      <c r="Q236" s="65">
        <f>G236+Q224</f>
        <v>1553500</v>
      </c>
    </row>
    <row r="239" spans="1:17" ht="18">
      <c r="A239" s="918" t="s">
        <v>48</v>
      </c>
      <c r="B239" s="918"/>
      <c r="C239" s="918"/>
      <c r="D239" s="918"/>
      <c r="E239" s="918"/>
      <c r="F239" s="918"/>
      <c r="G239" s="918"/>
      <c r="H239" s="918"/>
      <c r="I239" s="918"/>
      <c r="J239" s="919"/>
      <c r="K239" s="919"/>
      <c r="L239" s="941"/>
      <c r="M239" s="928" t="s">
        <v>14</v>
      </c>
      <c r="N239" s="928"/>
      <c r="O239" s="928"/>
      <c r="P239" s="928"/>
      <c r="Q239" s="363"/>
    </row>
    <row r="240" spans="1:17" ht="15.75">
      <c r="A240" s="46" t="s">
        <v>2</v>
      </c>
      <c r="B240" s="47" t="s">
        <v>3</v>
      </c>
      <c r="C240" s="49" t="s">
        <v>4</v>
      </c>
      <c r="D240" s="49" t="s">
        <v>5</v>
      </c>
      <c r="E240" s="78" t="s">
        <v>6</v>
      </c>
      <c r="F240" s="49" t="s">
        <v>7</v>
      </c>
      <c r="G240" s="50" t="s">
        <v>8</v>
      </c>
      <c r="H240" s="49" t="s">
        <v>9</v>
      </c>
      <c r="I240" s="323" t="s">
        <v>10</v>
      </c>
      <c r="J240" s="79" t="s">
        <v>11</v>
      </c>
      <c r="K240" s="52" t="s">
        <v>12</v>
      </c>
      <c r="L240" s="53" t="s">
        <v>13</v>
      </c>
      <c r="M240" s="54" t="s">
        <v>3</v>
      </c>
      <c r="N240" s="54" t="s">
        <v>5</v>
      </c>
      <c r="O240" s="39" t="s">
        <v>49</v>
      </c>
      <c r="P240" s="371" t="s">
        <v>7</v>
      </c>
      <c r="Q240" s="56" t="s">
        <v>50</v>
      </c>
    </row>
    <row r="241" spans="1:17" ht="15.75">
      <c r="A241" s="923" t="s">
        <v>212</v>
      </c>
      <c r="B241" s="260">
        <v>13465</v>
      </c>
      <c r="C241" s="228">
        <v>0.1</v>
      </c>
      <c r="D241" s="261" t="s">
        <v>213</v>
      </c>
      <c r="E241" s="230">
        <v>1700000</v>
      </c>
      <c r="F241" s="228">
        <v>0.12</v>
      </c>
      <c r="G241" s="243">
        <f>E241*F241</f>
        <v>204000</v>
      </c>
      <c r="H241" s="297" t="s">
        <v>62</v>
      </c>
      <c r="I241" s="220" t="s">
        <v>21</v>
      </c>
      <c r="J241" s="220" t="s">
        <v>19</v>
      </c>
      <c r="K241" s="351"/>
      <c r="L241" s="358"/>
      <c r="M241" s="428"/>
      <c r="N241" s="429"/>
      <c r="O241" s="430"/>
      <c r="P241" s="10"/>
      <c r="Q241" s="431"/>
    </row>
    <row r="242" spans="1:17" ht="15.75">
      <c r="A242" s="923"/>
      <c r="B242" s="240">
        <v>13457</v>
      </c>
      <c r="C242" s="347">
        <v>0.08</v>
      </c>
      <c r="D242" s="261" t="s">
        <v>214</v>
      </c>
      <c r="E242" s="230">
        <v>1700000</v>
      </c>
      <c r="F242" s="217">
        <v>0.1</v>
      </c>
      <c r="G242" s="243">
        <f t="shared" ref="G242:G250" si="10">E242*F242</f>
        <v>170000</v>
      </c>
      <c r="H242" s="297" t="s">
        <v>62</v>
      </c>
      <c r="I242" s="220" t="s">
        <v>21</v>
      </c>
      <c r="J242" s="220" t="s">
        <v>19</v>
      </c>
      <c r="K242" s="351"/>
      <c r="L242" s="358"/>
      <c r="M242" s="428"/>
      <c r="N242" s="429"/>
      <c r="O242" s="430"/>
      <c r="P242" s="10"/>
      <c r="Q242" s="431"/>
    </row>
    <row r="243" spans="1:17" ht="15.75">
      <c r="A243" s="923"/>
      <c r="B243" s="240">
        <v>13438</v>
      </c>
      <c r="C243" s="231">
        <v>0.1</v>
      </c>
      <c r="D243" s="261" t="s">
        <v>215</v>
      </c>
      <c r="E243" s="230">
        <v>1800000</v>
      </c>
      <c r="F243" s="228">
        <v>7.0000000000000007E-2</v>
      </c>
      <c r="G243" s="243">
        <f t="shared" si="10"/>
        <v>126000.00000000001</v>
      </c>
      <c r="H243" s="297" t="s">
        <v>37</v>
      </c>
      <c r="I243" s="220" t="s">
        <v>21</v>
      </c>
      <c r="J243" s="220" t="s">
        <v>19</v>
      </c>
      <c r="K243" s="351"/>
      <c r="L243" s="358"/>
      <c r="M243" s="428"/>
      <c r="N243" s="429"/>
      <c r="O243" s="430"/>
      <c r="P243" s="10"/>
      <c r="Q243" s="431"/>
    </row>
    <row r="244" spans="1:17" ht="15.75">
      <c r="A244" s="923"/>
      <c r="B244" s="240">
        <v>13496</v>
      </c>
      <c r="C244" s="231">
        <v>0.1</v>
      </c>
      <c r="D244" s="261" t="s">
        <v>216</v>
      </c>
      <c r="E244" s="230">
        <v>750000</v>
      </c>
      <c r="F244" s="228">
        <v>7.0000000000000007E-2</v>
      </c>
      <c r="G244" s="243">
        <f t="shared" si="10"/>
        <v>52500.000000000007</v>
      </c>
      <c r="H244" s="297" t="s">
        <v>37</v>
      </c>
      <c r="I244" s="220" t="s">
        <v>21</v>
      </c>
      <c r="J244" s="220" t="s">
        <v>19</v>
      </c>
      <c r="K244" s="351"/>
      <c r="L244" s="358"/>
      <c r="M244" s="428"/>
      <c r="N244" s="429"/>
      <c r="O244" s="430"/>
      <c r="P244" s="10"/>
      <c r="Q244" s="431"/>
    </row>
    <row r="245" spans="1:17" ht="15.75">
      <c r="A245" s="923"/>
      <c r="B245" s="240">
        <v>13532</v>
      </c>
      <c r="C245" s="347">
        <v>0.08</v>
      </c>
      <c r="D245" s="261" t="s">
        <v>217</v>
      </c>
      <c r="E245" s="230">
        <v>2600000</v>
      </c>
      <c r="F245" s="217">
        <v>0.1</v>
      </c>
      <c r="G245" s="243">
        <f t="shared" si="10"/>
        <v>260000</v>
      </c>
      <c r="H245" s="297" t="s">
        <v>62</v>
      </c>
      <c r="I245" s="220" t="s">
        <v>21</v>
      </c>
      <c r="J245" s="220" t="s">
        <v>19</v>
      </c>
      <c r="K245" s="351"/>
      <c r="L245" s="358"/>
      <c r="M245" s="428"/>
      <c r="N245" s="429"/>
      <c r="O245" s="430"/>
      <c r="P245" s="10"/>
      <c r="Q245" s="431"/>
    </row>
    <row r="246" spans="1:17" ht="15.75">
      <c r="A246" s="923"/>
      <c r="B246" s="240">
        <v>13618</v>
      </c>
      <c r="C246" s="231">
        <v>0.1</v>
      </c>
      <c r="D246" s="261" t="s">
        <v>218</v>
      </c>
      <c r="E246" s="230">
        <v>1700000</v>
      </c>
      <c r="F246" s="228">
        <v>7.0000000000000007E-2</v>
      </c>
      <c r="G246" s="243">
        <f t="shared" si="10"/>
        <v>119000.00000000001</v>
      </c>
      <c r="H246" s="297" t="s">
        <v>37</v>
      </c>
      <c r="I246" s="220" t="s">
        <v>60</v>
      </c>
      <c r="J246" s="220" t="s">
        <v>19</v>
      </c>
      <c r="K246" s="351"/>
      <c r="L246" s="358"/>
      <c r="M246" s="428"/>
      <c r="N246" s="429"/>
      <c r="O246" s="430"/>
      <c r="P246" s="10"/>
      <c r="Q246" s="431"/>
    </row>
    <row r="247" spans="1:17" ht="15.75">
      <c r="A247" s="923"/>
      <c r="B247" s="240">
        <v>13639</v>
      </c>
      <c r="C247" s="347">
        <v>0.08</v>
      </c>
      <c r="D247" s="261" t="s">
        <v>197</v>
      </c>
      <c r="E247" s="230">
        <v>1550000</v>
      </c>
      <c r="F247" s="217">
        <v>0.06</v>
      </c>
      <c r="G247" s="243">
        <f t="shared" si="10"/>
        <v>93000</v>
      </c>
      <c r="H247" s="297" t="s">
        <v>17</v>
      </c>
      <c r="I247" s="220" t="s">
        <v>18</v>
      </c>
      <c r="J247" s="220" t="s">
        <v>19</v>
      </c>
      <c r="K247" s="351"/>
      <c r="L247" s="358"/>
      <c r="M247" s="428"/>
      <c r="N247" s="429"/>
      <c r="O247" s="430"/>
      <c r="P247" s="10"/>
      <c r="Q247" s="431"/>
    </row>
    <row r="248" spans="1:17" ht="15.75">
      <c r="A248" s="923"/>
      <c r="B248" s="240">
        <v>13651</v>
      </c>
      <c r="C248" s="231">
        <v>0.1</v>
      </c>
      <c r="D248" s="261" t="s">
        <v>219</v>
      </c>
      <c r="E248" s="230">
        <v>1500000</v>
      </c>
      <c r="F248" s="228">
        <v>7.0000000000000007E-2</v>
      </c>
      <c r="G248" s="243">
        <f t="shared" si="10"/>
        <v>105000.00000000001</v>
      </c>
      <c r="H248" s="297" t="s">
        <v>220</v>
      </c>
      <c r="I248" s="220" t="s">
        <v>18</v>
      </c>
      <c r="J248" s="220" t="s">
        <v>19</v>
      </c>
      <c r="K248" s="351"/>
      <c r="L248" s="358"/>
      <c r="M248" s="428"/>
      <c r="N248" s="429"/>
      <c r="O248" s="430"/>
      <c r="P248" s="10"/>
      <c r="Q248" s="431"/>
    </row>
    <row r="249" spans="1:17" ht="15.75">
      <c r="A249" s="923"/>
      <c r="B249" s="240">
        <v>13655</v>
      </c>
      <c r="C249" s="347">
        <v>0.08</v>
      </c>
      <c r="D249" s="261" t="s">
        <v>221</v>
      </c>
      <c r="E249" s="230">
        <v>1800000</v>
      </c>
      <c r="F249" s="217">
        <v>0.06</v>
      </c>
      <c r="G249" s="243">
        <f t="shared" si="10"/>
        <v>108000</v>
      </c>
      <c r="H249" s="297" t="s">
        <v>37</v>
      </c>
      <c r="I249" s="220" t="s">
        <v>222</v>
      </c>
      <c r="J249" s="220" t="s">
        <v>19</v>
      </c>
      <c r="K249" s="351"/>
      <c r="L249" s="358"/>
      <c r="M249" s="428"/>
      <c r="N249" s="429"/>
      <c r="O249" s="430"/>
      <c r="P249" s="10"/>
      <c r="Q249" s="431"/>
    </row>
    <row r="250" spans="1:17" ht="15.75">
      <c r="A250" s="923"/>
      <c r="B250" s="240">
        <v>13650</v>
      </c>
      <c r="C250" s="231">
        <v>0.1</v>
      </c>
      <c r="D250" s="261" t="s">
        <v>223</v>
      </c>
      <c r="E250" s="230">
        <v>1150000</v>
      </c>
      <c r="F250" s="228">
        <v>7.0000000000000007E-2</v>
      </c>
      <c r="G250" s="243">
        <f t="shared" si="10"/>
        <v>80500.000000000015</v>
      </c>
      <c r="H250" s="297" t="s">
        <v>37</v>
      </c>
      <c r="I250" s="220" t="s">
        <v>60</v>
      </c>
      <c r="J250" s="220" t="s">
        <v>19</v>
      </c>
      <c r="K250" s="351"/>
      <c r="L250" s="358"/>
      <c r="M250" s="428"/>
      <c r="N250" s="429"/>
      <c r="O250" s="430"/>
      <c r="P250" s="10"/>
      <c r="Q250" s="431"/>
    </row>
    <row r="251" spans="1:17" ht="15.75">
      <c r="A251" s="923"/>
      <c r="B251" s="281" t="s">
        <v>40</v>
      </c>
      <c r="C251" s="328"/>
      <c r="D251" s="208" t="s">
        <v>224</v>
      </c>
      <c r="E251" s="209"/>
      <c r="F251" s="254"/>
      <c r="G251" s="286"/>
      <c r="H251" s="489"/>
      <c r="I251" s="268" t="s">
        <v>21</v>
      </c>
      <c r="J251" s="268"/>
      <c r="K251" s="289"/>
      <c r="L251" s="512"/>
      <c r="M251" s="428"/>
      <c r="N251" s="432"/>
      <c r="O251" s="430"/>
      <c r="P251" s="10"/>
      <c r="Q251" s="431"/>
    </row>
    <row r="252" spans="1:17" ht="15.75">
      <c r="A252" s="923"/>
      <c r="B252" s="322" t="s">
        <v>40</v>
      </c>
      <c r="C252" s="254"/>
      <c r="D252" s="208" t="s">
        <v>225</v>
      </c>
      <c r="E252" s="209"/>
      <c r="F252" s="254"/>
      <c r="G252" s="286"/>
      <c r="H252" s="489"/>
      <c r="I252" s="268" t="s">
        <v>21</v>
      </c>
      <c r="J252" s="268"/>
      <c r="K252" s="289"/>
      <c r="L252" s="512"/>
      <c r="M252" s="428"/>
      <c r="N252" s="496"/>
      <c r="O252" s="497"/>
      <c r="P252" s="498"/>
      <c r="Q252" s="431"/>
    </row>
    <row r="253" spans="1:17" ht="15.75">
      <c r="A253" s="924"/>
      <c r="B253" s="13"/>
      <c r="C253" s="14"/>
      <c r="D253" s="15" t="s">
        <v>46</v>
      </c>
      <c r="E253" s="16">
        <f>SUM(E241:E252)</f>
        <v>16250000</v>
      </c>
      <c r="F253" s="17"/>
      <c r="G253" s="383">
        <f>SUM(G241:G252)</f>
        <v>1318000</v>
      </c>
      <c r="H253" s="17"/>
      <c r="I253" s="18"/>
      <c r="J253" s="18"/>
      <c r="K253" s="18"/>
      <c r="L253" s="19"/>
      <c r="M253" s="480"/>
      <c r="N253" s="942" t="s">
        <v>70</v>
      </c>
      <c r="O253" s="942"/>
      <c r="P253" s="942"/>
      <c r="Q253" s="481">
        <f>G253</f>
        <v>1318000</v>
      </c>
    </row>
    <row r="256" spans="1:17" ht="18">
      <c r="A256" s="918" t="s">
        <v>71</v>
      </c>
      <c r="B256" s="918"/>
      <c r="C256" s="918"/>
      <c r="D256" s="918"/>
      <c r="E256" s="918"/>
      <c r="F256" s="918"/>
      <c r="G256" s="918"/>
      <c r="H256" s="918"/>
      <c r="I256" s="918"/>
      <c r="J256" s="918"/>
      <c r="K256" s="918"/>
      <c r="L256" s="918"/>
      <c r="M256" s="955" t="s">
        <v>14</v>
      </c>
      <c r="N256" s="955"/>
      <c r="O256" s="955"/>
      <c r="P256" s="955"/>
      <c r="Q256" s="76"/>
    </row>
    <row r="257" spans="1:17" ht="15.75">
      <c r="A257" s="115" t="s">
        <v>2</v>
      </c>
      <c r="B257" s="440" t="s">
        <v>3</v>
      </c>
      <c r="C257" s="441" t="s">
        <v>4</v>
      </c>
      <c r="D257" s="115" t="s">
        <v>5</v>
      </c>
      <c r="E257" s="442" t="s">
        <v>6</v>
      </c>
      <c r="F257" s="441" t="s">
        <v>7</v>
      </c>
      <c r="G257" s="443" t="s">
        <v>8</v>
      </c>
      <c r="H257" s="441" t="s">
        <v>9</v>
      </c>
      <c r="I257" s="444" t="s">
        <v>10</v>
      </c>
      <c r="J257" s="444" t="s">
        <v>11</v>
      </c>
      <c r="K257" s="444" t="s">
        <v>12</v>
      </c>
      <c r="L257" s="441" t="s">
        <v>13</v>
      </c>
      <c r="M257" s="54" t="s">
        <v>3</v>
      </c>
      <c r="N257" s="54" t="s">
        <v>5</v>
      </c>
      <c r="O257" s="39" t="s">
        <v>49</v>
      </c>
      <c r="P257" s="371" t="s">
        <v>7</v>
      </c>
      <c r="Q257" s="56" t="s">
        <v>50</v>
      </c>
    </row>
    <row r="258" spans="1:17" ht="15.75">
      <c r="A258" s="923" t="s">
        <v>226</v>
      </c>
      <c r="B258" s="214">
        <v>13425</v>
      </c>
      <c r="C258" s="221">
        <v>0.1</v>
      </c>
      <c r="D258" s="277" t="s">
        <v>227</v>
      </c>
      <c r="E258" s="216">
        <v>2200000</v>
      </c>
      <c r="F258" s="228">
        <v>0.08</v>
      </c>
      <c r="G258" s="218">
        <f>E258*F258</f>
        <v>176000</v>
      </c>
      <c r="H258" s="219" t="s">
        <v>74</v>
      </c>
      <c r="I258" s="220" t="s">
        <v>18</v>
      </c>
      <c r="J258" s="220" t="s">
        <v>19</v>
      </c>
      <c r="K258" s="12"/>
      <c r="L258" s="434"/>
      <c r="M258" s="435"/>
      <c r="N258" s="436"/>
      <c r="O258" s="11"/>
      <c r="P258" s="437"/>
      <c r="Q258" s="431"/>
    </row>
    <row r="259" spans="1:17" ht="15.75">
      <c r="A259" s="923"/>
      <c r="B259" s="214">
        <v>13454</v>
      </c>
      <c r="C259" s="221">
        <v>0.1</v>
      </c>
      <c r="D259" s="277" t="s">
        <v>228</v>
      </c>
      <c r="E259" s="216">
        <v>1700000</v>
      </c>
      <c r="F259" s="228">
        <v>0.05</v>
      </c>
      <c r="G259" s="218">
        <f t="shared" ref="G259:G266" si="11">E259*F259</f>
        <v>85000</v>
      </c>
      <c r="H259" s="219" t="s">
        <v>37</v>
      </c>
      <c r="I259" s="220" t="s">
        <v>18</v>
      </c>
      <c r="J259" s="220" t="s">
        <v>19</v>
      </c>
      <c r="K259" s="12"/>
      <c r="L259" s="434"/>
      <c r="M259" s="435"/>
      <c r="N259" s="436"/>
      <c r="O259" s="11"/>
      <c r="P259" s="437"/>
      <c r="Q259" s="431"/>
    </row>
    <row r="260" spans="1:17" ht="15.75">
      <c r="A260" s="923"/>
      <c r="B260" s="214">
        <v>13483</v>
      </c>
      <c r="C260" s="221">
        <v>0.1</v>
      </c>
      <c r="D260" s="277" t="s">
        <v>229</v>
      </c>
      <c r="E260" s="216">
        <v>1600000</v>
      </c>
      <c r="F260" s="228">
        <v>0.08</v>
      </c>
      <c r="G260" s="218">
        <f t="shared" si="11"/>
        <v>128000</v>
      </c>
      <c r="H260" s="219" t="s">
        <v>74</v>
      </c>
      <c r="I260" s="220" t="s">
        <v>18</v>
      </c>
      <c r="J260" s="220" t="s">
        <v>19</v>
      </c>
      <c r="K260" s="12"/>
      <c r="L260" s="434"/>
      <c r="M260" s="435"/>
      <c r="N260" s="436"/>
      <c r="O260" s="11"/>
      <c r="P260" s="437"/>
      <c r="Q260" s="431"/>
    </row>
    <row r="261" spans="1:17" ht="15.75">
      <c r="A261" s="923"/>
      <c r="B261" s="214">
        <v>13508</v>
      </c>
      <c r="C261" s="221">
        <v>0.1</v>
      </c>
      <c r="D261" s="277" t="s">
        <v>230</v>
      </c>
      <c r="E261" s="216">
        <v>950000</v>
      </c>
      <c r="F261" s="228">
        <v>0.05</v>
      </c>
      <c r="G261" s="218">
        <f t="shared" si="11"/>
        <v>47500</v>
      </c>
      <c r="H261" s="219" t="s">
        <v>37</v>
      </c>
      <c r="I261" s="220" t="s">
        <v>18</v>
      </c>
      <c r="J261" s="220" t="s">
        <v>19</v>
      </c>
      <c r="K261" s="12"/>
      <c r="L261" s="434"/>
      <c r="M261" s="435"/>
      <c r="N261" s="436"/>
      <c r="O261" s="11"/>
      <c r="P261" s="437"/>
      <c r="Q261" s="431"/>
    </row>
    <row r="262" spans="1:17" ht="15.75">
      <c r="A262" s="923"/>
      <c r="B262" s="214">
        <v>13573</v>
      </c>
      <c r="C262" s="221">
        <v>0.1</v>
      </c>
      <c r="D262" s="277" t="s">
        <v>231</v>
      </c>
      <c r="E262" s="216">
        <v>2100000</v>
      </c>
      <c r="F262" s="228">
        <v>0.05</v>
      </c>
      <c r="G262" s="218">
        <f t="shared" si="11"/>
        <v>105000</v>
      </c>
      <c r="H262" s="219" t="s">
        <v>37</v>
      </c>
      <c r="I262" s="220" t="s">
        <v>60</v>
      </c>
      <c r="J262" s="220" t="s">
        <v>19</v>
      </c>
      <c r="K262" s="12"/>
      <c r="L262" s="434"/>
      <c r="M262" s="435"/>
      <c r="N262" s="436"/>
      <c r="O262" s="11"/>
      <c r="P262" s="437"/>
      <c r="Q262" s="431"/>
    </row>
    <row r="263" spans="1:17" ht="15.75">
      <c r="A263" s="923"/>
      <c r="B263" s="214">
        <v>13594</v>
      </c>
      <c r="C263" s="221">
        <v>0.1</v>
      </c>
      <c r="D263" s="277" t="s">
        <v>232</v>
      </c>
      <c r="E263" s="216">
        <v>1950000</v>
      </c>
      <c r="F263" s="228">
        <v>0.08</v>
      </c>
      <c r="G263" s="218">
        <f t="shared" si="11"/>
        <v>156000</v>
      </c>
      <c r="H263" s="219" t="s">
        <v>74</v>
      </c>
      <c r="I263" s="220" t="s">
        <v>60</v>
      </c>
      <c r="J263" s="220" t="s">
        <v>19</v>
      </c>
      <c r="K263" s="12"/>
      <c r="L263" s="434"/>
      <c r="M263" s="435"/>
      <c r="N263" s="436"/>
      <c r="O263" s="11"/>
      <c r="P263" s="437"/>
      <c r="Q263" s="431"/>
    </row>
    <row r="264" spans="1:17" ht="15.75">
      <c r="A264" s="923"/>
      <c r="B264" s="214">
        <v>13612</v>
      </c>
      <c r="C264" s="221">
        <v>0.1</v>
      </c>
      <c r="D264" s="277" t="s">
        <v>233</v>
      </c>
      <c r="E264" s="216">
        <v>1350000</v>
      </c>
      <c r="F264" s="228">
        <v>0.08</v>
      </c>
      <c r="G264" s="218">
        <f t="shared" si="11"/>
        <v>108000</v>
      </c>
      <c r="H264" s="219" t="s">
        <v>74</v>
      </c>
      <c r="I264" s="220" t="s">
        <v>21</v>
      </c>
      <c r="J264" s="220" t="s">
        <v>19</v>
      </c>
      <c r="K264" s="12"/>
      <c r="L264" s="434"/>
      <c r="M264" s="435"/>
      <c r="N264" s="436"/>
      <c r="O264" s="11"/>
      <c r="P264" s="437"/>
      <c r="Q264" s="431"/>
    </row>
    <row r="265" spans="1:17" ht="15.75">
      <c r="A265" s="923"/>
      <c r="B265" s="214">
        <v>13628</v>
      </c>
      <c r="C265" s="221">
        <v>0.1</v>
      </c>
      <c r="D265" s="277" t="s">
        <v>234</v>
      </c>
      <c r="E265" s="216">
        <v>1500000</v>
      </c>
      <c r="F265" s="228">
        <v>0.08</v>
      </c>
      <c r="G265" s="218">
        <f t="shared" si="11"/>
        <v>120000</v>
      </c>
      <c r="H265" s="219" t="s">
        <v>74</v>
      </c>
      <c r="I265" s="220" t="s">
        <v>21</v>
      </c>
      <c r="J265" s="220" t="s">
        <v>19</v>
      </c>
      <c r="K265" s="12"/>
      <c r="L265" s="434"/>
      <c r="M265" s="435"/>
      <c r="N265" s="436"/>
      <c r="O265" s="11"/>
      <c r="P265" s="437"/>
      <c r="Q265" s="431"/>
    </row>
    <row r="266" spans="1:17" ht="15.75">
      <c r="A266" s="923"/>
      <c r="B266" s="214">
        <v>13635</v>
      </c>
      <c r="C266" s="221">
        <v>0.1</v>
      </c>
      <c r="D266" s="277" t="s">
        <v>235</v>
      </c>
      <c r="E266" s="216">
        <v>1500000</v>
      </c>
      <c r="F266" s="228">
        <v>0.08</v>
      </c>
      <c r="G266" s="218">
        <f t="shared" si="11"/>
        <v>120000</v>
      </c>
      <c r="H266" s="219" t="s">
        <v>74</v>
      </c>
      <c r="I266" s="220" t="s">
        <v>18</v>
      </c>
      <c r="J266" s="220" t="s">
        <v>19</v>
      </c>
      <c r="K266" s="12"/>
      <c r="L266" s="434"/>
      <c r="M266" s="435"/>
      <c r="N266" s="436"/>
      <c r="O266" s="11"/>
      <c r="P266" s="437"/>
      <c r="Q266" s="431"/>
    </row>
    <row r="267" spans="1:17" ht="15.75">
      <c r="A267" s="923"/>
      <c r="B267" s="253" t="s">
        <v>40</v>
      </c>
      <c r="C267" s="263"/>
      <c r="D267" s="264" t="s">
        <v>236</v>
      </c>
      <c r="E267" s="265"/>
      <c r="F267" s="254"/>
      <c r="G267" s="266"/>
      <c r="H267" s="267"/>
      <c r="I267" s="268" t="s">
        <v>60</v>
      </c>
      <c r="J267" s="268"/>
      <c r="K267" s="12"/>
      <c r="L267" s="434"/>
      <c r="M267" s="435"/>
      <c r="N267" s="436"/>
      <c r="O267" s="11"/>
      <c r="P267" s="437"/>
      <c r="Q267" s="431"/>
    </row>
    <row r="268" spans="1:17" ht="15.75">
      <c r="A268" s="923"/>
      <c r="B268" s="253" t="s">
        <v>40</v>
      </c>
      <c r="C268" s="263"/>
      <c r="D268" s="264" t="s">
        <v>237</v>
      </c>
      <c r="E268" s="265"/>
      <c r="F268" s="254"/>
      <c r="G268" s="266"/>
      <c r="H268" s="267"/>
      <c r="I268" s="268" t="s">
        <v>21</v>
      </c>
      <c r="J268" s="268"/>
      <c r="K268" s="12"/>
      <c r="L268" s="434"/>
      <c r="M268" s="435"/>
      <c r="N268" s="436"/>
      <c r="O268" s="11"/>
      <c r="P268" s="437"/>
      <c r="Q268" s="431"/>
    </row>
    <row r="269" spans="1:17" ht="15.75">
      <c r="A269" s="923"/>
      <c r="B269" s="253" t="s">
        <v>40</v>
      </c>
      <c r="C269" s="263"/>
      <c r="D269" s="264" t="s">
        <v>238</v>
      </c>
      <c r="E269" s="265"/>
      <c r="F269" s="254"/>
      <c r="G269" s="266"/>
      <c r="H269" s="267"/>
      <c r="I269" s="268" t="s">
        <v>21</v>
      </c>
      <c r="J269" s="268"/>
      <c r="K269" s="12"/>
      <c r="L269" s="434"/>
      <c r="M269" s="435"/>
      <c r="N269" s="436"/>
      <c r="O269" s="11"/>
      <c r="P269" s="437"/>
      <c r="Q269" s="431"/>
    </row>
    <row r="270" spans="1:17" ht="16.5" customHeight="1">
      <c r="A270" s="923"/>
      <c r="B270" s="253" t="s">
        <v>40</v>
      </c>
      <c r="C270" s="263"/>
      <c r="D270" s="264" t="s">
        <v>239</v>
      </c>
      <c r="E270" s="265"/>
      <c r="F270" s="254"/>
      <c r="G270" s="266"/>
      <c r="H270" s="267"/>
      <c r="I270" s="268" t="s">
        <v>60</v>
      </c>
      <c r="J270" s="268"/>
      <c r="K270" s="12"/>
      <c r="L270" s="434"/>
      <c r="M270" s="435"/>
      <c r="N270" s="436"/>
      <c r="O270" s="11"/>
      <c r="P270" s="437"/>
      <c r="Q270" s="431"/>
    </row>
    <row r="271" spans="1:17" ht="15.75">
      <c r="A271" s="923"/>
      <c r="B271" s="253" t="s">
        <v>40</v>
      </c>
      <c r="C271" s="263"/>
      <c r="D271" s="264" t="s">
        <v>240</v>
      </c>
      <c r="E271" s="265"/>
      <c r="F271" s="254"/>
      <c r="G271" s="266"/>
      <c r="H271" s="267"/>
      <c r="I271" s="268" t="s">
        <v>18</v>
      </c>
      <c r="J271" s="268"/>
      <c r="K271" s="12"/>
      <c r="L271" s="434"/>
      <c r="M271" s="81"/>
      <c r="N271" s="438"/>
      <c r="O271" s="437"/>
      <c r="P271" s="437"/>
      <c r="Q271" s="431"/>
    </row>
    <row r="272" spans="1:17" ht="15.75">
      <c r="A272" s="923"/>
      <c r="B272" s="253" t="s">
        <v>40</v>
      </c>
      <c r="C272" s="263"/>
      <c r="D272" s="264" t="s">
        <v>241</v>
      </c>
      <c r="E272" s="265"/>
      <c r="F272" s="254"/>
      <c r="G272" s="266"/>
      <c r="H272" s="267"/>
      <c r="I272" s="268" t="s">
        <v>18</v>
      </c>
      <c r="J272" s="268"/>
      <c r="K272" s="12"/>
      <c r="L272" s="434"/>
      <c r="M272" s="81"/>
      <c r="N272" s="438"/>
      <c r="O272" s="437"/>
      <c r="P272" s="437"/>
      <c r="Q272" s="431"/>
    </row>
    <row r="273" spans="1:17" ht="15.75">
      <c r="A273" s="954"/>
      <c r="B273" s="13"/>
      <c r="C273" s="14"/>
      <c r="D273" s="15" t="s">
        <v>46</v>
      </c>
      <c r="E273" s="82">
        <f>SUM(E258:E272)</f>
        <v>14850000</v>
      </c>
      <c r="F273" s="17"/>
      <c r="G273" s="383">
        <f>SUM(G258:G272)</f>
        <v>1045500</v>
      </c>
      <c r="H273" s="17"/>
      <c r="I273" s="18"/>
      <c r="J273" s="18"/>
      <c r="K273" s="18"/>
      <c r="L273" s="83"/>
      <c r="M273" s="62"/>
      <c r="N273" s="951" t="s">
        <v>70</v>
      </c>
      <c r="O273" s="926"/>
      <c r="P273" s="926"/>
      <c r="Q273" s="65">
        <f>G273</f>
        <v>1045500</v>
      </c>
    </row>
    <row r="276" spans="1:17" ht="18">
      <c r="A276" s="918" t="s">
        <v>91</v>
      </c>
      <c r="B276" s="918"/>
      <c r="C276" s="918"/>
      <c r="D276" s="918"/>
      <c r="E276" s="918"/>
      <c r="F276" s="918"/>
      <c r="G276" s="918"/>
      <c r="H276" s="918"/>
      <c r="I276" s="918"/>
      <c r="J276" s="918"/>
      <c r="K276" s="918"/>
      <c r="L276" s="918"/>
      <c r="M276" s="920" t="s">
        <v>14</v>
      </c>
      <c r="N276" s="921"/>
      <c r="O276" s="921"/>
      <c r="P276" s="922"/>
      <c r="Q276" s="122"/>
    </row>
    <row r="277" spans="1:17" ht="15.75">
      <c r="A277" s="115" t="s">
        <v>2</v>
      </c>
      <c r="B277" s="450" t="s">
        <v>3</v>
      </c>
      <c r="C277" s="115" t="s">
        <v>4</v>
      </c>
      <c r="D277" s="115" t="s">
        <v>5</v>
      </c>
      <c r="E277" s="451" t="s">
        <v>6</v>
      </c>
      <c r="F277" s="115" t="s">
        <v>7</v>
      </c>
      <c r="G277" s="452" t="s">
        <v>8</v>
      </c>
      <c r="H277" s="115" t="s">
        <v>9</v>
      </c>
      <c r="I277" s="453" t="s">
        <v>10</v>
      </c>
      <c r="J277" s="453" t="s">
        <v>11</v>
      </c>
      <c r="K277" s="119" t="s">
        <v>12</v>
      </c>
      <c r="L277" s="454" t="s">
        <v>13</v>
      </c>
      <c r="M277" s="46" t="s">
        <v>3</v>
      </c>
      <c r="N277" s="46" t="s">
        <v>5</v>
      </c>
      <c r="O277" s="46" t="s">
        <v>49</v>
      </c>
      <c r="P277" s="46" t="s">
        <v>7</v>
      </c>
      <c r="Q277" s="449" t="s">
        <v>50</v>
      </c>
    </row>
    <row r="278" spans="1:17" ht="15.75">
      <c r="A278" s="923" t="s">
        <v>15</v>
      </c>
      <c r="B278" s="409">
        <v>13472</v>
      </c>
      <c r="C278" s="231">
        <v>0.1</v>
      </c>
      <c r="D278" s="241" t="s">
        <v>242</v>
      </c>
      <c r="E278" s="242">
        <v>1130000</v>
      </c>
      <c r="F278" s="228">
        <v>0.1</v>
      </c>
      <c r="G278" s="243">
        <f>E278*F278</f>
        <v>113000</v>
      </c>
      <c r="H278" s="244" t="s">
        <v>95</v>
      </c>
      <c r="I278" s="239" t="s">
        <v>18</v>
      </c>
      <c r="J278" s="239" t="s">
        <v>19</v>
      </c>
      <c r="K278" s="7"/>
      <c r="L278" s="446"/>
      <c r="M278" s="428"/>
      <c r="N278" s="447"/>
      <c r="O278" s="430"/>
      <c r="P278" s="10"/>
      <c r="Q278" s="431"/>
    </row>
    <row r="279" spans="1:17" ht="15.75">
      <c r="A279" s="923"/>
      <c r="B279" s="409">
        <v>13462</v>
      </c>
      <c r="C279" s="231">
        <v>0.1</v>
      </c>
      <c r="D279" s="241" t="s">
        <v>243</v>
      </c>
      <c r="E279" s="242">
        <v>700000</v>
      </c>
      <c r="F279" s="228">
        <v>0.1</v>
      </c>
      <c r="G279" s="243">
        <f t="shared" ref="G279:G287" si="12">E279*F279</f>
        <v>70000</v>
      </c>
      <c r="H279" s="244" t="s">
        <v>93</v>
      </c>
      <c r="I279" s="239" t="s">
        <v>60</v>
      </c>
      <c r="J279" s="239" t="s">
        <v>19</v>
      </c>
      <c r="K279" s="7"/>
      <c r="L279" s="446"/>
      <c r="M279" s="428"/>
      <c r="N279" s="448"/>
      <c r="O279" s="430"/>
      <c r="P279" s="10"/>
      <c r="Q279" s="431"/>
    </row>
    <row r="280" spans="1:17" ht="15.75">
      <c r="A280" s="923"/>
      <c r="B280" s="409">
        <v>13467</v>
      </c>
      <c r="C280" s="231">
        <v>0.1</v>
      </c>
      <c r="D280" s="241" t="s">
        <v>244</v>
      </c>
      <c r="E280" s="242">
        <v>850000</v>
      </c>
      <c r="F280" s="228">
        <v>0.1</v>
      </c>
      <c r="G280" s="243">
        <f t="shared" si="12"/>
        <v>85000</v>
      </c>
      <c r="H280" s="244" t="s">
        <v>93</v>
      </c>
      <c r="I280" s="239" t="s">
        <v>21</v>
      </c>
      <c r="J280" s="239" t="s">
        <v>19</v>
      </c>
      <c r="K280" s="7"/>
      <c r="L280" s="446"/>
      <c r="M280" s="428"/>
      <c r="N280" s="448"/>
      <c r="O280" s="430"/>
      <c r="P280" s="10"/>
      <c r="Q280" s="431"/>
    </row>
    <row r="281" spans="1:17" ht="15.75">
      <c r="A281" s="923"/>
      <c r="B281" s="410">
        <v>13498</v>
      </c>
      <c r="C281" s="231">
        <v>0.1</v>
      </c>
      <c r="D281" s="241" t="s">
        <v>245</v>
      </c>
      <c r="E281" s="242">
        <v>1150000</v>
      </c>
      <c r="F281" s="228">
        <v>0.06</v>
      </c>
      <c r="G281" s="243">
        <f t="shared" si="12"/>
        <v>69000</v>
      </c>
      <c r="H281" s="244" t="s">
        <v>37</v>
      </c>
      <c r="I281" s="239" t="s">
        <v>18</v>
      </c>
      <c r="J281" s="239" t="s">
        <v>19</v>
      </c>
      <c r="K281" s="7"/>
      <c r="L281" s="446"/>
      <c r="M281" s="428"/>
      <c r="N281" s="448"/>
      <c r="O281" s="430"/>
      <c r="P281" s="10"/>
      <c r="Q281" s="431"/>
    </row>
    <row r="282" spans="1:17" ht="15.75">
      <c r="A282" s="923"/>
      <c r="B282" s="293">
        <v>13572</v>
      </c>
      <c r="C282" s="231">
        <v>0.1</v>
      </c>
      <c r="D282" s="241" t="s">
        <v>246</v>
      </c>
      <c r="E282" s="242">
        <v>1200000</v>
      </c>
      <c r="F282" s="228">
        <v>0.1</v>
      </c>
      <c r="G282" s="243">
        <f t="shared" si="12"/>
        <v>120000</v>
      </c>
      <c r="H282" s="244" t="s">
        <v>95</v>
      </c>
      <c r="I282" s="239" t="s">
        <v>18</v>
      </c>
      <c r="J282" s="239" t="s">
        <v>19</v>
      </c>
      <c r="K282" s="7"/>
      <c r="L282" s="446"/>
      <c r="M282" s="428"/>
      <c r="N282" s="448"/>
      <c r="O282" s="430"/>
      <c r="P282" s="10"/>
      <c r="Q282" s="431"/>
    </row>
    <row r="283" spans="1:17" ht="15.75">
      <c r="A283" s="923"/>
      <c r="B283" s="409">
        <v>13574</v>
      </c>
      <c r="C283" s="231">
        <v>0.1</v>
      </c>
      <c r="D283" s="241" t="s">
        <v>247</v>
      </c>
      <c r="E283" s="242">
        <v>950000</v>
      </c>
      <c r="F283" s="228">
        <v>0.06</v>
      </c>
      <c r="G283" s="243">
        <f t="shared" si="12"/>
        <v>57000</v>
      </c>
      <c r="H283" s="244" t="s">
        <v>37</v>
      </c>
      <c r="I283" s="239" t="s">
        <v>18</v>
      </c>
      <c r="J283" s="239" t="s">
        <v>19</v>
      </c>
      <c r="K283" s="7"/>
      <c r="L283" s="446"/>
      <c r="M283" s="428"/>
      <c r="N283" s="448"/>
      <c r="O283" s="430"/>
      <c r="P283" s="10"/>
      <c r="Q283" s="431"/>
    </row>
    <row r="284" spans="1:17" ht="15.75">
      <c r="A284" s="923"/>
      <c r="B284" s="409">
        <v>13576</v>
      </c>
      <c r="C284" s="231">
        <v>0.1</v>
      </c>
      <c r="D284" s="241" t="s">
        <v>248</v>
      </c>
      <c r="E284" s="242">
        <v>900000</v>
      </c>
      <c r="F284" s="228">
        <v>0.06</v>
      </c>
      <c r="G284" s="243">
        <f t="shared" si="12"/>
        <v>54000</v>
      </c>
      <c r="H284" s="244" t="s">
        <v>37</v>
      </c>
      <c r="I284" s="239" t="s">
        <v>21</v>
      </c>
      <c r="J284" s="239" t="s">
        <v>19</v>
      </c>
      <c r="K284" s="7"/>
      <c r="L284" s="446"/>
      <c r="M284" s="428"/>
      <c r="N284" s="448"/>
      <c r="O284" s="430"/>
      <c r="P284" s="10"/>
      <c r="Q284" s="431"/>
    </row>
    <row r="285" spans="1:17" ht="15.75">
      <c r="A285" s="923"/>
      <c r="B285" s="409">
        <v>13595</v>
      </c>
      <c r="C285" s="231">
        <v>0.1</v>
      </c>
      <c r="D285" s="241" t="s">
        <v>249</v>
      </c>
      <c r="E285" s="242">
        <v>780000</v>
      </c>
      <c r="F285" s="228">
        <v>0.1</v>
      </c>
      <c r="G285" s="243">
        <f t="shared" si="12"/>
        <v>78000</v>
      </c>
      <c r="H285" s="244" t="s">
        <v>95</v>
      </c>
      <c r="I285" s="239" t="s">
        <v>21</v>
      </c>
      <c r="J285" s="239" t="s">
        <v>19</v>
      </c>
      <c r="K285" s="7"/>
      <c r="L285" s="446"/>
      <c r="M285" s="428"/>
      <c r="N285" s="448"/>
      <c r="O285" s="430"/>
      <c r="P285" s="10"/>
      <c r="Q285" s="431"/>
    </row>
    <row r="286" spans="1:17" ht="15.75">
      <c r="A286" s="923"/>
      <c r="B286" s="409">
        <v>13599</v>
      </c>
      <c r="C286" s="231">
        <v>0.1</v>
      </c>
      <c r="D286" s="241" t="s">
        <v>250</v>
      </c>
      <c r="E286" s="242">
        <v>1250000</v>
      </c>
      <c r="F286" s="228">
        <v>0.1</v>
      </c>
      <c r="G286" s="243">
        <f t="shared" si="12"/>
        <v>125000</v>
      </c>
      <c r="H286" s="244" t="s">
        <v>95</v>
      </c>
      <c r="I286" s="239" t="s">
        <v>60</v>
      </c>
      <c r="J286" s="492" t="s">
        <v>19</v>
      </c>
      <c r="K286" s="7"/>
      <c r="L286" s="446"/>
      <c r="M286" s="428"/>
      <c r="N286" s="448"/>
      <c r="O286" s="430"/>
      <c r="P286" s="10"/>
      <c r="Q286" s="431"/>
    </row>
    <row r="287" spans="1:17" ht="15.75">
      <c r="A287" s="923"/>
      <c r="B287" s="409">
        <v>13626</v>
      </c>
      <c r="C287" s="347">
        <v>0.08</v>
      </c>
      <c r="D287" s="241" t="s">
        <v>251</v>
      </c>
      <c r="E287" s="242">
        <v>750000</v>
      </c>
      <c r="F287" s="217">
        <v>0.04</v>
      </c>
      <c r="G287" s="243">
        <f t="shared" si="12"/>
        <v>30000</v>
      </c>
      <c r="H287" s="244" t="s">
        <v>29</v>
      </c>
      <c r="I287" s="239" t="s">
        <v>18</v>
      </c>
      <c r="J287" s="239" t="s">
        <v>19</v>
      </c>
      <c r="K287" s="7"/>
      <c r="L287" s="446"/>
      <c r="M287" s="428"/>
      <c r="N287" s="448"/>
      <c r="O287" s="430"/>
      <c r="P287" s="10"/>
      <c r="Q287" s="431"/>
    </row>
    <row r="288" spans="1:17" ht="15.75">
      <c r="A288" s="923"/>
      <c r="B288" s="490" t="s">
        <v>40</v>
      </c>
      <c r="C288" s="328"/>
      <c r="D288" s="336" t="s">
        <v>252</v>
      </c>
      <c r="E288" s="255"/>
      <c r="F288" s="254"/>
      <c r="G288" s="292"/>
      <c r="H288" s="291"/>
      <c r="I288" s="213" t="s">
        <v>60</v>
      </c>
      <c r="J288" s="213"/>
      <c r="K288" s="7"/>
      <c r="L288" s="446"/>
      <c r="M288" s="428"/>
      <c r="N288" s="448"/>
      <c r="O288" s="430"/>
      <c r="P288" s="10"/>
      <c r="Q288" s="431"/>
    </row>
    <row r="289" spans="1:17" ht="15.75">
      <c r="A289" s="923"/>
      <c r="B289" s="490" t="s">
        <v>40</v>
      </c>
      <c r="C289" s="328"/>
      <c r="D289" s="336" t="s">
        <v>253</v>
      </c>
      <c r="E289" s="255"/>
      <c r="F289" s="254"/>
      <c r="G289" s="292"/>
      <c r="H289" s="291"/>
      <c r="I289" s="213" t="s">
        <v>18</v>
      </c>
      <c r="J289" s="213"/>
      <c r="K289" s="7"/>
      <c r="L289" s="446"/>
      <c r="M289" s="428"/>
      <c r="N289" s="448"/>
      <c r="O289" s="430"/>
      <c r="P289" s="10"/>
      <c r="Q289" s="431"/>
    </row>
    <row r="290" spans="1:17" ht="15.75">
      <c r="A290" s="923"/>
      <c r="B290" s="490" t="s">
        <v>40</v>
      </c>
      <c r="C290" s="328"/>
      <c r="D290" s="336" t="s">
        <v>254</v>
      </c>
      <c r="E290" s="255"/>
      <c r="F290" s="254"/>
      <c r="G290" s="292"/>
      <c r="H290" s="291"/>
      <c r="I290" s="213" t="s">
        <v>18</v>
      </c>
      <c r="J290" s="213"/>
      <c r="K290" s="7"/>
      <c r="L290" s="446"/>
      <c r="M290" s="428"/>
      <c r="N290" s="448"/>
      <c r="O290" s="430"/>
      <c r="P290" s="10"/>
      <c r="Q290" s="431"/>
    </row>
    <row r="291" spans="1:17" ht="15.75">
      <c r="A291" s="924"/>
      <c r="B291" s="103"/>
      <c r="C291" s="104"/>
      <c r="D291" s="105" t="s">
        <v>46</v>
      </c>
      <c r="E291" s="106">
        <f>SUM(E278:E290)</f>
        <v>9660000</v>
      </c>
      <c r="F291" s="107"/>
      <c r="G291" s="108">
        <f>SUM(G278:G290)</f>
        <v>801000</v>
      </c>
      <c r="H291" s="107"/>
      <c r="I291" s="109"/>
      <c r="J291" s="110"/>
      <c r="K291" s="110"/>
      <c r="L291" s="111"/>
      <c r="M291" s="112"/>
      <c r="N291" s="925" t="s">
        <v>70</v>
      </c>
      <c r="O291" s="926"/>
      <c r="P291" s="926"/>
      <c r="Q291" s="65">
        <f>G291</f>
        <v>801000</v>
      </c>
    </row>
    <row r="294" spans="1:17" ht="18">
      <c r="A294" s="918" t="s">
        <v>107</v>
      </c>
      <c r="B294" s="927"/>
      <c r="C294" s="927"/>
      <c r="D294" s="927"/>
      <c r="E294" s="927"/>
      <c r="F294" s="927"/>
      <c r="G294" s="927"/>
      <c r="H294" s="927"/>
      <c r="I294" s="927"/>
      <c r="J294" s="927"/>
      <c r="K294" s="927"/>
      <c r="L294" s="927"/>
      <c r="M294" s="928" t="s">
        <v>14</v>
      </c>
      <c r="N294" s="928"/>
      <c r="O294" s="928"/>
      <c r="P294" s="928"/>
      <c r="Q294" s="326"/>
    </row>
    <row r="295" spans="1:17" ht="15.75">
      <c r="A295" s="46" t="s">
        <v>2</v>
      </c>
      <c r="B295" s="77" t="s">
        <v>3</v>
      </c>
      <c r="C295" s="46" t="s">
        <v>4</v>
      </c>
      <c r="D295" s="46" t="s">
        <v>5</v>
      </c>
      <c r="E295" s="48" t="s">
        <v>6</v>
      </c>
      <c r="F295" s="46" t="s">
        <v>7</v>
      </c>
      <c r="G295" s="327" t="s">
        <v>8</v>
      </c>
      <c r="H295" s="46" t="s">
        <v>9</v>
      </c>
      <c r="I295" s="52" t="s">
        <v>10</v>
      </c>
      <c r="J295" s="52" t="s">
        <v>11</v>
      </c>
      <c r="K295" s="52" t="s">
        <v>12</v>
      </c>
      <c r="L295" s="46" t="s">
        <v>13</v>
      </c>
      <c r="M295" s="46" t="s">
        <v>3</v>
      </c>
      <c r="N295" s="46" t="s">
        <v>5</v>
      </c>
      <c r="O295" s="46" t="s">
        <v>49</v>
      </c>
      <c r="P295" s="46" t="s">
        <v>7</v>
      </c>
      <c r="Q295" s="56" t="s">
        <v>50</v>
      </c>
    </row>
    <row r="296" spans="1:17" ht="15.75">
      <c r="A296" s="929">
        <v>20</v>
      </c>
      <c r="B296" s="214">
        <v>13504</v>
      </c>
      <c r="C296" s="228">
        <v>0.1</v>
      </c>
      <c r="D296" s="261" t="s">
        <v>255</v>
      </c>
      <c r="E296" s="278">
        <v>1250000</v>
      </c>
      <c r="F296" s="273"/>
      <c r="G296" s="274"/>
      <c r="H296" s="275" t="s">
        <v>37</v>
      </c>
      <c r="I296" s="276" t="s">
        <v>256</v>
      </c>
      <c r="J296" s="276" t="s">
        <v>19</v>
      </c>
      <c r="K296" s="459"/>
      <c r="L296" s="460"/>
      <c r="M296" s="222">
        <v>13433</v>
      </c>
      <c r="N296" s="272" t="s">
        <v>198</v>
      </c>
      <c r="O296" s="230">
        <v>1550000</v>
      </c>
      <c r="P296" s="221"/>
      <c r="Q296" s="362"/>
    </row>
    <row r="297" spans="1:17" ht="15.75">
      <c r="A297" s="929"/>
      <c r="B297" s="433"/>
      <c r="C297" s="10"/>
      <c r="D297" s="8"/>
      <c r="E297" s="456"/>
      <c r="F297" s="457"/>
      <c r="G297" s="458"/>
      <c r="H297" s="56"/>
      <c r="I297" s="9"/>
      <c r="J297" s="9"/>
      <c r="K297" s="459"/>
      <c r="L297" s="460"/>
      <c r="M297" s="222">
        <v>13637</v>
      </c>
      <c r="N297" s="272" t="s">
        <v>204</v>
      </c>
      <c r="O297" s="230">
        <v>1500000</v>
      </c>
      <c r="P297" s="221"/>
      <c r="Q297" s="362"/>
    </row>
    <row r="298" spans="1:17" ht="15.75">
      <c r="A298" s="929"/>
      <c r="B298" s="433"/>
      <c r="C298" s="439"/>
      <c r="D298" s="8"/>
      <c r="E298" s="456"/>
      <c r="F298" s="457"/>
      <c r="G298" s="458"/>
      <c r="H298" s="56"/>
      <c r="I298" s="9"/>
      <c r="J298" s="9"/>
      <c r="K298" s="459"/>
      <c r="L298" s="460"/>
      <c r="M298" s="240">
        <v>13438</v>
      </c>
      <c r="N298" s="261" t="s">
        <v>257</v>
      </c>
      <c r="O298" s="230">
        <v>1800000</v>
      </c>
      <c r="P298" s="221"/>
      <c r="Q298" s="362"/>
    </row>
    <row r="299" spans="1:17" ht="15.75">
      <c r="A299" s="929"/>
      <c r="B299" s="433"/>
      <c r="C299" s="10"/>
      <c r="D299" s="8"/>
      <c r="E299" s="456"/>
      <c r="F299" s="457"/>
      <c r="G299" s="458"/>
      <c r="H299" s="56"/>
      <c r="I299" s="9"/>
      <c r="J299" s="9"/>
      <c r="K299" s="459"/>
      <c r="L299" s="460"/>
      <c r="M299" s="240">
        <v>13496</v>
      </c>
      <c r="N299" s="261" t="s">
        <v>216</v>
      </c>
      <c r="O299" s="230">
        <v>750000</v>
      </c>
      <c r="P299" s="221"/>
      <c r="Q299" s="362"/>
    </row>
    <row r="300" spans="1:17" ht="15.75">
      <c r="A300" s="929"/>
      <c r="B300" s="433"/>
      <c r="C300" s="10"/>
      <c r="D300" s="8"/>
      <c r="E300" s="430"/>
      <c r="F300" s="457"/>
      <c r="G300" s="458"/>
      <c r="H300" s="56"/>
      <c r="I300" s="9"/>
      <c r="J300" s="9"/>
      <c r="K300" s="459"/>
      <c r="L300" s="460"/>
      <c r="M300" s="240">
        <v>13618</v>
      </c>
      <c r="N300" s="261" t="s">
        <v>218</v>
      </c>
      <c r="O300" s="230">
        <v>1700000</v>
      </c>
      <c r="P300" s="221"/>
      <c r="Q300" s="362"/>
    </row>
    <row r="301" spans="1:17" ht="15.75">
      <c r="A301" s="929"/>
      <c r="B301" s="63"/>
      <c r="C301" s="67"/>
      <c r="D301" s="22"/>
      <c r="E301" s="31"/>
      <c r="F301" s="151"/>
      <c r="G301" s="124"/>
      <c r="H301" s="152"/>
      <c r="I301" s="68"/>
      <c r="J301" s="68"/>
      <c r="K301" s="120"/>
      <c r="L301" s="121"/>
      <c r="M301" s="279">
        <v>13655</v>
      </c>
      <c r="N301" s="261" t="s">
        <v>221</v>
      </c>
      <c r="O301" s="230">
        <v>1800000</v>
      </c>
      <c r="P301" s="221"/>
      <c r="Q301" s="362"/>
    </row>
    <row r="302" spans="1:17" ht="15.75">
      <c r="A302" s="929"/>
      <c r="B302" s="63"/>
      <c r="C302" s="67"/>
      <c r="D302" s="22"/>
      <c r="E302" s="31"/>
      <c r="F302" s="151"/>
      <c r="G302" s="124"/>
      <c r="H302" s="152"/>
      <c r="I302" s="68"/>
      <c r="J302" s="68"/>
      <c r="K302" s="120"/>
      <c r="L302" s="121"/>
      <c r="M302" s="279">
        <v>13650</v>
      </c>
      <c r="N302" s="261" t="s">
        <v>223</v>
      </c>
      <c r="O302" s="230">
        <v>1150000</v>
      </c>
      <c r="P302" s="221"/>
      <c r="Q302" s="362"/>
    </row>
    <row r="303" spans="1:17" ht="15.75">
      <c r="A303" s="929"/>
      <c r="B303" s="63"/>
      <c r="C303" s="67"/>
      <c r="D303" s="22"/>
      <c r="E303" s="31"/>
      <c r="F303" s="151"/>
      <c r="G303" s="124"/>
      <c r="H303" s="152"/>
      <c r="I303" s="68"/>
      <c r="J303" s="68"/>
      <c r="K303" s="120"/>
      <c r="L303" s="121"/>
      <c r="M303" s="214">
        <v>13454</v>
      </c>
      <c r="N303" s="277" t="s">
        <v>228</v>
      </c>
      <c r="O303" s="216">
        <v>1700000</v>
      </c>
      <c r="P303" s="221"/>
      <c r="Q303" s="362"/>
    </row>
    <row r="304" spans="1:17" ht="15.75">
      <c r="A304" s="929"/>
      <c r="B304" s="63"/>
      <c r="C304" s="67"/>
      <c r="D304" s="22"/>
      <c r="E304" s="31"/>
      <c r="F304" s="151"/>
      <c r="G304" s="124"/>
      <c r="H304" s="152"/>
      <c r="I304" s="68"/>
      <c r="J304" s="68"/>
      <c r="K304" s="120"/>
      <c r="L304" s="121"/>
      <c r="M304" s="214">
        <v>13508</v>
      </c>
      <c r="N304" s="277" t="s">
        <v>230</v>
      </c>
      <c r="O304" s="216">
        <v>950000</v>
      </c>
      <c r="P304" s="221"/>
      <c r="Q304" s="362"/>
    </row>
    <row r="305" spans="1:17" ht="15.75">
      <c r="A305" s="929"/>
      <c r="B305" s="155"/>
      <c r="C305" s="156"/>
      <c r="D305" s="113"/>
      <c r="E305" s="31"/>
      <c r="F305" s="157"/>
      <c r="G305" s="124"/>
      <c r="H305" s="152"/>
      <c r="I305" s="68"/>
      <c r="J305" s="120"/>
      <c r="K305" s="120"/>
      <c r="L305" s="121"/>
      <c r="M305" s="214">
        <v>13573</v>
      </c>
      <c r="N305" s="277" t="s">
        <v>231</v>
      </c>
      <c r="O305" s="216">
        <v>2100000</v>
      </c>
      <c r="P305" s="235"/>
      <c r="Q305" s="362"/>
    </row>
    <row r="306" spans="1:17" ht="15.75">
      <c r="A306" s="930"/>
      <c r="B306" s="86"/>
      <c r="C306" s="85"/>
      <c r="D306" s="123"/>
      <c r="E306" s="31"/>
      <c r="F306" s="151"/>
      <c r="G306" s="124"/>
      <c r="H306" s="59"/>
      <c r="I306" s="120"/>
      <c r="J306" s="120"/>
      <c r="K306" s="120"/>
      <c r="L306" s="160"/>
      <c r="M306" s="410">
        <v>13498</v>
      </c>
      <c r="N306" s="241" t="s">
        <v>245</v>
      </c>
      <c r="O306" s="242">
        <v>1150000</v>
      </c>
      <c r="P306" s="235"/>
      <c r="Q306" s="362"/>
    </row>
    <row r="307" spans="1:17" ht="15.75">
      <c r="A307" s="931"/>
      <c r="B307" s="125"/>
      <c r="C307" s="126"/>
      <c r="D307" s="127"/>
      <c r="E307" s="128"/>
      <c r="F307" s="129"/>
      <c r="G307" s="128"/>
      <c r="H307" s="130"/>
      <c r="I307" s="64"/>
      <c r="J307" s="64"/>
      <c r="K307" s="64"/>
      <c r="L307" s="161"/>
      <c r="M307" s="409">
        <v>13574</v>
      </c>
      <c r="N307" s="241" t="s">
        <v>247</v>
      </c>
      <c r="O307" s="242">
        <v>950000</v>
      </c>
      <c r="P307" s="376"/>
      <c r="Q307" s="362"/>
    </row>
    <row r="308" spans="1:17" ht="15.75">
      <c r="A308" s="931"/>
      <c r="B308" s="131"/>
      <c r="C308" s="132"/>
      <c r="D308" s="101"/>
      <c r="E308" s="128"/>
      <c r="F308" s="129"/>
      <c r="G308" s="133"/>
      <c r="H308" s="130"/>
      <c r="I308" s="64"/>
      <c r="J308" s="64"/>
      <c r="K308" s="64"/>
      <c r="L308" s="161"/>
      <c r="M308" s="409">
        <v>13576</v>
      </c>
      <c r="N308" s="241" t="s">
        <v>248</v>
      </c>
      <c r="O308" s="242">
        <v>900000</v>
      </c>
      <c r="P308" s="231"/>
      <c r="Q308" s="362"/>
    </row>
    <row r="309" spans="1:17" ht="15.75">
      <c r="A309" s="931"/>
      <c r="B309" s="131"/>
      <c r="C309" s="132"/>
      <c r="D309" s="121"/>
      <c r="E309" s="128"/>
      <c r="F309" s="129"/>
      <c r="G309" s="133"/>
      <c r="H309" s="130"/>
      <c r="I309" s="64"/>
      <c r="J309" s="64"/>
      <c r="K309" s="64"/>
      <c r="L309" s="161"/>
      <c r="M309" s="86"/>
      <c r="N309" s="70"/>
      <c r="O309" s="71"/>
      <c r="P309" s="28"/>
      <c r="Q309" s="122"/>
    </row>
    <row r="310" spans="1:17" ht="15.75">
      <c r="A310" s="931"/>
      <c r="B310" s="131"/>
      <c r="C310" s="132"/>
      <c r="D310" s="121"/>
      <c r="E310" s="128"/>
      <c r="F310" s="129"/>
      <c r="G310" s="133"/>
      <c r="H310" s="130"/>
      <c r="I310" s="64"/>
      <c r="J310" s="64"/>
      <c r="K310" s="64"/>
      <c r="L310" s="161"/>
      <c r="M310" s="86"/>
      <c r="N310" s="162"/>
      <c r="O310" s="84"/>
      <c r="P310" s="43"/>
      <c r="Q310" s="122"/>
    </row>
    <row r="311" spans="1:17" ht="15.75">
      <c r="A311" s="931"/>
      <c r="B311" s="131"/>
      <c r="C311" s="132"/>
      <c r="D311" s="121"/>
      <c r="E311" s="128"/>
      <c r="F311" s="129"/>
      <c r="G311" s="133"/>
      <c r="H311" s="130"/>
      <c r="I311" s="64"/>
      <c r="J311" s="64"/>
      <c r="K311" s="64"/>
      <c r="L311" s="161"/>
      <c r="M311" s="159"/>
      <c r="N311" s="163"/>
      <c r="O311" s="31"/>
      <c r="P311" s="158"/>
      <c r="Q311" s="122"/>
    </row>
    <row r="312" spans="1:17" ht="15.75">
      <c r="A312" s="931"/>
      <c r="B312" s="134"/>
      <c r="C312" s="72"/>
      <c r="D312" s="135"/>
      <c r="E312" s="136"/>
      <c r="F312" s="137"/>
      <c r="G312" s="138"/>
      <c r="H312" s="139"/>
      <c r="I312" s="69"/>
      <c r="J312" s="69"/>
      <c r="K312" s="69"/>
      <c r="L312" s="60"/>
      <c r="M312" s="102"/>
      <c r="N312" s="96"/>
      <c r="O312" s="23"/>
      <c r="P312" s="140"/>
      <c r="Q312" s="122"/>
    </row>
    <row r="313" spans="1:17" ht="15.75">
      <c r="A313" s="932"/>
      <c r="B313" s="141" t="s">
        <v>46</v>
      </c>
      <c r="C313" s="142"/>
      <c r="D313" s="143"/>
      <c r="E313" s="144">
        <f>SUM(E296:E312)</f>
        <v>1250000</v>
      </c>
      <c r="F313" s="145"/>
      <c r="G313" s="146"/>
      <c r="H313" s="145"/>
      <c r="I313" s="147"/>
      <c r="J313" s="147"/>
      <c r="K313" s="147"/>
      <c r="L313" s="148"/>
      <c r="M313" s="123"/>
      <c r="N313" s="123"/>
      <c r="O313" s="378">
        <f>SUM(O296:O312)</f>
        <v>18000000</v>
      </c>
      <c r="P313" s="150"/>
      <c r="Q313" s="122"/>
    </row>
    <row r="316" spans="1:17" ht="18">
      <c r="A316" s="933" t="s">
        <v>117</v>
      </c>
      <c r="B316" s="1116"/>
      <c r="C316" s="164"/>
      <c r="D316" s="165">
        <f>E236+E253+E273+E291+E313</f>
        <v>58160000</v>
      </c>
    </row>
    <row r="317" spans="1:17" ht="18">
      <c r="A317" s="934" t="s">
        <v>119</v>
      </c>
      <c r="B317" s="1117"/>
      <c r="C317" s="167"/>
      <c r="D317" s="168"/>
    </row>
    <row r="318" spans="1:17" ht="18">
      <c r="A318" s="916" t="s">
        <v>120</v>
      </c>
      <c r="B318" s="1118"/>
      <c r="C318" s="169"/>
      <c r="D318" s="170"/>
    </row>
    <row r="319" spans="1:17" ht="15.75">
      <c r="A319" s="917" t="s">
        <v>121</v>
      </c>
      <c r="B319" s="1119"/>
      <c r="C319" s="169"/>
      <c r="D319" s="171"/>
    </row>
    <row r="320" spans="1:17" ht="15.75">
      <c r="A320" s="172"/>
      <c r="B320" s="141" t="s">
        <v>47</v>
      </c>
      <c r="C320" s="173"/>
      <c r="D320" s="174">
        <f>SUM(D316:D319)</f>
        <v>58160000</v>
      </c>
    </row>
    <row r="324" spans="1:17" ht="45">
      <c r="A324" s="935" t="s">
        <v>258</v>
      </c>
      <c r="B324" s="935"/>
      <c r="C324" s="935"/>
      <c r="D324" s="935"/>
      <c r="E324" s="935"/>
      <c r="F324" s="935"/>
      <c r="G324" s="935"/>
      <c r="H324" s="935"/>
      <c r="I324" s="935"/>
      <c r="J324" s="935"/>
      <c r="K324" s="935"/>
      <c r="L324" s="935"/>
    </row>
    <row r="326" spans="1:17" ht="18">
      <c r="A326" s="918" t="s">
        <v>1</v>
      </c>
      <c r="B326" s="918"/>
      <c r="C326" s="918"/>
      <c r="D326" s="918"/>
      <c r="E326" s="918"/>
      <c r="F326" s="918"/>
      <c r="G326" s="918"/>
      <c r="H326" s="918"/>
      <c r="I326" s="918"/>
      <c r="J326" s="918"/>
      <c r="K326" s="918"/>
      <c r="L326" s="918"/>
    </row>
    <row r="327" spans="1:17">
      <c r="A327" s="1" t="s">
        <v>2</v>
      </c>
      <c r="B327" s="2" t="s">
        <v>3</v>
      </c>
      <c r="C327" s="3" t="s">
        <v>4</v>
      </c>
      <c r="D327" s="1" t="s">
        <v>5</v>
      </c>
      <c r="E327" s="4" t="s">
        <v>6</v>
      </c>
      <c r="F327" s="3" t="s">
        <v>7</v>
      </c>
      <c r="G327" s="5" t="s">
        <v>8</v>
      </c>
      <c r="H327" s="3" t="s">
        <v>9</v>
      </c>
      <c r="I327" s="6" t="s">
        <v>10</v>
      </c>
      <c r="J327" s="6" t="s">
        <v>11</v>
      </c>
      <c r="K327" s="6" t="s">
        <v>12</v>
      </c>
      <c r="L327" s="40" t="s">
        <v>13</v>
      </c>
      <c r="M327" s="943" t="s">
        <v>14</v>
      </c>
      <c r="N327" s="943"/>
      <c r="O327" s="943"/>
      <c r="P327" s="943"/>
      <c r="Q327" s="41"/>
    </row>
    <row r="328" spans="1:17" ht="15.75">
      <c r="A328" s="936" t="s">
        <v>15</v>
      </c>
      <c r="B328" s="222">
        <v>13789</v>
      </c>
      <c r="C328" s="526">
        <v>0.08</v>
      </c>
      <c r="D328" s="272" t="s">
        <v>259</v>
      </c>
      <c r="E328" s="216">
        <v>1750000</v>
      </c>
      <c r="F328" s="217">
        <v>0.05</v>
      </c>
      <c r="G328" s="237">
        <f>E328*F328</f>
        <v>87500</v>
      </c>
      <c r="H328" s="238" t="s">
        <v>26</v>
      </c>
      <c r="I328" s="239" t="s">
        <v>60</v>
      </c>
      <c r="J328" s="239" t="s">
        <v>19</v>
      </c>
      <c r="K328" s="239"/>
      <c r="L328" s="500"/>
      <c r="M328" s="485"/>
      <c r="N328" s="8"/>
      <c r="O328" s="501"/>
      <c r="P328" s="10"/>
      <c r="Q328" s="487"/>
    </row>
    <row r="329" spans="1:17" ht="15.75">
      <c r="A329" s="936"/>
      <c r="B329" s="222">
        <v>13763</v>
      </c>
      <c r="C329" s="408">
        <v>0.1</v>
      </c>
      <c r="D329" s="272" t="s">
        <v>260</v>
      </c>
      <c r="E329" s="216">
        <v>1500000</v>
      </c>
      <c r="F329" s="228">
        <v>0.1</v>
      </c>
      <c r="G329" s="237">
        <f t="shared" ref="G329:G335" si="13">E329*F329</f>
        <v>150000</v>
      </c>
      <c r="H329" s="238" t="s">
        <v>17</v>
      </c>
      <c r="I329" s="239" t="s">
        <v>21</v>
      </c>
      <c r="J329" s="239" t="s">
        <v>19</v>
      </c>
      <c r="K329" s="239"/>
      <c r="L329" s="500"/>
      <c r="M329" s="485"/>
      <c r="N329" s="8"/>
      <c r="O329" s="501"/>
      <c r="P329" s="10"/>
      <c r="Q329" s="487"/>
    </row>
    <row r="330" spans="1:17" ht="15.75">
      <c r="A330" s="936"/>
      <c r="B330" s="222">
        <v>13775</v>
      </c>
      <c r="C330" s="526">
        <v>0.08</v>
      </c>
      <c r="D330" s="272" t="s">
        <v>261</v>
      </c>
      <c r="E330" s="216">
        <v>1500000</v>
      </c>
      <c r="F330" s="217">
        <v>0.04</v>
      </c>
      <c r="G330" s="237">
        <f t="shared" si="13"/>
        <v>60000</v>
      </c>
      <c r="H330" s="238" t="s">
        <v>62</v>
      </c>
      <c r="I330" s="239" t="s">
        <v>60</v>
      </c>
      <c r="J330" s="239" t="s">
        <v>19</v>
      </c>
      <c r="K330" s="239"/>
      <c r="L330" s="500"/>
      <c r="M330" s="485"/>
      <c r="N330" s="8"/>
      <c r="O330" s="501"/>
      <c r="P330" s="10"/>
      <c r="Q330" s="487"/>
    </row>
    <row r="331" spans="1:17" ht="15.75">
      <c r="A331" s="936"/>
      <c r="B331" s="222">
        <v>13806</v>
      </c>
      <c r="C331" s="408">
        <v>0.1</v>
      </c>
      <c r="D331" s="272" t="s">
        <v>262</v>
      </c>
      <c r="E331" s="216">
        <v>1800000</v>
      </c>
      <c r="F331" s="228">
        <v>0.06</v>
      </c>
      <c r="G331" s="237">
        <f t="shared" si="13"/>
        <v>108000</v>
      </c>
      <c r="H331" s="238" t="s">
        <v>26</v>
      </c>
      <c r="I331" s="239" t="s">
        <v>60</v>
      </c>
      <c r="J331" s="239" t="s">
        <v>19</v>
      </c>
      <c r="K331" s="239"/>
      <c r="L331" s="500"/>
      <c r="M331" s="485"/>
      <c r="N331" s="8"/>
      <c r="O331" s="501"/>
      <c r="P331" s="10"/>
      <c r="Q331" s="487"/>
    </row>
    <row r="332" spans="1:17" ht="15.75">
      <c r="A332" s="936"/>
      <c r="B332" s="222">
        <v>13869</v>
      </c>
      <c r="C332" s="408">
        <v>0.1</v>
      </c>
      <c r="D332" s="272" t="s">
        <v>263</v>
      </c>
      <c r="E332" s="216">
        <v>850000</v>
      </c>
      <c r="F332" s="228">
        <v>0.05</v>
      </c>
      <c r="G332" s="237">
        <f t="shared" si="13"/>
        <v>42500</v>
      </c>
      <c r="H332" s="238" t="s">
        <v>62</v>
      </c>
      <c r="I332" s="239" t="s">
        <v>264</v>
      </c>
      <c r="J332" s="239" t="s">
        <v>19</v>
      </c>
      <c r="K332" s="239"/>
      <c r="L332" s="500"/>
      <c r="M332" s="485"/>
      <c r="N332" s="8"/>
      <c r="O332" s="501"/>
      <c r="P332" s="10"/>
      <c r="Q332" s="487"/>
    </row>
    <row r="333" spans="1:17" ht="15.75">
      <c r="A333" s="936"/>
      <c r="B333" s="222">
        <v>13870</v>
      </c>
      <c r="C333" s="408">
        <v>0.1</v>
      </c>
      <c r="D333" s="272" t="s">
        <v>265</v>
      </c>
      <c r="E333" s="216">
        <v>1200000</v>
      </c>
      <c r="F333" s="228">
        <v>0.06</v>
      </c>
      <c r="G333" s="237">
        <f t="shared" si="13"/>
        <v>72000</v>
      </c>
      <c r="H333" s="238" t="s">
        <v>37</v>
      </c>
      <c r="I333" s="239" t="s">
        <v>21</v>
      </c>
      <c r="J333" s="239" t="s">
        <v>19</v>
      </c>
      <c r="K333" s="239"/>
      <c r="L333" s="500"/>
      <c r="M333" s="485"/>
      <c r="N333" s="8"/>
      <c r="O333" s="501"/>
      <c r="P333" s="10"/>
      <c r="Q333" s="487"/>
    </row>
    <row r="334" spans="1:17" ht="15.75">
      <c r="A334" s="936"/>
      <c r="B334" s="222">
        <v>13876</v>
      </c>
      <c r="C334" s="408">
        <v>0.1</v>
      </c>
      <c r="D334" s="272" t="s">
        <v>266</v>
      </c>
      <c r="E334" s="216">
        <v>800000</v>
      </c>
      <c r="F334" s="228">
        <v>0.1</v>
      </c>
      <c r="G334" s="237">
        <f t="shared" si="13"/>
        <v>80000</v>
      </c>
      <c r="H334" s="238" t="s">
        <v>17</v>
      </c>
      <c r="I334" s="239" t="s">
        <v>264</v>
      </c>
      <c r="J334" s="239" t="s">
        <v>19</v>
      </c>
      <c r="K334" s="239"/>
      <c r="L334" s="500"/>
      <c r="M334" s="316"/>
      <c r="N334" s="316"/>
      <c r="O334" s="100"/>
      <c r="P334" s="316"/>
      <c r="Q334" s="317"/>
    </row>
    <row r="335" spans="1:17" s="543" customFormat="1" ht="15.75">
      <c r="A335" s="936"/>
      <c r="B335" s="240">
        <v>13882</v>
      </c>
      <c r="C335" s="308">
        <v>0.1</v>
      </c>
      <c r="D335" s="241" t="s">
        <v>267</v>
      </c>
      <c r="E335" s="278">
        <v>1900000</v>
      </c>
      <c r="F335" s="228">
        <v>0.06</v>
      </c>
      <c r="G335" s="237">
        <f t="shared" si="13"/>
        <v>114000</v>
      </c>
      <c r="H335" s="238" t="s">
        <v>37</v>
      </c>
      <c r="I335" s="239" t="s">
        <v>18</v>
      </c>
      <c r="J335" s="239" t="s">
        <v>19</v>
      </c>
      <c r="K335" s="239"/>
      <c r="L335" s="540"/>
      <c r="M335" s="541"/>
      <c r="N335" s="344"/>
      <c r="O335" s="242"/>
      <c r="P335" s="228"/>
      <c r="Q335" s="542"/>
    </row>
    <row r="336" spans="1:17" ht="15.75">
      <c r="A336" s="936"/>
      <c r="B336" s="204" t="s">
        <v>191</v>
      </c>
      <c r="C336" s="524"/>
      <c r="D336" s="205" t="s">
        <v>268</v>
      </c>
      <c r="E336" s="209"/>
      <c r="F336" s="254"/>
      <c r="G336" s="211"/>
      <c r="H336" s="212"/>
      <c r="I336" s="213" t="s">
        <v>21</v>
      </c>
      <c r="J336" s="213"/>
      <c r="K336" s="213"/>
      <c r="L336" s="500"/>
      <c r="M336" s="316"/>
      <c r="N336" s="316"/>
      <c r="O336" s="100"/>
      <c r="P336" s="316"/>
      <c r="Q336" s="317"/>
    </row>
    <row r="337" spans="1:17" ht="15.75" customHeight="1">
      <c r="A337" s="936"/>
      <c r="B337" s="204" t="s">
        <v>191</v>
      </c>
      <c r="C337" s="524"/>
      <c r="D337" s="205" t="s">
        <v>269</v>
      </c>
      <c r="E337" s="265"/>
      <c r="F337" s="254"/>
      <c r="G337" s="211"/>
      <c r="H337" s="212"/>
      <c r="I337" s="213" t="s">
        <v>21</v>
      </c>
      <c r="J337" s="213"/>
      <c r="K337" s="213"/>
      <c r="L337" s="500"/>
      <c r="M337" s="316"/>
      <c r="N337" s="316"/>
      <c r="O337" s="100"/>
      <c r="P337" s="316"/>
      <c r="Q337" s="317"/>
    </row>
    <row r="338" spans="1:17" ht="15.75">
      <c r="A338" s="936"/>
      <c r="B338" s="204" t="s">
        <v>191</v>
      </c>
      <c r="C338" s="524"/>
      <c r="D338" s="205" t="s">
        <v>270</v>
      </c>
      <c r="E338" s="265"/>
      <c r="F338" s="254"/>
      <c r="G338" s="211"/>
      <c r="H338" s="212"/>
      <c r="I338" s="213" t="s">
        <v>21</v>
      </c>
      <c r="J338" s="213"/>
      <c r="K338" s="213"/>
      <c r="L338" s="500"/>
      <c r="M338" s="316"/>
      <c r="N338" s="316"/>
      <c r="O338" s="100"/>
      <c r="P338" s="316"/>
      <c r="Q338" s="317"/>
    </row>
    <row r="339" spans="1:17" ht="15.75">
      <c r="A339" s="937"/>
      <c r="B339" s="13"/>
      <c r="C339" s="14"/>
      <c r="D339" s="15" t="s">
        <v>46</v>
      </c>
      <c r="E339" s="16">
        <f>SUM(E328:E338)</f>
        <v>11300000</v>
      </c>
      <c r="F339" s="17"/>
      <c r="G339" s="383">
        <f>SUM(G328:G338)</f>
        <v>714000</v>
      </c>
      <c r="H339" s="17"/>
      <c r="I339" s="18"/>
      <c r="J339" s="18"/>
      <c r="K339" s="18"/>
      <c r="L339" s="45"/>
      <c r="M339" s="37"/>
      <c r="N339" s="938" t="s">
        <v>211</v>
      </c>
      <c r="O339" s="939"/>
      <c r="P339" s="940"/>
      <c r="Q339" s="65">
        <f>G339</f>
        <v>714000</v>
      </c>
    </row>
    <row r="342" spans="1:17" ht="18">
      <c r="A342" s="918" t="s">
        <v>48</v>
      </c>
      <c r="B342" s="918"/>
      <c r="C342" s="918"/>
      <c r="D342" s="918"/>
      <c r="E342" s="918"/>
      <c r="F342" s="918"/>
      <c r="G342" s="918"/>
      <c r="H342" s="918"/>
      <c r="I342" s="918"/>
      <c r="J342" s="919"/>
      <c r="K342" s="919"/>
      <c r="L342" s="941"/>
      <c r="M342" s="928" t="s">
        <v>14</v>
      </c>
      <c r="N342" s="928"/>
      <c r="O342" s="928"/>
      <c r="P342" s="928"/>
      <c r="Q342" s="363"/>
    </row>
    <row r="343" spans="1:17" ht="15.75">
      <c r="A343" s="46" t="s">
        <v>2</v>
      </c>
      <c r="B343" s="47" t="s">
        <v>3</v>
      </c>
      <c r="C343" s="49" t="s">
        <v>4</v>
      </c>
      <c r="D343" s="49" t="s">
        <v>5</v>
      </c>
      <c r="E343" s="78" t="s">
        <v>6</v>
      </c>
      <c r="F343" s="49" t="s">
        <v>7</v>
      </c>
      <c r="G343" s="50" t="s">
        <v>8</v>
      </c>
      <c r="H343" s="49" t="s">
        <v>9</v>
      </c>
      <c r="I343" s="323" t="s">
        <v>10</v>
      </c>
      <c r="J343" s="79" t="s">
        <v>11</v>
      </c>
      <c r="K343" s="52" t="s">
        <v>12</v>
      </c>
      <c r="L343" s="53" t="s">
        <v>13</v>
      </c>
      <c r="M343" s="54" t="s">
        <v>3</v>
      </c>
      <c r="N343" s="54" t="s">
        <v>5</v>
      </c>
      <c r="O343" s="39" t="s">
        <v>49</v>
      </c>
      <c r="P343" s="371" t="s">
        <v>7</v>
      </c>
      <c r="Q343" s="56" t="s">
        <v>50</v>
      </c>
    </row>
    <row r="344" spans="1:17" ht="15.75">
      <c r="A344" s="923" t="s">
        <v>15</v>
      </c>
      <c r="B344" s="260">
        <v>13679</v>
      </c>
      <c r="C344" s="217">
        <v>0.08</v>
      </c>
      <c r="D344" s="261" t="s">
        <v>271</v>
      </c>
      <c r="E344" s="230">
        <v>1200000</v>
      </c>
      <c r="F344" s="217">
        <v>0.08</v>
      </c>
      <c r="G344" s="243">
        <f>E344*F344</f>
        <v>96000</v>
      </c>
      <c r="H344" s="297" t="s">
        <v>55</v>
      </c>
      <c r="I344" s="220" t="s">
        <v>18</v>
      </c>
      <c r="J344" s="220" t="s">
        <v>19</v>
      </c>
      <c r="K344" s="351"/>
      <c r="L344" s="427"/>
      <c r="M344" s="293">
        <v>13750</v>
      </c>
      <c r="N344" s="241" t="s">
        <v>272</v>
      </c>
      <c r="O344" s="242">
        <v>850000</v>
      </c>
      <c r="P344" s="228">
        <v>0.05</v>
      </c>
      <c r="Q344" s="462">
        <f>O344*P344</f>
        <v>42500</v>
      </c>
    </row>
    <row r="345" spans="1:17" ht="15.75">
      <c r="A345" s="923"/>
      <c r="B345" s="240">
        <v>13706</v>
      </c>
      <c r="C345" s="347">
        <v>0.08</v>
      </c>
      <c r="D345" s="261" t="s">
        <v>273</v>
      </c>
      <c r="E345" s="230">
        <v>1700000</v>
      </c>
      <c r="F345" s="217">
        <v>0.05</v>
      </c>
      <c r="G345" s="243">
        <f t="shared" ref="G345:G350" si="14">E345*F345</f>
        <v>85000</v>
      </c>
      <c r="H345" s="297" t="s">
        <v>26</v>
      </c>
      <c r="I345" s="220" t="s">
        <v>21</v>
      </c>
      <c r="J345" s="220" t="s">
        <v>19</v>
      </c>
      <c r="K345" s="351"/>
      <c r="L345" s="427"/>
      <c r="M345" s="222">
        <v>13775</v>
      </c>
      <c r="N345" s="272" t="s">
        <v>261</v>
      </c>
      <c r="O345" s="242">
        <v>1500000</v>
      </c>
      <c r="P345" s="217">
        <v>0.04</v>
      </c>
      <c r="Q345" s="462">
        <f>O345*P345</f>
        <v>60000</v>
      </c>
    </row>
    <row r="346" spans="1:17" ht="15.75">
      <c r="A346" s="923"/>
      <c r="B346" s="240">
        <v>13757</v>
      </c>
      <c r="C346" s="231">
        <v>0.1</v>
      </c>
      <c r="D346" s="261" t="s">
        <v>274</v>
      </c>
      <c r="E346" s="230">
        <v>1400000</v>
      </c>
      <c r="F346" s="228">
        <v>0.1</v>
      </c>
      <c r="G346" s="243">
        <f t="shared" si="14"/>
        <v>140000</v>
      </c>
      <c r="H346" s="297" t="s">
        <v>62</v>
      </c>
      <c r="I346" s="220" t="s">
        <v>21</v>
      </c>
      <c r="J346" s="220" t="s">
        <v>19</v>
      </c>
      <c r="K346" s="351"/>
      <c r="L346" s="427"/>
      <c r="M346" s="419" t="s">
        <v>275</v>
      </c>
      <c r="N346" s="272" t="s">
        <v>263</v>
      </c>
      <c r="O346" s="242">
        <v>850000</v>
      </c>
      <c r="P346" s="228">
        <v>0.05</v>
      </c>
      <c r="Q346" s="462">
        <f>O346*P346</f>
        <v>42500</v>
      </c>
    </row>
    <row r="347" spans="1:17" ht="15.75">
      <c r="A347" s="923"/>
      <c r="B347" s="240">
        <v>13779</v>
      </c>
      <c r="C347" s="231">
        <v>0.1</v>
      </c>
      <c r="D347" s="261" t="s">
        <v>276</v>
      </c>
      <c r="E347" s="230">
        <v>1600000</v>
      </c>
      <c r="F347" s="228">
        <v>0.1</v>
      </c>
      <c r="G347" s="243">
        <f t="shared" si="14"/>
        <v>160000</v>
      </c>
      <c r="H347" s="297" t="s">
        <v>62</v>
      </c>
      <c r="I347" s="220" t="s">
        <v>21</v>
      </c>
      <c r="J347" s="220" t="s">
        <v>19</v>
      </c>
      <c r="K347" s="351"/>
      <c r="L347" s="427"/>
      <c r="M347" s="419">
        <v>13712</v>
      </c>
      <c r="N347" s="423" t="s">
        <v>277</v>
      </c>
      <c r="O347" s="242">
        <v>1300000</v>
      </c>
      <c r="P347" s="228">
        <v>0.05</v>
      </c>
      <c r="Q347" s="462">
        <f>O347*P347</f>
        <v>65000</v>
      </c>
    </row>
    <row r="348" spans="1:17" ht="15.75">
      <c r="A348" s="923"/>
      <c r="B348" s="240">
        <v>13809</v>
      </c>
      <c r="C348" s="231">
        <v>0.1</v>
      </c>
      <c r="D348" s="261" t="s">
        <v>278</v>
      </c>
      <c r="E348" s="230">
        <v>1700000</v>
      </c>
      <c r="F348" s="228">
        <v>0.1</v>
      </c>
      <c r="G348" s="243">
        <f t="shared" si="14"/>
        <v>170000</v>
      </c>
      <c r="H348" s="297" t="s">
        <v>62</v>
      </c>
      <c r="I348" s="220" t="s">
        <v>21</v>
      </c>
      <c r="J348" s="220" t="s">
        <v>19</v>
      </c>
      <c r="K348" s="351"/>
      <c r="L348" s="427"/>
      <c r="M348" s="428"/>
      <c r="N348" s="429"/>
      <c r="O348" s="430"/>
      <c r="P348" s="10"/>
      <c r="Q348" s="431"/>
    </row>
    <row r="349" spans="1:17" ht="15.75">
      <c r="A349" s="923"/>
      <c r="B349" s="240">
        <v>13801</v>
      </c>
      <c r="C349" s="231">
        <v>0.1</v>
      </c>
      <c r="D349" s="261" t="s">
        <v>279</v>
      </c>
      <c r="E349" s="230">
        <v>1700000</v>
      </c>
      <c r="F349" s="228">
        <v>0.1</v>
      </c>
      <c r="G349" s="243">
        <f t="shared" si="14"/>
        <v>170000</v>
      </c>
      <c r="H349" s="297" t="s">
        <v>62</v>
      </c>
      <c r="I349" s="220" t="s">
        <v>21</v>
      </c>
      <c r="J349" s="220" t="s">
        <v>19</v>
      </c>
      <c r="K349" s="351"/>
      <c r="L349" s="427"/>
      <c r="M349" s="428"/>
      <c r="N349" s="429"/>
      <c r="O349" s="430"/>
      <c r="P349" s="10"/>
      <c r="Q349" s="431"/>
    </row>
    <row r="350" spans="1:17" ht="15.75">
      <c r="A350" s="923"/>
      <c r="B350" s="240">
        <v>13843</v>
      </c>
      <c r="C350" s="231">
        <v>0.1</v>
      </c>
      <c r="D350" s="261" t="s">
        <v>280</v>
      </c>
      <c r="E350" s="230">
        <v>2000000</v>
      </c>
      <c r="F350" s="228">
        <v>0.06</v>
      </c>
      <c r="G350" s="243">
        <f t="shared" si="14"/>
        <v>120000</v>
      </c>
      <c r="H350" s="297" t="s">
        <v>37</v>
      </c>
      <c r="I350" s="220" t="s">
        <v>21</v>
      </c>
      <c r="J350" s="220" t="s">
        <v>19</v>
      </c>
      <c r="K350" s="351"/>
      <c r="L350" s="427"/>
      <c r="M350" s="428"/>
      <c r="N350" s="429"/>
      <c r="O350" s="430"/>
      <c r="P350" s="10"/>
      <c r="Q350" s="431"/>
    </row>
    <row r="351" spans="1:17" ht="15.75">
      <c r="A351" s="923"/>
      <c r="B351" s="506"/>
      <c r="C351" s="502"/>
      <c r="D351" s="8"/>
      <c r="E351" s="501"/>
      <c r="F351" s="439"/>
      <c r="G351" s="504"/>
      <c r="H351" s="505"/>
      <c r="I351" s="12"/>
      <c r="J351" s="12"/>
      <c r="K351" s="61"/>
      <c r="L351" s="427"/>
      <c r="M351" s="428"/>
      <c r="N351" s="472" t="s">
        <v>47</v>
      </c>
      <c r="O351" s="473"/>
      <c r="P351" s="474"/>
      <c r="Q351" s="475">
        <f>SUM(Q344:Q350)</f>
        <v>210000</v>
      </c>
    </row>
    <row r="352" spans="1:17" ht="15.75">
      <c r="A352" s="924"/>
      <c r="B352" s="13"/>
      <c r="C352" s="14"/>
      <c r="D352" s="15" t="s">
        <v>46</v>
      </c>
      <c r="E352" s="16">
        <f>SUM(E344:E351)</f>
        <v>11300000</v>
      </c>
      <c r="F352" s="17"/>
      <c r="G352" s="383">
        <f>SUM(G344:G351)</f>
        <v>941000</v>
      </c>
      <c r="H352" s="17"/>
      <c r="I352" s="18"/>
      <c r="J352" s="18"/>
      <c r="K352" s="18"/>
      <c r="L352" s="19"/>
      <c r="M352" s="480"/>
      <c r="N352" s="942" t="s">
        <v>70</v>
      </c>
      <c r="O352" s="942"/>
      <c r="P352" s="942"/>
      <c r="Q352" s="481">
        <f>G352+Q351</f>
        <v>1151000</v>
      </c>
    </row>
    <row r="355" spans="1:17" ht="18">
      <c r="A355" s="918" t="s">
        <v>71</v>
      </c>
      <c r="B355" s="918"/>
      <c r="C355" s="918"/>
      <c r="D355" s="918"/>
      <c r="E355" s="918"/>
      <c r="F355" s="918"/>
      <c r="G355" s="918"/>
      <c r="H355" s="918"/>
      <c r="I355" s="918"/>
      <c r="J355" s="918"/>
      <c r="K355" s="918"/>
      <c r="L355" s="941"/>
      <c r="M355" s="928" t="s">
        <v>14</v>
      </c>
      <c r="N355" s="928"/>
      <c r="O355" s="928"/>
      <c r="P355" s="953"/>
      <c r="Q355" s="326"/>
    </row>
    <row r="356" spans="1:17" ht="15.75">
      <c r="A356" s="115" t="s">
        <v>2</v>
      </c>
      <c r="B356" s="440" t="s">
        <v>3</v>
      </c>
      <c r="C356" s="441" t="s">
        <v>4</v>
      </c>
      <c r="D356" s="115" t="s">
        <v>5</v>
      </c>
      <c r="E356" s="442" t="s">
        <v>6</v>
      </c>
      <c r="F356" s="441" t="s">
        <v>7</v>
      </c>
      <c r="G356" s="443" t="s">
        <v>8</v>
      </c>
      <c r="H356" s="441" t="s">
        <v>9</v>
      </c>
      <c r="I356" s="444" t="s">
        <v>10</v>
      </c>
      <c r="J356" s="444" t="s">
        <v>11</v>
      </c>
      <c r="K356" s="444" t="s">
        <v>12</v>
      </c>
      <c r="L356" s="441" t="s">
        <v>13</v>
      </c>
      <c r="M356" s="54" t="s">
        <v>3</v>
      </c>
      <c r="N356" s="54" t="s">
        <v>5</v>
      </c>
      <c r="O356" s="39" t="s">
        <v>49</v>
      </c>
      <c r="P356" s="371" t="s">
        <v>7</v>
      </c>
      <c r="Q356" s="455" t="s">
        <v>50</v>
      </c>
    </row>
    <row r="357" spans="1:17" ht="15.75">
      <c r="A357" s="923" t="s">
        <v>72</v>
      </c>
      <c r="B357" s="214">
        <v>13678</v>
      </c>
      <c r="C357" s="221">
        <v>0.1</v>
      </c>
      <c r="D357" s="277" t="s">
        <v>281</v>
      </c>
      <c r="E357" s="216">
        <v>1500000</v>
      </c>
      <c r="F357" s="228">
        <v>0.1</v>
      </c>
      <c r="G357" s="218">
        <f>E357*F357</f>
        <v>150000</v>
      </c>
      <c r="H357" s="219" t="s">
        <v>74</v>
      </c>
      <c r="I357" s="220" t="s">
        <v>18</v>
      </c>
      <c r="J357" s="220" t="s">
        <v>19</v>
      </c>
      <c r="K357" s="220"/>
      <c r="L357" s="434"/>
      <c r="M357" s="435"/>
      <c r="N357" s="436"/>
      <c r="O357" s="11"/>
      <c r="P357" s="437"/>
      <c r="Q357" s="431"/>
    </row>
    <row r="358" spans="1:17" ht="15.75">
      <c r="A358" s="923"/>
      <c r="B358" s="214">
        <v>13796</v>
      </c>
      <c r="C358" s="221">
        <v>0.1</v>
      </c>
      <c r="D358" s="277" t="s">
        <v>282</v>
      </c>
      <c r="E358" s="216">
        <v>800000</v>
      </c>
      <c r="F358" s="228">
        <v>0.05</v>
      </c>
      <c r="G358" s="218">
        <f>E358*F358</f>
        <v>40000</v>
      </c>
      <c r="H358" s="219" t="s">
        <v>283</v>
      </c>
      <c r="I358" s="220" t="s">
        <v>60</v>
      </c>
      <c r="J358" s="220" t="s">
        <v>19</v>
      </c>
      <c r="K358" s="220"/>
      <c r="L358" s="434"/>
      <c r="M358" s="435"/>
      <c r="N358" s="436"/>
      <c r="O358" s="11"/>
      <c r="P358" s="437"/>
      <c r="Q358" s="431"/>
    </row>
    <row r="359" spans="1:17" ht="15.75">
      <c r="A359" s="923"/>
      <c r="B359" s="253" t="s">
        <v>191</v>
      </c>
      <c r="C359" s="263"/>
      <c r="D359" s="264" t="s">
        <v>284</v>
      </c>
      <c r="E359" s="265"/>
      <c r="F359" s="254"/>
      <c r="G359" s="266"/>
      <c r="H359" s="267"/>
      <c r="I359" s="268" t="s">
        <v>21</v>
      </c>
      <c r="J359" s="268"/>
      <c r="K359" s="268"/>
      <c r="L359" s="434"/>
      <c r="M359" s="435"/>
      <c r="N359" s="436"/>
      <c r="O359" s="11"/>
      <c r="P359" s="437"/>
      <c r="Q359" s="431"/>
    </row>
    <row r="360" spans="1:17" ht="15.75">
      <c r="A360" s="923"/>
      <c r="B360" s="433"/>
      <c r="C360" s="508"/>
      <c r="D360" s="509"/>
      <c r="E360" s="499"/>
      <c r="F360" s="10"/>
      <c r="G360" s="510"/>
      <c r="H360" s="511"/>
      <c r="I360" s="12"/>
      <c r="J360" s="12"/>
      <c r="K360" s="12"/>
      <c r="L360" s="434"/>
      <c r="M360" s="435"/>
      <c r="N360" s="436"/>
      <c r="O360" s="11"/>
      <c r="P360" s="437"/>
      <c r="Q360" s="431"/>
    </row>
    <row r="361" spans="1:17" ht="15.75">
      <c r="A361" s="954"/>
      <c r="B361" s="13"/>
      <c r="C361" s="14"/>
      <c r="D361" s="15" t="s">
        <v>46</v>
      </c>
      <c r="E361" s="82">
        <f>SUM(E357:E360)</f>
        <v>2300000</v>
      </c>
      <c r="F361" s="17"/>
      <c r="G361" s="383">
        <f>SUM(G357:G360)</f>
        <v>190000</v>
      </c>
      <c r="H361" s="17"/>
      <c r="I361" s="18"/>
      <c r="J361" s="18"/>
      <c r="K361" s="18"/>
      <c r="L361" s="83"/>
      <c r="M361" s="62"/>
      <c r="N361" s="951" t="s">
        <v>70</v>
      </c>
      <c r="O361" s="926"/>
      <c r="P361" s="926"/>
      <c r="Q361" s="65">
        <f>G361</f>
        <v>190000</v>
      </c>
    </row>
    <row r="364" spans="1:17" ht="18">
      <c r="A364" s="918" t="s">
        <v>91</v>
      </c>
      <c r="B364" s="918"/>
      <c r="C364" s="918"/>
      <c r="D364" s="918"/>
      <c r="E364" s="918"/>
      <c r="F364" s="918"/>
      <c r="G364" s="918"/>
      <c r="H364" s="918"/>
      <c r="I364" s="918"/>
      <c r="J364" s="918"/>
      <c r="K364" s="918"/>
      <c r="L364" s="918"/>
      <c r="M364" s="920" t="s">
        <v>14</v>
      </c>
      <c r="N364" s="921"/>
      <c r="O364" s="921"/>
      <c r="P364" s="922"/>
      <c r="Q364" s="122"/>
    </row>
    <row r="365" spans="1:17" ht="15.75">
      <c r="A365" s="115" t="s">
        <v>2</v>
      </c>
      <c r="B365" s="450" t="s">
        <v>3</v>
      </c>
      <c r="C365" s="115" t="s">
        <v>4</v>
      </c>
      <c r="D365" s="115" t="s">
        <v>5</v>
      </c>
      <c r="E365" s="451" t="s">
        <v>6</v>
      </c>
      <c r="F365" s="115" t="s">
        <v>7</v>
      </c>
      <c r="G365" s="452" t="s">
        <v>8</v>
      </c>
      <c r="H365" s="115" t="s">
        <v>9</v>
      </c>
      <c r="I365" s="453" t="s">
        <v>10</v>
      </c>
      <c r="J365" s="453" t="s">
        <v>11</v>
      </c>
      <c r="K365" s="119" t="s">
        <v>12</v>
      </c>
      <c r="L365" s="454" t="s">
        <v>13</v>
      </c>
      <c r="M365" s="46" t="s">
        <v>3</v>
      </c>
      <c r="N365" s="46" t="s">
        <v>5</v>
      </c>
      <c r="O365" s="46" t="s">
        <v>49</v>
      </c>
      <c r="P365" s="46" t="s">
        <v>7</v>
      </c>
      <c r="Q365" s="449" t="s">
        <v>50</v>
      </c>
    </row>
    <row r="366" spans="1:17" ht="15.75">
      <c r="A366" s="923" t="s">
        <v>15</v>
      </c>
      <c r="B366" s="409">
        <v>13700</v>
      </c>
      <c r="C366" s="231">
        <v>0.1</v>
      </c>
      <c r="D366" s="241" t="s">
        <v>285</v>
      </c>
      <c r="E366" s="242">
        <v>1100000</v>
      </c>
      <c r="F366" s="228">
        <v>0.1</v>
      </c>
      <c r="G366" s="243">
        <f>E366*F366</f>
        <v>110000</v>
      </c>
      <c r="H366" s="244" t="s">
        <v>93</v>
      </c>
      <c r="I366" s="239" t="s">
        <v>60</v>
      </c>
      <c r="J366" s="239" t="s">
        <v>19</v>
      </c>
      <c r="K366" s="239"/>
      <c r="L366" s="446"/>
      <c r="M366" s="428"/>
      <c r="N366" s="447"/>
      <c r="O366" s="430"/>
      <c r="P366" s="10"/>
      <c r="Q366" s="431"/>
    </row>
    <row r="367" spans="1:17" ht="15.75">
      <c r="A367" s="923"/>
      <c r="B367" s="409">
        <v>13704</v>
      </c>
      <c r="C367" s="231">
        <v>0.1</v>
      </c>
      <c r="D367" s="241" t="s">
        <v>286</v>
      </c>
      <c r="E367" s="242">
        <v>1000000</v>
      </c>
      <c r="F367" s="228">
        <v>0.1</v>
      </c>
      <c r="G367" s="243">
        <f t="shared" ref="G367:G375" si="15">E367*F367</f>
        <v>100000</v>
      </c>
      <c r="H367" s="244" t="s">
        <v>93</v>
      </c>
      <c r="I367" s="239" t="s">
        <v>21</v>
      </c>
      <c r="J367" s="239" t="s">
        <v>19</v>
      </c>
      <c r="K367" s="239"/>
      <c r="L367" s="446"/>
      <c r="M367" s="428"/>
      <c r="N367" s="448"/>
      <c r="O367" s="430"/>
      <c r="P367" s="10"/>
      <c r="Q367" s="431"/>
    </row>
    <row r="368" spans="1:17" ht="15.75">
      <c r="A368" s="923"/>
      <c r="B368" s="409">
        <v>13707</v>
      </c>
      <c r="C368" s="231">
        <v>0.1</v>
      </c>
      <c r="D368" s="241" t="s">
        <v>287</v>
      </c>
      <c r="E368" s="242">
        <v>1000000</v>
      </c>
      <c r="F368" s="228">
        <v>0.1</v>
      </c>
      <c r="G368" s="243">
        <f t="shared" si="15"/>
        <v>100000</v>
      </c>
      <c r="H368" s="244" t="s">
        <v>93</v>
      </c>
      <c r="I368" s="239" t="s">
        <v>21</v>
      </c>
      <c r="J368" s="239" t="s">
        <v>19</v>
      </c>
      <c r="K368" s="239"/>
      <c r="L368" s="446"/>
      <c r="M368" s="428"/>
      <c r="N368" s="448"/>
      <c r="O368" s="430"/>
      <c r="P368" s="10"/>
      <c r="Q368" s="431"/>
    </row>
    <row r="369" spans="1:17" ht="15.75">
      <c r="A369" s="923"/>
      <c r="B369" s="410">
        <v>13724</v>
      </c>
      <c r="C369" s="231">
        <v>0.1</v>
      </c>
      <c r="D369" s="241" t="s">
        <v>288</v>
      </c>
      <c r="E369" s="242">
        <v>750000</v>
      </c>
      <c r="F369" s="228">
        <v>0.05</v>
      </c>
      <c r="G369" s="243">
        <f t="shared" si="15"/>
        <v>37500</v>
      </c>
      <c r="H369" s="244" t="s">
        <v>110</v>
      </c>
      <c r="I369" s="239" t="s">
        <v>60</v>
      </c>
      <c r="J369" s="239" t="s">
        <v>19</v>
      </c>
      <c r="K369" s="239"/>
      <c r="L369" s="446"/>
      <c r="M369" s="428"/>
      <c r="N369" s="448"/>
      <c r="O369" s="430"/>
      <c r="P369" s="10"/>
      <c r="Q369" s="431"/>
    </row>
    <row r="370" spans="1:17" ht="15.75">
      <c r="A370" s="923"/>
      <c r="B370" s="293">
        <v>13750</v>
      </c>
      <c r="C370" s="231">
        <v>0.1</v>
      </c>
      <c r="D370" s="241" t="s">
        <v>272</v>
      </c>
      <c r="E370" s="242">
        <v>850000</v>
      </c>
      <c r="F370" s="228">
        <v>0.05</v>
      </c>
      <c r="G370" s="243">
        <f t="shared" si="15"/>
        <v>42500</v>
      </c>
      <c r="H370" s="244" t="s">
        <v>55</v>
      </c>
      <c r="I370" s="239" t="s">
        <v>18</v>
      </c>
      <c r="J370" s="239" t="s">
        <v>19</v>
      </c>
      <c r="K370" s="239"/>
      <c r="L370" s="446"/>
      <c r="M370" s="428"/>
      <c r="N370" s="448"/>
      <c r="O370" s="430"/>
      <c r="P370" s="10"/>
      <c r="Q370" s="431"/>
    </row>
    <row r="371" spans="1:17" ht="15.75">
      <c r="A371" s="923"/>
      <c r="B371" s="409">
        <v>13781</v>
      </c>
      <c r="C371" s="231">
        <v>0.1</v>
      </c>
      <c r="D371" s="241" t="s">
        <v>289</v>
      </c>
      <c r="E371" s="242">
        <v>1400000</v>
      </c>
      <c r="F371" s="228">
        <v>0.1</v>
      </c>
      <c r="G371" s="243">
        <f t="shared" si="15"/>
        <v>140000</v>
      </c>
      <c r="H371" s="244" t="s">
        <v>93</v>
      </c>
      <c r="I371" s="239" t="s">
        <v>60</v>
      </c>
      <c r="J371" s="239" t="s">
        <v>19</v>
      </c>
      <c r="K371" s="239"/>
      <c r="L371" s="446"/>
      <c r="M371" s="428"/>
      <c r="N371" s="448"/>
      <c r="O371" s="430"/>
      <c r="P371" s="10"/>
      <c r="Q371" s="431"/>
    </row>
    <row r="372" spans="1:17" ht="15.75">
      <c r="A372" s="923"/>
      <c r="B372" s="409">
        <v>13785</v>
      </c>
      <c r="C372" s="231">
        <v>0.1</v>
      </c>
      <c r="D372" s="241" t="s">
        <v>290</v>
      </c>
      <c r="E372" s="242">
        <v>950000</v>
      </c>
      <c r="F372" s="228">
        <v>0.1</v>
      </c>
      <c r="G372" s="243">
        <f t="shared" si="15"/>
        <v>95000</v>
      </c>
      <c r="H372" s="244" t="s">
        <v>93</v>
      </c>
      <c r="I372" s="239" t="s">
        <v>60</v>
      </c>
      <c r="J372" s="239" t="s">
        <v>19</v>
      </c>
      <c r="K372" s="239"/>
      <c r="L372" s="446"/>
      <c r="M372" s="428"/>
      <c r="N372" s="448"/>
      <c r="O372" s="430"/>
      <c r="P372" s="10"/>
      <c r="Q372" s="431"/>
    </row>
    <row r="373" spans="1:17" ht="15.75">
      <c r="A373" s="923"/>
      <c r="B373" s="409">
        <v>13845</v>
      </c>
      <c r="C373" s="231">
        <v>0.1</v>
      </c>
      <c r="D373" s="241" t="s">
        <v>291</v>
      </c>
      <c r="E373" s="242">
        <v>900000</v>
      </c>
      <c r="F373" s="228">
        <v>0.05</v>
      </c>
      <c r="G373" s="243">
        <f t="shared" si="15"/>
        <v>45000</v>
      </c>
      <c r="H373" s="244" t="s">
        <v>39</v>
      </c>
      <c r="I373" s="239" t="s">
        <v>21</v>
      </c>
      <c r="J373" s="239" t="s">
        <v>19</v>
      </c>
      <c r="K373" s="239"/>
      <c r="L373" s="446"/>
      <c r="M373" s="428"/>
      <c r="N373" s="448"/>
      <c r="O373" s="430"/>
      <c r="P373" s="10"/>
      <c r="Q373" s="431"/>
    </row>
    <row r="374" spans="1:17" ht="15.75">
      <c r="A374" s="923"/>
      <c r="B374" s="240">
        <v>13839</v>
      </c>
      <c r="C374" s="231">
        <v>0.1</v>
      </c>
      <c r="D374" s="261" t="s">
        <v>292</v>
      </c>
      <c r="E374" s="242">
        <v>1100000</v>
      </c>
      <c r="F374" s="228">
        <v>0.1</v>
      </c>
      <c r="G374" s="243">
        <f t="shared" si="15"/>
        <v>110000</v>
      </c>
      <c r="H374" s="244" t="s">
        <v>93</v>
      </c>
      <c r="I374" s="239" t="s">
        <v>18</v>
      </c>
      <c r="J374" s="492" t="s">
        <v>19</v>
      </c>
      <c r="K374" s="239"/>
      <c r="L374" s="446"/>
      <c r="M374" s="428"/>
      <c r="N374" s="448"/>
      <c r="O374" s="430"/>
      <c r="P374" s="10"/>
      <c r="Q374" s="431"/>
    </row>
    <row r="375" spans="1:17" ht="15.75">
      <c r="A375" s="923"/>
      <c r="B375" s="260">
        <v>13846</v>
      </c>
      <c r="C375" s="231">
        <v>0.1</v>
      </c>
      <c r="D375" s="261" t="s">
        <v>293</v>
      </c>
      <c r="E375" s="242">
        <v>1000000</v>
      </c>
      <c r="F375" s="228">
        <v>0.1</v>
      </c>
      <c r="G375" s="243">
        <f t="shared" si="15"/>
        <v>100000</v>
      </c>
      <c r="H375" s="244" t="s">
        <v>93</v>
      </c>
      <c r="I375" s="239" t="s">
        <v>18</v>
      </c>
      <c r="J375" s="239" t="s">
        <v>19</v>
      </c>
      <c r="K375" s="239"/>
      <c r="L375" s="446"/>
      <c r="M375" s="428"/>
      <c r="N375" s="448"/>
      <c r="O375" s="430"/>
      <c r="P375" s="10"/>
      <c r="Q375" s="431"/>
    </row>
    <row r="376" spans="1:17" ht="15.75">
      <c r="A376" s="923"/>
      <c r="B376" s="260">
        <v>13886</v>
      </c>
      <c r="C376" s="231">
        <v>0.1</v>
      </c>
      <c r="D376" s="261" t="s">
        <v>294</v>
      </c>
      <c r="E376" s="242">
        <v>1200000</v>
      </c>
      <c r="F376" s="228">
        <v>0.1</v>
      </c>
      <c r="G376" s="243">
        <f>E376*F376</f>
        <v>120000</v>
      </c>
      <c r="H376" s="244" t="s">
        <v>95</v>
      </c>
      <c r="I376" s="239" t="s">
        <v>21</v>
      </c>
      <c r="J376" s="239" t="s">
        <v>19</v>
      </c>
      <c r="K376" s="239"/>
      <c r="L376" s="549"/>
      <c r="M376" s="435"/>
      <c r="N376" s="550"/>
      <c r="O376" s="551"/>
      <c r="P376" s="552"/>
      <c r="Q376" s="431"/>
    </row>
    <row r="377" spans="1:17" ht="15.75">
      <c r="A377" s="924"/>
      <c r="B377" s="103"/>
      <c r="C377" s="104"/>
      <c r="D377" s="105" t="s">
        <v>46</v>
      </c>
      <c r="E377" s="106">
        <f>SUM(E366:E376)</f>
        <v>11250000</v>
      </c>
      <c r="F377" s="107"/>
      <c r="G377" s="108">
        <f>SUM(G366:G376)</f>
        <v>1000000</v>
      </c>
      <c r="H377" s="107"/>
      <c r="I377" s="109"/>
      <c r="J377" s="110"/>
      <c r="K377" s="110"/>
      <c r="L377" s="111"/>
      <c r="M377" s="112"/>
      <c r="N377" s="925" t="s">
        <v>70</v>
      </c>
      <c r="O377" s="926"/>
      <c r="P377" s="926"/>
      <c r="Q377" s="65">
        <f>G377</f>
        <v>1000000</v>
      </c>
    </row>
    <row r="380" spans="1:17" ht="18">
      <c r="A380" s="918" t="s">
        <v>107</v>
      </c>
      <c r="B380" s="927"/>
      <c r="C380" s="927"/>
      <c r="D380" s="927"/>
      <c r="E380" s="927"/>
      <c r="F380" s="927"/>
      <c r="G380" s="927"/>
      <c r="H380" s="927"/>
      <c r="I380" s="927"/>
      <c r="J380" s="927"/>
      <c r="K380" s="927"/>
      <c r="L380" s="927"/>
      <c r="M380" s="928" t="s">
        <v>14</v>
      </c>
      <c r="N380" s="928"/>
      <c r="O380" s="928"/>
      <c r="P380" s="928"/>
      <c r="Q380" s="326"/>
    </row>
    <row r="381" spans="1:17" ht="15.75">
      <c r="A381" s="46" t="s">
        <v>2</v>
      </c>
      <c r="B381" s="77" t="s">
        <v>3</v>
      </c>
      <c r="C381" s="46" t="s">
        <v>4</v>
      </c>
      <c r="D381" s="46" t="s">
        <v>5</v>
      </c>
      <c r="E381" s="48" t="s">
        <v>6</v>
      </c>
      <c r="F381" s="46" t="s">
        <v>7</v>
      </c>
      <c r="G381" s="327" t="s">
        <v>8</v>
      </c>
      <c r="H381" s="46" t="s">
        <v>9</v>
      </c>
      <c r="I381" s="52" t="s">
        <v>10</v>
      </c>
      <c r="J381" s="52" t="s">
        <v>11</v>
      </c>
      <c r="K381" s="52" t="s">
        <v>12</v>
      </c>
      <c r="L381" s="46" t="s">
        <v>13</v>
      </c>
      <c r="M381" s="46" t="s">
        <v>3</v>
      </c>
      <c r="N381" s="46" t="s">
        <v>5</v>
      </c>
      <c r="O381" s="46" t="s">
        <v>49</v>
      </c>
      <c r="P381" s="46" t="s">
        <v>7</v>
      </c>
      <c r="Q381" s="56" t="s">
        <v>50</v>
      </c>
    </row>
    <row r="382" spans="1:17" ht="15.75">
      <c r="A382" s="929">
        <v>13</v>
      </c>
      <c r="B382" s="300">
        <v>13666</v>
      </c>
      <c r="C382" s="231">
        <v>0.1</v>
      </c>
      <c r="D382" s="272" t="s">
        <v>295</v>
      </c>
      <c r="E382" s="278">
        <v>1600000</v>
      </c>
      <c r="F382" s="273"/>
      <c r="G382" s="274"/>
      <c r="H382" s="275" t="s">
        <v>26</v>
      </c>
      <c r="I382" s="276" t="s">
        <v>222</v>
      </c>
      <c r="J382" s="276" t="s">
        <v>19</v>
      </c>
      <c r="K382" s="366"/>
      <c r="L382" s="460"/>
      <c r="M382" s="222">
        <v>13789</v>
      </c>
      <c r="N382" s="532" t="s">
        <v>259</v>
      </c>
      <c r="O382" s="216">
        <v>1750000</v>
      </c>
      <c r="P382" s="221"/>
      <c r="Q382" s="362"/>
    </row>
    <row r="383" spans="1:17" ht="15.75">
      <c r="A383" s="929"/>
      <c r="B383" s="300">
        <v>13684</v>
      </c>
      <c r="C383" s="231">
        <v>0.1</v>
      </c>
      <c r="D383" s="272" t="s">
        <v>296</v>
      </c>
      <c r="E383" s="230">
        <v>850000</v>
      </c>
      <c r="F383" s="523"/>
      <c r="G383" s="237"/>
      <c r="H383" s="238" t="s">
        <v>26</v>
      </c>
      <c r="I383" s="239" t="s">
        <v>60</v>
      </c>
      <c r="J383" s="276" t="s">
        <v>19</v>
      </c>
      <c r="K383" s="366"/>
      <c r="L383" s="460"/>
      <c r="M383" s="222">
        <v>13806</v>
      </c>
      <c r="N383" s="272" t="s">
        <v>262</v>
      </c>
      <c r="O383" s="216">
        <v>1800000</v>
      </c>
      <c r="P383" s="221"/>
      <c r="Q383" s="362"/>
    </row>
    <row r="384" spans="1:17" ht="15.75">
      <c r="A384" s="929"/>
      <c r="B384" s="214">
        <v>13830</v>
      </c>
      <c r="C384" s="228">
        <v>0.1</v>
      </c>
      <c r="D384" s="261" t="s">
        <v>297</v>
      </c>
      <c r="E384" s="278">
        <v>1100000</v>
      </c>
      <c r="F384" s="273"/>
      <c r="G384" s="274"/>
      <c r="H384" s="275" t="s">
        <v>26</v>
      </c>
      <c r="I384" s="276" t="s">
        <v>21</v>
      </c>
      <c r="J384" s="276" t="s">
        <v>19</v>
      </c>
      <c r="K384" s="366"/>
      <c r="L384" s="460"/>
      <c r="M384" s="240">
        <v>13706</v>
      </c>
      <c r="N384" s="533" t="s">
        <v>273</v>
      </c>
      <c r="O384" s="230">
        <v>1700000</v>
      </c>
      <c r="P384" s="221"/>
      <c r="Q384" s="362"/>
    </row>
    <row r="385" spans="1:17" ht="15.75">
      <c r="A385" s="929"/>
      <c r="B385" s="214">
        <v>13847</v>
      </c>
      <c r="C385" s="228">
        <v>0.1</v>
      </c>
      <c r="D385" s="261" t="s">
        <v>298</v>
      </c>
      <c r="E385" s="278">
        <v>1200000</v>
      </c>
      <c r="F385" s="273"/>
      <c r="G385" s="274"/>
      <c r="H385" s="275" t="s">
        <v>26</v>
      </c>
      <c r="I385" s="276" t="s">
        <v>21</v>
      </c>
      <c r="J385" s="276" t="s">
        <v>19</v>
      </c>
      <c r="K385" s="366"/>
      <c r="L385" s="460"/>
      <c r="M385" s="240">
        <v>13843</v>
      </c>
      <c r="N385" s="534" t="s">
        <v>280</v>
      </c>
      <c r="O385" s="535">
        <v>2000000</v>
      </c>
      <c r="P385" s="221"/>
      <c r="Q385" s="362"/>
    </row>
    <row r="386" spans="1:17" ht="15.75">
      <c r="A386" s="929"/>
      <c r="B386" s="433"/>
      <c r="C386" s="10"/>
      <c r="D386" s="8"/>
      <c r="E386" s="456"/>
      <c r="F386" s="457"/>
      <c r="G386" s="458"/>
      <c r="H386" s="56"/>
      <c r="I386" s="9"/>
      <c r="J386" s="9"/>
      <c r="K386" s="459"/>
      <c r="L386" s="460"/>
      <c r="M386" s="279" t="s">
        <v>275</v>
      </c>
      <c r="N386" s="272" t="s">
        <v>265</v>
      </c>
      <c r="O386" s="535">
        <v>1200000</v>
      </c>
      <c r="P386" s="221"/>
      <c r="Q386" s="362"/>
    </row>
    <row r="387" spans="1:17" ht="15.75">
      <c r="A387" s="929"/>
      <c r="B387" s="433"/>
      <c r="C387" s="10"/>
      <c r="D387" s="8"/>
      <c r="E387" s="430"/>
      <c r="F387" s="457"/>
      <c r="G387" s="458"/>
      <c r="H387" s="56"/>
      <c r="I387" s="9"/>
      <c r="J387" s="9"/>
      <c r="K387" s="459"/>
      <c r="L387" s="460"/>
      <c r="M387" s="88"/>
      <c r="N387" s="154"/>
      <c r="O387" s="153"/>
      <c r="P387" s="43"/>
      <c r="Q387" s="122"/>
    </row>
    <row r="388" spans="1:17" ht="15.75">
      <c r="A388" s="929"/>
      <c r="B388" s="63"/>
      <c r="C388" s="67"/>
      <c r="D388" s="22"/>
      <c r="E388" s="31"/>
      <c r="F388" s="151"/>
      <c r="G388" s="124"/>
      <c r="H388" s="152"/>
      <c r="I388" s="68"/>
      <c r="J388" s="68"/>
      <c r="K388" s="120"/>
      <c r="L388" s="121"/>
      <c r="M388" s="88"/>
      <c r="N388" s="154"/>
      <c r="O388" s="153"/>
      <c r="P388" s="43"/>
      <c r="Q388" s="122"/>
    </row>
    <row r="389" spans="1:17" ht="15.75">
      <c r="A389" s="931"/>
      <c r="B389" s="131"/>
      <c r="C389" s="132"/>
      <c r="D389" s="121"/>
      <c r="E389" s="128"/>
      <c r="F389" s="129"/>
      <c r="G389" s="133"/>
      <c r="H389" s="130"/>
      <c r="I389" s="64"/>
      <c r="J389" s="64"/>
      <c r="K389" s="64"/>
      <c r="L389" s="161"/>
      <c r="M389" s="159"/>
      <c r="N389" s="163"/>
      <c r="O389" s="31"/>
      <c r="P389" s="158"/>
      <c r="Q389" s="122"/>
    </row>
    <row r="390" spans="1:17" ht="15.75">
      <c r="A390" s="931"/>
      <c r="B390" s="134"/>
      <c r="C390" s="72"/>
      <c r="D390" s="135"/>
      <c r="E390" s="136"/>
      <c r="F390" s="137"/>
      <c r="G390" s="138"/>
      <c r="H390" s="139"/>
      <c r="I390" s="69"/>
      <c r="J390" s="69"/>
      <c r="K390" s="69"/>
      <c r="L390" s="60"/>
      <c r="M390" s="102"/>
      <c r="N390" s="96"/>
      <c r="O390" s="23"/>
      <c r="P390" s="140"/>
      <c r="Q390" s="122"/>
    </row>
    <row r="391" spans="1:17" ht="15.75">
      <c r="A391" s="932"/>
      <c r="B391" s="141" t="s">
        <v>46</v>
      </c>
      <c r="C391" s="142"/>
      <c r="D391" s="143"/>
      <c r="E391" s="144">
        <f>SUM(E382:E390)</f>
        <v>4750000</v>
      </c>
      <c r="F391" s="145"/>
      <c r="G391" s="146"/>
      <c r="H391" s="145"/>
      <c r="I391" s="147"/>
      <c r="J391" s="147"/>
      <c r="K391" s="147"/>
      <c r="L391" s="148"/>
      <c r="M391" s="123"/>
      <c r="N391" s="123"/>
      <c r="O391" s="378">
        <f>SUM(O382:O390)</f>
        <v>8450000</v>
      </c>
      <c r="P391" s="150"/>
      <c r="Q391" s="122"/>
    </row>
    <row r="394" spans="1:17" ht="18">
      <c r="A394" s="933" t="s">
        <v>117</v>
      </c>
      <c r="B394" s="1116"/>
      <c r="C394" s="164"/>
      <c r="D394" s="165">
        <f>E339+E352+E361+E377+E391</f>
        <v>40900000</v>
      </c>
    </row>
    <row r="395" spans="1:17" ht="18">
      <c r="A395" s="934" t="s">
        <v>119</v>
      </c>
      <c r="B395" s="1117"/>
      <c r="C395" s="167"/>
      <c r="D395" s="168"/>
    </row>
    <row r="396" spans="1:17" ht="18">
      <c r="A396" s="916" t="s">
        <v>120</v>
      </c>
      <c r="B396" s="1118"/>
      <c r="C396" s="169"/>
      <c r="D396" s="170"/>
    </row>
    <row r="397" spans="1:17" ht="15.75">
      <c r="A397" s="917" t="s">
        <v>121</v>
      </c>
      <c r="B397" s="1119"/>
      <c r="C397" s="169"/>
      <c r="D397" s="171"/>
    </row>
    <row r="398" spans="1:17" ht="15.75">
      <c r="A398" s="172"/>
      <c r="B398" s="141" t="s">
        <v>47</v>
      </c>
      <c r="C398" s="173"/>
      <c r="D398" s="174">
        <f>SUM(D394:D397)</f>
        <v>40900000</v>
      </c>
    </row>
    <row r="403" spans="1:17" ht="45">
      <c r="A403" s="935" t="s">
        <v>299</v>
      </c>
      <c r="B403" s="935"/>
      <c r="C403" s="935"/>
      <c r="D403" s="935"/>
      <c r="E403" s="935"/>
      <c r="F403" s="935"/>
      <c r="G403" s="935"/>
      <c r="H403" s="935"/>
      <c r="I403" s="935"/>
      <c r="J403" s="935"/>
      <c r="K403" s="935"/>
      <c r="L403" s="935"/>
    </row>
    <row r="405" spans="1:17" ht="18">
      <c r="A405" s="918" t="s">
        <v>1</v>
      </c>
      <c r="B405" s="918"/>
      <c r="C405" s="918"/>
      <c r="D405" s="918"/>
      <c r="E405" s="918"/>
      <c r="F405" s="918"/>
      <c r="G405" s="918"/>
      <c r="H405" s="918"/>
      <c r="I405" s="918"/>
      <c r="J405" s="918"/>
      <c r="K405" s="918"/>
      <c r="L405" s="941"/>
      <c r="M405" s="953" t="s">
        <v>14</v>
      </c>
      <c r="N405" s="972"/>
      <c r="O405" s="972"/>
      <c r="P405" s="973"/>
      <c r="Q405" s="190"/>
    </row>
    <row r="406" spans="1:17">
      <c r="A406" s="1" t="s">
        <v>2</v>
      </c>
      <c r="B406" s="2" t="s">
        <v>3</v>
      </c>
      <c r="C406" s="3" t="s">
        <v>4</v>
      </c>
      <c r="D406" s="1" t="s">
        <v>5</v>
      </c>
      <c r="E406" s="4" t="s">
        <v>6</v>
      </c>
      <c r="F406" s="3" t="s">
        <v>7</v>
      </c>
      <c r="G406" s="5" t="s">
        <v>8</v>
      </c>
      <c r="H406" s="3" t="s">
        <v>9</v>
      </c>
      <c r="I406" s="6" t="s">
        <v>10</v>
      </c>
      <c r="J406" s="6" t="s">
        <v>11</v>
      </c>
      <c r="K406" s="6" t="s">
        <v>12</v>
      </c>
      <c r="L406" s="40" t="s">
        <v>13</v>
      </c>
      <c r="M406" s="609" t="s">
        <v>3</v>
      </c>
      <c r="N406" s="589" t="s">
        <v>5</v>
      </c>
      <c r="O406" s="588" t="s">
        <v>300</v>
      </c>
      <c r="P406" s="588" t="s">
        <v>7</v>
      </c>
      <c r="Q406" s="465" t="s">
        <v>8</v>
      </c>
    </row>
    <row r="407" spans="1:17" ht="15.75">
      <c r="A407" s="936" t="s">
        <v>15</v>
      </c>
      <c r="B407" s="293">
        <v>13967</v>
      </c>
      <c r="C407" s="408">
        <v>0.1</v>
      </c>
      <c r="D407" s="272" t="s">
        <v>301</v>
      </c>
      <c r="E407" s="216">
        <v>850000</v>
      </c>
      <c r="F407" s="228">
        <v>7.0000000000000007E-2</v>
      </c>
      <c r="G407" s="237">
        <f>E407*F407</f>
        <v>59500.000000000007</v>
      </c>
      <c r="H407" s="238" t="s">
        <v>26</v>
      </c>
      <c r="I407" s="239" t="s">
        <v>302</v>
      </c>
      <c r="J407" s="239" t="s">
        <v>19</v>
      </c>
      <c r="K407" s="239"/>
      <c r="L407" s="321"/>
      <c r="M407" s="260">
        <v>14117</v>
      </c>
      <c r="N407" s="608" t="s">
        <v>303</v>
      </c>
      <c r="O407" s="230">
        <v>2000000</v>
      </c>
      <c r="P407" s="228">
        <v>0.05</v>
      </c>
      <c r="Q407" s="462">
        <f>O407*P407</f>
        <v>100000</v>
      </c>
    </row>
    <row r="408" spans="1:17" ht="15.75">
      <c r="A408" s="936"/>
      <c r="B408" s="463">
        <v>13937</v>
      </c>
      <c r="C408" s="408">
        <v>0.1</v>
      </c>
      <c r="D408" s="272" t="s">
        <v>304</v>
      </c>
      <c r="E408" s="216">
        <v>1450000</v>
      </c>
      <c r="F408" s="228">
        <v>0.12</v>
      </c>
      <c r="G408" s="237">
        <f t="shared" ref="G408:G418" si="16">E408*F408</f>
        <v>174000</v>
      </c>
      <c r="H408" s="238" t="s">
        <v>206</v>
      </c>
      <c r="I408" s="239" t="s">
        <v>18</v>
      </c>
      <c r="J408" s="239" t="s">
        <v>19</v>
      </c>
      <c r="K408" s="239"/>
      <c r="L408" s="321"/>
      <c r="M408" s="409">
        <v>14030</v>
      </c>
      <c r="N408" s="241" t="s">
        <v>305</v>
      </c>
      <c r="O408" s="230">
        <v>1150000</v>
      </c>
      <c r="P408" s="228">
        <v>0.05</v>
      </c>
      <c r="Q408" s="462">
        <f>O408*P408</f>
        <v>57500</v>
      </c>
    </row>
    <row r="409" spans="1:17" ht="15.75">
      <c r="A409" s="936"/>
      <c r="B409" s="222">
        <v>13912</v>
      </c>
      <c r="C409" s="408">
        <v>0.1</v>
      </c>
      <c r="D409" s="272" t="s">
        <v>306</v>
      </c>
      <c r="E409" s="216">
        <v>1200000</v>
      </c>
      <c r="F409" s="228">
        <v>7.0000000000000007E-2</v>
      </c>
      <c r="G409" s="237">
        <f t="shared" si="16"/>
        <v>84000.000000000015</v>
      </c>
      <c r="H409" s="238" t="s">
        <v>307</v>
      </c>
      <c r="I409" s="239" t="s">
        <v>21</v>
      </c>
      <c r="J409" s="239" t="s">
        <v>19</v>
      </c>
      <c r="K409" s="239"/>
      <c r="L409" s="321"/>
      <c r="M409" s="485"/>
      <c r="N409" s="8"/>
      <c r="O409" s="501"/>
      <c r="P409" s="10"/>
      <c r="Q409" s="487"/>
    </row>
    <row r="410" spans="1:17" ht="15.75">
      <c r="A410" s="936"/>
      <c r="B410" s="222">
        <v>13995</v>
      </c>
      <c r="C410" s="526">
        <v>0.08</v>
      </c>
      <c r="D410" s="272" t="s">
        <v>308</v>
      </c>
      <c r="E410" s="216">
        <v>2100000</v>
      </c>
      <c r="F410" s="217">
        <v>0.1</v>
      </c>
      <c r="G410" s="237">
        <f t="shared" si="16"/>
        <v>210000</v>
      </c>
      <c r="H410" s="238" t="s">
        <v>17</v>
      </c>
      <c r="I410" s="239" t="s">
        <v>21</v>
      </c>
      <c r="J410" s="239" t="s">
        <v>19</v>
      </c>
      <c r="K410" s="239"/>
      <c r="L410" s="321"/>
      <c r="M410" s="485"/>
      <c r="N410" s="8"/>
      <c r="O410" s="501"/>
      <c r="P410" s="10"/>
      <c r="Q410" s="487"/>
    </row>
    <row r="411" spans="1:17" ht="15.75">
      <c r="A411" s="936"/>
      <c r="B411" s="222">
        <v>14014</v>
      </c>
      <c r="C411" s="526">
        <v>0.08</v>
      </c>
      <c r="D411" s="272" t="s">
        <v>309</v>
      </c>
      <c r="E411" s="216">
        <v>2200000</v>
      </c>
      <c r="F411" s="217">
        <v>0.06</v>
      </c>
      <c r="G411" s="237">
        <f t="shared" si="16"/>
        <v>132000</v>
      </c>
      <c r="H411" s="238" t="s">
        <v>26</v>
      </c>
      <c r="I411" s="239" t="s">
        <v>21</v>
      </c>
      <c r="J411" s="239" t="s">
        <v>19</v>
      </c>
      <c r="K411" s="239"/>
      <c r="L411" s="321"/>
      <c r="M411" s="485"/>
      <c r="N411" s="8"/>
      <c r="O411" s="501"/>
      <c r="P411" s="10"/>
      <c r="Q411" s="487"/>
    </row>
    <row r="412" spans="1:17" ht="15.75">
      <c r="A412" s="936"/>
      <c r="B412" s="222">
        <v>14045</v>
      </c>
      <c r="C412" s="308">
        <v>0.1</v>
      </c>
      <c r="D412" s="272" t="s">
        <v>310</v>
      </c>
      <c r="E412" s="216">
        <v>1200000</v>
      </c>
      <c r="F412" s="228">
        <v>7.0000000000000007E-2</v>
      </c>
      <c r="G412" s="237">
        <f t="shared" si="16"/>
        <v>84000.000000000015</v>
      </c>
      <c r="H412" s="238" t="s">
        <v>26</v>
      </c>
      <c r="I412" s="239" t="s">
        <v>18</v>
      </c>
      <c r="J412" s="239" t="s">
        <v>19</v>
      </c>
      <c r="K412" s="239"/>
      <c r="L412" s="321"/>
      <c r="M412" s="485"/>
      <c r="N412" s="8"/>
      <c r="O412" s="501"/>
      <c r="P412" s="10"/>
      <c r="Q412" s="487"/>
    </row>
    <row r="413" spans="1:17" ht="15.75">
      <c r="A413" s="936"/>
      <c r="B413" s="222">
        <v>14053</v>
      </c>
      <c r="C413" s="408">
        <v>0.1</v>
      </c>
      <c r="D413" s="272" t="s">
        <v>311</v>
      </c>
      <c r="E413" s="216">
        <v>780000</v>
      </c>
      <c r="F413" s="228">
        <v>7.0000000000000007E-2</v>
      </c>
      <c r="G413" s="237">
        <f t="shared" si="16"/>
        <v>54600.000000000007</v>
      </c>
      <c r="H413" s="238" t="s">
        <v>37</v>
      </c>
      <c r="I413" s="239" t="s">
        <v>21</v>
      </c>
      <c r="J413" s="239" t="s">
        <v>19</v>
      </c>
      <c r="K413" s="239"/>
      <c r="L413" s="321"/>
      <c r="M413" s="485"/>
      <c r="N413" s="8"/>
      <c r="O413" s="501"/>
      <c r="P413" s="10"/>
      <c r="Q413" s="487"/>
    </row>
    <row r="414" spans="1:17" ht="15.75">
      <c r="A414" s="936"/>
      <c r="B414" s="222">
        <v>14079</v>
      </c>
      <c r="C414" s="408">
        <v>0.1</v>
      </c>
      <c r="D414" s="272" t="s">
        <v>312</v>
      </c>
      <c r="E414" s="216">
        <v>1650000</v>
      </c>
      <c r="F414" s="228">
        <v>0.12</v>
      </c>
      <c r="G414" s="237">
        <f t="shared" si="16"/>
        <v>198000</v>
      </c>
      <c r="H414" s="238" t="s">
        <v>206</v>
      </c>
      <c r="I414" s="239" t="s">
        <v>21</v>
      </c>
      <c r="J414" s="239" t="s">
        <v>19</v>
      </c>
      <c r="K414" s="239"/>
      <c r="L414" s="321"/>
      <c r="M414" s="485"/>
      <c r="N414" s="8"/>
      <c r="O414" s="501"/>
      <c r="P414" s="10"/>
      <c r="Q414" s="487"/>
    </row>
    <row r="415" spans="1:17" ht="15.75">
      <c r="A415" s="936"/>
      <c r="B415" s="222">
        <v>14095</v>
      </c>
      <c r="C415" s="408">
        <v>0.1</v>
      </c>
      <c r="D415" s="272" t="s">
        <v>313</v>
      </c>
      <c r="E415" s="216">
        <v>2200000</v>
      </c>
      <c r="F415" s="228">
        <v>0.12</v>
      </c>
      <c r="G415" s="237">
        <f t="shared" si="16"/>
        <v>264000</v>
      </c>
      <c r="H415" s="238" t="s">
        <v>206</v>
      </c>
      <c r="I415" s="239" t="s">
        <v>21</v>
      </c>
      <c r="J415" s="239" t="s">
        <v>19</v>
      </c>
      <c r="K415" s="239"/>
      <c r="L415" s="321"/>
      <c r="M415" s="485"/>
      <c r="N415" s="8"/>
      <c r="O415" s="501"/>
      <c r="P415" s="10"/>
      <c r="Q415" s="487"/>
    </row>
    <row r="416" spans="1:17" ht="15.75">
      <c r="A416" s="936"/>
      <c r="B416" s="222">
        <v>14105</v>
      </c>
      <c r="C416" s="408">
        <v>0.1</v>
      </c>
      <c r="D416" s="272" t="s">
        <v>314</v>
      </c>
      <c r="E416" s="216">
        <v>2000000</v>
      </c>
      <c r="F416" s="228">
        <v>0.12</v>
      </c>
      <c r="G416" s="237">
        <f t="shared" si="16"/>
        <v>240000</v>
      </c>
      <c r="H416" s="238" t="s">
        <v>17</v>
      </c>
      <c r="I416" s="239" t="s">
        <v>222</v>
      </c>
      <c r="J416" s="239" t="s">
        <v>19</v>
      </c>
      <c r="K416" s="239"/>
      <c r="L416" s="321"/>
      <c r="M416" s="485"/>
      <c r="N416" s="8"/>
      <c r="O416" s="501"/>
      <c r="P416" s="10"/>
      <c r="Q416" s="487"/>
    </row>
    <row r="417" spans="1:17" ht="15.75">
      <c r="A417" s="936"/>
      <c r="B417" s="222">
        <v>14115</v>
      </c>
      <c r="C417" s="408">
        <v>0.1</v>
      </c>
      <c r="D417" s="272" t="s">
        <v>315</v>
      </c>
      <c r="E417" s="216">
        <v>1700000</v>
      </c>
      <c r="F417" s="228">
        <v>7.0000000000000007E-2</v>
      </c>
      <c r="G417" s="237">
        <f t="shared" si="16"/>
        <v>119000.00000000001</v>
      </c>
      <c r="H417" s="238" t="s">
        <v>26</v>
      </c>
      <c r="I417" s="239" t="s">
        <v>21</v>
      </c>
      <c r="J417" s="239" t="s">
        <v>19</v>
      </c>
      <c r="K417" s="239"/>
      <c r="L417" s="321"/>
      <c r="M417" s="485"/>
      <c r="N417" s="8"/>
      <c r="O417" s="501"/>
      <c r="P417" s="10"/>
      <c r="Q417" s="487"/>
    </row>
    <row r="418" spans="1:17" ht="15.75">
      <c r="A418" s="936"/>
      <c r="B418" s="300">
        <v>14122</v>
      </c>
      <c r="C418" s="408">
        <v>0.1</v>
      </c>
      <c r="D418" s="272" t="s">
        <v>316</v>
      </c>
      <c r="E418" s="216">
        <v>2000000</v>
      </c>
      <c r="F418" s="228">
        <v>7.0000000000000007E-2</v>
      </c>
      <c r="G418" s="237">
        <f t="shared" si="16"/>
        <v>140000</v>
      </c>
      <c r="H418" s="238" t="s">
        <v>26</v>
      </c>
      <c r="I418" s="239" t="s">
        <v>21</v>
      </c>
      <c r="J418" s="239" t="s">
        <v>19</v>
      </c>
      <c r="K418" s="239"/>
      <c r="L418" s="321"/>
      <c r="M418" s="485"/>
      <c r="N418" s="8"/>
      <c r="O418" s="501"/>
      <c r="P418" s="10"/>
      <c r="Q418" s="487"/>
    </row>
    <row r="419" spans="1:17" ht="15.75">
      <c r="A419" s="936"/>
      <c r="B419" s="607" t="s">
        <v>191</v>
      </c>
      <c r="C419" s="524"/>
      <c r="D419" s="205" t="s">
        <v>317</v>
      </c>
      <c r="E419" s="265"/>
      <c r="F419" s="254"/>
      <c r="G419" s="211"/>
      <c r="H419" s="212"/>
      <c r="I419" s="213" t="s">
        <v>302</v>
      </c>
      <c r="J419" s="213"/>
      <c r="K419" s="213"/>
      <c r="L419" s="312"/>
      <c r="M419" s="485"/>
      <c r="N419" s="584" t="s">
        <v>47</v>
      </c>
      <c r="O419" s="583"/>
      <c r="P419" s="474"/>
      <c r="Q419" s="475">
        <f>SUM(Q407:Q418)</f>
        <v>157500</v>
      </c>
    </row>
    <row r="420" spans="1:17" ht="15.75">
      <c r="A420" s="936"/>
      <c r="B420" s="204" t="s">
        <v>40</v>
      </c>
      <c r="C420" s="524">
        <v>0.1</v>
      </c>
      <c r="D420" s="205" t="s">
        <v>318</v>
      </c>
      <c r="E420" s="265"/>
      <c r="F420" s="254"/>
      <c r="G420" s="211"/>
      <c r="H420" s="212" t="s">
        <v>26</v>
      </c>
      <c r="I420" s="213" t="s">
        <v>21</v>
      </c>
      <c r="J420" s="213"/>
      <c r="K420" s="213"/>
      <c r="L420" s="312"/>
      <c r="M420" s="316"/>
      <c r="N420" s="316"/>
      <c r="O420" s="100"/>
      <c r="P420" s="316"/>
      <c r="Q420" s="317"/>
    </row>
    <row r="421" spans="1:17" ht="15.75">
      <c r="A421" s="937"/>
      <c r="B421" s="13"/>
      <c r="C421" s="14"/>
      <c r="D421" s="15" t="s">
        <v>46</v>
      </c>
      <c r="E421" s="16">
        <f>SUM(E407:E420)</f>
        <v>19330000</v>
      </c>
      <c r="F421" s="17"/>
      <c r="G421" s="383">
        <f>SUM(G407:G420)</f>
        <v>1759100</v>
      </c>
      <c r="H421" s="17"/>
      <c r="I421" s="18"/>
      <c r="J421" s="18"/>
      <c r="K421" s="18"/>
      <c r="L421" s="45"/>
      <c r="M421" s="37"/>
      <c r="N421" s="938" t="s">
        <v>211</v>
      </c>
      <c r="O421" s="939"/>
      <c r="P421" s="940"/>
      <c r="Q421" s="65">
        <f>G421+Q419</f>
        <v>1916600</v>
      </c>
    </row>
    <row r="424" spans="1:17" ht="18">
      <c r="A424" s="918" t="s">
        <v>48</v>
      </c>
      <c r="B424" s="918"/>
      <c r="C424" s="918"/>
      <c r="D424" s="918"/>
      <c r="E424" s="918"/>
      <c r="F424" s="918"/>
      <c r="G424" s="918"/>
      <c r="H424" s="918"/>
      <c r="I424" s="918"/>
      <c r="J424" s="919"/>
      <c r="K424" s="919"/>
      <c r="L424" s="941"/>
      <c r="M424" s="928" t="s">
        <v>14</v>
      </c>
      <c r="N424" s="928"/>
      <c r="O424" s="928"/>
      <c r="P424" s="928"/>
      <c r="Q424" s="363"/>
    </row>
    <row r="425" spans="1:17" ht="15.75">
      <c r="A425" s="46" t="s">
        <v>2</v>
      </c>
      <c r="B425" s="47" t="s">
        <v>3</v>
      </c>
      <c r="C425" s="49" t="s">
        <v>4</v>
      </c>
      <c r="D425" s="49" t="s">
        <v>5</v>
      </c>
      <c r="E425" s="78" t="s">
        <v>6</v>
      </c>
      <c r="F425" s="49" t="s">
        <v>7</v>
      </c>
      <c r="G425" s="50" t="s">
        <v>8</v>
      </c>
      <c r="H425" s="49" t="s">
        <v>9</v>
      </c>
      <c r="I425" s="323" t="s">
        <v>10</v>
      </c>
      <c r="J425" s="79" t="s">
        <v>11</v>
      </c>
      <c r="K425" s="52" t="s">
        <v>12</v>
      </c>
      <c r="L425" s="53" t="s">
        <v>13</v>
      </c>
      <c r="M425" s="54" t="s">
        <v>3</v>
      </c>
      <c r="N425" s="54" t="s">
        <v>5</v>
      </c>
      <c r="O425" s="39" t="s">
        <v>49</v>
      </c>
      <c r="P425" s="371" t="s">
        <v>7</v>
      </c>
      <c r="Q425" s="56" t="s">
        <v>50</v>
      </c>
    </row>
    <row r="426" spans="1:17" ht="15.75">
      <c r="A426" s="923" t="s">
        <v>15</v>
      </c>
      <c r="B426" s="240">
        <v>13960</v>
      </c>
      <c r="C426" s="231">
        <v>0.1</v>
      </c>
      <c r="D426" s="261" t="s">
        <v>319</v>
      </c>
      <c r="E426" s="230">
        <v>1700000</v>
      </c>
      <c r="F426" s="228">
        <v>7.0000000000000007E-2</v>
      </c>
      <c r="G426" s="243">
        <f>E426*F426</f>
        <v>119000.00000000001</v>
      </c>
      <c r="H426" s="297" t="s">
        <v>26</v>
      </c>
      <c r="I426" s="220" t="s">
        <v>21</v>
      </c>
      <c r="J426" s="220" t="s">
        <v>19</v>
      </c>
      <c r="K426" s="351"/>
      <c r="L426" s="358"/>
      <c r="M426" s="419">
        <v>14038</v>
      </c>
      <c r="N426" s="423" t="s">
        <v>320</v>
      </c>
      <c r="O426" s="242">
        <v>1700000</v>
      </c>
      <c r="P426" s="228">
        <v>0.05</v>
      </c>
      <c r="Q426" s="462">
        <f>O426*P426</f>
        <v>85000</v>
      </c>
    </row>
    <row r="427" spans="1:17" ht="15.75">
      <c r="A427" s="923"/>
      <c r="B427" s="240">
        <v>13977</v>
      </c>
      <c r="C427" s="231">
        <v>0.1</v>
      </c>
      <c r="D427" s="261" t="s">
        <v>321</v>
      </c>
      <c r="E427" s="230">
        <v>1600000</v>
      </c>
      <c r="F427" s="228">
        <v>0.12</v>
      </c>
      <c r="G427" s="243">
        <f t="shared" ref="G427:G435" si="17">E427*F427</f>
        <v>192000</v>
      </c>
      <c r="H427" s="297" t="s">
        <v>62</v>
      </c>
      <c r="I427" s="220" t="s">
        <v>18</v>
      </c>
      <c r="J427" s="220" t="s">
        <v>19</v>
      </c>
      <c r="K427" s="351"/>
      <c r="L427" s="358"/>
      <c r="M427" s="428"/>
      <c r="N427" s="429"/>
      <c r="O427" s="430"/>
      <c r="P427" s="10"/>
      <c r="Q427" s="431"/>
    </row>
    <row r="428" spans="1:17" ht="15.75">
      <c r="A428" s="923"/>
      <c r="B428" s="240">
        <v>13989</v>
      </c>
      <c r="C428" s="231">
        <v>0.1</v>
      </c>
      <c r="D428" s="261" t="s">
        <v>322</v>
      </c>
      <c r="E428" s="230">
        <v>2350000</v>
      </c>
      <c r="F428" s="228">
        <v>7.0000000000000007E-2</v>
      </c>
      <c r="G428" s="243">
        <f t="shared" si="17"/>
        <v>164500.00000000003</v>
      </c>
      <c r="H428" s="297" t="s">
        <v>323</v>
      </c>
      <c r="I428" s="220" t="s">
        <v>264</v>
      </c>
      <c r="J428" s="220" t="s">
        <v>19</v>
      </c>
      <c r="K428" s="351"/>
      <c r="L428" s="358"/>
      <c r="M428" s="428"/>
      <c r="N428" s="429"/>
      <c r="O428" s="430"/>
      <c r="P428" s="10"/>
      <c r="Q428" s="431"/>
    </row>
    <row r="429" spans="1:17" ht="15.75">
      <c r="A429" s="923"/>
      <c r="B429" s="240">
        <v>14021</v>
      </c>
      <c r="C429" s="231">
        <v>0.1</v>
      </c>
      <c r="D429" s="261" t="s">
        <v>324</v>
      </c>
      <c r="E429" s="230">
        <v>2000000</v>
      </c>
      <c r="F429" s="228">
        <v>0.12</v>
      </c>
      <c r="G429" s="243">
        <f t="shared" si="17"/>
        <v>240000</v>
      </c>
      <c r="H429" s="297" t="s">
        <v>62</v>
      </c>
      <c r="I429" s="220" t="s">
        <v>21</v>
      </c>
      <c r="J429" s="220" t="s">
        <v>19</v>
      </c>
      <c r="K429" s="351"/>
      <c r="L429" s="358"/>
      <c r="M429" s="428"/>
      <c r="N429" s="429"/>
      <c r="O429" s="430"/>
      <c r="P429" s="10"/>
      <c r="Q429" s="431"/>
    </row>
    <row r="430" spans="1:17" ht="15.75">
      <c r="A430" s="923"/>
      <c r="B430" s="260">
        <v>14029</v>
      </c>
      <c r="C430" s="231">
        <v>0.1</v>
      </c>
      <c r="D430" s="261" t="s">
        <v>325</v>
      </c>
      <c r="E430" s="230">
        <v>950000</v>
      </c>
      <c r="F430" s="228">
        <v>0.12</v>
      </c>
      <c r="G430" s="243">
        <f t="shared" si="17"/>
        <v>114000</v>
      </c>
      <c r="H430" s="297" t="s">
        <v>62</v>
      </c>
      <c r="I430" s="220" t="s">
        <v>132</v>
      </c>
      <c r="J430" s="220" t="s">
        <v>19</v>
      </c>
      <c r="K430" s="351"/>
      <c r="L430" s="358"/>
      <c r="M430" s="428"/>
      <c r="N430" s="429"/>
      <c r="O430" s="430"/>
      <c r="P430" s="10"/>
      <c r="Q430" s="431"/>
    </row>
    <row r="431" spans="1:17" ht="15.75">
      <c r="A431" s="923"/>
      <c r="B431" s="409">
        <v>14050</v>
      </c>
      <c r="C431" s="231">
        <v>0.1</v>
      </c>
      <c r="D431" s="564" t="s">
        <v>326</v>
      </c>
      <c r="E431" s="230">
        <v>1200000</v>
      </c>
      <c r="F431" s="228">
        <v>0.12</v>
      </c>
      <c r="G431" s="243">
        <f t="shared" si="17"/>
        <v>144000</v>
      </c>
      <c r="H431" s="297" t="s">
        <v>62</v>
      </c>
      <c r="I431" s="220" t="s">
        <v>132</v>
      </c>
      <c r="J431" s="220" t="s">
        <v>19</v>
      </c>
      <c r="K431" s="351"/>
      <c r="L431" s="358"/>
      <c r="M431" s="428"/>
      <c r="N431" s="429"/>
      <c r="O431" s="430"/>
      <c r="P431" s="10"/>
      <c r="Q431" s="431"/>
    </row>
    <row r="432" spans="1:17" ht="15.75">
      <c r="A432" s="923"/>
      <c r="B432" s="411">
        <v>14123</v>
      </c>
      <c r="C432" s="231">
        <v>0.1</v>
      </c>
      <c r="D432" s="261" t="s">
        <v>327</v>
      </c>
      <c r="E432" s="230">
        <v>800000</v>
      </c>
      <c r="F432" s="228">
        <v>7.0000000000000007E-2</v>
      </c>
      <c r="G432" s="243">
        <f t="shared" si="17"/>
        <v>56000.000000000007</v>
      </c>
      <c r="H432" s="297" t="s">
        <v>26</v>
      </c>
      <c r="I432" s="220" t="s">
        <v>21</v>
      </c>
      <c r="J432" s="220" t="s">
        <v>19</v>
      </c>
      <c r="K432" s="351"/>
      <c r="L432" s="358"/>
      <c r="M432" s="428"/>
      <c r="N432" s="429"/>
      <c r="O432" s="430"/>
      <c r="P432" s="10"/>
      <c r="Q432" s="431"/>
    </row>
    <row r="433" spans="1:17" ht="15.75">
      <c r="A433" s="923"/>
      <c r="B433" s="240">
        <v>13997</v>
      </c>
      <c r="C433" s="231">
        <v>0.1</v>
      </c>
      <c r="D433" s="344" t="s">
        <v>328</v>
      </c>
      <c r="E433" s="242">
        <v>1700000</v>
      </c>
      <c r="F433" s="228">
        <v>0.12</v>
      </c>
      <c r="G433" s="243">
        <f t="shared" si="17"/>
        <v>204000</v>
      </c>
      <c r="H433" s="244" t="s">
        <v>62</v>
      </c>
      <c r="I433" s="239" t="s">
        <v>302</v>
      </c>
      <c r="J433" s="220" t="s">
        <v>19</v>
      </c>
      <c r="K433" s="351"/>
      <c r="L433" s="358"/>
      <c r="M433" s="428"/>
      <c r="N433" s="429"/>
      <c r="O433" s="430"/>
      <c r="P433" s="10"/>
      <c r="Q433" s="431"/>
    </row>
    <row r="434" spans="1:17" ht="15.75">
      <c r="A434" s="923"/>
      <c r="B434" s="240">
        <v>14117</v>
      </c>
      <c r="C434" s="231">
        <v>0.1</v>
      </c>
      <c r="D434" s="344" t="s">
        <v>303</v>
      </c>
      <c r="E434" s="242">
        <v>2000000</v>
      </c>
      <c r="F434" s="228">
        <v>7.0000000000000007E-2</v>
      </c>
      <c r="G434" s="243">
        <f t="shared" si="17"/>
        <v>140000</v>
      </c>
      <c r="H434" s="244" t="s">
        <v>206</v>
      </c>
      <c r="I434" s="239" t="s">
        <v>21</v>
      </c>
      <c r="J434" s="220" t="s">
        <v>19</v>
      </c>
      <c r="K434" s="351"/>
      <c r="L434" s="358"/>
      <c r="M434" s="428"/>
      <c r="N434" s="429"/>
      <c r="O434" s="430"/>
      <c r="P434" s="10"/>
      <c r="Q434" s="431"/>
    </row>
    <row r="435" spans="1:17" ht="15.75">
      <c r="A435" s="923"/>
      <c r="B435" s="240">
        <v>14118</v>
      </c>
      <c r="C435" s="231">
        <v>0.1</v>
      </c>
      <c r="D435" s="344" t="s">
        <v>329</v>
      </c>
      <c r="E435" s="242">
        <v>2000000</v>
      </c>
      <c r="F435" s="228">
        <v>7.0000000000000007E-2</v>
      </c>
      <c r="G435" s="243">
        <f t="shared" si="17"/>
        <v>140000</v>
      </c>
      <c r="H435" s="244" t="s">
        <v>95</v>
      </c>
      <c r="I435" s="239" t="s">
        <v>264</v>
      </c>
      <c r="J435" s="220" t="s">
        <v>19</v>
      </c>
      <c r="K435" s="351"/>
      <c r="L435" s="358"/>
      <c r="M435" s="428"/>
      <c r="N435" s="429"/>
      <c r="O435" s="430"/>
      <c r="P435" s="10"/>
      <c r="Q435" s="431"/>
    </row>
    <row r="436" spans="1:17" ht="15.75">
      <c r="A436" s="923"/>
      <c r="B436" s="281" t="s">
        <v>40</v>
      </c>
      <c r="C436" s="554"/>
      <c r="D436" s="208" t="s">
        <v>330</v>
      </c>
      <c r="E436" s="209"/>
      <c r="F436" s="271"/>
      <c r="G436" s="292"/>
      <c r="H436" s="489"/>
      <c r="I436" s="268" t="s">
        <v>302</v>
      </c>
      <c r="J436" s="268"/>
      <c r="K436" s="289"/>
      <c r="L436" s="512"/>
      <c r="M436" s="428"/>
      <c r="N436" s="429"/>
      <c r="O436" s="430"/>
      <c r="P436" s="10"/>
      <c r="Q436" s="431"/>
    </row>
    <row r="437" spans="1:17" ht="15.75">
      <c r="A437" s="923"/>
      <c r="B437" s="281" t="s">
        <v>191</v>
      </c>
      <c r="C437" s="328"/>
      <c r="D437" s="208" t="s">
        <v>317</v>
      </c>
      <c r="E437" s="209"/>
      <c r="F437" s="271"/>
      <c r="G437" s="292"/>
      <c r="H437" s="489"/>
      <c r="I437" s="268" t="s">
        <v>18</v>
      </c>
      <c r="J437" s="268"/>
      <c r="K437" s="289"/>
      <c r="L437" s="512"/>
      <c r="M437" s="428"/>
      <c r="N437" s="429"/>
      <c r="O437" s="430"/>
      <c r="P437" s="10"/>
      <c r="Q437" s="431"/>
    </row>
    <row r="438" spans="1:17" ht="15.75">
      <c r="A438" s="924"/>
      <c r="B438" s="13"/>
      <c r="C438" s="14"/>
      <c r="D438" s="15" t="s">
        <v>46</v>
      </c>
      <c r="E438" s="16">
        <f>SUM(E426:E437)</f>
        <v>16300000</v>
      </c>
      <c r="F438" s="17"/>
      <c r="G438" s="383">
        <f>SUM(G426:G437)</f>
        <v>1513500</v>
      </c>
      <c r="H438" s="17"/>
      <c r="I438" s="18"/>
      <c r="J438" s="18"/>
      <c r="K438" s="18"/>
      <c r="L438" s="19"/>
      <c r="M438" s="480"/>
      <c r="N438" s="942" t="s">
        <v>70</v>
      </c>
      <c r="O438" s="942"/>
      <c r="P438" s="942"/>
      <c r="Q438" s="481">
        <f>G438+Q426</f>
        <v>1598500</v>
      </c>
    </row>
    <row r="441" spans="1:17" ht="18">
      <c r="A441" s="918" t="s">
        <v>71</v>
      </c>
      <c r="B441" s="918"/>
      <c r="C441" s="918"/>
      <c r="D441" s="918"/>
      <c r="E441" s="918"/>
      <c r="F441" s="918"/>
      <c r="G441" s="918"/>
      <c r="H441" s="918"/>
      <c r="I441" s="918"/>
      <c r="J441" s="919"/>
      <c r="K441" s="918"/>
      <c r="L441" s="918"/>
      <c r="M441" s="955" t="s">
        <v>14</v>
      </c>
      <c r="N441" s="955"/>
      <c r="O441" s="955"/>
      <c r="P441" s="955"/>
      <c r="Q441" s="76"/>
    </row>
    <row r="442" spans="1:17" ht="15.75">
      <c r="A442" s="115" t="s">
        <v>2</v>
      </c>
      <c r="B442" s="440" t="s">
        <v>3</v>
      </c>
      <c r="C442" s="441" t="s">
        <v>4</v>
      </c>
      <c r="D442" s="115" t="s">
        <v>5</v>
      </c>
      <c r="E442" s="442" t="s">
        <v>6</v>
      </c>
      <c r="F442" s="441" t="s">
        <v>7</v>
      </c>
      <c r="G442" s="443" t="s">
        <v>8</v>
      </c>
      <c r="H442" s="441" t="s">
        <v>9</v>
      </c>
      <c r="I442" s="561" t="s">
        <v>10</v>
      </c>
      <c r="J442" s="52" t="s">
        <v>11</v>
      </c>
      <c r="K442" s="119" t="s">
        <v>12</v>
      </c>
      <c r="L442" s="441" t="s">
        <v>13</v>
      </c>
      <c r="M442" s="54" t="s">
        <v>3</v>
      </c>
      <c r="N442" s="54" t="s">
        <v>5</v>
      </c>
      <c r="O442" s="39" t="s">
        <v>49</v>
      </c>
      <c r="P442" s="371" t="s">
        <v>7</v>
      </c>
      <c r="Q442" s="56" t="s">
        <v>50</v>
      </c>
    </row>
    <row r="443" spans="1:17" ht="15.75">
      <c r="A443" s="923">
        <v>6</v>
      </c>
      <c r="B443" s="214">
        <v>13907</v>
      </c>
      <c r="C443" s="348">
        <v>0.08</v>
      </c>
      <c r="D443" s="277" t="s">
        <v>331</v>
      </c>
      <c r="E443" s="216">
        <v>1550000</v>
      </c>
      <c r="F443" s="217">
        <v>0.04</v>
      </c>
      <c r="G443" s="218">
        <f>E443*F443</f>
        <v>62000</v>
      </c>
      <c r="H443" s="219" t="s">
        <v>26</v>
      </c>
      <c r="I443" s="220" t="s">
        <v>18</v>
      </c>
      <c r="J443" s="492" t="s">
        <v>19</v>
      </c>
      <c r="K443" s="220"/>
      <c r="L443" s="373"/>
      <c r="M443" s="435"/>
      <c r="N443" s="436"/>
      <c r="O443" s="11"/>
      <c r="P443" s="437"/>
      <c r="Q443" s="431"/>
    </row>
    <row r="444" spans="1:17" ht="15.75">
      <c r="A444" s="923"/>
      <c r="B444" s="214">
        <v>14019</v>
      </c>
      <c r="C444" s="221">
        <v>0.1</v>
      </c>
      <c r="D444" s="277" t="s">
        <v>332</v>
      </c>
      <c r="E444" s="216">
        <v>2100000</v>
      </c>
      <c r="F444" s="228">
        <v>0.08</v>
      </c>
      <c r="G444" s="218">
        <f>E444*F444</f>
        <v>168000</v>
      </c>
      <c r="H444" s="219" t="s">
        <v>333</v>
      </c>
      <c r="I444" s="220" t="s">
        <v>21</v>
      </c>
      <c r="J444" s="220" t="s">
        <v>19</v>
      </c>
      <c r="K444" s="220"/>
      <c r="L444" s="373"/>
      <c r="M444" s="435"/>
      <c r="N444" s="436"/>
      <c r="O444" s="11"/>
      <c r="P444" s="437"/>
      <c r="Q444" s="431"/>
    </row>
    <row r="445" spans="1:17" ht="15.75">
      <c r="A445" s="923"/>
      <c r="B445" s="63"/>
      <c r="C445" s="43"/>
      <c r="D445" s="30"/>
      <c r="E445" s="84"/>
      <c r="F445" s="67"/>
      <c r="G445" s="529"/>
      <c r="H445" s="530"/>
      <c r="I445" s="527"/>
      <c r="J445" s="527"/>
      <c r="K445" s="527"/>
      <c r="L445" s="531"/>
      <c r="M445" s="435"/>
      <c r="N445" s="436"/>
      <c r="O445" s="11"/>
      <c r="P445" s="437"/>
      <c r="Q445" s="431"/>
    </row>
    <row r="446" spans="1:17" ht="15.75">
      <c r="A446" s="954"/>
      <c r="B446" s="13"/>
      <c r="C446" s="14"/>
      <c r="D446" s="15" t="s">
        <v>46</v>
      </c>
      <c r="E446" s="82">
        <f>SUM(E443:E445)</f>
        <v>3650000</v>
      </c>
      <c r="F446" s="17"/>
      <c r="G446" s="383">
        <f>SUM(G443:G445)</f>
        <v>230000</v>
      </c>
      <c r="H446" s="17"/>
      <c r="I446" s="18"/>
      <c r="J446" s="18"/>
      <c r="K446" s="18"/>
      <c r="L446" s="83"/>
      <c r="M446" s="62"/>
      <c r="N446" s="951" t="s">
        <v>70</v>
      </c>
      <c r="O446" s="926"/>
      <c r="P446" s="926"/>
      <c r="Q446" s="65">
        <f>G446</f>
        <v>230000</v>
      </c>
    </row>
    <row r="449" spans="1:17" ht="18">
      <c r="A449" s="918" t="s">
        <v>91</v>
      </c>
      <c r="B449" s="918"/>
      <c r="C449" s="918"/>
      <c r="D449" s="918"/>
      <c r="E449" s="918"/>
      <c r="F449" s="918"/>
      <c r="G449" s="918"/>
      <c r="H449" s="918"/>
      <c r="I449" s="918"/>
      <c r="J449" s="918"/>
      <c r="K449" s="919"/>
      <c r="L449" s="918"/>
      <c r="M449" s="969" t="s">
        <v>14</v>
      </c>
      <c r="N449" s="970"/>
      <c r="O449" s="971"/>
      <c r="P449" s="944"/>
      <c r="Q449" s="56"/>
    </row>
    <row r="450" spans="1:17" ht="18">
      <c r="A450" s="563" t="s">
        <v>2</v>
      </c>
      <c r="B450" s="558" t="s">
        <v>3</v>
      </c>
      <c r="C450" s="559" t="s">
        <v>4</v>
      </c>
      <c r="D450" s="558" t="s">
        <v>5</v>
      </c>
      <c r="E450" s="560" t="s">
        <v>6</v>
      </c>
      <c r="F450" s="560" t="s">
        <v>7</v>
      </c>
      <c r="G450" s="560" t="s">
        <v>8</v>
      </c>
      <c r="H450" s="560" t="s">
        <v>9</v>
      </c>
      <c r="I450" s="560" t="s">
        <v>10</v>
      </c>
      <c r="J450" s="562" t="s">
        <v>11</v>
      </c>
      <c r="K450" s="560" t="s">
        <v>12</v>
      </c>
      <c r="L450" s="587"/>
      <c r="M450" s="586" t="s">
        <v>3</v>
      </c>
      <c r="N450" s="571" t="s">
        <v>5</v>
      </c>
      <c r="O450" s="572" t="s">
        <v>300</v>
      </c>
      <c r="P450" s="581" t="s">
        <v>7</v>
      </c>
      <c r="Q450" s="56" t="s">
        <v>8</v>
      </c>
    </row>
    <row r="451" spans="1:17" ht="15.75">
      <c r="A451" s="923" t="s">
        <v>15</v>
      </c>
      <c r="B451" s="409">
        <v>13916</v>
      </c>
      <c r="C451" s="231">
        <v>0.1</v>
      </c>
      <c r="D451" s="241" t="s">
        <v>334</v>
      </c>
      <c r="E451" s="242">
        <v>1100000</v>
      </c>
      <c r="F451" s="228">
        <v>0.1</v>
      </c>
      <c r="G451" s="218">
        <f>E451*F451</f>
        <v>110000</v>
      </c>
      <c r="H451" s="244" t="s">
        <v>93</v>
      </c>
      <c r="I451" s="239" t="s">
        <v>302</v>
      </c>
      <c r="J451" s="239" t="s">
        <v>19</v>
      </c>
      <c r="K451" s="585"/>
      <c r="L451" s="418"/>
      <c r="M451" s="240">
        <v>14118</v>
      </c>
      <c r="N451" s="241" t="s">
        <v>329</v>
      </c>
      <c r="O451" s="582">
        <v>2000000</v>
      </c>
      <c r="P451" s="228">
        <v>0.05</v>
      </c>
      <c r="Q451" s="375">
        <f>O451*P451</f>
        <v>100000</v>
      </c>
    </row>
    <row r="452" spans="1:17" ht="15.75">
      <c r="A452" s="923"/>
      <c r="B452" s="410">
        <v>13945</v>
      </c>
      <c r="C452" s="231">
        <v>0.1</v>
      </c>
      <c r="D452" s="241" t="s">
        <v>335</v>
      </c>
      <c r="E452" s="242">
        <v>750000</v>
      </c>
      <c r="F452" s="228">
        <v>0.05</v>
      </c>
      <c r="G452" s="218">
        <f t="shared" ref="G452:G464" si="18">E452*F452</f>
        <v>37500</v>
      </c>
      <c r="H452" s="244" t="s">
        <v>336</v>
      </c>
      <c r="I452" s="239" t="s">
        <v>18</v>
      </c>
      <c r="J452" s="239" t="s">
        <v>19</v>
      </c>
      <c r="K452" s="239"/>
      <c r="L452" s="418"/>
      <c r="M452" s="428"/>
      <c r="N452" s="448"/>
      <c r="O452" s="430"/>
      <c r="P452" s="10"/>
      <c r="Q452" s="431"/>
    </row>
    <row r="453" spans="1:17" ht="15.75">
      <c r="A453" s="923"/>
      <c r="B453" s="293">
        <v>13974</v>
      </c>
      <c r="C453" s="231">
        <v>0.1</v>
      </c>
      <c r="D453" s="241" t="s">
        <v>337</v>
      </c>
      <c r="E453" s="242">
        <v>1000000</v>
      </c>
      <c r="F453" s="228">
        <v>0.1</v>
      </c>
      <c r="G453" s="218">
        <f t="shared" si="18"/>
        <v>100000</v>
      </c>
      <c r="H453" s="244" t="s">
        <v>95</v>
      </c>
      <c r="I453" s="239" t="s">
        <v>264</v>
      </c>
      <c r="J453" s="239" t="s">
        <v>19</v>
      </c>
      <c r="K453" s="239"/>
      <c r="L453" s="418"/>
      <c r="M453" s="428"/>
      <c r="N453" s="448"/>
      <c r="O453" s="430"/>
      <c r="P453" s="10"/>
      <c r="Q453" s="431"/>
    </row>
    <row r="454" spans="1:17" ht="15.75">
      <c r="A454" s="923"/>
      <c r="B454" s="409">
        <v>13979</v>
      </c>
      <c r="C454" s="231">
        <v>0.1</v>
      </c>
      <c r="D454" s="241" t="s">
        <v>338</v>
      </c>
      <c r="E454" s="242">
        <v>1070000</v>
      </c>
      <c r="F454" s="228">
        <v>0.1</v>
      </c>
      <c r="G454" s="218">
        <f t="shared" si="18"/>
        <v>107000</v>
      </c>
      <c r="H454" s="244" t="s">
        <v>95</v>
      </c>
      <c r="I454" s="239" t="s">
        <v>18</v>
      </c>
      <c r="J454" s="239" t="s">
        <v>19</v>
      </c>
      <c r="K454" s="239"/>
      <c r="L454" s="418"/>
      <c r="M454" s="428"/>
      <c r="N454" s="448"/>
      <c r="O454" s="430"/>
      <c r="P454" s="10"/>
      <c r="Q454" s="431"/>
    </row>
    <row r="455" spans="1:17" ht="15.75">
      <c r="A455" s="923"/>
      <c r="B455" s="409">
        <v>13993</v>
      </c>
      <c r="C455" s="231">
        <v>0.1</v>
      </c>
      <c r="D455" s="241" t="s">
        <v>339</v>
      </c>
      <c r="E455" s="242">
        <v>1100000</v>
      </c>
      <c r="F455" s="228">
        <v>0.1</v>
      </c>
      <c r="G455" s="218">
        <f t="shared" si="18"/>
        <v>110000</v>
      </c>
      <c r="H455" s="244" t="s">
        <v>95</v>
      </c>
      <c r="I455" s="239" t="s">
        <v>18</v>
      </c>
      <c r="J455" s="239" t="s">
        <v>19</v>
      </c>
      <c r="K455" s="239"/>
      <c r="L455" s="418"/>
      <c r="M455" s="428"/>
      <c r="N455" s="448"/>
      <c r="O455" s="430"/>
      <c r="P455" s="10"/>
      <c r="Q455" s="431"/>
    </row>
    <row r="456" spans="1:17" ht="15.75">
      <c r="A456" s="923"/>
      <c r="B456" s="409">
        <v>13991</v>
      </c>
      <c r="C456" s="231">
        <v>0.1</v>
      </c>
      <c r="D456" s="241" t="s">
        <v>340</v>
      </c>
      <c r="E456" s="242">
        <v>1200000</v>
      </c>
      <c r="F456" s="228">
        <v>0.1</v>
      </c>
      <c r="G456" s="218">
        <f t="shared" si="18"/>
        <v>120000</v>
      </c>
      <c r="H456" s="244" t="s">
        <v>95</v>
      </c>
      <c r="I456" s="239" t="s">
        <v>18</v>
      </c>
      <c r="J456" s="239" t="s">
        <v>19</v>
      </c>
      <c r="K456" s="239"/>
      <c r="L456" s="418"/>
      <c r="M456" s="428"/>
      <c r="N456" s="448"/>
      <c r="O456" s="430"/>
      <c r="P456" s="10"/>
      <c r="Q456" s="431"/>
    </row>
    <row r="457" spans="1:17" ht="15.75">
      <c r="A457" s="923"/>
      <c r="B457" s="409">
        <v>14025</v>
      </c>
      <c r="C457" s="231">
        <v>0.1</v>
      </c>
      <c r="D457" s="241" t="s">
        <v>341</v>
      </c>
      <c r="E457" s="242">
        <v>1200000</v>
      </c>
      <c r="F457" s="228">
        <v>0.1</v>
      </c>
      <c r="G457" s="218">
        <f t="shared" si="18"/>
        <v>120000</v>
      </c>
      <c r="H457" s="244" t="s">
        <v>95</v>
      </c>
      <c r="I457" s="239" t="s">
        <v>18</v>
      </c>
      <c r="J457" s="239" t="s">
        <v>19</v>
      </c>
      <c r="K457" s="239"/>
      <c r="L457" s="418"/>
      <c r="M457" s="428"/>
      <c r="N457" s="448"/>
      <c r="O457" s="430"/>
      <c r="P457" s="10"/>
      <c r="Q457" s="431"/>
    </row>
    <row r="458" spans="1:17" ht="15.75">
      <c r="A458" s="923"/>
      <c r="B458" s="409">
        <v>14030</v>
      </c>
      <c r="C458" s="231">
        <v>0.1</v>
      </c>
      <c r="D458" s="241" t="s">
        <v>305</v>
      </c>
      <c r="E458" s="242">
        <v>1150000</v>
      </c>
      <c r="F458" s="228">
        <v>0.05</v>
      </c>
      <c r="G458" s="218">
        <f t="shared" si="18"/>
        <v>57500</v>
      </c>
      <c r="H458" s="244" t="s">
        <v>17</v>
      </c>
      <c r="I458" s="239" t="s">
        <v>21</v>
      </c>
      <c r="J458" s="239" t="s">
        <v>19</v>
      </c>
      <c r="K458" s="239"/>
      <c r="L458" s="418"/>
      <c r="M458" s="428"/>
      <c r="N458" s="448"/>
      <c r="O458" s="430"/>
      <c r="P458" s="10"/>
      <c r="Q458" s="431"/>
    </row>
    <row r="459" spans="1:17" ht="15.75">
      <c r="A459" s="923"/>
      <c r="B459" s="409">
        <v>14051</v>
      </c>
      <c r="C459" s="231">
        <v>0.1</v>
      </c>
      <c r="D459" s="241" t="s">
        <v>342</v>
      </c>
      <c r="E459" s="242">
        <v>850000</v>
      </c>
      <c r="F459" s="228">
        <v>0.06</v>
      </c>
      <c r="G459" s="218">
        <f t="shared" si="18"/>
        <v>51000</v>
      </c>
      <c r="H459" s="244" t="s">
        <v>26</v>
      </c>
      <c r="I459" s="239" t="s">
        <v>18</v>
      </c>
      <c r="J459" s="239" t="s">
        <v>19</v>
      </c>
      <c r="K459" s="239"/>
      <c r="L459" s="418"/>
      <c r="M459" s="428"/>
      <c r="N459" s="448"/>
      <c r="O459" s="430"/>
      <c r="P459" s="10"/>
      <c r="Q459" s="431"/>
    </row>
    <row r="460" spans="1:17" ht="15.75">
      <c r="A460" s="923"/>
      <c r="B460" s="409">
        <v>14056</v>
      </c>
      <c r="C460" s="231">
        <v>0.1</v>
      </c>
      <c r="D460" s="241" t="s">
        <v>343</v>
      </c>
      <c r="E460" s="242">
        <v>1100000</v>
      </c>
      <c r="F460" s="228">
        <v>0.1</v>
      </c>
      <c r="G460" s="218">
        <f t="shared" si="18"/>
        <v>110000</v>
      </c>
      <c r="H460" s="244" t="s">
        <v>95</v>
      </c>
      <c r="I460" s="239" t="s">
        <v>21</v>
      </c>
      <c r="J460" s="239" t="s">
        <v>19</v>
      </c>
      <c r="K460" s="239"/>
      <c r="L460" s="418"/>
      <c r="M460" s="428"/>
      <c r="N460" s="448"/>
      <c r="O460" s="430"/>
      <c r="P460" s="10"/>
      <c r="Q460" s="431"/>
    </row>
    <row r="461" spans="1:17" ht="15.75">
      <c r="A461" s="923"/>
      <c r="B461" s="409">
        <v>14065</v>
      </c>
      <c r="C461" s="231">
        <v>0.1</v>
      </c>
      <c r="D461" s="241" t="s">
        <v>344</v>
      </c>
      <c r="E461" s="242">
        <v>1100000</v>
      </c>
      <c r="F461" s="228">
        <v>0.1</v>
      </c>
      <c r="G461" s="218">
        <f t="shared" si="18"/>
        <v>110000</v>
      </c>
      <c r="H461" s="244" t="s">
        <v>93</v>
      </c>
      <c r="I461" s="239" t="s">
        <v>18</v>
      </c>
      <c r="J461" s="239" t="s">
        <v>19</v>
      </c>
      <c r="K461" s="239"/>
      <c r="L461" s="418"/>
      <c r="M461" s="428"/>
      <c r="N461" s="448"/>
      <c r="O461" s="430"/>
      <c r="P461" s="10"/>
      <c r="Q461" s="431"/>
    </row>
    <row r="462" spans="1:17" ht="15.75">
      <c r="A462" s="923"/>
      <c r="B462" s="409">
        <v>14086</v>
      </c>
      <c r="C462" s="231">
        <v>0.1</v>
      </c>
      <c r="D462" s="241" t="s">
        <v>345</v>
      </c>
      <c r="E462" s="242">
        <v>900000</v>
      </c>
      <c r="F462" s="228">
        <v>0.1</v>
      </c>
      <c r="G462" s="218">
        <f t="shared" si="18"/>
        <v>90000</v>
      </c>
      <c r="H462" s="244" t="s">
        <v>95</v>
      </c>
      <c r="I462" s="239" t="s">
        <v>264</v>
      </c>
      <c r="J462" s="239" t="s">
        <v>19</v>
      </c>
      <c r="K462" s="239"/>
      <c r="L462" s="418"/>
      <c r="M462" s="428"/>
      <c r="N462" s="448"/>
      <c r="O462" s="430"/>
      <c r="P462" s="10"/>
      <c r="Q462" s="431"/>
    </row>
    <row r="463" spans="1:17" ht="15.75">
      <c r="A463" s="923"/>
      <c r="B463" s="409">
        <v>14098</v>
      </c>
      <c r="C463" s="231">
        <v>0.1</v>
      </c>
      <c r="D463" s="241" t="s">
        <v>346</v>
      </c>
      <c r="E463" s="242">
        <v>1200000</v>
      </c>
      <c r="F463" s="228">
        <v>0.1</v>
      </c>
      <c r="G463" s="218">
        <f t="shared" si="18"/>
        <v>120000</v>
      </c>
      <c r="H463" s="244" t="s">
        <v>95</v>
      </c>
      <c r="I463" s="239" t="s">
        <v>18</v>
      </c>
      <c r="J463" s="239" t="s">
        <v>19</v>
      </c>
      <c r="K463" s="239"/>
      <c r="L463" s="418"/>
      <c r="M463" s="428"/>
      <c r="N463" s="448"/>
      <c r="O463" s="430"/>
      <c r="P463" s="10"/>
      <c r="Q463" s="431"/>
    </row>
    <row r="464" spans="1:17" ht="15.75">
      <c r="A464" s="923"/>
      <c r="B464" s="338">
        <v>14100</v>
      </c>
      <c r="C464" s="347">
        <v>0.08</v>
      </c>
      <c r="D464" s="241" t="s">
        <v>347</v>
      </c>
      <c r="E464" s="242">
        <v>1270000</v>
      </c>
      <c r="F464" s="217">
        <v>0.08</v>
      </c>
      <c r="G464" s="218">
        <f t="shared" si="18"/>
        <v>101600</v>
      </c>
      <c r="H464" s="244" t="s">
        <v>95</v>
      </c>
      <c r="I464" s="239" t="s">
        <v>18</v>
      </c>
      <c r="J464" s="239" t="s">
        <v>19</v>
      </c>
      <c r="K464" s="239"/>
      <c r="L464" s="418"/>
      <c r="M464" s="428"/>
      <c r="N464" s="448"/>
      <c r="O464" s="430"/>
      <c r="P464" s="10"/>
      <c r="Q464" s="431"/>
    </row>
    <row r="465" spans="1:17" ht="15.75">
      <c r="A465" s="923"/>
      <c r="B465" s="300">
        <v>14125</v>
      </c>
      <c r="C465" s="231">
        <v>0.1</v>
      </c>
      <c r="D465" s="241" t="s">
        <v>348</v>
      </c>
      <c r="E465" s="242">
        <v>1000000</v>
      </c>
      <c r="F465" s="228">
        <v>0.06</v>
      </c>
      <c r="G465" s="248">
        <f>E465*F465</f>
        <v>60000</v>
      </c>
      <c r="H465" s="244" t="s">
        <v>26</v>
      </c>
      <c r="I465" s="239" t="s">
        <v>21</v>
      </c>
      <c r="J465" s="239" t="s">
        <v>19</v>
      </c>
      <c r="K465" s="239"/>
      <c r="L465" s="418"/>
      <c r="M465" s="428"/>
      <c r="N465" s="448"/>
      <c r="O465" s="430"/>
      <c r="P465" s="10"/>
      <c r="Q465" s="431"/>
    </row>
    <row r="466" spans="1:17" ht="15.75">
      <c r="A466" s="923"/>
      <c r="B466" s="409">
        <v>14127</v>
      </c>
      <c r="C466" s="231">
        <v>0.1</v>
      </c>
      <c r="D466" s="241" t="s">
        <v>349</v>
      </c>
      <c r="E466" s="242">
        <v>1500000</v>
      </c>
      <c r="F466" s="228">
        <v>0.1</v>
      </c>
      <c r="G466" s="248">
        <f>E466*F466</f>
        <v>150000</v>
      </c>
      <c r="H466" s="244" t="s">
        <v>95</v>
      </c>
      <c r="I466" s="239" t="s">
        <v>18</v>
      </c>
      <c r="J466" s="239" t="s">
        <v>19</v>
      </c>
      <c r="K466" s="239"/>
      <c r="L466" s="605"/>
      <c r="M466" s="435"/>
      <c r="N466" s="550"/>
      <c r="O466" s="551"/>
      <c r="P466" s="552"/>
      <c r="Q466" s="431"/>
    </row>
    <row r="467" spans="1:17" ht="15.75">
      <c r="A467" s="924"/>
      <c r="B467" s="103"/>
      <c r="C467" s="104"/>
      <c r="D467" s="105" t="s">
        <v>46</v>
      </c>
      <c r="E467" s="106">
        <f>SUM(E451:E466)</f>
        <v>17490000</v>
      </c>
      <c r="F467" s="107"/>
      <c r="G467" s="108">
        <f>SUM(G451:G466)</f>
        <v>1554600</v>
      </c>
      <c r="H467" s="107"/>
      <c r="I467" s="109"/>
      <c r="J467" s="110"/>
      <c r="K467" s="110"/>
      <c r="L467" s="111"/>
      <c r="M467" s="112"/>
      <c r="N467" s="925" t="s">
        <v>70</v>
      </c>
      <c r="O467" s="926"/>
      <c r="P467" s="926"/>
      <c r="Q467" s="65">
        <f>G467+Q451</f>
        <v>1654600</v>
      </c>
    </row>
    <row r="470" spans="1:17" ht="18">
      <c r="A470" s="918" t="s">
        <v>107</v>
      </c>
      <c r="B470" s="927"/>
      <c r="C470" s="927"/>
      <c r="D470" s="927"/>
      <c r="E470" s="927"/>
      <c r="F470" s="927"/>
      <c r="G470" s="927"/>
      <c r="H470" s="927"/>
      <c r="I470" s="927"/>
      <c r="J470" s="927"/>
      <c r="K470" s="927"/>
      <c r="L470" s="927"/>
      <c r="M470" s="928" t="s">
        <v>14</v>
      </c>
      <c r="N470" s="928"/>
      <c r="O470" s="928"/>
      <c r="P470" s="928"/>
      <c r="Q470" s="326"/>
    </row>
    <row r="471" spans="1:17" ht="15.75">
      <c r="A471" s="46" t="s">
        <v>2</v>
      </c>
      <c r="B471" s="77" t="s">
        <v>3</v>
      </c>
      <c r="C471" s="46" t="s">
        <v>4</v>
      </c>
      <c r="D471" s="46" t="s">
        <v>5</v>
      </c>
      <c r="E471" s="48" t="s">
        <v>6</v>
      </c>
      <c r="F471" s="46" t="s">
        <v>7</v>
      </c>
      <c r="G471" s="327" t="s">
        <v>8</v>
      </c>
      <c r="H471" s="46" t="s">
        <v>9</v>
      </c>
      <c r="I471" s="52" t="s">
        <v>10</v>
      </c>
      <c r="J471" s="52" t="s">
        <v>11</v>
      </c>
      <c r="K471" s="52" t="s">
        <v>12</v>
      </c>
      <c r="L471" s="46" t="s">
        <v>13</v>
      </c>
      <c r="M471" s="46" t="s">
        <v>3</v>
      </c>
      <c r="N471" s="46" t="s">
        <v>5</v>
      </c>
      <c r="O471" s="46" t="s">
        <v>49</v>
      </c>
      <c r="P471" s="46" t="s">
        <v>7</v>
      </c>
      <c r="Q471" s="56" t="s">
        <v>50</v>
      </c>
    </row>
    <row r="472" spans="1:17" ht="15.75">
      <c r="A472" s="929">
        <v>7</v>
      </c>
      <c r="B472" s="300">
        <v>14006</v>
      </c>
      <c r="C472" s="231">
        <v>0.1</v>
      </c>
      <c r="D472" s="272" t="s">
        <v>350</v>
      </c>
      <c r="E472" s="278">
        <v>1700000</v>
      </c>
      <c r="F472" s="273"/>
      <c r="G472" s="274"/>
      <c r="H472" s="275" t="s">
        <v>26</v>
      </c>
      <c r="I472" s="276" t="s">
        <v>302</v>
      </c>
      <c r="J472" s="276" t="s">
        <v>19</v>
      </c>
      <c r="K472" s="366"/>
      <c r="L472" s="367"/>
      <c r="M472" s="293">
        <v>13967</v>
      </c>
      <c r="N472" s="272" t="s">
        <v>301</v>
      </c>
      <c r="O472" s="216">
        <v>850000</v>
      </c>
      <c r="P472" s="221"/>
      <c r="Q472" s="362"/>
    </row>
    <row r="473" spans="1:17" ht="15.75">
      <c r="A473" s="929"/>
      <c r="B473" s="159"/>
      <c r="C473" s="28"/>
      <c r="D473" s="193"/>
      <c r="E473" s="23"/>
      <c r="F473" s="24"/>
      <c r="G473" s="25"/>
      <c r="H473" s="26"/>
      <c r="I473" s="27"/>
      <c r="J473" s="68"/>
      <c r="K473" s="120"/>
      <c r="L473" s="460"/>
      <c r="M473" s="222">
        <v>14014</v>
      </c>
      <c r="N473" s="272" t="s">
        <v>309</v>
      </c>
      <c r="O473" s="216">
        <v>2200000</v>
      </c>
      <c r="P473" s="221"/>
      <c r="Q473" s="362"/>
    </row>
    <row r="474" spans="1:17" ht="15.75">
      <c r="A474" s="929"/>
      <c r="B474" s="63"/>
      <c r="C474" s="67"/>
      <c r="D474" s="22"/>
      <c r="E474" s="87"/>
      <c r="F474" s="151"/>
      <c r="G474" s="124"/>
      <c r="H474" s="152"/>
      <c r="I474" s="68"/>
      <c r="J474" s="68"/>
      <c r="K474" s="120"/>
      <c r="L474" s="460"/>
      <c r="M474" s="222">
        <v>14045</v>
      </c>
      <c r="N474" s="272" t="s">
        <v>310</v>
      </c>
      <c r="O474" s="216">
        <v>1200000</v>
      </c>
      <c r="P474" s="221"/>
      <c r="Q474" s="362"/>
    </row>
    <row r="475" spans="1:17" ht="15.75">
      <c r="A475" s="929"/>
      <c r="B475" s="63"/>
      <c r="C475" s="67"/>
      <c r="D475" s="22"/>
      <c r="E475" s="87"/>
      <c r="F475" s="151"/>
      <c r="G475" s="124"/>
      <c r="H475" s="152"/>
      <c r="I475" s="68"/>
      <c r="J475" s="68"/>
      <c r="K475" s="120"/>
      <c r="L475" s="460"/>
      <c r="M475" s="222">
        <v>14053</v>
      </c>
      <c r="N475" s="272" t="s">
        <v>311</v>
      </c>
      <c r="O475" s="216">
        <v>780000</v>
      </c>
      <c r="P475" s="221"/>
      <c r="Q475" s="362"/>
    </row>
    <row r="476" spans="1:17" ht="15.75">
      <c r="A476" s="929"/>
      <c r="B476" s="63"/>
      <c r="C476" s="67"/>
      <c r="D476" s="22"/>
      <c r="E476" s="87"/>
      <c r="F476" s="151"/>
      <c r="G476" s="124"/>
      <c r="H476" s="152"/>
      <c r="I476" s="68"/>
      <c r="J476" s="68"/>
      <c r="K476" s="120"/>
      <c r="L476" s="460"/>
      <c r="M476" s="222">
        <v>14115</v>
      </c>
      <c r="N476" s="272" t="s">
        <v>315</v>
      </c>
      <c r="O476" s="216">
        <v>1700000</v>
      </c>
      <c r="P476" s="221"/>
      <c r="Q476" s="362"/>
    </row>
    <row r="477" spans="1:17" ht="15.75">
      <c r="A477" s="929"/>
      <c r="B477" s="63"/>
      <c r="C477" s="67"/>
      <c r="D477" s="22"/>
      <c r="E477" s="31"/>
      <c r="F477" s="151"/>
      <c r="G477" s="124"/>
      <c r="H477" s="152"/>
      <c r="I477" s="68"/>
      <c r="J477" s="68"/>
      <c r="K477" s="120"/>
      <c r="L477" s="460"/>
      <c r="M477" s="240">
        <v>13960</v>
      </c>
      <c r="N477" s="261" t="s">
        <v>319</v>
      </c>
      <c r="O477" s="230">
        <v>1700000</v>
      </c>
      <c r="P477" s="221"/>
      <c r="Q477" s="362"/>
    </row>
    <row r="478" spans="1:17" ht="15.75">
      <c r="A478" s="929"/>
      <c r="B478" s="63"/>
      <c r="C478" s="67"/>
      <c r="D478" s="22"/>
      <c r="E478" s="31"/>
      <c r="F478" s="151"/>
      <c r="G478" s="124"/>
      <c r="H478" s="152"/>
      <c r="I478" s="68"/>
      <c r="J478" s="68"/>
      <c r="K478" s="120"/>
      <c r="L478" s="121"/>
      <c r="M478" s="279">
        <v>14123</v>
      </c>
      <c r="N478" s="261" t="s">
        <v>327</v>
      </c>
      <c r="O478" s="230">
        <v>800000</v>
      </c>
      <c r="P478" s="221"/>
      <c r="Q478" s="362"/>
    </row>
    <row r="479" spans="1:17" ht="15.75">
      <c r="A479" s="929"/>
      <c r="B479" s="63"/>
      <c r="C479" s="67"/>
      <c r="D479" s="22"/>
      <c r="E479" s="31"/>
      <c r="F479" s="151"/>
      <c r="G479" s="124"/>
      <c r="H479" s="152"/>
      <c r="I479" s="68"/>
      <c r="J479" s="68"/>
      <c r="K479" s="120"/>
      <c r="L479" s="121"/>
      <c r="M479" s="214">
        <v>13907</v>
      </c>
      <c r="N479" s="277" t="s">
        <v>331</v>
      </c>
      <c r="O479" s="216">
        <v>1550000</v>
      </c>
      <c r="P479" s="221"/>
      <c r="Q479" s="362"/>
    </row>
    <row r="480" spans="1:17" ht="15.75">
      <c r="A480" s="929"/>
      <c r="B480" s="63"/>
      <c r="C480" s="67"/>
      <c r="D480" s="22"/>
      <c r="E480" s="31"/>
      <c r="F480" s="151"/>
      <c r="G480" s="124"/>
      <c r="H480" s="152"/>
      <c r="I480" s="68"/>
      <c r="J480" s="68"/>
      <c r="K480" s="120"/>
      <c r="L480" s="121"/>
      <c r="M480" s="591">
        <v>14122</v>
      </c>
      <c r="N480" s="272" t="s">
        <v>316</v>
      </c>
      <c r="O480" s="216">
        <v>2000000</v>
      </c>
      <c r="P480" s="221"/>
      <c r="Q480" s="362"/>
    </row>
    <row r="481" spans="1:17" ht="15.75">
      <c r="A481" s="931"/>
      <c r="B481" s="134"/>
      <c r="C481" s="72"/>
      <c r="D481" s="135"/>
      <c r="E481" s="136"/>
      <c r="F481" s="137"/>
      <c r="G481" s="138"/>
      <c r="H481" s="139"/>
      <c r="I481" s="69"/>
      <c r="J481" s="69"/>
      <c r="K481" s="69"/>
      <c r="L481" s="60"/>
      <c r="M481" s="102"/>
      <c r="N481" s="96"/>
      <c r="O481" s="23"/>
      <c r="P481" s="140"/>
      <c r="Q481" s="122"/>
    </row>
    <row r="482" spans="1:17" ht="15.75">
      <c r="A482" s="932"/>
      <c r="B482" s="141" t="s">
        <v>46</v>
      </c>
      <c r="C482" s="142"/>
      <c r="D482" s="143"/>
      <c r="E482" s="144">
        <f>SUM(E472:E481)</f>
        <v>1700000</v>
      </c>
      <c r="F482" s="145"/>
      <c r="G482" s="146"/>
      <c r="H482" s="145"/>
      <c r="I482" s="147"/>
      <c r="J482" s="147"/>
      <c r="K482" s="147"/>
      <c r="M482" s="123"/>
      <c r="N482" s="123"/>
      <c r="O482" s="378">
        <f>SUM(O472:O481)</f>
        <v>12780000</v>
      </c>
      <c r="P482" s="150"/>
      <c r="Q482" s="122"/>
    </row>
    <row r="485" spans="1:17" ht="18">
      <c r="A485" s="933" t="s">
        <v>117</v>
      </c>
      <c r="B485" s="1116"/>
      <c r="C485" s="164"/>
      <c r="D485" s="165">
        <f>E421+E438+E446+E467+E482</f>
        <v>58470000</v>
      </c>
      <c r="E485" s="580" t="s">
        <v>351</v>
      </c>
    </row>
    <row r="486" spans="1:17" ht="18">
      <c r="A486" s="934" t="s">
        <v>119</v>
      </c>
      <c r="B486" s="1117"/>
      <c r="C486" s="167"/>
      <c r="D486" s="168"/>
      <c r="E486" s="580" t="s">
        <v>352</v>
      </c>
    </row>
    <row r="487" spans="1:17" ht="18">
      <c r="A487" s="916" t="s">
        <v>120</v>
      </c>
      <c r="B487" s="1118"/>
      <c r="C487" s="169"/>
      <c r="D487" s="170"/>
    </row>
    <row r="488" spans="1:17" ht="15.75">
      <c r="A488" s="917" t="s">
        <v>121</v>
      </c>
      <c r="B488" s="1119"/>
      <c r="C488" s="169"/>
      <c r="D488" s="171"/>
    </row>
    <row r="489" spans="1:17" ht="15.75">
      <c r="A489" s="172"/>
      <c r="B489" s="141" t="s">
        <v>47</v>
      </c>
      <c r="C489" s="173"/>
      <c r="D489" s="174">
        <f>SUM(D485:D488)</f>
        <v>58470000</v>
      </c>
    </row>
    <row r="495" spans="1:17" ht="45">
      <c r="A495" s="935" t="s">
        <v>353</v>
      </c>
      <c r="B495" s="935"/>
      <c r="C495" s="935"/>
      <c r="D495" s="935"/>
      <c r="E495" s="935"/>
      <c r="F495" s="935"/>
      <c r="G495" s="935"/>
      <c r="H495" s="935"/>
      <c r="I495" s="935"/>
      <c r="J495" s="935"/>
      <c r="K495" s="935"/>
      <c r="L495" s="935"/>
    </row>
    <row r="497" spans="1:17" ht="18">
      <c r="A497" s="918" t="s">
        <v>1</v>
      </c>
      <c r="B497" s="918"/>
      <c r="C497" s="918"/>
      <c r="D497" s="918"/>
      <c r="E497" s="918"/>
      <c r="F497" s="918"/>
      <c r="G497" s="918"/>
      <c r="H497" s="918"/>
      <c r="I497" s="918"/>
      <c r="J497" s="918"/>
      <c r="K497" s="918"/>
      <c r="L497" s="974"/>
      <c r="M497" s="982" t="s">
        <v>14</v>
      </c>
      <c r="N497" s="982"/>
      <c r="O497" s="982"/>
      <c r="P497" s="982"/>
      <c r="Q497" s="982"/>
    </row>
    <row r="498" spans="1:17" ht="15.75">
      <c r="A498" s="1" t="s">
        <v>2</v>
      </c>
      <c r="B498" s="2" t="s">
        <v>3</v>
      </c>
      <c r="C498" s="3" t="s">
        <v>4</v>
      </c>
      <c r="D498" s="1" t="s">
        <v>5</v>
      </c>
      <c r="E498" s="4" t="s">
        <v>6</v>
      </c>
      <c r="F498" s="3" t="s">
        <v>7</v>
      </c>
      <c r="G498" s="5" t="s">
        <v>8</v>
      </c>
      <c r="H498" s="3" t="s">
        <v>9</v>
      </c>
      <c r="I498" s="6" t="s">
        <v>10</v>
      </c>
      <c r="J498" s="6" t="s">
        <v>11</v>
      </c>
      <c r="K498" s="646" t="s">
        <v>12</v>
      </c>
      <c r="L498" s="1" t="s">
        <v>13</v>
      </c>
      <c r="M498" s="54" t="s">
        <v>3</v>
      </c>
      <c r="N498" s="54" t="s">
        <v>5</v>
      </c>
      <c r="O498" s="39" t="s">
        <v>49</v>
      </c>
      <c r="P498" s="371" t="s">
        <v>7</v>
      </c>
      <c r="Q498" s="455" t="s">
        <v>50</v>
      </c>
    </row>
    <row r="499" spans="1:17" ht="15.75">
      <c r="A499" s="936" t="s">
        <v>15</v>
      </c>
      <c r="B499" s="300">
        <v>14149</v>
      </c>
      <c r="C499" s="526">
        <v>0.08</v>
      </c>
      <c r="D499" s="272" t="s">
        <v>354</v>
      </c>
      <c r="E499" s="216">
        <v>1650000</v>
      </c>
      <c r="F499" s="217">
        <v>0.06</v>
      </c>
      <c r="G499" s="237">
        <f>E499*F499</f>
        <v>99000</v>
      </c>
      <c r="H499" s="238" t="s">
        <v>26</v>
      </c>
      <c r="I499" s="239" t="s">
        <v>18</v>
      </c>
      <c r="J499" s="239" t="s">
        <v>19</v>
      </c>
      <c r="K499" s="239"/>
      <c r="L499" s="652"/>
      <c r="M499" s="260">
        <v>14195</v>
      </c>
      <c r="N499" s="261" t="s">
        <v>355</v>
      </c>
      <c r="O499" s="230">
        <v>2200000</v>
      </c>
      <c r="P499" s="217">
        <v>0.04</v>
      </c>
      <c r="Q499" s="462">
        <f>O499*P499</f>
        <v>88000</v>
      </c>
    </row>
    <row r="500" spans="1:17" ht="15.75">
      <c r="A500" s="936"/>
      <c r="B500" s="611">
        <v>14152</v>
      </c>
      <c r="C500" s="408">
        <v>0.1</v>
      </c>
      <c r="D500" s="272" t="s">
        <v>356</v>
      </c>
      <c r="E500" s="216">
        <v>2000000</v>
      </c>
      <c r="F500" s="228">
        <v>7.0000000000000007E-2</v>
      </c>
      <c r="G500" s="237">
        <f t="shared" ref="G500:G508" si="19">E500*F500</f>
        <v>140000</v>
      </c>
      <c r="H500" s="238" t="s">
        <v>26</v>
      </c>
      <c r="I500" s="239" t="s">
        <v>18</v>
      </c>
      <c r="J500" s="239" t="s">
        <v>19</v>
      </c>
      <c r="K500" s="239"/>
      <c r="L500" s="321"/>
      <c r="M500" s="409">
        <v>14250</v>
      </c>
      <c r="N500" s="261" t="s">
        <v>357</v>
      </c>
      <c r="O500" s="230">
        <v>800000</v>
      </c>
      <c r="P500" s="217">
        <v>0.04</v>
      </c>
      <c r="Q500" s="462">
        <f t="shared" ref="Q500" si="20">O500*P500</f>
        <v>32000</v>
      </c>
    </row>
    <row r="501" spans="1:17" ht="15.75">
      <c r="A501" s="936"/>
      <c r="B501" s="463">
        <v>14174</v>
      </c>
      <c r="C501" s="408">
        <v>0.1</v>
      </c>
      <c r="D501" s="272" t="s">
        <v>358</v>
      </c>
      <c r="E501" s="216">
        <v>1200000</v>
      </c>
      <c r="F501" s="228">
        <v>7.0000000000000007E-2</v>
      </c>
      <c r="G501" s="237">
        <f t="shared" si="19"/>
        <v>84000.000000000015</v>
      </c>
      <c r="H501" s="238" t="s">
        <v>26</v>
      </c>
      <c r="I501" s="239" t="s">
        <v>21</v>
      </c>
      <c r="J501" s="239" t="s">
        <v>19</v>
      </c>
      <c r="K501" s="239"/>
      <c r="L501" s="321"/>
      <c r="M501" s="636"/>
      <c r="N501" s="8"/>
      <c r="O501" s="501"/>
      <c r="P501" s="439"/>
      <c r="Q501" s="487"/>
    </row>
    <row r="502" spans="1:17" ht="15.75">
      <c r="A502" s="936"/>
      <c r="B502" s="300">
        <v>14181</v>
      </c>
      <c r="C502" s="526">
        <v>0.08</v>
      </c>
      <c r="D502" s="272" t="s">
        <v>359</v>
      </c>
      <c r="E502" s="216">
        <v>2000000</v>
      </c>
      <c r="F502" s="217">
        <v>0.1</v>
      </c>
      <c r="G502" s="237">
        <f t="shared" si="19"/>
        <v>200000</v>
      </c>
      <c r="H502" s="238" t="s">
        <v>17</v>
      </c>
      <c r="I502" s="239" t="s">
        <v>21</v>
      </c>
      <c r="J502" s="239" t="s">
        <v>19</v>
      </c>
      <c r="K502" s="239"/>
      <c r="L502" s="321"/>
      <c r="M502" s="485"/>
      <c r="N502" s="8"/>
      <c r="O502" s="501"/>
      <c r="P502" s="10"/>
      <c r="Q502" s="487"/>
    </row>
    <row r="503" spans="1:17" ht="15.75">
      <c r="A503" s="936"/>
      <c r="B503" s="463">
        <v>14201</v>
      </c>
      <c r="C503" s="308">
        <v>0.1</v>
      </c>
      <c r="D503" s="612" t="s">
        <v>360</v>
      </c>
      <c r="E503" s="216">
        <v>1600000</v>
      </c>
      <c r="F503" s="228">
        <v>0.12</v>
      </c>
      <c r="G503" s="237">
        <f t="shared" si="19"/>
        <v>192000</v>
      </c>
      <c r="H503" s="238" t="s">
        <v>17</v>
      </c>
      <c r="I503" s="239" t="s">
        <v>264</v>
      </c>
      <c r="J503" s="239" t="s">
        <v>19</v>
      </c>
      <c r="K503" s="239"/>
      <c r="L503" s="321"/>
      <c r="M503" s="485"/>
      <c r="N503" s="8"/>
      <c r="O503" s="501"/>
      <c r="P503" s="10"/>
      <c r="Q503" s="487"/>
    </row>
    <row r="504" spans="1:17" ht="15.75">
      <c r="A504" s="936"/>
      <c r="B504" s="300">
        <v>14202</v>
      </c>
      <c r="C504" s="308">
        <v>0.1</v>
      </c>
      <c r="D504" s="261" t="s">
        <v>361</v>
      </c>
      <c r="E504" s="216">
        <v>850000</v>
      </c>
      <c r="F504" s="228">
        <v>7.0000000000000007E-2</v>
      </c>
      <c r="G504" s="237">
        <f t="shared" si="19"/>
        <v>59500.000000000007</v>
      </c>
      <c r="H504" s="238" t="s">
        <v>39</v>
      </c>
      <c r="I504" s="239" t="s">
        <v>21</v>
      </c>
      <c r="J504" s="239" t="s">
        <v>19</v>
      </c>
      <c r="K504" s="239"/>
      <c r="L504" s="321"/>
      <c r="M504" s="485"/>
      <c r="N504" s="8"/>
      <c r="O504" s="501"/>
      <c r="P504" s="10"/>
      <c r="Q504" s="487"/>
    </row>
    <row r="505" spans="1:17" ht="15.75">
      <c r="A505" s="936"/>
      <c r="B505" s="611">
        <v>14216</v>
      </c>
      <c r="C505" s="408">
        <v>0.1</v>
      </c>
      <c r="D505" s="272" t="s">
        <v>362</v>
      </c>
      <c r="E505" s="216">
        <v>1850000</v>
      </c>
      <c r="F505" s="228">
        <v>0.12</v>
      </c>
      <c r="G505" s="237">
        <f t="shared" si="19"/>
        <v>222000</v>
      </c>
      <c r="H505" s="238" t="s">
        <v>17</v>
      </c>
      <c r="I505" s="239" t="s">
        <v>132</v>
      </c>
      <c r="J505" s="239" t="s">
        <v>19</v>
      </c>
      <c r="K505" s="239"/>
      <c r="L505" s="321"/>
      <c r="M505" s="485"/>
      <c r="N505" s="8"/>
      <c r="O505" s="501"/>
      <c r="P505" s="10"/>
      <c r="Q505" s="487"/>
    </row>
    <row r="506" spans="1:17" ht="15.75">
      <c r="A506" s="936"/>
      <c r="B506" s="611">
        <v>14240</v>
      </c>
      <c r="C506" s="408">
        <v>0.1</v>
      </c>
      <c r="D506" s="272" t="s">
        <v>363</v>
      </c>
      <c r="E506" s="216">
        <v>1300000</v>
      </c>
      <c r="F506" s="228">
        <v>7.0000000000000007E-2</v>
      </c>
      <c r="G506" s="237">
        <f t="shared" si="19"/>
        <v>91000.000000000015</v>
      </c>
      <c r="H506" s="238" t="s">
        <v>39</v>
      </c>
      <c r="I506" s="239" t="s">
        <v>18</v>
      </c>
      <c r="J506" s="239" t="s">
        <v>19</v>
      </c>
      <c r="K506" s="239"/>
      <c r="L506" s="321"/>
      <c r="M506" s="485"/>
      <c r="N506" s="8"/>
      <c r="O506" s="501"/>
      <c r="P506" s="10"/>
      <c r="Q506" s="487"/>
    </row>
    <row r="507" spans="1:17" ht="15.75">
      <c r="A507" s="936"/>
      <c r="B507" s="463">
        <v>14255</v>
      </c>
      <c r="C507" s="408">
        <v>0.1</v>
      </c>
      <c r="D507" s="272" t="s">
        <v>364</v>
      </c>
      <c r="E507" s="216">
        <v>1700000</v>
      </c>
      <c r="F507" s="228">
        <v>0.12</v>
      </c>
      <c r="G507" s="237">
        <f t="shared" si="19"/>
        <v>204000</v>
      </c>
      <c r="H507" s="238" t="s">
        <v>17</v>
      </c>
      <c r="I507" s="239" t="s">
        <v>18</v>
      </c>
      <c r="J507" s="239" t="s">
        <v>19</v>
      </c>
      <c r="K507" s="239"/>
      <c r="L507" s="321"/>
      <c r="M507" s="485"/>
      <c r="N507" s="8"/>
      <c r="O507" s="501"/>
      <c r="P507" s="10"/>
      <c r="Q507" s="487"/>
    </row>
    <row r="508" spans="1:17" ht="15.75">
      <c r="A508" s="936"/>
      <c r="B508" s="222">
        <v>14314</v>
      </c>
      <c r="C508" s="308">
        <v>0.1</v>
      </c>
      <c r="D508" s="272" t="s">
        <v>365</v>
      </c>
      <c r="E508" s="216">
        <v>2500000</v>
      </c>
      <c r="F508" s="228">
        <v>7.0000000000000007E-2</v>
      </c>
      <c r="G508" s="237">
        <f t="shared" si="19"/>
        <v>175000.00000000003</v>
      </c>
      <c r="H508" s="238" t="s">
        <v>39</v>
      </c>
      <c r="I508" s="239" t="s">
        <v>264</v>
      </c>
      <c r="J508" s="239"/>
      <c r="K508" s="239"/>
      <c r="L508" s="321"/>
      <c r="M508" s="485"/>
      <c r="N508" s="8"/>
      <c r="O508" s="501"/>
      <c r="P508" s="10"/>
      <c r="Q508" s="487"/>
    </row>
    <row r="509" spans="1:17" ht="15.75">
      <c r="A509" s="936"/>
      <c r="B509" s="204" t="s">
        <v>40</v>
      </c>
      <c r="C509" s="626"/>
      <c r="D509" s="205" t="s">
        <v>366</v>
      </c>
      <c r="E509" s="265"/>
      <c r="F509" s="254"/>
      <c r="G509" s="211"/>
      <c r="H509" s="212"/>
      <c r="I509" s="213" t="s">
        <v>21</v>
      </c>
      <c r="J509" s="213"/>
      <c r="K509" s="213"/>
      <c r="L509" s="312"/>
      <c r="M509" s="485"/>
      <c r="N509" s="8"/>
      <c r="O509" s="501"/>
      <c r="P509" s="10"/>
      <c r="Q509" s="487"/>
    </row>
    <row r="510" spans="1:17" ht="15.75">
      <c r="A510" s="936"/>
      <c r="B510" s="204" t="s">
        <v>40</v>
      </c>
      <c r="C510" s="329"/>
      <c r="D510" s="205" t="s">
        <v>367</v>
      </c>
      <c r="E510" s="265"/>
      <c r="F510" s="254"/>
      <c r="G510" s="211"/>
      <c r="H510" s="212"/>
      <c r="I510" s="213" t="s">
        <v>21</v>
      </c>
      <c r="J510" s="213"/>
      <c r="K510" s="213"/>
      <c r="L510" s="312"/>
      <c r="M510" s="485"/>
      <c r="N510" s="8"/>
      <c r="O510" s="660" t="s">
        <v>47</v>
      </c>
      <c r="P510" s="661"/>
      <c r="Q510" s="662">
        <f>SUM(Q499:Q509)</f>
        <v>120000</v>
      </c>
    </row>
    <row r="511" spans="1:17" ht="15.75">
      <c r="A511" s="936"/>
      <c r="B511" s="204" t="s">
        <v>40</v>
      </c>
      <c r="C511" s="626"/>
      <c r="D511" s="205" t="s">
        <v>368</v>
      </c>
      <c r="E511" s="265"/>
      <c r="F511" s="254"/>
      <c r="G511" s="211"/>
      <c r="H511" s="212"/>
      <c r="I511" s="213" t="s">
        <v>21</v>
      </c>
      <c r="J511" s="213"/>
      <c r="K511" s="213"/>
      <c r="L511" s="312"/>
      <c r="M511" s="485"/>
      <c r="N511" s="8"/>
      <c r="O511" s="501"/>
      <c r="P511" s="10"/>
      <c r="Q511" s="487"/>
    </row>
    <row r="512" spans="1:17" ht="15.75">
      <c r="A512" s="937"/>
      <c r="B512" s="13"/>
      <c r="C512" s="14"/>
      <c r="D512" s="15" t="s">
        <v>46</v>
      </c>
      <c r="E512" s="16">
        <f>SUM(E499:E511)</f>
        <v>16650000</v>
      </c>
      <c r="F512" s="17"/>
      <c r="G512" s="383">
        <f>SUM(G499:G511)</f>
        <v>1466500</v>
      </c>
      <c r="H512" s="17"/>
      <c r="I512" s="18"/>
      <c r="J512" s="18"/>
      <c r="K512" s="18"/>
      <c r="L512" s="45"/>
      <c r="M512" s="37"/>
      <c r="N512" s="938" t="s">
        <v>211</v>
      </c>
      <c r="O512" s="939"/>
      <c r="P512" s="940"/>
      <c r="Q512" s="65">
        <f>G512+Q510</f>
        <v>1586500</v>
      </c>
    </row>
    <row r="515" spans="1:17" ht="18">
      <c r="A515" s="918" t="s">
        <v>48</v>
      </c>
      <c r="B515" s="918"/>
      <c r="C515" s="918"/>
      <c r="D515" s="918"/>
      <c r="E515" s="918"/>
      <c r="F515" s="918"/>
      <c r="G515" s="918"/>
      <c r="H515" s="918"/>
      <c r="I515" s="918"/>
      <c r="J515" s="919"/>
      <c r="K515" s="919"/>
      <c r="L515" s="941"/>
      <c r="M515" s="928" t="s">
        <v>14</v>
      </c>
      <c r="N515" s="928"/>
      <c r="O515" s="928"/>
      <c r="P515" s="928"/>
      <c r="Q515" s="647"/>
    </row>
    <row r="516" spans="1:17" ht="15.75">
      <c r="A516" s="46" t="s">
        <v>2</v>
      </c>
      <c r="B516" s="47" t="s">
        <v>3</v>
      </c>
      <c r="C516" s="49" t="s">
        <v>4</v>
      </c>
      <c r="D516" s="49" t="s">
        <v>5</v>
      </c>
      <c r="E516" s="78" t="s">
        <v>6</v>
      </c>
      <c r="F516" s="49" t="s">
        <v>7</v>
      </c>
      <c r="G516" s="50" t="s">
        <v>8</v>
      </c>
      <c r="H516" s="49" t="s">
        <v>9</v>
      </c>
      <c r="I516" s="323" t="s">
        <v>10</v>
      </c>
      <c r="J516" s="79" t="s">
        <v>11</v>
      </c>
      <c r="K516" s="52" t="s">
        <v>12</v>
      </c>
      <c r="L516" s="53" t="s">
        <v>13</v>
      </c>
      <c r="M516" s="54" t="s">
        <v>3</v>
      </c>
      <c r="N516" s="54" t="s">
        <v>5</v>
      </c>
      <c r="O516" s="39" t="s">
        <v>49</v>
      </c>
      <c r="P516" s="371" t="s">
        <v>7</v>
      </c>
      <c r="Q516" s="648" t="s">
        <v>50</v>
      </c>
    </row>
    <row r="517" spans="1:17" ht="15.75">
      <c r="A517" s="923" t="s">
        <v>15</v>
      </c>
      <c r="B517" s="240">
        <v>14230</v>
      </c>
      <c r="C517" s="231">
        <v>0.1</v>
      </c>
      <c r="D517" s="261" t="s">
        <v>369</v>
      </c>
      <c r="E517" s="230">
        <v>1700000</v>
      </c>
      <c r="F517" s="228">
        <v>7.0000000000000007E-2</v>
      </c>
      <c r="G517" s="243">
        <f>E517*F517</f>
        <v>119000.00000000001</v>
      </c>
      <c r="H517" s="297" t="s">
        <v>26</v>
      </c>
      <c r="I517" s="220" t="s">
        <v>21</v>
      </c>
      <c r="J517" s="220" t="s">
        <v>19</v>
      </c>
      <c r="K517" s="351"/>
      <c r="L517" s="358"/>
      <c r="M517" s="214">
        <v>14304</v>
      </c>
      <c r="N517" s="277" t="s">
        <v>370</v>
      </c>
      <c r="O517" s="242">
        <v>1100000</v>
      </c>
      <c r="P517" s="228">
        <v>0.05</v>
      </c>
      <c r="Q517" s="462">
        <f>O517*P517</f>
        <v>55000</v>
      </c>
    </row>
    <row r="518" spans="1:17" ht="15.75">
      <c r="A518" s="923"/>
      <c r="B518" s="240">
        <v>14161</v>
      </c>
      <c r="C518" s="231">
        <v>0.1</v>
      </c>
      <c r="D518" s="261" t="s">
        <v>371</v>
      </c>
      <c r="E518" s="230">
        <v>1400000</v>
      </c>
      <c r="F518" s="228">
        <v>0.12</v>
      </c>
      <c r="G518" s="243">
        <f t="shared" ref="G518:G526" si="21">E518*F518</f>
        <v>168000</v>
      </c>
      <c r="H518" s="297" t="s">
        <v>372</v>
      </c>
      <c r="I518" s="220" t="s">
        <v>21</v>
      </c>
      <c r="J518" s="220" t="s">
        <v>19</v>
      </c>
      <c r="K518" s="351"/>
      <c r="L518" s="358"/>
      <c r="M518" s="293">
        <v>14184</v>
      </c>
      <c r="N518" s="241" t="s">
        <v>373</v>
      </c>
      <c r="O518" s="242">
        <v>900000</v>
      </c>
      <c r="P518" s="228">
        <v>0.05</v>
      </c>
      <c r="Q518" s="462">
        <f>O518*P518</f>
        <v>45000</v>
      </c>
    </row>
    <row r="519" spans="1:17" ht="15.75">
      <c r="A519" s="923"/>
      <c r="B519" s="240">
        <v>14257</v>
      </c>
      <c r="C519" s="231">
        <v>0.1</v>
      </c>
      <c r="D519" s="261" t="s">
        <v>374</v>
      </c>
      <c r="E519" s="230">
        <v>1900000</v>
      </c>
      <c r="F519" s="228">
        <v>7.0000000000000007E-2</v>
      </c>
      <c r="G519" s="243">
        <f t="shared" si="21"/>
        <v>133000</v>
      </c>
      <c r="H519" s="297" t="s">
        <v>26</v>
      </c>
      <c r="I519" s="220" t="s">
        <v>264</v>
      </c>
      <c r="J519" s="220" t="s">
        <v>19</v>
      </c>
      <c r="K519" s="351"/>
      <c r="L519" s="358"/>
      <c r="M519" s="428"/>
      <c r="N519" s="429"/>
      <c r="O519" s="430"/>
      <c r="P519" s="10"/>
      <c r="Q519" s="431"/>
    </row>
    <row r="520" spans="1:17" ht="15.75">
      <c r="A520" s="923"/>
      <c r="B520" s="240">
        <v>14195</v>
      </c>
      <c r="C520" s="347">
        <v>0.09</v>
      </c>
      <c r="D520" s="261" t="s">
        <v>355</v>
      </c>
      <c r="E520" s="230">
        <v>2200000</v>
      </c>
      <c r="F520" s="217">
        <v>0.06</v>
      </c>
      <c r="G520" s="243">
        <f t="shared" si="21"/>
        <v>132000</v>
      </c>
      <c r="H520" s="297" t="s">
        <v>17</v>
      </c>
      <c r="I520" s="220" t="s">
        <v>132</v>
      </c>
      <c r="J520" s="220" t="s">
        <v>19</v>
      </c>
      <c r="K520" s="351"/>
      <c r="L520" s="358"/>
      <c r="M520" s="428"/>
      <c r="N520" s="429"/>
      <c r="O520" s="430"/>
      <c r="P520" s="10"/>
      <c r="Q520" s="431"/>
    </row>
    <row r="521" spans="1:17" ht="15.75">
      <c r="A521" s="923"/>
      <c r="B521" s="240">
        <v>14218</v>
      </c>
      <c r="C521" s="347">
        <v>0.08</v>
      </c>
      <c r="D521" s="261" t="s">
        <v>375</v>
      </c>
      <c r="E521" s="230">
        <v>1500000</v>
      </c>
      <c r="F521" s="217">
        <v>0.1</v>
      </c>
      <c r="G521" s="243">
        <f t="shared" si="21"/>
        <v>150000</v>
      </c>
      <c r="H521" s="297" t="s">
        <v>55</v>
      </c>
      <c r="I521" s="220" t="s">
        <v>18</v>
      </c>
      <c r="J521" s="220" t="s">
        <v>19</v>
      </c>
      <c r="K521" s="351"/>
      <c r="L521" s="358"/>
      <c r="M521" s="428"/>
      <c r="N521" s="429"/>
      <c r="O521" s="430"/>
      <c r="P521" s="10"/>
      <c r="Q521" s="431"/>
    </row>
    <row r="522" spans="1:17" ht="15.75">
      <c r="A522" s="923"/>
      <c r="B522" s="240">
        <v>14256</v>
      </c>
      <c r="C522" s="231">
        <v>0.1</v>
      </c>
      <c r="D522" s="261" t="s">
        <v>376</v>
      </c>
      <c r="E522" s="230">
        <v>2000000</v>
      </c>
      <c r="F522" s="228">
        <v>7.0000000000000007E-2</v>
      </c>
      <c r="G522" s="243">
        <f t="shared" si="21"/>
        <v>140000</v>
      </c>
      <c r="H522" s="297" t="s">
        <v>26</v>
      </c>
      <c r="I522" s="220" t="s">
        <v>21</v>
      </c>
      <c r="J522" s="220" t="s">
        <v>19</v>
      </c>
      <c r="K522" s="351"/>
      <c r="L522" s="358"/>
      <c r="M522" s="428"/>
      <c r="N522" s="429"/>
      <c r="O522" s="430"/>
      <c r="P522" s="10"/>
      <c r="Q522" s="431"/>
    </row>
    <row r="523" spans="1:17" ht="15.75">
      <c r="A523" s="923"/>
      <c r="B523" s="240">
        <v>14271</v>
      </c>
      <c r="C523" s="231">
        <v>0.1</v>
      </c>
      <c r="D523" s="261" t="s">
        <v>377</v>
      </c>
      <c r="E523" s="230">
        <v>1550000</v>
      </c>
      <c r="F523" s="228">
        <v>7.0000000000000007E-2</v>
      </c>
      <c r="G523" s="243">
        <f t="shared" si="21"/>
        <v>108500.00000000001</v>
      </c>
      <c r="H523" s="297" t="s">
        <v>26</v>
      </c>
      <c r="I523" s="220" t="s">
        <v>18</v>
      </c>
      <c r="J523" s="220" t="s">
        <v>19</v>
      </c>
      <c r="K523" s="351"/>
      <c r="L523" s="358"/>
      <c r="M523" s="428"/>
      <c r="N523" s="429"/>
      <c r="O523" s="430"/>
      <c r="P523" s="10"/>
      <c r="Q523" s="431"/>
    </row>
    <row r="524" spans="1:17" ht="15.75">
      <c r="A524" s="923"/>
      <c r="B524" s="240">
        <v>14237</v>
      </c>
      <c r="C524" s="347">
        <v>0.08</v>
      </c>
      <c r="D524" s="272" t="s">
        <v>378</v>
      </c>
      <c r="E524" s="230">
        <v>1000000</v>
      </c>
      <c r="F524" s="217">
        <v>0.1</v>
      </c>
      <c r="G524" s="243">
        <f t="shared" si="21"/>
        <v>100000</v>
      </c>
      <c r="H524" s="297" t="s">
        <v>17</v>
      </c>
      <c r="I524" s="220" t="s">
        <v>132</v>
      </c>
      <c r="J524" s="220" t="s">
        <v>19</v>
      </c>
      <c r="K524" s="351"/>
      <c r="L524" s="358"/>
      <c r="M524" s="428"/>
      <c r="N524" s="429"/>
      <c r="O524" s="430"/>
      <c r="P524" s="10"/>
      <c r="Q524" s="431"/>
    </row>
    <row r="525" spans="1:17" ht="15.75">
      <c r="A525" s="923"/>
      <c r="B525" s="240">
        <v>14307</v>
      </c>
      <c r="C525" s="231">
        <v>0.1</v>
      </c>
      <c r="D525" s="272" t="s">
        <v>379</v>
      </c>
      <c r="E525" s="230">
        <v>1800000</v>
      </c>
      <c r="F525" s="228">
        <v>7.0000000000000007E-2</v>
      </c>
      <c r="G525" s="243">
        <f t="shared" si="21"/>
        <v>126000.00000000001</v>
      </c>
      <c r="H525" s="297" t="s">
        <v>26</v>
      </c>
      <c r="I525" s="220" t="s">
        <v>18</v>
      </c>
      <c r="J525" s="220" t="s">
        <v>19</v>
      </c>
      <c r="K525" s="351"/>
      <c r="L525" s="358"/>
      <c r="M525" s="428"/>
      <c r="N525" s="429"/>
      <c r="O525" s="430"/>
      <c r="P525" s="10"/>
      <c r="Q525" s="431"/>
    </row>
    <row r="526" spans="1:17" ht="15.75">
      <c r="A526" s="923"/>
      <c r="B526" s="222">
        <v>14328</v>
      </c>
      <c r="C526" s="526">
        <v>0.08</v>
      </c>
      <c r="D526" s="272" t="s">
        <v>380</v>
      </c>
      <c r="E526" s="216">
        <v>1650000</v>
      </c>
      <c r="F526" s="217">
        <v>0.06</v>
      </c>
      <c r="G526" s="243">
        <f t="shared" si="21"/>
        <v>99000</v>
      </c>
      <c r="H526" s="238" t="s">
        <v>26</v>
      </c>
      <c r="I526" s="239" t="s">
        <v>132</v>
      </c>
      <c r="J526" s="220" t="s">
        <v>19</v>
      </c>
      <c r="K526" s="351"/>
      <c r="L526" s="358"/>
      <c r="M526" s="428"/>
      <c r="N526" s="429"/>
      <c r="O526" s="430"/>
      <c r="P526" s="10"/>
      <c r="Q526" s="431"/>
    </row>
    <row r="527" spans="1:17" ht="15.75">
      <c r="A527" s="923"/>
      <c r="B527" s="281" t="s">
        <v>40</v>
      </c>
      <c r="C527" s="328"/>
      <c r="D527" s="208" t="s">
        <v>381</v>
      </c>
      <c r="E527" s="209"/>
      <c r="F527" s="271"/>
      <c r="G527" s="292"/>
      <c r="H527" s="489"/>
      <c r="I527" s="268" t="s">
        <v>21</v>
      </c>
      <c r="J527" s="268"/>
      <c r="K527" s="642"/>
      <c r="L527" s="512"/>
      <c r="M527" s="428"/>
      <c r="N527" s="429"/>
      <c r="O527" s="649" t="s">
        <v>47</v>
      </c>
      <c r="P527" s="650"/>
      <c r="Q527" s="651">
        <f>SUM(Q517:Q526)</f>
        <v>100000</v>
      </c>
    </row>
    <row r="528" spans="1:17" ht="15.75">
      <c r="A528" s="923"/>
      <c r="B528" s="503"/>
      <c r="C528" s="10"/>
      <c r="D528" s="8"/>
      <c r="E528" s="501"/>
      <c r="F528" s="10"/>
      <c r="G528" s="507"/>
      <c r="H528" s="505"/>
      <c r="I528" s="12"/>
      <c r="J528" s="12"/>
      <c r="K528" s="61"/>
      <c r="L528" s="427"/>
      <c r="M528" s="428"/>
      <c r="N528" s="496"/>
      <c r="O528" s="497"/>
      <c r="P528" s="498"/>
      <c r="Q528" s="431"/>
    </row>
    <row r="529" spans="1:17" ht="15.75">
      <c r="A529" s="924"/>
      <c r="B529" s="13"/>
      <c r="C529" s="14"/>
      <c r="D529" s="15" t="s">
        <v>46</v>
      </c>
      <c r="E529" s="16">
        <f>SUM(E517:E528)</f>
        <v>16700000</v>
      </c>
      <c r="F529" s="17"/>
      <c r="G529" s="383">
        <f>SUM(G517:G528)</f>
        <v>1275500</v>
      </c>
      <c r="H529" s="17"/>
      <c r="I529" s="18"/>
      <c r="J529" s="18"/>
      <c r="K529" s="18"/>
      <c r="L529" s="19"/>
      <c r="M529" s="480"/>
      <c r="N529" s="942" t="s">
        <v>70</v>
      </c>
      <c r="O529" s="942"/>
      <c r="P529" s="942"/>
      <c r="Q529" s="481">
        <f>G529+Q527</f>
        <v>1375500</v>
      </c>
    </row>
    <row r="532" spans="1:17" ht="18">
      <c r="A532" s="941" t="s">
        <v>382</v>
      </c>
      <c r="B532" s="980"/>
      <c r="C532" s="980"/>
      <c r="D532" s="980"/>
      <c r="E532" s="980"/>
      <c r="F532" s="980"/>
      <c r="G532" s="980"/>
      <c r="H532" s="980"/>
      <c r="I532" s="980"/>
      <c r="J532" s="980"/>
      <c r="K532" s="980"/>
      <c r="L532" s="981"/>
      <c r="M532" s="978" t="s">
        <v>14</v>
      </c>
      <c r="N532" s="955"/>
      <c r="O532" s="955"/>
      <c r="P532" s="979"/>
      <c r="Q532" s="76"/>
    </row>
    <row r="533" spans="1:17" ht="15.75">
      <c r="A533" s="115" t="s">
        <v>2</v>
      </c>
      <c r="B533" s="440" t="s">
        <v>3</v>
      </c>
      <c r="C533" s="441" t="s">
        <v>4</v>
      </c>
      <c r="D533" s="115" t="s">
        <v>5</v>
      </c>
      <c r="E533" s="442" t="s">
        <v>6</v>
      </c>
      <c r="F533" s="441" t="s">
        <v>7</v>
      </c>
      <c r="G533" s="443" t="s">
        <v>8</v>
      </c>
      <c r="H533" s="441" t="s">
        <v>9</v>
      </c>
      <c r="I533" s="561" t="s">
        <v>10</v>
      </c>
      <c r="J533" s="79" t="s">
        <v>11</v>
      </c>
      <c r="K533" s="119" t="s">
        <v>12</v>
      </c>
      <c r="L533" s="441" t="s">
        <v>13</v>
      </c>
      <c r="M533" s="54" t="s">
        <v>3</v>
      </c>
      <c r="N533" s="54" t="s">
        <v>5</v>
      </c>
      <c r="O533" s="39" t="s">
        <v>49</v>
      </c>
      <c r="P533" s="371" t="s">
        <v>7</v>
      </c>
      <c r="Q533" s="56" t="s">
        <v>50</v>
      </c>
    </row>
    <row r="534" spans="1:17" ht="15.75" customHeight="1">
      <c r="A534" s="976" t="s">
        <v>383</v>
      </c>
      <c r="B534" s="260">
        <v>14217</v>
      </c>
      <c r="C534" s="347">
        <v>0.08</v>
      </c>
      <c r="D534" s="261" t="s">
        <v>384</v>
      </c>
      <c r="E534" s="216">
        <v>1800000</v>
      </c>
      <c r="F534" s="217">
        <v>0.03</v>
      </c>
      <c r="G534" s="218">
        <f>E534*F534</f>
        <v>54000</v>
      </c>
      <c r="H534" s="219" t="s">
        <v>39</v>
      </c>
      <c r="I534" s="618" t="s">
        <v>18</v>
      </c>
      <c r="J534" s="617" t="s">
        <v>19</v>
      </c>
      <c r="K534" s="619"/>
      <c r="L534" s="373"/>
      <c r="M534" s="435"/>
      <c r="N534" s="436"/>
      <c r="O534" s="11"/>
      <c r="P534" s="437"/>
      <c r="Q534" s="431"/>
    </row>
    <row r="535" spans="1:17" ht="15.75" customHeight="1">
      <c r="A535" s="977"/>
      <c r="B535" s="214">
        <v>14267</v>
      </c>
      <c r="C535" s="308">
        <v>0.1</v>
      </c>
      <c r="D535" s="272" t="s">
        <v>385</v>
      </c>
      <c r="E535" s="216">
        <v>2000000</v>
      </c>
      <c r="F535" s="228">
        <v>0.05</v>
      </c>
      <c r="G535" s="218">
        <f t="shared" ref="G535:G538" si="22">E535*F535</f>
        <v>100000</v>
      </c>
      <c r="H535" s="219" t="s">
        <v>26</v>
      </c>
      <c r="I535" s="220" t="s">
        <v>264</v>
      </c>
      <c r="J535" s="616" t="s">
        <v>19</v>
      </c>
      <c r="K535" s="220"/>
      <c r="L535" s="373"/>
      <c r="M535" s="435"/>
      <c r="N535" s="436"/>
      <c r="O535" s="11"/>
      <c r="P535" s="437"/>
      <c r="Q535" s="431"/>
    </row>
    <row r="536" spans="1:17" ht="15.75" customHeight="1">
      <c r="A536" s="977"/>
      <c r="B536" s="214">
        <v>14274</v>
      </c>
      <c r="C536" s="308">
        <v>0.1</v>
      </c>
      <c r="D536" s="272" t="s">
        <v>386</v>
      </c>
      <c r="E536" s="216">
        <v>1100000</v>
      </c>
      <c r="F536" s="228">
        <v>0.08</v>
      </c>
      <c r="G536" s="218">
        <f t="shared" si="22"/>
        <v>88000</v>
      </c>
      <c r="H536" s="219" t="s">
        <v>74</v>
      </c>
      <c r="I536" s="220" t="s">
        <v>132</v>
      </c>
      <c r="J536" s="492" t="s">
        <v>19</v>
      </c>
      <c r="K536" s="220"/>
      <c r="L536" s="373"/>
      <c r="M536" s="435"/>
      <c r="N536" s="436"/>
      <c r="O536" s="11"/>
      <c r="P536" s="437"/>
      <c r="Q536" s="431"/>
    </row>
    <row r="537" spans="1:17" ht="15.75" customHeight="1">
      <c r="A537" s="977"/>
      <c r="B537" s="214">
        <v>14304</v>
      </c>
      <c r="C537" s="221">
        <v>0.1</v>
      </c>
      <c r="D537" s="277" t="s">
        <v>370</v>
      </c>
      <c r="E537" s="216">
        <v>1100000</v>
      </c>
      <c r="F537" s="228">
        <v>0.04</v>
      </c>
      <c r="G537" s="218">
        <f t="shared" si="22"/>
        <v>44000</v>
      </c>
      <c r="H537" s="219" t="s">
        <v>62</v>
      </c>
      <c r="I537" s="220" t="s">
        <v>21</v>
      </c>
      <c r="J537" s="220" t="s">
        <v>19</v>
      </c>
      <c r="K537" s="220"/>
      <c r="L537" s="373"/>
      <c r="M537" s="435"/>
      <c r="N537" s="655"/>
      <c r="O537" s="656"/>
      <c r="P537" s="657"/>
      <c r="Q537" s="658"/>
    </row>
    <row r="538" spans="1:17" ht="15.75" customHeight="1">
      <c r="A538" s="977"/>
      <c r="B538" s="214">
        <v>14301</v>
      </c>
      <c r="C538" s="620">
        <v>0.1</v>
      </c>
      <c r="D538" s="277" t="s">
        <v>387</v>
      </c>
      <c r="E538" s="627">
        <v>750000</v>
      </c>
      <c r="F538" s="628">
        <v>0.08</v>
      </c>
      <c r="G538" s="218">
        <f t="shared" si="22"/>
        <v>60000</v>
      </c>
      <c r="H538" s="629" t="s">
        <v>74</v>
      </c>
      <c r="I538" s="233" t="s">
        <v>264</v>
      </c>
      <c r="J538" s="233" t="s">
        <v>19</v>
      </c>
      <c r="K538" s="233"/>
      <c r="L538" s="373"/>
      <c r="M538" s="654"/>
      <c r="N538" s="653"/>
      <c r="O538" s="11"/>
      <c r="P538" s="437"/>
      <c r="Q538" s="122"/>
    </row>
    <row r="539" spans="1:17" ht="15.75" customHeight="1">
      <c r="A539" s="977"/>
      <c r="B539" s="253" t="s">
        <v>40</v>
      </c>
      <c r="C539" s="621"/>
      <c r="D539" s="264" t="s">
        <v>388</v>
      </c>
      <c r="E539" s="622"/>
      <c r="F539" s="623"/>
      <c r="G539" s="624"/>
      <c r="H539" s="625"/>
      <c r="I539" s="417" t="s">
        <v>18</v>
      </c>
      <c r="J539" s="417"/>
      <c r="K539" s="417"/>
      <c r="L539" s="374"/>
      <c r="M539" s="654"/>
      <c r="N539" s="653"/>
      <c r="O539" s="11"/>
      <c r="P539" s="437"/>
      <c r="Q539" s="122"/>
    </row>
    <row r="540" spans="1:17" ht="15.75" customHeight="1">
      <c r="A540" s="977"/>
      <c r="B540" s="253" t="s">
        <v>40</v>
      </c>
      <c r="C540" s="621"/>
      <c r="D540" s="264" t="s">
        <v>389</v>
      </c>
      <c r="E540" s="622"/>
      <c r="F540" s="623"/>
      <c r="G540" s="624"/>
      <c r="H540" s="625"/>
      <c r="I540" s="417" t="s">
        <v>132</v>
      </c>
      <c r="J540" s="417"/>
      <c r="K540" s="417"/>
      <c r="L540" s="374"/>
      <c r="M540" s="654"/>
      <c r="N540" s="653"/>
      <c r="O540" s="11"/>
      <c r="P540" s="437"/>
      <c r="Q540" s="122"/>
    </row>
    <row r="541" spans="1:17" ht="15.75" customHeight="1">
      <c r="A541" s="977"/>
      <c r="B541" s="253" t="s">
        <v>40</v>
      </c>
      <c r="C541" s="263"/>
      <c r="D541" s="264" t="s">
        <v>390</v>
      </c>
      <c r="E541" s="265"/>
      <c r="F541" s="254"/>
      <c r="G541" s="266"/>
      <c r="H541" s="267"/>
      <c r="I541" s="268" t="s">
        <v>21</v>
      </c>
      <c r="J541" s="268"/>
      <c r="K541" s="268"/>
      <c r="L541" s="374"/>
      <c r="M541" s="654"/>
      <c r="N541" s="653"/>
      <c r="O541" s="11"/>
      <c r="P541" s="437"/>
      <c r="Q541" s="122"/>
    </row>
    <row r="542" spans="1:17" ht="15.75" customHeight="1">
      <c r="A542" s="954"/>
      <c r="B542" s="13"/>
      <c r="C542" s="14"/>
      <c r="D542" s="15" t="s">
        <v>46</v>
      </c>
      <c r="E542" s="82">
        <f>SUM(E534:E540)</f>
        <v>6750000</v>
      </c>
      <c r="F542" s="17"/>
      <c r="G542" s="383">
        <f>SUM(G534:G537)</f>
        <v>286000</v>
      </c>
      <c r="H542" s="17"/>
      <c r="I542" s="18"/>
      <c r="J542" s="18"/>
      <c r="K542" s="18"/>
      <c r="L542" s="83"/>
      <c r="M542" s="62"/>
      <c r="N542" s="925" t="s">
        <v>70</v>
      </c>
      <c r="O542" s="926"/>
      <c r="P542" s="975"/>
      <c r="Q542" s="659">
        <f>G542</f>
        <v>286000</v>
      </c>
    </row>
    <row r="545" spans="1:17" ht="18">
      <c r="A545" s="918" t="s">
        <v>91</v>
      </c>
      <c r="B545" s="918"/>
      <c r="C545" s="918"/>
      <c r="D545" s="918"/>
      <c r="E545" s="918"/>
      <c r="F545" s="918"/>
      <c r="G545" s="918"/>
      <c r="H545" s="918"/>
      <c r="I545" s="918"/>
      <c r="J545" s="918"/>
      <c r="K545" s="919"/>
      <c r="L545" s="918"/>
      <c r="M545" s="944" t="s">
        <v>14</v>
      </c>
      <c r="N545" s="945"/>
      <c r="O545" s="945"/>
      <c r="P545" s="946"/>
      <c r="Q545" s="122"/>
    </row>
    <row r="546" spans="1:17" ht="18">
      <c r="A546" s="563" t="s">
        <v>2</v>
      </c>
      <c r="B546" s="558" t="s">
        <v>3</v>
      </c>
      <c r="C546" s="559" t="s">
        <v>4</v>
      </c>
      <c r="D546" s="558" t="s">
        <v>5</v>
      </c>
      <c r="E546" s="560" t="s">
        <v>6</v>
      </c>
      <c r="F546" s="560" t="s">
        <v>7</v>
      </c>
      <c r="G546" s="560" t="s">
        <v>8</v>
      </c>
      <c r="H546" s="560" t="s">
        <v>9</v>
      </c>
      <c r="I546" s="560" t="s">
        <v>10</v>
      </c>
      <c r="J546" s="562" t="s">
        <v>11</v>
      </c>
      <c r="K546" s="560" t="s">
        <v>12</v>
      </c>
      <c r="L546" s="559"/>
      <c r="M546" s="54" t="s">
        <v>3</v>
      </c>
      <c r="N546" s="54" t="s">
        <v>5</v>
      </c>
      <c r="O546" s="39" t="s">
        <v>49</v>
      </c>
      <c r="P546" s="371" t="s">
        <v>7</v>
      </c>
      <c r="Q546" s="56" t="s">
        <v>50</v>
      </c>
    </row>
    <row r="547" spans="1:17" ht="15.75">
      <c r="A547" s="923" t="s">
        <v>15</v>
      </c>
      <c r="B547" s="293">
        <v>14133</v>
      </c>
      <c r="C547" s="231">
        <v>0.1</v>
      </c>
      <c r="D547" s="241" t="s">
        <v>391</v>
      </c>
      <c r="E547" s="242">
        <v>1000000</v>
      </c>
      <c r="F547" s="228">
        <v>0.1</v>
      </c>
      <c r="G547" s="218">
        <f>E547*F547</f>
        <v>100000</v>
      </c>
      <c r="H547" s="244" t="s">
        <v>93</v>
      </c>
      <c r="I547" s="239" t="s">
        <v>302</v>
      </c>
      <c r="J547" s="239" t="s">
        <v>19</v>
      </c>
      <c r="K547" s="239"/>
      <c r="L547" s="418"/>
      <c r="M547" s="428"/>
      <c r="N547" s="448"/>
      <c r="O547" s="430"/>
      <c r="P547" s="10"/>
      <c r="Q547" s="431"/>
    </row>
    <row r="548" spans="1:17" ht="15.75">
      <c r="A548" s="923"/>
      <c r="B548" s="293">
        <v>14254</v>
      </c>
      <c r="C548" s="347">
        <v>8.4000000000000005E-2</v>
      </c>
      <c r="D548" s="241" t="s">
        <v>392</v>
      </c>
      <c r="E548" s="242">
        <v>1100000</v>
      </c>
      <c r="F548" s="217">
        <v>0.05</v>
      </c>
      <c r="G548" s="218">
        <f t="shared" ref="G548:G554" si="23">E548*F548</f>
        <v>55000</v>
      </c>
      <c r="H548" s="244" t="s">
        <v>26</v>
      </c>
      <c r="I548" s="239" t="s">
        <v>132</v>
      </c>
      <c r="J548" s="239" t="s">
        <v>19</v>
      </c>
      <c r="K548" s="239"/>
      <c r="L548" s="418"/>
      <c r="M548" s="428"/>
      <c r="N548" s="448"/>
      <c r="O548" s="430"/>
      <c r="P548" s="10"/>
      <c r="Q548" s="431"/>
    </row>
    <row r="549" spans="1:17" ht="15.75">
      <c r="A549" s="923"/>
      <c r="B549" s="293">
        <v>14184</v>
      </c>
      <c r="C549" s="231">
        <v>0.1</v>
      </c>
      <c r="D549" s="241" t="s">
        <v>373</v>
      </c>
      <c r="E549" s="242">
        <v>900000</v>
      </c>
      <c r="F549" s="228">
        <v>0.05</v>
      </c>
      <c r="G549" s="218">
        <f t="shared" si="23"/>
        <v>45000</v>
      </c>
      <c r="H549" s="244" t="s">
        <v>55</v>
      </c>
      <c r="I549" s="239" t="s">
        <v>18</v>
      </c>
      <c r="J549" s="239" t="s">
        <v>19</v>
      </c>
      <c r="K549" s="239"/>
      <c r="L549" s="418"/>
      <c r="M549" s="428"/>
      <c r="N549" s="448"/>
      <c r="O549" s="430"/>
      <c r="P549" s="10"/>
      <c r="Q549" s="431"/>
    </row>
    <row r="550" spans="1:17" ht="15.75">
      <c r="A550" s="923"/>
      <c r="B550" s="409">
        <v>14234</v>
      </c>
      <c r="C550" s="231">
        <v>0.1</v>
      </c>
      <c r="D550" s="241" t="s">
        <v>393</v>
      </c>
      <c r="E550" s="242">
        <v>1220000</v>
      </c>
      <c r="F550" s="228">
        <v>0.1</v>
      </c>
      <c r="G550" s="218">
        <f t="shared" si="23"/>
        <v>122000</v>
      </c>
      <c r="H550" s="244" t="s">
        <v>93</v>
      </c>
      <c r="I550" s="239" t="s">
        <v>18</v>
      </c>
      <c r="J550" s="239" t="s">
        <v>19</v>
      </c>
      <c r="K550" s="239"/>
      <c r="L550" s="418"/>
      <c r="M550" s="428"/>
      <c r="N550" s="448"/>
      <c r="O550" s="430"/>
      <c r="P550" s="10"/>
      <c r="Q550" s="431"/>
    </row>
    <row r="551" spans="1:17" ht="15.75">
      <c r="A551" s="923"/>
      <c r="B551" s="409">
        <v>14276</v>
      </c>
      <c r="C551" s="347">
        <v>0.08</v>
      </c>
      <c r="D551" s="241" t="s">
        <v>394</v>
      </c>
      <c r="E551" s="242">
        <v>2200000</v>
      </c>
      <c r="F551" s="217">
        <v>0.04</v>
      </c>
      <c r="G551" s="218">
        <f t="shared" si="23"/>
        <v>88000</v>
      </c>
      <c r="H551" s="244" t="s">
        <v>39</v>
      </c>
      <c r="I551" s="239" t="s">
        <v>21</v>
      </c>
      <c r="J551" s="239" t="s">
        <v>19</v>
      </c>
      <c r="K551" s="239"/>
      <c r="L551" s="418"/>
      <c r="M551" s="428"/>
      <c r="N551" s="448"/>
      <c r="O551" s="430"/>
      <c r="P551" s="10"/>
      <c r="Q551" s="431"/>
    </row>
    <row r="552" spans="1:17" ht="15.75">
      <c r="A552" s="923"/>
      <c r="B552" s="409">
        <v>14250</v>
      </c>
      <c r="C552" s="347">
        <v>0.08</v>
      </c>
      <c r="D552" s="241" t="s">
        <v>357</v>
      </c>
      <c r="E552" s="242">
        <v>800000</v>
      </c>
      <c r="F552" s="217">
        <v>0.04</v>
      </c>
      <c r="G552" s="218">
        <f t="shared" si="23"/>
        <v>32000</v>
      </c>
      <c r="H552" s="244" t="s">
        <v>17</v>
      </c>
      <c r="I552" s="239" t="s">
        <v>264</v>
      </c>
      <c r="J552" s="239" t="s">
        <v>19</v>
      </c>
      <c r="K552" s="239"/>
      <c r="L552" s="418"/>
      <c r="M552" s="428"/>
      <c r="N552" s="448"/>
      <c r="O552" s="430"/>
      <c r="P552" s="10"/>
      <c r="Q552" s="431"/>
    </row>
    <row r="553" spans="1:17" ht="15.75">
      <c r="A553" s="923"/>
      <c r="B553" s="409">
        <v>14318</v>
      </c>
      <c r="C553" s="231">
        <v>0.1</v>
      </c>
      <c r="D553" s="241" t="s">
        <v>395</v>
      </c>
      <c r="E553" s="242">
        <v>1200000</v>
      </c>
      <c r="F553" s="228">
        <v>0.1</v>
      </c>
      <c r="G553" s="218">
        <f t="shared" si="23"/>
        <v>120000</v>
      </c>
      <c r="H553" s="244" t="s">
        <v>93</v>
      </c>
      <c r="I553" s="239" t="s">
        <v>18</v>
      </c>
      <c r="J553" s="239" t="s">
        <v>19</v>
      </c>
      <c r="K553" s="239"/>
      <c r="L553" s="418"/>
      <c r="M553" s="428"/>
      <c r="N553" s="448"/>
      <c r="O553" s="430"/>
      <c r="P553" s="10"/>
      <c r="Q553" s="431"/>
    </row>
    <row r="554" spans="1:17" ht="15.75">
      <c r="A554" s="923"/>
      <c r="B554" s="409">
        <v>14316</v>
      </c>
      <c r="C554" s="231">
        <v>0.1</v>
      </c>
      <c r="D554" s="241" t="s">
        <v>396</v>
      </c>
      <c r="E554" s="242">
        <v>1230000</v>
      </c>
      <c r="F554" s="228">
        <v>0.1</v>
      </c>
      <c r="G554" s="218">
        <f t="shared" si="23"/>
        <v>123000</v>
      </c>
      <c r="H554" s="244" t="s">
        <v>93</v>
      </c>
      <c r="I554" s="239" t="s">
        <v>264</v>
      </c>
      <c r="J554" s="239" t="s">
        <v>19</v>
      </c>
      <c r="K554" s="239"/>
      <c r="L554" s="418"/>
      <c r="M554" s="428"/>
      <c r="N554" s="448"/>
      <c r="O554" s="430"/>
      <c r="P554" s="10"/>
      <c r="Q554" s="431"/>
    </row>
    <row r="555" spans="1:17" ht="15.75">
      <c r="A555" s="924"/>
      <c r="B555" s="610" t="s">
        <v>47</v>
      </c>
      <c r="C555" s="573"/>
      <c r="D555" s="574"/>
      <c r="E555" s="575">
        <f>SUM(E547:E554)</f>
        <v>9650000</v>
      </c>
      <c r="F555" s="576"/>
      <c r="G555" s="23">
        <f>SUM(G547:G554)</f>
        <v>685000</v>
      </c>
      <c r="H555" s="576"/>
      <c r="I555" s="577"/>
      <c r="J555" s="578"/>
      <c r="K555" s="110"/>
      <c r="L555" s="111"/>
      <c r="M555" s="112"/>
      <c r="N555" s="925" t="s">
        <v>70</v>
      </c>
      <c r="O555" s="926"/>
      <c r="P555" s="926"/>
      <c r="Q555" s="65">
        <f>G555</f>
        <v>685000</v>
      </c>
    </row>
    <row r="558" spans="1:17" ht="18">
      <c r="A558" s="918" t="s">
        <v>107</v>
      </c>
      <c r="B558" s="927"/>
      <c r="C558" s="927"/>
      <c r="D558" s="927"/>
      <c r="E558" s="927"/>
      <c r="F558" s="927"/>
      <c r="G558" s="927"/>
      <c r="H558" s="927"/>
      <c r="I558" s="927"/>
      <c r="J558" s="927"/>
      <c r="K558" s="927"/>
      <c r="L558" s="927"/>
      <c r="M558" s="928" t="s">
        <v>14</v>
      </c>
      <c r="N558" s="928"/>
      <c r="O558" s="928"/>
      <c r="P558" s="928"/>
      <c r="Q558" s="326"/>
    </row>
    <row r="559" spans="1:17" ht="15.75">
      <c r="A559" s="46" t="s">
        <v>2</v>
      </c>
      <c r="B559" s="77" t="s">
        <v>3</v>
      </c>
      <c r="C559" s="46" t="s">
        <v>4</v>
      </c>
      <c r="D559" s="46" t="s">
        <v>5</v>
      </c>
      <c r="E559" s="48" t="s">
        <v>6</v>
      </c>
      <c r="F559" s="46" t="s">
        <v>7</v>
      </c>
      <c r="G559" s="327" t="s">
        <v>8</v>
      </c>
      <c r="H559" s="46" t="s">
        <v>9</v>
      </c>
      <c r="I559" s="52" t="s">
        <v>10</v>
      </c>
      <c r="J559" s="52" t="s">
        <v>11</v>
      </c>
      <c r="K559" s="52" t="s">
        <v>12</v>
      </c>
      <c r="L559" s="46" t="s">
        <v>13</v>
      </c>
      <c r="M559" s="46" t="s">
        <v>3</v>
      </c>
      <c r="N559" s="46" t="s">
        <v>5</v>
      </c>
      <c r="O559" s="46" t="s">
        <v>49</v>
      </c>
      <c r="P559" s="46" t="s">
        <v>7</v>
      </c>
      <c r="Q559" s="56" t="s">
        <v>50</v>
      </c>
    </row>
    <row r="560" spans="1:17" ht="15.75">
      <c r="A560" s="929" t="s">
        <v>397</v>
      </c>
      <c r="B560" s="300">
        <v>14312</v>
      </c>
      <c r="C560" s="231">
        <v>0.1</v>
      </c>
      <c r="D560" s="272" t="s">
        <v>398</v>
      </c>
      <c r="E560" s="278">
        <v>1100000</v>
      </c>
      <c r="F560" s="273"/>
      <c r="G560" s="274"/>
      <c r="H560" s="275" t="s">
        <v>26</v>
      </c>
      <c r="I560" s="276" t="s">
        <v>21</v>
      </c>
      <c r="J560" s="276" t="s">
        <v>19</v>
      </c>
      <c r="K560" s="366"/>
      <c r="L560" s="367"/>
      <c r="M560" s="300">
        <v>14149</v>
      </c>
      <c r="N560" s="272" t="s">
        <v>354</v>
      </c>
      <c r="O560" s="216">
        <v>1650000</v>
      </c>
      <c r="P560" s="221"/>
      <c r="Q560" s="362"/>
    </row>
    <row r="561" spans="1:17" ht="15.75">
      <c r="A561" s="929"/>
      <c r="B561" s="159"/>
      <c r="C561" s="28"/>
      <c r="D561" s="193"/>
      <c r="E561" s="23"/>
      <c r="F561" s="24"/>
      <c r="G561" s="25"/>
      <c r="H561" s="26"/>
      <c r="I561" s="27"/>
      <c r="J561" s="68"/>
      <c r="K561" s="120"/>
      <c r="L561" s="460"/>
      <c r="M561" s="611">
        <v>14152</v>
      </c>
      <c r="N561" s="532" t="s">
        <v>356</v>
      </c>
      <c r="O561" s="216">
        <v>2000000</v>
      </c>
      <c r="P561" s="221"/>
      <c r="Q561" s="362"/>
    </row>
    <row r="562" spans="1:17" ht="15.75">
      <c r="A562" s="929"/>
      <c r="B562" s="63"/>
      <c r="C562" s="67"/>
      <c r="D562" s="22"/>
      <c r="E562" s="87"/>
      <c r="F562" s="151"/>
      <c r="G562" s="124"/>
      <c r="H562" s="152"/>
      <c r="I562" s="68"/>
      <c r="J562" s="68"/>
      <c r="K562" s="120"/>
      <c r="L562" s="460"/>
      <c r="M562" s="463">
        <v>14174</v>
      </c>
      <c r="N562" s="272" t="s">
        <v>358</v>
      </c>
      <c r="O562" s="216">
        <v>1200000</v>
      </c>
      <c r="P562" s="221"/>
      <c r="Q562" s="362"/>
    </row>
    <row r="563" spans="1:17" ht="15.75">
      <c r="A563" s="929"/>
      <c r="B563" s="63"/>
      <c r="C563" s="67"/>
      <c r="D563" s="22"/>
      <c r="E563" s="87"/>
      <c r="F563" s="151"/>
      <c r="G563" s="124"/>
      <c r="H563" s="152"/>
      <c r="I563" s="68"/>
      <c r="J563" s="68"/>
      <c r="K563" s="120"/>
      <c r="L563" s="460"/>
      <c r="M563" s="240">
        <v>14230</v>
      </c>
      <c r="N563" s="261" t="s">
        <v>369</v>
      </c>
      <c r="O563" s="230">
        <v>1700000</v>
      </c>
      <c r="P563" s="221"/>
      <c r="Q563" s="362"/>
    </row>
    <row r="564" spans="1:17" ht="15.75">
      <c r="A564" s="929"/>
      <c r="B564" s="63"/>
      <c r="C564" s="67"/>
      <c r="D564" s="22"/>
      <c r="E564" s="87"/>
      <c r="F564" s="151"/>
      <c r="G564" s="124"/>
      <c r="H564" s="152"/>
      <c r="I564" s="68"/>
      <c r="J564" s="68"/>
      <c r="K564" s="120"/>
      <c r="L564" s="460"/>
      <c r="M564" s="240">
        <v>14257</v>
      </c>
      <c r="N564" s="261" t="s">
        <v>374</v>
      </c>
      <c r="O564" s="230">
        <v>1900000</v>
      </c>
      <c r="P564" s="221"/>
      <c r="Q564" s="362"/>
    </row>
    <row r="565" spans="1:17" ht="15.75">
      <c r="A565" s="929"/>
      <c r="B565" s="63"/>
      <c r="C565" s="67"/>
      <c r="D565" s="22"/>
      <c r="E565" s="31"/>
      <c r="F565" s="151"/>
      <c r="G565" s="124"/>
      <c r="H565" s="152"/>
      <c r="I565" s="68"/>
      <c r="J565" s="68"/>
      <c r="K565" s="120"/>
      <c r="L565" s="460"/>
      <c r="M565" s="240">
        <v>14256</v>
      </c>
      <c r="N565" s="261" t="s">
        <v>376</v>
      </c>
      <c r="O565" s="230">
        <v>2000000</v>
      </c>
      <c r="P565" s="221"/>
      <c r="Q565" s="362"/>
    </row>
    <row r="566" spans="1:17" ht="15.75">
      <c r="A566" s="929"/>
      <c r="B566" s="63"/>
      <c r="C566" s="67"/>
      <c r="D566" s="22"/>
      <c r="E566" s="31"/>
      <c r="F566" s="151"/>
      <c r="G566" s="124"/>
      <c r="H566" s="152"/>
      <c r="I566" s="68"/>
      <c r="J566" s="68"/>
      <c r="K566" s="120"/>
      <c r="L566" s="121"/>
      <c r="M566" s="240">
        <v>14271</v>
      </c>
      <c r="N566" s="261" t="s">
        <v>377</v>
      </c>
      <c r="O566" s="230">
        <v>1550000</v>
      </c>
      <c r="P566" s="221"/>
      <c r="Q566" s="362"/>
    </row>
    <row r="567" spans="1:17" ht="15.75">
      <c r="A567" s="929"/>
      <c r="B567" s="63"/>
      <c r="C567" s="67"/>
      <c r="D567" s="22"/>
      <c r="E567" s="31"/>
      <c r="F567" s="151"/>
      <c r="G567" s="124"/>
      <c r="H567" s="152"/>
      <c r="I567" s="68"/>
      <c r="J567" s="68"/>
      <c r="K567" s="120"/>
      <c r="L567" s="121"/>
      <c r="M567" s="260">
        <v>14307</v>
      </c>
      <c r="N567" s="643" t="s">
        <v>399</v>
      </c>
      <c r="O567" s="230">
        <v>1800000</v>
      </c>
      <c r="P567" s="221"/>
      <c r="Q567" s="362"/>
    </row>
    <row r="568" spans="1:17" ht="15.75">
      <c r="A568" s="929"/>
      <c r="B568" s="63"/>
      <c r="C568" s="67"/>
      <c r="D568" s="22"/>
      <c r="E568" s="31"/>
      <c r="F568" s="151"/>
      <c r="G568" s="124"/>
      <c r="H568" s="152"/>
      <c r="I568" s="68"/>
      <c r="J568" s="68"/>
      <c r="K568" s="120"/>
      <c r="L568" s="121"/>
      <c r="M568" s="214">
        <v>14267</v>
      </c>
      <c r="N568" s="272" t="s">
        <v>385</v>
      </c>
      <c r="O568" s="216">
        <v>2000000</v>
      </c>
      <c r="P568" s="221"/>
      <c r="Q568" s="362"/>
    </row>
    <row r="569" spans="1:17" ht="15.75">
      <c r="A569" s="929"/>
      <c r="B569" s="63"/>
      <c r="C569" s="67"/>
      <c r="D569" s="22"/>
      <c r="E569" s="31"/>
      <c r="F569" s="151"/>
      <c r="G569" s="124"/>
      <c r="H569" s="152"/>
      <c r="I569" s="68"/>
      <c r="J569" s="68"/>
      <c r="K569" s="120"/>
      <c r="L569" s="121"/>
      <c r="M569" s="293">
        <v>14254</v>
      </c>
      <c r="N569" s="644" t="s">
        <v>392</v>
      </c>
      <c r="O569" s="242">
        <v>1100000</v>
      </c>
      <c r="P569" s="221"/>
      <c r="Q569" s="362"/>
    </row>
    <row r="570" spans="1:17" ht="15.75">
      <c r="A570" s="929"/>
      <c r="B570" s="155"/>
      <c r="C570" s="156"/>
      <c r="D570" s="113"/>
      <c r="E570" s="31"/>
      <c r="F570" s="157"/>
      <c r="G570" s="124"/>
      <c r="H570" s="152"/>
      <c r="I570" s="68"/>
      <c r="J570" s="120"/>
      <c r="K570" s="120"/>
      <c r="L570" s="121"/>
      <c r="M570" s="300"/>
      <c r="N570" s="261" t="s">
        <v>380</v>
      </c>
      <c r="O570" s="230">
        <v>1650000</v>
      </c>
      <c r="P570" s="235"/>
      <c r="Q570" s="362"/>
    </row>
    <row r="571" spans="1:17" ht="15.75">
      <c r="A571" s="931"/>
      <c r="B571" s="134"/>
      <c r="C571" s="72"/>
      <c r="D571" s="135"/>
      <c r="E571" s="136"/>
      <c r="F571" s="137"/>
      <c r="G571" s="138"/>
      <c r="H571" s="139"/>
      <c r="I571" s="69"/>
      <c r="J571" s="69"/>
      <c r="K571" s="69"/>
      <c r="L571" s="60"/>
      <c r="M571" s="102"/>
      <c r="N571" s="96"/>
      <c r="O571" s="23"/>
      <c r="P571" s="140"/>
      <c r="Q571" s="122"/>
    </row>
    <row r="572" spans="1:17" ht="18">
      <c r="A572" s="932"/>
      <c r="B572" s="141" t="s">
        <v>46</v>
      </c>
      <c r="C572" s="142"/>
      <c r="D572" s="143"/>
      <c r="E572" s="144">
        <f>SUM(E560:E571)</f>
        <v>1100000</v>
      </c>
      <c r="F572" s="145"/>
      <c r="G572" s="146"/>
      <c r="H572" s="145"/>
      <c r="I572" s="147"/>
      <c r="J572" s="147"/>
      <c r="K572" s="147"/>
      <c r="L572" s="148"/>
      <c r="M572" s="123"/>
      <c r="N572" s="123"/>
      <c r="O572" s="645">
        <f>SUM(O560:O571)</f>
        <v>18550000</v>
      </c>
      <c r="P572" s="150"/>
      <c r="Q572" s="122"/>
    </row>
    <row r="575" spans="1:17" ht="18">
      <c r="A575" s="933" t="s">
        <v>117</v>
      </c>
      <c r="B575" s="1116"/>
      <c r="C575" s="164"/>
      <c r="D575" s="165">
        <f>E572+E555+E542+E529+E512</f>
        <v>50850000</v>
      </c>
    </row>
    <row r="576" spans="1:17" ht="18">
      <c r="A576" s="934" t="s">
        <v>119</v>
      </c>
      <c r="B576" s="1117"/>
      <c r="C576" s="167"/>
      <c r="D576" s="168"/>
    </row>
    <row r="577" spans="1:17" ht="18">
      <c r="A577" s="916" t="s">
        <v>120</v>
      </c>
      <c r="B577" s="1118"/>
      <c r="C577" s="169"/>
      <c r="D577" s="170"/>
    </row>
    <row r="578" spans="1:17" ht="15.75">
      <c r="A578" s="917" t="s">
        <v>121</v>
      </c>
      <c r="B578" s="1119"/>
      <c r="C578" s="169"/>
      <c r="D578" s="171"/>
    </row>
    <row r="579" spans="1:17" ht="15.75">
      <c r="A579" s="172"/>
      <c r="B579" s="141" t="s">
        <v>47</v>
      </c>
      <c r="C579" s="173"/>
      <c r="D579" s="174">
        <f>SUM(D575:D578)</f>
        <v>50850000</v>
      </c>
    </row>
    <row r="585" spans="1:17" ht="45">
      <c r="A585" s="935" t="s">
        <v>400</v>
      </c>
      <c r="B585" s="935"/>
      <c r="C585" s="935"/>
      <c r="D585" s="935"/>
      <c r="E585" s="935"/>
      <c r="F585" s="935"/>
      <c r="G585" s="935"/>
      <c r="H585" s="935"/>
      <c r="I585" s="935"/>
      <c r="J585" s="935"/>
      <c r="K585" s="935"/>
      <c r="L585" s="935"/>
    </row>
    <row r="587" spans="1:17" ht="18">
      <c r="A587" s="918" t="s">
        <v>1</v>
      </c>
      <c r="B587" s="918"/>
      <c r="C587" s="918"/>
      <c r="D587" s="918"/>
      <c r="E587" s="918"/>
      <c r="F587" s="918"/>
      <c r="G587" s="918"/>
      <c r="H587" s="918"/>
      <c r="I587" s="918"/>
      <c r="J587" s="918"/>
      <c r="K587" s="918"/>
      <c r="L587" s="974"/>
      <c r="M587" s="989" t="s">
        <v>14</v>
      </c>
      <c r="N587" s="989"/>
      <c r="O587" s="990"/>
      <c r="P587" s="990"/>
      <c r="Q587" s="696"/>
    </row>
    <row r="588" spans="1:17" ht="15.75">
      <c r="A588" s="1" t="s">
        <v>2</v>
      </c>
      <c r="B588" s="2" t="s">
        <v>3</v>
      </c>
      <c r="C588" s="3" t="s">
        <v>4</v>
      </c>
      <c r="D588" s="1" t="s">
        <v>5</v>
      </c>
      <c r="E588" s="4" t="s">
        <v>6</v>
      </c>
      <c r="F588" s="3" t="s">
        <v>7</v>
      </c>
      <c r="G588" s="5" t="s">
        <v>8</v>
      </c>
      <c r="H588" s="3" t="s">
        <v>9</v>
      </c>
      <c r="I588" s="6" t="s">
        <v>10</v>
      </c>
      <c r="J588" s="6" t="s">
        <v>11</v>
      </c>
      <c r="K588" s="646" t="s">
        <v>12</v>
      </c>
      <c r="L588" s="1" t="s">
        <v>13</v>
      </c>
      <c r="M588" s="697" t="s">
        <v>3</v>
      </c>
      <c r="N588" s="699" t="s">
        <v>5</v>
      </c>
      <c r="O588" s="701" t="s">
        <v>49</v>
      </c>
      <c r="P588" s="698" t="s">
        <v>7</v>
      </c>
      <c r="Q588" s="700" t="s">
        <v>50</v>
      </c>
    </row>
    <row r="589" spans="1:17" ht="15.75">
      <c r="A589" s="936" t="s">
        <v>15</v>
      </c>
      <c r="B589" s="260">
        <v>14296</v>
      </c>
      <c r="C589" s="231">
        <v>0.1</v>
      </c>
      <c r="D589" s="261" t="s">
        <v>204</v>
      </c>
      <c r="E589" s="230">
        <v>1750000</v>
      </c>
      <c r="F589" s="228">
        <v>7.0000000000000007E-2</v>
      </c>
      <c r="G589" s="243">
        <f>E589*F589</f>
        <v>122500.00000000001</v>
      </c>
      <c r="H589" s="297" t="s">
        <v>26</v>
      </c>
      <c r="I589" s="220" t="s">
        <v>21</v>
      </c>
      <c r="J589" s="239" t="s">
        <v>19</v>
      </c>
      <c r="K589" s="239"/>
      <c r="L589" s="652"/>
      <c r="M589" s="702">
        <v>14367</v>
      </c>
      <c r="N589" s="652" t="s">
        <v>401</v>
      </c>
      <c r="O589" s="705">
        <v>2600000</v>
      </c>
      <c r="P589" s="703">
        <v>0.04</v>
      </c>
      <c r="Q589" s="462">
        <f>O589*P589</f>
        <v>104000</v>
      </c>
    </row>
    <row r="590" spans="1:17" ht="15.75">
      <c r="A590" s="936"/>
      <c r="B590" s="214">
        <v>14392</v>
      </c>
      <c r="C590" s="308">
        <v>0.1</v>
      </c>
      <c r="D590" s="272" t="s">
        <v>402</v>
      </c>
      <c r="E590" s="216">
        <v>2000000</v>
      </c>
      <c r="F590" s="228">
        <v>7.0000000000000007E-2</v>
      </c>
      <c r="G590" s="243">
        <f>E590*F590</f>
        <v>140000</v>
      </c>
      <c r="H590" s="297" t="s">
        <v>202</v>
      </c>
      <c r="I590" s="220" t="s">
        <v>18</v>
      </c>
      <c r="J590" s="239" t="s">
        <v>19</v>
      </c>
      <c r="K590" s="239"/>
      <c r="L590" s="321"/>
      <c r="M590" s="244">
        <v>14389</v>
      </c>
      <c r="N590" s="261" t="s">
        <v>403</v>
      </c>
      <c r="O590" s="706">
        <v>2500000</v>
      </c>
      <c r="P590" s="217">
        <v>0.04</v>
      </c>
      <c r="Q590" s="462">
        <f t="shared" ref="Q590:Q591" si="24">O590*P590</f>
        <v>100000</v>
      </c>
    </row>
    <row r="591" spans="1:17" ht="15.75">
      <c r="A591" s="936"/>
      <c r="B591" s="214">
        <v>14435</v>
      </c>
      <c r="C591" s="308">
        <v>0.1</v>
      </c>
      <c r="D591" s="272" t="s">
        <v>404</v>
      </c>
      <c r="E591" s="216">
        <v>1200000</v>
      </c>
      <c r="F591" s="228">
        <v>7.0000000000000007E-2</v>
      </c>
      <c r="G591" s="243">
        <f>E591*F591</f>
        <v>84000.000000000015</v>
      </c>
      <c r="H591" s="297" t="s">
        <v>26</v>
      </c>
      <c r="I591" s="220" t="s">
        <v>18</v>
      </c>
      <c r="J591" s="239" t="s">
        <v>19</v>
      </c>
      <c r="K591" s="239"/>
      <c r="L591" s="321"/>
      <c r="M591" s="676">
        <v>14542</v>
      </c>
      <c r="N591" s="682" t="s">
        <v>405</v>
      </c>
      <c r="O591" s="246">
        <v>2100000</v>
      </c>
      <c r="P591" s="228">
        <v>0.05</v>
      </c>
      <c r="Q591" s="462">
        <f t="shared" si="24"/>
        <v>105000</v>
      </c>
    </row>
    <row r="592" spans="1:17" ht="15.75">
      <c r="A592" s="936"/>
      <c r="B592" s="214">
        <v>14438</v>
      </c>
      <c r="C592" s="308">
        <v>0.1</v>
      </c>
      <c r="D592" s="272" t="s">
        <v>406</v>
      </c>
      <c r="E592" s="216">
        <v>2050000</v>
      </c>
      <c r="F592" s="228">
        <v>7.0000000000000007E-2</v>
      </c>
      <c r="G592" s="243">
        <f>E592*F592</f>
        <v>143500</v>
      </c>
      <c r="H592" s="297" t="s">
        <v>26</v>
      </c>
      <c r="I592" s="220" t="s">
        <v>21</v>
      </c>
      <c r="J592" s="239" t="s">
        <v>19</v>
      </c>
      <c r="K592" s="239"/>
      <c r="L592" s="321"/>
      <c r="M592" s="485"/>
      <c r="N592" s="8"/>
      <c r="O592" s="501"/>
      <c r="P592" s="10"/>
      <c r="Q592" s="487"/>
    </row>
    <row r="593" spans="1:17" ht="15.75">
      <c r="A593" s="936"/>
      <c r="B593" s="214">
        <v>14474</v>
      </c>
      <c r="C593" s="308">
        <v>0.1</v>
      </c>
      <c r="D593" s="272" t="s">
        <v>407</v>
      </c>
      <c r="E593" s="216">
        <v>1200000</v>
      </c>
      <c r="F593" s="228">
        <v>7.0000000000000007E-2</v>
      </c>
      <c r="G593" s="243">
        <f>E593*F593</f>
        <v>84000.000000000015</v>
      </c>
      <c r="H593" s="297" t="s">
        <v>26</v>
      </c>
      <c r="I593" s="220" t="s">
        <v>21</v>
      </c>
      <c r="J593" s="239" t="s">
        <v>19</v>
      </c>
      <c r="K593" s="239"/>
      <c r="L593" s="321"/>
      <c r="M593" s="485"/>
      <c r="N593" s="8"/>
      <c r="O593" s="501"/>
      <c r="P593" s="10"/>
      <c r="Q593" s="487"/>
    </row>
    <row r="594" spans="1:17" ht="15.75">
      <c r="A594" s="936"/>
      <c r="B594" s="214">
        <v>14449</v>
      </c>
      <c r="C594" s="308">
        <v>0.1</v>
      </c>
      <c r="D594" s="272" t="s">
        <v>408</v>
      </c>
      <c r="E594" s="216">
        <v>2100000</v>
      </c>
      <c r="F594" s="228">
        <v>7.0000000000000007E-2</v>
      </c>
      <c r="G594" s="243">
        <f>E594*F594</f>
        <v>147000</v>
      </c>
      <c r="H594" s="297" t="s">
        <v>26</v>
      </c>
      <c r="I594" s="220" t="s">
        <v>21</v>
      </c>
      <c r="J594" s="239" t="s">
        <v>19</v>
      </c>
      <c r="K594" s="239"/>
      <c r="L594" s="321"/>
      <c r="M594" s="485"/>
      <c r="N594" s="8"/>
      <c r="O594" s="501"/>
      <c r="P594" s="10"/>
      <c r="Q594" s="487"/>
    </row>
    <row r="595" spans="1:17" ht="15.75">
      <c r="A595" s="936"/>
      <c r="B595" s="214">
        <v>14490</v>
      </c>
      <c r="C595" s="308">
        <v>0.1</v>
      </c>
      <c r="D595" s="272" t="s">
        <v>409</v>
      </c>
      <c r="E595" s="216">
        <v>1350000</v>
      </c>
      <c r="F595" s="228">
        <v>7.0000000000000007E-2</v>
      </c>
      <c r="G595" s="243">
        <f>E595*F595</f>
        <v>94500.000000000015</v>
      </c>
      <c r="H595" s="297" t="s">
        <v>93</v>
      </c>
      <c r="I595" s="220" t="s">
        <v>410</v>
      </c>
      <c r="J595" s="239" t="s">
        <v>19</v>
      </c>
      <c r="K595" s="239"/>
      <c r="L595" s="321"/>
      <c r="M595" s="485"/>
      <c r="N595" s="8"/>
      <c r="O595" s="501"/>
      <c r="P595" s="10"/>
      <c r="Q595" s="487"/>
    </row>
    <row r="596" spans="1:17" ht="15.75">
      <c r="A596" s="936"/>
      <c r="B596" s="214">
        <v>14516</v>
      </c>
      <c r="C596" s="308">
        <v>0.1</v>
      </c>
      <c r="D596" s="272" t="s">
        <v>411</v>
      </c>
      <c r="E596" s="216">
        <v>1800000</v>
      </c>
      <c r="F596" s="228">
        <v>7.0000000000000007E-2</v>
      </c>
      <c r="G596" s="243">
        <f>E596*F596</f>
        <v>126000.00000000001</v>
      </c>
      <c r="H596" s="297" t="s">
        <v>26</v>
      </c>
      <c r="I596" s="220" t="s">
        <v>18</v>
      </c>
      <c r="J596" s="239" t="s">
        <v>19</v>
      </c>
      <c r="K596" s="239"/>
      <c r="L596" s="321"/>
      <c r="M596" s="485"/>
      <c r="N596" s="8"/>
      <c r="O596" s="501"/>
      <c r="P596" s="10"/>
      <c r="Q596" s="487"/>
    </row>
    <row r="597" spans="1:17" ht="15.75">
      <c r="A597" s="936"/>
      <c r="B597" s="214">
        <v>14525</v>
      </c>
      <c r="C597" s="308">
        <v>0.1</v>
      </c>
      <c r="D597" s="272" t="s">
        <v>412</v>
      </c>
      <c r="E597" s="216">
        <v>2200000</v>
      </c>
      <c r="F597" s="228">
        <v>7.0000000000000007E-2</v>
      </c>
      <c r="G597" s="243">
        <f>E597*F597</f>
        <v>154000.00000000003</v>
      </c>
      <c r="H597" s="297" t="s">
        <v>26</v>
      </c>
      <c r="I597" s="220" t="s">
        <v>21</v>
      </c>
      <c r="J597" s="239" t="s">
        <v>19</v>
      </c>
      <c r="K597" s="239"/>
      <c r="L597" s="321"/>
      <c r="M597" s="485"/>
      <c r="N597" s="8"/>
      <c r="O597" s="501"/>
      <c r="P597" s="10"/>
      <c r="Q597" s="487"/>
    </row>
    <row r="598" spans="1:17" ht="15.75">
      <c r="A598" s="936"/>
      <c r="B598" s="214">
        <v>14551</v>
      </c>
      <c r="C598" s="308">
        <v>0.1</v>
      </c>
      <c r="D598" s="272" t="s">
        <v>413</v>
      </c>
      <c r="E598" s="216">
        <v>650000</v>
      </c>
      <c r="F598" s="228">
        <v>7.0000000000000007E-2</v>
      </c>
      <c r="G598" s="243">
        <f>E598*F598</f>
        <v>45500.000000000007</v>
      </c>
      <c r="H598" s="297" t="s">
        <v>29</v>
      </c>
      <c r="I598" s="220" t="s">
        <v>21</v>
      </c>
      <c r="J598" s="239" t="s">
        <v>19</v>
      </c>
      <c r="K598" s="239"/>
      <c r="L598" s="321"/>
      <c r="M598" s="485"/>
      <c r="N598" s="8"/>
      <c r="O598" s="501"/>
      <c r="P598" s="10"/>
      <c r="Q598" s="487"/>
    </row>
    <row r="599" spans="1:17" ht="15.75">
      <c r="A599" s="936"/>
      <c r="B599" s="214">
        <v>14572</v>
      </c>
      <c r="C599" s="308">
        <v>0.1</v>
      </c>
      <c r="D599" s="272" t="s">
        <v>255</v>
      </c>
      <c r="E599" s="216">
        <v>1300000</v>
      </c>
      <c r="F599" s="228">
        <v>7.0000000000000007E-2</v>
      </c>
      <c r="G599" s="243">
        <f>E599*F599</f>
        <v>91000.000000000015</v>
      </c>
      <c r="H599" s="297" t="s">
        <v>26</v>
      </c>
      <c r="I599" s="220" t="s">
        <v>18</v>
      </c>
      <c r="J599" s="239" t="s">
        <v>19</v>
      </c>
      <c r="K599" s="239"/>
      <c r="L599" s="321"/>
      <c r="M599" s="485"/>
      <c r="N599" s="8"/>
      <c r="O599" s="501"/>
      <c r="P599" s="10"/>
      <c r="Q599" s="487"/>
    </row>
    <row r="600" spans="1:17" ht="15.75">
      <c r="A600" s="936"/>
      <c r="B600" s="260">
        <v>14569</v>
      </c>
      <c r="C600" s="308">
        <v>0.1</v>
      </c>
      <c r="D600" s="241" t="s">
        <v>414</v>
      </c>
      <c r="E600" s="278">
        <v>1050000</v>
      </c>
      <c r="F600" s="228">
        <v>0.12</v>
      </c>
      <c r="G600" s="226">
        <f>E600*F600</f>
        <v>126000</v>
      </c>
      <c r="H600" s="238" t="s">
        <v>17</v>
      </c>
      <c r="I600" s="239" t="s">
        <v>415</v>
      </c>
      <c r="J600" s="239" t="s">
        <v>19</v>
      </c>
      <c r="K600" s="239"/>
      <c r="L600" s="321"/>
      <c r="M600" s="485"/>
      <c r="N600" s="8"/>
      <c r="O600" s="501"/>
      <c r="P600" s="10"/>
      <c r="Q600" s="487"/>
    </row>
    <row r="601" spans="1:17" ht="15.75">
      <c r="A601" s="936"/>
      <c r="B601" s="260">
        <v>14570</v>
      </c>
      <c r="C601" s="526">
        <v>0.08</v>
      </c>
      <c r="D601" s="241" t="s">
        <v>416</v>
      </c>
      <c r="E601" s="278">
        <v>1800000</v>
      </c>
      <c r="F601" s="217">
        <v>0.1</v>
      </c>
      <c r="G601" s="226">
        <f>E601*F601</f>
        <v>180000</v>
      </c>
      <c r="H601" s="238" t="s">
        <v>17</v>
      </c>
      <c r="I601" s="239" t="s">
        <v>21</v>
      </c>
      <c r="J601" s="239" t="s">
        <v>19</v>
      </c>
      <c r="K601" s="239"/>
      <c r="L601" s="321"/>
      <c r="M601" s="485"/>
      <c r="N601" s="8"/>
      <c r="O601" s="501"/>
      <c r="P601" s="10"/>
      <c r="Q601" s="487"/>
    </row>
    <row r="602" spans="1:17" ht="15.75">
      <c r="A602" s="936"/>
      <c r="B602" s="260">
        <v>14593</v>
      </c>
      <c r="C602" s="308">
        <v>0.1</v>
      </c>
      <c r="D602" s="241" t="s">
        <v>417</v>
      </c>
      <c r="E602" s="278">
        <v>1400000</v>
      </c>
      <c r="F602" s="228">
        <v>7.0000000000000007E-2</v>
      </c>
      <c r="G602" s="226">
        <f>E602*F602</f>
        <v>98000.000000000015</v>
      </c>
      <c r="H602" s="238" t="s">
        <v>95</v>
      </c>
      <c r="I602" s="239" t="s">
        <v>415</v>
      </c>
      <c r="J602" s="239" t="s">
        <v>19</v>
      </c>
      <c r="K602" s="239"/>
      <c r="L602" s="321"/>
      <c r="M602" s="485"/>
      <c r="N602" s="8"/>
      <c r="O602" s="501"/>
      <c r="P602" s="10"/>
      <c r="Q602" s="487"/>
    </row>
    <row r="603" spans="1:17" ht="15.75">
      <c r="A603" s="936"/>
      <c r="B603" s="322" t="s">
        <v>40</v>
      </c>
      <c r="C603" s="329"/>
      <c r="D603" s="336" t="s">
        <v>418</v>
      </c>
      <c r="E603" s="331"/>
      <c r="F603" s="254"/>
      <c r="G603" s="211"/>
      <c r="H603" s="212"/>
      <c r="I603" s="213" t="s">
        <v>21</v>
      </c>
      <c r="J603" s="213"/>
      <c r="K603" s="213"/>
      <c r="L603" s="312"/>
      <c r="M603" s="485"/>
      <c r="N603" s="8"/>
      <c r="O603" s="501"/>
      <c r="P603" s="10"/>
      <c r="Q603" s="487"/>
    </row>
    <row r="604" spans="1:17" ht="15.75">
      <c r="A604" s="936"/>
      <c r="B604" s="663" t="s">
        <v>40</v>
      </c>
      <c r="C604" s="524"/>
      <c r="D604" s="205" t="s">
        <v>388</v>
      </c>
      <c r="E604" s="265"/>
      <c r="F604" s="254"/>
      <c r="G604" s="211"/>
      <c r="H604" s="212"/>
      <c r="I604" s="213" t="s">
        <v>21</v>
      </c>
      <c r="J604" s="213"/>
      <c r="K604" s="213"/>
      <c r="L604" s="312"/>
      <c r="M604" s="485"/>
      <c r="N604" s="8"/>
      <c r="O604" s="501"/>
      <c r="P604" s="10"/>
      <c r="Q604" s="487"/>
    </row>
    <row r="605" spans="1:17" ht="15.75">
      <c r="A605" s="936"/>
      <c r="B605" s="322" t="s">
        <v>40</v>
      </c>
      <c r="C605" s="329"/>
      <c r="D605" s="336" t="s">
        <v>419</v>
      </c>
      <c r="E605" s="265"/>
      <c r="F605" s="254"/>
      <c r="G605" s="211"/>
      <c r="H605" s="212"/>
      <c r="I605" s="213" t="s">
        <v>21</v>
      </c>
      <c r="J605" s="213"/>
      <c r="K605" s="213"/>
      <c r="L605" s="312"/>
      <c r="M605" s="485"/>
      <c r="N605" s="8"/>
      <c r="O605" s="501"/>
      <c r="P605" s="10"/>
      <c r="Q605" s="487"/>
    </row>
    <row r="606" spans="1:17" ht="15.75">
      <c r="A606" s="936"/>
      <c r="B606" s="322" t="s">
        <v>420</v>
      </c>
      <c r="C606" s="329"/>
      <c r="D606" s="336" t="s">
        <v>421</v>
      </c>
      <c r="E606" s="265"/>
      <c r="F606" s="254"/>
      <c r="G606" s="211"/>
      <c r="H606" s="212"/>
      <c r="I606" s="213" t="s">
        <v>21</v>
      </c>
      <c r="J606" s="213"/>
      <c r="K606" s="213"/>
      <c r="L606" s="312"/>
      <c r="M606" s="485"/>
      <c r="N606" s="8"/>
      <c r="O606" s="501"/>
      <c r="P606" s="10"/>
      <c r="Q606" s="487"/>
    </row>
    <row r="607" spans="1:17" ht="15.75">
      <c r="A607" s="936"/>
      <c r="B607" s="665" t="s">
        <v>40</v>
      </c>
      <c r="C607" s="524"/>
      <c r="D607" s="336" t="s">
        <v>421</v>
      </c>
      <c r="E607" s="265"/>
      <c r="F607" s="254"/>
      <c r="G607" s="211"/>
      <c r="H607" s="212"/>
      <c r="I607" s="213" t="s">
        <v>18</v>
      </c>
      <c r="J607" s="213"/>
      <c r="K607" s="213"/>
      <c r="L607" s="312"/>
      <c r="M607" s="485"/>
      <c r="N607" s="8"/>
      <c r="O607" s="501"/>
      <c r="P607" s="10"/>
      <c r="Q607" s="487"/>
    </row>
    <row r="608" spans="1:17" ht="15.75">
      <c r="A608" s="936"/>
      <c r="B608" s="204" t="s">
        <v>40</v>
      </c>
      <c r="C608" s="626"/>
      <c r="D608" s="205" t="s">
        <v>422</v>
      </c>
      <c r="E608" s="265"/>
      <c r="F608" s="254"/>
      <c r="G608" s="211"/>
      <c r="H608" s="212"/>
      <c r="I608" s="213" t="s">
        <v>21</v>
      </c>
      <c r="J608" s="213"/>
      <c r="K608" s="213"/>
      <c r="L608" s="312"/>
      <c r="M608" s="485"/>
      <c r="N608" s="8"/>
      <c r="O608" s="501"/>
      <c r="P608" s="10"/>
      <c r="Q608" s="487"/>
    </row>
    <row r="609" spans="1:22" ht="18">
      <c r="A609" s="937"/>
      <c r="B609" s="13"/>
      <c r="C609" s="14"/>
      <c r="D609" s="15" t="s">
        <v>46</v>
      </c>
      <c r="E609" s="16">
        <f>SUM(E589:E608)</f>
        <v>21850000</v>
      </c>
      <c r="F609" s="17"/>
      <c r="G609" s="383">
        <f>SUM(G589:G608)</f>
        <v>1636000</v>
      </c>
      <c r="H609" s="17"/>
      <c r="I609" s="18"/>
      <c r="J609" s="18"/>
      <c r="K609" s="18"/>
      <c r="L609" s="45"/>
      <c r="M609" s="37"/>
      <c r="N609" s="983"/>
      <c r="O609" s="984"/>
      <c r="P609" s="985"/>
      <c r="Q609" s="737">
        <f>G609+Q589+Q590+Q591</f>
        <v>1945000</v>
      </c>
      <c r="R609" s="711" t="s">
        <v>423</v>
      </c>
      <c r="S609" s="712"/>
      <c r="T609" s="712"/>
      <c r="U609" s="713"/>
      <c r="V609" s="713"/>
    </row>
    <row r="610" spans="1:22" ht="15.75" customHeight="1">
      <c r="N610" s="986" t="s">
        <v>211</v>
      </c>
      <c r="O610" s="987"/>
      <c r="P610" s="988"/>
      <c r="Q610" s="738">
        <v>1770000</v>
      </c>
    </row>
    <row r="612" spans="1:22" ht="18">
      <c r="A612" s="918" t="s">
        <v>48</v>
      </c>
      <c r="B612" s="918"/>
      <c r="C612" s="918"/>
      <c r="D612" s="918"/>
      <c r="E612" s="918"/>
      <c r="F612" s="918"/>
      <c r="G612" s="918"/>
      <c r="H612" s="918"/>
      <c r="I612" s="918"/>
      <c r="J612" s="919"/>
      <c r="K612" s="919"/>
      <c r="L612" s="941"/>
      <c r="M612" s="928" t="s">
        <v>14</v>
      </c>
      <c r="N612" s="928"/>
      <c r="O612" s="943"/>
      <c r="P612" s="928"/>
      <c r="Q612" s="363"/>
    </row>
    <row r="613" spans="1:22" ht="15.75">
      <c r="A613" s="46" t="s">
        <v>2</v>
      </c>
      <c r="B613" s="47" t="s">
        <v>3</v>
      </c>
      <c r="C613" s="49" t="s">
        <v>4</v>
      </c>
      <c r="D613" s="49" t="s">
        <v>5</v>
      </c>
      <c r="E613" s="78" t="s">
        <v>6</v>
      </c>
      <c r="F613" s="49" t="s">
        <v>7</v>
      </c>
      <c r="G613" s="50" t="s">
        <v>8</v>
      </c>
      <c r="H613" s="49" t="s">
        <v>9</v>
      </c>
      <c r="I613" s="323" t="s">
        <v>10</v>
      </c>
      <c r="J613" s="79" t="s">
        <v>11</v>
      </c>
      <c r="K613" s="52" t="s">
        <v>12</v>
      </c>
      <c r="L613" s="53" t="s">
        <v>13</v>
      </c>
      <c r="M613" s="54" t="s">
        <v>3</v>
      </c>
      <c r="N613" s="371" t="s">
        <v>5</v>
      </c>
      <c r="O613" s="46" t="s">
        <v>49</v>
      </c>
      <c r="P613" s="371" t="s">
        <v>7</v>
      </c>
      <c r="Q613" s="56" t="s">
        <v>50</v>
      </c>
    </row>
    <row r="614" spans="1:22" ht="15.75">
      <c r="A614" s="923" t="s">
        <v>212</v>
      </c>
      <c r="B614" s="240">
        <v>14469</v>
      </c>
      <c r="C614" s="231">
        <v>0.1</v>
      </c>
      <c r="D614" s="261" t="s">
        <v>424</v>
      </c>
      <c r="E614" s="230">
        <v>2000000</v>
      </c>
      <c r="F614" s="228">
        <v>7.0000000000000007E-2</v>
      </c>
      <c r="G614" s="243">
        <f>E614*F614</f>
        <v>140000</v>
      </c>
      <c r="H614" s="297" t="s">
        <v>26</v>
      </c>
      <c r="I614" s="220" t="s">
        <v>21</v>
      </c>
      <c r="J614" s="220" t="s">
        <v>19</v>
      </c>
      <c r="K614" s="351"/>
      <c r="L614" s="358"/>
      <c r="M614" s="704">
        <v>14456</v>
      </c>
      <c r="N614" s="420" t="s">
        <v>425</v>
      </c>
      <c r="O614" s="706">
        <v>3500000</v>
      </c>
      <c r="P614" s="228">
        <v>0.05</v>
      </c>
      <c r="Q614" s="375">
        <f>O614*P614</f>
        <v>175000</v>
      </c>
    </row>
    <row r="615" spans="1:22" ht="15.75">
      <c r="A615" s="923"/>
      <c r="B615" s="240">
        <v>14373</v>
      </c>
      <c r="C615" s="231">
        <v>0.1</v>
      </c>
      <c r="D615" s="261" t="s">
        <v>426</v>
      </c>
      <c r="E615" s="230">
        <v>800000</v>
      </c>
      <c r="F615" s="228">
        <v>7.0000000000000007E-2</v>
      </c>
      <c r="G615" s="243">
        <f>E615*F615</f>
        <v>56000.000000000007</v>
      </c>
      <c r="H615" s="297" t="s">
        <v>26</v>
      </c>
      <c r="I615" s="220" t="s">
        <v>18</v>
      </c>
      <c r="J615" s="220" t="s">
        <v>19</v>
      </c>
      <c r="K615" s="351"/>
      <c r="L615" s="358"/>
      <c r="M615" s="707"/>
      <c r="N615" s="708"/>
      <c r="O615" s="709"/>
      <c r="P615" s="10"/>
      <c r="Q615" s="431"/>
    </row>
    <row r="616" spans="1:22" ht="15.75">
      <c r="A616" s="923"/>
      <c r="B616" s="260">
        <v>14385</v>
      </c>
      <c r="C616" s="231">
        <v>0.1</v>
      </c>
      <c r="D616" s="261" t="s">
        <v>427</v>
      </c>
      <c r="E616" s="230">
        <v>1400000</v>
      </c>
      <c r="F616" s="228">
        <v>0.12</v>
      </c>
      <c r="G616" s="243">
        <f>E616*F616</f>
        <v>168000</v>
      </c>
      <c r="H616" s="297" t="s">
        <v>62</v>
      </c>
      <c r="I616" s="220" t="s">
        <v>21</v>
      </c>
      <c r="J616" s="220" t="s">
        <v>19</v>
      </c>
      <c r="K616" s="351"/>
      <c r="L616" s="358"/>
      <c r="M616" s="428"/>
      <c r="N616" s="429"/>
      <c r="O616" s="430"/>
      <c r="P616" s="10"/>
      <c r="Q616" s="431"/>
    </row>
    <row r="617" spans="1:22" ht="15.75">
      <c r="A617" s="923"/>
      <c r="B617" s="214">
        <v>14411</v>
      </c>
      <c r="C617" s="308">
        <v>0.1</v>
      </c>
      <c r="D617" s="272" t="s">
        <v>150</v>
      </c>
      <c r="E617" s="230">
        <v>1200000</v>
      </c>
      <c r="F617" s="228">
        <v>7.0000000000000007E-2</v>
      </c>
      <c r="G617" s="243">
        <f>E617*F617</f>
        <v>84000.000000000015</v>
      </c>
      <c r="H617" s="297" t="s">
        <v>26</v>
      </c>
      <c r="I617" s="220" t="s">
        <v>21</v>
      </c>
      <c r="J617" s="220" t="s">
        <v>19</v>
      </c>
      <c r="K617" s="351"/>
      <c r="L617" s="358"/>
      <c r="M617" s="428"/>
      <c r="N617" s="429"/>
      <c r="O617" s="430"/>
      <c r="P617" s="10"/>
      <c r="Q617" s="431"/>
    </row>
    <row r="618" spans="1:22" ht="15.75">
      <c r="A618" s="923"/>
      <c r="B618" s="214">
        <v>14418</v>
      </c>
      <c r="C618" s="526">
        <v>0.08</v>
      </c>
      <c r="D618" s="272" t="s">
        <v>428</v>
      </c>
      <c r="E618" s="230">
        <v>1650000</v>
      </c>
      <c r="F618" s="217">
        <v>0.1</v>
      </c>
      <c r="G618" s="243">
        <f>E618*F618</f>
        <v>165000</v>
      </c>
      <c r="H618" s="297" t="s">
        <v>62</v>
      </c>
      <c r="I618" s="220" t="s">
        <v>18</v>
      </c>
      <c r="J618" s="220" t="s">
        <v>19</v>
      </c>
      <c r="K618" s="351"/>
      <c r="L618" s="358"/>
      <c r="M618" s="428"/>
      <c r="N618" s="429"/>
      <c r="O618" s="430"/>
      <c r="P618" s="10"/>
      <c r="Q618" s="431"/>
    </row>
    <row r="619" spans="1:22" ht="15.75">
      <c r="A619" s="923"/>
      <c r="B619" s="214">
        <v>14506</v>
      </c>
      <c r="C619" s="347">
        <v>0.08</v>
      </c>
      <c r="D619" s="241" t="s">
        <v>429</v>
      </c>
      <c r="E619" s="242">
        <v>1800000</v>
      </c>
      <c r="F619" s="217">
        <v>0.06</v>
      </c>
      <c r="G619" s="226">
        <f>E619*F619</f>
        <v>108000</v>
      </c>
      <c r="H619" s="244" t="s">
        <v>26</v>
      </c>
      <c r="I619" s="239" t="s">
        <v>18</v>
      </c>
      <c r="J619" s="220" t="s">
        <v>19</v>
      </c>
      <c r="K619" s="351"/>
      <c r="L619" s="358"/>
      <c r="M619" s="428"/>
      <c r="N619" s="429"/>
      <c r="O619" s="430"/>
      <c r="P619" s="10"/>
      <c r="Q619" s="431"/>
    </row>
    <row r="620" spans="1:22" ht="15.75">
      <c r="A620" s="923"/>
      <c r="B620" s="214">
        <v>14504</v>
      </c>
      <c r="C620" s="308">
        <v>0.1</v>
      </c>
      <c r="D620" s="241" t="s">
        <v>430</v>
      </c>
      <c r="E620" s="242">
        <v>1600000</v>
      </c>
      <c r="F620" s="228">
        <v>0.12</v>
      </c>
      <c r="G620" s="226">
        <f>E620*F620</f>
        <v>192000</v>
      </c>
      <c r="H620" s="244" t="s">
        <v>62</v>
      </c>
      <c r="I620" s="239" t="s">
        <v>410</v>
      </c>
      <c r="J620" s="220" t="s">
        <v>19</v>
      </c>
      <c r="K620" s="351"/>
      <c r="L620" s="358"/>
      <c r="M620" s="428"/>
      <c r="N620" s="429"/>
      <c r="O620" s="430"/>
      <c r="P620" s="10"/>
      <c r="Q620" s="431"/>
    </row>
    <row r="621" spans="1:22" ht="15.75">
      <c r="A621" s="923"/>
      <c r="B621" s="214">
        <v>14509</v>
      </c>
      <c r="C621" s="308">
        <v>0.1</v>
      </c>
      <c r="D621" s="241" t="s">
        <v>431</v>
      </c>
      <c r="E621" s="242">
        <v>1600000</v>
      </c>
      <c r="F621" s="228">
        <v>0.12</v>
      </c>
      <c r="G621" s="226">
        <f>E621*F621</f>
        <v>192000</v>
      </c>
      <c r="H621" s="244" t="s">
        <v>62</v>
      </c>
      <c r="I621" s="239" t="s">
        <v>18</v>
      </c>
      <c r="J621" s="220" t="s">
        <v>19</v>
      </c>
      <c r="K621" s="351"/>
      <c r="L621" s="358"/>
      <c r="M621" s="428"/>
      <c r="N621" s="429"/>
      <c r="O621" s="430"/>
      <c r="P621" s="10"/>
      <c r="Q621" s="431"/>
    </row>
    <row r="622" spans="1:22" ht="15.75">
      <c r="A622" s="923"/>
      <c r="B622" s="214">
        <v>14530</v>
      </c>
      <c r="C622" s="308">
        <v>0.1</v>
      </c>
      <c r="D622" s="241" t="s">
        <v>432</v>
      </c>
      <c r="E622" s="242">
        <v>1800000</v>
      </c>
      <c r="F622" s="228">
        <v>7.0000000000000007E-2</v>
      </c>
      <c r="G622" s="226">
        <f>E622*F622</f>
        <v>126000.00000000001</v>
      </c>
      <c r="H622" s="244" t="s">
        <v>26</v>
      </c>
      <c r="I622" s="239" t="s">
        <v>21</v>
      </c>
      <c r="J622" s="220" t="s">
        <v>19</v>
      </c>
      <c r="K622" s="351"/>
      <c r="L622" s="358"/>
      <c r="M622" s="428"/>
      <c r="N622" s="429"/>
      <c r="O622" s="430"/>
      <c r="P622" s="10"/>
      <c r="Q622" s="431"/>
    </row>
    <row r="623" spans="1:22" ht="15.75">
      <c r="A623" s="923"/>
      <c r="B623" s="214">
        <v>14542</v>
      </c>
      <c r="C623" s="308">
        <v>0.1</v>
      </c>
      <c r="D623" s="241" t="s">
        <v>405</v>
      </c>
      <c r="E623" s="242">
        <v>2100000</v>
      </c>
      <c r="F623" s="228">
        <v>7.0000000000000007E-2</v>
      </c>
      <c r="G623" s="226">
        <f>E623*F623</f>
        <v>147000</v>
      </c>
      <c r="H623" s="244" t="s">
        <v>17</v>
      </c>
      <c r="I623" s="239" t="s">
        <v>18</v>
      </c>
      <c r="J623" s="220"/>
      <c r="K623" s="351"/>
      <c r="L623" s="358"/>
      <c r="M623" s="428"/>
      <c r="N623" s="429"/>
      <c r="O623" s="430"/>
      <c r="P623" s="10"/>
      <c r="Q623" s="431"/>
    </row>
    <row r="624" spans="1:22" ht="15.75">
      <c r="A624" s="923"/>
      <c r="B624" s="214">
        <v>14543</v>
      </c>
      <c r="C624" s="308">
        <v>0.1</v>
      </c>
      <c r="D624" s="272" t="s">
        <v>433</v>
      </c>
      <c r="E624" s="230">
        <v>1700000</v>
      </c>
      <c r="F624" s="228">
        <v>7.0000000000000007E-2</v>
      </c>
      <c r="G624" s="243">
        <f>E624*F624</f>
        <v>119000.00000000001</v>
      </c>
      <c r="H624" s="297" t="s">
        <v>26</v>
      </c>
      <c r="I624" s="220" t="s">
        <v>21</v>
      </c>
      <c r="J624" s="220" t="s">
        <v>19</v>
      </c>
      <c r="K624" s="351"/>
      <c r="L624" s="358"/>
      <c r="M624" s="428"/>
      <c r="N624" s="429"/>
      <c r="O624" s="430"/>
      <c r="P624" s="10"/>
      <c r="Q624" s="431"/>
    </row>
    <row r="625" spans="1:17" ht="15.75">
      <c r="A625" s="923"/>
      <c r="B625" s="214">
        <v>14589</v>
      </c>
      <c r="C625" s="308">
        <v>0.1</v>
      </c>
      <c r="D625" s="272" t="s">
        <v>434</v>
      </c>
      <c r="E625" s="230">
        <v>1800000</v>
      </c>
      <c r="F625" s="228">
        <v>7.0000000000000007E-2</v>
      </c>
      <c r="G625" s="243">
        <f>E625*F625</f>
        <v>126000.00000000001</v>
      </c>
      <c r="H625" s="297" t="s">
        <v>26</v>
      </c>
      <c r="I625" s="220" t="s">
        <v>415</v>
      </c>
      <c r="J625" s="220" t="s">
        <v>19</v>
      </c>
      <c r="K625" s="351"/>
      <c r="L625" s="358"/>
      <c r="M625" s="428"/>
      <c r="N625" s="429"/>
      <c r="O625" s="430"/>
      <c r="P625" s="10"/>
      <c r="Q625" s="431"/>
    </row>
    <row r="626" spans="1:17" ht="18" customHeight="1">
      <c r="A626" s="923"/>
      <c r="B626" s="675" t="s">
        <v>435</v>
      </c>
      <c r="C626" s="526">
        <v>0.08</v>
      </c>
      <c r="D626" s="272" t="s">
        <v>436</v>
      </c>
      <c r="E626" s="230">
        <v>1750000</v>
      </c>
      <c r="F626" s="217">
        <v>0.06</v>
      </c>
      <c r="G626" s="243">
        <f>E626*F626</f>
        <v>105000</v>
      </c>
      <c r="H626" s="297" t="s">
        <v>26</v>
      </c>
      <c r="I626" s="220" t="s">
        <v>21</v>
      </c>
      <c r="J626" s="220" t="s">
        <v>19</v>
      </c>
      <c r="K626" s="351"/>
      <c r="L626" s="358"/>
      <c r="M626" s="428"/>
      <c r="N626" s="429"/>
      <c r="O626" s="430"/>
      <c r="P626" s="10"/>
      <c r="Q626" s="431"/>
    </row>
    <row r="627" spans="1:17" ht="15.75">
      <c r="A627" s="923"/>
      <c r="B627" s="322" t="s">
        <v>40</v>
      </c>
      <c r="C627" s="328"/>
      <c r="D627" s="208" t="s">
        <v>437</v>
      </c>
      <c r="E627" s="209"/>
      <c r="F627" s="271"/>
      <c r="G627" s="292"/>
      <c r="H627" s="489"/>
      <c r="I627" s="268" t="s">
        <v>18</v>
      </c>
      <c r="J627" s="268"/>
      <c r="K627" s="289"/>
      <c r="L627" s="512"/>
      <c r="M627" s="428"/>
      <c r="N627" s="429"/>
      <c r="O627" s="430"/>
      <c r="P627" s="10"/>
      <c r="Q627" s="431"/>
    </row>
    <row r="628" spans="1:17" ht="15.75">
      <c r="A628" s="923"/>
      <c r="B628" s="253" t="s">
        <v>40</v>
      </c>
      <c r="C628" s="263"/>
      <c r="D628" s="264" t="s">
        <v>438</v>
      </c>
      <c r="E628" s="209"/>
      <c r="F628" s="271"/>
      <c r="G628" s="292"/>
      <c r="H628" s="489"/>
      <c r="I628" s="268" t="s">
        <v>21</v>
      </c>
      <c r="J628" s="268" t="s">
        <v>21</v>
      </c>
      <c r="K628" s="289"/>
      <c r="L628" s="512"/>
      <c r="M628" s="428"/>
      <c r="N628" s="429"/>
      <c r="O628" s="430"/>
      <c r="P628" s="10"/>
      <c r="Q628" s="431"/>
    </row>
    <row r="629" spans="1:17" ht="15.75">
      <c r="A629" s="923"/>
      <c r="B629" s="281" t="s">
        <v>40</v>
      </c>
      <c r="C629" s="328"/>
      <c r="D629" s="208" t="s">
        <v>439</v>
      </c>
      <c r="E629" s="209"/>
      <c r="F629" s="271"/>
      <c r="G629" s="292"/>
      <c r="H629" s="489"/>
      <c r="I629" s="268" t="s">
        <v>18</v>
      </c>
      <c r="J629" s="268" t="s">
        <v>440</v>
      </c>
      <c r="K629" s="289"/>
      <c r="L629" s="512"/>
      <c r="M629" s="428"/>
      <c r="N629" s="429"/>
      <c r="O629" s="430"/>
      <c r="P629" s="10"/>
      <c r="Q629" s="431"/>
    </row>
    <row r="630" spans="1:17" ht="15.75">
      <c r="A630" s="923"/>
      <c r="B630" s="281" t="s">
        <v>40</v>
      </c>
      <c r="C630" s="328"/>
      <c r="D630" s="208" t="s">
        <v>421</v>
      </c>
      <c r="E630" s="209"/>
      <c r="F630" s="271"/>
      <c r="G630" s="292"/>
      <c r="H630" s="489"/>
      <c r="I630" s="268" t="s">
        <v>410</v>
      </c>
      <c r="J630" s="268"/>
      <c r="K630" s="289"/>
      <c r="L630" s="512"/>
      <c r="M630" s="428"/>
      <c r="N630" s="429"/>
      <c r="O630" s="430"/>
      <c r="P630" s="10"/>
      <c r="Q630" s="431"/>
    </row>
    <row r="631" spans="1:17" ht="18">
      <c r="A631" s="924"/>
      <c r="B631" s="13"/>
      <c r="C631" s="14"/>
      <c r="D631" s="15" t="s">
        <v>46</v>
      </c>
      <c r="E631" s="16">
        <f>SUM(E614:E630)</f>
        <v>21200000</v>
      </c>
      <c r="F631" s="17"/>
      <c r="G631" s="383">
        <f>SUM(G614:G630)</f>
        <v>1728000</v>
      </c>
      <c r="H631" s="17"/>
      <c r="I631" s="18"/>
      <c r="J631" s="18"/>
      <c r="K631" s="18"/>
      <c r="L631" s="19"/>
      <c r="M631" s="480"/>
      <c r="N631" s="942" t="s">
        <v>70</v>
      </c>
      <c r="O631" s="942"/>
      <c r="P631" s="942"/>
      <c r="Q631" s="715">
        <f>G631+Q614</f>
        <v>1903000</v>
      </c>
    </row>
    <row r="634" spans="1:17" ht="18">
      <c r="A634" s="941" t="s">
        <v>382</v>
      </c>
      <c r="B634" s="980"/>
      <c r="C634" s="980"/>
      <c r="D634" s="980"/>
      <c r="E634" s="980"/>
      <c r="F634" s="980"/>
      <c r="G634" s="980"/>
      <c r="H634" s="980"/>
      <c r="I634" s="980"/>
      <c r="J634" s="980"/>
      <c r="K634" s="980"/>
      <c r="L634" s="981"/>
      <c r="M634" s="978" t="s">
        <v>14</v>
      </c>
      <c r="N634" s="955"/>
      <c r="O634" s="955"/>
      <c r="P634" s="979"/>
      <c r="Q634" s="76"/>
    </row>
    <row r="635" spans="1:17" ht="15.75">
      <c r="A635" s="115" t="s">
        <v>2</v>
      </c>
      <c r="B635" s="440" t="s">
        <v>3</v>
      </c>
      <c r="C635" s="441" t="s">
        <v>4</v>
      </c>
      <c r="D635" s="115" t="s">
        <v>5</v>
      </c>
      <c r="E635" s="442" t="s">
        <v>6</v>
      </c>
      <c r="F635" s="441" t="s">
        <v>7</v>
      </c>
      <c r="G635" s="443" t="s">
        <v>8</v>
      </c>
      <c r="H635" s="441" t="s">
        <v>9</v>
      </c>
      <c r="I635" s="561" t="s">
        <v>10</v>
      </c>
      <c r="J635" s="52" t="s">
        <v>11</v>
      </c>
      <c r="K635" s="119" t="s">
        <v>12</v>
      </c>
      <c r="L635" s="441" t="s">
        <v>13</v>
      </c>
      <c r="M635" s="54" t="s">
        <v>3</v>
      </c>
      <c r="N635" s="54" t="s">
        <v>5</v>
      </c>
      <c r="O635" s="39" t="s">
        <v>49</v>
      </c>
      <c r="P635" s="371" t="s">
        <v>7</v>
      </c>
      <c r="Q635" s="56" t="s">
        <v>50</v>
      </c>
    </row>
    <row r="636" spans="1:17" ht="15.75">
      <c r="A636" s="923">
        <v>2</v>
      </c>
      <c r="B636" s="341">
        <v>14349</v>
      </c>
      <c r="C636" s="308">
        <v>0.1</v>
      </c>
      <c r="D636" s="272" t="s">
        <v>441</v>
      </c>
      <c r="E636" s="216">
        <v>1900000</v>
      </c>
      <c r="F636" s="228">
        <v>0.05</v>
      </c>
      <c r="G636" s="218">
        <f>E636*F636</f>
        <v>95000</v>
      </c>
      <c r="H636" s="219" t="s">
        <v>26</v>
      </c>
      <c r="I636" s="220" t="s">
        <v>18</v>
      </c>
      <c r="J636" s="616" t="s">
        <v>19</v>
      </c>
      <c r="K636" s="220"/>
      <c r="L636" s="373"/>
      <c r="M636" s="435"/>
      <c r="N636" s="436"/>
      <c r="O636" s="11"/>
      <c r="P636" s="437"/>
      <c r="Q636" s="431"/>
    </row>
    <row r="637" spans="1:17" ht="15.75">
      <c r="A637" s="977"/>
      <c r="B637" s="253" t="s">
        <v>40</v>
      </c>
      <c r="C637" s="263"/>
      <c r="D637" s="264" t="s">
        <v>442</v>
      </c>
      <c r="E637" s="265"/>
      <c r="F637" s="254"/>
      <c r="G637" s="266"/>
      <c r="H637" s="267"/>
      <c r="I637" s="268" t="s">
        <v>18</v>
      </c>
      <c r="J637" s="268"/>
      <c r="K637" s="268"/>
      <c r="L637" s="374"/>
      <c r="M637" s="435"/>
      <c r="N637" s="436"/>
      <c r="O637" s="11"/>
      <c r="P637" s="437"/>
      <c r="Q637" s="431"/>
    </row>
    <row r="638" spans="1:17" ht="15.75">
      <c r="A638" s="954"/>
      <c r="B638" s="13"/>
      <c r="C638" s="14"/>
      <c r="D638" s="15" t="s">
        <v>46</v>
      </c>
      <c r="E638" s="82">
        <f>SUM(E636:E637)</f>
        <v>1900000</v>
      </c>
      <c r="F638" s="17"/>
      <c r="G638" s="383">
        <f>SUM(G636:G637)</f>
        <v>95000</v>
      </c>
      <c r="H638" s="17"/>
      <c r="I638" s="18"/>
      <c r="J638" s="18"/>
      <c r="K638" s="18"/>
      <c r="L638" s="83"/>
      <c r="M638" s="62"/>
      <c r="N638" s="950" t="s">
        <v>70</v>
      </c>
      <c r="O638" s="951"/>
      <c r="P638" s="952"/>
      <c r="Q638" s="65">
        <f>G638</f>
        <v>95000</v>
      </c>
    </row>
    <row r="641" spans="1:17" ht="18">
      <c r="A641" s="918" t="s">
        <v>91</v>
      </c>
      <c r="B641" s="918"/>
      <c r="C641" s="918"/>
      <c r="D641" s="918"/>
      <c r="E641" s="918"/>
      <c r="F641" s="918"/>
      <c r="G641" s="918"/>
      <c r="H641" s="918"/>
      <c r="I641" s="918"/>
      <c r="J641" s="918"/>
      <c r="K641" s="919"/>
      <c r="L641" s="918"/>
      <c r="M641" s="944" t="s">
        <v>14</v>
      </c>
      <c r="N641" s="945"/>
      <c r="O641" s="945"/>
      <c r="P641" s="946"/>
      <c r="Q641" s="122"/>
    </row>
    <row r="642" spans="1:17" ht="18">
      <c r="A642" s="637" t="s">
        <v>2</v>
      </c>
      <c r="B642" s="638" t="s">
        <v>3</v>
      </c>
      <c r="C642" s="639" t="s">
        <v>4</v>
      </c>
      <c r="D642" s="638" t="s">
        <v>5</v>
      </c>
      <c r="E642" s="640" t="s">
        <v>6</v>
      </c>
      <c r="F642" s="640" t="s">
        <v>7</v>
      </c>
      <c r="G642" s="640" t="s">
        <v>8</v>
      </c>
      <c r="H642" s="640" t="s">
        <v>9</v>
      </c>
      <c r="I642" s="640" t="s">
        <v>10</v>
      </c>
      <c r="J642" s="641" t="s">
        <v>11</v>
      </c>
      <c r="K642" s="640" t="s">
        <v>12</v>
      </c>
      <c r="L642" s="559"/>
      <c r="M642" s="54" t="s">
        <v>3</v>
      </c>
      <c r="N642" s="54" t="s">
        <v>5</v>
      </c>
      <c r="O642" s="39" t="s">
        <v>49</v>
      </c>
      <c r="P642" s="371" t="s">
        <v>7</v>
      </c>
      <c r="Q642" s="56" t="s">
        <v>50</v>
      </c>
    </row>
    <row r="643" spans="1:17" ht="15.75">
      <c r="A643" s="923" t="s">
        <v>15</v>
      </c>
      <c r="B643" s="293">
        <v>14399</v>
      </c>
      <c r="C643" s="231">
        <v>0.1</v>
      </c>
      <c r="D643" s="241" t="s">
        <v>443</v>
      </c>
      <c r="E643" s="242">
        <v>1030000</v>
      </c>
      <c r="F643" s="228">
        <v>0.1</v>
      </c>
      <c r="G643" s="218">
        <f>E643*F643</f>
        <v>103000</v>
      </c>
      <c r="H643" s="244" t="s">
        <v>93</v>
      </c>
      <c r="I643" s="239" t="s">
        <v>18</v>
      </c>
      <c r="J643" s="239" t="s">
        <v>19</v>
      </c>
      <c r="K643" s="239"/>
      <c r="L643" s="418"/>
      <c r="M643" s="214">
        <v>14490</v>
      </c>
      <c r="N643" s="272" t="s">
        <v>409</v>
      </c>
      <c r="O643" s="216">
        <v>1350000</v>
      </c>
      <c r="P643" s="228">
        <v>0.05</v>
      </c>
      <c r="Q643" s="462">
        <f>O643*P643</f>
        <v>67500</v>
      </c>
    </row>
    <row r="644" spans="1:17" ht="15.75">
      <c r="A644" s="923"/>
      <c r="B644" s="293">
        <v>14404</v>
      </c>
      <c r="C644" s="231">
        <v>0.1</v>
      </c>
      <c r="D644" s="241" t="s">
        <v>444</v>
      </c>
      <c r="E644" s="242">
        <v>1120000</v>
      </c>
      <c r="F644" s="228">
        <v>0.1</v>
      </c>
      <c r="G644" s="218">
        <f t="shared" ref="G644:G654" si="25">E644*F644</f>
        <v>112000</v>
      </c>
      <c r="H644" s="244" t="s">
        <v>93</v>
      </c>
      <c r="I644" s="239" t="s">
        <v>21</v>
      </c>
      <c r="J644" s="239" t="s">
        <v>19</v>
      </c>
      <c r="K644" s="239"/>
      <c r="L644" s="418"/>
      <c r="M644" s="260">
        <v>14593</v>
      </c>
      <c r="N644" s="241" t="s">
        <v>417</v>
      </c>
      <c r="O644" s="278">
        <v>1400000</v>
      </c>
      <c r="P644" s="228">
        <v>0.05</v>
      </c>
      <c r="Q644" s="462">
        <f>O644*P644</f>
        <v>70000</v>
      </c>
    </row>
    <row r="645" spans="1:17" ht="15.75">
      <c r="A645" s="923"/>
      <c r="B645" s="293">
        <v>14460</v>
      </c>
      <c r="C645" s="231">
        <v>0.1</v>
      </c>
      <c r="D645" s="241" t="s">
        <v>445</v>
      </c>
      <c r="E645" s="242">
        <v>1100000</v>
      </c>
      <c r="F645" s="228">
        <v>0.1</v>
      </c>
      <c r="G645" s="218">
        <f t="shared" si="25"/>
        <v>110000</v>
      </c>
      <c r="H645" s="244" t="s">
        <v>93</v>
      </c>
      <c r="I645" s="239" t="s">
        <v>18</v>
      </c>
      <c r="J645" s="239" t="s">
        <v>19</v>
      </c>
      <c r="K645" s="239"/>
      <c r="L645" s="418"/>
      <c r="M645" s="428"/>
      <c r="N645" s="448"/>
      <c r="O645" s="430"/>
      <c r="P645" s="10"/>
      <c r="Q645" s="431"/>
    </row>
    <row r="646" spans="1:17" ht="15.75">
      <c r="A646" s="923"/>
      <c r="B646" s="293">
        <v>14493</v>
      </c>
      <c r="C646" s="231">
        <v>0.1</v>
      </c>
      <c r="D646" s="241" t="s">
        <v>446</v>
      </c>
      <c r="E646" s="242">
        <v>900000</v>
      </c>
      <c r="F646" s="228">
        <v>0.06</v>
      </c>
      <c r="G646" s="218">
        <f t="shared" si="25"/>
        <v>54000</v>
      </c>
      <c r="H646" s="244" t="s">
        <v>26</v>
      </c>
      <c r="I646" s="239" t="s">
        <v>21</v>
      </c>
      <c r="J646" s="239" t="s">
        <v>19</v>
      </c>
      <c r="K646" s="239"/>
      <c r="L646" s="418"/>
      <c r="M646" s="428"/>
      <c r="N646" s="448"/>
      <c r="O646" s="430"/>
      <c r="P646" s="10"/>
      <c r="Q646" s="431"/>
    </row>
    <row r="647" spans="1:17" ht="15.75">
      <c r="A647" s="923"/>
      <c r="B647" s="293">
        <v>14532</v>
      </c>
      <c r="C647" s="231">
        <v>0.1</v>
      </c>
      <c r="D647" s="241" t="s">
        <v>447</v>
      </c>
      <c r="E647" s="242">
        <v>1300000</v>
      </c>
      <c r="F647" s="228">
        <v>0.1</v>
      </c>
      <c r="G647" s="218">
        <f t="shared" si="25"/>
        <v>130000</v>
      </c>
      <c r="H647" s="244" t="s">
        <v>93</v>
      </c>
      <c r="I647" s="239" t="s">
        <v>21</v>
      </c>
      <c r="J647" s="239" t="s">
        <v>19</v>
      </c>
      <c r="K647" s="239"/>
      <c r="L647" s="418"/>
      <c r="M647" s="428"/>
      <c r="N647" s="448"/>
      <c r="O647" s="430"/>
      <c r="P647" s="10"/>
      <c r="Q647" s="431"/>
    </row>
    <row r="648" spans="1:17" ht="15.75">
      <c r="A648" s="923"/>
      <c r="B648" s="293">
        <v>14533</v>
      </c>
      <c r="C648" s="231">
        <v>0.1</v>
      </c>
      <c r="D648" s="241" t="s">
        <v>448</v>
      </c>
      <c r="E648" s="242">
        <v>1100000</v>
      </c>
      <c r="F648" s="228">
        <v>0.1</v>
      </c>
      <c r="G648" s="218">
        <f t="shared" si="25"/>
        <v>110000</v>
      </c>
      <c r="H648" s="244" t="s">
        <v>93</v>
      </c>
      <c r="I648" s="239" t="s">
        <v>410</v>
      </c>
      <c r="J648" s="239" t="s">
        <v>19</v>
      </c>
      <c r="K648" s="239"/>
      <c r="L648" s="418"/>
      <c r="M648" s="428"/>
      <c r="N648" s="448"/>
      <c r="O648" s="430"/>
      <c r="P648" s="10"/>
      <c r="Q648" s="431"/>
    </row>
    <row r="649" spans="1:17" ht="15.75">
      <c r="A649" s="923"/>
      <c r="B649" s="293">
        <v>14556</v>
      </c>
      <c r="C649" s="231">
        <v>0.1</v>
      </c>
      <c r="D649" s="241" t="s">
        <v>449</v>
      </c>
      <c r="E649" s="242">
        <v>750000</v>
      </c>
      <c r="F649" s="228">
        <v>0.06</v>
      </c>
      <c r="G649" s="218">
        <f t="shared" si="25"/>
        <v>45000</v>
      </c>
      <c r="H649" s="244" t="s">
        <v>26</v>
      </c>
      <c r="I649" s="239" t="s">
        <v>18</v>
      </c>
      <c r="J649" s="239" t="s">
        <v>19</v>
      </c>
      <c r="K649" s="239"/>
      <c r="L649" s="418"/>
      <c r="M649" s="428"/>
      <c r="N649" s="448"/>
      <c r="O649" s="430"/>
      <c r="P649" s="10"/>
      <c r="Q649" s="431"/>
    </row>
    <row r="650" spans="1:17" ht="15.75">
      <c r="A650" s="923"/>
      <c r="B650" s="260">
        <v>14587</v>
      </c>
      <c r="C650" s="295">
        <v>0.1</v>
      </c>
      <c r="D650" s="569" t="s">
        <v>450</v>
      </c>
      <c r="E650" s="242">
        <v>1200000</v>
      </c>
      <c r="F650" s="228">
        <v>0.1</v>
      </c>
      <c r="G650" s="218">
        <f t="shared" si="25"/>
        <v>120000</v>
      </c>
      <c r="H650" s="244" t="s">
        <v>93</v>
      </c>
      <c r="I650" s="239" t="s">
        <v>21</v>
      </c>
      <c r="J650" s="239" t="s">
        <v>19</v>
      </c>
      <c r="K650" s="239"/>
      <c r="L650" s="418"/>
      <c r="M650" s="428"/>
      <c r="N650" s="448"/>
      <c r="O650" s="430"/>
      <c r="P650" s="10"/>
      <c r="Q650" s="431"/>
    </row>
    <row r="651" spans="1:17" ht="15.75">
      <c r="A651" s="923"/>
      <c r="B651" s="214">
        <v>14573</v>
      </c>
      <c r="C651" s="295">
        <v>0.1</v>
      </c>
      <c r="D651" s="569" t="s">
        <v>451</v>
      </c>
      <c r="E651" s="242">
        <v>850000</v>
      </c>
      <c r="F651" s="228">
        <v>0.1</v>
      </c>
      <c r="G651" s="218">
        <f t="shared" si="25"/>
        <v>85000</v>
      </c>
      <c r="H651" s="244" t="s">
        <v>452</v>
      </c>
      <c r="I651" s="239" t="s">
        <v>18</v>
      </c>
      <c r="J651" s="239" t="s">
        <v>19</v>
      </c>
      <c r="K651" s="239"/>
      <c r="L651" s="418"/>
      <c r="M651" s="428"/>
      <c r="N651" s="448"/>
      <c r="O651" s="430"/>
      <c r="P651" s="10"/>
      <c r="Q651" s="431"/>
    </row>
    <row r="652" spans="1:17" ht="16.5" customHeight="1">
      <c r="A652" s="923"/>
      <c r="B652" s="675" t="s">
        <v>453</v>
      </c>
      <c r="C652" s="295">
        <v>0.1</v>
      </c>
      <c r="D652" s="569" t="s">
        <v>454</v>
      </c>
      <c r="E652" s="242">
        <v>950000</v>
      </c>
      <c r="F652" s="228">
        <v>0.1</v>
      </c>
      <c r="G652" s="218">
        <f t="shared" si="25"/>
        <v>95000</v>
      </c>
      <c r="H652" s="244" t="s">
        <v>95</v>
      </c>
      <c r="I652" s="239" t="s">
        <v>18</v>
      </c>
      <c r="J652" s="239" t="s">
        <v>19</v>
      </c>
      <c r="K652" s="239"/>
      <c r="L652" s="418"/>
      <c r="M652" s="428"/>
      <c r="N652" s="448"/>
      <c r="O652" s="430"/>
      <c r="P652" s="10"/>
      <c r="Q652" s="431"/>
    </row>
    <row r="653" spans="1:17" ht="15.75">
      <c r="A653" s="923"/>
      <c r="B653" s="214">
        <v>14585</v>
      </c>
      <c r="C653" s="295">
        <v>0.1</v>
      </c>
      <c r="D653" s="569" t="s">
        <v>455</v>
      </c>
      <c r="E653" s="242">
        <v>1100000</v>
      </c>
      <c r="F653" s="228">
        <v>0.1</v>
      </c>
      <c r="G653" s="218">
        <f t="shared" si="25"/>
        <v>110000</v>
      </c>
      <c r="H653" s="244" t="s">
        <v>95</v>
      </c>
      <c r="I653" s="239" t="s">
        <v>18</v>
      </c>
      <c r="J653" s="239" t="s">
        <v>19</v>
      </c>
      <c r="K653" s="239"/>
      <c r="L653" s="418"/>
      <c r="M653" s="428"/>
      <c r="N653" s="448"/>
      <c r="O653" s="430"/>
      <c r="P653" s="10"/>
      <c r="Q653" s="431"/>
    </row>
    <row r="654" spans="1:17" ht="15.75">
      <c r="A654" s="923"/>
      <c r="B654" s="409">
        <v>14590</v>
      </c>
      <c r="C654" s="295">
        <v>0.1</v>
      </c>
      <c r="D654" s="241" t="s">
        <v>456</v>
      </c>
      <c r="E654" s="242">
        <v>800000</v>
      </c>
      <c r="F654" s="228">
        <v>0.06</v>
      </c>
      <c r="G654" s="218">
        <f t="shared" si="25"/>
        <v>48000</v>
      </c>
      <c r="H654" s="244" t="s">
        <v>26</v>
      </c>
      <c r="I654" s="239" t="s">
        <v>410</v>
      </c>
      <c r="J654" s="239" t="s">
        <v>19</v>
      </c>
      <c r="K654" s="239"/>
      <c r="L654" s="418"/>
      <c r="M654" s="428"/>
      <c r="N654" s="448"/>
      <c r="O654" s="430"/>
      <c r="P654" s="10"/>
      <c r="Q654" s="431"/>
    </row>
    <row r="655" spans="1:17" ht="15.75">
      <c r="A655" s="923"/>
      <c r="B655" s="335" t="s">
        <v>40</v>
      </c>
      <c r="C655" s="328"/>
      <c r="D655" s="336" t="s">
        <v>457</v>
      </c>
      <c r="E655" s="255"/>
      <c r="F655" s="254"/>
      <c r="G655" s="266"/>
      <c r="H655" s="291"/>
      <c r="I655" s="213" t="s">
        <v>21</v>
      </c>
      <c r="J655" s="213"/>
      <c r="K655" s="213"/>
      <c r="L655" s="716"/>
      <c r="M655" s="428"/>
      <c r="N655" s="448"/>
      <c r="O655" s="430"/>
      <c r="P655" s="10"/>
      <c r="Q655" s="431"/>
    </row>
    <row r="656" spans="1:17" ht="15.75">
      <c r="A656" s="923"/>
      <c r="B656" s="490" t="s">
        <v>40</v>
      </c>
      <c r="C656" s="554"/>
      <c r="D656" s="336" t="s">
        <v>439</v>
      </c>
      <c r="E656" s="255"/>
      <c r="F656" s="254"/>
      <c r="G656" s="266"/>
      <c r="H656" s="291"/>
      <c r="I656" s="213" t="s">
        <v>18</v>
      </c>
      <c r="J656" s="213"/>
      <c r="K656" s="213"/>
      <c r="L656" s="716"/>
      <c r="M656" s="428"/>
      <c r="N656" s="448"/>
      <c r="O656" s="430"/>
      <c r="P656" s="10"/>
      <c r="Q656" s="431"/>
    </row>
    <row r="657" spans="1:17" ht="15.75">
      <c r="A657" s="923"/>
      <c r="B657" s="490" t="s">
        <v>458</v>
      </c>
      <c r="C657" s="554"/>
      <c r="D657" s="336" t="s">
        <v>459</v>
      </c>
      <c r="E657" s="255"/>
      <c r="F657" s="254"/>
      <c r="G657" s="266"/>
      <c r="H657" s="291"/>
      <c r="I657" s="213" t="s">
        <v>410</v>
      </c>
      <c r="J657" s="213"/>
      <c r="K657" s="213"/>
      <c r="L657" s="716"/>
      <c r="M657" s="428"/>
      <c r="N657" s="448"/>
      <c r="O657" s="430"/>
      <c r="P657" s="10"/>
      <c r="Q657" s="431"/>
    </row>
    <row r="658" spans="1:17" ht="15.75">
      <c r="A658" s="923"/>
      <c r="B658" s="335" t="s">
        <v>40</v>
      </c>
      <c r="C658" s="554"/>
      <c r="D658" s="336" t="s">
        <v>460</v>
      </c>
      <c r="E658" s="255"/>
      <c r="F658" s="254"/>
      <c r="G658" s="266"/>
      <c r="H658" s="291"/>
      <c r="I658" s="213" t="s">
        <v>18</v>
      </c>
      <c r="J658" s="213"/>
      <c r="K658" s="213"/>
      <c r="L658" s="716"/>
      <c r="M658" s="428"/>
      <c r="N658" s="448"/>
      <c r="O658" s="430"/>
      <c r="P658" s="10"/>
      <c r="Q658" s="431"/>
    </row>
    <row r="659" spans="1:17" ht="18">
      <c r="A659" s="924"/>
      <c r="B659" s="610" t="s">
        <v>47</v>
      </c>
      <c r="C659" s="573"/>
      <c r="D659" s="574"/>
      <c r="E659" s="575">
        <f>SUM(E643:E658)</f>
        <v>12200000</v>
      </c>
      <c r="F659" s="576"/>
      <c r="G659" s="23">
        <f>SUM(G643:G658)</f>
        <v>1122000</v>
      </c>
      <c r="H659" s="576"/>
      <c r="I659" s="577"/>
      <c r="J659" s="578"/>
      <c r="K659" s="110"/>
      <c r="L659" s="111"/>
      <c r="M659" s="112"/>
      <c r="N659" s="925" t="s">
        <v>70</v>
      </c>
      <c r="O659" s="926"/>
      <c r="P659" s="926"/>
      <c r="Q659" s="714">
        <f>G659+Q643+Q644</f>
        <v>1259500</v>
      </c>
    </row>
    <row r="662" spans="1:17" ht="18">
      <c r="A662" s="918" t="s">
        <v>107</v>
      </c>
      <c r="B662" s="927"/>
      <c r="C662" s="927"/>
      <c r="D662" s="927"/>
      <c r="E662" s="927"/>
      <c r="F662" s="927"/>
      <c r="G662" s="927"/>
      <c r="H662" s="927"/>
      <c r="I662" s="927"/>
      <c r="J662" s="927"/>
      <c r="K662" s="927"/>
      <c r="L662" s="927"/>
      <c r="M662" s="928" t="s">
        <v>14</v>
      </c>
      <c r="N662" s="928"/>
      <c r="O662" s="928"/>
      <c r="P662" s="928"/>
      <c r="Q662" s="326"/>
    </row>
    <row r="663" spans="1:17" ht="15.75">
      <c r="A663" s="46" t="s">
        <v>2</v>
      </c>
      <c r="B663" s="77" t="s">
        <v>3</v>
      </c>
      <c r="C663" s="46" t="s">
        <v>4</v>
      </c>
      <c r="D663" s="46" t="s">
        <v>5</v>
      </c>
      <c r="E663" s="48" t="s">
        <v>6</v>
      </c>
      <c r="F663" s="46" t="s">
        <v>7</v>
      </c>
      <c r="G663" s="327" t="s">
        <v>8</v>
      </c>
      <c r="H663" s="46" t="s">
        <v>9</v>
      </c>
      <c r="I663" s="52" t="s">
        <v>10</v>
      </c>
      <c r="J663" s="52" t="s">
        <v>11</v>
      </c>
      <c r="K663" s="52" t="s">
        <v>12</v>
      </c>
      <c r="L663" s="46" t="s">
        <v>13</v>
      </c>
      <c r="M663" s="46" t="s">
        <v>3</v>
      </c>
      <c r="N663" s="46" t="s">
        <v>5</v>
      </c>
      <c r="O663" s="46" t="s">
        <v>49</v>
      </c>
      <c r="P663" s="46" t="s">
        <v>7</v>
      </c>
      <c r="Q663" s="56" t="s">
        <v>50</v>
      </c>
    </row>
    <row r="664" spans="1:17" ht="15.75">
      <c r="A664" s="929" t="s">
        <v>461</v>
      </c>
      <c r="B664" s="300">
        <v>14357</v>
      </c>
      <c r="C664" s="231">
        <v>0.1</v>
      </c>
      <c r="D664" s="272" t="s">
        <v>462</v>
      </c>
      <c r="E664" s="278">
        <v>1742730</v>
      </c>
      <c r="F664" s="273"/>
      <c r="G664" s="274"/>
      <c r="H664" s="275" t="s">
        <v>26</v>
      </c>
      <c r="I664" s="276" t="s">
        <v>18</v>
      </c>
      <c r="J664" s="276" t="s">
        <v>19</v>
      </c>
      <c r="K664" s="459"/>
      <c r="L664" s="460"/>
      <c r="M664" s="260">
        <v>14296</v>
      </c>
      <c r="N664" s="261" t="s">
        <v>204</v>
      </c>
      <c r="O664" s="230">
        <v>1750000</v>
      </c>
      <c r="P664" s="221"/>
      <c r="Q664" s="362"/>
    </row>
    <row r="665" spans="1:17" ht="15.75">
      <c r="A665" s="929"/>
      <c r="B665" s="611">
        <v>14444</v>
      </c>
      <c r="C665" s="231">
        <v>0.1</v>
      </c>
      <c r="D665" s="272" t="s">
        <v>463</v>
      </c>
      <c r="E665" s="278">
        <v>1150000</v>
      </c>
      <c r="F665" s="273"/>
      <c r="G665" s="274"/>
      <c r="H665" s="275" t="s">
        <v>26</v>
      </c>
      <c r="I665" s="276" t="s">
        <v>21</v>
      </c>
      <c r="J665" s="276" t="s">
        <v>19</v>
      </c>
      <c r="K665" s="459"/>
      <c r="L665" s="460"/>
      <c r="M665" s="214">
        <v>14435</v>
      </c>
      <c r="N665" s="272" t="s">
        <v>404</v>
      </c>
      <c r="O665" s="216">
        <v>1200000</v>
      </c>
      <c r="P665" s="221"/>
      <c r="Q665" s="362"/>
    </row>
    <row r="666" spans="1:17" ht="15.75">
      <c r="A666" s="929"/>
      <c r="B666" s="214">
        <v>14439</v>
      </c>
      <c r="C666" s="228">
        <v>0.1</v>
      </c>
      <c r="D666" s="261" t="s">
        <v>464</v>
      </c>
      <c r="E666" s="278">
        <v>1800000</v>
      </c>
      <c r="F666" s="273"/>
      <c r="G666" s="274"/>
      <c r="H666" s="275" t="s">
        <v>26</v>
      </c>
      <c r="I666" s="276" t="s">
        <v>18</v>
      </c>
      <c r="J666" s="276" t="s">
        <v>19</v>
      </c>
      <c r="K666" s="120"/>
      <c r="L666" s="460"/>
      <c r="M666" s="214">
        <v>14438</v>
      </c>
      <c r="N666" s="272" t="s">
        <v>465</v>
      </c>
      <c r="O666" s="216">
        <v>2000000</v>
      </c>
      <c r="P666" s="221"/>
      <c r="Q666" s="362"/>
    </row>
    <row r="667" spans="1:17" ht="15.75">
      <c r="A667" s="929"/>
      <c r="B667" s="214">
        <v>14527</v>
      </c>
      <c r="C667" s="228">
        <v>0.1</v>
      </c>
      <c r="D667" s="261" t="s">
        <v>466</v>
      </c>
      <c r="E667" s="278">
        <v>1600000</v>
      </c>
      <c r="F667" s="273"/>
      <c r="G667" s="274"/>
      <c r="H667" s="275" t="s">
        <v>26</v>
      </c>
      <c r="I667" s="276" t="s">
        <v>410</v>
      </c>
      <c r="J667" s="276" t="s">
        <v>19</v>
      </c>
      <c r="K667" s="120"/>
      <c r="L667" s="460"/>
      <c r="M667" s="214">
        <v>14474</v>
      </c>
      <c r="N667" s="272" t="s">
        <v>407</v>
      </c>
      <c r="O667" s="216">
        <v>1200000</v>
      </c>
      <c r="P667" s="221"/>
      <c r="Q667" s="362"/>
    </row>
    <row r="668" spans="1:17" ht="15.75">
      <c r="A668" s="929"/>
      <c r="B668" s="214">
        <v>14521</v>
      </c>
      <c r="C668" s="228">
        <v>0.1</v>
      </c>
      <c r="D668" s="261" t="s">
        <v>467</v>
      </c>
      <c r="E668" s="278">
        <v>1700000</v>
      </c>
      <c r="F668" s="273"/>
      <c r="G668" s="274"/>
      <c r="H668" s="275" t="s">
        <v>26</v>
      </c>
      <c r="I668" s="276" t="s">
        <v>18</v>
      </c>
      <c r="J668" s="276" t="s">
        <v>19</v>
      </c>
      <c r="K668" s="120"/>
      <c r="L668" s="460"/>
      <c r="M668" s="214">
        <v>14449</v>
      </c>
      <c r="N668" s="272" t="s">
        <v>408</v>
      </c>
      <c r="O668" s="216">
        <v>2100000</v>
      </c>
      <c r="P668" s="221"/>
      <c r="Q668" s="362"/>
    </row>
    <row r="669" spans="1:17" ht="15.75">
      <c r="A669" s="929"/>
      <c r="B669" s="253" t="s">
        <v>40</v>
      </c>
      <c r="C669" s="254"/>
      <c r="D669" s="208" t="s">
        <v>468</v>
      </c>
      <c r="E669" s="255"/>
      <c r="F669" s="256"/>
      <c r="G669" s="257"/>
      <c r="H669" s="258"/>
      <c r="I669" s="259" t="s">
        <v>410</v>
      </c>
      <c r="J669" s="259"/>
      <c r="K669" s="120"/>
      <c r="L669" s="460"/>
      <c r="M669" s="214">
        <v>14516</v>
      </c>
      <c r="N669" s="272" t="s">
        <v>411</v>
      </c>
      <c r="O669" s="216">
        <v>1800000</v>
      </c>
      <c r="P669" s="221"/>
      <c r="Q669" s="362"/>
    </row>
    <row r="670" spans="1:17" ht="15.75">
      <c r="A670" s="929"/>
      <c r="B670" s="253" t="s">
        <v>469</v>
      </c>
      <c r="C670" s="254"/>
      <c r="D670" s="208" t="s">
        <v>470</v>
      </c>
      <c r="E670" s="255"/>
      <c r="F670" s="256"/>
      <c r="G670" s="257"/>
      <c r="H670" s="258"/>
      <c r="I670" s="259" t="s">
        <v>18</v>
      </c>
      <c r="J670" s="259"/>
      <c r="K670" s="120"/>
      <c r="L670" s="121"/>
      <c r="M670" s="214">
        <v>14525</v>
      </c>
      <c r="N670" s="272" t="s">
        <v>412</v>
      </c>
      <c r="O670" s="216">
        <v>2200000</v>
      </c>
      <c r="P670" s="221"/>
      <c r="Q670" s="362"/>
    </row>
    <row r="671" spans="1:17" ht="15.75">
      <c r="A671" s="929"/>
      <c r="B671" s="63"/>
      <c r="C671" s="67"/>
      <c r="D671" s="22"/>
      <c r="E671" s="31"/>
      <c r="F671" s="151"/>
      <c r="G671" s="124"/>
      <c r="H671" s="152"/>
      <c r="I671" s="68"/>
      <c r="J671" s="68"/>
      <c r="K671" s="120"/>
      <c r="L671" s="121"/>
      <c r="M671" s="214">
        <v>14572</v>
      </c>
      <c r="N671" s="272" t="s">
        <v>255</v>
      </c>
      <c r="O671" s="216">
        <v>1300000</v>
      </c>
      <c r="P671" s="221"/>
      <c r="Q671" s="362"/>
    </row>
    <row r="672" spans="1:17" ht="15.75">
      <c r="A672" s="929"/>
      <c r="B672" s="63"/>
      <c r="C672" s="67"/>
      <c r="D672" s="22"/>
      <c r="E672" s="31"/>
      <c r="F672" s="151"/>
      <c r="G672" s="124"/>
      <c r="H672" s="152"/>
      <c r="I672" s="68"/>
      <c r="J672" s="68"/>
      <c r="K672" s="120"/>
      <c r="L672" s="121"/>
      <c r="M672" s="240">
        <v>14469</v>
      </c>
      <c r="N672" s="261" t="s">
        <v>424</v>
      </c>
      <c r="O672" s="230">
        <v>2000000</v>
      </c>
      <c r="P672" s="221"/>
      <c r="Q672" s="362"/>
    </row>
    <row r="673" spans="1:17" ht="15.75">
      <c r="A673" s="929"/>
      <c r="B673" s="63"/>
      <c r="C673" s="67"/>
      <c r="D673" s="22"/>
      <c r="E673" s="31"/>
      <c r="F673" s="151"/>
      <c r="G673" s="124"/>
      <c r="H673" s="152"/>
      <c r="I673" s="68"/>
      <c r="J673" s="68"/>
      <c r="K673" s="120"/>
      <c r="L673" s="121"/>
      <c r="M673" s="240">
        <v>14373</v>
      </c>
      <c r="N673" s="534" t="s">
        <v>426</v>
      </c>
      <c r="O673" s="230">
        <v>800000</v>
      </c>
      <c r="P673" s="221"/>
      <c r="Q673" s="362"/>
    </row>
    <row r="674" spans="1:17" ht="15.75">
      <c r="A674" s="929"/>
      <c r="B674" s="155"/>
      <c r="C674" s="156"/>
      <c r="D674" s="113"/>
      <c r="E674" s="31"/>
      <c r="F674" s="157"/>
      <c r="G674" s="124"/>
      <c r="H674" s="152"/>
      <c r="I674" s="68"/>
      <c r="J674" s="120"/>
      <c r="K674" s="120"/>
      <c r="L674" s="121"/>
      <c r="M674" s="214">
        <v>14411</v>
      </c>
      <c r="N674" s="272" t="s">
        <v>150</v>
      </c>
      <c r="O674" s="230">
        <v>1200000</v>
      </c>
      <c r="P674" s="235"/>
      <c r="Q674" s="362"/>
    </row>
    <row r="675" spans="1:17" ht="15.75">
      <c r="A675" s="930"/>
      <c r="B675" s="86"/>
      <c r="C675" s="85"/>
      <c r="D675" s="123"/>
      <c r="E675" s="31"/>
      <c r="F675" s="151"/>
      <c r="G675" s="124"/>
      <c r="H675" s="59"/>
      <c r="I675" s="120"/>
      <c r="J675" s="120"/>
      <c r="K675" s="120"/>
      <c r="L675" s="160"/>
      <c r="M675" s="214">
        <v>14506</v>
      </c>
      <c r="N675" s="241" t="s">
        <v>429</v>
      </c>
      <c r="O675" s="242">
        <v>1800000</v>
      </c>
      <c r="P675" s="235"/>
      <c r="Q675" s="362"/>
    </row>
    <row r="676" spans="1:17" ht="15.75">
      <c r="A676" s="931"/>
      <c r="B676" s="125"/>
      <c r="C676" s="126"/>
      <c r="D676" s="127"/>
      <c r="E676" s="128"/>
      <c r="F676" s="129"/>
      <c r="G676" s="128"/>
      <c r="H676" s="130"/>
      <c r="I676" s="64"/>
      <c r="J676" s="64"/>
      <c r="K676" s="64"/>
      <c r="L676" s="161"/>
      <c r="M676" s="214">
        <v>14530</v>
      </c>
      <c r="N676" s="241" t="s">
        <v>432</v>
      </c>
      <c r="O676" s="242">
        <v>1800000</v>
      </c>
      <c r="P676" s="376"/>
      <c r="Q676" s="362"/>
    </row>
    <row r="677" spans="1:17" ht="15.75">
      <c r="A677" s="931"/>
      <c r="B677" s="131"/>
      <c r="C677" s="132"/>
      <c r="D677" s="101"/>
      <c r="E677" s="128"/>
      <c r="F677" s="129"/>
      <c r="G677" s="133"/>
      <c r="H677" s="130"/>
      <c r="I677" s="64"/>
      <c r="J677" s="64"/>
      <c r="K677" s="64"/>
      <c r="L677" s="161"/>
      <c r="M677" s="214">
        <v>14543</v>
      </c>
      <c r="N677" s="272" t="s">
        <v>433</v>
      </c>
      <c r="O677" s="230">
        <v>1700000</v>
      </c>
      <c r="P677" s="231"/>
      <c r="Q677" s="362"/>
    </row>
    <row r="678" spans="1:17" ht="15.75">
      <c r="A678" s="931"/>
      <c r="B678" s="131"/>
      <c r="C678" s="132"/>
      <c r="D678" s="121"/>
      <c r="E678" s="128"/>
      <c r="F678" s="129"/>
      <c r="G678" s="133"/>
      <c r="H678" s="130"/>
      <c r="I678" s="64"/>
      <c r="J678" s="64"/>
      <c r="K678" s="64"/>
      <c r="L678" s="161"/>
      <c r="M678" s="214">
        <v>14589</v>
      </c>
      <c r="N678" s="532" t="s">
        <v>434</v>
      </c>
      <c r="O678" s="230">
        <v>1800000</v>
      </c>
      <c r="P678" s="231"/>
      <c r="Q678" s="362"/>
    </row>
    <row r="679" spans="1:17" ht="18" customHeight="1">
      <c r="A679" s="931"/>
      <c r="B679" s="131"/>
      <c r="C679" s="132"/>
      <c r="D679" s="121"/>
      <c r="E679" s="128"/>
      <c r="F679" s="129"/>
      <c r="G679" s="133"/>
      <c r="H679" s="130"/>
      <c r="I679" s="64"/>
      <c r="J679" s="64"/>
      <c r="K679" s="64"/>
      <c r="L679" s="161"/>
      <c r="M679" s="675" t="s">
        <v>435</v>
      </c>
      <c r="N679" s="272" t="s">
        <v>436</v>
      </c>
      <c r="O679" s="230">
        <v>1750000</v>
      </c>
      <c r="P679" s="221"/>
      <c r="Q679" s="362"/>
    </row>
    <row r="680" spans="1:17" ht="15.75">
      <c r="A680" s="931"/>
      <c r="B680" s="131"/>
      <c r="C680" s="132"/>
      <c r="D680" s="121"/>
      <c r="E680" s="128"/>
      <c r="F680" s="129"/>
      <c r="G680" s="133"/>
      <c r="H680" s="130"/>
      <c r="I680" s="64"/>
      <c r="J680" s="64"/>
      <c r="K680" s="64"/>
      <c r="L680" s="161"/>
      <c r="M680" s="341">
        <v>14349</v>
      </c>
      <c r="N680" s="272" t="s">
        <v>441</v>
      </c>
      <c r="O680" s="216">
        <v>1900000</v>
      </c>
      <c r="P680" s="221"/>
      <c r="Q680" s="362"/>
    </row>
    <row r="681" spans="1:17" ht="15.75">
      <c r="A681" s="931"/>
      <c r="B681" s="131"/>
      <c r="C681" s="132"/>
      <c r="D681" s="121"/>
      <c r="E681" s="128"/>
      <c r="F681" s="129"/>
      <c r="G681" s="133"/>
      <c r="H681" s="130"/>
      <c r="I681" s="64"/>
      <c r="J681" s="64"/>
      <c r="K681" s="64"/>
      <c r="L681" s="161"/>
      <c r="M681" s="293">
        <v>14493</v>
      </c>
      <c r="N681" s="241" t="s">
        <v>446</v>
      </c>
      <c r="O681" s="242">
        <v>900000</v>
      </c>
      <c r="P681" s="221"/>
      <c r="Q681" s="362"/>
    </row>
    <row r="682" spans="1:17" ht="15.75">
      <c r="A682" s="931"/>
      <c r="B682" s="131"/>
      <c r="C682" s="132"/>
      <c r="D682" s="121"/>
      <c r="E682" s="128"/>
      <c r="F682" s="129"/>
      <c r="G682" s="133"/>
      <c r="H682" s="130"/>
      <c r="I682" s="64"/>
      <c r="J682" s="64"/>
      <c r="K682" s="64"/>
      <c r="L682" s="161"/>
      <c r="M682" s="293">
        <v>14556</v>
      </c>
      <c r="N682" s="241" t="s">
        <v>449</v>
      </c>
      <c r="O682" s="242">
        <v>750000</v>
      </c>
      <c r="P682" s="221"/>
      <c r="Q682" s="362"/>
    </row>
    <row r="683" spans="1:17" ht="15.75">
      <c r="A683" s="931"/>
      <c r="B683" s="131"/>
      <c r="C683" s="132"/>
      <c r="D683" s="121"/>
      <c r="E683" s="128"/>
      <c r="F683" s="129"/>
      <c r="G683" s="133"/>
      <c r="H683" s="130"/>
      <c r="I683" s="64"/>
      <c r="J683" s="64"/>
      <c r="K683" s="64"/>
      <c r="L683" s="161"/>
      <c r="M683" s="409"/>
      <c r="N683" s="241" t="s">
        <v>456</v>
      </c>
      <c r="O683" s="242">
        <v>800000</v>
      </c>
      <c r="P683" s="228"/>
      <c r="Q683" s="362"/>
    </row>
    <row r="684" spans="1:17" ht="15.75">
      <c r="A684" s="932"/>
      <c r="B684" s="141" t="s">
        <v>46</v>
      </c>
      <c r="C684" s="142"/>
      <c r="D684" s="143"/>
      <c r="E684" s="144">
        <f>SUM(E664:E683)</f>
        <v>7992730</v>
      </c>
      <c r="F684" s="145"/>
      <c r="G684" s="146"/>
      <c r="H684" s="145"/>
      <c r="I684" s="147"/>
      <c r="J684" s="147"/>
      <c r="K684" s="147"/>
      <c r="L684" s="148"/>
      <c r="M684" s="123"/>
      <c r="N684" s="123"/>
      <c r="O684" s="378">
        <f>SUM(O664:O683)</f>
        <v>30750000</v>
      </c>
      <c r="P684" s="150"/>
      <c r="Q684" s="122"/>
    </row>
    <row r="687" spans="1:17" ht="18">
      <c r="A687" s="933" t="s">
        <v>117</v>
      </c>
      <c r="B687" s="1116"/>
      <c r="C687" s="164"/>
      <c r="D687" s="165">
        <f>E684+E659+E638+E631+E609</f>
        <v>65142730</v>
      </c>
    </row>
    <row r="688" spans="1:17" ht="18">
      <c r="A688" s="934" t="s">
        <v>119</v>
      </c>
      <c r="B688" s="1117"/>
      <c r="C688" s="167"/>
      <c r="D688" s="168"/>
    </row>
    <row r="689" spans="1:17" ht="18">
      <c r="A689" s="916" t="s">
        <v>120</v>
      </c>
      <c r="B689" s="1118"/>
      <c r="C689" s="169"/>
      <c r="D689" s="170"/>
    </row>
    <row r="690" spans="1:17" ht="15.75">
      <c r="A690" s="917" t="s">
        <v>121</v>
      </c>
      <c r="B690" s="1119"/>
      <c r="C690" s="169"/>
      <c r="D690" s="171"/>
    </row>
    <row r="691" spans="1:17" ht="15.75">
      <c r="A691" s="172"/>
      <c r="B691" s="141" t="s">
        <v>47</v>
      </c>
      <c r="C691" s="173"/>
      <c r="D691" s="174">
        <f>SUM(D687:D690)</f>
        <v>65142730</v>
      </c>
    </row>
    <row r="695" spans="1:17" ht="45">
      <c r="A695" s="935" t="s">
        <v>471</v>
      </c>
      <c r="B695" s="935"/>
      <c r="C695" s="935"/>
      <c r="D695" s="935"/>
      <c r="E695" s="935"/>
      <c r="F695" s="935"/>
      <c r="G695" s="935"/>
      <c r="H695" s="935"/>
      <c r="I695" s="935"/>
      <c r="J695" s="935"/>
      <c r="K695" s="935"/>
      <c r="L695" s="935"/>
    </row>
    <row r="697" spans="1:17" ht="18">
      <c r="A697" s="918" t="s">
        <v>1</v>
      </c>
      <c r="B697" s="918"/>
      <c r="C697" s="918"/>
      <c r="D697" s="918"/>
      <c r="E697" s="918"/>
      <c r="F697" s="918"/>
      <c r="G697" s="918"/>
      <c r="H697" s="918"/>
      <c r="I697" s="918"/>
      <c r="J697" s="918"/>
      <c r="K697" s="918"/>
      <c r="L697" s="941"/>
      <c r="M697" s="991" t="s">
        <v>14</v>
      </c>
      <c r="N697" s="991"/>
      <c r="O697" s="991"/>
      <c r="P697" s="991"/>
      <c r="Q697" s="991"/>
    </row>
    <row r="698" spans="1:17" ht="15.75">
      <c r="A698" s="1" t="s">
        <v>2</v>
      </c>
      <c r="B698" s="2" t="s">
        <v>3</v>
      </c>
      <c r="C698" s="3" t="s">
        <v>4</v>
      </c>
      <c r="D698" s="1" t="s">
        <v>5</v>
      </c>
      <c r="E698" s="4" t="s">
        <v>6</v>
      </c>
      <c r="F698" s="3" t="s">
        <v>7</v>
      </c>
      <c r="G698" s="5" t="s">
        <v>8</v>
      </c>
      <c r="H698" s="3" t="s">
        <v>9</v>
      </c>
      <c r="I698" s="6" t="s">
        <v>10</v>
      </c>
      <c r="J698" s="6" t="s">
        <v>11</v>
      </c>
      <c r="K698" s="6" t="s">
        <v>12</v>
      </c>
      <c r="L698" s="40" t="s">
        <v>13</v>
      </c>
      <c r="M698" s="115" t="s">
        <v>3</v>
      </c>
      <c r="N698" s="115" t="s">
        <v>5</v>
      </c>
      <c r="O698" s="115" t="s">
        <v>49</v>
      </c>
      <c r="P698" s="115" t="s">
        <v>7</v>
      </c>
      <c r="Q698" s="455" t="s">
        <v>50</v>
      </c>
    </row>
    <row r="699" spans="1:17" ht="15.75">
      <c r="A699" s="936">
        <v>1</v>
      </c>
      <c r="B699" s="260">
        <v>14640</v>
      </c>
      <c r="C699" s="308">
        <v>0.1</v>
      </c>
      <c r="D699" s="241" t="s">
        <v>472</v>
      </c>
      <c r="E699" s="230">
        <v>1650000</v>
      </c>
      <c r="F699" s="228">
        <v>0.05</v>
      </c>
      <c r="G699" s="243">
        <f>E699*F699</f>
        <v>82500</v>
      </c>
      <c r="H699" s="297" t="s">
        <v>26</v>
      </c>
      <c r="I699" s="220" t="s">
        <v>21</v>
      </c>
      <c r="J699" s="239" t="s">
        <v>19</v>
      </c>
      <c r="K699" s="239"/>
      <c r="L699" s="321"/>
      <c r="M699" s="796">
        <v>14854</v>
      </c>
      <c r="N699" s="241" t="s">
        <v>473</v>
      </c>
      <c r="O699" s="294">
        <v>2000000</v>
      </c>
      <c r="P699" s="628">
        <v>0.04</v>
      </c>
      <c r="Q699" s="462">
        <f>O699*P699</f>
        <v>80000</v>
      </c>
    </row>
    <row r="700" spans="1:17" ht="15.75">
      <c r="A700" s="936"/>
      <c r="B700" s="409">
        <v>14828</v>
      </c>
      <c r="C700" s="308">
        <v>0.1</v>
      </c>
      <c r="D700" s="241" t="s">
        <v>474</v>
      </c>
      <c r="E700" s="216">
        <v>1500000</v>
      </c>
      <c r="F700" s="228">
        <v>0.04</v>
      </c>
      <c r="G700" s="243">
        <f t="shared" ref="G700:G703" si="26">E700*F700</f>
        <v>60000</v>
      </c>
      <c r="H700" s="297" t="s">
        <v>475</v>
      </c>
      <c r="I700" s="220" t="s">
        <v>21</v>
      </c>
      <c r="J700" s="239" t="s">
        <v>19</v>
      </c>
      <c r="K700" s="239"/>
      <c r="L700" s="321"/>
      <c r="M700" s="293">
        <v>14669</v>
      </c>
      <c r="N700" s="241" t="s">
        <v>476</v>
      </c>
      <c r="O700" s="242">
        <v>1300000</v>
      </c>
      <c r="P700" s="228">
        <v>0.04</v>
      </c>
      <c r="Q700" s="462">
        <f>O700*P700</f>
        <v>52000</v>
      </c>
    </row>
    <row r="701" spans="1:17" ht="15.75">
      <c r="A701" s="936"/>
      <c r="B701" s="410">
        <v>14844</v>
      </c>
      <c r="C701" s="308">
        <v>0.1</v>
      </c>
      <c r="D701" s="241" t="s">
        <v>477</v>
      </c>
      <c r="E701" s="216">
        <v>900000</v>
      </c>
      <c r="F701" s="228">
        <v>0.05</v>
      </c>
      <c r="G701" s="243">
        <f t="shared" si="26"/>
        <v>45000</v>
      </c>
      <c r="H701" s="297" t="s">
        <v>26</v>
      </c>
      <c r="I701" s="220" t="s">
        <v>478</v>
      </c>
      <c r="J701" s="239" t="s">
        <v>19</v>
      </c>
      <c r="K701" s="239"/>
      <c r="L701" s="321"/>
      <c r="M701" s="541"/>
      <c r="N701" s="8"/>
      <c r="O701" s="501"/>
      <c r="P701" s="10"/>
      <c r="Q701" s="487"/>
    </row>
    <row r="702" spans="1:17" ht="15.75">
      <c r="A702" s="936"/>
      <c r="B702" s="341">
        <v>14851</v>
      </c>
      <c r="C702" s="308">
        <v>0.1</v>
      </c>
      <c r="D702" s="272" t="s">
        <v>479</v>
      </c>
      <c r="E702" s="216">
        <v>1300000</v>
      </c>
      <c r="F702" s="228">
        <v>0.04</v>
      </c>
      <c r="G702" s="243">
        <f t="shared" si="26"/>
        <v>52000</v>
      </c>
      <c r="H702" s="297" t="s">
        <v>202</v>
      </c>
      <c r="I702" s="220" t="s">
        <v>18</v>
      </c>
      <c r="J702" s="239" t="s">
        <v>19</v>
      </c>
      <c r="K702" s="239"/>
      <c r="L702" s="321"/>
      <c r="M702" s="541"/>
      <c r="N702" s="8"/>
      <c r="O702" s="501"/>
      <c r="P702" s="10"/>
      <c r="Q702" s="487"/>
    </row>
    <row r="703" spans="1:17" ht="15.75">
      <c r="A703" s="936"/>
      <c r="B703" s="214">
        <v>14853</v>
      </c>
      <c r="C703" s="308">
        <v>0.1</v>
      </c>
      <c r="D703" s="241" t="s">
        <v>480</v>
      </c>
      <c r="E703" s="278">
        <v>1750000</v>
      </c>
      <c r="F703" s="228">
        <v>0.08</v>
      </c>
      <c r="G703" s="243">
        <f t="shared" si="26"/>
        <v>140000</v>
      </c>
      <c r="H703" s="238" t="s">
        <v>17</v>
      </c>
      <c r="I703" s="239" t="s">
        <v>440</v>
      </c>
      <c r="J703" s="239" t="s">
        <v>19</v>
      </c>
      <c r="K703" s="239"/>
      <c r="L703" s="321"/>
      <c r="M703" s="541"/>
      <c r="N703" s="8"/>
      <c r="O703" s="501"/>
      <c r="P703" s="10"/>
      <c r="Q703" s="487"/>
    </row>
    <row r="704" spans="1:17" ht="15.75">
      <c r="A704" s="937"/>
      <c r="B704" s="13"/>
      <c r="C704" s="14"/>
      <c r="D704" s="15" t="s">
        <v>46</v>
      </c>
      <c r="E704" s="16">
        <f>SUM(E699:E703)</f>
        <v>7100000</v>
      </c>
      <c r="F704" s="17"/>
      <c r="G704" s="383">
        <f>SUM(G699:G703)</f>
        <v>379500</v>
      </c>
      <c r="H704" s="17"/>
      <c r="I704" s="18"/>
      <c r="J704" s="18"/>
      <c r="K704" s="18"/>
      <c r="L704" s="45"/>
      <c r="M704" s="37"/>
      <c r="N704" s="938" t="s">
        <v>211</v>
      </c>
      <c r="O704" s="939"/>
      <c r="P704" s="940"/>
      <c r="Q704" s="65">
        <f>G704+Q699+Q700</f>
        <v>511500</v>
      </c>
    </row>
    <row r="707" spans="1:17" ht="18">
      <c r="A707" s="918" t="s">
        <v>48</v>
      </c>
      <c r="B707" s="918"/>
      <c r="C707" s="918"/>
      <c r="D707" s="918"/>
      <c r="E707" s="918"/>
      <c r="F707" s="918"/>
      <c r="G707" s="918"/>
      <c r="H707" s="918"/>
      <c r="I707" s="918"/>
      <c r="J707" s="919"/>
      <c r="K707" s="919"/>
      <c r="L707" s="941"/>
      <c r="M707" s="928" t="s">
        <v>14</v>
      </c>
      <c r="N707" s="928"/>
      <c r="O707" s="928"/>
      <c r="P707" s="928"/>
      <c r="Q707" s="363"/>
    </row>
    <row r="708" spans="1:17" ht="15.75">
      <c r="A708" s="46" t="s">
        <v>2</v>
      </c>
      <c r="B708" s="77" t="s">
        <v>3</v>
      </c>
      <c r="C708" s="49" t="s">
        <v>4</v>
      </c>
      <c r="D708" s="46" t="s">
        <v>5</v>
      </c>
      <c r="E708" s="78" t="s">
        <v>6</v>
      </c>
      <c r="F708" s="49" t="s">
        <v>7</v>
      </c>
      <c r="G708" s="50" t="s">
        <v>8</v>
      </c>
      <c r="H708" s="49" t="s">
        <v>9</v>
      </c>
      <c r="I708" s="323" t="s">
        <v>10</v>
      </c>
      <c r="J708" s="79" t="s">
        <v>11</v>
      </c>
      <c r="K708" s="52" t="s">
        <v>12</v>
      </c>
      <c r="L708" s="53" t="s">
        <v>13</v>
      </c>
      <c r="M708" s="54" t="s">
        <v>3</v>
      </c>
      <c r="N708" s="54" t="s">
        <v>5</v>
      </c>
      <c r="O708" s="39" t="s">
        <v>49</v>
      </c>
      <c r="P708" s="371" t="s">
        <v>7</v>
      </c>
      <c r="Q708" s="56" t="s">
        <v>50</v>
      </c>
    </row>
    <row r="709" spans="1:17" ht="15.75">
      <c r="A709" s="923" t="s">
        <v>15</v>
      </c>
      <c r="B709" s="214">
        <v>14676</v>
      </c>
      <c r="C709" s="308">
        <v>0.1</v>
      </c>
      <c r="D709" s="272" t="s">
        <v>481</v>
      </c>
      <c r="E709" s="230">
        <v>1700000</v>
      </c>
      <c r="F709" s="228">
        <v>7.0000000000000007E-2</v>
      </c>
      <c r="G709" s="243">
        <f>E709*F709</f>
        <v>119000.00000000001</v>
      </c>
      <c r="H709" s="297" t="s">
        <v>26</v>
      </c>
      <c r="I709" s="220" t="s">
        <v>410</v>
      </c>
      <c r="J709" s="220" t="s">
        <v>19</v>
      </c>
      <c r="K709" s="351"/>
      <c r="L709" s="358"/>
      <c r="M709" s="419">
        <v>14732</v>
      </c>
      <c r="N709" s="423" t="s">
        <v>482</v>
      </c>
      <c r="O709" s="242">
        <v>1400000</v>
      </c>
      <c r="P709" s="228">
        <v>0.05</v>
      </c>
      <c r="Q709" s="462">
        <f>O709*P709</f>
        <v>70000</v>
      </c>
    </row>
    <row r="710" spans="1:17" ht="15.75">
      <c r="A710" s="923"/>
      <c r="B710" s="260">
        <v>14653</v>
      </c>
      <c r="C710" s="231">
        <v>0.1</v>
      </c>
      <c r="D710" s="261" t="s">
        <v>483</v>
      </c>
      <c r="E710" s="230">
        <v>1900000</v>
      </c>
      <c r="F710" s="228">
        <v>0.12</v>
      </c>
      <c r="G710" s="243">
        <f t="shared" ref="G710:G722" si="27">E710*F710</f>
        <v>228000</v>
      </c>
      <c r="H710" s="297" t="s">
        <v>484</v>
      </c>
      <c r="I710" s="220" t="s">
        <v>21</v>
      </c>
      <c r="J710" s="220" t="s">
        <v>19</v>
      </c>
      <c r="K710" s="351"/>
      <c r="L710" s="358"/>
      <c r="M710" s="419">
        <v>14769</v>
      </c>
      <c r="N710" s="423" t="s">
        <v>485</v>
      </c>
      <c r="O710" s="242">
        <v>1900000</v>
      </c>
      <c r="P710" s="228">
        <v>0.05</v>
      </c>
      <c r="Q710" s="462">
        <f t="shared" ref="Q710:Q713" si="28">O710*P710</f>
        <v>95000</v>
      </c>
    </row>
    <row r="711" spans="1:17" ht="15.75">
      <c r="A711" s="923"/>
      <c r="B711" s="214">
        <v>14634</v>
      </c>
      <c r="C711" s="308">
        <v>0.1</v>
      </c>
      <c r="D711" s="272" t="s">
        <v>486</v>
      </c>
      <c r="E711" s="230">
        <v>1050000</v>
      </c>
      <c r="F711" s="228">
        <v>7.0000000000000007E-2</v>
      </c>
      <c r="G711" s="243">
        <f t="shared" si="27"/>
        <v>73500</v>
      </c>
      <c r="H711" s="297" t="s">
        <v>26</v>
      </c>
      <c r="I711" s="220" t="s">
        <v>410</v>
      </c>
      <c r="J711" s="220" t="s">
        <v>19</v>
      </c>
      <c r="K711" s="351"/>
      <c r="L711" s="358"/>
      <c r="M711" s="419">
        <v>14815</v>
      </c>
      <c r="N711" s="423" t="s">
        <v>487</v>
      </c>
      <c r="O711" s="242">
        <v>1800000</v>
      </c>
      <c r="P711" s="228">
        <v>0.05</v>
      </c>
      <c r="Q711" s="462">
        <f t="shared" si="28"/>
        <v>90000</v>
      </c>
    </row>
    <row r="712" spans="1:17" ht="15.75">
      <c r="A712" s="923"/>
      <c r="B712" s="214">
        <v>14663</v>
      </c>
      <c r="C712" s="308">
        <v>0.1</v>
      </c>
      <c r="D712" s="272" t="s">
        <v>488</v>
      </c>
      <c r="E712" s="230">
        <v>1700000</v>
      </c>
      <c r="F712" s="228">
        <v>7.0000000000000007E-2</v>
      </c>
      <c r="G712" s="243">
        <f t="shared" si="27"/>
        <v>119000.00000000001</v>
      </c>
      <c r="H712" s="297" t="s">
        <v>26</v>
      </c>
      <c r="I712" s="220" t="s">
        <v>21</v>
      </c>
      <c r="J712" s="220" t="s">
        <v>19</v>
      </c>
      <c r="K712" s="351"/>
      <c r="L712" s="358"/>
      <c r="M712" s="419">
        <v>14779</v>
      </c>
      <c r="N712" s="423" t="s">
        <v>489</v>
      </c>
      <c r="O712" s="242">
        <v>2900000</v>
      </c>
      <c r="P712" s="217">
        <v>0.04</v>
      </c>
      <c r="Q712" s="462">
        <f t="shared" si="28"/>
        <v>116000</v>
      </c>
    </row>
    <row r="713" spans="1:17" ht="15.75">
      <c r="A713" s="923"/>
      <c r="B713" s="214">
        <v>14678</v>
      </c>
      <c r="C713" s="308">
        <v>0.1</v>
      </c>
      <c r="D713" s="272" t="s">
        <v>490</v>
      </c>
      <c r="E713" s="230">
        <v>3500000</v>
      </c>
      <c r="F713" s="228">
        <v>0.12</v>
      </c>
      <c r="G713" s="243">
        <f t="shared" si="27"/>
        <v>420000</v>
      </c>
      <c r="H713" s="297" t="s">
        <v>62</v>
      </c>
      <c r="I713" s="220" t="s">
        <v>21</v>
      </c>
      <c r="J713" s="220" t="s">
        <v>19</v>
      </c>
      <c r="K713" s="351"/>
      <c r="L713" s="358"/>
      <c r="M713" s="419">
        <v>14658</v>
      </c>
      <c r="N713" s="423" t="s">
        <v>491</v>
      </c>
      <c r="O713" s="242">
        <v>3200000</v>
      </c>
      <c r="P713" s="228">
        <v>0.05</v>
      </c>
      <c r="Q713" s="462">
        <f t="shared" si="28"/>
        <v>160000</v>
      </c>
    </row>
    <row r="714" spans="1:17" ht="15.75">
      <c r="A714" s="923"/>
      <c r="B714" s="214">
        <v>14680</v>
      </c>
      <c r="C714" s="308">
        <v>0.1</v>
      </c>
      <c r="D714" s="241" t="s">
        <v>492</v>
      </c>
      <c r="E714" s="242">
        <v>2200000</v>
      </c>
      <c r="F714" s="228">
        <v>7.0000000000000007E-2</v>
      </c>
      <c r="G714" s="243">
        <f t="shared" si="27"/>
        <v>154000.00000000003</v>
      </c>
      <c r="H714" s="244" t="s">
        <v>39</v>
      </c>
      <c r="I714" s="239" t="s">
        <v>18</v>
      </c>
      <c r="J714" s="220" t="s">
        <v>19</v>
      </c>
      <c r="K714" s="351"/>
      <c r="L714" s="358"/>
      <c r="M714" s="428"/>
      <c r="N714" s="429"/>
      <c r="O714" s="430"/>
      <c r="P714" s="10"/>
      <c r="Q714" s="431"/>
    </row>
    <row r="715" spans="1:17" ht="15.75">
      <c r="A715" s="923"/>
      <c r="B715" s="214">
        <v>14726</v>
      </c>
      <c r="C715" s="308">
        <v>0.1</v>
      </c>
      <c r="D715" s="241" t="s">
        <v>493</v>
      </c>
      <c r="E715" s="242">
        <v>2150000</v>
      </c>
      <c r="F715" s="228">
        <v>0.12</v>
      </c>
      <c r="G715" s="243">
        <f t="shared" si="27"/>
        <v>258000</v>
      </c>
      <c r="H715" s="244" t="s">
        <v>62</v>
      </c>
      <c r="I715" s="239" t="s">
        <v>440</v>
      </c>
      <c r="J715" s="220" t="s">
        <v>19</v>
      </c>
      <c r="K715" s="351"/>
      <c r="L715" s="358"/>
      <c r="M715" s="428"/>
      <c r="N715" s="429"/>
      <c r="O715" s="430"/>
      <c r="P715" s="10"/>
      <c r="Q715" s="431"/>
    </row>
    <row r="716" spans="1:17" ht="15.75">
      <c r="A716" s="923"/>
      <c r="B716" s="214">
        <v>14822</v>
      </c>
      <c r="C716" s="308">
        <v>0.1</v>
      </c>
      <c r="D716" s="241" t="s">
        <v>494</v>
      </c>
      <c r="E716" s="242">
        <v>1532000</v>
      </c>
      <c r="F716" s="228">
        <v>7.0000000000000007E-2</v>
      </c>
      <c r="G716" s="243">
        <f t="shared" si="27"/>
        <v>107240.00000000001</v>
      </c>
      <c r="H716" s="244" t="s">
        <v>26</v>
      </c>
      <c r="I716" s="239" t="s">
        <v>410</v>
      </c>
      <c r="J716" s="220" t="s">
        <v>19</v>
      </c>
      <c r="K716" s="351"/>
      <c r="L716" s="358"/>
      <c r="M716" s="428"/>
      <c r="N716" s="429"/>
      <c r="O716" s="430"/>
      <c r="P716" s="10"/>
      <c r="Q716" s="431"/>
    </row>
    <row r="717" spans="1:17" ht="15.75">
      <c r="A717" s="923"/>
      <c r="B717" s="214">
        <v>14789</v>
      </c>
      <c r="C717" s="308">
        <v>0.1</v>
      </c>
      <c r="D717" s="241" t="s">
        <v>495</v>
      </c>
      <c r="E717" s="242">
        <v>1500000</v>
      </c>
      <c r="F717" s="228">
        <v>7.0000000000000007E-2</v>
      </c>
      <c r="G717" s="243">
        <f t="shared" si="27"/>
        <v>105000.00000000001</v>
      </c>
      <c r="H717" s="244" t="s">
        <v>26</v>
      </c>
      <c r="I717" s="239" t="s">
        <v>21</v>
      </c>
      <c r="J717" s="220" t="s">
        <v>19</v>
      </c>
      <c r="K717" s="351"/>
      <c r="L717" s="358"/>
      <c r="M717" s="428"/>
      <c r="N717" s="429"/>
      <c r="O717" s="430"/>
      <c r="P717" s="10"/>
      <c r="Q717" s="431"/>
    </row>
    <row r="718" spans="1:17" ht="15.75">
      <c r="A718" s="923"/>
      <c r="B718" s="214">
        <v>14817</v>
      </c>
      <c r="C718" s="526">
        <v>0.08</v>
      </c>
      <c r="D718" s="241" t="s">
        <v>496</v>
      </c>
      <c r="E718" s="242">
        <v>2200000</v>
      </c>
      <c r="F718" s="217">
        <v>0.06</v>
      </c>
      <c r="G718" s="243">
        <f t="shared" si="27"/>
        <v>132000</v>
      </c>
      <c r="H718" s="244" t="s">
        <v>26</v>
      </c>
      <c r="I718" s="239" t="s">
        <v>440</v>
      </c>
      <c r="J718" s="220" t="s">
        <v>19</v>
      </c>
      <c r="K718" s="351"/>
      <c r="L718" s="358"/>
      <c r="M718" s="428"/>
      <c r="N718" s="429"/>
      <c r="O718" s="430"/>
      <c r="P718" s="10"/>
      <c r="Q718" s="431"/>
    </row>
    <row r="719" spans="1:17" ht="15.75">
      <c r="A719" s="923"/>
      <c r="B719" s="214">
        <v>14827</v>
      </c>
      <c r="C719" s="308">
        <v>0.1</v>
      </c>
      <c r="D719" s="241" t="s">
        <v>497</v>
      </c>
      <c r="E719" s="242">
        <v>2200000</v>
      </c>
      <c r="F719" s="228">
        <v>7.0000000000000007E-2</v>
      </c>
      <c r="G719" s="243">
        <f t="shared" si="27"/>
        <v>154000.00000000003</v>
      </c>
      <c r="H719" s="244" t="s">
        <v>26</v>
      </c>
      <c r="I719" s="239" t="s">
        <v>21</v>
      </c>
      <c r="J719" s="220" t="s">
        <v>19</v>
      </c>
      <c r="K719" s="351"/>
      <c r="L719" s="358"/>
      <c r="M719" s="428"/>
      <c r="N719" s="429"/>
      <c r="O719" s="430"/>
      <c r="P719" s="10"/>
      <c r="Q719" s="431"/>
    </row>
    <row r="720" spans="1:17" ht="15.75">
      <c r="A720" s="923"/>
      <c r="B720" s="411">
        <v>14843</v>
      </c>
      <c r="C720" s="308">
        <v>0.1</v>
      </c>
      <c r="D720" s="241" t="s">
        <v>498</v>
      </c>
      <c r="E720" s="242">
        <v>1100000</v>
      </c>
      <c r="F720" s="228">
        <v>0.12</v>
      </c>
      <c r="G720" s="243">
        <f t="shared" si="27"/>
        <v>132000</v>
      </c>
      <c r="H720" s="244" t="s">
        <v>62</v>
      </c>
      <c r="I720" s="239" t="s">
        <v>478</v>
      </c>
      <c r="J720" s="220" t="s">
        <v>19</v>
      </c>
      <c r="K720" s="351"/>
      <c r="L720" s="358"/>
      <c r="M720" s="428"/>
      <c r="N720" s="429"/>
      <c r="O720" s="430"/>
      <c r="P720" s="10"/>
      <c r="Q720" s="431"/>
    </row>
    <row r="721" spans="1:17" ht="15.75">
      <c r="A721" s="923"/>
      <c r="B721" s="795">
        <v>14854</v>
      </c>
      <c r="C721" s="308">
        <v>0.1</v>
      </c>
      <c r="D721" s="241" t="s">
        <v>473</v>
      </c>
      <c r="E721" s="242">
        <v>2000000</v>
      </c>
      <c r="F721" s="228">
        <v>7.0000000000000007E-2</v>
      </c>
      <c r="G721" s="243">
        <f t="shared" si="27"/>
        <v>140000</v>
      </c>
      <c r="H721" s="244" t="s">
        <v>17</v>
      </c>
      <c r="I721" s="239" t="s">
        <v>21</v>
      </c>
      <c r="J721" s="220" t="s">
        <v>19</v>
      </c>
      <c r="K721" s="351"/>
      <c r="L721" s="358"/>
      <c r="M721" s="428"/>
      <c r="N721" s="429"/>
      <c r="O721" s="430"/>
      <c r="P721" s="10"/>
      <c r="Q721" s="431"/>
    </row>
    <row r="722" spans="1:17" ht="15.75">
      <c r="A722" s="923"/>
      <c r="B722" s="740">
        <v>14823</v>
      </c>
      <c r="C722" s="794">
        <v>0.08</v>
      </c>
      <c r="D722" s="722" t="s">
        <v>499</v>
      </c>
      <c r="E722" s="791">
        <v>1850000</v>
      </c>
      <c r="F722" s="217">
        <v>0.06</v>
      </c>
      <c r="G722" s="243">
        <f t="shared" si="27"/>
        <v>111000</v>
      </c>
      <c r="H722" s="244" t="s">
        <v>415</v>
      </c>
      <c r="I722" s="239" t="s">
        <v>500</v>
      </c>
      <c r="J722" s="220" t="s">
        <v>19</v>
      </c>
      <c r="K722" s="351"/>
      <c r="L722" s="358"/>
      <c r="M722" s="428"/>
      <c r="N722" s="429"/>
      <c r="O722" s="792"/>
      <c r="P722" s="634"/>
      <c r="Q722" s="431"/>
    </row>
    <row r="723" spans="1:17" ht="15.75">
      <c r="A723" s="923"/>
      <c r="B723" s="253" t="s">
        <v>40</v>
      </c>
      <c r="C723" s="329"/>
      <c r="D723" s="336" t="s">
        <v>501</v>
      </c>
      <c r="E723" s="255"/>
      <c r="F723" s="254"/>
      <c r="G723" s="266"/>
      <c r="H723" s="291"/>
      <c r="I723" s="213" t="s">
        <v>18</v>
      </c>
      <c r="J723" s="268"/>
      <c r="K723" s="289"/>
      <c r="L723" s="512"/>
      <c r="M723" s="428"/>
      <c r="N723" s="778"/>
      <c r="O723" s="992" t="s">
        <v>46</v>
      </c>
      <c r="P723" s="993"/>
      <c r="Q723" s="487">
        <f>SUM(Q709:Q721)</f>
        <v>531000</v>
      </c>
    </row>
    <row r="724" spans="1:17" ht="15.75">
      <c r="A724" s="924"/>
      <c r="B724" s="13"/>
      <c r="C724" s="14"/>
      <c r="D724" s="15" t="s">
        <v>46</v>
      </c>
      <c r="E724" s="16">
        <f>SUM(E709:E723)</f>
        <v>26582000</v>
      </c>
      <c r="F724" s="17"/>
      <c r="G724" s="383">
        <f>SUM(G709:G723)</f>
        <v>2252740</v>
      </c>
      <c r="H724" s="17"/>
      <c r="I724" s="18"/>
      <c r="J724" s="18"/>
      <c r="K724" s="18"/>
      <c r="L724" s="19"/>
      <c r="M724" s="480"/>
      <c r="N724" s="942" t="s">
        <v>70</v>
      </c>
      <c r="O724" s="942"/>
      <c r="P724" s="942"/>
      <c r="Q724" s="481">
        <f>G724+Q723</f>
        <v>2783740</v>
      </c>
    </row>
    <row r="728" spans="1:17" ht="18">
      <c r="A728" s="941" t="s">
        <v>502</v>
      </c>
      <c r="B728" s="980"/>
      <c r="C728" s="980"/>
      <c r="D728" s="980"/>
      <c r="E728" s="980"/>
      <c r="F728" s="980"/>
      <c r="G728" s="980"/>
      <c r="H728" s="980"/>
      <c r="I728" s="980"/>
      <c r="J728" s="980"/>
      <c r="K728" s="980"/>
      <c r="L728" s="981"/>
      <c r="M728" s="978" t="s">
        <v>14</v>
      </c>
      <c r="N728" s="955"/>
      <c r="O728" s="955"/>
      <c r="P728" s="979"/>
      <c r="Q728" s="76"/>
    </row>
    <row r="729" spans="1:17" ht="15.75">
      <c r="A729" s="115" t="s">
        <v>2</v>
      </c>
      <c r="B729" s="440" t="s">
        <v>3</v>
      </c>
      <c r="C729" s="441" t="s">
        <v>4</v>
      </c>
      <c r="D729" s="115" t="s">
        <v>5</v>
      </c>
      <c r="E729" s="442" t="s">
        <v>6</v>
      </c>
      <c r="F729" s="441" t="s">
        <v>7</v>
      </c>
      <c r="G729" s="443" t="s">
        <v>8</v>
      </c>
      <c r="H729" s="441" t="s">
        <v>9</v>
      </c>
      <c r="I729" s="561" t="s">
        <v>10</v>
      </c>
      <c r="J729" s="52" t="s">
        <v>11</v>
      </c>
      <c r="K729" s="119" t="s">
        <v>12</v>
      </c>
      <c r="L729" s="441" t="s">
        <v>13</v>
      </c>
      <c r="M729" s="54" t="s">
        <v>3</v>
      </c>
      <c r="N729" s="54" t="s">
        <v>5</v>
      </c>
      <c r="O729" s="39" t="s">
        <v>49</v>
      </c>
      <c r="P729" s="371" t="s">
        <v>7</v>
      </c>
      <c r="Q729" s="56" t="s">
        <v>50</v>
      </c>
    </row>
    <row r="730" spans="1:17" ht="15.75">
      <c r="A730" s="947" t="s">
        <v>503</v>
      </c>
      <c r="B730" s="545">
        <v>14778</v>
      </c>
      <c r="C730" s="308">
        <v>0.1</v>
      </c>
      <c r="D730" s="272" t="s">
        <v>504</v>
      </c>
      <c r="E730" s="216">
        <v>800000</v>
      </c>
      <c r="F730" s="228">
        <v>0.04</v>
      </c>
      <c r="G730" s="218">
        <f>E730*F730</f>
        <v>32000</v>
      </c>
      <c r="H730" s="219" t="s">
        <v>415</v>
      </c>
      <c r="I730" s="220" t="s">
        <v>21</v>
      </c>
      <c r="J730" s="616" t="s">
        <v>19</v>
      </c>
      <c r="K730" s="220"/>
      <c r="L730" s="373"/>
      <c r="M730" s="422">
        <v>14672</v>
      </c>
      <c r="N730" s="421" t="s">
        <v>505</v>
      </c>
      <c r="O730" s="237">
        <v>1400000</v>
      </c>
      <c r="P730" s="228">
        <v>0.04</v>
      </c>
      <c r="Q730" s="375">
        <f>O730*P730</f>
        <v>56000</v>
      </c>
    </row>
    <row r="731" spans="1:17" ht="15.75">
      <c r="A731" s="947"/>
      <c r="B731" s="545">
        <v>14834</v>
      </c>
      <c r="C731" s="308">
        <v>0.1</v>
      </c>
      <c r="D731" s="272" t="s">
        <v>506</v>
      </c>
      <c r="E731" s="216">
        <v>1200000</v>
      </c>
      <c r="F731" s="228">
        <v>0.04</v>
      </c>
      <c r="G731" s="218">
        <f>E731*F731</f>
        <v>48000</v>
      </c>
      <c r="H731" s="219" t="s">
        <v>39</v>
      </c>
      <c r="I731" s="220" t="s">
        <v>410</v>
      </c>
      <c r="J731" s="616" t="s">
        <v>19</v>
      </c>
      <c r="K731" s="220"/>
      <c r="L731" s="373"/>
      <c r="M731" s="435"/>
      <c r="N731" s="436"/>
      <c r="O731" s="11"/>
      <c r="P731" s="437"/>
      <c r="Q731" s="431"/>
    </row>
    <row r="732" spans="1:17" ht="15.75">
      <c r="A732" s="947"/>
      <c r="B732" s="759" t="s">
        <v>40</v>
      </c>
      <c r="C732" s="329"/>
      <c r="D732" s="205" t="s">
        <v>507</v>
      </c>
      <c r="E732" s="265"/>
      <c r="F732" s="254"/>
      <c r="G732" s="266"/>
      <c r="H732" s="267"/>
      <c r="I732" s="268" t="s">
        <v>478</v>
      </c>
      <c r="J732" s="765"/>
      <c r="K732" s="268"/>
      <c r="L732" s="374"/>
      <c r="M732" s="435"/>
      <c r="N732" s="436"/>
      <c r="O732" s="11"/>
      <c r="P732" s="437"/>
      <c r="Q732" s="431"/>
    </row>
    <row r="733" spans="1:17" ht="15.75">
      <c r="A733" s="947"/>
      <c r="B733" s="759" t="s">
        <v>40</v>
      </c>
      <c r="C733" s="329"/>
      <c r="D733" s="205" t="s">
        <v>508</v>
      </c>
      <c r="E733" s="265"/>
      <c r="F733" s="254"/>
      <c r="G733" s="266"/>
      <c r="H733" s="267"/>
      <c r="I733" s="268" t="s">
        <v>500</v>
      </c>
      <c r="J733" s="765"/>
      <c r="K733" s="268"/>
      <c r="L733" s="374"/>
      <c r="M733" s="435"/>
      <c r="N733" s="436"/>
      <c r="O733" s="11"/>
      <c r="P733" s="437"/>
      <c r="Q733" s="431"/>
    </row>
    <row r="734" spans="1:17" ht="15.75">
      <c r="A734" s="948"/>
      <c r="B734" s="253" t="s">
        <v>40</v>
      </c>
      <c r="C734" s="263"/>
      <c r="D734" s="264" t="s">
        <v>509</v>
      </c>
      <c r="E734" s="265"/>
      <c r="F734" s="254"/>
      <c r="G734" s="266"/>
      <c r="H734" s="267"/>
      <c r="I734" s="268" t="s">
        <v>440</v>
      </c>
      <c r="J734" s="268"/>
      <c r="K734" s="268"/>
      <c r="L734" s="374"/>
      <c r="M734" s="435"/>
      <c r="N734" s="436"/>
      <c r="O734" s="11"/>
      <c r="P734" s="437"/>
      <c r="Q734" s="431"/>
    </row>
    <row r="735" spans="1:17" ht="15.75">
      <c r="A735" s="948"/>
      <c r="B735" s="262" t="s">
        <v>458</v>
      </c>
      <c r="C735" s="329"/>
      <c r="D735" s="205" t="s">
        <v>510</v>
      </c>
      <c r="E735" s="265"/>
      <c r="F735" s="254"/>
      <c r="G735" s="266"/>
      <c r="H735" s="267"/>
      <c r="I735" s="268" t="s">
        <v>500</v>
      </c>
      <c r="J735" s="417"/>
      <c r="K735" s="417"/>
      <c r="L735" s="374"/>
      <c r="M735" s="435"/>
      <c r="N735" s="436"/>
      <c r="O735" s="761"/>
      <c r="P735" s="762"/>
      <c r="Q735" s="431"/>
    </row>
    <row r="736" spans="1:17" ht="15.75">
      <c r="A736" s="948"/>
      <c r="B736" s="759" t="s">
        <v>40</v>
      </c>
      <c r="C736" s="329"/>
      <c r="D736" s="205" t="s">
        <v>511</v>
      </c>
      <c r="E736" s="265"/>
      <c r="F736" s="254"/>
      <c r="G736" s="266"/>
      <c r="H736" s="267"/>
      <c r="I736" s="268" t="s">
        <v>500</v>
      </c>
      <c r="J736" s="417"/>
      <c r="K736" s="417"/>
      <c r="L736" s="374"/>
      <c r="M736" s="435"/>
      <c r="N736" s="436"/>
      <c r="O736" s="761"/>
      <c r="P736" s="762"/>
      <c r="Q736" s="431"/>
    </row>
    <row r="737" spans="1:17" ht="15.75">
      <c r="A737" s="949"/>
      <c r="B737" s="747"/>
      <c r="C737" s="748"/>
      <c r="D737" s="749"/>
      <c r="E737" s="750">
        <f>SUM(E730:E736)</f>
        <v>2000000</v>
      </c>
      <c r="F737" s="751"/>
      <c r="G737" s="752">
        <f>SUM(G730:G736)</f>
        <v>80000</v>
      </c>
      <c r="H737" s="751"/>
      <c r="I737" s="753"/>
      <c r="J737" s="753"/>
      <c r="K737" s="753"/>
      <c r="L737" s="448"/>
      <c r="M737" s="62"/>
      <c r="N737" s="950" t="s">
        <v>70</v>
      </c>
      <c r="O737" s="951"/>
      <c r="P737" s="952"/>
      <c r="Q737" s="65">
        <f>G737+Q730</f>
        <v>136000</v>
      </c>
    </row>
    <row r="741" spans="1:17" ht="18">
      <c r="A741" s="918" t="s">
        <v>91</v>
      </c>
      <c r="B741" s="918"/>
      <c r="C741" s="918"/>
      <c r="D741" s="918"/>
      <c r="E741" s="918"/>
      <c r="F741" s="918"/>
      <c r="G741" s="918"/>
      <c r="H741" s="918"/>
      <c r="I741" s="918"/>
      <c r="J741" s="918"/>
      <c r="K741" s="919"/>
      <c r="L741" s="918"/>
      <c r="M741" s="944" t="s">
        <v>14</v>
      </c>
      <c r="N741" s="945"/>
      <c r="O741" s="945"/>
      <c r="P741" s="946"/>
      <c r="Q741" s="122"/>
    </row>
    <row r="742" spans="1:17" ht="18">
      <c r="A742" s="637" t="s">
        <v>2</v>
      </c>
      <c r="B742" s="638" t="s">
        <v>3</v>
      </c>
      <c r="C742" s="639" t="s">
        <v>4</v>
      </c>
      <c r="D742" s="638" t="s">
        <v>5</v>
      </c>
      <c r="E742" s="640" t="s">
        <v>6</v>
      </c>
      <c r="F742" s="640" t="s">
        <v>7</v>
      </c>
      <c r="G742" s="640" t="s">
        <v>8</v>
      </c>
      <c r="H742" s="640" t="s">
        <v>9</v>
      </c>
      <c r="I742" s="640" t="s">
        <v>10</v>
      </c>
      <c r="J742" s="641" t="s">
        <v>11</v>
      </c>
      <c r="K742" s="640" t="s">
        <v>12</v>
      </c>
      <c r="L742" s="559"/>
      <c r="M742" s="54" t="s">
        <v>3</v>
      </c>
      <c r="N742" s="54" t="s">
        <v>5</v>
      </c>
      <c r="O742" s="39" t="s">
        <v>49</v>
      </c>
      <c r="P742" s="371" t="s">
        <v>7</v>
      </c>
      <c r="Q742" s="56" t="s">
        <v>50</v>
      </c>
    </row>
    <row r="743" spans="1:17" ht="15.75">
      <c r="A743" s="923" t="s">
        <v>512</v>
      </c>
      <c r="B743" s="260">
        <v>14746</v>
      </c>
      <c r="C743" s="526">
        <v>0.08</v>
      </c>
      <c r="D743" s="241" t="s">
        <v>513</v>
      </c>
      <c r="E743" s="242">
        <v>1500000</v>
      </c>
      <c r="F743" s="217">
        <v>0.04</v>
      </c>
      <c r="G743" s="218">
        <f>E743*F743</f>
        <v>60000</v>
      </c>
      <c r="H743" s="244" t="s">
        <v>39</v>
      </c>
      <c r="I743" s="239" t="s">
        <v>410</v>
      </c>
      <c r="J743" s="239" t="s">
        <v>19</v>
      </c>
      <c r="K743" s="239"/>
      <c r="L743" s="418"/>
      <c r="M743" s="428"/>
      <c r="N743" s="448"/>
      <c r="O743" s="430"/>
      <c r="P743" s="10"/>
      <c r="Q743" s="431"/>
    </row>
    <row r="744" spans="1:17" ht="17.25" customHeight="1">
      <c r="A744" s="923"/>
      <c r="B744" s="743" t="s">
        <v>514</v>
      </c>
      <c r="C744" s="228">
        <v>0.1</v>
      </c>
      <c r="D744" s="569" t="s">
        <v>515</v>
      </c>
      <c r="E744" s="242">
        <v>1050000</v>
      </c>
      <c r="F744" s="228">
        <v>0.05</v>
      </c>
      <c r="G744" s="218">
        <f t="shared" ref="G744:G760" si="29">E744*F744</f>
        <v>52500</v>
      </c>
      <c r="H744" s="244" t="s">
        <v>29</v>
      </c>
      <c r="I744" s="239" t="s">
        <v>410</v>
      </c>
      <c r="J744" s="239" t="s">
        <v>19</v>
      </c>
      <c r="K744" s="239"/>
      <c r="L744" s="418"/>
      <c r="M744" s="428"/>
      <c r="N744" s="448"/>
      <c r="O744" s="430"/>
      <c r="P744" s="10"/>
      <c r="Q744" s="431"/>
    </row>
    <row r="745" spans="1:17" ht="15.75">
      <c r="A745" s="923"/>
      <c r="B745" s="293">
        <v>14613</v>
      </c>
      <c r="C745" s="231">
        <v>0.1</v>
      </c>
      <c r="D745" s="241" t="s">
        <v>516</v>
      </c>
      <c r="E745" s="242">
        <v>1050000</v>
      </c>
      <c r="F745" s="228">
        <v>0.05</v>
      </c>
      <c r="G745" s="218">
        <f t="shared" si="29"/>
        <v>52500</v>
      </c>
      <c r="H745" s="244" t="s">
        <v>29</v>
      </c>
      <c r="I745" s="239" t="s">
        <v>21</v>
      </c>
      <c r="J745" s="239" t="s">
        <v>19</v>
      </c>
      <c r="K745" s="239"/>
      <c r="L745" s="418"/>
      <c r="M745" s="428"/>
      <c r="N745" s="448"/>
      <c r="O745" s="430"/>
      <c r="P745" s="10"/>
      <c r="Q745" s="431"/>
    </row>
    <row r="746" spans="1:17" ht="15.75">
      <c r="A746" s="923"/>
      <c r="B746" s="293">
        <v>14628</v>
      </c>
      <c r="C746" s="231">
        <v>0.1</v>
      </c>
      <c r="D746" s="241" t="s">
        <v>517</v>
      </c>
      <c r="E746" s="242">
        <v>950000</v>
      </c>
      <c r="F746" s="228">
        <v>0.06</v>
      </c>
      <c r="G746" s="218">
        <f t="shared" si="29"/>
        <v>57000</v>
      </c>
      <c r="H746" s="244" t="s">
        <v>26</v>
      </c>
      <c r="I746" s="239" t="s">
        <v>21</v>
      </c>
      <c r="J746" s="239" t="s">
        <v>19</v>
      </c>
      <c r="K746" s="239"/>
      <c r="L746" s="418"/>
      <c r="M746" s="428"/>
      <c r="N746" s="448"/>
      <c r="O746" s="430"/>
      <c r="P746" s="10"/>
      <c r="Q746" s="431"/>
    </row>
    <row r="747" spans="1:17" ht="15.75">
      <c r="A747" s="923"/>
      <c r="B747" s="293">
        <v>14635</v>
      </c>
      <c r="C747" s="347">
        <v>0.08</v>
      </c>
      <c r="D747" s="241" t="s">
        <v>518</v>
      </c>
      <c r="E747" s="242">
        <v>1200000</v>
      </c>
      <c r="F747" s="217">
        <v>0.08</v>
      </c>
      <c r="G747" s="218">
        <f t="shared" si="29"/>
        <v>96000</v>
      </c>
      <c r="H747" s="244" t="s">
        <v>93</v>
      </c>
      <c r="I747" s="239" t="s">
        <v>18</v>
      </c>
      <c r="J747" s="239" t="s">
        <v>19</v>
      </c>
      <c r="K747" s="239"/>
      <c r="L747" s="418"/>
      <c r="M747" s="428"/>
      <c r="N747" s="448"/>
      <c r="O747" s="430"/>
      <c r="P747" s="10"/>
      <c r="Q747" s="431"/>
    </row>
    <row r="748" spans="1:17" ht="15.75">
      <c r="A748" s="923"/>
      <c r="B748" s="293">
        <v>14671</v>
      </c>
      <c r="C748" s="231">
        <v>0.1</v>
      </c>
      <c r="D748" s="241" t="s">
        <v>519</v>
      </c>
      <c r="E748" s="242">
        <v>1200000</v>
      </c>
      <c r="F748" s="228">
        <v>0.1</v>
      </c>
      <c r="G748" s="218">
        <f t="shared" si="29"/>
        <v>120000</v>
      </c>
      <c r="H748" s="244" t="s">
        <v>93</v>
      </c>
      <c r="I748" s="239" t="s">
        <v>410</v>
      </c>
      <c r="J748" s="239" t="s">
        <v>19</v>
      </c>
      <c r="K748" s="239"/>
      <c r="L748" s="418"/>
      <c r="M748" s="428"/>
      <c r="N748" s="448"/>
      <c r="O748" s="430"/>
      <c r="P748" s="10"/>
      <c r="Q748" s="431"/>
    </row>
    <row r="749" spans="1:17" ht="15.75">
      <c r="A749" s="923"/>
      <c r="B749" s="293">
        <v>14669</v>
      </c>
      <c r="C749" s="347">
        <v>0.08</v>
      </c>
      <c r="D749" s="241" t="s">
        <v>476</v>
      </c>
      <c r="E749" s="242">
        <v>1300000</v>
      </c>
      <c r="F749" s="217">
        <v>0.04</v>
      </c>
      <c r="G749" s="218">
        <f t="shared" si="29"/>
        <v>52000</v>
      </c>
      <c r="H749" s="244" t="s">
        <v>17</v>
      </c>
      <c r="I749" s="239" t="s">
        <v>18</v>
      </c>
      <c r="J749" s="239" t="s">
        <v>19</v>
      </c>
      <c r="K749" s="239"/>
      <c r="L749" s="418"/>
      <c r="M749" s="428"/>
      <c r="N749" s="448"/>
      <c r="O749" s="430"/>
      <c r="P749" s="10"/>
      <c r="Q749" s="431"/>
    </row>
    <row r="750" spans="1:17" ht="16.5" customHeight="1">
      <c r="A750" s="923"/>
      <c r="B750" s="754">
        <v>14699</v>
      </c>
      <c r="C750" s="231">
        <v>0.1</v>
      </c>
      <c r="D750" s="241" t="s">
        <v>520</v>
      </c>
      <c r="E750" s="242">
        <v>1100000</v>
      </c>
      <c r="F750" s="228">
        <v>0.06</v>
      </c>
      <c r="G750" s="218">
        <f t="shared" si="29"/>
        <v>66000</v>
      </c>
      <c r="H750" s="244" t="s">
        <v>26</v>
      </c>
      <c r="I750" s="239" t="s">
        <v>222</v>
      </c>
      <c r="J750" s="239" t="s">
        <v>19</v>
      </c>
      <c r="K750" s="239"/>
      <c r="L750" s="418"/>
      <c r="M750" s="428"/>
      <c r="N750" s="448"/>
      <c r="O750" s="430"/>
      <c r="P750" s="10"/>
      <c r="Q750" s="431"/>
    </row>
    <row r="751" spans="1:17" ht="15.75">
      <c r="A751" s="923"/>
      <c r="B751" s="293">
        <v>14725</v>
      </c>
      <c r="C751" s="231">
        <v>0.1</v>
      </c>
      <c r="D751" s="241" t="s">
        <v>521</v>
      </c>
      <c r="E751" s="242">
        <v>1150000</v>
      </c>
      <c r="F751" s="228">
        <v>0.05</v>
      </c>
      <c r="G751" s="218">
        <f t="shared" si="29"/>
        <v>57500</v>
      </c>
      <c r="H751" s="244" t="s">
        <v>39</v>
      </c>
      <c r="I751" s="239" t="s">
        <v>18</v>
      </c>
      <c r="J751" s="239" t="s">
        <v>19</v>
      </c>
      <c r="K751" s="239"/>
      <c r="L751" s="418"/>
      <c r="M751" s="428"/>
      <c r="N751" s="448"/>
      <c r="O751" s="430"/>
      <c r="P751" s="10"/>
      <c r="Q751" s="431"/>
    </row>
    <row r="752" spans="1:17" ht="15.75">
      <c r="A752" s="923"/>
      <c r="B752" s="338">
        <v>14719</v>
      </c>
      <c r="C752" s="755">
        <v>0.1</v>
      </c>
      <c r="D752" s="756" t="s">
        <v>522</v>
      </c>
      <c r="E752" s="242">
        <v>750000</v>
      </c>
      <c r="F752" s="228">
        <v>0.06</v>
      </c>
      <c r="G752" s="218">
        <f t="shared" si="29"/>
        <v>45000</v>
      </c>
      <c r="H752" s="244" t="s">
        <v>26</v>
      </c>
      <c r="I752" s="239" t="s">
        <v>410</v>
      </c>
      <c r="J752" s="239" t="s">
        <v>19</v>
      </c>
      <c r="K752" s="239"/>
      <c r="L752" s="418"/>
      <c r="M752" s="428"/>
      <c r="N752" s="448"/>
      <c r="O752" s="430"/>
      <c r="P752" s="10"/>
      <c r="Q752" s="431"/>
    </row>
    <row r="753" spans="1:17" ht="15.75">
      <c r="A753" s="923"/>
      <c r="B753" s="338">
        <v>14729</v>
      </c>
      <c r="C753" s="755">
        <v>0.1</v>
      </c>
      <c r="D753" s="756" t="s">
        <v>523</v>
      </c>
      <c r="E753" s="242">
        <v>1200000</v>
      </c>
      <c r="F753" s="228">
        <v>0.1</v>
      </c>
      <c r="G753" s="218">
        <f t="shared" si="29"/>
        <v>120000</v>
      </c>
      <c r="H753" s="244" t="s">
        <v>93</v>
      </c>
      <c r="I753" s="239" t="s">
        <v>222</v>
      </c>
      <c r="J753" s="239" t="s">
        <v>19</v>
      </c>
      <c r="K753" s="239"/>
      <c r="L753" s="418"/>
      <c r="M753" s="428"/>
      <c r="N753" s="448"/>
      <c r="O753" s="430"/>
      <c r="P753" s="10"/>
      <c r="Q753" s="431"/>
    </row>
    <row r="754" spans="1:17" ht="15.75">
      <c r="A754" s="923"/>
      <c r="B754" s="293">
        <v>14742</v>
      </c>
      <c r="C754" s="228">
        <v>0.1</v>
      </c>
      <c r="D754" s="756" t="s">
        <v>524</v>
      </c>
      <c r="E754" s="242">
        <v>1250000</v>
      </c>
      <c r="F754" s="228">
        <v>0.1</v>
      </c>
      <c r="G754" s="218">
        <f t="shared" si="29"/>
        <v>125000</v>
      </c>
      <c r="H754" s="244" t="s">
        <v>93</v>
      </c>
      <c r="I754" s="239" t="s">
        <v>500</v>
      </c>
      <c r="J754" s="239" t="s">
        <v>19</v>
      </c>
      <c r="K754" s="239"/>
      <c r="L754" s="418"/>
      <c r="M754" s="428"/>
      <c r="N754" s="448"/>
      <c r="O754" s="430"/>
      <c r="P754" s="10"/>
      <c r="Q754" s="431"/>
    </row>
    <row r="755" spans="1:17" ht="15.75">
      <c r="A755" s="923"/>
      <c r="B755" s="409">
        <v>14758</v>
      </c>
      <c r="C755" s="295">
        <v>0.1</v>
      </c>
      <c r="D755" s="756" t="s">
        <v>525</v>
      </c>
      <c r="E755" s="242">
        <v>1100000</v>
      </c>
      <c r="F755" s="228">
        <v>0.1</v>
      </c>
      <c r="G755" s="218">
        <f t="shared" si="29"/>
        <v>110000</v>
      </c>
      <c r="H755" s="244" t="s">
        <v>93</v>
      </c>
      <c r="I755" s="239" t="s">
        <v>21</v>
      </c>
      <c r="J755" s="239" t="s">
        <v>19</v>
      </c>
      <c r="K755" s="239"/>
      <c r="L755" s="418"/>
      <c r="M755" s="428"/>
      <c r="N755" s="448"/>
      <c r="O755" s="430"/>
      <c r="P755" s="10"/>
      <c r="Q755" s="431"/>
    </row>
    <row r="756" spans="1:17" ht="15.75">
      <c r="A756" s="923"/>
      <c r="B756" s="409">
        <v>14824</v>
      </c>
      <c r="C756" s="295">
        <v>0.1</v>
      </c>
      <c r="D756" s="756" t="s">
        <v>526</v>
      </c>
      <c r="E756" s="242">
        <v>1200000</v>
      </c>
      <c r="F756" s="228">
        <v>0.1</v>
      </c>
      <c r="G756" s="218">
        <f t="shared" si="29"/>
        <v>120000</v>
      </c>
      <c r="H756" s="244" t="s">
        <v>93</v>
      </c>
      <c r="I756" s="239" t="s">
        <v>21</v>
      </c>
      <c r="J756" s="239" t="s">
        <v>19</v>
      </c>
      <c r="K756" s="239"/>
      <c r="L756" s="418"/>
      <c r="M756" s="428"/>
      <c r="N756" s="448"/>
      <c r="O756" s="430"/>
      <c r="P756" s="10"/>
      <c r="Q756" s="431"/>
    </row>
    <row r="757" spans="1:17" ht="15.75">
      <c r="A757" s="923"/>
      <c r="B757" s="410">
        <v>14832</v>
      </c>
      <c r="C757" s="295">
        <v>0.1</v>
      </c>
      <c r="D757" s="775" t="s">
        <v>527</v>
      </c>
      <c r="E757" s="242">
        <v>900000</v>
      </c>
      <c r="F757" s="228">
        <v>0.06</v>
      </c>
      <c r="G757" s="218">
        <f t="shared" si="29"/>
        <v>54000</v>
      </c>
      <c r="H757" s="244" t="s">
        <v>26</v>
      </c>
      <c r="I757" s="239" t="s">
        <v>21</v>
      </c>
      <c r="J757" s="239" t="s">
        <v>19</v>
      </c>
      <c r="K757" s="239"/>
      <c r="L757" s="418"/>
      <c r="M757" s="428"/>
      <c r="N757" s="448"/>
      <c r="O757" s="430"/>
      <c r="P757" s="10"/>
      <c r="Q757" s="431"/>
    </row>
    <row r="758" spans="1:17" ht="15.75">
      <c r="A758" s="923"/>
      <c r="B758" s="341">
        <v>14837</v>
      </c>
      <c r="C758" s="793">
        <v>0.08</v>
      </c>
      <c r="D758" s="344" t="s">
        <v>528</v>
      </c>
      <c r="E758" s="278">
        <v>1300000</v>
      </c>
      <c r="F758" s="217">
        <v>0.08</v>
      </c>
      <c r="G758" s="218">
        <f t="shared" si="29"/>
        <v>104000</v>
      </c>
      <c r="H758" s="244" t="s">
        <v>93</v>
      </c>
      <c r="I758" s="239" t="s">
        <v>440</v>
      </c>
      <c r="J758" s="239" t="s">
        <v>19</v>
      </c>
      <c r="K758" s="239"/>
      <c r="L758" s="418"/>
      <c r="M758" s="428"/>
      <c r="N758" s="448"/>
      <c r="O758" s="430"/>
      <c r="P758" s="10"/>
      <c r="Q758" s="431"/>
    </row>
    <row r="759" spans="1:17" ht="15.75">
      <c r="A759" s="923"/>
      <c r="B759" s="409">
        <v>14839</v>
      </c>
      <c r="C759" s="342">
        <v>0.1</v>
      </c>
      <c r="D759" s="241" t="s">
        <v>529</v>
      </c>
      <c r="E759" s="278">
        <v>1000000</v>
      </c>
      <c r="F759" s="228">
        <v>0.1</v>
      </c>
      <c r="G759" s="218">
        <f t="shared" si="29"/>
        <v>100000</v>
      </c>
      <c r="H759" s="244" t="s">
        <v>93</v>
      </c>
      <c r="I759" s="239" t="s">
        <v>21</v>
      </c>
      <c r="J759" s="239" t="s">
        <v>19</v>
      </c>
      <c r="K759" s="239"/>
      <c r="L759" s="418"/>
      <c r="M759" s="428"/>
      <c r="N759" s="448"/>
      <c r="O759" s="430"/>
      <c r="P759" s="10"/>
      <c r="Q759" s="431"/>
    </row>
    <row r="760" spans="1:17" ht="15.75">
      <c r="A760" s="923"/>
      <c r="B760" s="409">
        <v>14831</v>
      </c>
      <c r="C760" s="342">
        <v>0.1</v>
      </c>
      <c r="D760" s="241" t="s">
        <v>530</v>
      </c>
      <c r="E760" s="278">
        <v>850000</v>
      </c>
      <c r="F760" s="228">
        <v>0.06</v>
      </c>
      <c r="G760" s="218">
        <f t="shared" si="29"/>
        <v>51000</v>
      </c>
      <c r="H760" s="244" t="s">
        <v>26</v>
      </c>
      <c r="I760" s="239" t="s">
        <v>18</v>
      </c>
      <c r="J760" s="239" t="s">
        <v>19</v>
      </c>
      <c r="K760" s="239"/>
      <c r="L760" s="418"/>
      <c r="M760" s="428"/>
      <c r="N760" s="448"/>
      <c r="O760" s="430"/>
      <c r="P760" s="10"/>
      <c r="Q760" s="431"/>
    </row>
    <row r="761" spans="1:17" ht="15.75">
      <c r="A761" s="923"/>
      <c r="B761" s="490" t="s">
        <v>40</v>
      </c>
      <c r="C761" s="760"/>
      <c r="D761" s="336" t="s">
        <v>511</v>
      </c>
      <c r="E761" s="255"/>
      <c r="F761" s="254"/>
      <c r="G761" s="266"/>
      <c r="H761" s="291"/>
      <c r="I761" s="213" t="s">
        <v>21</v>
      </c>
      <c r="J761" s="213"/>
      <c r="K761" s="213"/>
      <c r="L761" s="716"/>
      <c r="M761" s="428"/>
      <c r="N761" s="448"/>
      <c r="O761" s="430"/>
      <c r="P761" s="10"/>
      <c r="Q761" s="431"/>
    </row>
    <row r="762" spans="1:17" ht="15.75">
      <c r="A762" s="924"/>
      <c r="B762" s="610" t="s">
        <v>47</v>
      </c>
      <c r="C762" s="573"/>
      <c r="D762" s="574"/>
      <c r="E762" s="575">
        <f>SUM(E743:E761)</f>
        <v>20050000</v>
      </c>
      <c r="F762" s="576"/>
      <c r="G762" s="23">
        <f>SUM(G743:G761)</f>
        <v>1442500</v>
      </c>
      <c r="H762" s="576"/>
      <c r="I762" s="577"/>
      <c r="J762" s="578"/>
      <c r="K762" s="110"/>
      <c r="L762" s="111"/>
      <c r="M762" s="112"/>
      <c r="N762" s="925" t="s">
        <v>70</v>
      </c>
      <c r="O762" s="926"/>
      <c r="P762" s="926"/>
      <c r="Q762" s="65">
        <f>G762</f>
        <v>1442500</v>
      </c>
    </row>
    <row r="765" spans="1:17" ht="18">
      <c r="A765" s="918" t="s">
        <v>107</v>
      </c>
      <c r="B765" s="927"/>
      <c r="C765" s="927"/>
      <c r="D765" s="927"/>
      <c r="E765" s="927"/>
      <c r="F765" s="927"/>
      <c r="G765" s="927"/>
      <c r="H765" s="927"/>
      <c r="I765" s="927"/>
      <c r="J765" s="927"/>
      <c r="K765" s="927"/>
      <c r="L765" s="927"/>
      <c r="M765" s="928" t="s">
        <v>14</v>
      </c>
      <c r="N765" s="928"/>
      <c r="O765" s="928"/>
      <c r="P765" s="928"/>
      <c r="Q765" s="326"/>
    </row>
    <row r="766" spans="1:17" ht="15.75">
      <c r="A766" s="46" t="s">
        <v>2</v>
      </c>
      <c r="B766" s="77" t="s">
        <v>3</v>
      </c>
      <c r="C766" s="46" t="s">
        <v>4</v>
      </c>
      <c r="D766" s="46" t="s">
        <v>5</v>
      </c>
      <c r="E766" s="48" t="s">
        <v>6</v>
      </c>
      <c r="F766" s="46" t="s">
        <v>7</v>
      </c>
      <c r="G766" s="327" t="s">
        <v>8</v>
      </c>
      <c r="H766" s="46" t="s">
        <v>9</v>
      </c>
      <c r="I766" s="52" t="s">
        <v>10</v>
      </c>
      <c r="J766" s="52" t="s">
        <v>11</v>
      </c>
      <c r="K766" s="52" t="s">
        <v>12</v>
      </c>
      <c r="L766" s="46" t="s">
        <v>13</v>
      </c>
      <c r="M766" s="46" t="s">
        <v>3</v>
      </c>
      <c r="N766" s="46" t="s">
        <v>5</v>
      </c>
      <c r="O766" s="46" t="s">
        <v>49</v>
      </c>
      <c r="P766" s="46" t="s">
        <v>7</v>
      </c>
      <c r="Q766" s="56" t="s">
        <v>50</v>
      </c>
    </row>
    <row r="767" spans="1:17" ht="15.75">
      <c r="A767" s="929" t="s">
        <v>531</v>
      </c>
      <c r="B767" s="300">
        <v>14614</v>
      </c>
      <c r="C767" s="231">
        <v>0.1</v>
      </c>
      <c r="D767" s="272" t="s">
        <v>532</v>
      </c>
      <c r="E767" s="278"/>
      <c r="F767" s="273"/>
      <c r="G767" s="274"/>
      <c r="H767" s="275" t="s">
        <v>26</v>
      </c>
      <c r="I767" s="276" t="s">
        <v>440</v>
      </c>
      <c r="J767" s="276" t="s">
        <v>19</v>
      </c>
      <c r="K767" s="366"/>
      <c r="L767" s="367"/>
      <c r="M767" s="260">
        <v>14640</v>
      </c>
      <c r="N767" s="241" t="s">
        <v>472</v>
      </c>
      <c r="O767" s="230">
        <v>1650000</v>
      </c>
      <c r="P767" s="221"/>
      <c r="Q767" s="362"/>
    </row>
    <row r="768" spans="1:17" ht="15.75">
      <c r="A768" s="929"/>
      <c r="B768" s="611">
        <v>14794</v>
      </c>
      <c r="C768" s="347">
        <v>0.08</v>
      </c>
      <c r="D768" s="272" t="s">
        <v>533</v>
      </c>
      <c r="E768" s="278">
        <v>950000</v>
      </c>
      <c r="F768" s="273"/>
      <c r="G768" s="274"/>
      <c r="H768" s="275" t="s">
        <v>534</v>
      </c>
      <c r="I768" s="276" t="s">
        <v>440</v>
      </c>
      <c r="J768" s="276" t="s">
        <v>19</v>
      </c>
      <c r="K768" s="366"/>
      <c r="L768" s="367"/>
      <c r="M768" s="279">
        <v>14844</v>
      </c>
      <c r="N768" s="241" t="s">
        <v>477</v>
      </c>
      <c r="O768" s="216">
        <v>900000</v>
      </c>
      <c r="P768" s="221"/>
      <c r="Q768" s="362"/>
    </row>
    <row r="769" spans="1:17" ht="15.75">
      <c r="A769" s="929"/>
      <c r="B769" s="611">
        <v>14847</v>
      </c>
      <c r="C769" s="231">
        <v>0.1</v>
      </c>
      <c r="D769" s="272" t="s">
        <v>535</v>
      </c>
      <c r="E769" s="278">
        <v>1374000</v>
      </c>
      <c r="F769" s="273"/>
      <c r="G769" s="274"/>
      <c r="H769" s="275" t="s">
        <v>26</v>
      </c>
      <c r="I769" s="276" t="s">
        <v>18</v>
      </c>
      <c r="J769" s="276" t="s">
        <v>19</v>
      </c>
      <c r="K769" s="366"/>
      <c r="L769" s="367"/>
      <c r="M769" s="214">
        <v>14676</v>
      </c>
      <c r="N769" s="272" t="s">
        <v>481</v>
      </c>
      <c r="O769" s="230">
        <v>1700000</v>
      </c>
      <c r="P769" s="221"/>
      <c r="Q769" s="362"/>
    </row>
    <row r="770" spans="1:17" ht="15.75">
      <c r="A770" s="929"/>
      <c r="B770" s="433"/>
      <c r="C770" s="10"/>
      <c r="D770" s="8"/>
      <c r="E770" s="456"/>
      <c r="F770" s="457"/>
      <c r="G770" s="458"/>
      <c r="H770" s="56"/>
      <c r="I770" s="9"/>
      <c r="J770" s="9"/>
      <c r="K770" s="120"/>
      <c r="L770" s="460"/>
      <c r="M770" s="214">
        <v>14634</v>
      </c>
      <c r="N770" s="272" t="s">
        <v>486</v>
      </c>
      <c r="O770" s="230">
        <v>1050000</v>
      </c>
      <c r="P770" s="221"/>
      <c r="Q770" s="362"/>
    </row>
    <row r="771" spans="1:17" ht="15.75">
      <c r="A771" s="929"/>
      <c r="B771" s="433"/>
      <c r="C771" s="10"/>
      <c r="D771" s="8"/>
      <c r="E771" s="456"/>
      <c r="F771" s="457"/>
      <c r="G771" s="458"/>
      <c r="H771" s="56"/>
      <c r="I771" s="9"/>
      <c r="J771" s="9"/>
      <c r="K771" s="120"/>
      <c r="L771" s="460"/>
      <c r="M771" s="214">
        <v>14663</v>
      </c>
      <c r="N771" s="272" t="s">
        <v>488</v>
      </c>
      <c r="O771" s="230">
        <v>1700000</v>
      </c>
      <c r="P771" s="221"/>
      <c r="Q771" s="362"/>
    </row>
    <row r="772" spans="1:17" ht="15.75">
      <c r="A772" s="929"/>
      <c r="B772" s="433"/>
      <c r="C772" s="10"/>
      <c r="D772" s="8"/>
      <c r="E772" s="430"/>
      <c r="F772" s="457"/>
      <c r="G772" s="458"/>
      <c r="H772" s="56"/>
      <c r="I772" s="9"/>
      <c r="J772" s="9"/>
      <c r="K772" s="120"/>
      <c r="L772" s="460"/>
      <c r="M772" s="214">
        <v>14726</v>
      </c>
      <c r="N772" s="241" t="s">
        <v>493</v>
      </c>
      <c r="O772" s="242">
        <v>2200000</v>
      </c>
      <c r="P772" s="221"/>
      <c r="Q772" s="362"/>
    </row>
    <row r="773" spans="1:17" ht="15.75">
      <c r="A773" s="929"/>
      <c r="B773" s="433"/>
      <c r="C773" s="10"/>
      <c r="D773" s="8"/>
      <c r="E773" s="430"/>
      <c r="F773" s="457"/>
      <c r="G773" s="458"/>
      <c r="H773" s="56"/>
      <c r="I773" s="9"/>
      <c r="J773" s="9"/>
      <c r="K773" s="120"/>
      <c r="L773" s="121"/>
      <c r="M773" s="214">
        <v>14822</v>
      </c>
      <c r="N773" s="241" t="s">
        <v>494</v>
      </c>
      <c r="O773" s="242">
        <v>1532000</v>
      </c>
      <c r="P773" s="221"/>
      <c r="Q773" s="362"/>
    </row>
    <row r="774" spans="1:17" ht="15.75">
      <c r="A774" s="929"/>
      <c r="B774" s="433"/>
      <c r="C774" s="10"/>
      <c r="D774" s="8"/>
      <c r="E774" s="430"/>
      <c r="F774" s="457"/>
      <c r="G774" s="458"/>
      <c r="H774" s="56"/>
      <c r="I774" s="9"/>
      <c r="J774" s="9"/>
      <c r="K774" s="120"/>
      <c r="L774" s="121"/>
      <c r="M774" s="214">
        <v>14789</v>
      </c>
      <c r="N774" s="241" t="s">
        <v>495</v>
      </c>
      <c r="O774" s="242">
        <v>1500000</v>
      </c>
      <c r="P774" s="221"/>
      <c r="Q774" s="362"/>
    </row>
    <row r="775" spans="1:17" ht="15.75">
      <c r="A775" s="929"/>
      <c r="B775" s="433"/>
      <c r="C775" s="10"/>
      <c r="D775" s="8"/>
      <c r="E775" s="430"/>
      <c r="F775" s="457"/>
      <c r="G775" s="458"/>
      <c r="H775" s="56"/>
      <c r="I775" s="9"/>
      <c r="J775" s="9"/>
      <c r="K775" s="120"/>
      <c r="L775" s="121"/>
      <c r="M775" s="214">
        <v>14817</v>
      </c>
      <c r="N775" s="241" t="s">
        <v>496</v>
      </c>
      <c r="O775" s="242">
        <v>2200000</v>
      </c>
      <c r="P775" s="221"/>
      <c r="Q775" s="362"/>
    </row>
    <row r="776" spans="1:17" ht="15.75">
      <c r="A776" s="929"/>
      <c r="B776" s="433"/>
      <c r="C776" s="10"/>
      <c r="D776" s="8"/>
      <c r="E776" s="430"/>
      <c r="F776" s="457"/>
      <c r="G776" s="458"/>
      <c r="H776" s="56"/>
      <c r="I776" s="9"/>
      <c r="J776" s="9"/>
      <c r="K776" s="120"/>
      <c r="L776" s="121"/>
      <c r="M776" s="214">
        <v>14827</v>
      </c>
      <c r="N776" s="241" t="s">
        <v>497</v>
      </c>
      <c r="O776" s="242">
        <v>2200000</v>
      </c>
      <c r="P776" s="221"/>
      <c r="Q776" s="362"/>
    </row>
    <row r="777" spans="1:17" ht="15.75">
      <c r="A777" s="929"/>
      <c r="B777" s="667"/>
      <c r="C777" s="668"/>
      <c r="D777" s="635"/>
      <c r="E777" s="430"/>
      <c r="F777" s="166"/>
      <c r="G777" s="458"/>
      <c r="H777" s="56"/>
      <c r="I777" s="9"/>
      <c r="J777" s="459"/>
      <c r="K777" s="120"/>
      <c r="L777" s="121"/>
      <c r="M777" s="545">
        <v>14778</v>
      </c>
      <c r="N777" s="272" t="s">
        <v>504</v>
      </c>
      <c r="O777" s="216">
        <v>800000</v>
      </c>
      <c r="P777" s="235"/>
      <c r="Q777" s="362"/>
    </row>
    <row r="778" spans="1:17" ht="15.75">
      <c r="A778" s="930"/>
      <c r="B778" s="503"/>
      <c r="C778" s="439"/>
      <c r="D778" s="123"/>
      <c r="E778" s="430"/>
      <c r="F778" s="457"/>
      <c r="G778" s="458"/>
      <c r="H778" s="122"/>
      <c r="I778" s="459"/>
      <c r="J778" s="459"/>
      <c r="K778" s="120"/>
      <c r="L778" s="160"/>
      <c r="M778" s="293">
        <v>14628</v>
      </c>
      <c r="N778" s="241" t="s">
        <v>517</v>
      </c>
      <c r="O778" s="242">
        <v>950000</v>
      </c>
      <c r="P778" s="235"/>
      <c r="Q778" s="362"/>
    </row>
    <row r="779" spans="1:17" ht="15.75">
      <c r="A779" s="931"/>
      <c r="B779" s="669"/>
      <c r="C779" s="670"/>
      <c r="D779" s="671"/>
      <c r="E779" s="672"/>
      <c r="F779" s="673"/>
      <c r="G779" s="672"/>
      <c r="H779" s="674"/>
      <c r="I779" s="61"/>
      <c r="J779" s="61"/>
      <c r="K779" s="64"/>
      <c r="L779" s="161"/>
      <c r="M779" s="779">
        <v>14699</v>
      </c>
      <c r="N779" s="241" t="s">
        <v>520</v>
      </c>
      <c r="O779" s="242">
        <v>1100000</v>
      </c>
      <c r="P779" s="376"/>
      <c r="Q779" s="362"/>
    </row>
    <row r="780" spans="1:17" ht="15.75">
      <c r="A780" s="931"/>
      <c r="B780" s="131"/>
      <c r="C780" s="132"/>
      <c r="D780" s="101"/>
      <c r="E780" s="128"/>
      <c r="F780" s="129"/>
      <c r="G780" s="133"/>
      <c r="H780" s="130"/>
      <c r="I780" s="64"/>
      <c r="J780" s="64"/>
      <c r="K780" s="64"/>
      <c r="L780" s="161"/>
      <c r="M780" s="293">
        <v>14719</v>
      </c>
      <c r="N780" s="775" t="s">
        <v>522</v>
      </c>
      <c r="O780" s="242">
        <v>750000</v>
      </c>
      <c r="P780" s="231"/>
      <c r="Q780" s="362"/>
    </row>
    <row r="781" spans="1:17" ht="15.75">
      <c r="A781" s="931"/>
      <c r="B781" s="131"/>
      <c r="C781" s="132"/>
      <c r="D781" s="121"/>
      <c r="E781" s="128"/>
      <c r="F781" s="129"/>
      <c r="G781" s="133"/>
      <c r="H781" s="130"/>
      <c r="I781" s="64"/>
      <c r="J781" s="64"/>
      <c r="K781" s="64"/>
      <c r="L781" s="161"/>
      <c r="M781" s="293">
        <v>14832</v>
      </c>
      <c r="N781" s="608" t="s">
        <v>527</v>
      </c>
      <c r="O781" s="278">
        <v>900000</v>
      </c>
      <c r="P781" s="231"/>
      <c r="Q781" s="362"/>
    </row>
    <row r="782" spans="1:17" ht="15.75">
      <c r="A782" s="931"/>
      <c r="B782" s="131"/>
      <c r="C782" s="132"/>
      <c r="D782" s="121"/>
      <c r="E782" s="128"/>
      <c r="F782" s="129"/>
      <c r="G782" s="133"/>
      <c r="H782" s="130"/>
      <c r="I782" s="64"/>
      <c r="J782" s="64"/>
      <c r="K782" s="64"/>
      <c r="L782" s="161"/>
      <c r="M782" s="293">
        <v>14831</v>
      </c>
      <c r="N782" s="776" t="s">
        <v>536</v>
      </c>
      <c r="O782" s="278">
        <v>850000</v>
      </c>
      <c r="P782" s="221"/>
      <c r="Q782" s="362"/>
    </row>
    <row r="783" spans="1:17" ht="15.75">
      <c r="A783" s="931"/>
      <c r="B783" s="131"/>
      <c r="C783" s="132"/>
      <c r="D783" s="121"/>
      <c r="E783" s="128"/>
      <c r="F783" s="129"/>
      <c r="G783" s="133"/>
      <c r="H783" s="130"/>
      <c r="I783" s="64"/>
      <c r="J783" s="64"/>
      <c r="K783" s="64"/>
      <c r="L783" s="161"/>
      <c r="M783" s="780"/>
      <c r="N783" s="163"/>
      <c r="O783" s="84"/>
      <c r="P783" s="43"/>
      <c r="Q783" s="122"/>
    </row>
    <row r="784" spans="1:17" ht="15.75">
      <c r="A784" s="932"/>
      <c r="B784" s="141" t="s">
        <v>46</v>
      </c>
      <c r="C784" s="142"/>
      <c r="D784" s="143"/>
      <c r="E784" s="144">
        <f>SUM(E767:E783)</f>
        <v>2324000</v>
      </c>
      <c r="F784" s="145"/>
      <c r="G784" s="146"/>
      <c r="H784" s="145"/>
      <c r="I784" s="147"/>
      <c r="J784" s="147"/>
      <c r="K784" s="147"/>
      <c r="L784" s="148"/>
      <c r="M784" s="123"/>
      <c r="N784" s="123"/>
      <c r="O784" s="378">
        <f>SUM(O767:O783)</f>
        <v>21982000</v>
      </c>
      <c r="P784" s="150"/>
      <c r="Q784" s="122"/>
    </row>
    <row r="787" spans="1:17" ht="18">
      <c r="A787" s="933" t="s">
        <v>117</v>
      </c>
      <c r="B787" s="1116"/>
      <c r="C787" s="164"/>
      <c r="D787" s="165">
        <f>E784+E762+E724+E704+E737</f>
        <v>58056000</v>
      </c>
      <c r="E787" s="712" t="s">
        <v>537</v>
      </c>
      <c r="F787" s="713"/>
      <c r="G787" s="713"/>
    </row>
    <row r="788" spans="1:17" ht="18">
      <c r="A788" s="934" t="s">
        <v>119</v>
      </c>
      <c r="B788" s="1117"/>
      <c r="C788" s="167"/>
      <c r="D788" s="168"/>
    </row>
    <row r="789" spans="1:17" ht="18">
      <c r="A789" s="916" t="s">
        <v>120</v>
      </c>
      <c r="B789" s="1118"/>
      <c r="C789" s="169"/>
      <c r="D789" s="170"/>
    </row>
    <row r="790" spans="1:17" ht="15.75">
      <c r="A790" s="917" t="s">
        <v>121</v>
      </c>
      <c r="B790" s="1119"/>
      <c r="C790" s="169"/>
      <c r="D790" s="171"/>
    </row>
    <row r="791" spans="1:17" ht="15.75">
      <c r="A791" s="172"/>
      <c r="B791" s="141" t="s">
        <v>47</v>
      </c>
      <c r="C791" s="173"/>
      <c r="D791" s="174">
        <f>SUM(D787:D790)</f>
        <v>58056000</v>
      </c>
    </row>
    <row r="796" spans="1:17" ht="45">
      <c r="A796" s="935" t="s">
        <v>538</v>
      </c>
      <c r="B796" s="935"/>
      <c r="C796" s="935"/>
      <c r="D796" s="935"/>
      <c r="E796" s="935"/>
      <c r="F796" s="935"/>
      <c r="G796" s="935"/>
      <c r="H796" s="935"/>
      <c r="I796" s="935"/>
      <c r="J796" s="935"/>
      <c r="K796" s="935"/>
      <c r="L796" s="935"/>
    </row>
    <row r="798" spans="1:17" ht="18">
      <c r="A798" s="918" t="s">
        <v>1</v>
      </c>
      <c r="B798" s="918"/>
      <c r="C798" s="918"/>
      <c r="D798" s="918"/>
      <c r="E798" s="918"/>
      <c r="F798" s="918"/>
      <c r="G798" s="918"/>
      <c r="H798" s="918"/>
      <c r="I798" s="918"/>
      <c r="J798" s="918"/>
      <c r="K798" s="918"/>
      <c r="L798" s="918"/>
    </row>
    <row r="799" spans="1:17">
      <c r="A799" s="1" t="s">
        <v>2</v>
      </c>
      <c r="B799" s="2" t="s">
        <v>3</v>
      </c>
      <c r="C799" s="3" t="s">
        <v>4</v>
      </c>
      <c r="D799" s="1" t="s">
        <v>5</v>
      </c>
      <c r="E799" s="4" t="s">
        <v>6</v>
      </c>
      <c r="F799" s="3" t="s">
        <v>7</v>
      </c>
      <c r="G799" s="5" t="s">
        <v>8</v>
      </c>
      <c r="H799" s="3" t="s">
        <v>9</v>
      </c>
      <c r="I799" s="6" t="s">
        <v>10</v>
      </c>
      <c r="J799" s="6" t="s">
        <v>11</v>
      </c>
      <c r="K799" s="6" t="s">
        <v>12</v>
      </c>
      <c r="L799" s="40" t="s">
        <v>13</v>
      </c>
      <c r="M799" s="943" t="s">
        <v>14</v>
      </c>
      <c r="N799" s="943"/>
      <c r="O799" s="943"/>
      <c r="P799" s="943"/>
      <c r="Q799" s="41"/>
    </row>
    <row r="800" spans="1:17" ht="15.75">
      <c r="A800" s="936" t="s">
        <v>539</v>
      </c>
      <c r="B800" s="260">
        <v>14904</v>
      </c>
      <c r="C800" s="308">
        <v>0.1</v>
      </c>
      <c r="D800" s="241" t="s">
        <v>540</v>
      </c>
      <c r="E800" s="230">
        <v>1650000</v>
      </c>
      <c r="F800" s="228">
        <v>7.0000000000000007E-2</v>
      </c>
      <c r="G800" s="243">
        <f>E800*F800</f>
        <v>115500.00000000001</v>
      </c>
      <c r="H800" s="297" t="s">
        <v>26</v>
      </c>
      <c r="I800" s="220" t="s">
        <v>21</v>
      </c>
      <c r="J800" s="239" t="s">
        <v>19</v>
      </c>
      <c r="K800" s="7"/>
      <c r="L800" s="500"/>
      <c r="M800" s="485"/>
      <c r="N800" s="8"/>
      <c r="O800" s="501"/>
      <c r="P800" s="10"/>
      <c r="Q800" s="487"/>
    </row>
    <row r="801" spans="1:17" ht="15.75">
      <c r="A801" s="936"/>
      <c r="B801" s="214">
        <v>14935</v>
      </c>
      <c r="C801" s="308">
        <v>0.1</v>
      </c>
      <c r="D801" s="241" t="s">
        <v>541</v>
      </c>
      <c r="E801" s="216">
        <v>1550000</v>
      </c>
      <c r="F801" s="228">
        <v>7.0000000000000007E-2</v>
      </c>
      <c r="G801" s="243">
        <f t="shared" ref="G801:G813" si="30">E801*F801</f>
        <v>108500.00000000001</v>
      </c>
      <c r="H801" s="297" t="s">
        <v>26</v>
      </c>
      <c r="I801" s="220" t="s">
        <v>542</v>
      </c>
      <c r="J801" s="239" t="s">
        <v>19</v>
      </c>
      <c r="K801" s="7"/>
      <c r="L801" s="500"/>
      <c r="M801" s="485"/>
      <c r="N801" s="8"/>
      <c r="O801" s="501"/>
      <c r="P801" s="10"/>
      <c r="Q801" s="487"/>
    </row>
    <row r="802" spans="1:17" ht="15.75">
      <c r="A802" s="936"/>
      <c r="B802" s="214">
        <v>14947</v>
      </c>
      <c r="C802" s="526">
        <v>0.08</v>
      </c>
      <c r="D802" s="241" t="s">
        <v>543</v>
      </c>
      <c r="E802" s="216">
        <v>900000</v>
      </c>
      <c r="F802" s="217">
        <v>0.06</v>
      </c>
      <c r="G802" s="243">
        <f t="shared" si="30"/>
        <v>54000</v>
      </c>
      <c r="H802" s="297" t="s">
        <v>26</v>
      </c>
      <c r="I802" s="220" t="s">
        <v>21</v>
      </c>
      <c r="J802" s="239" t="s">
        <v>19</v>
      </c>
      <c r="K802" s="7"/>
      <c r="L802" s="500"/>
      <c r="M802" s="485"/>
      <c r="N802" s="8"/>
      <c r="O802" s="501"/>
      <c r="P802" s="10"/>
      <c r="Q802" s="487"/>
    </row>
    <row r="803" spans="1:17" ht="15.75">
      <c r="A803" s="936"/>
      <c r="B803" s="214">
        <v>14984</v>
      </c>
      <c r="C803" s="308">
        <v>0.1</v>
      </c>
      <c r="D803" s="241" t="s">
        <v>544</v>
      </c>
      <c r="E803" s="216">
        <v>900000</v>
      </c>
      <c r="F803" s="228">
        <v>7.0000000000000007E-2</v>
      </c>
      <c r="G803" s="243">
        <f t="shared" si="30"/>
        <v>63000.000000000007</v>
      </c>
      <c r="H803" s="297" t="s">
        <v>26</v>
      </c>
      <c r="I803" s="220" t="s">
        <v>545</v>
      </c>
      <c r="J803" s="239" t="s">
        <v>19</v>
      </c>
      <c r="K803" s="7"/>
      <c r="L803" s="500"/>
      <c r="M803" s="485"/>
      <c r="N803" s="8"/>
      <c r="O803" s="501"/>
      <c r="P803" s="10"/>
      <c r="Q803" s="487"/>
    </row>
    <row r="804" spans="1:17" ht="15.75">
      <c r="A804" s="936"/>
      <c r="B804" s="675">
        <v>15003</v>
      </c>
      <c r="C804" s="308">
        <v>0.1</v>
      </c>
      <c r="D804" s="241" t="s">
        <v>546</v>
      </c>
      <c r="E804" s="216">
        <v>1700000</v>
      </c>
      <c r="F804" s="228">
        <v>7.0000000000000007E-2</v>
      </c>
      <c r="G804" s="243">
        <f t="shared" si="30"/>
        <v>119000.00000000001</v>
      </c>
      <c r="H804" s="297" t="s">
        <v>26</v>
      </c>
      <c r="I804" s="220" t="s">
        <v>21</v>
      </c>
      <c r="J804" s="239" t="s">
        <v>19</v>
      </c>
      <c r="K804" s="7"/>
      <c r="L804" s="500"/>
      <c r="M804" s="485"/>
      <c r="N804" s="8"/>
      <c r="O804" s="501"/>
      <c r="P804" s="10"/>
      <c r="Q804" s="487"/>
    </row>
    <row r="805" spans="1:17" ht="15.75">
      <c r="A805" s="936"/>
      <c r="B805" s="675">
        <v>15019</v>
      </c>
      <c r="C805" s="308">
        <v>0.1</v>
      </c>
      <c r="D805" s="241" t="s">
        <v>547</v>
      </c>
      <c r="E805" s="216">
        <v>1300000</v>
      </c>
      <c r="F805" s="228">
        <v>0.12</v>
      </c>
      <c r="G805" s="243">
        <f t="shared" si="30"/>
        <v>156000</v>
      </c>
      <c r="H805" s="297" t="s">
        <v>17</v>
      </c>
      <c r="I805" s="220" t="s">
        <v>21</v>
      </c>
      <c r="J805" s="239" t="s">
        <v>19</v>
      </c>
      <c r="K805" s="7"/>
      <c r="L805" s="500"/>
      <c r="M805" s="485"/>
      <c r="N805" s="8"/>
      <c r="O805" s="501"/>
      <c r="P805" s="10"/>
      <c r="Q805" s="487"/>
    </row>
    <row r="806" spans="1:17" ht="15.75">
      <c r="A806" s="936"/>
      <c r="B806" s="675">
        <v>15050</v>
      </c>
      <c r="C806" s="308">
        <v>0.1</v>
      </c>
      <c r="D806" s="241" t="s">
        <v>548</v>
      </c>
      <c r="E806" s="216">
        <v>2150000</v>
      </c>
      <c r="F806" s="228">
        <v>7.0000000000000007E-2</v>
      </c>
      <c r="G806" s="243">
        <f t="shared" si="30"/>
        <v>150500</v>
      </c>
      <c r="H806" s="297" t="s">
        <v>26</v>
      </c>
      <c r="I806" s="220" t="s">
        <v>21</v>
      </c>
      <c r="J806" s="239" t="s">
        <v>19</v>
      </c>
      <c r="K806" s="7"/>
      <c r="L806" s="500"/>
      <c r="M806" s="485"/>
      <c r="N806" s="8"/>
      <c r="O806" s="501"/>
      <c r="P806" s="10"/>
      <c r="Q806" s="487"/>
    </row>
    <row r="807" spans="1:17" ht="15.75">
      <c r="A807" s="936"/>
      <c r="B807" s="675">
        <v>15075</v>
      </c>
      <c r="C807" s="308">
        <v>0.1</v>
      </c>
      <c r="D807" s="241" t="s">
        <v>549</v>
      </c>
      <c r="E807" s="216">
        <v>1800000</v>
      </c>
      <c r="F807" s="228">
        <v>7.0000000000000007E-2</v>
      </c>
      <c r="G807" s="243">
        <f t="shared" si="30"/>
        <v>126000.00000000001</v>
      </c>
      <c r="H807" s="297" t="s">
        <v>26</v>
      </c>
      <c r="I807" s="220" t="s">
        <v>410</v>
      </c>
      <c r="J807" s="239" t="s">
        <v>19</v>
      </c>
      <c r="K807" s="7"/>
      <c r="L807" s="500"/>
      <c r="M807" s="485"/>
      <c r="N807" s="8"/>
      <c r="O807" s="501"/>
      <c r="P807" s="10"/>
      <c r="Q807" s="487"/>
    </row>
    <row r="808" spans="1:17" ht="15.75">
      <c r="A808" s="936"/>
      <c r="B808" s="214">
        <v>15091</v>
      </c>
      <c r="C808" s="308">
        <v>0.1</v>
      </c>
      <c r="D808" s="241" t="s">
        <v>550</v>
      </c>
      <c r="E808" s="216">
        <v>1250000</v>
      </c>
      <c r="F808" s="228">
        <v>7.0000000000000007E-2</v>
      </c>
      <c r="G808" s="243">
        <f t="shared" si="30"/>
        <v>87500.000000000015</v>
      </c>
      <c r="H808" s="297" t="s">
        <v>26</v>
      </c>
      <c r="I808" s="220" t="s">
        <v>545</v>
      </c>
      <c r="J808" s="239" t="s">
        <v>19</v>
      </c>
      <c r="K808" s="7"/>
      <c r="L808" s="500"/>
      <c r="M808" s="485"/>
      <c r="N808" s="8"/>
      <c r="O808" s="501"/>
      <c r="P808" s="10"/>
      <c r="Q808" s="487"/>
    </row>
    <row r="809" spans="1:17" ht="15.75">
      <c r="A809" s="936"/>
      <c r="B809" s="214">
        <v>15093</v>
      </c>
      <c r="C809" s="308">
        <v>0.1</v>
      </c>
      <c r="D809" s="241" t="s">
        <v>551</v>
      </c>
      <c r="E809" s="216">
        <v>1350000</v>
      </c>
      <c r="F809" s="228">
        <v>7.0000000000000007E-2</v>
      </c>
      <c r="G809" s="243">
        <f t="shared" si="30"/>
        <v>94500.000000000015</v>
      </c>
      <c r="H809" s="297" t="s">
        <v>552</v>
      </c>
      <c r="I809" s="220" t="s">
        <v>545</v>
      </c>
      <c r="J809" s="239" t="s">
        <v>19</v>
      </c>
      <c r="K809" s="7"/>
      <c r="L809" s="500"/>
      <c r="M809" s="485"/>
      <c r="N809" s="8"/>
      <c r="O809" s="501"/>
      <c r="P809" s="10"/>
      <c r="Q809" s="487"/>
    </row>
    <row r="810" spans="1:17" ht="15.75">
      <c r="A810" s="936"/>
      <c r="B810" s="545">
        <v>15076</v>
      </c>
      <c r="C810" s="793">
        <v>0.08</v>
      </c>
      <c r="D810" s="241" t="s">
        <v>553</v>
      </c>
      <c r="E810" s="242">
        <v>2500000</v>
      </c>
      <c r="F810" s="217">
        <v>0.1</v>
      </c>
      <c r="G810" s="243">
        <f t="shared" si="30"/>
        <v>250000</v>
      </c>
      <c r="H810" s="244" t="s">
        <v>17</v>
      </c>
      <c r="I810" s="239" t="s">
        <v>440</v>
      </c>
      <c r="J810" s="239" t="s">
        <v>19</v>
      </c>
      <c r="K810" s="7"/>
      <c r="L810" s="500"/>
      <c r="M810" s="485"/>
      <c r="N810" s="8"/>
      <c r="O810" s="501"/>
      <c r="P810" s="10"/>
      <c r="Q810" s="487"/>
    </row>
    <row r="811" spans="1:17" ht="15.75">
      <c r="A811" s="936"/>
      <c r="B811" s="426">
        <v>15097</v>
      </c>
      <c r="C811" s="342">
        <v>0.1</v>
      </c>
      <c r="D811" s="241" t="s">
        <v>554</v>
      </c>
      <c r="E811" s="278">
        <v>2200000</v>
      </c>
      <c r="F811" s="228">
        <v>7.0000000000000007E-2</v>
      </c>
      <c r="G811" s="243">
        <f t="shared" si="30"/>
        <v>154000.00000000003</v>
      </c>
      <c r="H811" s="244" t="s">
        <v>55</v>
      </c>
      <c r="I811" s="239" t="s">
        <v>410</v>
      </c>
      <c r="J811" s="239" t="s">
        <v>19</v>
      </c>
      <c r="K811" s="7"/>
      <c r="L811" s="500"/>
      <c r="M811" s="485"/>
      <c r="N811" s="8"/>
      <c r="O811" s="501"/>
      <c r="P811" s="10"/>
      <c r="Q811" s="487"/>
    </row>
    <row r="812" spans="1:17" ht="15.75">
      <c r="A812" s="936"/>
      <c r="B812" s="754">
        <v>15118</v>
      </c>
      <c r="C812" s="526">
        <v>0.08</v>
      </c>
      <c r="D812" s="241" t="s">
        <v>555</v>
      </c>
      <c r="E812" s="216">
        <v>750000</v>
      </c>
      <c r="F812" s="217">
        <v>0.06</v>
      </c>
      <c r="G812" s="243">
        <f t="shared" si="30"/>
        <v>45000</v>
      </c>
      <c r="H812" s="297" t="s">
        <v>534</v>
      </c>
      <c r="I812" s="220" t="s">
        <v>410</v>
      </c>
      <c r="J812" s="239" t="s">
        <v>19</v>
      </c>
      <c r="K812" s="7"/>
      <c r="L812" s="500"/>
      <c r="M812" s="485"/>
      <c r="N812" s="8"/>
      <c r="O812" s="501"/>
      <c r="P812" s="10"/>
      <c r="Q812" s="487"/>
    </row>
    <row r="813" spans="1:17" ht="15.75">
      <c r="A813" s="936"/>
      <c r="B813" s="617">
        <v>15132</v>
      </c>
      <c r="C813" s="308">
        <v>0.1</v>
      </c>
      <c r="D813" s="241" t="s">
        <v>556</v>
      </c>
      <c r="E813" s="216">
        <v>1750000</v>
      </c>
      <c r="F813" s="228">
        <v>7.0000000000000007E-2</v>
      </c>
      <c r="G813" s="243">
        <f t="shared" si="30"/>
        <v>122500.00000000001</v>
      </c>
      <c r="H813" s="297" t="s">
        <v>26</v>
      </c>
      <c r="I813" s="220" t="s">
        <v>410</v>
      </c>
      <c r="J813" s="239" t="s">
        <v>19</v>
      </c>
      <c r="K813" s="7"/>
      <c r="L813" s="500"/>
      <c r="M813" s="485"/>
      <c r="N813" s="8"/>
      <c r="O813" s="501"/>
      <c r="P813" s="10"/>
      <c r="Q813" s="487"/>
    </row>
    <row r="814" spans="1:17" ht="15.75">
      <c r="A814" s="936"/>
      <c r="B814" s="253" t="s">
        <v>40</v>
      </c>
      <c r="C814" s="329"/>
      <c r="D814" s="336" t="s">
        <v>557</v>
      </c>
      <c r="E814" s="331"/>
      <c r="F814" s="254"/>
      <c r="G814" s="211"/>
      <c r="H814" s="212"/>
      <c r="I814" s="213" t="s">
        <v>558</v>
      </c>
      <c r="J814" s="213"/>
      <c r="K814" s="7"/>
      <c r="L814" s="500"/>
      <c r="M814" s="485"/>
      <c r="N814" s="8"/>
      <c r="O814" s="501"/>
      <c r="P814" s="10"/>
      <c r="Q814" s="487"/>
    </row>
    <row r="815" spans="1:17" ht="15.75">
      <c r="A815" s="936"/>
      <c r="B815" s="663" t="s">
        <v>40</v>
      </c>
      <c r="C815" s="524"/>
      <c r="D815" s="205" t="s">
        <v>559</v>
      </c>
      <c r="E815" s="265"/>
      <c r="F815" s="254"/>
      <c r="G815" s="211"/>
      <c r="H815" s="212"/>
      <c r="I815" s="213" t="s">
        <v>21</v>
      </c>
      <c r="J815" s="213"/>
      <c r="K815" s="7"/>
      <c r="L815" s="500"/>
      <c r="M815" s="485"/>
      <c r="N815" s="8"/>
      <c r="O815" s="501"/>
      <c r="P815" s="10"/>
      <c r="Q815" s="487"/>
    </row>
    <row r="816" spans="1:17" ht="15.75">
      <c r="A816" s="936"/>
      <c r="B816" s="253" t="s">
        <v>40</v>
      </c>
      <c r="C816" s="329"/>
      <c r="D816" s="205" t="s">
        <v>560</v>
      </c>
      <c r="E816" s="265"/>
      <c r="F816" s="271"/>
      <c r="G816" s="292"/>
      <c r="H816" s="489"/>
      <c r="I816" s="268" t="s">
        <v>21</v>
      </c>
      <c r="J816" s="213"/>
      <c r="K816" s="7"/>
      <c r="L816" s="500"/>
      <c r="M816" s="485"/>
      <c r="N816" s="8"/>
      <c r="O816" s="501"/>
      <c r="P816" s="10"/>
      <c r="Q816" s="487"/>
    </row>
    <row r="817" spans="1:17" ht="15.75">
      <c r="A817" s="936"/>
      <c r="B817" s="281" t="s">
        <v>458</v>
      </c>
      <c r="C817" s="329"/>
      <c r="D817" s="336" t="s">
        <v>561</v>
      </c>
      <c r="E817" s="331"/>
      <c r="F817" s="254"/>
      <c r="G817" s="211"/>
      <c r="H817" s="212"/>
      <c r="I817" s="213" t="s">
        <v>410</v>
      </c>
      <c r="J817" s="213"/>
      <c r="K817" s="7"/>
      <c r="L817" s="500"/>
      <c r="M817" s="485"/>
      <c r="N817" s="8"/>
      <c r="O817" s="501"/>
      <c r="P817" s="10"/>
      <c r="Q817" s="487"/>
    </row>
    <row r="818" spans="1:17" ht="15.75">
      <c r="A818" s="936"/>
      <c r="B818" s="630"/>
      <c r="C818" s="633"/>
      <c r="D818" s="631"/>
      <c r="E818" s="499"/>
      <c r="F818" s="10"/>
      <c r="G818" s="11"/>
      <c r="H818" s="632"/>
      <c r="I818" s="7"/>
      <c r="J818" s="7"/>
      <c r="K818" s="7"/>
      <c r="L818" s="500"/>
      <c r="M818" s="485"/>
      <c r="N818" s="8"/>
      <c r="O818" s="501"/>
      <c r="P818" s="10"/>
      <c r="Q818" s="487"/>
    </row>
    <row r="819" spans="1:17" ht="15.75">
      <c r="A819" s="937"/>
      <c r="B819" s="13"/>
      <c r="C819" s="14"/>
      <c r="D819" s="15" t="s">
        <v>46</v>
      </c>
      <c r="E819" s="16">
        <f>SUM(E800:E818)</f>
        <v>21750000</v>
      </c>
      <c r="F819" s="17"/>
      <c r="G819" s="383">
        <f>SUM(G800:G818)</f>
        <v>1646000</v>
      </c>
      <c r="H819" s="17"/>
      <c r="I819" s="18"/>
      <c r="J819" s="18"/>
      <c r="K819" s="18"/>
      <c r="L819" s="45"/>
      <c r="M819" s="37"/>
      <c r="N819" s="938" t="s">
        <v>211</v>
      </c>
      <c r="O819" s="939"/>
      <c r="P819" s="940"/>
      <c r="Q819" s="65">
        <f>G819</f>
        <v>1646000</v>
      </c>
    </row>
    <row r="822" spans="1:17" ht="18">
      <c r="A822" s="918" t="s">
        <v>48</v>
      </c>
      <c r="B822" s="918"/>
      <c r="C822" s="918"/>
      <c r="D822" s="918"/>
      <c r="E822" s="918"/>
      <c r="F822" s="918"/>
      <c r="G822" s="918"/>
      <c r="H822" s="918"/>
      <c r="I822" s="918"/>
      <c r="J822" s="919"/>
      <c r="K822" s="919"/>
      <c r="L822" s="941"/>
      <c r="M822" s="928" t="s">
        <v>14</v>
      </c>
      <c r="N822" s="928"/>
      <c r="O822" s="928"/>
      <c r="P822" s="928"/>
      <c r="Q822" s="363"/>
    </row>
    <row r="823" spans="1:17" ht="15.75">
      <c r="A823" s="46" t="s">
        <v>2</v>
      </c>
      <c r="B823" s="47" t="s">
        <v>3</v>
      </c>
      <c r="C823" s="49" t="s">
        <v>4</v>
      </c>
      <c r="D823" s="46" t="s">
        <v>5</v>
      </c>
      <c r="E823" s="78" t="s">
        <v>6</v>
      </c>
      <c r="F823" s="49" t="s">
        <v>7</v>
      </c>
      <c r="G823" s="50" t="s">
        <v>8</v>
      </c>
      <c r="H823" s="49" t="s">
        <v>9</v>
      </c>
      <c r="I823" s="323" t="s">
        <v>10</v>
      </c>
      <c r="J823" s="79" t="s">
        <v>11</v>
      </c>
      <c r="K823" s="52" t="s">
        <v>12</v>
      </c>
      <c r="L823" s="53" t="s">
        <v>13</v>
      </c>
      <c r="M823" s="54" t="s">
        <v>3</v>
      </c>
      <c r="N823" s="54" t="s">
        <v>5</v>
      </c>
      <c r="O823" s="39" t="s">
        <v>49</v>
      </c>
      <c r="P823" s="371" t="s">
        <v>7</v>
      </c>
      <c r="Q823" s="56" t="s">
        <v>50</v>
      </c>
    </row>
    <row r="824" spans="1:17" ht="15.75">
      <c r="A824" s="923" t="s">
        <v>15</v>
      </c>
      <c r="B824" s="341">
        <v>14878</v>
      </c>
      <c r="C824" s="308">
        <v>0.1</v>
      </c>
      <c r="D824" s="241" t="s">
        <v>562</v>
      </c>
      <c r="E824" s="242">
        <v>2100000</v>
      </c>
      <c r="F824" s="228">
        <v>0.12</v>
      </c>
      <c r="G824" s="218">
        <f>E824*F824</f>
        <v>252000</v>
      </c>
      <c r="H824" s="244" t="s">
        <v>563</v>
      </c>
      <c r="I824" s="239" t="s">
        <v>21</v>
      </c>
      <c r="J824" s="220" t="s">
        <v>19</v>
      </c>
      <c r="K824" s="351"/>
      <c r="L824" s="358"/>
      <c r="M824" s="545">
        <v>15097</v>
      </c>
      <c r="N824" s="241" t="s">
        <v>554</v>
      </c>
      <c r="O824" s="278">
        <v>2200000</v>
      </c>
      <c r="P824" s="231">
        <v>0.05</v>
      </c>
      <c r="Q824" s="462">
        <f>O824*P824</f>
        <v>110000</v>
      </c>
    </row>
    <row r="825" spans="1:17" ht="15.75">
      <c r="A825" s="923"/>
      <c r="B825" s="545">
        <v>14902</v>
      </c>
      <c r="C825" s="342">
        <v>0.1</v>
      </c>
      <c r="D825" s="241" t="s">
        <v>564</v>
      </c>
      <c r="E825" s="242">
        <v>1800000</v>
      </c>
      <c r="F825" s="228">
        <v>7.0000000000000007E-2</v>
      </c>
      <c r="G825" s="218">
        <f t="shared" ref="G825:G834" si="31">E825*F825</f>
        <v>126000.00000000001</v>
      </c>
      <c r="H825" s="244" t="s">
        <v>26</v>
      </c>
      <c r="I825" s="239" t="s">
        <v>18</v>
      </c>
      <c r="J825" s="220" t="s">
        <v>19</v>
      </c>
      <c r="K825" s="351"/>
      <c r="L825" s="358"/>
      <c r="M825" s="428"/>
      <c r="N825" s="429"/>
      <c r="O825" s="430"/>
      <c r="P825" s="10"/>
      <c r="Q825" s="431"/>
    </row>
    <row r="826" spans="1:17" ht="15.75">
      <c r="A826" s="923"/>
      <c r="B826" s="545">
        <v>14941</v>
      </c>
      <c r="C826" s="342">
        <v>0.1</v>
      </c>
      <c r="D826" s="241" t="s">
        <v>565</v>
      </c>
      <c r="E826" s="242">
        <v>1200000</v>
      </c>
      <c r="F826" s="228">
        <v>0.12</v>
      </c>
      <c r="G826" s="218">
        <f t="shared" si="31"/>
        <v>144000</v>
      </c>
      <c r="H826" s="244" t="s">
        <v>55</v>
      </c>
      <c r="I826" s="239" t="s">
        <v>21</v>
      </c>
      <c r="J826" s="220" t="s">
        <v>19</v>
      </c>
      <c r="K826" s="351"/>
      <c r="L826" s="358"/>
      <c r="M826" s="428"/>
      <c r="N826" s="429"/>
      <c r="O826" s="430"/>
      <c r="P826" s="10"/>
      <c r="Q826" s="431"/>
    </row>
    <row r="827" spans="1:17" ht="15.75">
      <c r="A827" s="923"/>
      <c r="B827" s="545">
        <v>14962</v>
      </c>
      <c r="C827" s="342">
        <v>0.1</v>
      </c>
      <c r="D827" s="241" t="s">
        <v>566</v>
      </c>
      <c r="E827" s="242">
        <v>1100000</v>
      </c>
      <c r="F827" s="228">
        <v>0.12</v>
      </c>
      <c r="G827" s="218">
        <f t="shared" si="31"/>
        <v>132000</v>
      </c>
      <c r="H827" s="244" t="s">
        <v>55</v>
      </c>
      <c r="I827" s="239" t="s">
        <v>478</v>
      </c>
      <c r="J827" s="220" t="s">
        <v>19</v>
      </c>
      <c r="K827" s="351"/>
      <c r="L827" s="358"/>
      <c r="M827" s="428"/>
      <c r="N827" s="429"/>
      <c r="O827" s="430"/>
      <c r="P827" s="10"/>
      <c r="Q827" s="431"/>
    </row>
    <row r="828" spans="1:17" ht="15.75">
      <c r="A828" s="923"/>
      <c r="B828" s="545">
        <v>14958</v>
      </c>
      <c r="C828" s="342">
        <v>0.1</v>
      </c>
      <c r="D828" s="241" t="s">
        <v>567</v>
      </c>
      <c r="E828" s="242">
        <v>1300000</v>
      </c>
      <c r="F828" s="228">
        <v>7.0000000000000007E-2</v>
      </c>
      <c r="G828" s="218">
        <f t="shared" si="31"/>
        <v>91000.000000000015</v>
      </c>
      <c r="H828" s="244" t="s">
        <v>26</v>
      </c>
      <c r="I828" s="239" t="s">
        <v>21</v>
      </c>
      <c r="J828" s="220" t="s">
        <v>19</v>
      </c>
      <c r="K828" s="351"/>
      <c r="L828" s="358"/>
      <c r="M828" s="428"/>
      <c r="N828" s="429"/>
      <c r="O828" s="430"/>
      <c r="P828" s="10"/>
      <c r="Q828" s="431"/>
    </row>
    <row r="829" spans="1:17" ht="15.75">
      <c r="A829" s="923"/>
      <c r="B829" s="545">
        <v>15015</v>
      </c>
      <c r="C829" s="342">
        <v>0.1</v>
      </c>
      <c r="D829" s="241" t="s">
        <v>568</v>
      </c>
      <c r="E829" s="242">
        <v>1800000</v>
      </c>
      <c r="F829" s="228">
        <v>7.0000000000000007E-2</v>
      </c>
      <c r="G829" s="218">
        <f t="shared" si="31"/>
        <v>126000.00000000001</v>
      </c>
      <c r="H829" s="244" t="s">
        <v>26</v>
      </c>
      <c r="I829" s="239" t="s">
        <v>21</v>
      </c>
      <c r="J829" s="220" t="s">
        <v>19</v>
      </c>
      <c r="K829" s="351"/>
      <c r="L829" s="358"/>
      <c r="M829" s="428"/>
      <c r="N829" s="429"/>
      <c r="O829" s="430"/>
      <c r="P829" s="10"/>
      <c r="Q829" s="431"/>
    </row>
    <row r="830" spans="1:17" ht="15.75">
      <c r="A830" s="923"/>
      <c r="B830" s="545">
        <v>15024</v>
      </c>
      <c r="C830" s="342">
        <v>0.1</v>
      </c>
      <c r="D830" s="241" t="s">
        <v>569</v>
      </c>
      <c r="E830" s="242">
        <v>3000000</v>
      </c>
      <c r="F830" s="228">
        <v>7.0000000000000007E-2</v>
      </c>
      <c r="G830" s="218">
        <f t="shared" si="31"/>
        <v>210000.00000000003</v>
      </c>
      <c r="H830" s="244" t="s">
        <v>26</v>
      </c>
      <c r="I830" s="239" t="s">
        <v>21</v>
      </c>
      <c r="J830" s="220" t="s">
        <v>19</v>
      </c>
      <c r="K830" s="351"/>
      <c r="L830" s="358"/>
      <c r="M830" s="428"/>
      <c r="N830" s="429"/>
      <c r="O830" s="430"/>
      <c r="P830" s="10"/>
      <c r="Q830" s="431"/>
    </row>
    <row r="831" spans="1:17" ht="15.75">
      <c r="A831" s="923"/>
      <c r="B831" s="545">
        <v>15025</v>
      </c>
      <c r="C831" s="342">
        <v>0.1</v>
      </c>
      <c r="D831" s="241" t="s">
        <v>570</v>
      </c>
      <c r="E831" s="242">
        <v>1100000</v>
      </c>
      <c r="F831" s="228">
        <v>7.0000000000000007E-2</v>
      </c>
      <c r="G831" s="218">
        <f t="shared" si="31"/>
        <v>77000.000000000015</v>
      </c>
      <c r="H831" s="244" t="s">
        <v>26</v>
      </c>
      <c r="I831" s="239" t="s">
        <v>410</v>
      </c>
      <c r="J831" s="220" t="s">
        <v>19</v>
      </c>
      <c r="K831" s="351"/>
      <c r="L831" s="358"/>
      <c r="M831" s="428"/>
      <c r="N831" s="429"/>
      <c r="O831" s="430"/>
      <c r="P831" s="10"/>
      <c r="Q831" s="431"/>
    </row>
    <row r="832" spans="1:17" ht="15.75">
      <c r="A832" s="923"/>
      <c r="B832" s="545">
        <v>15057</v>
      </c>
      <c r="C832" s="342">
        <v>0.1</v>
      </c>
      <c r="D832" s="241" t="s">
        <v>571</v>
      </c>
      <c r="E832" s="242">
        <v>1100000</v>
      </c>
      <c r="F832" s="228">
        <v>0.12</v>
      </c>
      <c r="G832" s="218">
        <f t="shared" si="31"/>
        <v>132000</v>
      </c>
      <c r="H832" s="244" t="s">
        <v>55</v>
      </c>
      <c r="I832" s="239" t="s">
        <v>440</v>
      </c>
      <c r="J832" s="220" t="s">
        <v>19</v>
      </c>
      <c r="K832" s="351"/>
      <c r="L832" s="358"/>
      <c r="M832" s="428"/>
      <c r="N832" s="429"/>
      <c r="O832" s="430"/>
      <c r="P832" s="10"/>
      <c r="Q832" s="431"/>
    </row>
    <row r="833" spans="1:17" ht="15.75">
      <c r="A833" s="923"/>
      <c r="B833" s="545">
        <v>15062</v>
      </c>
      <c r="C833" s="793">
        <v>0.08</v>
      </c>
      <c r="D833" s="241" t="s">
        <v>572</v>
      </c>
      <c r="E833" s="242">
        <v>2300000</v>
      </c>
      <c r="F833" s="217">
        <v>0.1</v>
      </c>
      <c r="G833" s="218">
        <f t="shared" si="31"/>
        <v>230000</v>
      </c>
      <c r="H833" s="244" t="s">
        <v>55</v>
      </c>
      <c r="I833" s="239" t="s">
        <v>21</v>
      </c>
      <c r="J833" s="220" t="s">
        <v>19</v>
      </c>
      <c r="K833" s="351"/>
      <c r="L833" s="358"/>
      <c r="M833" s="428"/>
      <c r="N833" s="429"/>
      <c r="O833" s="430"/>
      <c r="P833" s="10"/>
      <c r="Q833" s="431"/>
    </row>
    <row r="834" spans="1:17" ht="15.75">
      <c r="A834" s="923"/>
      <c r="B834" s="545">
        <v>15070</v>
      </c>
      <c r="C834" s="342">
        <v>0.1</v>
      </c>
      <c r="D834" s="241" t="s">
        <v>573</v>
      </c>
      <c r="E834" s="242">
        <v>2200000</v>
      </c>
      <c r="F834" s="228">
        <v>7.0000000000000007E-2</v>
      </c>
      <c r="G834" s="218">
        <f t="shared" si="31"/>
        <v>154000.00000000003</v>
      </c>
      <c r="H834" s="244" t="s">
        <v>26</v>
      </c>
      <c r="I834" s="239" t="s">
        <v>410</v>
      </c>
      <c r="J834" s="220" t="s">
        <v>19</v>
      </c>
      <c r="K834" s="351"/>
      <c r="L834" s="358"/>
      <c r="M834" s="428"/>
      <c r="N834" s="429"/>
      <c r="O834" s="430"/>
      <c r="P834" s="10"/>
      <c r="Q834" s="431"/>
    </row>
    <row r="835" spans="1:17" ht="15.75">
      <c r="A835" s="923"/>
      <c r="B835" s="253" t="s">
        <v>574</v>
      </c>
      <c r="C835" s="798"/>
      <c r="D835" s="336" t="s">
        <v>575</v>
      </c>
      <c r="E835" s="255"/>
      <c r="F835" s="254"/>
      <c r="G835" s="266"/>
      <c r="H835" s="291"/>
      <c r="I835" s="213" t="s">
        <v>18</v>
      </c>
      <c r="J835" s="268"/>
      <c r="K835" s="289"/>
      <c r="L835" s="528"/>
      <c r="M835" s="428"/>
      <c r="N835" s="429"/>
      <c r="O835" s="430"/>
      <c r="P835" s="10"/>
      <c r="Q835" s="431"/>
    </row>
    <row r="836" spans="1:17" ht="15.75">
      <c r="A836" s="923"/>
      <c r="B836" s="253" t="s">
        <v>40</v>
      </c>
      <c r="C836" s="329"/>
      <c r="D836" s="336" t="s">
        <v>576</v>
      </c>
      <c r="E836" s="255"/>
      <c r="F836" s="254"/>
      <c r="G836" s="266"/>
      <c r="H836" s="291"/>
      <c r="I836" s="213" t="s">
        <v>410</v>
      </c>
      <c r="J836" s="268"/>
      <c r="K836" s="289"/>
      <c r="L836" s="528"/>
      <c r="M836" s="428"/>
      <c r="N836" s="429"/>
      <c r="O836" s="430"/>
      <c r="P836" s="10"/>
      <c r="Q836" s="431"/>
    </row>
    <row r="837" spans="1:17" ht="15.75">
      <c r="A837" s="923"/>
      <c r="B837" s="797" t="s">
        <v>40</v>
      </c>
      <c r="C837" s="798"/>
      <c r="D837" s="336" t="s">
        <v>576</v>
      </c>
      <c r="E837" s="255"/>
      <c r="F837" s="254"/>
      <c r="G837" s="266"/>
      <c r="H837" s="291"/>
      <c r="I837" s="213" t="s">
        <v>21</v>
      </c>
      <c r="J837" s="268"/>
      <c r="K837" s="289"/>
      <c r="L837" s="528"/>
      <c r="M837" s="428"/>
      <c r="N837" s="429"/>
      <c r="O837" s="430"/>
      <c r="P837" s="10"/>
      <c r="Q837" s="431"/>
    </row>
    <row r="838" spans="1:17" ht="15.75">
      <c r="A838" s="924"/>
      <c r="B838" s="13"/>
      <c r="C838" s="14"/>
      <c r="D838" s="15" t="s">
        <v>46</v>
      </c>
      <c r="E838" s="16">
        <f>SUM(E824:E837)</f>
        <v>19000000</v>
      </c>
      <c r="F838" s="17"/>
      <c r="G838" s="383">
        <f>SUM(G824:G837)</f>
        <v>1674000</v>
      </c>
      <c r="H838" s="17"/>
      <c r="I838" s="18"/>
      <c r="J838" s="18"/>
      <c r="K838" s="18"/>
      <c r="L838" s="19"/>
      <c r="M838" s="480"/>
      <c r="N838" s="942" t="s">
        <v>70</v>
      </c>
      <c r="O838" s="942"/>
      <c r="P838" s="942"/>
      <c r="Q838" s="481">
        <f>G838+Q824</f>
        <v>1784000</v>
      </c>
    </row>
    <row r="843" spans="1:17" ht="18">
      <c r="A843" s="918" t="s">
        <v>91</v>
      </c>
      <c r="B843" s="918"/>
      <c r="C843" s="918"/>
      <c r="D843" s="918"/>
      <c r="E843" s="918"/>
      <c r="F843" s="918"/>
      <c r="G843" s="918"/>
      <c r="H843" s="918"/>
      <c r="I843" s="918"/>
      <c r="J843" s="918"/>
      <c r="K843" s="919"/>
      <c r="L843" s="918"/>
      <c r="M843" s="920" t="s">
        <v>14</v>
      </c>
      <c r="N843" s="921"/>
      <c r="O843" s="921"/>
      <c r="P843" s="922"/>
      <c r="Q843" s="122"/>
    </row>
    <row r="844" spans="1:17" ht="18">
      <c r="A844" s="637" t="s">
        <v>2</v>
      </c>
      <c r="B844" s="638" t="s">
        <v>3</v>
      </c>
      <c r="C844" s="639" t="s">
        <v>4</v>
      </c>
      <c r="D844" s="638" t="s">
        <v>5</v>
      </c>
      <c r="E844" s="640" t="s">
        <v>6</v>
      </c>
      <c r="F844" s="640" t="s">
        <v>7</v>
      </c>
      <c r="G844" s="640" t="s">
        <v>8</v>
      </c>
      <c r="H844" s="640" t="s">
        <v>9</v>
      </c>
      <c r="I844" s="640" t="s">
        <v>10</v>
      </c>
      <c r="J844" s="641" t="s">
        <v>11</v>
      </c>
      <c r="K844" s="640" t="s">
        <v>12</v>
      </c>
      <c r="L844" s="559"/>
      <c r="M844" s="555"/>
      <c r="N844" s="556"/>
      <c r="O844" s="556"/>
      <c r="P844" s="557"/>
      <c r="Q844" s="431"/>
    </row>
    <row r="845" spans="1:17" ht="15.75">
      <c r="A845" s="923">
        <v>1</v>
      </c>
      <c r="B845" s="293">
        <v>15101</v>
      </c>
      <c r="C845" s="231">
        <v>0.1</v>
      </c>
      <c r="D845" s="241" t="s">
        <v>577</v>
      </c>
      <c r="E845" s="242">
        <v>1200000</v>
      </c>
      <c r="F845" s="228">
        <v>0.04</v>
      </c>
      <c r="G845" s="218">
        <f>E845*F845</f>
        <v>48000</v>
      </c>
      <c r="H845" s="244" t="s">
        <v>202</v>
      </c>
      <c r="I845" s="239" t="s">
        <v>410</v>
      </c>
      <c r="J845" s="239" t="s">
        <v>19</v>
      </c>
      <c r="K845" s="239"/>
      <c r="L845" s="446"/>
      <c r="M845" s="428"/>
      <c r="N845" s="448"/>
      <c r="O845" s="430"/>
      <c r="P845" s="10"/>
      <c r="Q845" s="431"/>
    </row>
    <row r="846" spans="1:17" ht="15.75">
      <c r="A846" s="923"/>
      <c r="B846" s="636"/>
      <c r="C846" s="634"/>
      <c r="D846" s="635"/>
      <c r="E846" s="430"/>
      <c r="F846" s="10"/>
      <c r="G846" s="510"/>
      <c r="H846" s="445"/>
      <c r="I846" s="7"/>
      <c r="J846" s="7"/>
      <c r="K846" s="7"/>
      <c r="L846" s="446"/>
      <c r="M846" s="428"/>
      <c r="N846" s="448"/>
      <c r="O846" s="430"/>
      <c r="P846" s="10"/>
      <c r="Q846" s="431"/>
    </row>
    <row r="847" spans="1:17" ht="15.75">
      <c r="A847" s="924"/>
      <c r="B847" s="610" t="s">
        <v>47</v>
      </c>
      <c r="C847" s="573"/>
      <c r="D847" s="574"/>
      <c r="E847" s="575">
        <f>SUM(E845:E846)</f>
        <v>1200000</v>
      </c>
      <c r="F847" s="576"/>
      <c r="G847" s="23">
        <f>SUM(G845:G846)</f>
        <v>48000</v>
      </c>
      <c r="H847" s="576"/>
      <c r="I847" s="577"/>
      <c r="J847" s="578"/>
      <c r="K847" s="110"/>
      <c r="L847" s="111"/>
      <c r="M847" s="112"/>
      <c r="N847" s="925" t="s">
        <v>70</v>
      </c>
      <c r="O847" s="926"/>
      <c r="P847" s="926"/>
      <c r="Q847" s="65">
        <f>G847</f>
        <v>48000</v>
      </c>
    </row>
    <row r="850" spans="1:17" ht="18">
      <c r="A850" s="918" t="s">
        <v>107</v>
      </c>
      <c r="B850" s="927"/>
      <c r="C850" s="927"/>
      <c r="D850" s="927"/>
      <c r="E850" s="927"/>
      <c r="F850" s="927"/>
      <c r="G850" s="927"/>
      <c r="H850" s="927"/>
      <c r="I850" s="927"/>
      <c r="J850" s="927"/>
      <c r="K850" s="927"/>
      <c r="L850" s="927"/>
      <c r="M850" s="928" t="s">
        <v>14</v>
      </c>
      <c r="N850" s="928"/>
      <c r="O850" s="928"/>
      <c r="P850" s="928"/>
      <c r="Q850" s="326"/>
    </row>
    <row r="851" spans="1:17" ht="15.75">
      <c r="A851" s="46" t="s">
        <v>2</v>
      </c>
      <c r="B851" s="77" t="s">
        <v>3</v>
      </c>
      <c r="C851" s="46" t="s">
        <v>4</v>
      </c>
      <c r="D851" s="46" t="s">
        <v>5</v>
      </c>
      <c r="E851" s="48" t="s">
        <v>6</v>
      </c>
      <c r="F851" s="46" t="s">
        <v>7</v>
      </c>
      <c r="G851" s="327" t="s">
        <v>8</v>
      </c>
      <c r="H851" s="46" t="s">
        <v>9</v>
      </c>
      <c r="I851" s="52" t="s">
        <v>10</v>
      </c>
      <c r="J851" s="52" t="s">
        <v>11</v>
      </c>
      <c r="K851" s="52" t="s">
        <v>12</v>
      </c>
      <c r="L851" s="46" t="s">
        <v>13</v>
      </c>
      <c r="M851" s="46" t="s">
        <v>3</v>
      </c>
      <c r="N851" s="46" t="s">
        <v>5</v>
      </c>
      <c r="O851" s="46" t="s">
        <v>49</v>
      </c>
      <c r="P851" s="46" t="s">
        <v>7</v>
      </c>
      <c r="Q851" s="56" t="s">
        <v>50</v>
      </c>
    </row>
    <row r="852" spans="1:17" ht="15.75">
      <c r="A852" s="929">
        <v>12</v>
      </c>
      <c r="B852" s="300">
        <v>15100</v>
      </c>
      <c r="C852" s="347">
        <v>0.08</v>
      </c>
      <c r="D852" s="272" t="s">
        <v>578</v>
      </c>
      <c r="E852" s="278">
        <v>2700000</v>
      </c>
      <c r="F852" s="273"/>
      <c r="G852" s="274"/>
      <c r="H852" s="275" t="s">
        <v>26</v>
      </c>
      <c r="I852" s="276" t="s">
        <v>579</v>
      </c>
      <c r="J852" s="276" t="s">
        <v>19</v>
      </c>
      <c r="K852" s="366"/>
      <c r="L852" s="367"/>
      <c r="M852" s="260">
        <v>14904</v>
      </c>
      <c r="N852" s="241" t="s">
        <v>540</v>
      </c>
      <c r="O852" s="230">
        <v>1650000</v>
      </c>
      <c r="P852" s="230"/>
      <c r="Q852" s="362"/>
    </row>
    <row r="853" spans="1:17" ht="15.75">
      <c r="A853" s="929"/>
      <c r="B853" s="611">
        <v>15001</v>
      </c>
      <c r="C853" s="231">
        <v>0.1</v>
      </c>
      <c r="D853" s="272" t="s">
        <v>580</v>
      </c>
      <c r="E853" s="278">
        <v>1440000</v>
      </c>
      <c r="F853" s="273"/>
      <c r="G853" s="274"/>
      <c r="H853" s="275" t="s">
        <v>26</v>
      </c>
      <c r="I853" s="276" t="s">
        <v>478</v>
      </c>
      <c r="J853" s="276" t="s">
        <v>19</v>
      </c>
      <c r="K853" s="366"/>
      <c r="L853" s="367"/>
      <c r="M853" s="214">
        <v>14935</v>
      </c>
      <c r="N853" s="241" t="s">
        <v>541</v>
      </c>
      <c r="O853" s="216">
        <v>1550000</v>
      </c>
      <c r="P853" s="216"/>
      <c r="Q853" s="362"/>
    </row>
    <row r="854" spans="1:17" ht="15.75">
      <c r="A854" s="929"/>
      <c r="B854" s="770"/>
      <c r="C854" s="634"/>
      <c r="D854" s="631"/>
      <c r="E854" s="456"/>
      <c r="F854" s="457"/>
      <c r="G854" s="458"/>
      <c r="H854" s="56"/>
      <c r="I854" s="9"/>
      <c r="J854" s="9"/>
      <c r="K854" s="459"/>
      <c r="L854" s="460"/>
      <c r="M854" s="214">
        <v>14947</v>
      </c>
      <c r="N854" s="241" t="s">
        <v>543</v>
      </c>
      <c r="O854" s="216">
        <v>900000</v>
      </c>
      <c r="P854" s="216"/>
      <c r="Q854" s="362"/>
    </row>
    <row r="855" spans="1:17" ht="15.75">
      <c r="A855" s="929"/>
      <c r="B855" s="433"/>
      <c r="C855" s="10"/>
      <c r="D855" s="8"/>
      <c r="E855" s="456"/>
      <c r="F855" s="457"/>
      <c r="G855" s="458"/>
      <c r="H855" s="56"/>
      <c r="I855" s="9"/>
      <c r="J855" s="9"/>
      <c r="K855" s="459"/>
      <c r="L855" s="460"/>
      <c r="M855" s="214">
        <v>14984</v>
      </c>
      <c r="N855" s="241" t="s">
        <v>544</v>
      </c>
      <c r="O855" s="216">
        <v>900000</v>
      </c>
      <c r="P855" s="216"/>
      <c r="Q855" s="362"/>
    </row>
    <row r="856" spans="1:17" ht="15.75">
      <c r="A856" s="929"/>
      <c r="B856" s="433"/>
      <c r="C856" s="10"/>
      <c r="D856" s="8"/>
      <c r="E856" s="456"/>
      <c r="F856" s="457"/>
      <c r="G856" s="458"/>
      <c r="H856" s="56"/>
      <c r="I856" s="9"/>
      <c r="J856" s="9"/>
      <c r="K856" s="459"/>
      <c r="L856" s="460"/>
      <c r="M856" s="675">
        <v>15003</v>
      </c>
      <c r="N856" s="241" t="s">
        <v>546</v>
      </c>
      <c r="O856" s="216">
        <v>1700000</v>
      </c>
      <c r="P856" s="216"/>
      <c r="Q856" s="362"/>
    </row>
    <row r="857" spans="1:17" ht="15.75">
      <c r="A857" s="929"/>
      <c r="B857" s="433"/>
      <c r="C857" s="10"/>
      <c r="D857" s="8"/>
      <c r="E857" s="430"/>
      <c r="F857" s="457"/>
      <c r="G857" s="458"/>
      <c r="H857" s="56"/>
      <c r="I857" s="9"/>
      <c r="J857" s="9"/>
      <c r="K857" s="459"/>
      <c r="L857" s="460"/>
      <c r="M857" s="675">
        <v>15050</v>
      </c>
      <c r="N857" s="241" t="s">
        <v>548</v>
      </c>
      <c r="O857" s="216">
        <v>2150000</v>
      </c>
      <c r="P857" s="216"/>
      <c r="Q857" s="362"/>
    </row>
    <row r="858" spans="1:17" ht="15.75">
      <c r="A858" s="929"/>
      <c r="B858" s="433"/>
      <c r="C858" s="10"/>
      <c r="D858" s="8"/>
      <c r="E858" s="430"/>
      <c r="F858" s="457"/>
      <c r="G858" s="458"/>
      <c r="H858" s="56"/>
      <c r="I858" s="9"/>
      <c r="J858" s="9"/>
      <c r="K858" s="459"/>
      <c r="L858" s="121"/>
      <c r="M858" s="675">
        <v>15075</v>
      </c>
      <c r="N858" s="241" t="s">
        <v>549</v>
      </c>
      <c r="O858" s="216">
        <v>1800000</v>
      </c>
      <c r="P858" s="216"/>
      <c r="Q858" s="362"/>
    </row>
    <row r="859" spans="1:17" ht="15.75">
      <c r="A859" s="929"/>
      <c r="B859" s="433"/>
      <c r="C859" s="10"/>
      <c r="D859" s="8"/>
      <c r="E859" s="430"/>
      <c r="F859" s="457"/>
      <c r="G859" s="458"/>
      <c r="H859" s="56"/>
      <c r="I859" s="9"/>
      <c r="J859" s="9"/>
      <c r="K859" s="459"/>
      <c r="L859" s="121"/>
      <c r="M859" s="214">
        <v>15091</v>
      </c>
      <c r="N859" s="241" t="s">
        <v>550</v>
      </c>
      <c r="O859" s="216">
        <v>1250000</v>
      </c>
      <c r="P859" s="216"/>
      <c r="Q859" s="362"/>
    </row>
    <row r="860" spans="1:17" ht="15.75">
      <c r="A860" s="929"/>
      <c r="B860" s="433"/>
      <c r="C860" s="10"/>
      <c r="D860" s="8"/>
      <c r="E860" s="430"/>
      <c r="F860" s="457"/>
      <c r="G860" s="458"/>
      <c r="H860" s="56"/>
      <c r="I860" s="9"/>
      <c r="J860" s="9"/>
      <c r="K860" s="459"/>
      <c r="L860" s="121"/>
      <c r="M860" s="545">
        <v>15076</v>
      </c>
      <c r="N860" s="241" t="s">
        <v>581</v>
      </c>
      <c r="O860" s="242">
        <v>2500000</v>
      </c>
      <c r="P860" s="242"/>
      <c r="Q860" s="362"/>
    </row>
    <row r="861" spans="1:17" ht="15.75">
      <c r="A861" s="929"/>
      <c r="B861" s="433"/>
      <c r="C861" s="10"/>
      <c r="D861" s="8"/>
      <c r="E861" s="430"/>
      <c r="F861" s="457"/>
      <c r="G861" s="458"/>
      <c r="H861" s="56"/>
      <c r="I861" s="9"/>
      <c r="J861" s="9"/>
      <c r="K861" s="459"/>
      <c r="L861" s="121"/>
      <c r="M861" s="545">
        <v>14902</v>
      </c>
      <c r="N861" s="241" t="s">
        <v>564</v>
      </c>
      <c r="O861" s="242">
        <v>1800000</v>
      </c>
      <c r="P861" s="242"/>
      <c r="Q861" s="362"/>
    </row>
    <row r="862" spans="1:17" ht="15.75">
      <c r="A862" s="929"/>
      <c r="B862" s="667"/>
      <c r="C862" s="668"/>
      <c r="D862" s="635"/>
      <c r="E862" s="430"/>
      <c r="F862" s="166"/>
      <c r="G862" s="458"/>
      <c r="H862" s="56"/>
      <c r="I862" s="9"/>
      <c r="J862" s="459"/>
      <c r="K862" s="459"/>
      <c r="L862" s="121"/>
      <c r="M862" s="545">
        <v>14958</v>
      </c>
      <c r="N862" s="241" t="s">
        <v>567</v>
      </c>
      <c r="O862" s="242">
        <v>1300000</v>
      </c>
      <c r="P862" s="242"/>
      <c r="Q862" s="362"/>
    </row>
    <row r="863" spans="1:17" ht="15.75">
      <c r="A863" s="930"/>
      <c r="B863" s="503"/>
      <c r="C863" s="439"/>
      <c r="D863" s="62"/>
      <c r="E863" s="430"/>
      <c r="F863" s="457"/>
      <c r="G863" s="458"/>
      <c r="H863" s="122"/>
      <c r="I863" s="459"/>
      <c r="J863" s="459"/>
      <c r="K863" s="459"/>
      <c r="L863" s="160"/>
      <c r="M863" s="545">
        <v>15015</v>
      </c>
      <c r="N863" s="241" t="s">
        <v>568</v>
      </c>
      <c r="O863" s="242">
        <v>1800000</v>
      </c>
      <c r="P863" s="242"/>
      <c r="Q863" s="362"/>
    </row>
    <row r="864" spans="1:17" ht="15.75">
      <c r="A864" s="931"/>
      <c r="B864" s="669"/>
      <c r="C864" s="670"/>
      <c r="D864" s="671"/>
      <c r="E864" s="672"/>
      <c r="F864" s="673"/>
      <c r="G864" s="672"/>
      <c r="H864" s="674"/>
      <c r="I864" s="61"/>
      <c r="J864" s="61"/>
      <c r="K864" s="61"/>
      <c r="L864" s="161"/>
      <c r="M864" s="545">
        <v>15024</v>
      </c>
      <c r="N864" s="241" t="s">
        <v>569</v>
      </c>
      <c r="O864" s="242">
        <v>3000000</v>
      </c>
      <c r="P864" s="242"/>
      <c r="Q864" s="362"/>
    </row>
    <row r="865" spans="1:17" ht="15.75">
      <c r="A865" s="931"/>
      <c r="B865" s="771"/>
      <c r="C865" s="772"/>
      <c r="D865" s="773"/>
      <c r="E865" s="672"/>
      <c r="F865" s="673"/>
      <c r="G865" s="774"/>
      <c r="H865" s="674"/>
      <c r="I865" s="61"/>
      <c r="J865" s="61"/>
      <c r="K865" s="61"/>
      <c r="L865" s="161"/>
      <c r="M865" s="545">
        <v>15025</v>
      </c>
      <c r="N865" s="241" t="s">
        <v>570</v>
      </c>
      <c r="O865" s="242">
        <v>1100000</v>
      </c>
      <c r="P865" s="242"/>
      <c r="Q865" s="362"/>
    </row>
    <row r="866" spans="1:17" ht="15.75">
      <c r="A866" s="931"/>
      <c r="B866" s="771"/>
      <c r="C866" s="772"/>
      <c r="D866" s="460"/>
      <c r="E866" s="672"/>
      <c r="F866" s="673"/>
      <c r="G866" s="774"/>
      <c r="H866" s="674"/>
      <c r="I866" s="61"/>
      <c r="J866" s="61"/>
      <c r="K866" s="61"/>
      <c r="L866" s="161"/>
      <c r="M866" s="545">
        <v>15070</v>
      </c>
      <c r="N866" s="241" t="s">
        <v>573</v>
      </c>
      <c r="O866" s="242">
        <v>2200000</v>
      </c>
      <c r="P866" s="242"/>
      <c r="Q866" s="362"/>
    </row>
    <row r="867" spans="1:17" ht="15.75">
      <c r="A867" s="931"/>
      <c r="B867" s="771"/>
      <c r="C867" s="772"/>
      <c r="D867" s="460"/>
      <c r="E867" s="672"/>
      <c r="F867" s="673"/>
      <c r="G867" s="774"/>
      <c r="H867" s="674"/>
      <c r="I867" s="61"/>
      <c r="J867" s="61"/>
      <c r="K867" s="61"/>
      <c r="L867" s="161"/>
      <c r="M867" s="260">
        <v>15132</v>
      </c>
      <c r="N867" s="824" t="s">
        <v>556</v>
      </c>
      <c r="O867" s="216">
        <v>1750000</v>
      </c>
      <c r="P867" s="221"/>
      <c r="Q867" s="362"/>
    </row>
    <row r="868" spans="1:17" ht="15.75">
      <c r="A868" s="931"/>
      <c r="B868" s="131"/>
      <c r="C868" s="132"/>
      <c r="D868" s="121"/>
      <c r="E868" s="128"/>
      <c r="F868" s="129"/>
      <c r="G868" s="133"/>
      <c r="H868" s="130"/>
      <c r="I868" s="64"/>
      <c r="J868" s="64"/>
      <c r="K868" s="64"/>
      <c r="L868" s="161"/>
      <c r="M868" s="159"/>
      <c r="N868" s="163"/>
      <c r="O868" s="31"/>
      <c r="P868" s="158"/>
      <c r="Q868" s="122"/>
    </row>
    <row r="869" spans="1:17" ht="15.75">
      <c r="A869" s="931"/>
      <c r="B869" s="134"/>
      <c r="C869" s="72"/>
      <c r="D869" s="135"/>
      <c r="E869" s="136"/>
      <c r="F869" s="137"/>
      <c r="G869" s="138"/>
      <c r="H869" s="139"/>
      <c r="I869" s="69"/>
      <c r="J869" s="69"/>
      <c r="K869" s="69"/>
      <c r="L869" s="60"/>
      <c r="M869" s="102"/>
      <c r="N869" s="96"/>
      <c r="O869" s="23"/>
      <c r="P869" s="140"/>
      <c r="Q869" s="122"/>
    </row>
    <row r="870" spans="1:17" ht="15.75">
      <c r="A870" s="932"/>
      <c r="B870" s="141" t="s">
        <v>46</v>
      </c>
      <c r="C870" s="142"/>
      <c r="D870" s="143"/>
      <c r="E870" s="144">
        <f>SUM(E852:E869)</f>
        <v>4140000</v>
      </c>
      <c r="F870" s="145"/>
      <c r="G870" s="146"/>
      <c r="H870" s="145"/>
      <c r="I870" s="147"/>
      <c r="J870" s="147"/>
      <c r="K870" s="147"/>
      <c r="L870" s="148"/>
      <c r="M870" s="123"/>
      <c r="N870" s="123"/>
      <c r="O870" s="378">
        <f>SUM(O852:O869)</f>
        <v>27350000</v>
      </c>
      <c r="P870" s="150"/>
      <c r="Q870" s="122"/>
    </row>
    <row r="873" spans="1:17" ht="18">
      <c r="A873" s="933" t="s">
        <v>117</v>
      </c>
      <c r="B873" s="1116"/>
      <c r="C873" s="164"/>
      <c r="D873" s="165">
        <f>E819+E838+E847+E870</f>
        <v>46090000</v>
      </c>
    </row>
    <row r="874" spans="1:17" ht="18">
      <c r="A874" s="934" t="s">
        <v>119</v>
      </c>
      <c r="B874" s="1117"/>
      <c r="C874" s="167"/>
      <c r="D874" s="168"/>
    </row>
    <row r="875" spans="1:17" ht="18">
      <c r="A875" s="916" t="s">
        <v>120</v>
      </c>
      <c r="B875" s="1118"/>
      <c r="C875" s="169"/>
      <c r="D875" s="170"/>
    </row>
    <row r="876" spans="1:17" ht="15.75">
      <c r="A876" s="917" t="s">
        <v>121</v>
      </c>
      <c r="B876" s="1119"/>
      <c r="C876" s="169"/>
      <c r="D876" s="171"/>
    </row>
    <row r="877" spans="1:17" ht="15.75">
      <c r="A877" s="172"/>
      <c r="B877" s="141" t="s">
        <v>47</v>
      </c>
      <c r="C877" s="173"/>
      <c r="D877" s="174">
        <f>SUM(D873:D876)</f>
        <v>46090000</v>
      </c>
    </row>
    <row r="882" spans="1:17" ht="45">
      <c r="A882" s="935" t="s">
        <v>582</v>
      </c>
      <c r="B882" s="935"/>
      <c r="C882" s="935"/>
      <c r="D882" s="935"/>
      <c r="E882" s="935"/>
      <c r="F882" s="935"/>
      <c r="G882" s="935"/>
      <c r="H882" s="935"/>
      <c r="I882" s="935"/>
      <c r="J882" s="935"/>
      <c r="K882" s="935"/>
      <c r="L882" s="935"/>
    </row>
    <row r="884" spans="1:17" ht="18">
      <c r="A884" s="918" t="s">
        <v>1</v>
      </c>
      <c r="B884" s="918"/>
      <c r="C884" s="918"/>
      <c r="D884" s="918"/>
      <c r="E884" s="918"/>
      <c r="F884" s="918"/>
      <c r="G884" s="918"/>
      <c r="H884" s="918"/>
      <c r="I884" s="918"/>
      <c r="J884" s="918"/>
      <c r="K884" s="918"/>
      <c r="L884" s="918"/>
    </row>
    <row r="885" spans="1:17">
      <c r="A885" s="1" t="s">
        <v>2</v>
      </c>
      <c r="B885" s="2" t="s">
        <v>3</v>
      </c>
      <c r="C885" s="3" t="s">
        <v>4</v>
      </c>
      <c r="D885" s="1" t="s">
        <v>5</v>
      </c>
      <c r="E885" s="4" t="s">
        <v>6</v>
      </c>
      <c r="F885" s="3" t="s">
        <v>7</v>
      </c>
      <c r="G885" s="5" t="s">
        <v>8</v>
      </c>
      <c r="H885" s="3" t="s">
        <v>9</v>
      </c>
      <c r="I885" s="6" t="s">
        <v>10</v>
      </c>
      <c r="J885" s="6" t="s">
        <v>11</v>
      </c>
      <c r="K885" s="6" t="s">
        <v>12</v>
      </c>
      <c r="L885" s="40" t="s">
        <v>13</v>
      </c>
      <c r="M885" s="943" t="s">
        <v>14</v>
      </c>
      <c r="N885" s="943"/>
      <c r="O885" s="943"/>
      <c r="P885" s="943"/>
      <c r="Q885" s="41"/>
    </row>
    <row r="886" spans="1:17" ht="15.75">
      <c r="A886" s="936" t="s">
        <v>15</v>
      </c>
      <c r="B886" s="260">
        <v>15143</v>
      </c>
      <c r="C886" s="526">
        <v>0.08</v>
      </c>
      <c r="D886" s="241" t="s">
        <v>583</v>
      </c>
      <c r="E886" s="278">
        <v>1800000</v>
      </c>
      <c r="F886" s="217">
        <v>0.06</v>
      </c>
      <c r="G886" s="237">
        <f>E886*F886</f>
        <v>108000</v>
      </c>
      <c r="H886" s="238" t="s">
        <v>62</v>
      </c>
      <c r="I886" s="239" t="s">
        <v>579</v>
      </c>
      <c r="J886" s="239" t="s">
        <v>19</v>
      </c>
      <c r="K886" s="7"/>
      <c r="L886" s="500"/>
      <c r="M886" s="485"/>
      <c r="N886" s="8"/>
      <c r="O886" s="501"/>
      <c r="P886" s="10"/>
      <c r="Q886" s="487"/>
    </row>
    <row r="887" spans="1:17" s="828" customFormat="1" ht="15.75">
      <c r="A887" s="936"/>
      <c r="B887" s="675">
        <v>15160</v>
      </c>
      <c r="C887" s="308">
        <v>0.1</v>
      </c>
      <c r="D887" s="241" t="s">
        <v>584</v>
      </c>
      <c r="E887" s="278">
        <v>1900000</v>
      </c>
      <c r="F887" s="228">
        <v>7.0000000000000007E-2</v>
      </c>
      <c r="G887" s="237">
        <f t="shared" ref="G887:G897" si="32">E887*F887</f>
        <v>133000</v>
      </c>
      <c r="H887" s="244" t="s">
        <v>26</v>
      </c>
      <c r="I887" s="239" t="s">
        <v>18</v>
      </c>
      <c r="J887" s="239" t="s">
        <v>19</v>
      </c>
      <c r="K887" s="7"/>
      <c r="L887" s="825"/>
      <c r="M887" s="485"/>
      <c r="N887" s="826"/>
      <c r="O887" s="430"/>
      <c r="P887" s="10"/>
      <c r="Q887" s="827"/>
    </row>
    <row r="888" spans="1:17" s="828" customFormat="1" ht="15.75">
      <c r="A888" s="936"/>
      <c r="B888" s="675">
        <v>15158</v>
      </c>
      <c r="C888" s="308">
        <v>0.1</v>
      </c>
      <c r="D888" s="241" t="s">
        <v>585</v>
      </c>
      <c r="E888" s="278">
        <v>1900000</v>
      </c>
      <c r="F888" s="228">
        <v>7.0000000000000007E-2</v>
      </c>
      <c r="G888" s="237">
        <f t="shared" si="32"/>
        <v>133000</v>
      </c>
      <c r="H888" s="244" t="s">
        <v>26</v>
      </c>
      <c r="I888" s="239" t="s">
        <v>478</v>
      </c>
      <c r="J888" s="239" t="s">
        <v>19</v>
      </c>
      <c r="K888" s="7"/>
      <c r="L888" s="825"/>
      <c r="M888" s="485"/>
      <c r="N888" s="826"/>
      <c r="O888" s="430"/>
      <c r="P888" s="10"/>
      <c r="Q888" s="827"/>
    </row>
    <row r="889" spans="1:17" s="828" customFormat="1" ht="15.75">
      <c r="A889" s="936"/>
      <c r="B889" s="675">
        <v>15211</v>
      </c>
      <c r="C889" s="308">
        <v>0.1</v>
      </c>
      <c r="D889" s="241" t="s">
        <v>586</v>
      </c>
      <c r="E889" s="278">
        <v>1800000</v>
      </c>
      <c r="F889" s="228">
        <v>0.12</v>
      </c>
      <c r="G889" s="237">
        <f t="shared" si="32"/>
        <v>216000</v>
      </c>
      <c r="H889" s="244" t="s">
        <v>17</v>
      </c>
      <c r="I889" s="239" t="s">
        <v>579</v>
      </c>
      <c r="J889" s="239" t="s">
        <v>19</v>
      </c>
      <c r="K889" s="7"/>
      <c r="L889" s="825"/>
      <c r="M889" s="485"/>
      <c r="N889" s="826"/>
      <c r="O889" s="430"/>
      <c r="P889" s="10"/>
      <c r="Q889" s="827"/>
    </row>
    <row r="890" spans="1:17" s="828" customFormat="1" ht="15.75">
      <c r="A890" s="936"/>
      <c r="B890" s="830">
        <v>15249</v>
      </c>
      <c r="C890" s="526">
        <v>0.08</v>
      </c>
      <c r="D890" s="241" t="s">
        <v>587</v>
      </c>
      <c r="E890" s="278">
        <v>2300000</v>
      </c>
      <c r="F890" s="217">
        <v>0.1</v>
      </c>
      <c r="G890" s="237">
        <f t="shared" si="32"/>
        <v>230000</v>
      </c>
      <c r="H890" s="244" t="s">
        <v>17</v>
      </c>
      <c r="I890" s="239" t="s">
        <v>478</v>
      </c>
      <c r="J890" s="239" t="s">
        <v>19</v>
      </c>
      <c r="K890" s="7"/>
      <c r="L890" s="825"/>
      <c r="M890" s="485"/>
      <c r="N890" s="826"/>
      <c r="O890" s="430"/>
      <c r="P890" s="10"/>
      <c r="Q890" s="827"/>
    </row>
    <row r="891" spans="1:17" ht="15.75">
      <c r="A891" s="936"/>
      <c r="B891" s="341">
        <v>15221</v>
      </c>
      <c r="C891" s="308">
        <v>0.1</v>
      </c>
      <c r="D891" s="241" t="s">
        <v>588</v>
      </c>
      <c r="E891" s="216">
        <v>1750000</v>
      </c>
      <c r="F891" s="228">
        <v>7.0000000000000007E-2</v>
      </c>
      <c r="G891" s="237">
        <f t="shared" si="32"/>
        <v>122500.00000000001</v>
      </c>
      <c r="H891" s="297" t="s">
        <v>26</v>
      </c>
      <c r="I891" s="220" t="s">
        <v>18</v>
      </c>
      <c r="J891" s="239" t="s">
        <v>19</v>
      </c>
      <c r="K891" s="7"/>
      <c r="L891" s="500"/>
      <c r="M891" s="485"/>
      <c r="N891" s="8"/>
      <c r="O891" s="501"/>
      <c r="P891" s="10"/>
      <c r="Q891" s="487"/>
    </row>
    <row r="892" spans="1:17" ht="15.75">
      <c r="A892" s="936"/>
      <c r="B892" s="545">
        <v>15266</v>
      </c>
      <c r="C892" s="308">
        <v>0.1</v>
      </c>
      <c r="D892" s="241" t="s">
        <v>589</v>
      </c>
      <c r="E892" s="216">
        <v>2150000</v>
      </c>
      <c r="F892" s="228">
        <v>0.12</v>
      </c>
      <c r="G892" s="237">
        <f t="shared" si="32"/>
        <v>258000</v>
      </c>
      <c r="H892" s="297" t="s">
        <v>17</v>
      </c>
      <c r="I892" s="220" t="s">
        <v>18</v>
      </c>
      <c r="J892" s="239" t="s">
        <v>19</v>
      </c>
      <c r="K892" s="7"/>
      <c r="L892" s="500"/>
      <c r="M892" s="485"/>
      <c r="N892" s="8"/>
      <c r="O892" s="501"/>
      <c r="P892" s="10"/>
      <c r="Q892" s="487"/>
    </row>
    <row r="893" spans="1:17" ht="15.75">
      <c r="A893" s="936"/>
      <c r="B893" s="545">
        <v>15313</v>
      </c>
      <c r="C893" s="308">
        <v>0.1</v>
      </c>
      <c r="D893" s="241" t="s">
        <v>590</v>
      </c>
      <c r="E893" s="216">
        <v>950000</v>
      </c>
      <c r="F893" s="228">
        <v>7.0000000000000007E-2</v>
      </c>
      <c r="G893" s="237">
        <f t="shared" si="32"/>
        <v>66500</v>
      </c>
      <c r="H893" s="297" t="s">
        <v>202</v>
      </c>
      <c r="I893" s="220" t="s">
        <v>478</v>
      </c>
      <c r="J893" s="239" t="s">
        <v>19</v>
      </c>
      <c r="K893" s="7"/>
      <c r="L893" s="500"/>
      <c r="M893" s="485"/>
      <c r="N893" s="8"/>
      <c r="O893" s="501"/>
      <c r="P893" s="10"/>
      <c r="Q893" s="487"/>
    </row>
    <row r="894" spans="1:17" ht="15.75">
      <c r="A894" s="936"/>
      <c r="B894" s="545">
        <v>15320</v>
      </c>
      <c r="C894" s="308">
        <v>0.1</v>
      </c>
      <c r="D894" s="241" t="s">
        <v>591</v>
      </c>
      <c r="E894" s="216">
        <v>1850000</v>
      </c>
      <c r="F894" s="228">
        <v>0.12</v>
      </c>
      <c r="G894" s="237">
        <f t="shared" si="32"/>
        <v>222000</v>
      </c>
      <c r="H894" s="297" t="s">
        <v>17</v>
      </c>
      <c r="I894" s="220" t="s">
        <v>579</v>
      </c>
      <c r="J894" s="239" t="s">
        <v>19</v>
      </c>
      <c r="K894" s="7"/>
      <c r="L894" s="500"/>
      <c r="M894" s="485"/>
      <c r="N894" s="8"/>
      <c r="O894" s="501"/>
      <c r="P894" s="10"/>
      <c r="Q894" s="487"/>
    </row>
    <row r="895" spans="1:17" s="834" customFormat="1" ht="15.75">
      <c r="A895" s="936"/>
      <c r="B895" s="675">
        <v>15365</v>
      </c>
      <c r="C895" s="308">
        <v>0.1</v>
      </c>
      <c r="D895" s="241" t="s">
        <v>592</v>
      </c>
      <c r="E895" s="216">
        <v>1750000</v>
      </c>
      <c r="F895" s="228">
        <v>7.0000000000000007E-2</v>
      </c>
      <c r="G895" s="237">
        <f t="shared" si="32"/>
        <v>122500.00000000001</v>
      </c>
      <c r="H895" s="297" t="s">
        <v>26</v>
      </c>
      <c r="I895" s="220" t="s">
        <v>18</v>
      </c>
      <c r="J895" s="239" t="s">
        <v>19</v>
      </c>
      <c r="K895" s="27"/>
      <c r="L895" s="832"/>
      <c r="M895" s="316"/>
      <c r="N895" s="22"/>
      <c r="O895" s="23"/>
      <c r="P895" s="67"/>
      <c r="Q895" s="833"/>
    </row>
    <row r="896" spans="1:17" ht="15.75">
      <c r="A896" s="936"/>
      <c r="B896" s="214">
        <v>15363</v>
      </c>
      <c r="C896" s="526">
        <v>0.08</v>
      </c>
      <c r="D896" s="241" t="s">
        <v>593</v>
      </c>
      <c r="E896" s="216">
        <v>1850000</v>
      </c>
      <c r="F896" s="217">
        <v>0.1</v>
      </c>
      <c r="G896" s="237">
        <f t="shared" si="32"/>
        <v>185000</v>
      </c>
      <c r="H896" s="297" t="s">
        <v>17</v>
      </c>
      <c r="I896" s="220" t="s">
        <v>410</v>
      </c>
      <c r="J896" s="239" t="s">
        <v>19</v>
      </c>
      <c r="K896" s="7"/>
      <c r="L896" s="500"/>
      <c r="M896" s="485"/>
      <c r="N896" s="8"/>
      <c r="O896" s="501"/>
      <c r="P896" s="10"/>
      <c r="Q896" s="487"/>
    </row>
    <row r="897" spans="1:17" ht="15.75">
      <c r="A897" s="936"/>
      <c r="B897" s="545">
        <v>15368</v>
      </c>
      <c r="C897" s="342">
        <v>0.1</v>
      </c>
      <c r="D897" s="241" t="s">
        <v>20</v>
      </c>
      <c r="E897" s="242">
        <v>850000</v>
      </c>
      <c r="F897" s="228">
        <v>7.0000000000000007E-2</v>
      </c>
      <c r="G897" s="237">
        <f t="shared" si="32"/>
        <v>59500.000000000007</v>
      </c>
      <c r="H897" s="244" t="s">
        <v>26</v>
      </c>
      <c r="I897" s="239" t="s">
        <v>410</v>
      </c>
      <c r="J897" s="239" t="s">
        <v>19</v>
      </c>
      <c r="K897" s="7"/>
      <c r="L897" s="500"/>
      <c r="M897" s="485"/>
      <c r="N897" s="8"/>
      <c r="O897" s="501"/>
      <c r="P897" s="10"/>
      <c r="Q897" s="487"/>
    </row>
    <row r="898" spans="1:17" ht="15.75">
      <c r="A898" s="936"/>
      <c r="B898" s="253" t="s">
        <v>40</v>
      </c>
      <c r="C898" s="329"/>
      <c r="D898" s="336" t="s">
        <v>594</v>
      </c>
      <c r="E898" s="265"/>
      <c r="F898" s="271"/>
      <c r="G898" s="292"/>
      <c r="H898" s="489"/>
      <c r="I898" s="268" t="s">
        <v>18</v>
      </c>
      <c r="J898" s="213"/>
      <c r="K898" s="7"/>
      <c r="L898" s="500"/>
      <c r="M898" s="485"/>
      <c r="N898" s="8"/>
      <c r="O898" s="501"/>
      <c r="P898" s="10"/>
      <c r="Q898" s="487"/>
    </row>
    <row r="899" spans="1:17" ht="18">
      <c r="A899" s="937"/>
      <c r="B899" s="13"/>
      <c r="C899" s="14"/>
      <c r="D899" s="15" t="s">
        <v>46</v>
      </c>
      <c r="E899" s="16">
        <f>SUM(E886:E898)</f>
        <v>20850000</v>
      </c>
      <c r="F899" s="17"/>
      <c r="G899" s="383">
        <f>SUM(G886:G898)</f>
        <v>1856000</v>
      </c>
      <c r="H899" s="17"/>
      <c r="I899" s="18"/>
      <c r="J899" s="18"/>
      <c r="K899" s="18"/>
      <c r="L899" s="45"/>
      <c r="M899" s="37"/>
      <c r="N899" s="938" t="s">
        <v>211</v>
      </c>
      <c r="O899" s="939"/>
      <c r="P899" s="940"/>
      <c r="Q899" s="714">
        <f>G899</f>
        <v>1856000</v>
      </c>
    </row>
    <row r="902" spans="1:17" ht="18">
      <c r="A902" s="918" t="s">
        <v>48</v>
      </c>
      <c r="B902" s="918"/>
      <c r="C902" s="918"/>
      <c r="D902" s="918"/>
      <c r="E902" s="918"/>
      <c r="F902" s="918"/>
      <c r="G902" s="918"/>
      <c r="H902" s="918"/>
      <c r="I902" s="918"/>
      <c r="J902" s="919"/>
      <c r="K902" s="919"/>
      <c r="L902" s="941"/>
      <c r="M902" s="928" t="s">
        <v>14</v>
      </c>
      <c r="N902" s="928"/>
      <c r="O902" s="928"/>
      <c r="P902" s="928"/>
      <c r="Q902" s="363"/>
    </row>
    <row r="903" spans="1:17" ht="15.75">
      <c r="A903" s="46" t="s">
        <v>2</v>
      </c>
      <c r="B903" s="77" t="s">
        <v>3</v>
      </c>
      <c r="C903" s="46" t="s">
        <v>4</v>
      </c>
      <c r="D903" s="46" t="s">
        <v>5</v>
      </c>
      <c r="E903" s="78" t="s">
        <v>6</v>
      </c>
      <c r="F903" s="49" t="s">
        <v>7</v>
      </c>
      <c r="G903" s="50" t="s">
        <v>8</v>
      </c>
      <c r="H903" s="49" t="s">
        <v>9</v>
      </c>
      <c r="I903" s="323" t="s">
        <v>10</v>
      </c>
      <c r="J903" s="79" t="s">
        <v>11</v>
      </c>
      <c r="K903" s="52" t="s">
        <v>12</v>
      </c>
      <c r="L903" s="53" t="s">
        <v>13</v>
      </c>
      <c r="M903" s="54" t="s">
        <v>3</v>
      </c>
      <c r="N903" s="54" t="s">
        <v>5</v>
      </c>
      <c r="O903" s="39" t="s">
        <v>49</v>
      </c>
      <c r="P903" s="371" t="s">
        <v>7</v>
      </c>
      <c r="Q903" s="56" t="s">
        <v>50</v>
      </c>
    </row>
    <row r="904" spans="1:17" ht="15.75">
      <c r="A904" s="923" t="s">
        <v>595</v>
      </c>
      <c r="B904" s="545">
        <v>15203</v>
      </c>
      <c r="C904" s="342">
        <v>0.1</v>
      </c>
      <c r="D904" s="241" t="s">
        <v>596</v>
      </c>
      <c r="E904" s="242">
        <v>1900000</v>
      </c>
      <c r="F904" s="228">
        <v>7.0000000000000007E-2</v>
      </c>
      <c r="G904" s="218">
        <f>E904*F904</f>
        <v>133000</v>
      </c>
      <c r="H904" s="244" t="s">
        <v>26</v>
      </c>
      <c r="I904" s="239" t="s">
        <v>579</v>
      </c>
      <c r="J904" s="220" t="s">
        <v>19</v>
      </c>
      <c r="K904" s="351"/>
      <c r="L904" s="358"/>
      <c r="M904" s="260">
        <v>15143</v>
      </c>
      <c r="N904" s="241" t="s">
        <v>583</v>
      </c>
      <c r="O904" s="278">
        <v>1800000</v>
      </c>
      <c r="P904" s="217">
        <v>0.04</v>
      </c>
      <c r="Q904" s="462">
        <f>O904*P904</f>
        <v>72000</v>
      </c>
    </row>
    <row r="905" spans="1:17" ht="15.75">
      <c r="A905" s="923"/>
      <c r="B905" s="545">
        <v>15200</v>
      </c>
      <c r="C905" s="342">
        <v>0.1</v>
      </c>
      <c r="D905" s="241" t="s">
        <v>597</v>
      </c>
      <c r="E905" s="242">
        <v>1900000</v>
      </c>
      <c r="F905" s="228">
        <v>0.12</v>
      </c>
      <c r="G905" s="218">
        <f t="shared" ref="G905:G914" si="33">E905*F905</f>
        <v>228000</v>
      </c>
      <c r="H905" s="244" t="s">
        <v>55</v>
      </c>
      <c r="I905" s="239" t="s">
        <v>579</v>
      </c>
      <c r="J905" s="220" t="s">
        <v>19</v>
      </c>
      <c r="K905" s="351"/>
      <c r="L905" s="358"/>
      <c r="M905" s="419">
        <v>15300</v>
      </c>
      <c r="N905" s="423" t="s">
        <v>598</v>
      </c>
      <c r="O905" s="242">
        <v>1000000</v>
      </c>
      <c r="P905" s="228">
        <v>0.05</v>
      </c>
      <c r="Q905" s="462">
        <f>O905*P905</f>
        <v>50000</v>
      </c>
    </row>
    <row r="906" spans="1:17" ht="15.75">
      <c r="A906" s="923"/>
      <c r="B906" s="545">
        <v>15201</v>
      </c>
      <c r="C906" s="793">
        <v>0.08</v>
      </c>
      <c r="D906" s="241" t="s">
        <v>599</v>
      </c>
      <c r="E906" s="242">
        <v>1650000</v>
      </c>
      <c r="F906" s="217">
        <v>0.06</v>
      </c>
      <c r="G906" s="218">
        <f t="shared" si="33"/>
        <v>99000</v>
      </c>
      <c r="H906" s="244" t="s">
        <v>26</v>
      </c>
      <c r="I906" s="239" t="s">
        <v>410</v>
      </c>
      <c r="J906" s="220" t="s">
        <v>19</v>
      </c>
      <c r="K906" s="351"/>
      <c r="L906" s="528"/>
      <c r="M906" s="428"/>
      <c r="N906" s="429"/>
      <c r="O906" s="430"/>
      <c r="P906" s="10"/>
      <c r="Q906" s="431"/>
    </row>
    <row r="907" spans="1:17" ht="15.75">
      <c r="A907" s="923"/>
      <c r="B907" s="545">
        <v>15216</v>
      </c>
      <c r="C907" s="342">
        <v>0.1</v>
      </c>
      <c r="D907" s="241" t="s">
        <v>600</v>
      </c>
      <c r="E907" s="242">
        <v>2000000</v>
      </c>
      <c r="F907" s="228">
        <v>7.0000000000000007E-2</v>
      </c>
      <c r="G907" s="218">
        <f t="shared" si="33"/>
        <v>140000</v>
      </c>
      <c r="H907" s="244" t="s">
        <v>26</v>
      </c>
      <c r="I907" s="239" t="s">
        <v>579</v>
      </c>
      <c r="J907" s="220" t="s">
        <v>19</v>
      </c>
      <c r="K907" s="351"/>
      <c r="L907" s="528"/>
      <c r="M907" s="428"/>
      <c r="N907" s="429"/>
      <c r="O907" s="430"/>
      <c r="P907" s="10"/>
      <c r="Q907" s="431"/>
    </row>
    <row r="908" spans="1:17" ht="15.75">
      <c r="A908" s="923"/>
      <c r="B908" s="545">
        <v>15225</v>
      </c>
      <c r="C908" s="342">
        <v>0.1</v>
      </c>
      <c r="D908" s="241" t="s">
        <v>601</v>
      </c>
      <c r="E908" s="242">
        <v>2300000</v>
      </c>
      <c r="F908" s="228">
        <v>7.0000000000000007E-2</v>
      </c>
      <c r="G908" s="218">
        <f t="shared" si="33"/>
        <v>161000.00000000003</v>
      </c>
      <c r="H908" s="244" t="s">
        <v>26</v>
      </c>
      <c r="I908" s="239" t="s">
        <v>18</v>
      </c>
      <c r="J908" s="220" t="s">
        <v>19</v>
      </c>
      <c r="K908" s="351"/>
      <c r="L908" s="528"/>
      <c r="M908" s="428"/>
      <c r="N908" s="429"/>
      <c r="O908" s="430"/>
      <c r="P908" s="10"/>
      <c r="Q908" s="431"/>
    </row>
    <row r="909" spans="1:17" ht="15.75">
      <c r="A909" s="923"/>
      <c r="B909" s="341">
        <v>15270</v>
      </c>
      <c r="C909" s="308">
        <v>0.1</v>
      </c>
      <c r="D909" s="241" t="s">
        <v>602</v>
      </c>
      <c r="E909" s="242">
        <v>2300000</v>
      </c>
      <c r="F909" s="228">
        <v>7.0000000000000007E-2</v>
      </c>
      <c r="G909" s="218">
        <f t="shared" si="33"/>
        <v>161000.00000000003</v>
      </c>
      <c r="H909" s="244" t="s">
        <v>26</v>
      </c>
      <c r="I909" s="239" t="s">
        <v>579</v>
      </c>
      <c r="J909" s="220" t="s">
        <v>19</v>
      </c>
      <c r="K909" s="351"/>
      <c r="L909" s="528"/>
      <c r="M909" s="428"/>
      <c r="N909" s="429"/>
      <c r="O909" s="430"/>
      <c r="P909" s="10"/>
      <c r="Q909" s="431"/>
    </row>
    <row r="910" spans="1:17" ht="15.75">
      <c r="A910" s="923"/>
      <c r="B910" s="545">
        <v>15256</v>
      </c>
      <c r="C910" s="342">
        <v>0.1</v>
      </c>
      <c r="D910" s="241" t="s">
        <v>603</v>
      </c>
      <c r="E910" s="242">
        <v>2100000</v>
      </c>
      <c r="F910" s="228">
        <v>0.12</v>
      </c>
      <c r="G910" s="218">
        <f t="shared" si="33"/>
        <v>252000</v>
      </c>
      <c r="H910" s="244" t="s">
        <v>62</v>
      </c>
      <c r="I910" s="239" t="s">
        <v>18</v>
      </c>
      <c r="J910" s="220" t="s">
        <v>19</v>
      </c>
      <c r="K910" s="351"/>
      <c r="L910" s="528"/>
      <c r="M910" s="428"/>
      <c r="N910" s="429"/>
      <c r="O910" s="430"/>
      <c r="P910" s="10"/>
      <c r="Q910" s="431"/>
    </row>
    <row r="911" spans="1:17" ht="15.75">
      <c r="A911" s="923"/>
      <c r="B911" s="545">
        <v>15260</v>
      </c>
      <c r="C911" s="342">
        <v>0.1</v>
      </c>
      <c r="D911" s="241" t="s">
        <v>604</v>
      </c>
      <c r="E911" s="242">
        <v>1700000</v>
      </c>
      <c r="F911" s="228">
        <v>7.0000000000000007E-2</v>
      </c>
      <c r="G911" s="218">
        <f t="shared" si="33"/>
        <v>119000.00000000001</v>
      </c>
      <c r="H911" s="244" t="s">
        <v>26</v>
      </c>
      <c r="I911" s="239" t="s">
        <v>579</v>
      </c>
      <c r="J911" s="220" t="s">
        <v>19</v>
      </c>
      <c r="K911" s="351"/>
      <c r="L911" s="528"/>
      <c r="M911" s="428"/>
      <c r="N911" s="429"/>
      <c r="O911" s="430"/>
      <c r="P911" s="10"/>
      <c r="Q911" s="431"/>
    </row>
    <row r="912" spans="1:17" ht="15.75">
      <c r="A912" s="923"/>
      <c r="B912" s="545">
        <v>15329</v>
      </c>
      <c r="C912" s="342">
        <v>0.1</v>
      </c>
      <c r="D912" s="241" t="s">
        <v>605</v>
      </c>
      <c r="E912" s="242">
        <v>1500000</v>
      </c>
      <c r="F912" s="228">
        <v>0.12</v>
      </c>
      <c r="G912" s="218">
        <f t="shared" si="33"/>
        <v>180000</v>
      </c>
      <c r="H912" s="244" t="s">
        <v>62</v>
      </c>
      <c r="I912" s="239" t="s">
        <v>18</v>
      </c>
      <c r="J912" s="220" t="s">
        <v>19</v>
      </c>
      <c r="K912" s="351"/>
      <c r="L912" s="528"/>
      <c r="M912" s="428"/>
      <c r="N912" s="429"/>
      <c r="O912" s="430"/>
      <c r="P912" s="10"/>
      <c r="Q912" s="431"/>
    </row>
    <row r="913" spans="1:17" ht="15" customHeight="1">
      <c r="A913" s="923"/>
      <c r="B913" s="545">
        <v>15385</v>
      </c>
      <c r="C913" s="342">
        <v>0.1</v>
      </c>
      <c r="D913" s="241" t="s">
        <v>606</v>
      </c>
      <c r="E913" s="242">
        <v>2300000</v>
      </c>
      <c r="F913" s="228">
        <v>0.12</v>
      </c>
      <c r="G913" s="218">
        <f t="shared" si="33"/>
        <v>276000</v>
      </c>
      <c r="H913" s="244" t="s">
        <v>62</v>
      </c>
      <c r="I913" s="239" t="s">
        <v>18</v>
      </c>
      <c r="J913" s="220" t="s">
        <v>607</v>
      </c>
      <c r="K913" s="351"/>
      <c r="L913" s="528"/>
      <c r="M913" s="428"/>
      <c r="N913" s="429"/>
      <c r="O913" s="430"/>
      <c r="P913" s="10"/>
      <c r="Q913" s="431"/>
    </row>
    <row r="914" spans="1:17" ht="15" customHeight="1">
      <c r="A914" s="923"/>
      <c r="B914" s="545">
        <v>15392</v>
      </c>
      <c r="C914" s="342">
        <v>0.1</v>
      </c>
      <c r="D914" s="241" t="s">
        <v>608</v>
      </c>
      <c r="E914" s="242">
        <v>1800000</v>
      </c>
      <c r="F914" s="228">
        <v>7.0000000000000007E-2</v>
      </c>
      <c r="G914" s="218">
        <f t="shared" si="33"/>
        <v>126000.00000000001</v>
      </c>
      <c r="H914" s="244" t="s">
        <v>26</v>
      </c>
      <c r="I914" s="239" t="s">
        <v>410</v>
      </c>
      <c r="J914" s="220" t="s">
        <v>19</v>
      </c>
      <c r="K914" s="351"/>
      <c r="L914" s="528"/>
      <c r="M914" s="428"/>
      <c r="N914" s="429"/>
      <c r="O914" s="430"/>
      <c r="P914" s="10"/>
      <c r="Q914" s="431"/>
    </row>
    <row r="915" spans="1:17" ht="15.75">
      <c r="A915" s="923"/>
      <c r="B915" s="759" t="s">
        <v>40</v>
      </c>
      <c r="C915" s="798"/>
      <c r="D915" s="336" t="s">
        <v>609</v>
      </c>
      <c r="E915" s="255"/>
      <c r="F915" s="254"/>
      <c r="G915" s="266"/>
      <c r="H915" s="291"/>
      <c r="I915" s="213"/>
      <c r="J915" s="268"/>
      <c r="K915" s="289"/>
      <c r="L915" s="528"/>
      <c r="M915" s="428"/>
      <c r="N915" s="429"/>
      <c r="O915" s="430"/>
      <c r="P915" s="10"/>
      <c r="Q915" s="431"/>
    </row>
    <row r="916" spans="1:17" ht="18">
      <c r="A916" s="924"/>
      <c r="B916" s="13"/>
      <c r="C916" s="14"/>
      <c r="D916" s="15" t="s">
        <v>46</v>
      </c>
      <c r="E916" s="16">
        <f>SUM(E904:E915)</f>
        <v>21450000</v>
      </c>
      <c r="F916" s="17"/>
      <c r="G916" s="383">
        <f>SUM(G904:G915)</f>
        <v>1875000</v>
      </c>
      <c r="H916" s="17"/>
      <c r="I916" s="18"/>
      <c r="J916" s="18"/>
      <c r="K916" s="18"/>
      <c r="L916" s="19"/>
      <c r="M916" s="480"/>
      <c r="N916" s="942" t="s">
        <v>70</v>
      </c>
      <c r="O916" s="942"/>
      <c r="P916" s="942"/>
      <c r="Q916" s="715">
        <f>G916+Q904+Q905</f>
        <v>1997000</v>
      </c>
    </row>
    <row r="921" spans="1:17" ht="18">
      <c r="A921" s="918" t="s">
        <v>91</v>
      </c>
      <c r="B921" s="918"/>
      <c r="C921" s="918"/>
      <c r="D921" s="918"/>
      <c r="E921" s="918"/>
      <c r="F921" s="918"/>
      <c r="G921" s="918"/>
      <c r="H921" s="918"/>
      <c r="I921" s="918"/>
      <c r="J921" s="918"/>
      <c r="K921" s="919"/>
      <c r="L921" s="918"/>
      <c r="M921" s="944" t="s">
        <v>14</v>
      </c>
      <c r="N921" s="945"/>
      <c r="O921" s="945"/>
      <c r="P921" s="946"/>
      <c r="Q921" s="122"/>
    </row>
    <row r="922" spans="1:17" ht="15.75">
      <c r="A922" s="637" t="s">
        <v>2</v>
      </c>
      <c r="B922" s="638" t="s">
        <v>3</v>
      </c>
      <c r="C922" s="639" t="s">
        <v>4</v>
      </c>
      <c r="D922" s="638" t="s">
        <v>5</v>
      </c>
      <c r="E922" s="640" t="s">
        <v>6</v>
      </c>
      <c r="F922" s="640" t="s">
        <v>7</v>
      </c>
      <c r="G922" s="640" t="s">
        <v>8</v>
      </c>
      <c r="H922" s="640" t="s">
        <v>9</v>
      </c>
      <c r="I922" s="640" t="s">
        <v>10</v>
      </c>
      <c r="J922" s="641" t="s">
        <v>11</v>
      </c>
      <c r="K922" s="640" t="s">
        <v>12</v>
      </c>
      <c r="L922" s="53" t="s">
        <v>13</v>
      </c>
      <c r="M922" s="54" t="s">
        <v>3</v>
      </c>
      <c r="N922" s="54" t="s">
        <v>5</v>
      </c>
      <c r="O922" s="39" t="s">
        <v>49</v>
      </c>
      <c r="P922" s="371" t="s">
        <v>7</v>
      </c>
      <c r="Q922" s="56" t="s">
        <v>50</v>
      </c>
    </row>
    <row r="923" spans="1:17" ht="15.75">
      <c r="A923" s="923" t="s">
        <v>15</v>
      </c>
      <c r="B923" s="341">
        <v>15191</v>
      </c>
      <c r="C923" s="308">
        <v>0.1</v>
      </c>
      <c r="D923" s="241" t="s">
        <v>610</v>
      </c>
      <c r="E923" s="242">
        <v>1200000</v>
      </c>
      <c r="F923" s="228">
        <v>0.06</v>
      </c>
      <c r="G923" s="218">
        <f>E923*F923</f>
        <v>72000</v>
      </c>
      <c r="H923" s="244" t="s">
        <v>26</v>
      </c>
      <c r="I923" s="239" t="s">
        <v>440</v>
      </c>
      <c r="J923" s="239" t="s">
        <v>19</v>
      </c>
      <c r="K923" s="239"/>
      <c r="L923" s="418"/>
      <c r="M923" s="419">
        <v>15324</v>
      </c>
      <c r="N923" s="420" t="s">
        <v>611</v>
      </c>
      <c r="O923" s="242">
        <v>5000000</v>
      </c>
      <c r="P923" s="217">
        <v>0.04</v>
      </c>
      <c r="Q923" s="462">
        <f>O923*P923</f>
        <v>200000</v>
      </c>
    </row>
    <row r="924" spans="1:17" ht="15.75">
      <c r="A924" s="923"/>
      <c r="B924" s="341">
        <v>15186</v>
      </c>
      <c r="C924" s="308">
        <v>0.1</v>
      </c>
      <c r="D924" s="241" t="s">
        <v>612</v>
      </c>
      <c r="E924" s="242">
        <v>900000</v>
      </c>
      <c r="F924" s="228">
        <v>0.1</v>
      </c>
      <c r="G924" s="218">
        <f t="shared" ref="G924:G941" si="34">E924*F924</f>
        <v>90000</v>
      </c>
      <c r="H924" s="244" t="s">
        <v>93</v>
      </c>
      <c r="I924" s="239" t="s">
        <v>579</v>
      </c>
      <c r="J924" s="239" t="s">
        <v>19</v>
      </c>
      <c r="K924" s="7"/>
      <c r="L924" s="446"/>
      <c r="M924" s="428"/>
      <c r="N924" s="448"/>
      <c r="O924" s="430"/>
      <c r="P924" s="10"/>
      <c r="Q924" s="431"/>
    </row>
    <row r="925" spans="1:17" ht="15.75">
      <c r="A925" s="923"/>
      <c r="B925" s="341">
        <v>15189</v>
      </c>
      <c r="C925" s="308">
        <v>0.1</v>
      </c>
      <c r="D925" s="241" t="s">
        <v>613</v>
      </c>
      <c r="E925" s="242">
        <v>1200000</v>
      </c>
      <c r="F925" s="228">
        <v>0.05</v>
      </c>
      <c r="G925" s="218">
        <f t="shared" si="34"/>
        <v>60000</v>
      </c>
      <c r="H925" s="244" t="s">
        <v>74</v>
      </c>
      <c r="I925" s="239" t="s">
        <v>410</v>
      </c>
      <c r="J925" s="239" t="s">
        <v>19</v>
      </c>
      <c r="K925" s="7"/>
      <c r="L925" s="446"/>
      <c r="M925" s="428"/>
      <c r="N925" s="448"/>
      <c r="O925" s="430"/>
      <c r="P925" s="10"/>
      <c r="Q925" s="431"/>
    </row>
    <row r="926" spans="1:17" ht="15.75">
      <c r="A926" s="923"/>
      <c r="B926" s="293">
        <v>15192</v>
      </c>
      <c r="C926" s="347">
        <v>0.08</v>
      </c>
      <c r="D926" s="241" t="s">
        <v>614</v>
      </c>
      <c r="E926" s="242">
        <v>1100000</v>
      </c>
      <c r="F926" s="217">
        <v>0.05</v>
      </c>
      <c r="G926" s="218">
        <f t="shared" si="34"/>
        <v>55000</v>
      </c>
      <c r="H926" s="244" t="s">
        <v>26</v>
      </c>
      <c r="I926" s="239" t="s">
        <v>579</v>
      </c>
      <c r="J926" s="239" t="s">
        <v>19</v>
      </c>
      <c r="K926" s="7"/>
      <c r="L926" s="446"/>
      <c r="M926" s="428"/>
      <c r="N926" s="448"/>
      <c r="O926" s="430"/>
      <c r="P926" s="10"/>
      <c r="Q926" s="431"/>
    </row>
    <row r="927" spans="1:17" ht="15.75">
      <c r="A927" s="923"/>
      <c r="B927" s="293">
        <v>15206</v>
      </c>
      <c r="C927" s="231">
        <v>0.1</v>
      </c>
      <c r="D927" s="241" t="s">
        <v>615</v>
      </c>
      <c r="E927" s="242">
        <v>1200000</v>
      </c>
      <c r="F927" s="228">
        <v>0.05</v>
      </c>
      <c r="G927" s="218">
        <f t="shared" si="34"/>
        <v>60000</v>
      </c>
      <c r="H927" s="244" t="s">
        <v>534</v>
      </c>
      <c r="I927" s="239" t="s">
        <v>440</v>
      </c>
      <c r="J927" s="239" t="s">
        <v>19</v>
      </c>
      <c r="K927" s="7"/>
      <c r="L927" s="446"/>
      <c r="M927" s="428"/>
      <c r="N927" s="448"/>
      <c r="O927" s="430"/>
      <c r="P927" s="10"/>
      <c r="Q927" s="431"/>
    </row>
    <row r="928" spans="1:17" ht="15.75">
      <c r="A928" s="923"/>
      <c r="B928" s="293">
        <v>15240</v>
      </c>
      <c r="C928" s="231">
        <v>0.1</v>
      </c>
      <c r="D928" s="241" t="s">
        <v>616</v>
      </c>
      <c r="E928" s="242">
        <v>950000</v>
      </c>
      <c r="F928" s="228">
        <v>0.1</v>
      </c>
      <c r="G928" s="218">
        <f t="shared" si="34"/>
        <v>95000</v>
      </c>
      <c r="H928" s="244" t="s">
        <v>93</v>
      </c>
      <c r="I928" s="239" t="s">
        <v>410</v>
      </c>
      <c r="J928" s="239" t="s">
        <v>19</v>
      </c>
      <c r="K928" s="7"/>
      <c r="L928" s="446"/>
      <c r="M928" s="428"/>
      <c r="N928" s="448"/>
      <c r="O928" s="430"/>
      <c r="P928" s="10"/>
      <c r="Q928" s="431"/>
    </row>
    <row r="929" spans="1:17" ht="15.75">
      <c r="A929" s="923"/>
      <c r="B929" s="293">
        <v>15250</v>
      </c>
      <c r="C929" s="231">
        <v>0.1</v>
      </c>
      <c r="D929" s="241" t="s">
        <v>617</v>
      </c>
      <c r="E929" s="242">
        <v>1100000</v>
      </c>
      <c r="F929" s="228">
        <v>0.06</v>
      </c>
      <c r="G929" s="218">
        <f t="shared" si="34"/>
        <v>66000</v>
      </c>
      <c r="H929" s="244" t="s">
        <v>26</v>
      </c>
      <c r="I929" s="239" t="s">
        <v>478</v>
      </c>
      <c r="J929" s="239" t="s">
        <v>19</v>
      </c>
      <c r="K929" s="7"/>
      <c r="L929" s="446"/>
      <c r="M929" s="428"/>
      <c r="N929" s="448"/>
      <c r="O929" s="430"/>
      <c r="P929" s="10"/>
      <c r="Q929" s="431"/>
    </row>
    <row r="930" spans="1:17" ht="15.75">
      <c r="A930" s="923"/>
      <c r="B930" s="293">
        <v>15279</v>
      </c>
      <c r="C930" s="231">
        <v>0.1</v>
      </c>
      <c r="D930" s="241" t="s">
        <v>618</v>
      </c>
      <c r="E930" s="242">
        <v>1000000</v>
      </c>
      <c r="F930" s="228">
        <v>0.1</v>
      </c>
      <c r="G930" s="218">
        <f t="shared" si="34"/>
        <v>100000</v>
      </c>
      <c r="H930" s="244" t="s">
        <v>93</v>
      </c>
      <c r="I930" s="239" t="s">
        <v>410</v>
      </c>
      <c r="J930" s="239" t="s">
        <v>19</v>
      </c>
      <c r="K930" s="7"/>
      <c r="L930" s="446"/>
      <c r="M930" s="428"/>
      <c r="N930" s="448"/>
      <c r="O930" s="430"/>
      <c r="P930" s="10"/>
      <c r="Q930" s="431"/>
    </row>
    <row r="931" spans="1:17" ht="15.75">
      <c r="A931" s="923"/>
      <c r="B931" s="293">
        <v>15269</v>
      </c>
      <c r="C931" s="231">
        <v>0.1</v>
      </c>
      <c r="D931" s="241" t="s">
        <v>619</v>
      </c>
      <c r="E931" s="242">
        <v>1000000</v>
      </c>
      <c r="F931" s="228">
        <v>0.06</v>
      </c>
      <c r="G931" s="218">
        <f t="shared" si="34"/>
        <v>60000</v>
      </c>
      <c r="H931" s="244" t="s">
        <v>26</v>
      </c>
      <c r="I931" s="239" t="s">
        <v>410</v>
      </c>
      <c r="J931" s="239" t="s">
        <v>19</v>
      </c>
      <c r="K931" s="7"/>
      <c r="L931" s="446"/>
      <c r="M931" s="428"/>
      <c r="N931" s="448"/>
      <c r="O931" s="430"/>
      <c r="P931" s="10"/>
      <c r="Q931" s="431"/>
    </row>
    <row r="932" spans="1:17" ht="15.75">
      <c r="A932" s="923"/>
      <c r="B932" s="293">
        <v>15288</v>
      </c>
      <c r="C932" s="231">
        <v>0.1</v>
      </c>
      <c r="D932" s="241" t="s">
        <v>620</v>
      </c>
      <c r="E932" s="242">
        <v>1300000</v>
      </c>
      <c r="F932" s="228">
        <v>0.06</v>
      </c>
      <c r="G932" s="218">
        <f t="shared" si="34"/>
        <v>78000</v>
      </c>
      <c r="H932" s="244" t="s">
        <v>26</v>
      </c>
      <c r="I932" s="239" t="s">
        <v>478</v>
      </c>
      <c r="J932" s="239" t="s">
        <v>19</v>
      </c>
      <c r="K932" s="7"/>
      <c r="L932" s="446"/>
      <c r="M932" s="428"/>
      <c r="N932" s="448"/>
      <c r="O932" s="430"/>
      <c r="P932" s="10"/>
      <c r="Q932" s="431"/>
    </row>
    <row r="933" spans="1:17" ht="15.75">
      <c r="A933" s="923"/>
      <c r="B933" s="293">
        <v>15293</v>
      </c>
      <c r="C933" s="231">
        <v>0.1</v>
      </c>
      <c r="D933" s="241" t="s">
        <v>621</v>
      </c>
      <c r="E933" s="242">
        <v>1250000</v>
      </c>
      <c r="F933" s="228">
        <v>0.1</v>
      </c>
      <c r="G933" s="218">
        <f t="shared" si="34"/>
        <v>125000</v>
      </c>
      <c r="H933" s="244" t="s">
        <v>93</v>
      </c>
      <c r="I933" s="239" t="s">
        <v>478</v>
      </c>
      <c r="J933" s="239" t="s">
        <v>19</v>
      </c>
      <c r="K933" s="7"/>
      <c r="L933" s="446"/>
      <c r="M933" s="428"/>
      <c r="N933" s="448"/>
      <c r="O933" s="430"/>
      <c r="P933" s="10"/>
      <c r="Q933" s="431"/>
    </row>
    <row r="934" spans="1:17" ht="15.75">
      <c r="A934" s="923"/>
      <c r="B934" s="293">
        <v>15351</v>
      </c>
      <c r="C934" s="231">
        <v>0.1</v>
      </c>
      <c r="D934" s="241" t="s">
        <v>289</v>
      </c>
      <c r="E934" s="242">
        <v>1450000</v>
      </c>
      <c r="F934" s="228">
        <v>0.06</v>
      </c>
      <c r="G934" s="218">
        <f t="shared" si="34"/>
        <v>87000</v>
      </c>
      <c r="H934" s="244" t="s">
        <v>26</v>
      </c>
      <c r="I934" s="239" t="s">
        <v>18</v>
      </c>
      <c r="J934" s="239" t="s">
        <v>19</v>
      </c>
      <c r="K934" s="7"/>
      <c r="L934" s="446"/>
      <c r="M934" s="428"/>
      <c r="N934" s="448"/>
      <c r="O934" s="430"/>
      <c r="P934" s="10"/>
      <c r="Q934" s="431"/>
    </row>
    <row r="935" spans="1:17" ht="15.75">
      <c r="A935" s="923"/>
      <c r="B935" s="293">
        <v>15346</v>
      </c>
      <c r="C935" s="231">
        <v>0.1</v>
      </c>
      <c r="D935" s="241" t="s">
        <v>622</v>
      </c>
      <c r="E935" s="242">
        <v>1200000</v>
      </c>
      <c r="F935" s="228">
        <v>0.1</v>
      </c>
      <c r="G935" s="218">
        <f t="shared" si="34"/>
        <v>120000</v>
      </c>
      <c r="H935" s="244" t="s">
        <v>623</v>
      </c>
      <c r="I935" s="239" t="s">
        <v>579</v>
      </c>
      <c r="J935" s="239" t="s">
        <v>19</v>
      </c>
      <c r="K935" s="7"/>
      <c r="L935" s="446"/>
      <c r="M935" s="428"/>
      <c r="N935" s="448"/>
      <c r="O935" s="430"/>
      <c r="P935" s="10"/>
      <c r="Q935" s="431"/>
    </row>
    <row r="936" spans="1:17" ht="15.75">
      <c r="A936" s="923"/>
      <c r="B936" s="293">
        <v>15349</v>
      </c>
      <c r="C936" s="231">
        <v>0.1</v>
      </c>
      <c r="D936" s="241" t="s">
        <v>624</v>
      </c>
      <c r="E936" s="242">
        <v>1050000</v>
      </c>
      <c r="F936" s="228">
        <v>0.06</v>
      </c>
      <c r="G936" s="218">
        <f t="shared" si="34"/>
        <v>63000</v>
      </c>
      <c r="H936" s="244" t="s">
        <v>26</v>
      </c>
      <c r="I936" s="239" t="s">
        <v>579</v>
      </c>
      <c r="J936" s="239" t="s">
        <v>19</v>
      </c>
      <c r="K936" s="7"/>
      <c r="L936" s="446"/>
      <c r="M936" s="428"/>
      <c r="N936" s="448"/>
      <c r="O936" s="430"/>
      <c r="P936" s="10"/>
      <c r="Q936" s="431"/>
    </row>
    <row r="937" spans="1:17" ht="15.75">
      <c r="A937" s="923"/>
      <c r="B937" s="293">
        <v>15352</v>
      </c>
      <c r="C937" s="231">
        <v>0.1</v>
      </c>
      <c r="D937" s="241" t="s">
        <v>625</v>
      </c>
      <c r="E937" s="242">
        <v>1200000</v>
      </c>
      <c r="F937" s="228">
        <v>0.06</v>
      </c>
      <c r="G937" s="218">
        <f t="shared" si="34"/>
        <v>72000</v>
      </c>
      <c r="H937" s="244" t="s">
        <v>26</v>
      </c>
      <c r="I937" s="239" t="s">
        <v>18</v>
      </c>
      <c r="J937" s="239" t="s">
        <v>19</v>
      </c>
      <c r="K937" s="7"/>
      <c r="L937" s="446"/>
      <c r="M937" s="428"/>
      <c r="N937" s="448"/>
      <c r="O937" s="430"/>
      <c r="P937" s="10"/>
      <c r="Q937" s="431"/>
    </row>
    <row r="938" spans="1:17" ht="15.75">
      <c r="A938" s="923"/>
      <c r="B938" s="293">
        <v>15356</v>
      </c>
      <c r="C938" s="231">
        <v>0.1</v>
      </c>
      <c r="D938" s="241" t="s">
        <v>626</v>
      </c>
      <c r="E938" s="242">
        <v>1400000</v>
      </c>
      <c r="F938" s="228">
        <v>0.1</v>
      </c>
      <c r="G938" s="218">
        <f t="shared" si="34"/>
        <v>140000</v>
      </c>
      <c r="H938" s="244" t="s">
        <v>93</v>
      </c>
      <c r="I938" s="239" t="s">
        <v>478</v>
      </c>
      <c r="J938" s="239" t="s">
        <v>19</v>
      </c>
      <c r="K938" s="7"/>
      <c r="L938" s="446"/>
      <c r="M938" s="428"/>
      <c r="N938" s="448"/>
      <c r="O938" s="430"/>
      <c r="P938" s="10"/>
      <c r="Q938" s="431"/>
    </row>
    <row r="939" spans="1:17" ht="15.75">
      <c r="A939" s="923"/>
      <c r="B939" s="293">
        <v>15361</v>
      </c>
      <c r="C939" s="231">
        <v>0.1</v>
      </c>
      <c r="D939" s="241" t="s">
        <v>627</v>
      </c>
      <c r="E939" s="242">
        <v>1300000</v>
      </c>
      <c r="F939" s="228">
        <v>0.06</v>
      </c>
      <c r="G939" s="218">
        <f t="shared" si="34"/>
        <v>78000</v>
      </c>
      <c r="H939" s="244" t="s">
        <v>26</v>
      </c>
      <c r="I939" s="239" t="s">
        <v>579</v>
      </c>
      <c r="J939" s="239" t="s">
        <v>19</v>
      </c>
      <c r="K939" s="7"/>
      <c r="L939" s="446"/>
      <c r="M939" s="428"/>
      <c r="N939" s="448"/>
      <c r="O939" s="430"/>
      <c r="P939" s="10"/>
      <c r="Q939" s="431"/>
    </row>
    <row r="940" spans="1:17" ht="15.75">
      <c r="A940" s="923"/>
      <c r="B940" s="293">
        <v>15379</v>
      </c>
      <c r="C940" s="231">
        <v>0.1</v>
      </c>
      <c r="D940" s="241" t="s">
        <v>628</v>
      </c>
      <c r="E940" s="242">
        <v>1200000</v>
      </c>
      <c r="F940" s="228">
        <v>0.1</v>
      </c>
      <c r="G940" s="218">
        <f t="shared" si="34"/>
        <v>120000</v>
      </c>
      <c r="H940" s="244" t="s">
        <v>93</v>
      </c>
      <c r="I940" s="239" t="s">
        <v>18</v>
      </c>
      <c r="J940" s="239" t="s">
        <v>19</v>
      </c>
      <c r="K940" s="7"/>
      <c r="L940" s="446"/>
      <c r="M940" s="428"/>
      <c r="N940" s="448"/>
      <c r="O940" s="430"/>
      <c r="P940" s="10"/>
      <c r="Q940" s="431"/>
    </row>
    <row r="941" spans="1:17" ht="15.75">
      <c r="A941" s="923"/>
      <c r="B941" s="293">
        <v>15400</v>
      </c>
      <c r="C941" s="231">
        <v>0.1</v>
      </c>
      <c r="D941" s="241" t="s">
        <v>629</v>
      </c>
      <c r="E941" s="242">
        <v>1150000</v>
      </c>
      <c r="F941" s="228">
        <v>0.1</v>
      </c>
      <c r="G941" s="218">
        <f t="shared" si="34"/>
        <v>115000</v>
      </c>
      <c r="H941" s="244" t="s">
        <v>95</v>
      </c>
      <c r="I941" s="239" t="s">
        <v>478</v>
      </c>
      <c r="J941" s="239" t="s">
        <v>19</v>
      </c>
      <c r="K941" s="7"/>
      <c r="L941" s="446"/>
      <c r="M941" s="428"/>
      <c r="N941" s="448"/>
      <c r="O941" s="430"/>
      <c r="P941" s="10"/>
      <c r="Q941" s="431"/>
    </row>
    <row r="942" spans="1:17" ht="15.75">
      <c r="A942" s="923"/>
      <c r="B942" s="335" t="s">
        <v>40</v>
      </c>
      <c r="C942" s="328"/>
      <c r="D942" s="336" t="s">
        <v>630</v>
      </c>
      <c r="E942" s="255"/>
      <c r="F942" s="254"/>
      <c r="G942" s="266"/>
      <c r="H942" s="291"/>
      <c r="I942" s="213" t="s">
        <v>478</v>
      </c>
      <c r="J942" s="213"/>
      <c r="K942" s="7"/>
      <c r="L942" s="446"/>
      <c r="M942" s="428"/>
      <c r="N942" s="448"/>
      <c r="O942" s="430"/>
      <c r="P942" s="10"/>
      <c r="Q942" s="431"/>
    </row>
    <row r="943" spans="1:17" ht="18">
      <c r="A943" s="924"/>
      <c r="B943" s="610" t="s">
        <v>47</v>
      </c>
      <c r="C943" s="573"/>
      <c r="D943" s="574"/>
      <c r="E943" s="575">
        <f>SUM(E923:E942)</f>
        <v>22150000</v>
      </c>
      <c r="F943" s="576"/>
      <c r="G943" s="23">
        <f>SUM(G923:G942)</f>
        <v>1656000</v>
      </c>
      <c r="H943" s="576"/>
      <c r="I943" s="577"/>
      <c r="J943" s="578"/>
      <c r="K943" s="110"/>
      <c r="L943" s="111"/>
      <c r="M943" s="112"/>
      <c r="N943" s="925" t="s">
        <v>70</v>
      </c>
      <c r="O943" s="926"/>
      <c r="P943" s="926"/>
      <c r="Q943" s="714">
        <f>G943+Q923</f>
        <v>1856000</v>
      </c>
    </row>
    <row r="946" spans="1:17" ht="18">
      <c r="A946" s="918" t="s">
        <v>107</v>
      </c>
      <c r="B946" s="927"/>
      <c r="C946" s="927"/>
      <c r="D946" s="927"/>
      <c r="E946" s="927"/>
      <c r="F946" s="927"/>
      <c r="G946" s="927"/>
      <c r="H946" s="927"/>
      <c r="I946" s="927"/>
      <c r="J946" s="927"/>
      <c r="K946" s="927"/>
      <c r="L946" s="927"/>
      <c r="M946" s="928" t="s">
        <v>14</v>
      </c>
      <c r="N946" s="928"/>
      <c r="O946" s="928"/>
      <c r="P946" s="928"/>
      <c r="Q946" s="326"/>
    </row>
    <row r="947" spans="1:17" ht="15.75">
      <c r="A947" s="46" t="s">
        <v>2</v>
      </c>
      <c r="B947" s="77" t="s">
        <v>3</v>
      </c>
      <c r="C947" s="46" t="s">
        <v>4</v>
      </c>
      <c r="D947" s="46" t="s">
        <v>5</v>
      </c>
      <c r="E947" s="48" t="s">
        <v>6</v>
      </c>
      <c r="F947" s="46" t="s">
        <v>7</v>
      </c>
      <c r="G947" s="327" t="s">
        <v>8</v>
      </c>
      <c r="H947" s="46" t="s">
        <v>9</v>
      </c>
      <c r="I947" s="52" t="s">
        <v>10</v>
      </c>
      <c r="J947" s="52" t="s">
        <v>11</v>
      </c>
      <c r="K947" s="52" t="s">
        <v>12</v>
      </c>
      <c r="L947" s="46" t="s">
        <v>13</v>
      </c>
      <c r="M947" s="46" t="s">
        <v>3</v>
      </c>
      <c r="N947" s="46" t="s">
        <v>5</v>
      </c>
      <c r="O947" s="46" t="s">
        <v>49</v>
      </c>
      <c r="P947" s="46" t="s">
        <v>7</v>
      </c>
      <c r="Q947" s="56" t="s">
        <v>50</v>
      </c>
    </row>
    <row r="948" spans="1:17" ht="15.75">
      <c r="A948" s="929">
        <v>25</v>
      </c>
      <c r="B948" s="300">
        <v>15330</v>
      </c>
      <c r="C948" s="231">
        <v>0.1</v>
      </c>
      <c r="D948" s="272" t="s">
        <v>631</v>
      </c>
      <c r="E948" s="278">
        <v>1700000</v>
      </c>
      <c r="F948" s="273"/>
      <c r="G948" s="274"/>
      <c r="H948" s="275" t="s">
        <v>26</v>
      </c>
      <c r="I948" s="276" t="s">
        <v>440</v>
      </c>
      <c r="J948" s="276" t="s">
        <v>19</v>
      </c>
      <c r="K948" s="366"/>
      <c r="L948" s="367"/>
      <c r="M948" s="675">
        <v>15160</v>
      </c>
      <c r="N948" s="241" t="s">
        <v>584</v>
      </c>
      <c r="O948" s="278">
        <v>1900000</v>
      </c>
      <c r="P948" s="278"/>
      <c r="Q948" s="362"/>
    </row>
    <row r="949" spans="1:17" ht="15.75">
      <c r="A949" s="929"/>
      <c r="B949" s="545">
        <v>15322</v>
      </c>
      <c r="C949" s="347">
        <v>0.08</v>
      </c>
      <c r="D949" s="272" t="s">
        <v>632</v>
      </c>
      <c r="E949" s="278">
        <v>800000</v>
      </c>
      <c r="F949" s="273"/>
      <c r="G949" s="274"/>
      <c r="H949" s="275" t="s">
        <v>633</v>
      </c>
      <c r="I949" s="276" t="s">
        <v>634</v>
      </c>
      <c r="J949" s="276" t="s">
        <v>19</v>
      </c>
      <c r="K949" s="366"/>
      <c r="L949" s="367"/>
      <c r="M949" s="675">
        <v>15158</v>
      </c>
      <c r="N949" s="241" t="s">
        <v>585</v>
      </c>
      <c r="O949" s="278">
        <v>1900000</v>
      </c>
      <c r="P949" s="278"/>
      <c r="Q949" s="362"/>
    </row>
    <row r="950" spans="1:17" ht="15.75">
      <c r="A950" s="929"/>
      <c r="B950" s="611">
        <v>15343</v>
      </c>
      <c r="C950" s="347">
        <v>0.08</v>
      </c>
      <c r="D950" s="272" t="s">
        <v>635</v>
      </c>
      <c r="E950" s="278">
        <v>1000000</v>
      </c>
      <c r="F950" s="273"/>
      <c r="G950" s="274"/>
      <c r="H950" s="275" t="s">
        <v>26</v>
      </c>
      <c r="I950" s="276" t="s">
        <v>18</v>
      </c>
      <c r="J950" s="276" t="s">
        <v>19</v>
      </c>
      <c r="K950" s="366"/>
      <c r="L950" s="367"/>
      <c r="M950" s="341">
        <v>15221</v>
      </c>
      <c r="N950" s="241" t="s">
        <v>588</v>
      </c>
      <c r="O950" s="216">
        <v>1750000</v>
      </c>
      <c r="P950" s="216"/>
      <c r="Q950" s="362"/>
    </row>
    <row r="951" spans="1:17" ht="15.75">
      <c r="A951" s="929"/>
      <c r="B951" s="433"/>
      <c r="C951" s="10"/>
      <c r="D951" s="8"/>
      <c r="E951" s="456"/>
      <c r="F951" s="457"/>
      <c r="G951" s="458"/>
      <c r="H951" s="56"/>
      <c r="I951" s="9"/>
      <c r="J951" s="9"/>
      <c r="K951" s="459"/>
      <c r="L951" s="460"/>
      <c r="M951" s="675">
        <v>15365</v>
      </c>
      <c r="N951" s="241" t="s">
        <v>592</v>
      </c>
      <c r="O951" s="216">
        <v>1750000</v>
      </c>
      <c r="P951" s="216"/>
      <c r="Q951" s="362"/>
    </row>
    <row r="952" spans="1:17" ht="15.75">
      <c r="A952" s="929"/>
      <c r="B952" s="433"/>
      <c r="C952" s="10"/>
      <c r="D952" s="8"/>
      <c r="E952" s="456"/>
      <c r="F952" s="457"/>
      <c r="G952" s="458"/>
      <c r="H952" s="56"/>
      <c r="I952" s="9"/>
      <c r="J952" s="9"/>
      <c r="K952" s="459"/>
      <c r="L952" s="460"/>
      <c r="M952" s="545">
        <v>15368</v>
      </c>
      <c r="N952" s="241" t="s">
        <v>20</v>
      </c>
      <c r="O952" s="242">
        <v>850000</v>
      </c>
      <c r="P952" s="242"/>
      <c r="Q952" s="362"/>
    </row>
    <row r="953" spans="1:17" ht="15.75">
      <c r="A953" s="929"/>
      <c r="B953" s="433"/>
      <c r="C953" s="10"/>
      <c r="D953" s="8"/>
      <c r="E953" s="430"/>
      <c r="F953" s="457"/>
      <c r="G953" s="458"/>
      <c r="H953" s="56"/>
      <c r="I953" s="9"/>
      <c r="J953" s="9"/>
      <c r="K953" s="459"/>
      <c r="L953" s="460"/>
      <c r="M953" s="545">
        <v>15203</v>
      </c>
      <c r="N953" s="241" t="s">
        <v>596</v>
      </c>
      <c r="O953" s="242">
        <v>1900000</v>
      </c>
      <c r="P953" s="242"/>
      <c r="Q953" s="362"/>
    </row>
    <row r="954" spans="1:17" ht="15.75">
      <c r="A954" s="929"/>
      <c r="B954" s="433"/>
      <c r="C954" s="10"/>
      <c r="D954" s="8"/>
      <c r="E954" s="430"/>
      <c r="F954" s="457"/>
      <c r="G954" s="458"/>
      <c r="H954" s="56"/>
      <c r="I954" s="9"/>
      <c r="J954" s="9"/>
      <c r="K954" s="459"/>
      <c r="L954" s="121"/>
      <c r="M954" s="545">
        <v>15201</v>
      </c>
      <c r="N954" s="241" t="s">
        <v>599</v>
      </c>
      <c r="O954" s="242">
        <v>1650000</v>
      </c>
      <c r="P954" s="242"/>
      <c r="Q954" s="362"/>
    </row>
    <row r="955" spans="1:17" ht="15.75">
      <c r="A955" s="929"/>
      <c r="B955" s="433"/>
      <c r="C955" s="10"/>
      <c r="D955" s="8"/>
      <c r="E955" s="430"/>
      <c r="F955" s="457"/>
      <c r="G955" s="458"/>
      <c r="H955" s="56"/>
      <c r="I955" s="9"/>
      <c r="J955" s="9"/>
      <c r="K955" s="459"/>
      <c r="L955" s="121"/>
      <c r="M955" s="545">
        <v>15216</v>
      </c>
      <c r="N955" s="241" t="s">
        <v>600</v>
      </c>
      <c r="O955" s="242">
        <v>2000000</v>
      </c>
      <c r="P955" s="242"/>
      <c r="Q955" s="362"/>
    </row>
    <row r="956" spans="1:17" ht="15.75">
      <c r="A956" s="929"/>
      <c r="B956" s="433"/>
      <c r="C956" s="10"/>
      <c r="D956" s="8"/>
      <c r="E956" s="430"/>
      <c r="F956" s="457"/>
      <c r="G956" s="458"/>
      <c r="H956" s="56"/>
      <c r="I956" s="9"/>
      <c r="J956" s="9"/>
      <c r="K956" s="459"/>
      <c r="L956" s="121"/>
      <c r="M956" s="545">
        <v>15225</v>
      </c>
      <c r="N956" s="241" t="s">
        <v>601</v>
      </c>
      <c r="O956" s="242">
        <v>2300000</v>
      </c>
      <c r="P956" s="242"/>
      <c r="Q956" s="362"/>
    </row>
    <row r="957" spans="1:17" ht="15.75">
      <c r="A957" s="929"/>
      <c r="B957" s="433"/>
      <c r="C957" s="10"/>
      <c r="D957" s="8"/>
      <c r="E957" s="430"/>
      <c r="F957" s="457"/>
      <c r="G957" s="458"/>
      <c r="H957" s="56"/>
      <c r="I957" s="9"/>
      <c r="J957" s="9"/>
      <c r="K957" s="459"/>
      <c r="L957" s="121"/>
      <c r="M957" s="341">
        <v>15270</v>
      </c>
      <c r="N957" s="241" t="s">
        <v>602</v>
      </c>
      <c r="O957" s="242">
        <v>2300000</v>
      </c>
      <c r="P957" s="242"/>
      <c r="Q957" s="362"/>
    </row>
    <row r="958" spans="1:17" ht="15.75">
      <c r="A958" s="929"/>
      <c r="B958" s="667"/>
      <c r="C958" s="668"/>
      <c r="D958" s="635"/>
      <c r="E958" s="430"/>
      <c r="F958" s="166"/>
      <c r="G958" s="458"/>
      <c r="H958" s="56"/>
      <c r="I958" s="9"/>
      <c r="J958" s="459"/>
      <c r="K958" s="459"/>
      <c r="L958" s="121"/>
      <c r="M958" s="545">
        <v>15260</v>
      </c>
      <c r="N958" s="241" t="s">
        <v>604</v>
      </c>
      <c r="O958" s="242">
        <v>1700000</v>
      </c>
      <c r="P958" s="242"/>
      <c r="Q958" s="362"/>
    </row>
    <row r="959" spans="1:17" ht="15.75">
      <c r="A959" s="930"/>
      <c r="B959" s="503"/>
      <c r="C959" s="439"/>
      <c r="D959" s="62"/>
      <c r="E959" s="430"/>
      <c r="F959" s="457"/>
      <c r="G959" s="458"/>
      <c r="H959" s="122"/>
      <c r="I959" s="459"/>
      <c r="J959" s="459"/>
      <c r="K959" s="459"/>
      <c r="L959" s="160"/>
      <c r="M959" s="545">
        <v>15392</v>
      </c>
      <c r="N959" s="241" t="s">
        <v>636</v>
      </c>
      <c r="O959" s="839">
        <v>1800000</v>
      </c>
      <c r="P959" s="242"/>
      <c r="Q959" s="362"/>
    </row>
    <row r="960" spans="1:17" ht="15.75">
      <c r="A960" s="931"/>
      <c r="B960" s="669"/>
      <c r="C960" s="670"/>
      <c r="D960" s="671"/>
      <c r="E960" s="672"/>
      <c r="F960" s="673"/>
      <c r="G960" s="672"/>
      <c r="H960" s="674"/>
      <c r="I960" s="61"/>
      <c r="J960" s="61"/>
      <c r="K960" s="61"/>
      <c r="L960" s="161"/>
      <c r="M960" s="341">
        <v>15191</v>
      </c>
      <c r="N960" s="241" t="s">
        <v>610</v>
      </c>
      <c r="O960" s="242">
        <v>1200000</v>
      </c>
      <c r="P960" s="242"/>
      <c r="Q960" s="362"/>
    </row>
    <row r="961" spans="1:17" ht="15.75">
      <c r="A961" s="931"/>
      <c r="B961" s="771"/>
      <c r="C961" s="772"/>
      <c r="D961" s="773"/>
      <c r="E961" s="672"/>
      <c r="F961" s="673"/>
      <c r="G961" s="774"/>
      <c r="H961" s="674"/>
      <c r="I961" s="61"/>
      <c r="J961" s="61"/>
      <c r="K961" s="61"/>
      <c r="L961" s="161"/>
      <c r="M961" s="293">
        <v>15192</v>
      </c>
      <c r="N961" s="241" t="s">
        <v>614</v>
      </c>
      <c r="O961" s="242">
        <v>1100000</v>
      </c>
      <c r="P961" s="242"/>
      <c r="Q961" s="362"/>
    </row>
    <row r="962" spans="1:17" ht="15.75">
      <c r="A962" s="931"/>
      <c r="B962" s="771"/>
      <c r="C962" s="772"/>
      <c r="D962" s="460"/>
      <c r="E962" s="672"/>
      <c r="F962" s="673"/>
      <c r="G962" s="774"/>
      <c r="H962" s="674"/>
      <c r="I962" s="61"/>
      <c r="J962" s="61"/>
      <c r="K962" s="61"/>
      <c r="L962" s="161"/>
      <c r="M962" s="293">
        <v>15250</v>
      </c>
      <c r="N962" s="241" t="s">
        <v>617</v>
      </c>
      <c r="O962" s="242">
        <v>1100000</v>
      </c>
      <c r="P962" s="242"/>
      <c r="Q962" s="362"/>
    </row>
    <row r="963" spans="1:17" ht="15.75">
      <c r="A963" s="931"/>
      <c r="B963" s="771"/>
      <c r="C963" s="772"/>
      <c r="D963" s="460"/>
      <c r="E963" s="672"/>
      <c r="F963" s="673"/>
      <c r="G963" s="774"/>
      <c r="H963" s="674"/>
      <c r="I963" s="61"/>
      <c r="J963" s="61"/>
      <c r="K963" s="61"/>
      <c r="L963" s="161"/>
      <c r="M963" s="293">
        <v>15269</v>
      </c>
      <c r="N963" s="241" t="s">
        <v>619</v>
      </c>
      <c r="O963" s="242">
        <v>1000000</v>
      </c>
      <c r="P963" s="242"/>
      <c r="Q963" s="362"/>
    </row>
    <row r="964" spans="1:17" ht="15.75">
      <c r="A964" s="931"/>
      <c r="B964" s="771"/>
      <c r="C964" s="772"/>
      <c r="D964" s="460"/>
      <c r="E964" s="672"/>
      <c r="F964" s="673"/>
      <c r="G964" s="774"/>
      <c r="H964" s="674"/>
      <c r="I964" s="61"/>
      <c r="J964" s="61"/>
      <c r="K964" s="61"/>
      <c r="L964" s="161"/>
      <c r="M964" s="293">
        <v>15288</v>
      </c>
      <c r="N964" s="241" t="s">
        <v>620</v>
      </c>
      <c r="O964" s="242">
        <v>1300000</v>
      </c>
      <c r="P964" s="242"/>
      <c r="Q964" s="362"/>
    </row>
    <row r="965" spans="1:17" ht="15.75">
      <c r="A965" s="931"/>
      <c r="B965" s="131"/>
      <c r="C965" s="132"/>
      <c r="D965" s="121"/>
      <c r="E965" s="128"/>
      <c r="F965" s="129"/>
      <c r="G965" s="133"/>
      <c r="H965" s="130"/>
      <c r="I965" s="64"/>
      <c r="J965" s="64"/>
      <c r="K965" s="64"/>
      <c r="L965" s="161"/>
      <c r="M965" s="293">
        <v>15351</v>
      </c>
      <c r="N965" s="241" t="s">
        <v>289</v>
      </c>
      <c r="O965" s="242">
        <v>1400000</v>
      </c>
      <c r="P965" s="242"/>
      <c r="Q965" s="362"/>
    </row>
    <row r="966" spans="1:17" ht="15.75">
      <c r="A966" s="931"/>
      <c r="B966" s="131"/>
      <c r="C966" s="132"/>
      <c r="D966" s="121"/>
      <c r="E966" s="128"/>
      <c r="F966" s="129"/>
      <c r="G966" s="133"/>
      <c r="H966" s="130"/>
      <c r="I966" s="64"/>
      <c r="J966" s="64"/>
      <c r="K966" s="64"/>
      <c r="L966" s="161"/>
      <c r="M966" s="293">
        <v>15349</v>
      </c>
      <c r="N966" s="241" t="s">
        <v>624</v>
      </c>
      <c r="O966" s="242">
        <v>1050000</v>
      </c>
      <c r="P966" s="242"/>
      <c r="Q966" s="362"/>
    </row>
    <row r="967" spans="1:17" ht="15.75">
      <c r="A967" s="931"/>
      <c r="B967" s="131"/>
      <c r="C967" s="132"/>
      <c r="D967" s="121"/>
      <c r="E967" s="128"/>
      <c r="F967" s="129"/>
      <c r="G967" s="133"/>
      <c r="H967" s="130"/>
      <c r="I967" s="64"/>
      <c r="J967" s="64"/>
      <c r="K967" s="64"/>
      <c r="L967" s="161"/>
      <c r="M967" s="293">
        <v>15352</v>
      </c>
      <c r="N967" s="241" t="s">
        <v>625</v>
      </c>
      <c r="O967" s="242">
        <v>1200000</v>
      </c>
      <c r="P967" s="242"/>
      <c r="Q967" s="362"/>
    </row>
    <row r="968" spans="1:17" ht="15.75">
      <c r="A968" s="931"/>
      <c r="B968" s="131"/>
      <c r="C968" s="132"/>
      <c r="D968" s="121"/>
      <c r="E968" s="128"/>
      <c r="F968" s="129"/>
      <c r="G968" s="133"/>
      <c r="H968" s="130"/>
      <c r="I968" s="64"/>
      <c r="J968" s="64"/>
      <c r="K968" s="64"/>
      <c r="L968" s="161"/>
      <c r="M968" s="293">
        <v>15361</v>
      </c>
      <c r="N968" s="644" t="s">
        <v>627</v>
      </c>
      <c r="O968" s="242">
        <v>1300000</v>
      </c>
      <c r="P968" s="242"/>
      <c r="Q968" s="362"/>
    </row>
    <row r="969" spans="1:17" ht="18">
      <c r="A969" s="932"/>
      <c r="B969" s="141" t="s">
        <v>46</v>
      </c>
      <c r="C969" s="142"/>
      <c r="D969" s="143"/>
      <c r="E969" s="144">
        <f>SUM(E948:E968)</f>
        <v>3500000</v>
      </c>
      <c r="F969" s="145"/>
      <c r="G969" s="146"/>
      <c r="H969" s="145"/>
      <c r="I969" s="147"/>
      <c r="J969" s="147"/>
      <c r="K969" s="147"/>
      <c r="L969" s="148"/>
      <c r="M969" s="123"/>
      <c r="N969" s="123"/>
      <c r="O969" s="645">
        <f>SUM(O948:O968)</f>
        <v>32450000</v>
      </c>
      <c r="P969" s="150"/>
      <c r="Q969" s="122"/>
    </row>
    <row r="972" spans="1:17" ht="18">
      <c r="A972" s="933" t="s">
        <v>117</v>
      </c>
      <c r="B972" s="1116"/>
      <c r="C972" s="164"/>
      <c r="D972" s="165">
        <f>E899+E916+E943+E969</f>
        <v>67950000</v>
      </c>
    </row>
    <row r="973" spans="1:17" ht="18">
      <c r="A973" s="934" t="s">
        <v>119</v>
      </c>
      <c r="B973" s="1117"/>
      <c r="C973" s="167"/>
      <c r="D973" s="168"/>
    </row>
    <row r="974" spans="1:17" ht="18">
      <c r="A974" s="916" t="s">
        <v>120</v>
      </c>
      <c r="B974" s="1118"/>
      <c r="C974" s="169"/>
      <c r="D974" s="170"/>
    </row>
    <row r="975" spans="1:17" ht="15.75">
      <c r="A975" s="917" t="s">
        <v>121</v>
      </c>
      <c r="B975" s="1119"/>
      <c r="C975" s="169"/>
      <c r="D975" s="171"/>
    </row>
    <row r="976" spans="1:17" ht="15.75">
      <c r="A976" s="172"/>
      <c r="B976" s="141" t="s">
        <v>47</v>
      </c>
      <c r="C976" s="173"/>
      <c r="D976" s="174">
        <f>SUM(D972:D975)</f>
        <v>67950000</v>
      </c>
    </row>
    <row r="982" spans="1:17" ht="45">
      <c r="A982" s="935" t="s">
        <v>637</v>
      </c>
      <c r="B982" s="935"/>
      <c r="C982" s="935"/>
      <c r="D982" s="935"/>
      <c r="E982" s="935"/>
      <c r="F982" s="935"/>
      <c r="G982" s="935"/>
      <c r="H982" s="935"/>
      <c r="I982" s="935"/>
      <c r="J982" s="935"/>
      <c r="K982" s="935"/>
      <c r="L982" s="935"/>
    </row>
    <row r="984" spans="1:17" ht="18">
      <c r="A984" s="918" t="s">
        <v>1</v>
      </c>
      <c r="B984" s="918"/>
      <c r="C984" s="918"/>
      <c r="D984" s="918"/>
      <c r="E984" s="918"/>
      <c r="F984" s="918"/>
      <c r="G984" s="918"/>
      <c r="H984" s="918"/>
      <c r="I984" s="918"/>
      <c r="J984" s="918"/>
      <c r="K984" s="918"/>
      <c r="L984" s="918"/>
      <c r="M984" s="943" t="s">
        <v>14</v>
      </c>
      <c r="N984" s="943"/>
      <c r="O984" s="943"/>
      <c r="P984" s="943"/>
    </row>
    <row r="985" spans="1:17" ht="15.75">
      <c r="A985" s="1" t="s">
        <v>2</v>
      </c>
      <c r="B985" s="2" t="s">
        <v>3</v>
      </c>
      <c r="C985" s="3" t="s">
        <v>4</v>
      </c>
      <c r="D985" s="1" t="s">
        <v>5</v>
      </c>
      <c r="E985" s="4" t="s">
        <v>6</v>
      </c>
      <c r="F985" s="3" t="s">
        <v>7</v>
      </c>
      <c r="G985" s="5" t="s">
        <v>8</v>
      </c>
      <c r="H985" s="3" t="s">
        <v>9</v>
      </c>
      <c r="I985" s="6" t="s">
        <v>10</v>
      </c>
      <c r="J985" s="6" t="s">
        <v>11</v>
      </c>
      <c r="K985" s="6" t="s">
        <v>12</v>
      </c>
      <c r="L985" s="40" t="s">
        <v>13</v>
      </c>
      <c r="M985" s="46" t="s">
        <v>3</v>
      </c>
      <c r="N985" s="46" t="s">
        <v>5</v>
      </c>
      <c r="O985" s="46" t="s">
        <v>49</v>
      </c>
      <c r="P985" s="46" t="s">
        <v>7</v>
      </c>
      <c r="Q985" s="883" t="s">
        <v>50</v>
      </c>
    </row>
    <row r="986" spans="1:17" ht="15.75">
      <c r="A986" s="936" t="s">
        <v>638</v>
      </c>
      <c r="B986" s="260">
        <v>15428</v>
      </c>
      <c r="C986" s="308">
        <v>0.1</v>
      </c>
      <c r="D986" s="241" t="s">
        <v>639</v>
      </c>
      <c r="E986" s="278">
        <v>2200000</v>
      </c>
      <c r="F986" s="228">
        <v>7.0000000000000007E-2</v>
      </c>
      <c r="G986" s="237">
        <f>E986*F986</f>
        <v>154000.00000000003</v>
      </c>
      <c r="H986" s="238" t="s">
        <v>26</v>
      </c>
      <c r="I986" s="239" t="s">
        <v>21</v>
      </c>
      <c r="J986" s="239" t="s">
        <v>19</v>
      </c>
      <c r="K986" s="239"/>
      <c r="L986" s="321"/>
      <c r="M986" s="541">
        <v>15513</v>
      </c>
      <c r="N986" s="261" t="s">
        <v>640</v>
      </c>
      <c r="O986" s="230">
        <v>1250000</v>
      </c>
      <c r="P986" s="884">
        <v>0.05</v>
      </c>
      <c r="Q986" s="364">
        <f>O986*P986</f>
        <v>62500</v>
      </c>
    </row>
    <row r="987" spans="1:17" ht="15.75">
      <c r="A987" s="936"/>
      <c r="B987" s="214">
        <v>15439</v>
      </c>
      <c r="C987" s="308">
        <v>0.1</v>
      </c>
      <c r="D987" s="241" t="s">
        <v>641</v>
      </c>
      <c r="E987" s="278">
        <v>1160000</v>
      </c>
      <c r="F987" s="228">
        <v>7.0000000000000007E-2</v>
      </c>
      <c r="G987" s="237">
        <f t="shared" ref="G987:G997" si="35">E987*F987</f>
        <v>81200.000000000015</v>
      </c>
      <c r="H987" s="238" t="s">
        <v>26</v>
      </c>
      <c r="I987" s="239" t="s">
        <v>21</v>
      </c>
      <c r="J987" s="239" t="s">
        <v>19</v>
      </c>
      <c r="K987" s="239"/>
      <c r="L987" s="321"/>
      <c r="M987" s="545">
        <v>15479</v>
      </c>
      <c r="N987" s="241" t="s">
        <v>642</v>
      </c>
      <c r="O987" s="553">
        <v>2100000</v>
      </c>
      <c r="P987" s="217">
        <v>0.04</v>
      </c>
      <c r="Q987" s="364">
        <f t="shared" ref="Q987:Q991" si="36">O987*P987</f>
        <v>84000</v>
      </c>
    </row>
    <row r="988" spans="1:17" ht="15.75">
      <c r="A988" s="936"/>
      <c r="B988" s="214">
        <v>15452</v>
      </c>
      <c r="C988" s="308">
        <v>0.1</v>
      </c>
      <c r="D988" s="241" t="s">
        <v>643</v>
      </c>
      <c r="E988" s="278">
        <v>3000000</v>
      </c>
      <c r="F988" s="228">
        <v>7.0000000000000007E-2</v>
      </c>
      <c r="G988" s="237">
        <f t="shared" si="35"/>
        <v>210000.00000000003</v>
      </c>
      <c r="H988" s="238" t="s">
        <v>55</v>
      </c>
      <c r="I988" s="239" t="s">
        <v>18</v>
      </c>
      <c r="J988" s="239" t="s">
        <v>19</v>
      </c>
      <c r="K988" s="239"/>
      <c r="L988" s="321"/>
      <c r="M988" s="545">
        <v>15520</v>
      </c>
      <c r="N988" s="241" t="s">
        <v>644</v>
      </c>
      <c r="O988" s="553">
        <v>1650000</v>
      </c>
      <c r="P988" s="228">
        <v>0.05</v>
      </c>
      <c r="Q988" s="364">
        <f t="shared" si="36"/>
        <v>82500</v>
      </c>
    </row>
    <row r="989" spans="1:17" ht="15.75">
      <c r="A989" s="936"/>
      <c r="B989" s="214">
        <v>15487</v>
      </c>
      <c r="C989" s="526">
        <v>0.08</v>
      </c>
      <c r="D989" s="241" t="s">
        <v>429</v>
      </c>
      <c r="E989" s="278">
        <v>1900000</v>
      </c>
      <c r="F989" s="217">
        <v>0.06</v>
      </c>
      <c r="G989" s="237">
        <f t="shared" si="35"/>
        <v>114000</v>
      </c>
      <c r="H989" s="238" t="s">
        <v>26</v>
      </c>
      <c r="I989" s="239" t="s">
        <v>645</v>
      </c>
      <c r="J989" s="239" t="s">
        <v>19</v>
      </c>
      <c r="K989" s="239"/>
      <c r="L989" s="321"/>
      <c r="M989" s="341">
        <v>15562</v>
      </c>
      <c r="N989" s="241" t="s">
        <v>646</v>
      </c>
      <c r="O989" s="242">
        <v>1000000</v>
      </c>
      <c r="P989" s="217">
        <v>0.04</v>
      </c>
      <c r="Q989" s="364">
        <f t="shared" ref="Q989:Q990" si="37">O989*P989</f>
        <v>40000</v>
      </c>
    </row>
    <row r="990" spans="1:17" ht="15.75">
      <c r="A990" s="936"/>
      <c r="B990" s="214">
        <v>15497</v>
      </c>
      <c r="C990" s="308">
        <v>0.1</v>
      </c>
      <c r="D990" s="241" t="s">
        <v>647</v>
      </c>
      <c r="E990" s="278">
        <v>1270000</v>
      </c>
      <c r="F990" s="228">
        <v>7.0000000000000007E-2</v>
      </c>
      <c r="G990" s="237">
        <f t="shared" si="35"/>
        <v>88900.000000000015</v>
      </c>
      <c r="H990" s="238" t="s">
        <v>37</v>
      </c>
      <c r="I990" s="239" t="s">
        <v>21</v>
      </c>
      <c r="J990" s="239" t="s">
        <v>19</v>
      </c>
      <c r="K990" s="239"/>
      <c r="L990" s="321"/>
      <c r="M990" s="244">
        <v>15426</v>
      </c>
      <c r="N990" s="261" t="s">
        <v>648</v>
      </c>
      <c r="O990" s="230">
        <v>2600000</v>
      </c>
      <c r="P990" s="217">
        <v>0.04</v>
      </c>
      <c r="Q990" s="364">
        <f t="shared" si="37"/>
        <v>104000</v>
      </c>
    </row>
    <row r="991" spans="1:17" ht="15.75">
      <c r="A991" s="936"/>
      <c r="B991" s="214">
        <v>15482</v>
      </c>
      <c r="C991" s="308">
        <v>0.1</v>
      </c>
      <c r="D991" s="241" t="s">
        <v>649</v>
      </c>
      <c r="E991" s="278">
        <v>1700000</v>
      </c>
      <c r="F991" s="228">
        <v>0.12</v>
      </c>
      <c r="G991" s="237">
        <f t="shared" si="35"/>
        <v>204000</v>
      </c>
      <c r="H991" s="238" t="s">
        <v>17</v>
      </c>
      <c r="I991" s="239" t="s">
        <v>645</v>
      </c>
      <c r="J991" s="239" t="s">
        <v>19</v>
      </c>
      <c r="K991" s="239"/>
      <c r="L991" s="321"/>
      <c r="M991" s="485"/>
      <c r="N991" s="8"/>
      <c r="O991" s="501"/>
      <c r="P991" s="439"/>
      <c r="Q991" s="893"/>
    </row>
    <row r="992" spans="1:17" ht="15.75">
      <c r="A992" s="936"/>
      <c r="B992" s="214">
        <v>15543</v>
      </c>
      <c r="C992" s="308">
        <v>0.1</v>
      </c>
      <c r="D992" s="241" t="s">
        <v>650</v>
      </c>
      <c r="E992" s="278">
        <v>2200000</v>
      </c>
      <c r="F992" s="228">
        <v>0.12</v>
      </c>
      <c r="G992" s="237">
        <f t="shared" si="35"/>
        <v>264000</v>
      </c>
      <c r="H992" s="238" t="s">
        <v>17</v>
      </c>
      <c r="I992" s="239" t="s">
        <v>18</v>
      </c>
      <c r="J992" s="239" t="s">
        <v>19</v>
      </c>
      <c r="K992" s="239"/>
      <c r="L992" s="321"/>
      <c r="M992" s="485"/>
      <c r="N992" s="8"/>
      <c r="O992" s="501"/>
      <c r="P992" s="10"/>
      <c r="Q992" s="487"/>
    </row>
    <row r="993" spans="1:17" ht="15.75">
      <c r="A993" s="936"/>
      <c r="B993" s="675">
        <v>15573</v>
      </c>
      <c r="C993" s="308">
        <v>0.1</v>
      </c>
      <c r="D993" s="241" t="s">
        <v>651</v>
      </c>
      <c r="E993" s="278">
        <v>2200000</v>
      </c>
      <c r="F993" s="228">
        <v>0.12</v>
      </c>
      <c r="G993" s="237">
        <f t="shared" si="35"/>
        <v>264000</v>
      </c>
      <c r="H993" s="244" t="s">
        <v>17</v>
      </c>
      <c r="I993" s="239" t="s">
        <v>21</v>
      </c>
      <c r="J993" s="239" t="s">
        <v>19</v>
      </c>
      <c r="K993" s="239"/>
      <c r="L993" s="540"/>
      <c r="M993" s="485"/>
      <c r="N993" s="826"/>
      <c r="O993" s="430"/>
      <c r="P993" s="10"/>
      <c r="Q993" s="827"/>
    </row>
    <row r="994" spans="1:17" ht="15.75">
      <c r="A994" s="936"/>
      <c r="B994" s="675">
        <v>15587</v>
      </c>
      <c r="C994" s="526">
        <v>0.08</v>
      </c>
      <c r="D994" s="241" t="s">
        <v>652</v>
      </c>
      <c r="E994" s="278">
        <v>4800000</v>
      </c>
      <c r="F994" s="217">
        <v>0.06</v>
      </c>
      <c r="G994" s="237">
        <f t="shared" si="35"/>
        <v>288000</v>
      </c>
      <c r="H994" s="244" t="s">
        <v>29</v>
      </c>
      <c r="I994" s="239" t="s">
        <v>21</v>
      </c>
      <c r="J994" s="239" t="s">
        <v>19</v>
      </c>
      <c r="K994" s="239"/>
      <c r="L994" s="540"/>
      <c r="M994" s="485"/>
      <c r="N994" s="826"/>
      <c r="O994" s="430"/>
      <c r="P994" s="10"/>
      <c r="Q994" s="827"/>
    </row>
    <row r="995" spans="1:17" ht="15.75">
      <c r="A995" s="936"/>
      <c r="B995" s="675">
        <v>15592</v>
      </c>
      <c r="C995" s="308">
        <v>0.1</v>
      </c>
      <c r="D995" s="241" t="s">
        <v>653</v>
      </c>
      <c r="E995" s="278">
        <v>1700000</v>
      </c>
      <c r="F995" s="228">
        <v>0.12</v>
      </c>
      <c r="G995" s="237">
        <f t="shared" si="35"/>
        <v>204000</v>
      </c>
      <c r="H995" s="244" t="s">
        <v>17</v>
      </c>
      <c r="I995" s="239" t="s">
        <v>21</v>
      </c>
      <c r="J995" s="239" t="s">
        <v>19</v>
      </c>
      <c r="K995" s="239"/>
      <c r="L995" s="540"/>
      <c r="M995" s="485"/>
      <c r="N995" s="826"/>
      <c r="O995" s="430"/>
      <c r="P995" s="10"/>
      <c r="Q995" s="827"/>
    </row>
    <row r="996" spans="1:17" ht="15.75">
      <c r="A996" s="936"/>
      <c r="B996" s="675">
        <v>15651</v>
      </c>
      <c r="C996" s="308">
        <v>0.1</v>
      </c>
      <c r="D996" s="241" t="s">
        <v>654</v>
      </c>
      <c r="E996" s="278">
        <v>1750000</v>
      </c>
      <c r="F996" s="228">
        <v>0.12</v>
      </c>
      <c r="G996" s="237">
        <f t="shared" si="35"/>
        <v>210000</v>
      </c>
      <c r="H996" s="244" t="s">
        <v>17</v>
      </c>
      <c r="I996" s="239" t="s">
        <v>18</v>
      </c>
      <c r="J996" s="239" t="s">
        <v>19</v>
      </c>
      <c r="K996" s="239"/>
      <c r="L996" s="540"/>
      <c r="M996" s="485"/>
      <c r="N996" s="826"/>
      <c r="O996" s="430"/>
      <c r="P996" s="10"/>
      <c r="Q996" s="827"/>
    </row>
    <row r="997" spans="1:17" ht="15.75">
      <c r="A997" s="936"/>
      <c r="B997" s="675">
        <v>15658</v>
      </c>
      <c r="C997" s="308">
        <v>0.1</v>
      </c>
      <c r="D997" s="241" t="s">
        <v>655</v>
      </c>
      <c r="E997" s="278">
        <v>800000</v>
      </c>
      <c r="F997" s="228">
        <v>0.12</v>
      </c>
      <c r="G997" s="237">
        <f t="shared" si="35"/>
        <v>96000</v>
      </c>
      <c r="H997" s="244" t="s">
        <v>17</v>
      </c>
      <c r="I997" s="239" t="s">
        <v>21</v>
      </c>
      <c r="J997" s="239" t="s">
        <v>19</v>
      </c>
      <c r="K997" s="239"/>
      <c r="L997" s="540"/>
      <c r="M997" s="485"/>
      <c r="N997" s="826"/>
      <c r="O997" s="430"/>
      <c r="P997" s="10"/>
      <c r="Q997" s="827"/>
    </row>
    <row r="998" spans="1:17" ht="15.75">
      <c r="A998" s="936"/>
      <c r="B998" s="322" t="s">
        <v>40</v>
      </c>
      <c r="C998" s="329"/>
      <c r="D998" s="336" t="s">
        <v>656</v>
      </c>
      <c r="E998" s="331"/>
      <c r="F998" s="254"/>
      <c r="G998" s="211"/>
      <c r="H998" s="212"/>
      <c r="I998" s="213" t="s">
        <v>18</v>
      </c>
      <c r="J998" s="213"/>
      <c r="K998" s="213"/>
      <c r="L998" s="882"/>
      <c r="M998" s="485"/>
      <c r="N998" s="826"/>
      <c r="O998" s="430"/>
      <c r="P998" s="10"/>
      <c r="Q998" s="827"/>
    </row>
    <row r="999" spans="1:17" ht="15.75">
      <c r="A999" s="936"/>
      <c r="B999" s="888" t="s">
        <v>40</v>
      </c>
      <c r="C999" s="329"/>
      <c r="D999" s="336" t="s">
        <v>657</v>
      </c>
      <c r="E999" s="331"/>
      <c r="F999" s="254"/>
      <c r="G999" s="266"/>
      <c r="H999" s="291"/>
      <c r="I999" s="213" t="s">
        <v>645</v>
      </c>
      <c r="J999" s="213"/>
      <c r="K999" s="213"/>
      <c r="L999" s="882"/>
      <c r="M999" s="485"/>
      <c r="N999" s="826"/>
      <c r="O999" s="430"/>
      <c r="P999" s="10"/>
      <c r="Q999" s="827"/>
    </row>
    <row r="1000" spans="1:17" ht="15.75">
      <c r="A1000" s="936"/>
      <c r="B1000" s="887"/>
      <c r="C1000" s="633"/>
      <c r="D1000" s="635"/>
      <c r="E1000" s="456"/>
      <c r="F1000" s="10"/>
      <c r="G1000" s="510"/>
      <c r="H1000" s="445"/>
      <c r="I1000" s="7"/>
      <c r="J1000" s="7"/>
      <c r="K1000" s="7"/>
      <c r="L1000" s="825"/>
      <c r="M1000" s="485"/>
      <c r="N1000" s="885"/>
      <c r="O1000" s="886" t="s">
        <v>46</v>
      </c>
      <c r="P1000" s="474"/>
      <c r="Q1000" s="880">
        <f>SUM(Q986:Q999)</f>
        <v>373000</v>
      </c>
    </row>
    <row r="1001" spans="1:17" ht="15.75">
      <c r="A1001" s="937"/>
      <c r="B1001" s="13"/>
      <c r="C1001" s="14"/>
      <c r="D1001" s="15" t="s">
        <v>46</v>
      </c>
      <c r="E1001" s="16">
        <f>SUM(E986:E1000)</f>
        <v>24680000</v>
      </c>
      <c r="F1001" s="17"/>
      <c r="G1001" s="383">
        <f>SUM(G986:G1000)</f>
        <v>2178100</v>
      </c>
      <c r="H1001" s="17"/>
      <c r="I1001" s="18"/>
      <c r="J1001" s="18"/>
      <c r="K1001" s="18"/>
      <c r="L1001" s="45"/>
      <c r="M1001" s="37"/>
      <c r="N1001" s="938" t="s">
        <v>211</v>
      </c>
      <c r="O1001" s="939"/>
      <c r="P1001" s="940"/>
      <c r="Q1001" s="65">
        <f>G1001+Q1000</f>
        <v>2551100</v>
      </c>
    </row>
    <row r="1004" spans="1:17" ht="18">
      <c r="A1004" s="918" t="s">
        <v>48</v>
      </c>
      <c r="B1004" s="918"/>
      <c r="C1004" s="918"/>
      <c r="D1004" s="918"/>
      <c r="E1004" s="918"/>
      <c r="F1004" s="918"/>
      <c r="G1004" s="918"/>
      <c r="H1004" s="918"/>
      <c r="I1004" s="918"/>
      <c r="J1004" s="919"/>
      <c r="K1004" s="919"/>
      <c r="L1004" s="941"/>
      <c r="M1004" s="928" t="s">
        <v>14</v>
      </c>
      <c r="N1004" s="928"/>
      <c r="O1004" s="928"/>
      <c r="P1004" s="928"/>
      <c r="Q1004" s="363"/>
    </row>
    <row r="1005" spans="1:17" ht="15.75">
      <c r="A1005" s="46" t="s">
        <v>2</v>
      </c>
      <c r="B1005" s="77" t="s">
        <v>3</v>
      </c>
      <c r="C1005" s="46" t="s">
        <v>4</v>
      </c>
      <c r="D1005" s="46" t="s">
        <v>5</v>
      </c>
      <c r="E1005" s="78" t="s">
        <v>6</v>
      </c>
      <c r="F1005" s="49" t="s">
        <v>7</v>
      </c>
      <c r="G1005" s="50" t="s">
        <v>8</v>
      </c>
      <c r="H1005" s="49" t="s">
        <v>9</v>
      </c>
      <c r="I1005" s="323" t="s">
        <v>10</v>
      </c>
      <c r="J1005" s="79" t="s">
        <v>11</v>
      </c>
      <c r="K1005" s="52" t="s">
        <v>12</v>
      </c>
      <c r="L1005" s="53" t="s">
        <v>13</v>
      </c>
      <c r="M1005" s="54" t="s">
        <v>3</v>
      </c>
      <c r="N1005" s="54" t="s">
        <v>5</v>
      </c>
      <c r="O1005" s="39" t="s">
        <v>49</v>
      </c>
      <c r="P1005" s="371" t="s">
        <v>7</v>
      </c>
      <c r="Q1005" s="56" t="s">
        <v>50</v>
      </c>
    </row>
    <row r="1006" spans="1:17" ht="15.75">
      <c r="A1006" s="923" t="s">
        <v>15</v>
      </c>
      <c r="B1006" s="545">
        <v>15460</v>
      </c>
      <c r="C1006" s="342">
        <v>0.1</v>
      </c>
      <c r="D1006" s="241" t="s">
        <v>658</v>
      </c>
      <c r="E1006" s="242">
        <v>2200000</v>
      </c>
      <c r="F1006" s="228">
        <v>7.0000000000000007E-2</v>
      </c>
      <c r="G1006" s="218">
        <f>E1006*F1006</f>
        <v>154000.00000000003</v>
      </c>
      <c r="H1006" s="244" t="s">
        <v>26</v>
      </c>
      <c r="I1006" s="239" t="s">
        <v>21</v>
      </c>
      <c r="J1006" s="220" t="s">
        <v>19</v>
      </c>
      <c r="K1006" s="351"/>
      <c r="L1006" s="358"/>
      <c r="M1006" s="341">
        <v>15532</v>
      </c>
      <c r="N1006" s="241" t="s">
        <v>659</v>
      </c>
      <c r="O1006" s="553">
        <v>1200000</v>
      </c>
      <c r="P1006" s="228">
        <v>0.05</v>
      </c>
      <c r="Q1006" s="462">
        <f>O1006*P1006</f>
        <v>60000</v>
      </c>
    </row>
    <row r="1007" spans="1:17" ht="15.75">
      <c r="A1007" s="923"/>
      <c r="B1007" s="545">
        <v>15479</v>
      </c>
      <c r="C1007" s="793">
        <v>0.08</v>
      </c>
      <c r="D1007" s="241" t="s">
        <v>642</v>
      </c>
      <c r="E1007" s="242">
        <v>2100000</v>
      </c>
      <c r="F1007" s="217">
        <v>0.06</v>
      </c>
      <c r="G1007" s="218">
        <f t="shared" ref="G1007:G1017" si="38">E1007*F1007</f>
        <v>126000</v>
      </c>
      <c r="H1007" s="244" t="s">
        <v>17</v>
      </c>
      <c r="I1007" s="239" t="s">
        <v>18</v>
      </c>
      <c r="J1007" s="220" t="s">
        <v>19</v>
      </c>
      <c r="K1007" s="351"/>
      <c r="L1007" s="358"/>
      <c r="M1007" s="214">
        <v>15452</v>
      </c>
      <c r="N1007" s="241" t="s">
        <v>643</v>
      </c>
      <c r="O1007" s="278">
        <v>3000000</v>
      </c>
      <c r="P1007" s="228">
        <v>0.05</v>
      </c>
      <c r="Q1007" s="462">
        <f>O1007*P1007</f>
        <v>150000</v>
      </c>
    </row>
    <row r="1008" spans="1:17" ht="15.75">
      <c r="A1008" s="923"/>
      <c r="B1008" s="545">
        <v>15520</v>
      </c>
      <c r="C1008" s="342">
        <v>0.1</v>
      </c>
      <c r="D1008" s="241" t="s">
        <v>644</v>
      </c>
      <c r="E1008" s="242">
        <v>1650000</v>
      </c>
      <c r="F1008" s="228">
        <v>7.0000000000000007E-2</v>
      </c>
      <c r="G1008" s="218">
        <f t="shared" si="38"/>
        <v>115500.00000000001</v>
      </c>
      <c r="H1008" s="244" t="s">
        <v>17</v>
      </c>
      <c r="I1008" s="239" t="s">
        <v>21</v>
      </c>
      <c r="J1008" s="220" t="s">
        <v>19</v>
      </c>
      <c r="K1008" s="351"/>
      <c r="L1008" s="358"/>
      <c r="M1008" s="341">
        <v>15499</v>
      </c>
      <c r="N1008" s="241" t="s">
        <v>660</v>
      </c>
      <c r="O1008" s="242">
        <v>1150000</v>
      </c>
      <c r="P1008" s="228">
        <v>0.05</v>
      </c>
      <c r="Q1008" s="462">
        <f>O1008*P1008</f>
        <v>57500</v>
      </c>
    </row>
    <row r="1009" spans="1:17" ht="15.75">
      <c r="A1009" s="923"/>
      <c r="B1009" s="545">
        <v>15542</v>
      </c>
      <c r="C1009" s="342">
        <v>0.1</v>
      </c>
      <c r="D1009" s="241" t="s">
        <v>661</v>
      </c>
      <c r="E1009" s="242">
        <v>950000</v>
      </c>
      <c r="F1009" s="228">
        <v>7.0000000000000007E-2</v>
      </c>
      <c r="G1009" s="218">
        <f t="shared" si="38"/>
        <v>66500</v>
      </c>
      <c r="H1009" s="244" t="s">
        <v>26</v>
      </c>
      <c r="I1009" s="239" t="s">
        <v>18</v>
      </c>
      <c r="J1009" s="220" t="s">
        <v>19</v>
      </c>
      <c r="K1009" s="351"/>
      <c r="L1009" s="358"/>
      <c r="M1009" s="428"/>
      <c r="N1009" s="429"/>
      <c r="O1009" s="430"/>
      <c r="P1009" s="10"/>
      <c r="Q1009" s="431"/>
    </row>
    <row r="1010" spans="1:17" ht="15.75">
      <c r="A1010" s="923"/>
      <c r="B1010" s="545">
        <v>15565</v>
      </c>
      <c r="C1010" s="342">
        <v>0.1</v>
      </c>
      <c r="D1010" s="241" t="s">
        <v>662</v>
      </c>
      <c r="E1010" s="242">
        <v>700000</v>
      </c>
      <c r="F1010" s="228">
        <v>0.12</v>
      </c>
      <c r="G1010" s="218">
        <f t="shared" si="38"/>
        <v>84000</v>
      </c>
      <c r="H1010" s="244" t="s">
        <v>55</v>
      </c>
      <c r="I1010" s="239" t="s">
        <v>410</v>
      </c>
      <c r="J1010" s="220" t="s">
        <v>19</v>
      </c>
      <c r="K1010" s="351"/>
      <c r="L1010" s="358"/>
      <c r="M1010" s="428"/>
      <c r="N1010" s="429"/>
      <c r="O1010" s="430"/>
      <c r="P1010" s="10"/>
      <c r="Q1010" s="431"/>
    </row>
    <row r="1011" spans="1:17" ht="15.75">
      <c r="A1011" s="923"/>
      <c r="B1011" s="545">
        <v>15571</v>
      </c>
      <c r="C1011" s="793">
        <v>0.08</v>
      </c>
      <c r="D1011" s="241" t="s">
        <v>663</v>
      </c>
      <c r="E1011" s="242">
        <v>2600000</v>
      </c>
      <c r="F1011" s="217">
        <v>0.1</v>
      </c>
      <c r="G1011" s="218">
        <f t="shared" si="38"/>
        <v>260000</v>
      </c>
      <c r="H1011" s="244" t="s">
        <v>55</v>
      </c>
      <c r="I1011" s="239" t="s">
        <v>18</v>
      </c>
      <c r="J1011" s="220" t="s">
        <v>19</v>
      </c>
      <c r="K1011" s="351"/>
      <c r="L1011" s="358"/>
      <c r="M1011" s="428"/>
      <c r="N1011" s="429"/>
      <c r="O1011" s="430"/>
      <c r="P1011" s="10"/>
      <c r="Q1011" s="431"/>
    </row>
    <row r="1012" spans="1:17" ht="15.75">
      <c r="A1012" s="923"/>
      <c r="B1012" s="545">
        <v>15600</v>
      </c>
      <c r="C1012" s="342">
        <v>0.1</v>
      </c>
      <c r="D1012" s="241" t="s">
        <v>664</v>
      </c>
      <c r="E1012" s="242">
        <v>1900000</v>
      </c>
      <c r="F1012" s="228">
        <v>7.0000000000000007E-2</v>
      </c>
      <c r="G1012" s="218">
        <f t="shared" si="38"/>
        <v>133000</v>
      </c>
      <c r="H1012" s="244" t="s">
        <v>26</v>
      </c>
      <c r="I1012" s="239" t="s">
        <v>410</v>
      </c>
      <c r="J1012" s="220" t="s">
        <v>19</v>
      </c>
      <c r="K1012" s="351"/>
      <c r="L1012" s="358"/>
      <c r="M1012" s="428"/>
      <c r="N1012" s="429"/>
      <c r="O1012" s="430"/>
      <c r="P1012" s="10"/>
      <c r="Q1012" s="431"/>
    </row>
    <row r="1013" spans="1:17" ht="15.75">
      <c r="A1013" s="923"/>
      <c r="B1013" s="545">
        <v>15590</v>
      </c>
      <c r="C1013" s="342">
        <v>0.1</v>
      </c>
      <c r="D1013" s="241" t="s">
        <v>665</v>
      </c>
      <c r="E1013" s="242">
        <v>1900000</v>
      </c>
      <c r="F1013" s="228">
        <v>7.0000000000000007E-2</v>
      </c>
      <c r="G1013" s="218">
        <f t="shared" si="38"/>
        <v>133000</v>
      </c>
      <c r="H1013" s="244" t="s">
        <v>26</v>
      </c>
      <c r="I1013" s="239" t="s">
        <v>18</v>
      </c>
      <c r="J1013" s="220" t="s">
        <v>19</v>
      </c>
      <c r="K1013" s="351"/>
      <c r="L1013" s="358"/>
      <c r="M1013" s="428"/>
      <c r="N1013" s="429"/>
      <c r="O1013" s="430"/>
      <c r="P1013" s="10"/>
      <c r="Q1013" s="431"/>
    </row>
    <row r="1014" spans="1:17" ht="15.75">
      <c r="A1014" s="923"/>
      <c r="B1014" s="545">
        <v>15608</v>
      </c>
      <c r="C1014" s="342">
        <v>0.1</v>
      </c>
      <c r="D1014" s="241" t="s">
        <v>666</v>
      </c>
      <c r="E1014" s="242">
        <v>2000000</v>
      </c>
      <c r="F1014" s="228">
        <v>0.12</v>
      </c>
      <c r="G1014" s="218">
        <f t="shared" si="38"/>
        <v>240000</v>
      </c>
      <c r="H1014" s="244" t="s">
        <v>55</v>
      </c>
      <c r="I1014" s="239" t="s">
        <v>410</v>
      </c>
      <c r="J1014" s="220" t="s">
        <v>19</v>
      </c>
      <c r="K1014" s="351"/>
      <c r="L1014" s="358"/>
      <c r="M1014" s="428"/>
      <c r="N1014" s="429"/>
      <c r="O1014" s="430"/>
      <c r="P1014" s="10"/>
      <c r="Q1014" s="431"/>
    </row>
    <row r="1015" spans="1:17" ht="15.75">
      <c r="A1015" s="923"/>
      <c r="B1015" s="545">
        <v>15615</v>
      </c>
      <c r="C1015" s="342">
        <v>0.1</v>
      </c>
      <c r="D1015" s="241" t="s">
        <v>667</v>
      </c>
      <c r="E1015" s="242">
        <v>2100000</v>
      </c>
      <c r="F1015" s="228">
        <v>0.12</v>
      </c>
      <c r="G1015" s="218">
        <f t="shared" si="38"/>
        <v>252000</v>
      </c>
      <c r="H1015" s="244" t="s">
        <v>17</v>
      </c>
      <c r="I1015" s="239" t="s">
        <v>18</v>
      </c>
      <c r="J1015" s="220" t="s">
        <v>19</v>
      </c>
      <c r="K1015" s="351"/>
      <c r="L1015" s="358"/>
      <c r="M1015" s="428"/>
      <c r="N1015" s="429"/>
      <c r="O1015" s="430"/>
      <c r="P1015" s="10"/>
      <c r="Q1015" s="431"/>
    </row>
    <row r="1016" spans="1:17" ht="15.75">
      <c r="A1016" s="923"/>
      <c r="B1016" s="545">
        <v>15614</v>
      </c>
      <c r="C1016" s="342">
        <v>0.1</v>
      </c>
      <c r="D1016" s="241" t="s">
        <v>668</v>
      </c>
      <c r="E1016" s="242">
        <v>2200000</v>
      </c>
      <c r="F1016" s="228">
        <v>7.0000000000000007E-2</v>
      </c>
      <c r="G1016" s="218">
        <f t="shared" si="38"/>
        <v>154000.00000000003</v>
      </c>
      <c r="H1016" s="244" t="s">
        <v>26</v>
      </c>
      <c r="I1016" s="239" t="s">
        <v>410</v>
      </c>
      <c r="J1016" s="220" t="s">
        <v>19</v>
      </c>
      <c r="K1016" s="351"/>
      <c r="L1016" s="358"/>
      <c r="M1016" s="428"/>
      <c r="N1016" s="429"/>
      <c r="O1016" s="430"/>
      <c r="P1016" s="10"/>
      <c r="Q1016" s="431"/>
    </row>
    <row r="1017" spans="1:17" ht="15.75">
      <c r="A1017" s="923"/>
      <c r="B1017" s="545">
        <v>15663</v>
      </c>
      <c r="C1017" s="342">
        <v>0.1</v>
      </c>
      <c r="D1017" s="241" t="s">
        <v>669</v>
      </c>
      <c r="E1017" s="242">
        <v>3200000</v>
      </c>
      <c r="F1017" s="228">
        <v>0.12</v>
      </c>
      <c r="G1017" s="218">
        <f t="shared" si="38"/>
        <v>384000</v>
      </c>
      <c r="H1017" s="244" t="s">
        <v>55</v>
      </c>
      <c r="I1017" s="239" t="s">
        <v>18</v>
      </c>
      <c r="J1017" s="220" t="s">
        <v>19</v>
      </c>
      <c r="K1017" s="351"/>
      <c r="L1017" s="358"/>
      <c r="M1017" s="428"/>
      <c r="N1017" s="429"/>
      <c r="O1017" s="430"/>
      <c r="P1017" s="10"/>
      <c r="Q1017" s="431"/>
    </row>
    <row r="1018" spans="1:17" ht="15.75">
      <c r="A1018" s="923"/>
      <c r="B1018" s="759" t="s">
        <v>40</v>
      </c>
      <c r="C1018" s="798">
        <v>0.1</v>
      </c>
      <c r="D1018" s="336" t="s">
        <v>670</v>
      </c>
      <c r="E1018" s="255"/>
      <c r="F1018" s="254"/>
      <c r="G1018" s="266"/>
      <c r="H1018" s="291" t="s">
        <v>29</v>
      </c>
      <c r="I1018" s="213" t="s">
        <v>18</v>
      </c>
      <c r="J1018" s="268"/>
      <c r="K1018" s="289"/>
      <c r="L1018" s="512"/>
      <c r="M1018" s="428"/>
      <c r="N1018" s="894"/>
      <c r="O1018" s="473" t="s">
        <v>46</v>
      </c>
      <c r="P1018" s="474"/>
      <c r="Q1018" s="475">
        <f>SUM(Q1006:Q1017)</f>
        <v>267500</v>
      </c>
    </row>
    <row r="1019" spans="1:17" ht="18">
      <c r="A1019" s="924"/>
      <c r="B1019" s="13"/>
      <c r="C1019" s="14"/>
      <c r="D1019" s="15" t="s">
        <v>46</v>
      </c>
      <c r="E1019" s="16">
        <f>SUM(E1006:E1018)</f>
        <v>23500000</v>
      </c>
      <c r="F1019" s="17"/>
      <c r="G1019" s="383">
        <f>SUM(G1006:G1018)</f>
        <v>2102000</v>
      </c>
      <c r="H1019" s="17"/>
      <c r="I1019" s="18"/>
      <c r="J1019" s="18"/>
      <c r="K1019" s="18"/>
      <c r="L1019" s="19"/>
      <c r="M1019" s="480"/>
      <c r="N1019" s="942" t="s">
        <v>70</v>
      </c>
      <c r="O1019" s="942"/>
      <c r="P1019" s="942"/>
      <c r="Q1019" s="715">
        <f>G1019+Q1018</f>
        <v>2369500</v>
      </c>
    </row>
    <row r="1024" spans="1:17" ht="18">
      <c r="A1024" s="918" t="s">
        <v>671</v>
      </c>
      <c r="B1024" s="918"/>
      <c r="C1024" s="918"/>
      <c r="D1024" s="918"/>
      <c r="E1024" s="918"/>
      <c r="F1024" s="918"/>
      <c r="G1024" s="918"/>
      <c r="H1024" s="918"/>
      <c r="I1024" s="918"/>
      <c r="J1024" s="918"/>
      <c r="K1024" s="919"/>
      <c r="L1024" s="918"/>
      <c r="M1024" s="944" t="s">
        <v>14</v>
      </c>
      <c r="N1024" s="945"/>
      <c r="O1024" s="945"/>
      <c r="P1024" s="946"/>
      <c r="Q1024" s="122"/>
    </row>
    <row r="1025" spans="1:17" ht="18">
      <c r="A1025" s="637" t="s">
        <v>2</v>
      </c>
      <c r="B1025" s="638" t="s">
        <v>3</v>
      </c>
      <c r="C1025" s="639" t="s">
        <v>4</v>
      </c>
      <c r="D1025" s="638" t="s">
        <v>5</v>
      </c>
      <c r="E1025" s="640" t="s">
        <v>6</v>
      </c>
      <c r="F1025" s="640" t="s">
        <v>7</v>
      </c>
      <c r="G1025" s="640" t="s">
        <v>8</v>
      </c>
      <c r="H1025" s="640" t="s">
        <v>9</v>
      </c>
      <c r="I1025" s="640" t="s">
        <v>10</v>
      </c>
      <c r="J1025" s="641" t="s">
        <v>11</v>
      </c>
      <c r="K1025" s="640" t="s">
        <v>12</v>
      </c>
      <c r="L1025" s="559"/>
      <c r="M1025" s="54" t="s">
        <v>3</v>
      </c>
      <c r="N1025" s="54" t="s">
        <v>5</v>
      </c>
      <c r="O1025" s="39" t="s">
        <v>49</v>
      </c>
      <c r="P1025" s="371" t="s">
        <v>7</v>
      </c>
      <c r="Q1025" s="56" t="s">
        <v>50</v>
      </c>
    </row>
    <row r="1026" spans="1:17" ht="15.75">
      <c r="A1026" s="923" t="s">
        <v>15</v>
      </c>
      <c r="B1026" s="341">
        <v>15499</v>
      </c>
      <c r="C1026" s="308">
        <v>0.1</v>
      </c>
      <c r="D1026" s="241" t="s">
        <v>660</v>
      </c>
      <c r="E1026" s="242">
        <v>1150000</v>
      </c>
      <c r="F1026" s="228">
        <v>0.06</v>
      </c>
      <c r="G1026" s="218">
        <f>E1026*F1026</f>
        <v>69000</v>
      </c>
      <c r="H1026" s="244" t="s">
        <v>55</v>
      </c>
      <c r="I1026" s="239" t="s">
        <v>672</v>
      </c>
      <c r="J1026" s="239" t="s">
        <v>19</v>
      </c>
      <c r="K1026" s="239"/>
      <c r="L1026" s="418"/>
      <c r="M1026" s="428"/>
      <c r="N1026" s="448"/>
      <c r="O1026" s="430"/>
      <c r="P1026" s="10"/>
      <c r="Q1026" s="431"/>
    </row>
    <row r="1027" spans="1:17" ht="15.75">
      <c r="A1027" s="923"/>
      <c r="B1027" s="341">
        <v>15523</v>
      </c>
      <c r="C1027" s="308">
        <v>0.1</v>
      </c>
      <c r="D1027" s="241" t="s">
        <v>673</v>
      </c>
      <c r="E1027" s="242">
        <v>950000</v>
      </c>
      <c r="F1027" s="228">
        <v>0.06</v>
      </c>
      <c r="G1027" s="218">
        <f t="shared" ref="G1027:G1038" si="39">E1027*F1027</f>
        <v>57000</v>
      </c>
      <c r="H1027" s="244" t="s">
        <v>26</v>
      </c>
      <c r="I1027" s="239" t="s">
        <v>672</v>
      </c>
      <c r="J1027" s="239" t="s">
        <v>19</v>
      </c>
      <c r="K1027" s="239"/>
      <c r="L1027" s="418"/>
      <c r="M1027" s="428"/>
      <c r="N1027" s="448"/>
      <c r="O1027" s="430"/>
      <c r="P1027" s="10"/>
      <c r="Q1027" s="431"/>
    </row>
    <row r="1028" spans="1:17" ht="15.75">
      <c r="A1028" s="923"/>
      <c r="B1028" s="341">
        <v>15532</v>
      </c>
      <c r="C1028" s="308">
        <v>0.1</v>
      </c>
      <c r="D1028" s="241" t="s">
        <v>659</v>
      </c>
      <c r="E1028" s="242">
        <v>1200000</v>
      </c>
      <c r="F1028" s="228">
        <v>0.05</v>
      </c>
      <c r="G1028" s="218">
        <f t="shared" si="39"/>
        <v>60000</v>
      </c>
      <c r="H1028" s="244" t="s">
        <v>55</v>
      </c>
      <c r="I1028" s="239" t="s">
        <v>18</v>
      </c>
      <c r="J1028" s="239" t="s">
        <v>19</v>
      </c>
      <c r="K1028" s="239"/>
      <c r="L1028" s="418"/>
      <c r="M1028" s="428"/>
      <c r="N1028" s="448"/>
      <c r="O1028" s="430"/>
      <c r="P1028" s="10"/>
      <c r="Q1028" s="431"/>
    </row>
    <row r="1029" spans="1:17" ht="15.75">
      <c r="A1029" s="923"/>
      <c r="B1029" s="341">
        <v>15562</v>
      </c>
      <c r="C1029" s="526">
        <v>0.08</v>
      </c>
      <c r="D1029" s="241" t="s">
        <v>646</v>
      </c>
      <c r="E1029" s="242">
        <v>1000000</v>
      </c>
      <c r="F1029" s="217">
        <v>0.04</v>
      </c>
      <c r="G1029" s="218">
        <f t="shared" si="39"/>
        <v>40000</v>
      </c>
      <c r="H1029" s="244" t="s">
        <v>17</v>
      </c>
      <c r="I1029" s="239" t="s">
        <v>21</v>
      </c>
      <c r="J1029" s="239" t="s">
        <v>19</v>
      </c>
      <c r="K1029" s="239"/>
      <c r="L1029" s="418"/>
      <c r="M1029" s="428"/>
      <c r="N1029" s="448"/>
      <c r="O1029" s="430"/>
      <c r="P1029" s="10"/>
      <c r="Q1029" s="431"/>
    </row>
    <row r="1030" spans="1:17" ht="15.75">
      <c r="A1030" s="923"/>
      <c r="B1030" s="341">
        <v>15578</v>
      </c>
      <c r="C1030" s="526">
        <v>0.08</v>
      </c>
      <c r="D1030" s="241" t="s">
        <v>674</v>
      </c>
      <c r="E1030" s="242">
        <v>800000</v>
      </c>
      <c r="F1030" s="217">
        <v>0.05</v>
      </c>
      <c r="G1030" s="218">
        <f t="shared" si="39"/>
        <v>40000</v>
      </c>
      <c r="H1030" s="244" t="s">
        <v>26</v>
      </c>
      <c r="I1030" s="239" t="s">
        <v>410</v>
      </c>
      <c r="J1030" s="239" t="s">
        <v>19</v>
      </c>
      <c r="K1030" s="239"/>
      <c r="L1030" s="418"/>
      <c r="M1030" s="428"/>
      <c r="N1030" s="448"/>
      <c r="O1030" s="430"/>
      <c r="P1030" s="10"/>
      <c r="Q1030" s="431"/>
    </row>
    <row r="1031" spans="1:17" ht="15.75">
      <c r="A1031" s="923"/>
      <c r="B1031" s="341">
        <v>15580</v>
      </c>
      <c r="C1031" s="308">
        <v>0.1</v>
      </c>
      <c r="D1031" s="241" t="s">
        <v>675</v>
      </c>
      <c r="E1031" s="242">
        <v>1200000</v>
      </c>
      <c r="F1031" s="228">
        <v>0.1</v>
      </c>
      <c r="G1031" s="218">
        <f t="shared" si="39"/>
        <v>120000</v>
      </c>
      <c r="H1031" s="244" t="s">
        <v>23</v>
      </c>
      <c r="I1031" s="239" t="s">
        <v>21</v>
      </c>
      <c r="J1031" s="239" t="s">
        <v>19</v>
      </c>
      <c r="K1031" s="239"/>
      <c r="L1031" s="418"/>
      <c r="M1031" s="428"/>
      <c r="N1031" s="448"/>
      <c r="O1031" s="430"/>
      <c r="P1031" s="10"/>
      <c r="Q1031" s="431"/>
    </row>
    <row r="1032" spans="1:17" ht="15.75">
      <c r="A1032" s="923"/>
      <c r="B1032" s="341">
        <v>15599</v>
      </c>
      <c r="C1032" s="308">
        <v>0.1</v>
      </c>
      <c r="D1032" s="241" t="s">
        <v>676</v>
      </c>
      <c r="E1032" s="242">
        <v>1200000</v>
      </c>
      <c r="F1032" s="228">
        <v>0.1</v>
      </c>
      <c r="G1032" s="218">
        <f t="shared" si="39"/>
        <v>120000</v>
      </c>
      <c r="H1032" s="244" t="s">
        <v>23</v>
      </c>
      <c r="I1032" s="239" t="s">
        <v>21</v>
      </c>
      <c r="J1032" s="239" t="s">
        <v>19</v>
      </c>
      <c r="K1032" s="239"/>
      <c r="L1032" s="418"/>
      <c r="M1032" s="428"/>
      <c r="N1032" s="448"/>
      <c r="O1032" s="430"/>
      <c r="P1032" s="10"/>
      <c r="Q1032" s="431"/>
    </row>
    <row r="1033" spans="1:17" ht="15.75">
      <c r="A1033" s="923"/>
      <c r="B1033" s="341">
        <v>15613</v>
      </c>
      <c r="C1033" s="308">
        <v>0.1</v>
      </c>
      <c r="D1033" s="241" t="s">
        <v>677</v>
      </c>
      <c r="E1033" s="242">
        <v>1300000</v>
      </c>
      <c r="F1033" s="228">
        <v>0.1</v>
      </c>
      <c r="G1033" s="218">
        <f t="shared" si="39"/>
        <v>130000</v>
      </c>
      <c r="H1033" s="244" t="s">
        <v>23</v>
      </c>
      <c r="I1033" s="239" t="s">
        <v>672</v>
      </c>
      <c r="J1033" s="239" t="s">
        <v>19</v>
      </c>
      <c r="K1033" s="239"/>
      <c r="L1033" s="418"/>
      <c r="M1033" s="428"/>
      <c r="N1033" s="448"/>
      <c r="O1033" s="430"/>
      <c r="P1033" s="10"/>
      <c r="Q1033" s="431"/>
    </row>
    <row r="1034" spans="1:17" ht="15.75">
      <c r="A1034" s="923"/>
      <c r="B1034" s="341">
        <v>15641</v>
      </c>
      <c r="C1034" s="308">
        <v>0.1</v>
      </c>
      <c r="D1034" s="241" t="s">
        <v>678</v>
      </c>
      <c r="E1034" s="242">
        <v>1300000</v>
      </c>
      <c r="F1034" s="228">
        <v>0.06</v>
      </c>
      <c r="G1034" s="218">
        <f t="shared" si="39"/>
        <v>78000</v>
      </c>
      <c r="H1034" s="244" t="s">
        <v>26</v>
      </c>
      <c r="I1034" s="239" t="s">
        <v>410</v>
      </c>
      <c r="J1034" s="239"/>
      <c r="K1034" s="239"/>
      <c r="L1034" s="418"/>
      <c r="M1034" s="428"/>
      <c r="N1034" s="448"/>
      <c r="O1034" s="430"/>
      <c r="P1034" s="10"/>
      <c r="Q1034" s="431"/>
    </row>
    <row r="1035" spans="1:17" ht="15.75">
      <c r="A1035" s="923"/>
      <c r="B1035" s="293">
        <v>15638</v>
      </c>
      <c r="C1035" s="231">
        <v>0.1</v>
      </c>
      <c r="D1035" s="241" t="s">
        <v>679</v>
      </c>
      <c r="E1035" s="242">
        <v>1200000</v>
      </c>
      <c r="F1035" s="228">
        <v>0.1</v>
      </c>
      <c r="G1035" s="218">
        <f t="shared" si="39"/>
        <v>120000</v>
      </c>
      <c r="H1035" s="244" t="s">
        <v>23</v>
      </c>
      <c r="I1035" s="239" t="s">
        <v>18</v>
      </c>
      <c r="J1035" s="239" t="s">
        <v>19</v>
      </c>
      <c r="K1035" s="239"/>
      <c r="L1035" s="418"/>
      <c r="M1035" s="428"/>
      <c r="N1035" s="448"/>
      <c r="O1035" s="430"/>
      <c r="P1035" s="10"/>
      <c r="Q1035" s="431"/>
    </row>
    <row r="1036" spans="1:17" ht="15.75">
      <c r="A1036" s="923"/>
      <c r="B1036" s="293">
        <v>15653</v>
      </c>
      <c r="C1036" s="231">
        <v>0.1</v>
      </c>
      <c r="D1036" s="241" t="s">
        <v>680</v>
      </c>
      <c r="E1036" s="242">
        <v>950000</v>
      </c>
      <c r="F1036" s="228">
        <v>0.06</v>
      </c>
      <c r="G1036" s="218">
        <f t="shared" si="39"/>
        <v>57000</v>
      </c>
      <c r="H1036" s="244" t="s">
        <v>26</v>
      </c>
      <c r="I1036" s="239" t="s">
        <v>410</v>
      </c>
      <c r="J1036" s="239"/>
      <c r="K1036" s="239"/>
      <c r="L1036" s="418"/>
      <c r="M1036" s="428"/>
      <c r="N1036" s="448"/>
      <c r="O1036" s="430"/>
      <c r="P1036" s="10"/>
      <c r="Q1036" s="431"/>
    </row>
    <row r="1037" spans="1:17" ht="15.75">
      <c r="A1037" s="923"/>
      <c r="B1037" s="293">
        <v>15659</v>
      </c>
      <c r="C1037" s="231">
        <v>0.1</v>
      </c>
      <c r="D1037" s="241" t="s">
        <v>681</v>
      </c>
      <c r="E1037" s="242">
        <v>1300000</v>
      </c>
      <c r="F1037" s="228">
        <v>0.1</v>
      </c>
      <c r="G1037" s="218">
        <f t="shared" si="39"/>
        <v>130000</v>
      </c>
      <c r="H1037" s="244" t="s">
        <v>23</v>
      </c>
      <c r="I1037" s="239" t="s">
        <v>410</v>
      </c>
      <c r="J1037" s="239"/>
      <c r="K1037" s="239"/>
      <c r="L1037" s="418"/>
      <c r="M1037" s="428"/>
      <c r="N1037" s="448"/>
      <c r="O1037" s="430"/>
      <c r="P1037" s="10"/>
      <c r="Q1037" s="431"/>
    </row>
    <row r="1038" spans="1:17" ht="15.75">
      <c r="A1038" s="923"/>
      <c r="B1038" s="293">
        <v>15654</v>
      </c>
      <c r="C1038" s="231">
        <v>0.1</v>
      </c>
      <c r="D1038" s="241" t="s">
        <v>682</v>
      </c>
      <c r="E1038" s="242">
        <v>1300000</v>
      </c>
      <c r="F1038" s="228">
        <v>0.1</v>
      </c>
      <c r="G1038" s="218">
        <f t="shared" si="39"/>
        <v>130000</v>
      </c>
      <c r="H1038" s="244" t="s">
        <v>23</v>
      </c>
      <c r="I1038" s="239" t="s">
        <v>18</v>
      </c>
      <c r="J1038" s="239"/>
      <c r="K1038" s="239"/>
      <c r="L1038" s="418"/>
      <c r="M1038" s="428"/>
      <c r="N1038" s="448"/>
      <c r="O1038" s="430"/>
      <c r="P1038" s="10"/>
      <c r="Q1038" s="431"/>
    </row>
    <row r="1039" spans="1:17" ht="15.75">
      <c r="A1039" s="923"/>
      <c r="B1039" s="335" t="s">
        <v>40</v>
      </c>
      <c r="C1039" s="328"/>
      <c r="D1039" s="336" t="s">
        <v>683</v>
      </c>
      <c r="E1039" s="255"/>
      <c r="F1039" s="254"/>
      <c r="G1039" s="266"/>
      <c r="H1039" s="291"/>
      <c r="I1039" s="213" t="s">
        <v>672</v>
      </c>
      <c r="J1039" s="213"/>
      <c r="K1039" s="213"/>
      <c r="L1039" s="716"/>
      <c r="M1039" s="428"/>
      <c r="N1039" s="448"/>
      <c r="O1039" s="430"/>
      <c r="P1039" s="10"/>
      <c r="Q1039" s="431"/>
    </row>
    <row r="1040" spans="1:17" ht="15.75">
      <c r="A1040" s="923"/>
      <c r="B1040" s="335" t="s">
        <v>40</v>
      </c>
      <c r="C1040" s="554"/>
      <c r="D1040" s="336" t="s">
        <v>684</v>
      </c>
      <c r="E1040" s="255"/>
      <c r="F1040" s="254"/>
      <c r="G1040" s="266"/>
      <c r="H1040" s="291"/>
      <c r="I1040" s="213" t="s">
        <v>672</v>
      </c>
      <c r="J1040" s="213"/>
      <c r="K1040" s="213"/>
      <c r="L1040" s="716"/>
      <c r="M1040" s="428"/>
      <c r="N1040" s="448"/>
      <c r="O1040" s="430"/>
      <c r="P1040" s="10"/>
      <c r="Q1040" s="431"/>
    </row>
    <row r="1041" spans="1:17" ht="15.75">
      <c r="A1041" s="924"/>
      <c r="B1041" s="610" t="s">
        <v>47</v>
      </c>
      <c r="C1041" s="573"/>
      <c r="D1041" s="574"/>
      <c r="E1041" s="575">
        <f>SUM(E1026:E1040)</f>
        <v>14850000</v>
      </c>
      <c r="F1041" s="576"/>
      <c r="G1041" s="23">
        <f>SUM(G1026:G1040)</f>
        <v>1151000</v>
      </c>
      <c r="H1041" s="576"/>
      <c r="I1041" s="577"/>
      <c r="J1041" s="578"/>
      <c r="K1041" s="110"/>
      <c r="L1041" s="111"/>
      <c r="M1041" s="112"/>
      <c r="N1041" s="925" t="s">
        <v>70</v>
      </c>
      <c r="O1041" s="926"/>
      <c r="P1041" s="926"/>
      <c r="Q1041" s="65">
        <f>G1041</f>
        <v>1151000</v>
      </c>
    </row>
    <row r="1044" spans="1:17" ht="18">
      <c r="A1044" s="918" t="s">
        <v>107</v>
      </c>
      <c r="B1044" s="927"/>
      <c r="C1044" s="927"/>
      <c r="D1044" s="927"/>
      <c r="E1044" s="927"/>
      <c r="F1044" s="927"/>
      <c r="G1044" s="927"/>
      <c r="H1044" s="927"/>
      <c r="I1044" s="927"/>
      <c r="J1044" s="927"/>
      <c r="K1044" s="927"/>
      <c r="L1044" s="927"/>
      <c r="M1044" s="928" t="s">
        <v>14</v>
      </c>
      <c r="N1044" s="928"/>
      <c r="O1044" s="928"/>
      <c r="P1044" s="928"/>
      <c r="Q1044" s="326"/>
    </row>
    <row r="1045" spans="1:17" ht="15.75">
      <c r="A1045" s="46" t="s">
        <v>2</v>
      </c>
      <c r="B1045" s="77" t="s">
        <v>3</v>
      </c>
      <c r="C1045" s="46" t="s">
        <v>4</v>
      </c>
      <c r="D1045" s="46" t="s">
        <v>5</v>
      </c>
      <c r="E1045" s="48" t="s">
        <v>6</v>
      </c>
      <c r="F1045" s="46" t="s">
        <v>7</v>
      </c>
      <c r="G1045" s="327" t="s">
        <v>8</v>
      </c>
      <c r="H1045" s="46" t="s">
        <v>9</v>
      </c>
      <c r="I1045" s="52" t="s">
        <v>10</v>
      </c>
      <c r="J1045" s="52" t="s">
        <v>11</v>
      </c>
      <c r="K1045" s="52" t="s">
        <v>12</v>
      </c>
      <c r="L1045" s="46" t="s">
        <v>13</v>
      </c>
      <c r="M1045" s="46" t="s">
        <v>3</v>
      </c>
      <c r="N1045" s="46" t="s">
        <v>5</v>
      </c>
      <c r="O1045" s="46" t="s">
        <v>49</v>
      </c>
      <c r="P1045" s="46" t="s">
        <v>7</v>
      </c>
      <c r="Q1045" s="56" t="s">
        <v>50</v>
      </c>
    </row>
    <row r="1046" spans="1:17" ht="15.75">
      <c r="A1046" s="929">
        <v>6</v>
      </c>
      <c r="B1046" s="300">
        <v>15431</v>
      </c>
      <c r="C1046" s="231">
        <v>0.1</v>
      </c>
      <c r="D1046" s="272" t="s">
        <v>685</v>
      </c>
      <c r="E1046" s="278"/>
      <c r="F1046" s="273"/>
      <c r="G1046" s="274"/>
      <c r="H1046" s="275" t="s">
        <v>26</v>
      </c>
      <c r="I1046" s="276" t="s">
        <v>18</v>
      </c>
      <c r="J1046" s="276" t="s">
        <v>19</v>
      </c>
      <c r="K1046" s="366"/>
      <c r="L1046" s="367"/>
      <c r="M1046" s="260">
        <v>15428</v>
      </c>
      <c r="N1046" s="241" t="s">
        <v>639</v>
      </c>
      <c r="O1046" s="278">
        <v>2200000</v>
      </c>
      <c r="P1046" s="278"/>
      <c r="Q1046" s="362"/>
    </row>
    <row r="1047" spans="1:17" ht="15.75">
      <c r="A1047" s="929"/>
      <c r="B1047" s="545">
        <v>15440</v>
      </c>
      <c r="C1047" s="231">
        <v>0.1</v>
      </c>
      <c r="D1047" s="858" t="s">
        <v>686</v>
      </c>
      <c r="E1047" s="859">
        <v>850000</v>
      </c>
      <c r="F1047" s="273"/>
      <c r="G1047" s="364" t="s">
        <v>534</v>
      </c>
      <c r="H1047" s="275" t="s">
        <v>26</v>
      </c>
      <c r="I1047" s="276" t="s">
        <v>21</v>
      </c>
      <c r="J1047" s="276" t="s">
        <v>19</v>
      </c>
      <c r="K1047" s="366"/>
      <c r="L1047" s="367"/>
      <c r="M1047" s="214">
        <v>15439</v>
      </c>
      <c r="N1047" s="241" t="s">
        <v>641</v>
      </c>
      <c r="O1047" s="278">
        <v>1160000</v>
      </c>
      <c r="P1047" s="278"/>
      <c r="Q1047" s="362"/>
    </row>
    <row r="1048" spans="1:17" ht="15.75">
      <c r="A1048" s="929"/>
      <c r="B1048" s="545">
        <v>15626</v>
      </c>
      <c r="C1048" s="526">
        <v>0.08</v>
      </c>
      <c r="D1048" s="858" t="s">
        <v>687</v>
      </c>
      <c r="E1048" s="859">
        <v>2500000</v>
      </c>
      <c r="F1048" s="273"/>
      <c r="G1048" s="274"/>
      <c r="H1048" s="275" t="s">
        <v>26</v>
      </c>
      <c r="I1048" s="276" t="s">
        <v>410</v>
      </c>
      <c r="J1048" s="276"/>
      <c r="K1048" s="366"/>
      <c r="L1048" s="367"/>
      <c r="M1048" s="214">
        <v>15487</v>
      </c>
      <c r="N1048" s="241" t="s">
        <v>429</v>
      </c>
      <c r="O1048" s="278">
        <v>1900000</v>
      </c>
      <c r="P1048" s="278"/>
      <c r="Q1048" s="362"/>
    </row>
    <row r="1049" spans="1:17" ht="15.75">
      <c r="A1049" s="929"/>
      <c r="B1049" s="545">
        <v>15660</v>
      </c>
      <c r="C1049" s="308">
        <v>0.1</v>
      </c>
      <c r="D1049" s="858" t="s">
        <v>688</v>
      </c>
      <c r="E1049" s="859">
        <v>1450000</v>
      </c>
      <c r="F1049" s="273"/>
      <c r="G1049" s="274"/>
      <c r="H1049" s="275" t="s">
        <v>26</v>
      </c>
      <c r="I1049" s="276" t="s">
        <v>21</v>
      </c>
      <c r="J1049" s="276"/>
      <c r="K1049" s="366"/>
      <c r="L1049" s="367"/>
      <c r="M1049" s="214">
        <v>15497</v>
      </c>
      <c r="N1049" s="241" t="s">
        <v>647</v>
      </c>
      <c r="O1049" s="278">
        <v>1270000</v>
      </c>
      <c r="P1049" s="278"/>
      <c r="Q1049" s="362"/>
    </row>
    <row r="1050" spans="1:17" ht="15.75">
      <c r="A1050" s="929"/>
      <c r="B1050" s="545">
        <v>15637</v>
      </c>
      <c r="C1050" s="308">
        <v>0.1</v>
      </c>
      <c r="D1050" s="858" t="s">
        <v>689</v>
      </c>
      <c r="E1050" s="859">
        <v>1800000</v>
      </c>
      <c r="F1050" s="273"/>
      <c r="G1050" s="274"/>
      <c r="H1050" s="275" t="s">
        <v>26</v>
      </c>
      <c r="I1050" s="276" t="s">
        <v>645</v>
      </c>
      <c r="J1050" s="276"/>
      <c r="K1050" s="366"/>
      <c r="L1050" s="367"/>
      <c r="M1050" s="545">
        <v>15460</v>
      </c>
      <c r="N1050" s="241" t="s">
        <v>658</v>
      </c>
      <c r="O1050" s="242">
        <v>2200000</v>
      </c>
      <c r="P1050" s="242"/>
      <c r="Q1050" s="362"/>
    </row>
    <row r="1051" spans="1:17" ht="15.75">
      <c r="A1051" s="929"/>
      <c r="B1051" s="262" t="s">
        <v>40</v>
      </c>
      <c r="C1051" s="329"/>
      <c r="D1051" s="336" t="s">
        <v>690</v>
      </c>
      <c r="E1051" s="255"/>
      <c r="F1051" s="254"/>
      <c r="G1051" s="266"/>
      <c r="H1051" s="291"/>
      <c r="I1051" s="213" t="s">
        <v>21</v>
      </c>
      <c r="J1051" s="213"/>
      <c r="K1051" s="368"/>
      <c r="L1051" s="369"/>
      <c r="M1051" s="545">
        <v>15542</v>
      </c>
      <c r="N1051" s="241" t="s">
        <v>661</v>
      </c>
      <c r="O1051" s="242">
        <v>950000</v>
      </c>
      <c r="P1051" s="242"/>
      <c r="Q1051" s="362"/>
    </row>
    <row r="1052" spans="1:17" ht="15.75">
      <c r="A1052" s="929"/>
      <c r="B1052" s="262" t="s">
        <v>40</v>
      </c>
      <c r="C1052" s="329"/>
      <c r="D1052" s="336" t="s">
        <v>691</v>
      </c>
      <c r="E1052" s="255"/>
      <c r="F1052" s="254"/>
      <c r="G1052" s="266"/>
      <c r="H1052" s="291"/>
      <c r="I1052" s="213" t="s">
        <v>672</v>
      </c>
      <c r="J1052" s="213"/>
      <c r="K1052" s="368"/>
      <c r="L1052" s="369"/>
      <c r="M1052" s="545">
        <v>15571</v>
      </c>
      <c r="N1052" s="241" t="s">
        <v>663</v>
      </c>
      <c r="O1052" s="242">
        <v>2600000</v>
      </c>
      <c r="P1052" s="242"/>
      <c r="Q1052" s="362"/>
    </row>
    <row r="1053" spans="1:17" ht="15.75">
      <c r="A1053" s="929"/>
      <c r="B1053" s="433"/>
      <c r="C1053" s="10"/>
      <c r="D1053" s="8"/>
      <c r="E1053" s="430"/>
      <c r="F1053" s="457"/>
      <c r="G1053" s="458"/>
      <c r="H1053" s="56"/>
      <c r="I1053" s="9"/>
      <c r="J1053" s="9"/>
      <c r="K1053" s="459"/>
      <c r="L1053" s="460"/>
      <c r="M1053" s="545">
        <v>15600</v>
      </c>
      <c r="N1053" s="241" t="s">
        <v>664</v>
      </c>
      <c r="O1053" s="242">
        <v>1900000</v>
      </c>
      <c r="P1053" s="242"/>
      <c r="Q1053" s="362"/>
    </row>
    <row r="1054" spans="1:17" ht="15.75">
      <c r="A1054" s="929"/>
      <c r="B1054" s="433"/>
      <c r="C1054" s="10"/>
      <c r="D1054" s="8"/>
      <c r="E1054" s="430"/>
      <c r="F1054" s="457"/>
      <c r="G1054" s="458"/>
      <c r="H1054" s="56"/>
      <c r="I1054" s="9"/>
      <c r="J1054" s="9"/>
      <c r="K1054" s="459"/>
      <c r="L1054" s="121"/>
      <c r="M1054" s="545">
        <v>15590</v>
      </c>
      <c r="N1054" s="241" t="s">
        <v>665</v>
      </c>
      <c r="O1054" s="242">
        <v>1900000</v>
      </c>
      <c r="P1054" s="242"/>
      <c r="Q1054" s="362"/>
    </row>
    <row r="1055" spans="1:17" ht="15.75">
      <c r="A1055" s="929"/>
      <c r="B1055" s="433"/>
      <c r="C1055" s="10"/>
      <c r="D1055" s="8"/>
      <c r="E1055" s="430"/>
      <c r="F1055" s="457"/>
      <c r="G1055" s="458"/>
      <c r="H1055" s="56"/>
      <c r="I1055" s="9"/>
      <c r="J1055" s="9"/>
      <c r="K1055" s="459"/>
      <c r="L1055" s="121"/>
      <c r="M1055" s="545">
        <v>15614</v>
      </c>
      <c r="N1055" s="241" t="s">
        <v>668</v>
      </c>
      <c r="O1055" s="242">
        <v>2200000</v>
      </c>
      <c r="P1055" s="242"/>
      <c r="Q1055" s="362"/>
    </row>
    <row r="1056" spans="1:17" ht="15.75">
      <c r="A1056" s="929"/>
      <c r="B1056" s="433"/>
      <c r="C1056" s="10"/>
      <c r="D1056" s="8"/>
      <c r="E1056" s="430"/>
      <c r="F1056" s="457"/>
      <c r="G1056" s="458"/>
      <c r="H1056" s="56"/>
      <c r="I1056" s="9"/>
      <c r="J1056" s="9"/>
      <c r="K1056" s="459"/>
      <c r="L1056" s="121"/>
      <c r="M1056" s="341">
        <v>15499</v>
      </c>
      <c r="N1056" s="241" t="s">
        <v>660</v>
      </c>
      <c r="O1056" s="242">
        <v>1150000</v>
      </c>
      <c r="P1056" s="242"/>
      <c r="Q1056" s="362"/>
    </row>
    <row r="1057" spans="1:17" ht="15.75">
      <c r="A1057" s="929"/>
      <c r="B1057" s="433"/>
      <c r="C1057" s="10"/>
      <c r="D1057" s="8"/>
      <c r="E1057" s="430"/>
      <c r="F1057" s="457"/>
      <c r="G1057" s="458"/>
      <c r="H1057" s="56"/>
      <c r="I1057" s="9"/>
      <c r="J1057" s="9"/>
      <c r="K1057" s="459"/>
      <c r="L1057" s="121"/>
      <c r="M1057" s="341">
        <v>15523</v>
      </c>
      <c r="N1057" s="241" t="s">
        <v>673</v>
      </c>
      <c r="O1057" s="242">
        <v>950000</v>
      </c>
      <c r="P1057" s="242"/>
      <c r="Q1057" s="362"/>
    </row>
    <row r="1058" spans="1:17" ht="15.75">
      <c r="A1058" s="929"/>
      <c r="B1058" s="667"/>
      <c r="C1058" s="668"/>
      <c r="D1058" s="635"/>
      <c r="E1058" s="430"/>
      <c r="F1058" s="166"/>
      <c r="G1058" s="458"/>
      <c r="H1058" s="56"/>
      <c r="I1058" s="9"/>
      <c r="J1058" s="459"/>
      <c r="K1058" s="459"/>
      <c r="L1058" s="121"/>
      <c r="M1058" s="341">
        <v>15578</v>
      </c>
      <c r="N1058" s="241" t="s">
        <v>674</v>
      </c>
      <c r="O1058" s="242">
        <v>800000</v>
      </c>
      <c r="P1058" s="242"/>
      <c r="Q1058" s="362"/>
    </row>
    <row r="1059" spans="1:17" ht="15.75">
      <c r="A1059" s="930"/>
      <c r="B1059" s="503"/>
      <c r="C1059" s="439"/>
      <c r="D1059" s="62"/>
      <c r="E1059" s="430"/>
      <c r="F1059" s="457"/>
      <c r="G1059" s="458"/>
      <c r="H1059" s="122"/>
      <c r="I1059" s="459"/>
      <c r="J1059" s="459"/>
      <c r="K1059" s="459"/>
      <c r="L1059" s="160"/>
      <c r="M1059" s="341">
        <v>15641</v>
      </c>
      <c r="N1059" s="241" t="s">
        <v>678</v>
      </c>
      <c r="O1059" s="242">
        <v>1300000</v>
      </c>
      <c r="P1059" s="242"/>
      <c r="Q1059" s="362"/>
    </row>
    <row r="1060" spans="1:17" ht="15.75">
      <c r="A1060" s="931"/>
      <c r="B1060" s="669"/>
      <c r="C1060" s="670"/>
      <c r="D1060" s="671"/>
      <c r="E1060" s="672"/>
      <c r="F1060" s="673"/>
      <c r="G1060" s="672"/>
      <c r="H1060" s="674"/>
      <c r="I1060" s="61"/>
      <c r="J1060" s="61"/>
      <c r="K1060" s="61"/>
      <c r="L1060" s="161"/>
      <c r="M1060" s="293">
        <v>15653</v>
      </c>
      <c r="N1060" s="241" t="s">
        <v>680</v>
      </c>
      <c r="O1060" s="242">
        <v>950000</v>
      </c>
      <c r="P1060" s="242"/>
      <c r="Q1060" s="362"/>
    </row>
    <row r="1061" spans="1:17" ht="15.75">
      <c r="A1061" s="931"/>
      <c r="B1061" s="771"/>
      <c r="C1061" s="772"/>
      <c r="D1061" s="773"/>
      <c r="E1061" s="672"/>
      <c r="F1061" s="673"/>
      <c r="G1061" s="774"/>
      <c r="H1061" s="674"/>
      <c r="I1061" s="61"/>
      <c r="J1061" s="61"/>
      <c r="K1061" s="61"/>
      <c r="L1061" s="161"/>
      <c r="M1061" s="66"/>
      <c r="N1061" s="70"/>
      <c r="O1061" s="23"/>
      <c r="P1061" s="28"/>
      <c r="Q1061" s="122"/>
    </row>
    <row r="1062" spans="1:17" ht="15.75">
      <c r="A1062" s="932"/>
      <c r="B1062" s="141" t="s">
        <v>46</v>
      </c>
      <c r="C1062" s="142"/>
      <c r="D1062" s="143"/>
      <c r="E1062" s="144">
        <f>SUM(E1046:E1061)</f>
        <v>6600000</v>
      </c>
      <c r="F1062" s="145"/>
      <c r="G1062" s="146"/>
      <c r="H1062" s="145"/>
      <c r="I1062" s="147"/>
      <c r="J1062" s="147"/>
      <c r="K1062" s="147"/>
      <c r="L1062" s="148"/>
      <c r="M1062" s="123"/>
      <c r="N1062" s="123"/>
      <c r="O1062" s="378">
        <f>SUM(O1046:O1061)</f>
        <v>23430000</v>
      </c>
      <c r="P1062" s="150"/>
      <c r="Q1062" s="122"/>
    </row>
    <row r="1066" spans="1:17" ht="18">
      <c r="A1066" s="933" t="s">
        <v>117</v>
      </c>
      <c r="B1066" s="1116"/>
      <c r="C1066" s="164"/>
      <c r="D1066" s="890">
        <f>E1001+E1019+E1041+E1062</f>
        <v>69630000</v>
      </c>
    </row>
    <row r="1067" spans="1:17" ht="18">
      <c r="A1067" s="934" t="s">
        <v>119</v>
      </c>
      <c r="B1067" s="1117"/>
      <c r="C1067" s="167"/>
      <c r="D1067" s="168"/>
    </row>
    <row r="1068" spans="1:17" ht="18">
      <c r="A1068" s="916" t="s">
        <v>120</v>
      </c>
      <c r="B1068" s="1118"/>
      <c r="C1068" s="169"/>
      <c r="D1068" s="170"/>
    </row>
    <row r="1069" spans="1:17" ht="15.75">
      <c r="A1069" s="917" t="s">
        <v>121</v>
      </c>
      <c r="B1069" s="1119"/>
      <c r="C1069" s="169"/>
      <c r="D1069" s="171"/>
    </row>
    <row r="1070" spans="1:17" ht="15.75">
      <c r="A1070" s="172"/>
      <c r="B1070" s="141" t="s">
        <v>47</v>
      </c>
      <c r="C1070" s="173"/>
      <c r="D1070" s="144"/>
    </row>
    <row r="1075" spans="1:17" ht="45">
      <c r="A1075" s="935" t="s">
        <v>692</v>
      </c>
      <c r="B1075" s="935"/>
      <c r="C1075" s="935"/>
      <c r="D1075" s="935"/>
      <c r="E1075" s="935"/>
      <c r="F1075" s="935"/>
      <c r="G1075" s="935"/>
      <c r="H1075" s="935"/>
      <c r="I1075" s="935"/>
      <c r="J1075" s="935"/>
      <c r="K1075" s="935"/>
      <c r="L1075" s="935"/>
    </row>
    <row r="1077" spans="1:17" ht="18">
      <c r="A1077" s="918" t="s">
        <v>1</v>
      </c>
      <c r="B1077" s="919"/>
      <c r="C1077" s="918"/>
      <c r="D1077" s="918"/>
      <c r="E1077" s="918"/>
      <c r="F1077" s="918"/>
      <c r="G1077" s="918"/>
      <c r="H1077" s="918"/>
      <c r="I1077" s="918"/>
      <c r="J1077" s="918"/>
      <c r="K1077" s="918"/>
      <c r="L1077" s="918"/>
      <c r="M1077" s="943" t="s">
        <v>14</v>
      </c>
      <c r="N1077" s="943"/>
      <c r="O1077" s="943"/>
      <c r="P1077" s="943"/>
    </row>
    <row r="1078" spans="1:17" ht="15.75">
      <c r="A1078" s="878" t="s">
        <v>2</v>
      </c>
      <c r="B1078" s="877" t="s">
        <v>3</v>
      </c>
      <c r="C1078" s="879" t="s">
        <v>4</v>
      </c>
      <c r="D1078" s="1" t="s">
        <v>5</v>
      </c>
      <c r="E1078" s="4" t="s">
        <v>6</v>
      </c>
      <c r="F1078" s="3" t="s">
        <v>7</v>
      </c>
      <c r="G1078" s="5" t="s">
        <v>8</v>
      </c>
      <c r="H1078" s="3" t="s">
        <v>9</v>
      </c>
      <c r="I1078" s="6" t="s">
        <v>10</v>
      </c>
      <c r="J1078" s="6" t="s">
        <v>11</v>
      </c>
      <c r="K1078" s="6" t="s">
        <v>12</v>
      </c>
      <c r="L1078" s="40" t="s">
        <v>13</v>
      </c>
      <c r="M1078" s="46" t="s">
        <v>3</v>
      </c>
      <c r="N1078" s="46" t="s">
        <v>5</v>
      </c>
      <c r="O1078" s="46" t="s">
        <v>49</v>
      </c>
      <c r="P1078" s="46" t="s">
        <v>7</v>
      </c>
      <c r="Q1078" s="56" t="s">
        <v>50</v>
      </c>
    </row>
    <row r="1079" spans="1:17" ht="15.75">
      <c r="A1079" s="936"/>
      <c r="B1079" s="675">
        <v>15686</v>
      </c>
      <c r="C1079" s="308">
        <v>0.1</v>
      </c>
      <c r="D1079" s="241" t="s">
        <v>693</v>
      </c>
      <c r="E1079" s="278">
        <v>1800000</v>
      </c>
      <c r="F1079" s="228"/>
      <c r="G1079" s="237"/>
      <c r="H1079" s="238" t="s">
        <v>26</v>
      </c>
      <c r="I1079" s="239" t="s">
        <v>21</v>
      </c>
      <c r="J1079" s="239"/>
      <c r="K1079" s="239"/>
      <c r="L1079" s="540"/>
      <c r="M1079" s="485"/>
      <c r="N1079" s="8"/>
      <c r="O1079" s="501"/>
      <c r="P1079" s="10"/>
      <c r="Q1079" s="487"/>
    </row>
    <row r="1080" spans="1:17" ht="15.75">
      <c r="A1080" s="936"/>
      <c r="B1080" s="857" t="s">
        <v>694</v>
      </c>
      <c r="C1080" s="851"/>
      <c r="D1080" s="852" t="s">
        <v>695</v>
      </c>
      <c r="E1080" s="514"/>
      <c r="F1080" s="853"/>
      <c r="G1080" s="875"/>
      <c r="H1080" s="876"/>
      <c r="I1080" s="854"/>
      <c r="J1080" s="854" t="s">
        <v>410</v>
      </c>
      <c r="K1080" s="854"/>
      <c r="L1080" s="825"/>
      <c r="M1080" s="485"/>
      <c r="N1080" s="8"/>
      <c r="O1080" s="501"/>
      <c r="P1080" s="10"/>
      <c r="Q1080" s="487"/>
    </row>
    <row r="1081" spans="1:17" ht="15.75">
      <c r="A1081" s="936"/>
      <c r="B1081" s="907" t="s">
        <v>696</v>
      </c>
      <c r="C1081" s="851"/>
      <c r="D1081" s="852" t="s">
        <v>697</v>
      </c>
      <c r="E1081" s="514"/>
      <c r="F1081" s="853"/>
      <c r="G1081" s="875"/>
      <c r="H1081" s="876"/>
      <c r="I1081" s="854"/>
      <c r="J1081" s="854" t="s">
        <v>410</v>
      </c>
      <c r="K1081" s="854"/>
      <c r="L1081" s="825"/>
      <c r="M1081" s="485"/>
      <c r="N1081" s="8"/>
      <c r="O1081" s="501"/>
      <c r="P1081" s="10"/>
      <c r="Q1081" s="487"/>
    </row>
    <row r="1082" spans="1:17" ht="15.75">
      <c r="A1082" s="936"/>
      <c r="B1082" s="908" t="s">
        <v>698</v>
      </c>
      <c r="C1082" s="897"/>
      <c r="D1082" s="898" t="s">
        <v>699</v>
      </c>
      <c r="E1082" s="909"/>
      <c r="F1082" s="900"/>
      <c r="G1082" s="910"/>
      <c r="H1082" s="911"/>
      <c r="I1082" s="903"/>
      <c r="J1082" s="903" t="s">
        <v>18</v>
      </c>
      <c r="K1082" s="903"/>
      <c r="L1082" s="825"/>
      <c r="M1082" s="485"/>
      <c r="N1082" s="8"/>
      <c r="O1082" s="501"/>
      <c r="P1082" s="10"/>
      <c r="Q1082" s="487"/>
    </row>
    <row r="1083" spans="1:17" ht="15.75">
      <c r="A1083" s="936"/>
      <c r="B1083" s="433"/>
      <c r="C1083" s="835"/>
      <c r="D1083" s="635"/>
      <c r="E1083" s="456"/>
      <c r="F1083" s="10"/>
      <c r="G1083" s="11"/>
      <c r="H1083" s="632"/>
      <c r="I1083" s="7"/>
      <c r="J1083" s="7"/>
      <c r="K1083" s="7"/>
      <c r="L1083" s="825"/>
      <c r="M1083" s="485"/>
      <c r="N1083" s="8"/>
      <c r="O1083" s="501"/>
      <c r="P1083" s="10"/>
      <c r="Q1083" s="487"/>
    </row>
    <row r="1084" spans="1:17" ht="15.75">
      <c r="A1084" s="936"/>
      <c r="B1084" s="433"/>
      <c r="C1084" s="835"/>
      <c r="D1084" s="635"/>
      <c r="E1084" s="456"/>
      <c r="F1084" s="10"/>
      <c r="G1084" s="11"/>
      <c r="H1084" s="632"/>
      <c r="I1084" s="7"/>
      <c r="J1084" s="7"/>
      <c r="K1084" s="7"/>
      <c r="L1084" s="825"/>
      <c r="M1084" s="485"/>
      <c r="N1084" s="8"/>
      <c r="O1084" s="501"/>
      <c r="P1084" s="10"/>
      <c r="Q1084" s="487"/>
    </row>
    <row r="1085" spans="1:17" ht="15.75">
      <c r="A1085" s="936"/>
      <c r="B1085" s="433"/>
      <c r="C1085" s="835"/>
      <c r="D1085" s="635"/>
      <c r="E1085" s="456"/>
      <c r="F1085" s="10"/>
      <c r="G1085" s="11"/>
      <c r="H1085" s="632"/>
      <c r="I1085" s="7"/>
      <c r="J1085" s="7"/>
      <c r="K1085" s="7"/>
      <c r="L1085" s="825"/>
      <c r="M1085" s="485"/>
      <c r="N1085" s="8"/>
      <c r="O1085" s="501"/>
      <c r="P1085" s="10"/>
      <c r="Q1085" s="487"/>
    </row>
    <row r="1086" spans="1:17" ht="15.75">
      <c r="A1086" s="936"/>
      <c r="B1086" s="869"/>
      <c r="C1086" s="835"/>
      <c r="D1086" s="635"/>
      <c r="E1086" s="456"/>
      <c r="F1086" s="10"/>
      <c r="G1086" s="510"/>
      <c r="H1086" s="445"/>
      <c r="I1086" s="7"/>
      <c r="J1086" s="7"/>
      <c r="K1086" s="7"/>
      <c r="L1086" s="825"/>
      <c r="M1086" s="485"/>
      <c r="N1086" s="826"/>
      <c r="O1086" s="430"/>
      <c r="P1086" s="10"/>
      <c r="Q1086" s="827"/>
    </row>
    <row r="1087" spans="1:17" ht="15.75">
      <c r="A1087" s="936"/>
      <c r="B1087" s="869"/>
      <c r="C1087" s="835"/>
      <c r="D1087" s="635"/>
      <c r="E1087" s="456"/>
      <c r="F1087" s="10"/>
      <c r="G1087" s="510"/>
      <c r="H1087" s="445"/>
      <c r="I1087" s="7"/>
      <c r="J1087" s="7"/>
      <c r="K1087" s="7"/>
      <c r="L1087" s="825"/>
      <c r="M1087" s="485"/>
      <c r="N1087" s="826"/>
      <c r="O1087" s="430"/>
      <c r="P1087" s="10"/>
      <c r="Q1087" s="827"/>
    </row>
    <row r="1088" spans="1:17" ht="15.75">
      <c r="A1088" s="936"/>
      <c r="B1088" s="869"/>
      <c r="C1088" s="835"/>
      <c r="D1088" s="635"/>
      <c r="E1088" s="456"/>
      <c r="F1088" s="10"/>
      <c r="G1088" s="510"/>
      <c r="H1088" s="445"/>
      <c r="I1088" s="7"/>
      <c r="J1088" s="7"/>
      <c r="K1088" s="7"/>
      <c r="L1088" s="825"/>
      <c r="M1088" s="485"/>
      <c r="N1088" s="826"/>
      <c r="O1088" s="430"/>
      <c r="P1088" s="10"/>
      <c r="Q1088" s="827"/>
    </row>
    <row r="1089" spans="1:17" ht="15.75">
      <c r="A1089" s="936"/>
      <c r="B1089" s="869"/>
      <c r="C1089" s="835"/>
      <c r="D1089" s="635"/>
      <c r="E1089" s="456"/>
      <c r="F1089" s="10"/>
      <c r="G1089" s="510"/>
      <c r="H1089" s="445"/>
      <c r="I1089" s="7"/>
      <c r="J1089" s="7"/>
      <c r="K1089" s="7"/>
      <c r="L1089" s="825"/>
      <c r="M1089" s="485"/>
      <c r="N1089" s="826"/>
      <c r="O1089" s="430"/>
      <c r="P1089" s="10"/>
      <c r="Q1089" s="827"/>
    </row>
    <row r="1090" spans="1:17" ht="15.75">
      <c r="A1090" s="936"/>
      <c r="B1090" s="869"/>
      <c r="C1090" s="835"/>
      <c r="D1090" s="635"/>
      <c r="E1090" s="456"/>
      <c r="F1090" s="10"/>
      <c r="G1090" s="510"/>
      <c r="H1090" s="445"/>
      <c r="I1090" s="7"/>
      <c r="J1090" s="7"/>
      <c r="K1090" s="7"/>
      <c r="L1090" s="825"/>
      <c r="M1090" s="485"/>
      <c r="N1090" s="826"/>
      <c r="O1090" s="430"/>
      <c r="P1090" s="10"/>
      <c r="Q1090" s="827"/>
    </row>
    <row r="1091" spans="1:17" ht="15.75">
      <c r="A1091" s="936"/>
      <c r="B1091" s="503"/>
      <c r="C1091" s="835"/>
      <c r="D1091" s="635"/>
      <c r="E1091" s="456"/>
      <c r="F1091" s="10"/>
      <c r="G1091" s="11"/>
      <c r="H1091" s="632"/>
      <c r="I1091" s="7"/>
      <c r="J1091" s="7"/>
      <c r="K1091" s="7"/>
      <c r="L1091" s="825"/>
      <c r="M1091" s="485"/>
      <c r="N1091" s="826"/>
      <c r="O1091" s="430"/>
      <c r="P1091" s="10"/>
      <c r="Q1091" s="827"/>
    </row>
    <row r="1092" spans="1:17" ht="15.75">
      <c r="A1092" s="936"/>
      <c r="B1092" s="869"/>
      <c r="C1092" s="835"/>
      <c r="D1092" s="635"/>
      <c r="E1092" s="456"/>
      <c r="F1092" s="10"/>
      <c r="G1092" s="510"/>
      <c r="H1092" s="445"/>
      <c r="I1092" s="7"/>
      <c r="J1092" s="7"/>
      <c r="K1092" s="7"/>
      <c r="L1092" s="825"/>
      <c r="M1092" s="485"/>
      <c r="N1092" s="826"/>
      <c r="O1092" s="430"/>
      <c r="P1092" s="10"/>
      <c r="Q1092" s="827"/>
    </row>
    <row r="1093" spans="1:17" ht="15.75">
      <c r="A1093" s="936"/>
      <c r="B1093" s="838"/>
      <c r="C1093" s="835"/>
      <c r="D1093" s="635"/>
      <c r="E1093" s="456"/>
      <c r="F1093" s="10"/>
      <c r="G1093" s="510"/>
      <c r="H1093" s="445"/>
      <c r="I1093" s="7"/>
      <c r="J1093" s="7"/>
      <c r="K1093" s="7"/>
      <c r="L1093" s="825"/>
      <c r="M1093" s="485"/>
      <c r="N1093" s="826"/>
      <c r="O1093" s="430"/>
      <c r="P1093" s="10"/>
      <c r="Q1093" s="827"/>
    </row>
    <row r="1094" spans="1:17" ht="15.75">
      <c r="A1094" s="936"/>
      <c r="B1094" s="836"/>
      <c r="C1094" s="835"/>
      <c r="D1094" s="635"/>
      <c r="E1094" s="456"/>
      <c r="F1094" s="10"/>
      <c r="G1094" s="510"/>
      <c r="H1094" s="445"/>
      <c r="I1094" s="7"/>
      <c r="J1094" s="7"/>
      <c r="K1094" s="7"/>
      <c r="L1094" s="825"/>
      <c r="M1094" s="485"/>
      <c r="N1094" s="8"/>
      <c r="O1094" s="501"/>
      <c r="P1094" s="10"/>
      <c r="Q1094" s="487"/>
    </row>
    <row r="1095" spans="1:17" ht="15.75">
      <c r="A1095" s="936"/>
      <c r="B1095" s="433"/>
      <c r="C1095" s="835"/>
      <c r="D1095" s="635"/>
      <c r="E1095" s="456"/>
      <c r="F1095" s="10"/>
      <c r="G1095" s="510"/>
      <c r="H1095" s="445"/>
      <c r="I1095" s="7"/>
      <c r="J1095" s="7"/>
      <c r="K1095" s="7"/>
      <c r="L1095" s="825"/>
      <c r="M1095" s="485"/>
      <c r="N1095" s="8"/>
      <c r="O1095" s="501"/>
      <c r="P1095" s="10"/>
      <c r="Q1095" s="487"/>
    </row>
    <row r="1096" spans="1:17" ht="15.75">
      <c r="A1096" s="936"/>
      <c r="B1096" s="769"/>
      <c r="C1096" s="552"/>
      <c r="D1096" s="635"/>
      <c r="E1096" s="430"/>
      <c r="F1096" s="10"/>
      <c r="G1096" s="510"/>
      <c r="H1096" s="445"/>
      <c r="I1096" s="7"/>
      <c r="J1096" s="7"/>
      <c r="K1096" s="7"/>
      <c r="L1096" s="825"/>
      <c r="M1096" s="485"/>
      <c r="N1096" s="8"/>
      <c r="O1096" s="501"/>
      <c r="P1096" s="10"/>
      <c r="Q1096" s="487"/>
    </row>
    <row r="1097" spans="1:17" ht="15.75">
      <c r="A1097" s="936"/>
      <c r="B1097" s="433"/>
      <c r="C1097" s="835"/>
      <c r="D1097" s="635"/>
      <c r="E1097" s="456"/>
      <c r="F1097" s="10"/>
      <c r="G1097" s="510"/>
      <c r="H1097" s="445"/>
      <c r="I1097" s="7"/>
      <c r="J1097" s="7"/>
      <c r="K1097" s="7"/>
      <c r="L1097" s="825"/>
      <c r="M1097" s="485"/>
      <c r="N1097" s="8"/>
      <c r="O1097" s="501"/>
      <c r="P1097" s="10"/>
      <c r="Q1097" s="487"/>
    </row>
    <row r="1098" spans="1:17" ht="15.75">
      <c r="A1098" s="937"/>
      <c r="B1098" s="13"/>
      <c r="C1098" s="14"/>
      <c r="D1098" s="15" t="s">
        <v>46</v>
      </c>
      <c r="E1098" s="16">
        <f>SUM(E1079:E1097)</f>
        <v>1800000</v>
      </c>
      <c r="F1098" s="17"/>
      <c r="G1098" s="383">
        <f>SUM(G1079:G1097)</f>
        <v>0</v>
      </c>
      <c r="H1098" s="17"/>
      <c r="I1098" s="18"/>
      <c r="J1098" s="18"/>
      <c r="K1098" s="18"/>
      <c r="L1098" s="45"/>
      <c r="M1098" s="37"/>
      <c r="N1098" s="938" t="s">
        <v>211</v>
      </c>
      <c r="O1098" s="939"/>
      <c r="P1098" s="940"/>
      <c r="Q1098" s="65" t="e">
        <f>G1098+#REF!</f>
        <v>#REF!</v>
      </c>
    </row>
    <row r="1101" spans="1:17" ht="18">
      <c r="A1101" s="918" t="s">
        <v>48</v>
      </c>
      <c r="B1101" s="918"/>
      <c r="C1101" s="918"/>
      <c r="D1101" s="918"/>
      <c r="E1101" s="918"/>
      <c r="F1101" s="918"/>
      <c r="G1101" s="918"/>
      <c r="H1101" s="918"/>
      <c r="I1101" s="918"/>
      <c r="J1101" s="919"/>
      <c r="K1101" s="919"/>
      <c r="L1101" s="941"/>
      <c r="M1101" s="928" t="s">
        <v>14</v>
      </c>
      <c r="N1101" s="928"/>
      <c r="O1101" s="928"/>
      <c r="P1101" s="928"/>
      <c r="Q1101" s="363"/>
    </row>
    <row r="1102" spans="1:17" ht="15.75">
      <c r="A1102" s="46" t="s">
        <v>2</v>
      </c>
      <c r="B1102" s="77" t="s">
        <v>3</v>
      </c>
      <c r="C1102" s="46" t="s">
        <v>4</v>
      </c>
      <c r="D1102" s="46" t="s">
        <v>5</v>
      </c>
      <c r="E1102" s="78" t="s">
        <v>6</v>
      </c>
      <c r="F1102" s="49" t="s">
        <v>7</v>
      </c>
      <c r="G1102" s="50" t="s">
        <v>8</v>
      </c>
      <c r="H1102" s="49" t="s">
        <v>9</v>
      </c>
      <c r="I1102" s="323" t="s">
        <v>10</v>
      </c>
      <c r="J1102" s="79" t="s">
        <v>11</v>
      </c>
      <c r="K1102" s="52" t="s">
        <v>12</v>
      </c>
      <c r="L1102" s="53" t="s">
        <v>13</v>
      </c>
      <c r="M1102" s="54" t="s">
        <v>3</v>
      </c>
      <c r="N1102" s="54" t="s">
        <v>5</v>
      </c>
      <c r="O1102" s="39" t="s">
        <v>49</v>
      </c>
      <c r="P1102" s="371" t="s">
        <v>7</v>
      </c>
      <c r="Q1102" s="56" t="s">
        <v>50</v>
      </c>
    </row>
    <row r="1103" spans="1:17" ht="15.75">
      <c r="A1103" s="923"/>
      <c r="B1103" s="861" t="s">
        <v>694</v>
      </c>
      <c r="C1103" s="862"/>
      <c r="D1103" s="860" t="s">
        <v>700</v>
      </c>
      <c r="E1103" s="867"/>
      <c r="F1103" s="853"/>
      <c r="G1103" s="855"/>
      <c r="H1103" s="856"/>
      <c r="I1103" s="854" t="s">
        <v>410</v>
      </c>
      <c r="J1103" s="868"/>
      <c r="K1103" s="863"/>
      <c r="L1103" s="427"/>
      <c r="M1103" s="428"/>
      <c r="N1103" s="429"/>
      <c r="O1103" s="430"/>
      <c r="P1103" s="10"/>
      <c r="Q1103" s="431"/>
    </row>
    <row r="1104" spans="1:17" ht="15.75">
      <c r="A1104" s="923"/>
      <c r="B1104" s="865" t="s">
        <v>696</v>
      </c>
      <c r="C1104" s="866"/>
      <c r="D1104" s="852" t="s">
        <v>701</v>
      </c>
      <c r="E1104" s="867"/>
      <c r="F1104" s="853"/>
      <c r="G1104" s="855"/>
      <c r="H1104" s="856"/>
      <c r="I1104" s="854" t="s">
        <v>21</v>
      </c>
      <c r="J1104" s="868"/>
      <c r="K1104" s="863"/>
      <c r="L1104" s="427"/>
      <c r="M1104" s="428"/>
      <c r="N1104" s="429"/>
      <c r="O1104" s="430"/>
      <c r="P1104" s="10"/>
      <c r="Q1104" s="431"/>
    </row>
    <row r="1105" spans="1:17" ht="15.75">
      <c r="A1105" s="923"/>
      <c r="B1105" s="912" t="s">
        <v>69</v>
      </c>
      <c r="C1105" s="913"/>
      <c r="D1105" s="898" t="s">
        <v>702</v>
      </c>
      <c r="E1105" s="899"/>
      <c r="F1105" s="900"/>
      <c r="G1105" s="901"/>
      <c r="H1105" s="902"/>
      <c r="I1105" s="903" t="s">
        <v>410</v>
      </c>
      <c r="J1105" s="914"/>
      <c r="K1105" s="915"/>
      <c r="L1105" s="427"/>
      <c r="M1105" s="428"/>
      <c r="N1105" s="429"/>
      <c r="O1105" s="430"/>
      <c r="P1105" s="10"/>
      <c r="Q1105" s="431"/>
    </row>
    <row r="1106" spans="1:17" ht="15.75">
      <c r="A1106" s="923"/>
      <c r="B1106" s="769"/>
      <c r="C1106" s="552"/>
      <c r="D1106" s="635"/>
      <c r="E1106" s="430"/>
      <c r="F1106" s="10"/>
      <c r="G1106" s="510"/>
      <c r="H1106" s="445"/>
      <c r="I1106" s="7"/>
      <c r="J1106" s="12"/>
      <c r="K1106" s="61"/>
      <c r="L1106" s="427"/>
      <c r="M1106" s="428"/>
      <c r="N1106" s="429"/>
      <c r="O1106" s="430"/>
      <c r="P1106" s="10"/>
      <c r="Q1106" s="431"/>
    </row>
    <row r="1107" spans="1:17" ht="15.75">
      <c r="A1107" s="923"/>
      <c r="B1107" s="769"/>
      <c r="C1107" s="552"/>
      <c r="D1107" s="635"/>
      <c r="E1107" s="430"/>
      <c r="F1107" s="10"/>
      <c r="G1107" s="510"/>
      <c r="H1107" s="445"/>
      <c r="I1107" s="7"/>
      <c r="J1107" s="12"/>
      <c r="K1107" s="61"/>
      <c r="L1107" s="427"/>
      <c r="M1107" s="428"/>
      <c r="N1107" s="429"/>
      <c r="O1107" s="430"/>
      <c r="P1107" s="10"/>
      <c r="Q1107" s="431"/>
    </row>
    <row r="1108" spans="1:17" ht="15.75">
      <c r="A1108" s="923"/>
      <c r="B1108" s="769"/>
      <c r="C1108" s="870"/>
      <c r="D1108" s="635"/>
      <c r="E1108" s="430"/>
      <c r="F1108" s="10"/>
      <c r="G1108" s="510"/>
      <c r="H1108" s="445"/>
      <c r="I1108" s="7"/>
      <c r="J1108" s="12"/>
      <c r="K1108" s="61"/>
      <c r="L1108" s="427"/>
      <c r="M1108" s="428"/>
      <c r="N1108" s="429"/>
      <c r="O1108" s="430"/>
      <c r="P1108" s="10"/>
      <c r="Q1108" s="431"/>
    </row>
    <row r="1109" spans="1:17" ht="15.75">
      <c r="A1109" s="923"/>
      <c r="B1109" s="769"/>
      <c r="C1109" s="552"/>
      <c r="D1109" s="635"/>
      <c r="E1109" s="430"/>
      <c r="F1109" s="10"/>
      <c r="G1109" s="510"/>
      <c r="H1109" s="445"/>
      <c r="I1109" s="7"/>
      <c r="J1109" s="12"/>
      <c r="K1109" s="61"/>
      <c r="L1109" s="427"/>
      <c r="M1109" s="428"/>
      <c r="N1109" s="429"/>
      <c r="O1109" s="430"/>
      <c r="P1109" s="10"/>
      <c r="Q1109" s="431"/>
    </row>
    <row r="1110" spans="1:17" ht="15.75">
      <c r="A1110" s="923"/>
      <c r="B1110" s="769"/>
      <c r="C1110" s="552"/>
      <c r="D1110" s="635"/>
      <c r="E1110" s="430"/>
      <c r="F1110" s="10"/>
      <c r="G1110" s="510"/>
      <c r="H1110" s="445"/>
      <c r="I1110" s="7"/>
      <c r="J1110" s="12"/>
      <c r="K1110" s="61"/>
      <c r="L1110" s="427"/>
      <c r="M1110" s="428"/>
      <c r="N1110" s="429"/>
      <c r="O1110" s="430"/>
      <c r="P1110" s="10"/>
      <c r="Q1110" s="431"/>
    </row>
    <row r="1111" spans="1:17" ht="15.75">
      <c r="A1111" s="923"/>
      <c r="B1111" s="769"/>
      <c r="C1111" s="552"/>
      <c r="D1111" s="635"/>
      <c r="E1111" s="430"/>
      <c r="F1111" s="10"/>
      <c r="G1111" s="510"/>
      <c r="H1111" s="445"/>
      <c r="I1111" s="7"/>
      <c r="J1111" s="12"/>
      <c r="K1111" s="61"/>
      <c r="L1111" s="427"/>
      <c r="M1111" s="428"/>
      <c r="N1111" s="429"/>
      <c r="O1111" s="430"/>
      <c r="P1111" s="10"/>
      <c r="Q1111" s="431"/>
    </row>
    <row r="1112" spans="1:17" ht="15.75">
      <c r="A1112" s="923"/>
      <c r="B1112" s="769"/>
      <c r="C1112" s="552"/>
      <c r="D1112" s="635"/>
      <c r="E1112" s="430"/>
      <c r="F1112" s="10"/>
      <c r="G1112" s="510"/>
      <c r="H1112" s="445"/>
      <c r="I1112" s="7"/>
      <c r="J1112" s="12"/>
      <c r="K1112" s="61"/>
      <c r="L1112" s="427"/>
      <c r="M1112" s="428"/>
      <c r="N1112" s="429"/>
      <c r="O1112" s="430"/>
      <c r="P1112" s="10"/>
      <c r="Q1112" s="431"/>
    </row>
    <row r="1113" spans="1:17" ht="15.75">
      <c r="A1113" s="923"/>
      <c r="B1113" s="769"/>
      <c r="C1113" s="552"/>
      <c r="D1113" s="635"/>
      <c r="E1113" s="430"/>
      <c r="F1113" s="10"/>
      <c r="G1113" s="510"/>
      <c r="H1113" s="445"/>
      <c r="I1113" s="7"/>
      <c r="J1113" s="12"/>
      <c r="K1113" s="61"/>
      <c r="L1113" s="427"/>
      <c r="M1113" s="428"/>
      <c r="N1113" s="429"/>
      <c r="O1113" s="430"/>
      <c r="P1113" s="10"/>
      <c r="Q1113" s="431"/>
    </row>
    <row r="1114" spans="1:17" ht="15.75">
      <c r="A1114" s="923"/>
      <c r="B1114" s="769"/>
      <c r="C1114" s="552"/>
      <c r="D1114" s="635"/>
      <c r="E1114" s="430"/>
      <c r="F1114" s="10"/>
      <c r="G1114" s="510"/>
      <c r="H1114" s="445"/>
      <c r="I1114" s="7"/>
      <c r="J1114" s="12"/>
      <c r="K1114" s="61"/>
      <c r="L1114" s="427"/>
      <c r="M1114" s="428"/>
      <c r="N1114" s="429"/>
      <c r="O1114" s="430"/>
      <c r="P1114" s="10"/>
      <c r="Q1114" s="431"/>
    </row>
    <row r="1115" spans="1:17" ht="15.75">
      <c r="A1115" s="923"/>
      <c r="B1115" s="836"/>
      <c r="C1115" s="835"/>
      <c r="D1115" s="635"/>
      <c r="E1115" s="430"/>
      <c r="F1115" s="10"/>
      <c r="G1115" s="510"/>
      <c r="H1115" s="445"/>
      <c r="I1115" s="7"/>
      <c r="J1115" s="12"/>
      <c r="K1115" s="61"/>
      <c r="L1115" s="427"/>
      <c r="M1115" s="428"/>
      <c r="N1115" s="429"/>
      <c r="O1115" s="430"/>
      <c r="P1115" s="10"/>
      <c r="Q1115" s="431"/>
    </row>
    <row r="1116" spans="1:17" ht="15.75">
      <c r="A1116" s="923"/>
      <c r="B1116" s="769"/>
      <c r="C1116" s="552"/>
      <c r="D1116" s="635"/>
      <c r="E1116" s="430"/>
      <c r="F1116" s="10"/>
      <c r="G1116" s="510"/>
      <c r="H1116" s="445"/>
      <c r="I1116" s="7"/>
      <c r="J1116" s="12"/>
      <c r="K1116" s="61"/>
      <c r="L1116" s="427"/>
      <c r="M1116" s="428"/>
      <c r="N1116" s="429"/>
      <c r="O1116" s="430"/>
      <c r="P1116" s="10"/>
      <c r="Q1116" s="431"/>
    </row>
    <row r="1117" spans="1:17" ht="15.75">
      <c r="A1117" s="923"/>
      <c r="B1117" s="769"/>
      <c r="C1117" s="552"/>
      <c r="D1117" s="635"/>
      <c r="E1117" s="430"/>
      <c r="F1117" s="10"/>
      <c r="G1117" s="510"/>
      <c r="H1117" s="445"/>
      <c r="I1117" s="7"/>
      <c r="J1117" s="12"/>
      <c r="K1117" s="61"/>
      <c r="L1117" s="427"/>
      <c r="M1117" s="428"/>
      <c r="N1117" s="429"/>
      <c r="O1117" s="430"/>
      <c r="P1117" s="10"/>
      <c r="Q1117" s="431"/>
    </row>
    <row r="1118" spans="1:17" ht="15.75">
      <c r="A1118" s="923"/>
      <c r="B1118" s="769"/>
      <c r="C1118" s="552"/>
      <c r="D1118" s="635"/>
      <c r="E1118" s="430"/>
      <c r="F1118" s="10"/>
      <c r="G1118" s="510"/>
      <c r="H1118" s="445"/>
      <c r="I1118" s="7"/>
      <c r="J1118" s="12"/>
      <c r="K1118" s="61"/>
      <c r="L1118" s="427"/>
      <c r="M1118" s="428"/>
      <c r="N1118" s="429"/>
      <c r="O1118" s="430"/>
      <c r="P1118" s="10"/>
      <c r="Q1118" s="431"/>
    </row>
    <row r="1119" spans="1:17" ht="15.75">
      <c r="A1119" s="923"/>
      <c r="B1119" s="769"/>
      <c r="C1119" s="552"/>
      <c r="D1119" s="635"/>
      <c r="E1119" s="430"/>
      <c r="F1119" s="10"/>
      <c r="G1119" s="510"/>
      <c r="H1119" s="445"/>
      <c r="I1119" s="7"/>
      <c r="J1119" s="12"/>
      <c r="K1119" s="61"/>
      <c r="L1119" s="427"/>
      <c r="M1119" s="428"/>
      <c r="N1119" s="429"/>
      <c r="O1119" s="430"/>
      <c r="P1119" s="10"/>
      <c r="Q1119" s="431"/>
    </row>
    <row r="1120" spans="1:17" ht="15.75">
      <c r="A1120" s="923"/>
      <c r="B1120" s="769"/>
      <c r="C1120" s="552"/>
      <c r="D1120" s="635"/>
      <c r="E1120" s="430"/>
      <c r="F1120" s="10"/>
      <c r="G1120" s="510"/>
      <c r="H1120" s="445"/>
      <c r="I1120" s="7"/>
      <c r="J1120" s="12"/>
      <c r="K1120" s="64"/>
      <c r="L1120" s="528"/>
      <c r="M1120" s="428"/>
      <c r="N1120" s="429"/>
      <c r="O1120" s="430"/>
      <c r="P1120" s="10"/>
      <c r="Q1120" s="431"/>
    </row>
    <row r="1121" spans="1:17" ht="15.75">
      <c r="A1121" s="923"/>
      <c r="B1121" s="506"/>
      <c r="C1121" s="634"/>
      <c r="D1121" s="8"/>
      <c r="E1121" s="501"/>
      <c r="F1121" s="439"/>
      <c r="G1121" s="504"/>
      <c r="H1121" s="505"/>
      <c r="I1121" s="12"/>
      <c r="J1121" s="12"/>
      <c r="K1121" s="64"/>
      <c r="L1121" s="528"/>
      <c r="M1121" s="428"/>
      <c r="N1121" s="429"/>
      <c r="O1121" s="430"/>
      <c r="P1121" s="10"/>
      <c r="Q1121" s="431"/>
    </row>
    <row r="1122" spans="1:17" ht="15.75">
      <c r="A1122" s="923"/>
      <c r="B1122" s="503"/>
      <c r="C1122" s="10"/>
      <c r="D1122" s="8"/>
      <c r="E1122" s="501"/>
      <c r="F1122" s="10"/>
      <c r="G1122" s="507"/>
      <c r="H1122" s="505"/>
      <c r="I1122" s="12"/>
      <c r="J1122" s="12"/>
      <c r="K1122" s="61"/>
      <c r="L1122" s="427"/>
      <c r="M1122" s="428"/>
      <c r="N1122" s="496"/>
      <c r="O1122" s="497"/>
      <c r="P1122" s="498"/>
      <c r="Q1122" s="431"/>
    </row>
    <row r="1123" spans="1:17" ht="15.75">
      <c r="A1123" s="924"/>
      <c r="B1123" s="13"/>
      <c r="C1123" s="14"/>
      <c r="D1123" s="15" t="s">
        <v>46</v>
      </c>
      <c r="E1123" s="16">
        <f>SUM(E1103:E1122)</f>
        <v>0</v>
      </c>
      <c r="F1123" s="17"/>
      <c r="G1123" s="383">
        <f>SUM(G1103:G1122)</f>
        <v>0</v>
      </c>
      <c r="H1123" s="17"/>
      <c r="I1123" s="18"/>
      <c r="J1123" s="18"/>
      <c r="K1123" s="18"/>
      <c r="L1123" s="19"/>
      <c r="M1123" s="480"/>
      <c r="N1123" s="942" t="s">
        <v>70</v>
      </c>
      <c r="O1123" s="942"/>
      <c r="P1123" s="942"/>
      <c r="Q1123" s="481">
        <f>G1123</f>
        <v>0</v>
      </c>
    </row>
    <row r="1128" spans="1:17" ht="18">
      <c r="A1128" s="918" t="s">
        <v>671</v>
      </c>
      <c r="B1128" s="918"/>
      <c r="C1128" s="918"/>
      <c r="D1128" s="918"/>
      <c r="E1128" s="918"/>
      <c r="F1128" s="918"/>
      <c r="G1128" s="918"/>
      <c r="H1128" s="918"/>
      <c r="I1128" s="918"/>
      <c r="J1128" s="918"/>
      <c r="K1128" s="919"/>
      <c r="L1128" s="918"/>
      <c r="M1128" s="920" t="s">
        <v>14</v>
      </c>
      <c r="N1128" s="921"/>
      <c r="O1128" s="921"/>
      <c r="P1128" s="922"/>
      <c r="Q1128" s="122"/>
    </row>
    <row r="1129" spans="1:17" ht="18">
      <c r="A1129" s="637" t="s">
        <v>2</v>
      </c>
      <c r="B1129" s="638" t="s">
        <v>3</v>
      </c>
      <c r="C1129" s="639" t="s">
        <v>4</v>
      </c>
      <c r="D1129" s="638" t="s">
        <v>5</v>
      </c>
      <c r="E1129" s="640" t="s">
        <v>6</v>
      </c>
      <c r="F1129" s="640" t="s">
        <v>7</v>
      </c>
      <c r="G1129" s="640" t="s">
        <v>8</v>
      </c>
      <c r="H1129" s="640" t="s">
        <v>9</v>
      </c>
      <c r="I1129" s="640" t="s">
        <v>10</v>
      </c>
      <c r="J1129" s="641" t="s">
        <v>11</v>
      </c>
      <c r="K1129" s="640" t="s">
        <v>12</v>
      </c>
      <c r="L1129" s="559"/>
      <c r="M1129" s="555"/>
      <c r="N1129" s="556"/>
      <c r="O1129" s="556"/>
      <c r="P1129" s="557"/>
      <c r="Q1129" s="431"/>
    </row>
    <row r="1130" spans="1:17" ht="15.75">
      <c r="A1130" s="923"/>
      <c r="B1130" s="905" t="s">
        <v>69</v>
      </c>
      <c r="C1130" s="897"/>
      <c r="D1130" s="898" t="s">
        <v>703</v>
      </c>
      <c r="E1130" s="899"/>
      <c r="F1130" s="900"/>
      <c r="G1130" s="901"/>
      <c r="H1130" s="902"/>
      <c r="I1130" s="903" t="s">
        <v>410</v>
      </c>
      <c r="J1130" s="7"/>
      <c r="K1130" s="7"/>
      <c r="L1130" s="446"/>
      <c r="M1130" s="428"/>
      <c r="N1130" s="448"/>
      <c r="O1130" s="430"/>
      <c r="P1130" s="10"/>
      <c r="Q1130" s="431"/>
    </row>
    <row r="1131" spans="1:17" ht="15.75">
      <c r="A1131" s="923"/>
      <c r="B1131" s="896" t="s">
        <v>69</v>
      </c>
      <c r="C1131" s="897"/>
      <c r="D1131" s="898" t="s">
        <v>704</v>
      </c>
      <c r="E1131" s="899"/>
      <c r="F1131" s="900"/>
      <c r="G1131" s="901"/>
      <c r="H1131" s="902"/>
      <c r="I1131" s="903" t="s">
        <v>18</v>
      </c>
      <c r="J1131" s="7"/>
      <c r="K1131" s="7"/>
      <c r="L1131" s="446"/>
      <c r="M1131" s="428"/>
      <c r="N1131" s="448"/>
      <c r="O1131" s="430"/>
      <c r="P1131" s="10"/>
      <c r="Q1131" s="431"/>
    </row>
    <row r="1132" spans="1:17" ht="15.75">
      <c r="A1132" s="923"/>
      <c r="B1132" s="896" t="s">
        <v>69</v>
      </c>
      <c r="C1132" s="904"/>
      <c r="D1132" s="898" t="s">
        <v>705</v>
      </c>
      <c r="E1132" s="899"/>
      <c r="F1132" s="900"/>
      <c r="G1132" s="901"/>
      <c r="H1132" s="902"/>
      <c r="I1132" s="903" t="s">
        <v>18</v>
      </c>
      <c r="J1132" s="7"/>
      <c r="K1132" s="7"/>
      <c r="L1132" s="446"/>
      <c r="M1132" s="428"/>
      <c r="N1132" s="448"/>
      <c r="O1132" s="430"/>
      <c r="P1132" s="10"/>
      <c r="Q1132" s="431"/>
    </row>
    <row r="1133" spans="1:17" ht="15.75">
      <c r="A1133" s="923"/>
      <c r="B1133" s="896" t="s">
        <v>698</v>
      </c>
      <c r="C1133" s="904"/>
      <c r="D1133" s="898" t="s">
        <v>706</v>
      </c>
      <c r="E1133" s="899"/>
      <c r="F1133" s="900"/>
      <c r="G1133" s="901"/>
      <c r="H1133" s="902"/>
      <c r="I1133" s="903" t="s">
        <v>21</v>
      </c>
      <c r="J1133" s="7"/>
      <c r="K1133" s="7"/>
      <c r="L1133" s="446"/>
      <c r="M1133" s="428"/>
      <c r="N1133" s="448"/>
      <c r="O1133" s="430"/>
      <c r="P1133" s="10"/>
      <c r="Q1133" s="431"/>
    </row>
    <row r="1134" spans="1:17" ht="15.75">
      <c r="A1134" s="923"/>
      <c r="B1134" s="335" t="s">
        <v>40</v>
      </c>
      <c r="C1134" s="328"/>
      <c r="D1134" s="336" t="s">
        <v>707</v>
      </c>
      <c r="E1134" s="255"/>
      <c r="F1134" s="254"/>
      <c r="G1134" s="266"/>
      <c r="H1134" s="291"/>
      <c r="I1134" s="213" t="s">
        <v>478</v>
      </c>
      <c r="J1134" s="7"/>
      <c r="K1134" s="7"/>
      <c r="L1134" s="446"/>
      <c r="M1134" s="428"/>
      <c r="N1134" s="448"/>
      <c r="O1134" s="430"/>
      <c r="P1134" s="10"/>
      <c r="Q1134" s="431"/>
    </row>
    <row r="1135" spans="1:17" ht="15.75">
      <c r="A1135" s="923"/>
      <c r="B1135" s="836"/>
      <c r="C1135" s="835"/>
      <c r="D1135" s="635"/>
      <c r="E1135" s="430"/>
      <c r="F1135" s="10"/>
      <c r="G1135" s="510"/>
      <c r="H1135" s="445"/>
      <c r="I1135" s="7"/>
      <c r="J1135" s="7"/>
      <c r="K1135" s="7"/>
      <c r="L1135" s="446"/>
      <c r="M1135" s="428"/>
      <c r="N1135" s="448"/>
      <c r="O1135" s="430"/>
      <c r="P1135" s="10"/>
      <c r="Q1135" s="431"/>
    </row>
    <row r="1136" spans="1:17" ht="15.75">
      <c r="A1136" s="923"/>
      <c r="B1136" s="836"/>
      <c r="C1136" s="835"/>
      <c r="D1136" s="635"/>
      <c r="E1136" s="430"/>
      <c r="F1136" s="10"/>
      <c r="G1136" s="510"/>
      <c r="H1136" s="445"/>
      <c r="I1136" s="7"/>
      <c r="J1136" s="7"/>
      <c r="K1136" s="7"/>
      <c r="L1136" s="446"/>
      <c r="M1136" s="428"/>
      <c r="N1136" s="448"/>
      <c r="O1136" s="430"/>
      <c r="P1136" s="10"/>
      <c r="Q1136" s="431"/>
    </row>
    <row r="1137" spans="1:17" ht="15.75">
      <c r="A1137" s="923"/>
      <c r="B1137" s="766"/>
      <c r="C1137" s="634"/>
      <c r="D1137" s="635"/>
      <c r="E1137" s="430"/>
      <c r="F1137" s="10"/>
      <c r="G1137" s="510"/>
      <c r="H1137" s="445"/>
      <c r="I1137" s="7"/>
      <c r="J1137" s="7"/>
      <c r="K1137" s="7"/>
      <c r="L1137" s="446"/>
      <c r="M1137" s="428"/>
      <c r="N1137" s="448"/>
      <c r="O1137" s="430"/>
      <c r="P1137" s="10"/>
      <c r="Q1137" s="431"/>
    </row>
    <row r="1138" spans="1:17" ht="15.75">
      <c r="A1138" s="923"/>
      <c r="B1138" s="766"/>
      <c r="C1138" s="634"/>
      <c r="D1138" s="635"/>
      <c r="E1138" s="430"/>
      <c r="F1138" s="10"/>
      <c r="G1138" s="510"/>
      <c r="H1138" s="445"/>
      <c r="I1138" s="7"/>
      <c r="J1138" s="7"/>
      <c r="K1138" s="7"/>
      <c r="L1138" s="446"/>
      <c r="M1138" s="428"/>
      <c r="N1138" s="448"/>
      <c r="O1138" s="430"/>
      <c r="P1138" s="10"/>
      <c r="Q1138" s="431"/>
    </row>
    <row r="1139" spans="1:17" ht="15.75">
      <c r="A1139" s="923"/>
      <c r="B1139" s="766"/>
      <c r="C1139" s="634"/>
      <c r="D1139" s="635"/>
      <c r="E1139" s="430"/>
      <c r="F1139" s="10"/>
      <c r="G1139" s="510"/>
      <c r="H1139" s="445"/>
      <c r="I1139" s="7"/>
      <c r="J1139" s="7"/>
      <c r="K1139" s="7"/>
      <c r="L1139" s="446"/>
      <c r="M1139" s="428"/>
      <c r="N1139" s="448"/>
      <c r="O1139" s="430"/>
      <c r="P1139" s="10"/>
      <c r="Q1139" s="431"/>
    </row>
    <row r="1140" spans="1:17" ht="15.75">
      <c r="A1140" s="923"/>
      <c r="B1140" s="766"/>
      <c r="C1140" s="634"/>
      <c r="D1140" s="635"/>
      <c r="E1140" s="430"/>
      <c r="F1140" s="10"/>
      <c r="G1140" s="510"/>
      <c r="H1140" s="445"/>
      <c r="I1140" s="7"/>
      <c r="J1140" s="7"/>
      <c r="K1140" s="7"/>
      <c r="L1140" s="446"/>
      <c r="M1140" s="428"/>
      <c r="N1140" s="448"/>
      <c r="O1140" s="430"/>
      <c r="P1140" s="10"/>
      <c r="Q1140" s="431"/>
    </row>
    <row r="1141" spans="1:17" ht="15.75">
      <c r="A1141" s="923"/>
      <c r="B1141" s="766"/>
      <c r="C1141" s="634"/>
      <c r="D1141" s="635"/>
      <c r="E1141" s="430"/>
      <c r="F1141" s="10"/>
      <c r="G1141" s="510"/>
      <c r="H1141" s="445"/>
      <c r="I1141" s="7"/>
      <c r="J1141" s="7"/>
      <c r="K1141" s="7"/>
      <c r="L1141" s="446"/>
      <c r="M1141" s="428"/>
      <c r="N1141" s="448"/>
      <c r="O1141" s="430"/>
      <c r="P1141" s="10"/>
      <c r="Q1141" s="431"/>
    </row>
    <row r="1142" spans="1:17" ht="15.75">
      <c r="A1142" s="923"/>
      <c r="B1142" s="766"/>
      <c r="C1142" s="634"/>
      <c r="D1142" s="635"/>
      <c r="E1142" s="430"/>
      <c r="F1142" s="10"/>
      <c r="G1142" s="510"/>
      <c r="H1142" s="445"/>
      <c r="I1142" s="7"/>
      <c r="J1142" s="7"/>
      <c r="K1142" s="7"/>
      <c r="L1142" s="446"/>
      <c r="M1142" s="428"/>
      <c r="N1142" s="448"/>
      <c r="O1142" s="430"/>
      <c r="P1142" s="10"/>
      <c r="Q1142" s="431"/>
    </row>
    <row r="1143" spans="1:17" ht="15.75">
      <c r="A1143" s="923"/>
      <c r="B1143" s="766"/>
      <c r="C1143" s="502"/>
      <c r="D1143" s="635"/>
      <c r="E1143" s="430"/>
      <c r="F1143" s="10"/>
      <c r="G1143" s="510"/>
      <c r="H1143" s="445"/>
      <c r="I1143" s="7"/>
      <c r="J1143" s="7"/>
      <c r="K1143" s="7"/>
      <c r="L1143" s="446"/>
      <c r="M1143" s="428"/>
      <c r="N1143" s="448"/>
      <c r="O1143" s="430"/>
      <c r="P1143" s="10"/>
      <c r="Q1143" s="431"/>
    </row>
    <row r="1144" spans="1:17" ht="15.75">
      <c r="A1144" s="923"/>
      <c r="B1144" s="766"/>
      <c r="C1144" s="634"/>
      <c r="D1144" s="635"/>
      <c r="E1144" s="430"/>
      <c r="F1144" s="10"/>
      <c r="G1144" s="510"/>
      <c r="H1144" s="445"/>
      <c r="I1144" s="7"/>
      <c r="J1144" s="7"/>
      <c r="K1144" s="7"/>
      <c r="L1144" s="446"/>
      <c r="M1144" s="428"/>
      <c r="N1144" s="448"/>
      <c r="O1144" s="430"/>
      <c r="P1144" s="10"/>
      <c r="Q1144" s="431"/>
    </row>
    <row r="1145" spans="1:17" ht="15.75">
      <c r="A1145" s="923"/>
      <c r="B1145" s="766"/>
      <c r="C1145" s="634"/>
      <c r="D1145" s="635"/>
      <c r="E1145" s="430"/>
      <c r="F1145" s="10"/>
      <c r="G1145" s="510"/>
      <c r="H1145" s="445"/>
      <c r="I1145" s="7"/>
      <c r="J1145" s="7"/>
      <c r="K1145" s="7"/>
      <c r="L1145" s="446"/>
      <c r="M1145" s="428"/>
      <c r="N1145" s="448"/>
      <c r="O1145" s="430"/>
      <c r="P1145" s="10"/>
      <c r="Q1145" s="431"/>
    </row>
    <row r="1146" spans="1:17" ht="15.75">
      <c r="A1146" s="923"/>
      <c r="B1146" s="766"/>
      <c r="C1146" s="634"/>
      <c r="D1146" s="635"/>
      <c r="E1146" s="430"/>
      <c r="F1146" s="10"/>
      <c r="G1146" s="510"/>
      <c r="H1146" s="445"/>
      <c r="I1146" s="7"/>
      <c r="J1146" s="7"/>
      <c r="K1146" s="7"/>
      <c r="L1146" s="446"/>
      <c r="M1146" s="428"/>
      <c r="N1146" s="448"/>
      <c r="O1146" s="430"/>
      <c r="P1146" s="10"/>
      <c r="Q1146" s="431"/>
    </row>
    <row r="1147" spans="1:17" ht="15.75">
      <c r="A1147" s="923"/>
      <c r="B1147" s="766"/>
      <c r="C1147" s="634"/>
      <c r="D1147" s="635"/>
      <c r="E1147" s="430"/>
      <c r="F1147" s="10"/>
      <c r="G1147" s="510"/>
      <c r="H1147" s="445"/>
      <c r="I1147" s="7"/>
      <c r="J1147" s="7"/>
      <c r="K1147" s="7"/>
      <c r="L1147" s="446"/>
      <c r="M1147" s="428"/>
      <c r="N1147" s="448"/>
      <c r="O1147" s="430"/>
      <c r="P1147" s="10"/>
      <c r="Q1147" s="431"/>
    </row>
    <row r="1148" spans="1:17" ht="15.75">
      <c r="A1148" s="923"/>
      <c r="B1148" s="766"/>
      <c r="C1148" s="634"/>
      <c r="D1148" s="635"/>
      <c r="E1148" s="430"/>
      <c r="F1148" s="10"/>
      <c r="G1148" s="510"/>
      <c r="H1148" s="445"/>
      <c r="I1148" s="7"/>
      <c r="J1148" s="7"/>
      <c r="K1148" s="7"/>
      <c r="L1148" s="446"/>
      <c r="M1148" s="428"/>
      <c r="N1148" s="448"/>
      <c r="O1148" s="430"/>
      <c r="P1148" s="10"/>
      <c r="Q1148" s="431"/>
    </row>
    <row r="1149" spans="1:17" ht="15.75">
      <c r="A1149" s="923"/>
      <c r="B1149" s="766"/>
      <c r="C1149" s="634"/>
      <c r="D1149" s="635"/>
      <c r="E1149" s="430"/>
      <c r="F1149" s="10"/>
      <c r="G1149" s="510"/>
      <c r="H1149" s="445"/>
      <c r="I1149" s="7"/>
      <c r="J1149" s="7"/>
      <c r="K1149" s="7"/>
      <c r="L1149" s="446"/>
      <c r="M1149" s="428"/>
      <c r="N1149" s="448"/>
      <c r="O1149" s="430"/>
      <c r="P1149" s="10"/>
      <c r="Q1149" s="431"/>
    </row>
    <row r="1150" spans="1:17" ht="15.75">
      <c r="A1150" s="923"/>
      <c r="B1150" s="766"/>
      <c r="C1150" s="634"/>
      <c r="D1150" s="635"/>
      <c r="E1150" s="430"/>
      <c r="F1150" s="10"/>
      <c r="G1150" s="510"/>
      <c r="H1150" s="445"/>
      <c r="I1150" s="7"/>
      <c r="J1150" s="7"/>
      <c r="K1150" s="7"/>
      <c r="L1150" s="446"/>
      <c r="M1150" s="428"/>
      <c r="N1150" s="448"/>
      <c r="O1150" s="430"/>
      <c r="P1150" s="10"/>
      <c r="Q1150" s="431"/>
    </row>
    <row r="1151" spans="1:17" ht="15.75">
      <c r="A1151" s="924"/>
      <c r="B1151" s="610" t="s">
        <v>47</v>
      </c>
      <c r="C1151" s="573"/>
      <c r="D1151" s="574"/>
      <c r="E1151" s="575">
        <f>SUM(E1130:E1150)</f>
        <v>0</v>
      </c>
      <c r="F1151" s="576"/>
      <c r="G1151" s="23"/>
      <c r="H1151" s="576"/>
      <c r="I1151" s="577"/>
      <c r="J1151" s="578"/>
      <c r="K1151" s="110"/>
      <c r="L1151" s="111"/>
      <c r="M1151" s="112"/>
      <c r="N1151" s="925" t="s">
        <v>70</v>
      </c>
      <c r="O1151" s="926"/>
      <c r="P1151" s="926"/>
      <c r="Q1151" s="65">
        <f>G1151</f>
        <v>0</v>
      </c>
    </row>
    <row r="1154" spans="1:17" ht="18">
      <c r="A1154" s="918" t="s">
        <v>107</v>
      </c>
      <c r="B1154" s="927"/>
      <c r="C1154" s="927"/>
      <c r="D1154" s="927"/>
      <c r="E1154" s="927"/>
      <c r="F1154" s="927"/>
      <c r="G1154" s="927"/>
      <c r="H1154" s="927"/>
      <c r="I1154" s="927"/>
      <c r="J1154" s="927"/>
      <c r="K1154" s="927"/>
      <c r="L1154" s="927"/>
      <c r="M1154" s="928" t="s">
        <v>14</v>
      </c>
      <c r="N1154" s="928"/>
      <c r="O1154" s="928"/>
      <c r="P1154" s="928"/>
      <c r="Q1154" s="326"/>
    </row>
    <row r="1155" spans="1:17" ht="15.75">
      <c r="A1155" s="46" t="s">
        <v>2</v>
      </c>
      <c r="B1155" s="77" t="s">
        <v>3</v>
      </c>
      <c r="C1155" s="46" t="s">
        <v>4</v>
      </c>
      <c r="D1155" s="46" t="s">
        <v>5</v>
      </c>
      <c r="E1155" s="48" t="s">
        <v>6</v>
      </c>
      <c r="F1155" s="46" t="s">
        <v>7</v>
      </c>
      <c r="G1155" s="327" t="s">
        <v>8</v>
      </c>
      <c r="H1155" s="46" t="s">
        <v>9</v>
      </c>
      <c r="I1155" s="52" t="s">
        <v>10</v>
      </c>
      <c r="J1155" s="52" t="s">
        <v>11</v>
      </c>
      <c r="K1155" s="52" t="s">
        <v>12</v>
      </c>
      <c r="L1155" s="46" t="s">
        <v>13</v>
      </c>
      <c r="M1155" s="46" t="s">
        <v>3</v>
      </c>
      <c r="N1155" s="46" t="s">
        <v>5</v>
      </c>
      <c r="O1155" s="46" t="s">
        <v>49</v>
      </c>
      <c r="P1155" s="46" t="s">
        <v>7</v>
      </c>
      <c r="Q1155" s="56" t="s">
        <v>50</v>
      </c>
    </row>
    <row r="1156" spans="1:17" ht="15.75">
      <c r="A1156" s="929"/>
      <c r="B1156" s="630"/>
      <c r="C1156" s="634"/>
      <c r="D1156" s="631"/>
      <c r="E1156" s="456"/>
      <c r="F1156" s="457"/>
      <c r="G1156" s="458"/>
      <c r="H1156" s="56"/>
      <c r="I1156" s="9"/>
      <c r="J1156" s="9"/>
      <c r="K1156" s="459"/>
      <c r="L1156" s="460"/>
      <c r="M1156" s="88"/>
      <c r="N1156" s="154"/>
      <c r="O1156" s="153"/>
      <c r="P1156" s="43"/>
      <c r="Q1156" s="122"/>
    </row>
    <row r="1157" spans="1:17" ht="15.75">
      <c r="A1157" s="929"/>
      <c r="B1157" s="769"/>
      <c r="C1157" s="634"/>
      <c r="D1157" s="871"/>
      <c r="E1157" s="872"/>
      <c r="F1157" s="457"/>
      <c r="G1157" s="458"/>
      <c r="H1157" s="56"/>
      <c r="I1157" s="9"/>
      <c r="J1157" s="9"/>
      <c r="K1157" s="459"/>
      <c r="L1157" s="460"/>
      <c r="M1157" s="88"/>
      <c r="N1157" s="154"/>
      <c r="O1157" s="153"/>
      <c r="P1157" s="43"/>
      <c r="Q1157" s="122"/>
    </row>
    <row r="1158" spans="1:17" ht="15.75">
      <c r="A1158" s="929"/>
      <c r="B1158" s="769"/>
      <c r="C1158" s="835"/>
      <c r="D1158" s="871"/>
      <c r="E1158" s="872"/>
      <c r="F1158" s="457"/>
      <c r="G1158" s="458"/>
      <c r="H1158" s="56"/>
      <c r="I1158" s="9"/>
      <c r="J1158" s="9"/>
      <c r="K1158" s="459"/>
      <c r="L1158" s="460"/>
      <c r="M1158" s="88"/>
      <c r="N1158" s="154"/>
      <c r="O1158" s="153"/>
      <c r="P1158" s="43"/>
      <c r="Q1158" s="122"/>
    </row>
    <row r="1159" spans="1:17" ht="15.75">
      <c r="A1159" s="929"/>
      <c r="B1159" s="769"/>
      <c r="C1159" s="835"/>
      <c r="D1159" s="871"/>
      <c r="E1159" s="872"/>
      <c r="F1159" s="457"/>
      <c r="G1159" s="458"/>
      <c r="H1159" s="56"/>
      <c r="I1159" s="9"/>
      <c r="J1159" s="9"/>
      <c r="K1159" s="459"/>
      <c r="L1159" s="460"/>
      <c r="M1159" s="88"/>
      <c r="N1159" s="154"/>
      <c r="O1159" s="153"/>
      <c r="P1159" s="43"/>
      <c r="Q1159" s="122"/>
    </row>
    <row r="1160" spans="1:17" ht="15.75">
      <c r="A1160" s="929"/>
      <c r="B1160" s="769"/>
      <c r="C1160" s="835"/>
      <c r="D1160" s="871"/>
      <c r="E1160" s="872"/>
      <c r="F1160" s="457"/>
      <c r="G1160" s="458"/>
      <c r="H1160" s="56"/>
      <c r="I1160" s="9"/>
      <c r="J1160" s="9"/>
      <c r="K1160" s="459"/>
      <c r="L1160" s="460"/>
      <c r="M1160" s="88"/>
      <c r="N1160" s="154"/>
      <c r="O1160" s="153"/>
      <c r="P1160" s="43"/>
      <c r="Q1160" s="122"/>
    </row>
    <row r="1161" spans="1:17" ht="15.75">
      <c r="A1161" s="929"/>
      <c r="B1161" s="836"/>
      <c r="C1161" s="835"/>
      <c r="D1161" s="635"/>
      <c r="E1161" s="430"/>
      <c r="F1161" s="10"/>
      <c r="G1161" s="510"/>
      <c r="H1161" s="445"/>
      <c r="I1161" s="7"/>
      <c r="J1161" s="7"/>
      <c r="K1161" s="459"/>
      <c r="L1161" s="460"/>
      <c r="M1161" s="88"/>
      <c r="N1161" s="154"/>
      <c r="O1161" s="153"/>
      <c r="P1161" s="43"/>
      <c r="Q1161" s="122"/>
    </row>
    <row r="1162" spans="1:17" ht="15.75">
      <c r="A1162" s="929"/>
      <c r="B1162" s="836"/>
      <c r="C1162" s="835"/>
      <c r="D1162" s="635"/>
      <c r="E1162" s="430"/>
      <c r="F1162" s="10"/>
      <c r="G1162" s="510"/>
      <c r="H1162" s="445"/>
      <c r="I1162" s="7"/>
      <c r="J1162" s="7"/>
      <c r="K1162" s="459"/>
      <c r="L1162" s="460"/>
      <c r="M1162" s="88"/>
      <c r="N1162" s="154"/>
      <c r="O1162" s="153"/>
      <c r="P1162" s="43"/>
      <c r="Q1162" s="122"/>
    </row>
    <row r="1163" spans="1:17" ht="15.75">
      <c r="A1163" s="929"/>
      <c r="B1163" s="433"/>
      <c r="C1163" s="10"/>
      <c r="D1163" s="8"/>
      <c r="E1163" s="430"/>
      <c r="F1163" s="457"/>
      <c r="G1163" s="458"/>
      <c r="H1163" s="56"/>
      <c r="I1163" s="9"/>
      <c r="J1163" s="9"/>
      <c r="K1163" s="459"/>
      <c r="L1163" s="460"/>
      <c r="M1163" s="88"/>
      <c r="N1163" s="154"/>
      <c r="O1163" s="153"/>
      <c r="P1163" s="43"/>
      <c r="Q1163" s="122"/>
    </row>
    <row r="1164" spans="1:17" ht="15.75">
      <c r="A1164" s="929"/>
      <c r="B1164" s="433"/>
      <c r="C1164" s="10"/>
      <c r="D1164" s="8"/>
      <c r="E1164" s="430"/>
      <c r="F1164" s="457"/>
      <c r="G1164" s="458"/>
      <c r="H1164" s="56"/>
      <c r="I1164" s="9"/>
      <c r="J1164" s="9"/>
      <c r="K1164" s="459"/>
      <c r="L1164" s="460"/>
      <c r="M1164" s="88"/>
      <c r="N1164" s="154"/>
      <c r="O1164" s="153"/>
      <c r="P1164" s="43"/>
      <c r="Q1164" s="122"/>
    </row>
    <row r="1165" spans="1:17" ht="15.75">
      <c r="A1165" s="929"/>
      <c r="B1165" s="433"/>
      <c r="C1165" s="10"/>
      <c r="D1165" s="8"/>
      <c r="E1165" s="430"/>
      <c r="F1165" s="457"/>
      <c r="G1165" s="458"/>
      <c r="H1165" s="56"/>
      <c r="I1165" s="9"/>
      <c r="J1165" s="9"/>
      <c r="K1165" s="459"/>
      <c r="L1165" s="460"/>
      <c r="M1165" s="88"/>
      <c r="N1165" s="154"/>
      <c r="O1165" s="153"/>
      <c r="P1165" s="43"/>
      <c r="Q1165" s="122"/>
    </row>
    <row r="1166" spans="1:17" ht="15.75">
      <c r="A1166" s="929"/>
      <c r="B1166" s="433"/>
      <c r="C1166" s="10"/>
      <c r="D1166" s="8"/>
      <c r="E1166" s="430"/>
      <c r="F1166" s="457"/>
      <c r="G1166" s="458"/>
      <c r="H1166" s="56"/>
      <c r="I1166" s="9"/>
      <c r="J1166" s="9"/>
      <c r="K1166" s="459"/>
      <c r="L1166" s="460"/>
      <c r="M1166" s="88"/>
      <c r="N1166" s="154"/>
      <c r="O1166" s="153"/>
      <c r="P1166" s="43"/>
      <c r="Q1166" s="122"/>
    </row>
    <row r="1167" spans="1:17" ht="15.75">
      <c r="A1167" s="929"/>
      <c r="B1167" s="433"/>
      <c r="C1167" s="10"/>
      <c r="D1167" s="8"/>
      <c r="E1167" s="430"/>
      <c r="F1167" s="457"/>
      <c r="G1167" s="458"/>
      <c r="H1167" s="56"/>
      <c r="I1167" s="9"/>
      <c r="J1167" s="9"/>
      <c r="K1167" s="459"/>
      <c r="L1167" s="460"/>
      <c r="M1167" s="88"/>
      <c r="N1167" s="154"/>
      <c r="O1167" s="153"/>
      <c r="P1167" s="43"/>
      <c r="Q1167" s="122"/>
    </row>
    <row r="1168" spans="1:17" ht="15.75">
      <c r="A1168" s="929"/>
      <c r="B1168" s="667"/>
      <c r="C1168" s="668"/>
      <c r="D1168" s="635"/>
      <c r="E1168" s="430"/>
      <c r="F1168" s="166"/>
      <c r="G1168" s="458"/>
      <c r="H1168" s="56"/>
      <c r="I1168" s="9"/>
      <c r="J1168" s="459"/>
      <c r="K1168" s="459"/>
      <c r="L1168" s="460"/>
      <c r="M1168" s="20"/>
      <c r="N1168" s="22"/>
      <c r="O1168" s="23"/>
      <c r="P1168" s="21"/>
      <c r="Q1168" s="122"/>
    </row>
    <row r="1169" spans="1:17" ht="15.75">
      <c r="A1169" s="930"/>
      <c r="B1169" s="503"/>
      <c r="C1169" s="439"/>
      <c r="D1169" s="62"/>
      <c r="E1169" s="430"/>
      <c r="F1169" s="457"/>
      <c r="G1169" s="458"/>
      <c r="H1169" s="122"/>
      <c r="I1169" s="459"/>
      <c r="J1169" s="459"/>
      <c r="K1169" s="459"/>
      <c r="L1169" s="873"/>
      <c r="M1169" s="159"/>
      <c r="N1169" s="75"/>
      <c r="O1169" s="23"/>
      <c r="P1169" s="21"/>
      <c r="Q1169" s="122"/>
    </row>
    <row r="1170" spans="1:17" ht="15.75">
      <c r="A1170" s="931"/>
      <c r="B1170" s="669"/>
      <c r="C1170" s="670"/>
      <c r="D1170" s="671"/>
      <c r="E1170" s="672"/>
      <c r="F1170" s="673"/>
      <c r="G1170" s="672"/>
      <c r="H1170" s="674"/>
      <c r="I1170" s="61"/>
      <c r="J1170" s="61"/>
      <c r="K1170" s="61"/>
      <c r="L1170" s="874"/>
      <c r="M1170" s="159"/>
      <c r="N1170" s="75"/>
      <c r="O1170" s="23"/>
      <c r="P1170" s="29"/>
      <c r="Q1170" s="122"/>
    </row>
    <row r="1171" spans="1:17" ht="15.75">
      <c r="A1171" s="931"/>
      <c r="B1171" s="771"/>
      <c r="C1171" s="772"/>
      <c r="D1171" s="773"/>
      <c r="E1171" s="672"/>
      <c r="F1171" s="673"/>
      <c r="G1171" s="774"/>
      <c r="H1171" s="674"/>
      <c r="I1171" s="61"/>
      <c r="J1171" s="61"/>
      <c r="K1171" s="61"/>
      <c r="L1171" s="161"/>
      <c r="M1171" s="66"/>
      <c r="N1171" s="70"/>
      <c r="O1171" s="23"/>
      <c r="P1171" s="28"/>
      <c r="Q1171" s="122"/>
    </row>
    <row r="1172" spans="1:17" ht="15.75">
      <c r="A1172" s="931"/>
      <c r="B1172" s="771"/>
      <c r="C1172" s="772"/>
      <c r="D1172" s="460"/>
      <c r="E1172" s="672"/>
      <c r="F1172" s="673"/>
      <c r="G1172" s="774"/>
      <c r="H1172" s="674"/>
      <c r="I1172" s="61"/>
      <c r="J1172" s="61"/>
      <c r="K1172" s="61"/>
      <c r="L1172" s="161"/>
      <c r="M1172" s="86"/>
      <c r="N1172" s="70"/>
      <c r="O1172" s="71"/>
      <c r="P1172" s="28"/>
      <c r="Q1172" s="122"/>
    </row>
    <row r="1173" spans="1:17" ht="15.75">
      <c r="A1173" s="931"/>
      <c r="B1173" s="771"/>
      <c r="C1173" s="772"/>
      <c r="D1173" s="460"/>
      <c r="E1173" s="672"/>
      <c r="F1173" s="673"/>
      <c r="G1173" s="774"/>
      <c r="H1173" s="674"/>
      <c r="I1173" s="61"/>
      <c r="J1173" s="61"/>
      <c r="K1173" s="61"/>
      <c r="L1173" s="161"/>
      <c r="M1173" s="86"/>
      <c r="N1173" s="162"/>
      <c r="O1173" s="84"/>
      <c r="P1173" s="43"/>
      <c r="Q1173" s="122"/>
    </row>
    <row r="1174" spans="1:17" ht="15.75">
      <c r="A1174" s="931"/>
      <c r="B1174" s="771"/>
      <c r="C1174" s="772"/>
      <c r="D1174" s="460"/>
      <c r="E1174" s="672"/>
      <c r="F1174" s="673"/>
      <c r="G1174" s="774"/>
      <c r="H1174" s="674"/>
      <c r="I1174" s="61"/>
      <c r="J1174" s="61"/>
      <c r="K1174" s="61"/>
      <c r="L1174" s="161"/>
      <c r="M1174" s="66"/>
      <c r="N1174" s="163"/>
      <c r="O1174" s="84"/>
      <c r="P1174" s="43"/>
      <c r="Q1174" s="122"/>
    </row>
    <row r="1175" spans="1:17" ht="15.75">
      <c r="A1175" s="931"/>
      <c r="B1175" s="131"/>
      <c r="C1175" s="132"/>
      <c r="D1175" s="121"/>
      <c r="E1175" s="128"/>
      <c r="F1175" s="129"/>
      <c r="G1175" s="133"/>
      <c r="H1175" s="130"/>
      <c r="I1175" s="64"/>
      <c r="J1175" s="64"/>
      <c r="K1175" s="64"/>
      <c r="L1175" s="161"/>
      <c r="M1175" s="86"/>
      <c r="N1175" s="163"/>
      <c r="O1175" s="84"/>
      <c r="P1175" s="43"/>
      <c r="Q1175" s="122"/>
    </row>
    <row r="1176" spans="1:17" ht="15.75">
      <c r="A1176" s="931"/>
      <c r="B1176" s="131"/>
      <c r="C1176" s="132"/>
      <c r="D1176" s="121"/>
      <c r="E1176" s="128"/>
      <c r="F1176" s="129"/>
      <c r="G1176" s="133"/>
      <c r="H1176" s="130"/>
      <c r="I1176" s="64"/>
      <c r="J1176" s="64"/>
      <c r="K1176" s="64"/>
      <c r="L1176" s="161"/>
      <c r="M1176" s="86"/>
      <c r="N1176" s="74"/>
      <c r="O1176" s="87"/>
      <c r="P1176" s="43"/>
      <c r="Q1176" s="122"/>
    </row>
    <row r="1177" spans="1:17" ht="15.75">
      <c r="A1177" s="931"/>
      <c r="B1177" s="131"/>
      <c r="C1177" s="132"/>
      <c r="D1177" s="121"/>
      <c r="E1177" s="128"/>
      <c r="F1177" s="129"/>
      <c r="G1177" s="133"/>
      <c r="H1177" s="130"/>
      <c r="I1177" s="64"/>
      <c r="J1177" s="64"/>
      <c r="K1177" s="64"/>
      <c r="L1177" s="161"/>
      <c r="M1177" s="86"/>
      <c r="N1177" s="75"/>
      <c r="O1177" s="31"/>
      <c r="P1177" s="67"/>
      <c r="Q1177" s="122"/>
    </row>
    <row r="1178" spans="1:17" ht="15.75">
      <c r="A1178" s="931"/>
      <c r="B1178" s="131"/>
      <c r="C1178" s="132"/>
      <c r="D1178" s="121"/>
      <c r="E1178" s="128"/>
      <c r="F1178" s="129"/>
      <c r="G1178" s="133"/>
      <c r="H1178" s="130"/>
      <c r="I1178" s="64"/>
      <c r="J1178" s="64"/>
      <c r="K1178" s="64"/>
      <c r="L1178" s="161"/>
      <c r="M1178" s="86"/>
      <c r="N1178" s="75"/>
      <c r="O1178" s="31"/>
      <c r="P1178" s="67"/>
      <c r="Q1178" s="122"/>
    </row>
    <row r="1179" spans="1:17" ht="15.75">
      <c r="A1179" s="931"/>
      <c r="B1179" s="131"/>
      <c r="C1179" s="132"/>
      <c r="D1179" s="121"/>
      <c r="E1179" s="128"/>
      <c r="F1179" s="129"/>
      <c r="G1179" s="133"/>
      <c r="H1179" s="130"/>
      <c r="I1179" s="64"/>
      <c r="J1179" s="64"/>
      <c r="K1179" s="64"/>
      <c r="L1179" s="161"/>
      <c r="M1179" s="159"/>
      <c r="N1179" s="163"/>
      <c r="O1179" s="31"/>
      <c r="P1179" s="158"/>
      <c r="Q1179" s="122"/>
    </row>
    <row r="1180" spans="1:17" ht="15.75">
      <c r="A1180" s="931"/>
      <c r="B1180" s="134"/>
      <c r="C1180" s="72"/>
      <c r="D1180" s="135"/>
      <c r="E1180" s="136"/>
      <c r="F1180" s="137"/>
      <c r="G1180" s="138"/>
      <c r="H1180" s="139"/>
      <c r="I1180" s="69"/>
      <c r="J1180" s="69"/>
      <c r="K1180" s="69"/>
      <c r="L1180" s="60"/>
      <c r="M1180" s="102"/>
      <c r="N1180" s="96"/>
      <c r="O1180" s="23"/>
      <c r="P1180" s="140"/>
      <c r="Q1180" s="122"/>
    </row>
    <row r="1181" spans="1:17" ht="15.75">
      <c r="A1181" s="932"/>
      <c r="B1181" s="141" t="s">
        <v>46</v>
      </c>
      <c r="C1181" s="142"/>
      <c r="D1181" s="143"/>
      <c r="E1181" s="144">
        <f>SUM(E1156:E1180)</f>
        <v>0</v>
      </c>
      <c r="F1181" s="145"/>
      <c r="G1181" s="146"/>
      <c r="H1181" s="145"/>
      <c r="I1181" s="147"/>
      <c r="J1181" s="147"/>
      <c r="K1181" s="147"/>
      <c r="L1181" s="148"/>
      <c r="M1181" s="123"/>
      <c r="N1181" s="123"/>
      <c r="O1181" s="149">
        <f>SUM(O1156:O1180)</f>
        <v>0</v>
      </c>
      <c r="P1181" s="150"/>
      <c r="Q1181" s="122"/>
    </row>
    <row r="1185" spans="1:4" ht="18">
      <c r="A1185" s="933" t="s">
        <v>117</v>
      </c>
      <c r="B1185" s="1116"/>
      <c r="C1185" s="164"/>
      <c r="D1185" s="165">
        <f>E1098+E1123+E1151+E1181</f>
        <v>1800000</v>
      </c>
    </row>
    <row r="1186" spans="1:4" ht="18">
      <c r="A1186" s="934" t="s">
        <v>119</v>
      </c>
      <c r="B1186" s="1117"/>
      <c r="C1186" s="167"/>
      <c r="D1186" s="168"/>
    </row>
    <row r="1187" spans="1:4" ht="18">
      <c r="A1187" s="916" t="s">
        <v>120</v>
      </c>
      <c r="B1187" s="1118"/>
      <c r="C1187" s="169"/>
      <c r="D1187" s="170"/>
    </row>
    <row r="1188" spans="1:4" ht="15.75">
      <c r="A1188" s="917" t="s">
        <v>121</v>
      </c>
      <c r="B1188" s="1119"/>
      <c r="C1188" s="169"/>
      <c r="D1188" s="171"/>
    </row>
    <row r="1189" spans="1:4" ht="15.75">
      <c r="A1189" s="172"/>
      <c r="B1189" s="141" t="s">
        <v>47</v>
      </c>
      <c r="C1189" s="173"/>
      <c r="D1189" s="174">
        <f>SUM(D1185:D1188)</f>
        <v>1800000</v>
      </c>
    </row>
  </sheetData>
  <mergeCells count="274">
    <mergeCell ref="M697:Q697"/>
    <mergeCell ref="O723:P723"/>
    <mergeCell ref="A852:A870"/>
    <mergeCell ref="A873:B873"/>
    <mergeCell ref="A874:B874"/>
    <mergeCell ref="A875:B875"/>
    <mergeCell ref="A876:B876"/>
    <mergeCell ref="A843:L843"/>
    <mergeCell ref="M843:P843"/>
    <mergeCell ref="A845:A847"/>
    <mergeCell ref="N847:P847"/>
    <mergeCell ref="A850:L850"/>
    <mergeCell ref="M850:P850"/>
    <mergeCell ref="A796:L796"/>
    <mergeCell ref="A798:L798"/>
    <mergeCell ref="M799:P799"/>
    <mergeCell ref="A800:A819"/>
    <mergeCell ref="N819:P819"/>
    <mergeCell ref="A822:L822"/>
    <mergeCell ref="M822:P822"/>
    <mergeCell ref="A824:A838"/>
    <mergeCell ref="N838:P838"/>
    <mergeCell ref="A728:L728"/>
    <mergeCell ref="M728:P728"/>
    <mergeCell ref="N610:P610"/>
    <mergeCell ref="M587:P587"/>
    <mergeCell ref="A767:A784"/>
    <mergeCell ref="A787:B787"/>
    <mergeCell ref="A788:B788"/>
    <mergeCell ref="A789:B789"/>
    <mergeCell ref="A790:B790"/>
    <mergeCell ref="A741:L741"/>
    <mergeCell ref="M741:P741"/>
    <mergeCell ref="A743:A762"/>
    <mergeCell ref="N762:P762"/>
    <mergeCell ref="A765:L765"/>
    <mergeCell ref="M765:P765"/>
    <mergeCell ref="A695:L695"/>
    <mergeCell ref="A697:L697"/>
    <mergeCell ref="A699:A704"/>
    <mergeCell ref="N704:P704"/>
    <mergeCell ref="A707:L707"/>
    <mergeCell ref="M707:P707"/>
    <mergeCell ref="A709:A724"/>
    <mergeCell ref="N724:P724"/>
    <mergeCell ref="A664:A684"/>
    <mergeCell ref="A687:B687"/>
    <mergeCell ref="A688:B688"/>
    <mergeCell ref="A689:B689"/>
    <mergeCell ref="A690:B690"/>
    <mergeCell ref="M497:Q497"/>
    <mergeCell ref="A634:L634"/>
    <mergeCell ref="M634:P634"/>
    <mergeCell ref="A636:A638"/>
    <mergeCell ref="N638:P638"/>
    <mergeCell ref="A641:L641"/>
    <mergeCell ref="M641:P641"/>
    <mergeCell ref="A643:A659"/>
    <mergeCell ref="N659:P659"/>
    <mergeCell ref="A662:L662"/>
    <mergeCell ref="M662:P662"/>
    <mergeCell ref="A585:L585"/>
    <mergeCell ref="A587:L587"/>
    <mergeCell ref="A589:A609"/>
    <mergeCell ref="N609:P609"/>
    <mergeCell ref="A612:L612"/>
    <mergeCell ref="M612:P612"/>
    <mergeCell ref="A614:A631"/>
    <mergeCell ref="N631:P631"/>
    <mergeCell ref="A576:B576"/>
    <mergeCell ref="A577:B577"/>
    <mergeCell ref="A578:B578"/>
    <mergeCell ref="A495:L495"/>
    <mergeCell ref="A497:L497"/>
    <mergeCell ref="A499:A512"/>
    <mergeCell ref="N512:P512"/>
    <mergeCell ref="A515:L515"/>
    <mergeCell ref="M515:P515"/>
    <mergeCell ref="A560:A572"/>
    <mergeCell ref="A575:B575"/>
    <mergeCell ref="A517:A529"/>
    <mergeCell ref="N529:P529"/>
    <mergeCell ref="N542:P542"/>
    <mergeCell ref="A534:A542"/>
    <mergeCell ref="M532:P532"/>
    <mergeCell ref="A532:L532"/>
    <mergeCell ref="A545:L545"/>
    <mergeCell ref="M545:P545"/>
    <mergeCell ref="A547:A555"/>
    <mergeCell ref="N555:P555"/>
    <mergeCell ref="A558:L558"/>
    <mergeCell ref="M558:P558"/>
    <mergeCell ref="A405:L405"/>
    <mergeCell ref="A403:L403"/>
    <mergeCell ref="M424:P424"/>
    <mergeCell ref="A424:L424"/>
    <mergeCell ref="N421:P421"/>
    <mergeCell ref="A407:A421"/>
    <mergeCell ref="N446:P446"/>
    <mergeCell ref="A443:A446"/>
    <mergeCell ref="M441:P441"/>
    <mergeCell ref="A441:L441"/>
    <mergeCell ref="N438:P438"/>
    <mergeCell ref="A426:A438"/>
    <mergeCell ref="M405:P405"/>
    <mergeCell ref="M470:P470"/>
    <mergeCell ref="A470:L470"/>
    <mergeCell ref="N467:P467"/>
    <mergeCell ref="A451:A467"/>
    <mergeCell ref="A449:L449"/>
    <mergeCell ref="A488:B488"/>
    <mergeCell ref="A487:B487"/>
    <mergeCell ref="A486:B486"/>
    <mergeCell ref="A485:B485"/>
    <mergeCell ref="A472:A482"/>
    <mergeCell ref="M449:P449"/>
    <mergeCell ref="A396:B396"/>
    <mergeCell ref="A397:B397"/>
    <mergeCell ref="A380:L380"/>
    <mergeCell ref="M380:P380"/>
    <mergeCell ref="A382:A391"/>
    <mergeCell ref="A394:B394"/>
    <mergeCell ref="A395:B395"/>
    <mergeCell ref="A357:A361"/>
    <mergeCell ref="N361:P361"/>
    <mergeCell ref="A364:L364"/>
    <mergeCell ref="M364:P364"/>
    <mergeCell ref="A366:A377"/>
    <mergeCell ref="N377:P377"/>
    <mergeCell ref="A342:L342"/>
    <mergeCell ref="M342:P342"/>
    <mergeCell ref="A344:A352"/>
    <mergeCell ref="N352:P352"/>
    <mergeCell ref="A355:L355"/>
    <mergeCell ref="M355:P355"/>
    <mergeCell ref="A324:L324"/>
    <mergeCell ref="A326:L326"/>
    <mergeCell ref="M327:P327"/>
    <mergeCell ref="A328:A339"/>
    <mergeCell ref="N339:P339"/>
    <mergeCell ref="A296:A313"/>
    <mergeCell ref="A316:B316"/>
    <mergeCell ref="A317:B317"/>
    <mergeCell ref="A318:B318"/>
    <mergeCell ref="A319:B319"/>
    <mergeCell ref="A276:L276"/>
    <mergeCell ref="M276:P276"/>
    <mergeCell ref="A278:A291"/>
    <mergeCell ref="N291:P291"/>
    <mergeCell ref="A294:L294"/>
    <mergeCell ref="M294:P294"/>
    <mergeCell ref="A258:A273"/>
    <mergeCell ref="N273:P273"/>
    <mergeCell ref="A220:L220"/>
    <mergeCell ref="A222:L222"/>
    <mergeCell ref="M223:P223"/>
    <mergeCell ref="A224:A236"/>
    <mergeCell ref="A239:L239"/>
    <mergeCell ref="M239:P239"/>
    <mergeCell ref="N236:P236"/>
    <mergeCell ref="A241:A253"/>
    <mergeCell ref="N253:P253"/>
    <mergeCell ref="A1:L1"/>
    <mergeCell ref="A3:L3"/>
    <mergeCell ref="A5:A24"/>
    <mergeCell ref="M4:P4"/>
    <mergeCell ref="A27:L27"/>
    <mergeCell ref="M27:P27"/>
    <mergeCell ref="A88:L88"/>
    <mergeCell ref="M88:P88"/>
    <mergeCell ref="A90:A103"/>
    <mergeCell ref="A69:L69"/>
    <mergeCell ref="M69:P69"/>
    <mergeCell ref="A71:A85"/>
    <mergeCell ref="A29:A43"/>
    <mergeCell ref="N43:P43"/>
    <mergeCell ref="A47:L47"/>
    <mergeCell ref="M47:P47"/>
    <mergeCell ref="A49:A65"/>
    <mergeCell ref="N65:P65"/>
    <mergeCell ref="N85:P85"/>
    <mergeCell ref="A106:B106"/>
    <mergeCell ref="E106:H106"/>
    <mergeCell ref="A107:B107"/>
    <mergeCell ref="A108:B108"/>
    <mergeCell ref="A109:B109"/>
    <mergeCell ref="A114:L114"/>
    <mergeCell ref="A116:L116"/>
    <mergeCell ref="A215:B215"/>
    <mergeCell ref="A174:A188"/>
    <mergeCell ref="A730:A737"/>
    <mergeCell ref="N737:P737"/>
    <mergeCell ref="N188:P188"/>
    <mergeCell ref="A191:L191"/>
    <mergeCell ref="M191:P191"/>
    <mergeCell ref="A193:A209"/>
    <mergeCell ref="M116:P116"/>
    <mergeCell ref="N134:P134"/>
    <mergeCell ref="A212:B212"/>
    <mergeCell ref="A213:B213"/>
    <mergeCell ref="A214:B214"/>
    <mergeCell ref="A153:L153"/>
    <mergeCell ref="M153:P153"/>
    <mergeCell ref="A155:A169"/>
    <mergeCell ref="N169:P169"/>
    <mergeCell ref="A172:L172"/>
    <mergeCell ref="M172:P172"/>
    <mergeCell ref="A118:A134"/>
    <mergeCell ref="A137:L137"/>
    <mergeCell ref="M137:P137"/>
    <mergeCell ref="A139:A150"/>
    <mergeCell ref="N150:P150"/>
    <mergeCell ref="A256:L256"/>
    <mergeCell ref="M256:P256"/>
    <mergeCell ref="A975:B975"/>
    <mergeCell ref="A974:B974"/>
    <mergeCell ref="A973:B973"/>
    <mergeCell ref="A972:B972"/>
    <mergeCell ref="A948:A969"/>
    <mergeCell ref="M946:P946"/>
    <mergeCell ref="A946:L946"/>
    <mergeCell ref="N943:P943"/>
    <mergeCell ref="A923:A943"/>
    <mergeCell ref="N899:P899"/>
    <mergeCell ref="A886:A899"/>
    <mergeCell ref="M885:P885"/>
    <mergeCell ref="A884:L884"/>
    <mergeCell ref="A882:L882"/>
    <mergeCell ref="M921:P921"/>
    <mergeCell ref="A921:L921"/>
    <mergeCell ref="N916:P916"/>
    <mergeCell ref="A904:A916"/>
    <mergeCell ref="M902:P902"/>
    <mergeCell ref="A902:L902"/>
    <mergeCell ref="A982:L982"/>
    <mergeCell ref="A984:L984"/>
    <mergeCell ref="A986:A1001"/>
    <mergeCell ref="N1001:P1001"/>
    <mergeCell ref="A1004:L1004"/>
    <mergeCell ref="M1004:P1004"/>
    <mergeCell ref="A1006:A1019"/>
    <mergeCell ref="N1019:P1019"/>
    <mergeCell ref="M984:P984"/>
    <mergeCell ref="A1068:B1068"/>
    <mergeCell ref="A1069:B1069"/>
    <mergeCell ref="A1024:L1024"/>
    <mergeCell ref="M1024:P1024"/>
    <mergeCell ref="A1026:A1041"/>
    <mergeCell ref="N1041:P1041"/>
    <mergeCell ref="A1044:L1044"/>
    <mergeCell ref="M1044:P1044"/>
    <mergeCell ref="A1046:A1062"/>
    <mergeCell ref="A1066:B1066"/>
    <mergeCell ref="A1067:B1067"/>
    <mergeCell ref="A1075:L1075"/>
    <mergeCell ref="A1077:L1077"/>
    <mergeCell ref="A1079:A1098"/>
    <mergeCell ref="N1098:P1098"/>
    <mergeCell ref="A1101:L1101"/>
    <mergeCell ref="M1101:P1101"/>
    <mergeCell ref="A1103:A1123"/>
    <mergeCell ref="N1123:P1123"/>
    <mergeCell ref="M1077:P1077"/>
    <mergeCell ref="A1187:B1187"/>
    <mergeCell ref="A1188:B1188"/>
    <mergeCell ref="A1128:L1128"/>
    <mergeCell ref="M1128:P1128"/>
    <mergeCell ref="A1130:A1151"/>
    <mergeCell ref="N1151:P1151"/>
    <mergeCell ref="A1154:L1154"/>
    <mergeCell ref="M1154:P1154"/>
    <mergeCell ref="A1156:A1181"/>
    <mergeCell ref="A1185:B1185"/>
    <mergeCell ref="A1186:B118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9F54-0C3F-463C-ABF4-27E3E402784F}">
  <dimension ref="A1:M1585"/>
  <sheetViews>
    <sheetView topLeftCell="A1495" workbookViewId="0">
      <selection activeCell="A1514" sqref="A1514"/>
    </sheetView>
  </sheetViews>
  <sheetFormatPr defaultRowHeight="15"/>
  <cols>
    <col min="1" max="1" width="19" customWidth="1"/>
    <col min="2" max="2" width="19.5703125" customWidth="1"/>
    <col min="3" max="3" width="61.5703125" customWidth="1"/>
    <col min="4" max="4" width="47.85546875" customWidth="1"/>
    <col min="5" max="5" width="27.85546875" customWidth="1"/>
    <col min="7" max="7" width="18.28515625" customWidth="1"/>
    <col min="8" max="8" width="16.85546875" customWidth="1"/>
    <col min="10" max="10" width="19.7109375" customWidth="1"/>
  </cols>
  <sheetData>
    <row r="1" spans="1:7">
      <c r="A1" s="1002" t="s">
        <v>0</v>
      </c>
      <c r="B1" s="1003"/>
      <c r="C1" s="1003"/>
      <c r="D1" s="1003"/>
      <c r="E1" s="1003"/>
      <c r="F1" s="1003"/>
      <c r="G1" s="1004"/>
    </row>
    <row r="2" spans="1:7">
      <c r="A2" s="1005"/>
      <c r="B2" s="1006"/>
      <c r="C2" s="1006"/>
      <c r="D2" s="1006"/>
      <c r="E2" s="1006"/>
      <c r="F2" s="1006"/>
      <c r="G2" s="1007"/>
    </row>
    <row r="3" spans="1:7">
      <c r="A3" s="1005"/>
      <c r="B3" s="1006"/>
      <c r="C3" s="1006"/>
      <c r="D3" s="1006"/>
      <c r="E3" s="1006"/>
      <c r="F3" s="1006"/>
      <c r="G3" s="1007"/>
    </row>
    <row r="4" spans="1:7">
      <c r="A4" s="1008"/>
      <c r="B4" s="1009"/>
      <c r="C4" s="1009"/>
      <c r="D4" s="1009"/>
      <c r="E4" s="1009"/>
      <c r="F4" s="1009"/>
      <c r="G4" s="1010"/>
    </row>
    <row r="6" spans="1:7">
      <c r="A6" s="994" t="s">
        <v>708</v>
      </c>
      <c r="B6" s="994"/>
      <c r="C6" s="994"/>
      <c r="D6" s="994"/>
      <c r="E6" s="994"/>
      <c r="F6" s="994"/>
      <c r="G6" s="994"/>
    </row>
    <row r="7" spans="1:7">
      <c r="A7" s="994"/>
      <c r="B7" s="994"/>
      <c r="C7" s="994"/>
      <c r="D7" s="994"/>
      <c r="E7" s="994"/>
      <c r="F7" s="994"/>
      <c r="G7" s="994"/>
    </row>
    <row r="8" spans="1:7">
      <c r="A8" s="175" t="s">
        <v>3</v>
      </c>
      <c r="B8" s="175" t="s">
        <v>709</v>
      </c>
      <c r="C8" s="175" t="s">
        <v>710</v>
      </c>
      <c r="D8" s="176" t="s">
        <v>711</v>
      </c>
      <c r="E8" s="177" t="s">
        <v>300</v>
      </c>
      <c r="F8" s="178" t="s">
        <v>7</v>
      </c>
      <c r="G8" s="179" t="s">
        <v>50</v>
      </c>
    </row>
    <row r="9" spans="1:7" ht="15.75">
      <c r="A9" s="222">
        <v>12930</v>
      </c>
      <c r="B9" s="347">
        <v>0.08</v>
      </c>
      <c r="C9" s="236" t="s">
        <v>16</v>
      </c>
      <c r="D9" s="245"/>
      <c r="E9" s="246">
        <v>1650000</v>
      </c>
      <c r="F9" s="349">
        <v>0.02</v>
      </c>
      <c r="G9" s="248">
        <f>E9*F9</f>
        <v>33000</v>
      </c>
    </row>
    <row r="10" spans="1:7" ht="15.75">
      <c r="A10" s="300">
        <v>13036</v>
      </c>
      <c r="B10" s="347">
        <v>0.08</v>
      </c>
      <c r="C10" s="272" t="s">
        <v>25</v>
      </c>
      <c r="D10" s="251"/>
      <c r="E10" s="246">
        <v>1700000</v>
      </c>
      <c r="F10" s="349">
        <v>0.02</v>
      </c>
      <c r="G10" s="248">
        <f t="shared" ref="G10:G21" si="0">E10*F10</f>
        <v>34000</v>
      </c>
    </row>
    <row r="11" spans="1:7" ht="15.75">
      <c r="A11" s="227">
        <v>13022</v>
      </c>
      <c r="B11" s="228">
        <v>0.1</v>
      </c>
      <c r="C11" s="229" t="s">
        <v>54</v>
      </c>
      <c r="D11" s="251"/>
      <c r="E11" s="246">
        <v>2200000</v>
      </c>
      <c r="F11" s="247">
        <v>0.03</v>
      </c>
      <c r="G11" s="248">
        <f t="shared" si="0"/>
        <v>66000</v>
      </c>
    </row>
    <row r="12" spans="1:7" ht="15.75">
      <c r="A12" s="227">
        <v>13023</v>
      </c>
      <c r="B12" s="228">
        <v>0.1</v>
      </c>
      <c r="C12" s="229" t="s">
        <v>56</v>
      </c>
      <c r="D12" s="251"/>
      <c r="E12" s="246">
        <v>1050000</v>
      </c>
      <c r="F12" s="349">
        <v>0.02</v>
      </c>
      <c r="G12" s="248">
        <f t="shared" si="0"/>
        <v>21000</v>
      </c>
    </row>
    <row r="13" spans="1:7" ht="15.75">
      <c r="A13" s="227">
        <v>13061</v>
      </c>
      <c r="B13" s="228">
        <v>0.1</v>
      </c>
      <c r="C13" s="229" t="s">
        <v>63</v>
      </c>
      <c r="D13" s="251"/>
      <c r="E13" s="246">
        <v>1000000</v>
      </c>
      <c r="F13" s="247">
        <v>0.03</v>
      </c>
      <c r="G13" s="248">
        <f t="shared" si="0"/>
        <v>30000</v>
      </c>
    </row>
    <row r="14" spans="1:7" ht="15.75">
      <c r="A14" s="214">
        <v>12949</v>
      </c>
      <c r="B14" s="221">
        <v>0.1</v>
      </c>
      <c r="C14" s="261" t="s">
        <v>76</v>
      </c>
      <c r="D14" s="251"/>
      <c r="E14" s="216">
        <v>1800000</v>
      </c>
      <c r="F14" s="247">
        <v>0.03</v>
      </c>
      <c r="G14" s="248">
        <f t="shared" si="0"/>
        <v>54000</v>
      </c>
    </row>
    <row r="15" spans="1:7" ht="15.75">
      <c r="A15" s="214">
        <v>12972</v>
      </c>
      <c r="B15" s="221">
        <v>0.1</v>
      </c>
      <c r="C15" s="261" t="s">
        <v>77</v>
      </c>
      <c r="D15" s="251"/>
      <c r="E15" s="216">
        <v>1550000</v>
      </c>
      <c r="F15" s="247">
        <v>0.03</v>
      </c>
      <c r="G15" s="248">
        <f t="shared" si="0"/>
        <v>46500</v>
      </c>
    </row>
    <row r="16" spans="1:7" ht="15.75">
      <c r="A16" s="214">
        <v>12979</v>
      </c>
      <c r="B16" s="221">
        <v>0.1</v>
      </c>
      <c r="C16" s="261" t="s">
        <v>78</v>
      </c>
      <c r="D16" s="251"/>
      <c r="E16" s="216">
        <v>1450000</v>
      </c>
      <c r="F16" s="247">
        <v>0.03</v>
      </c>
      <c r="G16" s="248">
        <f t="shared" si="0"/>
        <v>43500</v>
      </c>
    </row>
    <row r="17" spans="1:7" ht="15.75">
      <c r="A17" s="240">
        <v>12936</v>
      </c>
      <c r="B17" s="228">
        <v>0.1</v>
      </c>
      <c r="C17" s="241" t="s">
        <v>92</v>
      </c>
      <c r="D17" s="251"/>
      <c r="E17" s="242">
        <v>1000000</v>
      </c>
      <c r="F17" s="247">
        <v>0.03</v>
      </c>
      <c r="G17" s="248">
        <f t="shared" si="0"/>
        <v>30000</v>
      </c>
    </row>
    <row r="18" spans="1:7" ht="15.75">
      <c r="A18" s="240">
        <v>12950</v>
      </c>
      <c r="B18" s="228">
        <v>0.1</v>
      </c>
      <c r="C18" s="241" t="s">
        <v>94</v>
      </c>
      <c r="D18" s="251"/>
      <c r="E18" s="242">
        <v>850000</v>
      </c>
      <c r="F18" s="247">
        <v>0.03</v>
      </c>
      <c r="G18" s="248">
        <f t="shared" si="0"/>
        <v>25500</v>
      </c>
    </row>
    <row r="19" spans="1:7" ht="15.75">
      <c r="A19" s="240">
        <v>12966</v>
      </c>
      <c r="B19" s="228">
        <v>0.1</v>
      </c>
      <c r="C19" s="241" t="s">
        <v>96</v>
      </c>
      <c r="D19" s="301"/>
      <c r="E19" s="242">
        <v>1100000</v>
      </c>
      <c r="F19" s="247">
        <v>0.03</v>
      </c>
      <c r="G19" s="248">
        <f t="shared" si="0"/>
        <v>33000</v>
      </c>
    </row>
    <row r="20" spans="1:7" ht="15.75">
      <c r="A20" s="240">
        <v>13010</v>
      </c>
      <c r="B20" s="228">
        <v>0.1</v>
      </c>
      <c r="C20" s="241" t="s">
        <v>99</v>
      </c>
      <c r="D20" s="302"/>
      <c r="E20" s="246">
        <v>1000000</v>
      </c>
      <c r="F20" s="247">
        <v>0.03</v>
      </c>
      <c r="G20" s="248">
        <f t="shared" si="0"/>
        <v>30000</v>
      </c>
    </row>
    <row r="21" spans="1:7" ht="15.75">
      <c r="A21" s="222">
        <v>13124</v>
      </c>
      <c r="B21" s="235">
        <v>0.1</v>
      </c>
      <c r="C21" s="272" t="s">
        <v>712</v>
      </c>
      <c r="D21" s="382"/>
      <c r="E21" s="246">
        <v>1000000</v>
      </c>
      <c r="F21" s="247">
        <v>0.03</v>
      </c>
      <c r="G21" s="248">
        <f t="shared" si="0"/>
        <v>30000</v>
      </c>
    </row>
    <row r="22" spans="1:7" ht="15.75">
      <c r="A22" s="391" t="s">
        <v>40</v>
      </c>
      <c r="B22" s="392"/>
      <c r="C22" s="283" t="s">
        <v>45</v>
      </c>
      <c r="D22" s="387"/>
      <c r="E22" s="388"/>
      <c r="F22" s="389"/>
      <c r="G22" s="390"/>
    </row>
    <row r="23" spans="1:7" ht="15.75">
      <c r="A23" s="393" t="s">
        <v>40</v>
      </c>
      <c r="B23" s="389"/>
      <c r="C23" s="394" t="s">
        <v>89</v>
      </c>
      <c r="D23" s="387"/>
      <c r="E23" s="388"/>
      <c r="F23" s="389"/>
      <c r="G23" s="390"/>
    </row>
    <row r="24" spans="1:7" ht="15.75">
      <c r="A24" s="393" t="s">
        <v>40</v>
      </c>
      <c r="B24" s="389"/>
      <c r="C24" s="394" t="s">
        <v>90</v>
      </c>
      <c r="D24" s="387"/>
      <c r="E24" s="388"/>
      <c r="F24" s="389"/>
      <c r="G24" s="390"/>
    </row>
    <row r="25" spans="1:7" ht="15.75">
      <c r="A25" s="393" t="s">
        <v>40</v>
      </c>
      <c r="B25" s="395"/>
      <c r="C25" s="396" t="s">
        <v>114</v>
      </c>
      <c r="D25" s="387"/>
      <c r="E25" s="388"/>
      <c r="F25" s="389"/>
      <c r="G25" s="390"/>
    </row>
    <row r="26" spans="1:7" ht="15.75">
      <c r="A26" s="204" t="s">
        <v>40</v>
      </c>
      <c r="B26" s="385"/>
      <c r="C26" s="386" t="s">
        <v>45</v>
      </c>
      <c r="D26" s="387"/>
      <c r="E26" s="388"/>
      <c r="F26" s="389"/>
      <c r="G26" s="390"/>
    </row>
    <row r="27" spans="1:7" ht="18">
      <c r="A27" s="180"/>
      <c r="B27" s="180"/>
      <c r="C27" s="180"/>
      <c r="D27" s="181"/>
      <c r="E27" s="182">
        <f>SUM(E9:E21)</f>
        <v>17350000</v>
      </c>
      <c r="F27" s="180"/>
      <c r="G27" s="192">
        <f>SUM(G9:G21)</f>
        <v>476500</v>
      </c>
    </row>
    <row r="30" spans="1:7">
      <c r="A30" s="994" t="s">
        <v>713</v>
      </c>
      <c r="B30" s="994"/>
      <c r="C30" s="994"/>
      <c r="D30" s="994"/>
      <c r="E30" s="994"/>
      <c r="F30" s="994"/>
      <c r="G30" s="994"/>
    </row>
    <row r="31" spans="1:7">
      <c r="A31" s="994"/>
      <c r="B31" s="994"/>
      <c r="C31" s="995"/>
      <c r="D31" s="994"/>
      <c r="E31" s="994"/>
      <c r="F31" s="994"/>
      <c r="G31" s="994"/>
    </row>
    <row r="32" spans="1:7">
      <c r="A32" s="299" t="s">
        <v>3</v>
      </c>
      <c r="B32" s="183" t="s">
        <v>709</v>
      </c>
      <c r="C32" s="184" t="s">
        <v>710</v>
      </c>
      <c r="D32" s="185" t="s">
        <v>711</v>
      </c>
      <c r="E32" s="186" t="s">
        <v>300</v>
      </c>
      <c r="F32" s="187" t="s">
        <v>7</v>
      </c>
      <c r="G32" s="188" t="s">
        <v>50</v>
      </c>
    </row>
    <row r="33" spans="1:7" ht="15.75">
      <c r="A33" s="227">
        <v>13046</v>
      </c>
      <c r="B33" s="228">
        <v>0.1</v>
      </c>
      <c r="C33" s="229" t="s">
        <v>59</v>
      </c>
      <c r="D33" s="303"/>
      <c r="E33" s="304">
        <v>1450000</v>
      </c>
      <c r="F33" s="250">
        <v>0.03</v>
      </c>
      <c r="G33" s="226">
        <f>E33*F33</f>
        <v>43500</v>
      </c>
    </row>
    <row r="34" spans="1:7" ht="15.75">
      <c r="A34" s="214">
        <v>12989</v>
      </c>
      <c r="B34" s="221">
        <v>0.1</v>
      </c>
      <c r="C34" s="272" t="s">
        <v>80</v>
      </c>
      <c r="D34" s="303"/>
      <c r="E34" s="304">
        <v>1700000</v>
      </c>
      <c r="F34" s="250">
        <v>0.03</v>
      </c>
      <c r="G34" s="226">
        <f t="shared" ref="G34:G44" si="1">E34*F34</f>
        <v>51000</v>
      </c>
    </row>
    <row r="35" spans="1:7" ht="15.75">
      <c r="A35" s="214">
        <v>13056</v>
      </c>
      <c r="B35" s="221">
        <v>0.1</v>
      </c>
      <c r="C35" s="272" t="s">
        <v>83</v>
      </c>
      <c r="D35" s="303"/>
      <c r="E35" s="230">
        <v>1400000</v>
      </c>
      <c r="F35" s="250">
        <v>0.03</v>
      </c>
      <c r="G35" s="226">
        <f t="shared" si="1"/>
        <v>42000</v>
      </c>
    </row>
    <row r="36" spans="1:7" ht="15.75">
      <c r="A36" s="214">
        <v>13013</v>
      </c>
      <c r="B36" s="221">
        <v>0.1</v>
      </c>
      <c r="C36" s="277" t="s">
        <v>84</v>
      </c>
      <c r="D36" s="303"/>
      <c r="E36" s="242">
        <v>1300000</v>
      </c>
      <c r="F36" s="250">
        <v>0.03</v>
      </c>
      <c r="G36" s="226">
        <f t="shared" si="1"/>
        <v>39000</v>
      </c>
    </row>
    <row r="37" spans="1:7" ht="15.75">
      <c r="A37" s="214">
        <v>13044</v>
      </c>
      <c r="B37" s="221">
        <v>0.1</v>
      </c>
      <c r="C37" s="277" t="s">
        <v>86</v>
      </c>
      <c r="D37" s="303"/>
      <c r="E37" s="305">
        <v>1800000</v>
      </c>
      <c r="F37" s="250">
        <v>0.03</v>
      </c>
      <c r="G37" s="226">
        <f t="shared" si="1"/>
        <v>54000</v>
      </c>
    </row>
    <row r="38" spans="1:7" ht="15.75">
      <c r="A38" s="240">
        <v>12974</v>
      </c>
      <c r="B38" s="228">
        <v>0.1</v>
      </c>
      <c r="C38" s="241" t="s">
        <v>97</v>
      </c>
      <c r="D38" s="303"/>
      <c r="E38" s="242">
        <v>1100000</v>
      </c>
      <c r="F38" s="250">
        <v>0.03</v>
      </c>
      <c r="G38" s="226">
        <f t="shared" si="1"/>
        <v>33000</v>
      </c>
    </row>
    <row r="39" spans="1:7" ht="15.75">
      <c r="A39" s="260">
        <v>12982</v>
      </c>
      <c r="B39" s="231">
        <v>0.1</v>
      </c>
      <c r="C39" s="241" t="s">
        <v>98</v>
      </c>
      <c r="D39" s="223"/>
      <c r="E39" s="242">
        <v>800000</v>
      </c>
      <c r="F39" s="250">
        <v>0.03</v>
      </c>
      <c r="G39" s="226">
        <f t="shared" si="1"/>
        <v>24000</v>
      </c>
    </row>
    <row r="40" spans="1:7" ht="15.75">
      <c r="A40" s="240">
        <v>13027</v>
      </c>
      <c r="B40" s="228">
        <v>0.1</v>
      </c>
      <c r="C40" s="241" t="s">
        <v>100</v>
      </c>
      <c r="D40" s="306"/>
      <c r="E40" s="242">
        <v>1100000</v>
      </c>
      <c r="F40" s="250">
        <v>0.03</v>
      </c>
      <c r="G40" s="226">
        <f t="shared" si="1"/>
        <v>33000</v>
      </c>
    </row>
    <row r="41" spans="1:7" ht="15.75">
      <c r="A41" s="293">
        <v>13064</v>
      </c>
      <c r="B41" s="231">
        <v>0.1</v>
      </c>
      <c r="C41" s="241" t="s">
        <v>101</v>
      </c>
      <c r="D41" s="249"/>
      <c r="E41" s="246">
        <v>1100000</v>
      </c>
      <c r="F41" s="250">
        <v>0.03</v>
      </c>
      <c r="G41" s="226">
        <f t="shared" si="1"/>
        <v>33000</v>
      </c>
    </row>
    <row r="42" spans="1:7" ht="15.75">
      <c r="A42" s="214">
        <v>12987</v>
      </c>
      <c r="B42" s="228">
        <v>0.1</v>
      </c>
      <c r="C42" s="261" t="s">
        <v>108</v>
      </c>
      <c r="D42" s="249"/>
      <c r="E42" s="242">
        <v>1450000</v>
      </c>
      <c r="F42" s="225">
        <v>0.02</v>
      </c>
      <c r="G42" s="226">
        <f t="shared" si="1"/>
        <v>29000</v>
      </c>
    </row>
    <row r="43" spans="1:7" ht="15.75">
      <c r="A43" s="343">
        <v>13112</v>
      </c>
      <c r="B43" s="231">
        <v>0.1</v>
      </c>
      <c r="C43" s="344" t="s">
        <v>714</v>
      </c>
      <c r="D43" s="345"/>
      <c r="E43" s="346">
        <v>1800000</v>
      </c>
      <c r="F43" s="250">
        <v>0.03</v>
      </c>
      <c r="G43" s="226">
        <f t="shared" si="1"/>
        <v>54000</v>
      </c>
    </row>
    <row r="44" spans="1:7" ht="15.75">
      <c r="A44" s="341">
        <v>13111</v>
      </c>
      <c r="B44" s="295">
        <v>0.1</v>
      </c>
      <c r="C44" s="339" t="s">
        <v>65</v>
      </c>
      <c r="D44" s="345"/>
      <c r="E44" s="346">
        <v>1800000</v>
      </c>
      <c r="F44" s="250">
        <v>0.03</v>
      </c>
      <c r="G44" s="226">
        <f t="shared" si="1"/>
        <v>54000</v>
      </c>
    </row>
    <row r="45" spans="1:7" ht="15.75">
      <c r="A45" s="393" t="s">
        <v>40</v>
      </c>
      <c r="B45" s="389"/>
      <c r="C45" s="264" t="s">
        <v>88</v>
      </c>
      <c r="D45" s="397"/>
      <c r="E45" s="398"/>
      <c r="F45" s="395"/>
      <c r="G45" s="206"/>
    </row>
    <row r="46" spans="1:7" ht="15.75">
      <c r="A46" s="393" t="s">
        <v>40</v>
      </c>
      <c r="B46" s="389"/>
      <c r="C46" s="270" t="s">
        <v>42</v>
      </c>
      <c r="D46" s="397"/>
      <c r="E46" s="398"/>
      <c r="F46" s="395"/>
      <c r="G46" s="206"/>
    </row>
    <row r="47" spans="1:7" ht="18">
      <c r="A47" s="190"/>
      <c r="B47" s="190"/>
      <c r="C47" s="190"/>
      <c r="D47" s="189"/>
      <c r="E47" s="191">
        <f>SUM(E33:E45)</f>
        <v>16800000</v>
      </c>
      <c r="F47" s="190"/>
      <c r="G47" s="192">
        <f>SUM(G33:G45)</f>
        <v>489500</v>
      </c>
    </row>
    <row r="50" spans="1:7">
      <c r="A50" s="994" t="s">
        <v>715</v>
      </c>
      <c r="B50" s="994"/>
      <c r="C50" s="994"/>
      <c r="D50" s="994"/>
      <c r="E50" s="994"/>
      <c r="F50" s="994"/>
      <c r="G50" s="994"/>
    </row>
    <row r="51" spans="1:7">
      <c r="A51" s="994"/>
      <c r="B51" s="995"/>
      <c r="C51" s="995"/>
      <c r="D51" s="994"/>
      <c r="E51" s="994"/>
      <c r="F51" s="994"/>
      <c r="G51" s="994"/>
    </row>
    <row r="52" spans="1:7">
      <c r="A52" s="194" t="s">
        <v>3</v>
      </c>
      <c r="B52" s="195" t="s">
        <v>709</v>
      </c>
      <c r="C52" s="195" t="s">
        <v>710</v>
      </c>
      <c r="D52" s="196" t="s">
        <v>711</v>
      </c>
      <c r="E52" s="197" t="s">
        <v>300</v>
      </c>
      <c r="F52" s="178" t="s">
        <v>7</v>
      </c>
      <c r="G52" s="198" t="s">
        <v>50</v>
      </c>
    </row>
    <row r="53" spans="1:7" ht="15.75">
      <c r="A53" s="227">
        <v>13132</v>
      </c>
      <c r="B53" s="228">
        <v>0.1</v>
      </c>
      <c r="C53" s="229" t="s">
        <v>57</v>
      </c>
      <c r="D53" s="245"/>
      <c r="E53" s="246">
        <v>1400000</v>
      </c>
      <c r="F53" s="250">
        <v>0.02</v>
      </c>
      <c r="G53" s="226">
        <f>E53*F53</f>
        <v>28000</v>
      </c>
    </row>
    <row r="54" spans="1:7" ht="15.75">
      <c r="A54" s="222">
        <v>13083</v>
      </c>
      <c r="B54" s="235">
        <v>0.1</v>
      </c>
      <c r="C54" s="272" t="s">
        <v>30</v>
      </c>
      <c r="D54" s="245"/>
      <c r="E54" s="230">
        <v>1200000</v>
      </c>
      <c r="F54" s="250">
        <v>0.02</v>
      </c>
      <c r="G54" s="226">
        <f t="shared" ref="G54:G61" si="2">E54*F54</f>
        <v>24000</v>
      </c>
    </row>
    <row r="55" spans="1:7" ht="15.75">
      <c r="A55" s="222">
        <v>13084</v>
      </c>
      <c r="B55" s="235">
        <v>0.1</v>
      </c>
      <c r="C55" s="272" t="s">
        <v>32</v>
      </c>
      <c r="D55" s="245"/>
      <c r="E55" s="230">
        <v>950000</v>
      </c>
      <c r="F55" s="250">
        <v>0.02</v>
      </c>
      <c r="G55" s="226">
        <f t="shared" si="2"/>
        <v>19000</v>
      </c>
    </row>
    <row r="56" spans="1:7" ht="15.75">
      <c r="A56" s="222">
        <v>13103</v>
      </c>
      <c r="B56" s="235">
        <v>0.1</v>
      </c>
      <c r="C56" s="272" t="s">
        <v>34</v>
      </c>
      <c r="D56" s="245"/>
      <c r="E56" s="246">
        <v>1500000</v>
      </c>
      <c r="F56" s="250">
        <v>0.02</v>
      </c>
      <c r="G56" s="226">
        <f t="shared" si="2"/>
        <v>30000</v>
      </c>
    </row>
    <row r="57" spans="1:7" ht="15.75">
      <c r="A57" s="227">
        <v>13057</v>
      </c>
      <c r="B57" s="296">
        <v>0.1</v>
      </c>
      <c r="C57" s="229" t="s">
        <v>61</v>
      </c>
      <c r="D57" s="245"/>
      <c r="E57" s="246">
        <v>1500000</v>
      </c>
      <c r="F57" s="250">
        <v>0.02</v>
      </c>
      <c r="G57" s="226">
        <f t="shared" si="2"/>
        <v>30000</v>
      </c>
    </row>
    <row r="58" spans="1:7" ht="15.75">
      <c r="A58" s="214">
        <v>13035</v>
      </c>
      <c r="B58" s="348">
        <v>0.08</v>
      </c>
      <c r="C58" s="277" t="s">
        <v>85</v>
      </c>
      <c r="D58" s="249"/>
      <c r="E58" s="216">
        <v>2600000</v>
      </c>
      <c r="F58" s="225">
        <v>0.01</v>
      </c>
      <c r="G58" s="226">
        <f t="shared" si="2"/>
        <v>26000</v>
      </c>
    </row>
    <row r="59" spans="1:7" ht="15.75">
      <c r="A59" s="214">
        <v>13129</v>
      </c>
      <c r="B59" s="308">
        <v>0.1</v>
      </c>
      <c r="C59" s="272" t="s">
        <v>112</v>
      </c>
      <c r="D59" s="249"/>
      <c r="E59" s="309">
        <v>800000</v>
      </c>
      <c r="F59" s="250">
        <v>0.02</v>
      </c>
      <c r="G59" s="226">
        <f t="shared" si="2"/>
        <v>16000</v>
      </c>
    </row>
    <row r="60" spans="1:7" ht="15.75">
      <c r="A60" s="214">
        <v>13131</v>
      </c>
      <c r="B60" s="308">
        <v>0.1</v>
      </c>
      <c r="C60" s="344" t="s">
        <v>68</v>
      </c>
      <c r="D60" s="249"/>
      <c r="E60" s="309">
        <v>1700000</v>
      </c>
      <c r="F60" s="250">
        <v>0.02</v>
      </c>
      <c r="G60" s="226">
        <f t="shared" si="2"/>
        <v>34000</v>
      </c>
    </row>
    <row r="61" spans="1:7" ht="15.75">
      <c r="A61" s="214">
        <v>12984</v>
      </c>
      <c r="B61" s="308">
        <v>0.1</v>
      </c>
      <c r="C61" s="277" t="s">
        <v>716</v>
      </c>
      <c r="D61" s="310" t="s">
        <v>717</v>
      </c>
      <c r="E61" s="309">
        <v>1200000</v>
      </c>
      <c r="F61" s="250">
        <v>0.02</v>
      </c>
      <c r="G61" s="226">
        <f t="shared" si="2"/>
        <v>24000</v>
      </c>
    </row>
    <row r="62" spans="1:7" ht="15.75">
      <c r="A62" s="253" t="s">
        <v>40</v>
      </c>
      <c r="B62" s="329"/>
      <c r="C62" s="330" t="s">
        <v>103</v>
      </c>
      <c r="D62" s="399"/>
      <c r="E62" s="400"/>
      <c r="F62" s="395"/>
      <c r="G62" s="206"/>
    </row>
    <row r="63" spans="1:7" ht="15.75">
      <c r="A63" s="253" t="s">
        <v>40</v>
      </c>
      <c r="B63" s="329"/>
      <c r="C63" s="337" t="s">
        <v>104</v>
      </c>
      <c r="D63" s="399"/>
      <c r="E63" s="400"/>
      <c r="F63" s="395"/>
      <c r="G63" s="206"/>
    </row>
    <row r="64" spans="1:7" ht="15.75">
      <c r="A64" s="253" t="s">
        <v>40</v>
      </c>
      <c r="B64" s="329"/>
      <c r="C64" s="330" t="s">
        <v>105</v>
      </c>
      <c r="D64" s="399"/>
      <c r="E64" s="400"/>
      <c r="F64" s="395"/>
      <c r="G64" s="206"/>
    </row>
    <row r="65" spans="1:7" ht="15.75">
      <c r="A65" s="253" t="s">
        <v>40</v>
      </c>
      <c r="B65" s="329"/>
      <c r="C65" s="336" t="s">
        <v>106</v>
      </c>
      <c r="D65" s="399"/>
      <c r="E65" s="400"/>
      <c r="F65" s="395"/>
      <c r="G65" s="206"/>
    </row>
    <row r="66" spans="1:7" ht="18">
      <c r="A66" s="190"/>
      <c r="B66" s="190"/>
      <c r="C66" s="190"/>
      <c r="D66" s="189"/>
      <c r="E66" s="199">
        <f>SUM(E53:E61)</f>
        <v>12850000</v>
      </c>
      <c r="F66" s="190"/>
      <c r="G66" s="192">
        <f>SUM(G53:G61)</f>
        <v>231000</v>
      </c>
    </row>
    <row r="69" spans="1:7">
      <c r="A69" s="994" t="s">
        <v>718</v>
      </c>
      <c r="B69" s="994"/>
      <c r="C69" s="994"/>
      <c r="D69" s="994"/>
      <c r="E69" s="994"/>
      <c r="F69" s="994"/>
      <c r="G69" s="994"/>
    </row>
    <row r="70" spans="1:7">
      <c r="A70" s="994"/>
      <c r="B70" s="994"/>
      <c r="C70" s="994"/>
      <c r="D70" s="994"/>
      <c r="E70" s="994"/>
      <c r="F70" s="994"/>
      <c r="G70" s="994"/>
    </row>
    <row r="71" spans="1:7">
      <c r="A71" s="195" t="s">
        <v>3</v>
      </c>
      <c r="B71" s="195" t="s">
        <v>709</v>
      </c>
      <c r="C71" s="195" t="s">
        <v>710</v>
      </c>
      <c r="D71" s="176" t="s">
        <v>711</v>
      </c>
      <c r="E71" s="197" t="s">
        <v>300</v>
      </c>
      <c r="F71" s="178" t="s">
        <v>7</v>
      </c>
      <c r="G71" s="198" t="s">
        <v>50</v>
      </c>
    </row>
    <row r="72" spans="1:7" ht="15.75">
      <c r="A72" s="222">
        <v>12955</v>
      </c>
      <c r="B72" s="235">
        <v>0.1</v>
      </c>
      <c r="C72" s="261" t="s">
        <v>20</v>
      </c>
      <c r="D72" s="223"/>
      <c r="E72" s="230">
        <v>750000</v>
      </c>
      <c r="F72" s="250">
        <v>0.05</v>
      </c>
      <c r="G72" s="226">
        <f>E72*F72</f>
        <v>37500</v>
      </c>
    </row>
    <row r="73" spans="1:7" ht="15.75">
      <c r="A73" s="222">
        <v>12997</v>
      </c>
      <c r="B73" s="235">
        <v>0.1</v>
      </c>
      <c r="C73" s="272" t="s">
        <v>22</v>
      </c>
      <c r="D73" s="249"/>
      <c r="E73" s="230">
        <v>1000000</v>
      </c>
      <c r="F73" s="250">
        <v>0.05</v>
      </c>
      <c r="G73" s="226">
        <f t="shared" ref="G73:G86" si="3">E73*F73</f>
        <v>50000</v>
      </c>
    </row>
    <row r="74" spans="1:7" ht="15.75">
      <c r="A74" s="300">
        <v>13034</v>
      </c>
      <c r="B74" s="347">
        <v>0.08</v>
      </c>
      <c r="C74" s="272" t="s">
        <v>24</v>
      </c>
      <c r="D74" s="249"/>
      <c r="E74" s="230">
        <v>1800000</v>
      </c>
      <c r="F74" s="225">
        <v>0.04</v>
      </c>
      <c r="G74" s="226">
        <f t="shared" si="3"/>
        <v>72000</v>
      </c>
    </row>
    <row r="75" spans="1:7" ht="15.75">
      <c r="A75" s="222">
        <v>13055</v>
      </c>
      <c r="B75" s="235">
        <v>0.1</v>
      </c>
      <c r="C75" s="272" t="s">
        <v>27</v>
      </c>
      <c r="D75" s="249"/>
      <c r="E75" s="224">
        <v>1050000</v>
      </c>
      <c r="F75" s="250">
        <v>0.05</v>
      </c>
      <c r="G75" s="226">
        <f t="shared" si="3"/>
        <v>52500</v>
      </c>
    </row>
    <row r="76" spans="1:7" ht="15.75">
      <c r="A76" s="227">
        <v>12944</v>
      </c>
      <c r="B76" s="228">
        <v>0.1</v>
      </c>
      <c r="C76" s="229" t="s">
        <v>52</v>
      </c>
      <c r="D76" s="249"/>
      <c r="E76" s="224">
        <v>2400000</v>
      </c>
      <c r="F76" s="225">
        <v>0.02</v>
      </c>
      <c r="G76" s="226">
        <f t="shared" si="3"/>
        <v>48000</v>
      </c>
    </row>
    <row r="77" spans="1:7" ht="15.75">
      <c r="A77" s="227">
        <v>13048</v>
      </c>
      <c r="B77" s="228">
        <v>0.1</v>
      </c>
      <c r="C77" s="229" t="s">
        <v>58</v>
      </c>
      <c r="D77" s="249"/>
      <c r="E77" s="224">
        <v>1800000</v>
      </c>
      <c r="F77" s="250">
        <v>0.05</v>
      </c>
      <c r="G77" s="226">
        <f t="shared" si="3"/>
        <v>90000</v>
      </c>
    </row>
    <row r="78" spans="1:7" ht="15.75">
      <c r="A78" s="214">
        <v>12915</v>
      </c>
      <c r="B78" s="348">
        <v>0.09</v>
      </c>
      <c r="C78" s="215" t="s">
        <v>73</v>
      </c>
      <c r="D78" s="249"/>
      <c r="E78" s="224">
        <v>1650000</v>
      </c>
      <c r="F78" s="225">
        <v>0.04</v>
      </c>
      <c r="G78" s="226">
        <f t="shared" si="3"/>
        <v>66000</v>
      </c>
    </row>
    <row r="79" spans="1:7" ht="15.75">
      <c r="A79" s="214">
        <v>12983</v>
      </c>
      <c r="B79" s="221">
        <v>0.1</v>
      </c>
      <c r="C79" s="261" t="s">
        <v>79</v>
      </c>
      <c r="D79" s="249"/>
      <c r="E79" s="224">
        <v>1200000</v>
      </c>
      <c r="F79" s="250">
        <v>0.05</v>
      </c>
      <c r="G79" s="226">
        <f t="shared" si="3"/>
        <v>60000</v>
      </c>
    </row>
    <row r="80" spans="1:7" ht="15.75">
      <c r="A80" s="214">
        <v>12992</v>
      </c>
      <c r="B80" s="221">
        <v>0.1</v>
      </c>
      <c r="C80" s="272" t="s">
        <v>81</v>
      </c>
      <c r="D80" s="249"/>
      <c r="E80" s="224">
        <v>1800000</v>
      </c>
      <c r="F80" s="250">
        <v>0.05</v>
      </c>
      <c r="G80" s="226">
        <f t="shared" si="3"/>
        <v>90000</v>
      </c>
    </row>
    <row r="81" spans="1:7" ht="15.75">
      <c r="A81" s="240">
        <v>13032</v>
      </c>
      <c r="B81" s="228">
        <v>0.1</v>
      </c>
      <c r="C81" s="241" t="s">
        <v>53</v>
      </c>
      <c r="D81" s="249"/>
      <c r="E81" s="224">
        <v>800000</v>
      </c>
      <c r="F81" s="250">
        <v>0.05</v>
      </c>
      <c r="G81" s="226">
        <f t="shared" si="3"/>
        <v>40000</v>
      </c>
    </row>
    <row r="82" spans="1:7" ht="15.75">
      <c r="A82" s="222">
        <v>13082</v>
      </c>
      <c r="B82" s="235">
        <v>0.1</v>
      </c>
      <c r="C82" s="272" t="s">
        <v>28</v>
      </c>
      <c r="D82" s="249"/>
      <c r="E82" s="224">
        <v>1500000</v>
      </c>
      <c r="F82" s="250">
        <v>0.05</v>
      </c>
      <c r="G82" s="226">
        <f t="shared" si="3"/>
        <v>75000</v>
      </c>
    </row>
    <row r="83" spans="1:7" ht="15.75">
      <c r="A83" s="222">
        <v>13097</v>
      </c>
      <c r="B83" s="235">
        <v>0.1</v>
      </c>
      <c r="C83" s="272" t="s">
        <v>33</v>
      </c>
      <c r="D83" s="249"/>
      <c r="E83" s="224">
        <v>1500000</v>
      </c>
      <c r="F83" s="250">
        <v>0.05</v>
      </c>
      <c r="G83" s="226">
        <f t="shared" si="3"/>
        <v>75000</v>
      </c>
    </row>
    <row r="84" spans="1:7" ht="15.75">
      <c r="A84" s="222">
        <v>13115</v>
      </c>
      <c r="B84" s="235">
        <v>0.1</v>
      </c>
      <c r="C84" s="272" t="s">
        <v>36</v>
      </c>
      <c r="D84" s="249"/>
      <c r="E84" s="224">
        <v>1800000</v>
      </c>
      <c r="F84" s="250">
        <v>0.05</v>
      </c>
      <c r="G84" s="226">
        <f t="shared" si="3"/>
        <v>90000</v>
      </c>
    </row>
    <row r="85" spans="1:7" ht="15.75">
      <c r="A85" s="240">
        <v>13089</v>
      </c>
      <c r="B85" s="340">
        <v>0.1</v>
      </c>
      <c r="C85" s="229" t="s">
        <v>64</v>
      </c>
      <c r="D85" s="249"/>
      <c r="E85" s="224">
        <v>1600000</v>
      </c>
      <c r="F85" s="250">
        <v>0.05</v>
      </c>
      <c r="G85" s="226">
        <f t="shared" si="3"/>
        <v>80000</v>
      </c>
    </row>
    <row r="86" spans="1:7" ht="15.75">
      <c r="A86" s="293">
        <v>13126</v>
      </c>
      <c r="B86" s="352">
        <v>0.1</v>
      </c>
      <c r="C86" s="261" t="s">
        <v>67</v>
      </c>
      <c r="D86" s="353"/>
      <c r="E86" s="224">
        <v>1030000</v>
      </c>
      <c r="F86" s="250">
        <v>0.05</v>
      </c>
      <c r="G86" s="226">
        <f t="shared" si="3"/>
        <v>51500</v>
      </c>
    </row>
    <row r="87" spans="1:7" ht="15.75">
      <c r="A87" s="335" t="s">
        <v>40</v>
      </c>
      <c r="B87" s="401"/>
      <c r="C87" s="290" t="s">
        <v>102</v>
      </c>
      <c r="D87" s="402"/>
      <c r="E87" s="403"/>
      <c r="F87" s="389"/>
      <c r="G87" s="206"/>
    </row>
    <row r="88" spans="1:7" ht="15.75">
      <c r="A88" s="335" t="s">
        <v>40</v>
      </c>
      <c r="B88" s="401"/>
      <c r="C88" s="205" t="s">
        <v>41</v>
      </c>
      <c r="D88" s="402"/>
      <c r="E88" s="403"/>
      <c r="F88" s="389"/>
      <c r="G88" s="206"/>
    </row>
    <row r="89" spans="1:7" ht="15.75">
      <c r="A89" s="335" t="s">
        <v>40</v>
      </c>
      <c r="B89" s="401"/>
      <c r="C89" s="205" t="s">
        <v>42</v>
      </c>
      <c r="D89" s="402"/>
      <c r="E89" s="403"/>
      <c r="F89" s="389"/>
      <c r="G89" s="206"/>
    </row>
    <row r="90" spans="1:7" ht="15.75">
      <c r="A90" s="335" t="s">
        <v>40</v>
      </c>
      <c r="B90" s="401"/>
      <c r="C90" s="208" t="s">
        <v>43</v>
      </c>
      <c r="D90" s="402"/>
      <c r="E90" s="403"/>
      <c r="F90" s="389"/>
      <c r="G90" s="206"/>
    </row>
    <row r="91" spans="1:7" ht="15.75">
      <c r="A91" s="335" t="s">
        <v>40</v>
      </c>
      <c r="B91" s="401"/>
      <c r="C91" s="205" t="s">
        <v>44</v>
      </c>
      <c r="D91" s="402"/>
      <c r="E91" s="403"/>
      <c r="F91" s="389"/>
      <c r="G91" s="206"/>
    </row>
    <row r="92" spans="1:7" ht="18">
      <c r="A92" s="190"/>
      <c r="B92" s="190"/>
      <c r="C92" s="190"/>
      <c r="D92" s="189"/>
      <c r="E92" s="200">
        <f>SUM(E72:E86)</f>
        <v>21680000</v>
      </c>
      <c r="F92" s="201"/>
      <c r="G92" s="192">
        <f>SUM(G72:G86)</f>
        <v>977500</v>
      </c>
    </row>
    <row r="95" spans="1:7">
      <c r="A95" s="994" t="s">
        <v>719</v>
      </c>
      <c r="B95" s="994"/>
      <c r="C95" s="994"/>
      <c r="D95" s="994"/>
      <c r="E95" s="994"/>
      <c r="F95" s="994"/>
      <c r="G95" s="994"/>
    </row>
    <row r="96" spans="1:7">
      <c r="A96" s="994"/>
      <c r="B96" s="994"/>
      <c r="C96" s="994"/>
      <c r="D96" s="994"/>
      <c r="E96" s="994"/>
      <c r="F96" s="994"/>
      <c r="G96" s="994"/>
    </row>
    <row r="97" spans="1:7">
      <c r="A97" s="175" t="s">
        <v>3</v>
      </c>
      <c r="B97" s="175" t="s">
        <v>709</v>
      </c>
      <c r="C97" s="175" t="s">
        <v>710</v>
      </c>
      <c r="D97" s="176" t="s">
        <v>711</v>
      </c>
      <c r="E97" s="177" t="s">
        <v>300</v>
      </c>
      <c r="F97" s="178" t="s">
        <v>7</v>
      </c>
      <c r="G97" s="179" t="s">
        <v>50</v>
      </c>
    </row>
    <row r="98" spans="1:7" ht="15.75">
      <c r="A98" s="222">
        <v>12930</v>
      </c>
      <c r="B98" s="347">
        <v>0.08</v>
      </c>
      <c r="C98" s="236" t="s">
        <v>16</v>
      </c>
      <c r="D98" s="245"/>
      <c r="E98" s="246">
        <v>1650000</v>
      </c>
      <c r="F98" s="380">
        <v>0.02</v>
      </c>
      <c r="G98" s="381">
        <f>E98*F98</f>
        <v>33000</v>
      </c>
    </row>
    <row r="99" spans="1:7" ht="15.75">
      <c r="A99" s="300">
        <v>13036</v>
      </c>
      <c r="B99" s="347">
        <v>0.08</v>
      </c>
      <c r="C99" s="272" t="s">
        <v>25</v>
      </c>
      <c r="D99" s="251"/>
      <c r="E99" s="246">
        <v>1700000</v>
      </c>
      <c r="F99" s="380">
        <v>0.02</v>
      </c>
      <c r="G99" s="381">
        <f t="shared" ref="G99:G147" si="4">E99*F99</f>
        <v>34000</v>
      </c>
    </row>
    <row r="100" spans="1:7" ht="15.75">
      <c r="A100" s="227">
        <v>13022</v>
      </c>
      <c r="B100" s="228">
        <v>0.1</v>
      </c>
      <c r="C100" s="229" t="s">
        <v>54</v>
      </c>
      <c r="D100" s="251"/>
      <c r="E100" s="246">
        <v>2200000</v>
      </c>
      <c r="F100" s="379">
        <v>0.03</v>
      </c>
      <c r="G100" s="381">
        <f t="shared" si="4"/>
        <v>66000</v>
      </c>
    </row>
    <row r="101" spans="1:7" ht="15.75">
      <c r="A101" s="227">
        <v>13023</v>
      </c>
      <c r="B101" s="228">
        <v>0.1</v>
      </c>
      <c r="C101" s="229" t="s">
        <v>56</v>
      </c>
      <c r="D101" s="251"/>
      <c r="E101" s="246">
        <v>1050000</v>
      </c>
      <c r="F101" s="379">
        <v>0.03</v>
      </c>
      <c r="G101" s="381">
        <f t="shared" si="4"/>
        <v>31500</v>
      </c>
    </row>
    <row r="102" spans="1:7" ht="15.75">
      <c r="A102" s="227">
        <v>13061</v>
      </c>
      <c r="B102" s="228">
        <v>0.1</v>
      </c>
      <c r="C102" s="229" t="s">
        <v>63</v>
      </c>
      <c r="D102" s="251"/>
      <c r="E102" s="246">
        <v>1000000</v>
      </c>
      <c r="F102" s="379">
        <v>0.03</v>
      </c>
      <c r="G102" s="381">
        <f t="shared" si="4"/>
        <v>30000</v>
      </c>
    </row>
    <row r="103" spans="1:7" ht="15.75">
      <c r="A103" s="214">
        <v>12949</v>
      </c>
      <c r="B103" s="221">
        <v>0.1</v>
      </c>
      <c r="C103" s="261" t="s">
        <v>76</v>
      </c>
      <c r="D103" s="251"/>
      <c r="E103" s="216">
        <v>1800000</v>
      </c>
      <c r="F103" s="379">
        <v>0.03</v>
      </c>
      <c r="G103" s="381">
        <f t="shared" si="4"/>
        <v>54000</v>
      </c>
    </row>
    <row r="104" spans="1:7" ht="15.75">
      <c r="A104" s="214">
        <v>12972</v>
      </c>
      <c r="B104" s="221">
        <v>0.1</v>
      </c>
      <c r="C104" s="261" t="s">
        <v>77</v>
      </c>
      <c r="D104" s="251"/>
      <c r="E104" s="216">
        <v>1550000</v>
      </c>
      <c r="F104" s="379">
        <v>0.03</v>
      </c>
      <c r="G104" s="381">
        <f t="shared" si="4"/>
        <v>46500</v>
      </c>
    </row>
    <row r="105" spans="1:7" ht="15.75">
      <c r="A105" s="214">
        <v>12979</v>
      </c>
      <c r="B105" s="221">
        <v>0.1</v>
      </c>
      <c r="C105" s="261" t="s">
        <v>78</v>
      </c>
      <c r="D105" s="251"/>
      <c r="E105" s="216">
        <v>1450000</v>
      </c>
      <c r="F105" s="379">
        <v>0.03</v>
      </c>
      <c r="G105" s="381">
        <f t="shared" si="4"/>
        <v>43500</v>
      </c>
    </row>
    <row r="106" spans="1:7" ht="15.75">
      <c r="A106" s="240">
        <v>12936</v>
      </c>
      <c r="B106" s="228">
        <v>0.1</v>
      </c>
      <c r="C106" s="241" t="s">
        <v>92</v>
      </c>
      <c r="D106" s="251"/>
      <c r="E106" s="242">
        <v>1000000</v>
      </c>
      <c r="F106" s="379">
        <v>0.03</v>
      </c>
      <c r="G106" s="381">
        <f t="shared" si="4"/>
        <v>30000</v>
      </c>
    </row>
    <row r="107" spans="1:7" ht="15.75">
      <c r="A107" s="240">
        <v>12950</v>
      </c>
      <c r="B107" s="228">
        <v>0.1</v>
      </c>
      <c r="C107" s="241" t="s">
        <v>94</v>
      </c>
      <c r="D107" s="251"/>
      <c r="E107" s="242">
        <v>850000</v>
      </c>
      <c r="F107" s="379">
        <v>0.03</v>
      </c>
      <c r="G107" s="381">
        <f t="shared" si="4"/>
        <v>25500</v>
      </c>
    </row>
    <row r="108" spans="1:7" ht="15.75">
      <c r="A108" s="240">
        <v>12966</v>
      </c>
      <c r="B108" s="228">
        <v>0.1</v>
      </c>
      <c r="C108" s="241" t="s">
        <v>96</v>
      </c>
      <c r="D108" s="301"/>
      <c r="E108" s="242">
        <v>1100000</v>
      </c>
      <c r="F108" s="379">
        <v>0.03</v>
      </c>
      <c r="G108" s="381">
        <f t="shared" si="4"/>
        <v>33000</v>
      </c>
    </row>
    <row r="109" spans="1:7" ht="15.75">
      <c r="A109" s="240">
        <v>13010</v>
      </c>
      <c r="B109" s="228">
        <v>0.1</v>
      </c>
      <c r="C109" s="241" t="s">
        <v>99</v>
      </c>
      <c r="D109" s="302"/>
      <c r="E109" s="246">
        <v>1000000</v>
      </c>
      <c r="F109" s="379">
        <v>0.03</v>
      </c>
      <c r="G109" s="381">
        <f t="shared" si="4"/>
        <v>30000</v>
      </c>
    </row>
    <row r="110" spans="1:7" ht="15.75">
      <c r="A110" s="222">
        <v>13124</v>
      </c>
      <c r="B110" s="235">
        <v>0.1</v>
      </c>
      <c r="C110" s="272" t="s">
        <v>712</v>
      </c>
      <c r="D110" s="302"/>
      <c r="E110" s="246">
        <v>1000000</v>
      </c>
      <c r="F110" s="379">
        <v>0.03</v>
      </c>
      <c r="G110" s="381">
        <f t="shared" si="4"/>
        <v>30000</v>
      </c>
    </row>
    <row r="111" spans="1:7" ht="15.75">
      <c r="A111" s="227">
        <v>13046</v>
      </c>
      <c r="B111" s="228">
        <v>0.1</v>
      </c>
      <c r="C111" s="229" t="s">
        <v>59</v>
      </c>
      <c r="D111" s="303"/>
      <c r="E111" s="304">
        <v>1450000</v>
      </c>
      <c r="F111" s="379">
        <v>0.03</v>
      </c>
      <c r="G111" s="381">
        <f t="shared" si="4"/>
        <v>43500</v>
      </c>
    </row>
    <row r="112" spans="1:7" ht="15.75">
      <c r="A112" s="214">
        <v>12989</v>
      </c>
      <c r="B112" s="221">
        <v>0.1</v>
      </c>
      <c r="C112" s="272" t="s">
        <v>80</v>
      </c>
      <c r="D112" s="303"/>
      <c r="E112" s="304">
        <v>1700000</v>
      </c>
      <c r="F112" s="379">
        <v>0.03</v>
      </c>
      <c r="G112" s="381">
        <f t="shared" si="4"/>
        <v>51000</v>
      </c>
    </row>
    <row r="113" spans="1:7" ht="15.75">
      <c r="A113" s="214">
        <v>13056</v>
      </c>
      <c r="B113" s="221">
        <v>0.1</v>
      </c>
      <c r="C113" s="272" t="s">
        <v>83</v>
      </c>
      <c r="D113" s="303"/>
      <c r="E113" s="230">
        <v>1400000</v>
      </c>
      <c r="F113" s="379">
        <v>0.03</v>
      </c>
      <c r="G113" s="381">
        <f t="shared" si="4"/>
        <v>42000</v>
      </c>
    </row>
    <row r="114" spans="1:7" ht="15.75">
      <c r="A114" s="214">
        <v>13013</v>
      </c>
      <c r="B114" s="221">
        <v>0.1</v>
      </c>
      <c r="C114" s="277" t="s">
        <v>84</v>
      </c>
      <c r="D114" s="303"/>
      <c r="E114" s="242">
        <v>1300000</v>
      </c>
      <c r="F114" s="379">
        <v>0.03</v>
      </c>
      <c r="G114" s="381">
        <f t="shared" si="4"/>
        <v>39000</v>
      </c>
    </row>
    <row r="115" spans="1:7" ht="15.75">
      <c r="A115" s="214">
        <v>13044</v>
      </c>
      <c r="B115" s="221">
        <v>0.1</v>
      </c>
      <c r="C115" s="277" t="s">
        <v>86</v>
      </c>
      <c r="D115" s="303"/>
      <c r="E115" s="305">
        <v>1800000</v>
      </c>
      <c r="F115" s="379">
        <v>0.03</v>
      </c>
      <c r="G115" s="381">
        <f t="shared" si="4"/>
        <v>54000</v>
      </c>
    </row>
    <row r="116" spans="1:7" ht="15.75">
      <c r="A116" s="240">
        <v>12974</v>
      </c>
      <c r="B116" s="228">
        <v>0.1</v>
      </c>
      <c r="C116" s="241" t="s">
        <v>97</v>
      </c>
      <c r="D116" s="303"/>
      <c r="E116" s="242">
        <v>1100000</v>
      </c>
      <c r="F116" s="379">
        <v>0.03</v>
      </c>
      <c r="G116" s="381">
        <f t="shared" si="4"/>
        <v>33000</v>
      </c>
    </row>
    <row r="117" spans="1:7" ht="15.75">
      <c r="A117" s="260">
        <v>12982</v>
      </c>
      <c r="B117" s="231">
        <v>0.1</v>
      </c>
      <c r="C117" s="241" t="s">
        <v>98</v>
      </c>
      <c r="D117" s="223"/>
      <c r="E117" s="242">
        <v>800000</v>
      </c>
      <c r="F117" s="379">
        <v>0.03</v>
      </c>
      <c r="G117" s="381">
        <f t="shared" si="4"/>
        <v>24000</v>
      </c>
    </row>
    <row r="118" spans="1:7" ht="15.75">
      <c r="A118" s="240">
        <v>13027</v>
      </c>
      <c r="B118" s="228">
        <v>0.1</v>
      </c>
      <c r="C118" s="241" t="s">
        <v>100</v>
      </c>
      <c r="D118" s="306"/>
      <c r="E118" s="242">
        <v>1100000</v>
      </c>
      <c r="F118" s="379">
        <v>0.03</v>
      </c>
      <c r="G118" s="381">
        <f t="shared" si="4"/>
        <v>33000</v>
      </c>
    </row>
    <row r="119" spans="1:7" ht="15.75">
      <c r="A119" s="293">
        <v>13064</v>
      </c>
      <c r="B119" s="231">
        <v>0.1</v>
      </c>
      <c r="C119" s="241" t="s">
        <v>101</v>
      </c>
      <c r="D119" s="249"/>
      <c r="E119" s="246">
        <v>1100000</v>
      </c>
      <c r="F119" s="379">
        <v>0.03</v>
      </c>
      <c r="G119" s="381">
        <f t="shared" si="4"/>
        <v>33000</v>
      </c>
    </row>
    <row r="120" spans="1:7" ht="15.75">
      <c r="A120" s="214">
        <v>12987</v>
      </c>
      <c r="B120" s="228">
        <v>0.1</v>
      </c>
      <c r="C120" s="261" t="s">
        <v>108</v>
      </c>
      <c r="D120" s="249"/>
      <c r="E120" s="242">
        <v>1450000</v>
      </c>
      <c r="F120" s="379">
        <v>0.03</v>
      </c>
      <c r="G120" s="381">
        <f t="shared" si="4"/>
        <v>43500</v>
      </c>
    </row>
    <row r="121" spans="1:7" ht="15.75">
      <c r="A121" s="343">
        <v>13112</v>
      </c>
      <c r="B121" s="231">
        <v>0.1</v>
      </c>
      <c r="C121" s="344" t="s">
        <v>714</v>
      </c>
      <c r="D121" s="345"/>
      <c r="E121" s="346">
        <v>1800000</v>
      </c>
      <c r="F121" s="379">
        <v>0.03</v>
      </c>
      <c r="G121" s="381">
        <f t="shared" si="4"/>
        <v>54000</v>
      </c>
    </row>
    <row r="122" spans="1:7" ht="15.75">
      <c r="A122" s="343">
        <v>13111</v>
      </c>
      <c r="B122" s="295">
        <v>0.1</v>
      </c>
      <c r="C122" s="339" t="s">
        <v>65</v>
      </c>
      <c r="D122" s="345"/>
      <c r="E122" s="346">
        <v>1800000</v>
      </c>
      <c r="F122" s="379">
        <v>0.03</v>
      </c>
      <c r="G122" s="381">
        <f t="shared" si="4"/>
        <v>54000</v>
      </c>
    </row>
    <row r="123" spans="1:7" ht="15.75">
      <c r="A123" s="227">
        <v>13132</v>
      </c>
      <c r="B123" s="228">
        <v>0.1</v>
      </c>
      <c r="C123" s="229" t="s">
        <v>57</v>
      </c>
      <c r="D123" s="245"/>
      <c r="E123" s="246">
        <v>1400000</v>
      </c>
      <c r="F123" s="379">
        <v>0.03</v>
      </c>
      <c r="G123" s="381">
        <f t="shared" si="4"/>
        <v>42000</v>
      </c>
    </row>
    <row r="124" spans="1:7" ht="15.75">
      <c r="A124" s="222">
        <v>13083</v>
      </c>
      <c r="B124" s="235">
        <v>0.1</v>
      </c>
      <c r="C124" s="272" t="s">
        <v>30</v>
      </c>
      <c r="D124" s="245"/>
      <c r="E124" s="230">
        <v>1200000</v>
      </c>
      <c r="F124" s="379">
        <v>0.03</v>
      </c>
      <c r="G124" s="381">
        <f t="shared" si="4"/>
        <v>36000</v>
      </c>
    </row>
    <row r="125" spans="1:7" ht="15.75">
      <c r="A125" s="222">
        <v>13084</v>
      </c>
      <c r="B125" s="235">
        <v>0.1</v>
      </c>
      <c r="C125" s="272" t="s">
        <v>32</v>
      </c>
      <c r="D125" s="245"/>
      <c r="E125" s="230">
        <v>950000</v>
      </c>
      <c r="F125" s="379">
        <v>0.03</v>
      </c>
      <c r="G125" s="381">
        <f t="shared" si="4"/>
        <v>28500</v>
      </c>
    </row>
    <row r="126" spans="1:7" ht="15.75">
      <c r="A126" s="222">
        <v>13103</v>
      </c>
      <c r="B126" s="235">
        <v>0.1</v>
      </c>
      <c r="C126" s="272" t="s">
        <v>34</v>
      </c>
      <c r="D126" s="245"/>
      <c r="E126" s="246">
        <v>1500000</v>
      </c>
      <c r="F126" s="379">
        <v>0.03</v>
      </c>
      <c r="G126" s="381">
        <f t="shared" si="4"/>
        <v>45000</v>
      </c>
    </row>
    <row r="127" spans="1:7" ht="15.75">
      <c r="A127" s="227">
        <v>13057</v>
      </c>
      <c r="B127" s="296">
        <v>0.1</v>
      </c>
      <c r="C127" s="229" t="s">
        <v>61</v>
      </c>
      <c r="D127" s="245"/>
      <c r="E127" s="246">
        <v>1500000</v>
      </c>
      <c r="F127" s="379">
        <v>0.03</v>
      </c>
      <c r="G127" s="381">
        <f t="shared" si="4"/>
        <v>45000</v>
      </c>
    </row>
    <row r="128" spans="1:7" ht="15.75">
      <c r="A128" s="214">
        <v>13035</v>
      </c>
      <c r="B128" s="348">
        <v>0.08</v>
      </c>
      <c r="C128" s="277" t="s">
        <v>85</v>
      </c>
      <c r="D128" s="249"/>
      <c r="E128" s="216">
        <v>2600000</v>
      </c>
      <c r="F128" s="380">
        <v>0.02</v>
      </c>
      <c r="G128" s="381">
        <f t="shared" si="4"/>
        <v>52000</v>
      </c>
    </row>
    <row r="129" spans="1:7" ht="15.75">
      <c r="A129" s="214">
        <v>13129</v>
      </c>
      <c r="B129" s="308">
        <v>0.1</v>
      </c>
      <c r="C129" s="272" t="s">
        <v>112</v>
      </c>
      <c r="D129" s="249"/>
      <c r="E129" s="309">
        <v>800000</v>
      </c>
      <c r="F129" s="379">
        <v>0.03</v>
      </c>
      <c r="G129" s="381">
        <f t="shared" si="4"/>
        <v>24000</v>
      </c>
    </row>
    <row r="130" spans="1:7" ht="15.75">
      <c r="A130" s="222">
        <v>12955</v>
      </c>
      <c r="B130" s="235">
        <v>0.1</v>
      </c>
      <c r="C130" s="261" t="s">
        <v>20</v>
      </c>
      <c r="D130" s="223"/>
      <c r="E130" s="230">
        <v>750000</v>
      </c>
      <c r="F130" s="379">
        <v>0.03</v>
      </c>
      <c r="G130" s="381">
        <f t="shared" si="4"/>
        <v>22500</v>
      </c>
    </row>
    <row r="131" spans="1:7" ht="15.75">
      <c r="A131" s="222">
        <v>12997</v>
      </c>
      <c r="B131" s="235">
        <v>0.1</v>
      </c>
      <c r="C131" s="272" t="s">
        <v>22</v>
      </c>
      <c r="D131" s="249"/>
      <c r="E131" s="230">
        <v>1000000</v>
      </c>
      <c r="F131" s="379">
        <v>0.03</v>
      </c>
      <c r="G131" s="381">
        <f t="shared" si="4"/>
        <v>30000</v>
      </c>
    </row>
    <row r="132" spans="1:7" ht="15.75">
      <c r="A132" s="300">
        <v>13034</v>
      </c>
      <c r="B132" s="347">
        <v>0.08</v>
      </c>
      <c r="C132" s="272" t="s">
        <v>24</v>
      </c>
      <c r="D132" s="249"/>
      <c r="E132" s="230">
        <v>1800000</v>
      </c>
      <c r="F132" s="380">
        <v>0.02</v>
      </c>
      <c r="G132" s="381">
        <f t="shared" si="4"/>
        <v>36000</v>
      </c>
    </row>
    <row r="133" spans="1:7" ht="15.75">
      <c r="A133" s="222">
        <v>13055</v>
      </c>
      <c r="B133" s="235">
        <v>0.1</v>
      </c>
      <c r="C133" s="272" t="s">
        <v>27</v>
      </c>
      <c r="D133" s="249"/>
      <c r="E133" s="224">
        <v>1050000</v>
      </c>
      <c r="F133" s="379">
        <v>0.03</v>
      </c>
      <c r="G133" s="381">
        <f t="shared" si="4"/>
        <v>31500</v>
      </c>
    </row>
    <row r="134" spans="1:7" ht="15.75">
      <c r="A134" s="227">
        <v>12944</v>
      </c>
      <c r="B134" s="228">
        <v>0.1</v>
      </c>
      <c r="C134" s="229" t="s">
        <v>52</v>
      </c>
      <c r="D134" s="249"/>
      <c r="E134" s="224">
        <v>2400000</v>
      </c>
      <c r="F134" s="379">
        <v>0.03</v>
      </c>
      <c r="G134" s="381">
        <f t="shared" si="4"/>
        <v>72000</v>
      </c>
    </row>
    <row r="135" spans="1:7" ht="15.75">
      <c r="A135" s="227">
        <v>13048</v>
      </c>
      <c r="B135" s="228">
        <v>0.1</v>
      </c>
      <c r="C135" s="229" t="s">
        <v>58</v>
      </c>
      <c r="D135" s="249"/>
      <c r="E135" s="224">
        <v>1800000</v>
      </c>
      <c r="F135" s="379">
        <v>0.03</v>
      </c>
      <c r="G135" s="381">
        <f t="shared" si="4"/>
        <v>54000</v>
      </c>
    </row>
    <row r="136" spans="1:7" ht="15.75">
      <c r="A136" s="214">
        <v>12915</v>
      </c>
      <c r="B136" s="348">
        <v>0.09</v>
      </c>
      <c r="C136" s="215" t="s">
        <v>73</v>
      </c>
      <c r="D136" s="249"/>
      <c r="E136" s="224">
        <v>1650000</v>
      </c>
      <c r="F136" s="380">
        <v>0.02</v>
      </c>
      <c r="G136" s="381">
        <f t="shared" si="4"/>
        <v>33000</v>
      </c>
    </row>
    <row r="137" spans="1:7" ht="15.75">
      <c r="A137" s="214">
        <v>12983</v>
      </c>
      <c r="B137" s="221">
        <v>0.1</v>
      </c>
      <c r="C137" s="261" t="s">
        <v>79</v>
      </c>
      <c r="D137" s="249"/>
      <c r="E137" s="224">
        <v>1200000</v>
      </c>
      <c r="F137" s="379">
        <v>0.03</v>
      </c>
      <c r="G137" s="381">
        <f t="shared" si="4"/>
        <v>36000</v>
      </c>
    </row>
    <row r="138" spans="1:7" ht="15.75">
      <c r="A138" s="214">
        <v>12992</v>
      </c>
      <c r="B138" s="221">
        <v>0.1</v>
      </c>
      <c r="C138" s="272" t="s">
        <v>81</v>
      </c>
      <c r="D138" s="249"/>
      <c r="E138" s="224">
        <v>1800000</v>
      </c>
      <c r="F138" s="379">
        <v>0.03</v>
      </c>
      <c r="G138" s="381">
        <f t="shared" si="4"/>
        <v>54000</v>
      </c>
    </row>
    <row r="139" spans="1:7" ht="15.75">
      <c r="A139" s="240">
        <v>13032</v>
      </c>
      <c r="B139" s="228">
        <v>0.1</v>
      </c>
      <c r="C139" s="241" t="s">
        <v>53</v>
      </c>
      <c r="D139" s="249"/>
      <c r="E139" s="224">
        <v>800000</v>
      </c>
      <c r="F139" s="379">
        <v>0.03</v>
      </c>
      <c r="G139" s="381">
        <f t="shared" si="4"/>
        <v>24000</v>
      </c>
    </row>
    <row r="140" spans="1:7" ht="15.75">
      <c r="A140" s="222">
        <v>13082</v>
      </c>
      <c r="B140" s="235">
        <v>0.1</v>
      </c>
      <c r="C140" s="272" t="s">
        <v>28</v>
      </c>
      <c r="D140" s="249"/>
      <c r="E140" s="224">
        <v>1500000</v>
      </c>
      <c r="F140" s="379">
        <v>0.03</v>
      </c>
      <c r="G140" s="381">
        <f t="shared" si="4"/>
        <v>45000</v>
      </c>
    </row>
    <row r="141" spans="1:7" ht="15.75">
      <c r="A141" s="222">
        <v>13097</v>
      </c>
      <c r="B141" s="235">
        <v>0.1</v>
      </c>
      <c r="C141" s="272" t="s">
        <v>33</v>
      </c>
      <c r="D141" s="249"/>
      <c r="E141" s="224">
        <v>1500000</v>
      </c>
      <c r="F141" s="379">
        <v>0.03</v>
      </c>
      <c r="G141" s="381">
        <f t="shared" si="4"/>
        <v>45000</v>
      </c>
    </row>
    <row r="142" spans="1:7" ht="15.75">
      <c r="A142" s="222">
        <v>13115</v>
      </c>
      <c r="B142" s="235">
        <v>0.1</v>
      </c>
      <c r="C142" s="272" t="s">
        <v>36</v>
      </c>
      <c r="D142" s="249"/>
      <c r="E142" s="224">
        <v>1800000</v>
      </c>
      <c r="F142" s="379">
        <v>0.03</v>
      </c>
      <c r="G142" s="381">
        <f t="shared" si="4"/>
        <v>54000</v>
      </c>
    </row>
    <row r="143" spans="1:7" ht="15.75">
      <c r="A143" s="240">
        <v>13089</v>
      </c>
      <c r="B143" s="340">
        <v>0.1</v>
      </c>
      <c r="C143" s="229" t="s">
        <v>64</v>
      </c>
      <c r="D143" s="249"/>
      <c r="E143" s="224">
        <v>1600000</v>
      </c>
      <c r="F143" s="379">
        <v>0.03</v>
      </c>
      <c r="G143" s="381">
        <f t="shared" si="4"/>
        <v>48000</v>
      </c>
    </row>
    <row r="144" spans="1:7" ht="15.75">
      <c r="A144" s="293">
        <v>13126</v>
      </c>
      <c r="B144" s="352">
        <v>0.1</v>
      </c>
      <c r="C144" s="261" t="s">
        <v>67</v>
      </c>
      <c r="D144" s="353"/>
      <c r="E144" s="224">
        <v>1030000</v>
      </c>
      <c r="F144" s="379">
        <v>0.03</v>
      </c>
      <c r="G144" s="381">
        <f t="shared" si="4"/>
        <v>30900</v>
      </c>
    </row>
    <row r="145" spans="1:7" ht="15.75">
      <c r="A145" s="409">
        <v>13131</v>
      </c>
      <c r="B145" s="377">
        <v>0.1</v>
      </c>
      <c r="C145" s="261" t="s">
        <v>68</v>
      </c>
      <c r="D145" s="353"/>
      <c r="E145" s="224">
        <v>1700000</v>
      </c>
      <c r="F145" s="379">
        <v>0.03</v>
      </c>
      <c r="G145" s="381">
        <f t="shared" si="4"/>
        <v>51000</v>
      </c>
    </row>
    <row r="146" spans="1:7" ht="15.75">
      <c r="A146" s="214">
        <v>13021</v>
      </c>
      <c r="B146" s="348">
        <v>0.08</v>
      </c>
      <c r="C146" s="261" t="s">
        <v>109</v>
      </c>
      <c r="D146" s="249"/>
      <c r="E146" s="230">
        <v>900000</v>
      </c>
      <c r="F146" s="380">
        <v>0.02</v>
      </c>
      <c r="G146" s="381">
        <f t="shared" si="4"/>
        <v>18000</v>
      </c>
    </row>
    <row r="147" spans="1:7" ht="15.75">
      <c r="A147" s="214">
        <v>13120</v>
      </c>
      <c r="B147" s="225">
        <v>0.08</v>
      </c>
      <c r="C147" s="261" t="s">
        <v>113</v>
      </c>
      <c r="D147" s="249"/>
      <c r="E147" s="230">
        <v>1000000</v>
      </c>
      <c r="F147" s="380">
        <v>0.02</v>
      </c>
      <c r="G147" s="381">
        <f t="shared" si="4"/>
        <v>20000</v>
      </c>
    </row>
    <row r="148" spans="1:7" ht="18">
      <c r="A148" s="190"/>
      <c r="B148" s="190"/>
      <c r="C148" s="190"/>
      <c r="D148" s="202" t="s">
        <v>47</v>
      </c>
      <c r="E148" s="203">
        <f>SUM(E98:E147)</f>
        <v>69380000</v>
      </c>
      <c r="F148" s="404"/>
      <c r="G148" s="200">
        <f>SUM(G98:G147)</f>
        <v>1968400</v>
      </c>
    </row>
    <row r="151" spans="1:7">
      <c r="A151" s="1002" t="s">
        <v>122</v>
      </c>
      <c r="B151" s="1003"/>
      <c r="C151" s="1003"/>
      <c r="D151" s="1003"/>
      <c r="E151" s="1003"/>
      <c r="F151" s="1003"/>
      <c r="G151" s="1004"/>
    </row>
    <row r="152" spans="1:7">
      <c r="A152" s="1005"/>
      <c r="B152" s="1006"/>
      <c r="C152" s="1006"/>
      <c r="D152" s="1006"/>
      <c r="E152" s="1006"/>
      <c r="F152" s="1006"/>
      <c r="G152" s="1007"/>
    </row>
    <row r="153" spans="1:7">
      <c r="A153" s="1005"/>
      <c r="B153" s="1006"/>
      <c r="C153" s="1006"/>
      <c r="D153" s="1006"/>
      <c r="E153" s="1006"/>
      <c r="F153" s="1006"/>
      <c r="G153" s="1007"/>
    </row>
    <row r="154" spans="1:7">
      <c r="A154" s="1008"/>
      <c r="B154" s="1009"/>
      <c r="C154" s="1009"/>
      <c r="D154" s="1009"/>
      <c r="E154" s="1009"/>
      <c r="F154" s="1009"/>
      <c r="G154" s="1010"/>
    </row>
    <row r="156" spans="1:7">
      <c r="A156" s="994" t="s">
        <v>720</v>
      </c>
      <c r="B156" s="994"/>
      <c r="C156" s="994"/>
      <c r="D156" s="994"/>
      <c r="E156" s="994"/>
      <c r="F156" s="994"/>
      <c r="G156" s="994"/>
    </row>
    <row r="157" spans="1:7">
      <c r="A157" s="994"/>
      <c r="B157" s="994"/>
      <c r="C157" s="994"/>
      <c r="D157" s="994"/>
      <c r="E157" s="994"/>
      <c r="F157" s="994"/>
      <c r="G157" s="994"/>
    </row>
    <row r="158" spans="1:7">
      <c r="A158" s="175" t="s">
        <v>3</v>
      </c>
      <c r="B158" s="175" t="s">
        <v>709</v>
      </c>
      <c r="C158" s="175" t="s">
        <v>710</v>
      </c>
      <c r="D158" s="176" t="s">
        <v>711</v>
      </c>
      <c r="E158" s="177" t="s">
        <v>300</v>
      </c>
      <c r="F158" s="178" t="s">
        <v>7</v>
      </c>
      <c r="G158" s="179" t="s">
        <v>50</v>
      </c>
    </row>
    <row r="159" spans="1:7" ht="15.75">
      <c r="A159" s="222">
        <v>13181</v>
      </c>
      <c r="B159" s="408">
        <v>0.1</v>
      </c>
      <c r="C159" s="261" t="s">
        <v>125</v>
      </c>
      <c r="D159" s="216"/>
      <c r="E159" s="224">
        <v>1550000</v>
      </c>
      <c r="F159" s="247">
        <v>0.05</v>
      </c>
      <c r="G159" s="248">
        <f>E159*F159</f>
        <v>77500</v>
      </c>
    </row>
    <row r="160" spans="1:7" ht="15.75">
      <c r="A160" s="222">
        <v>13248</v>
      </c>
      <c r="B160" s="347">
        <v>0.08</v>
      </c>
      <c r="C160" s="272" t="s">
        <v>130</v>
      </c>
      <c r="D160" s="230"/>
      <c r="E160" s="246">
        <v>1600000</v>
      </c>
      <c r="F160" s="349">
        <v>0.04</v>
      </c>
      <c r="G160" s="248">
        <f t="shared" ref="G160:G172" si="5">E160*F160</f>
        <v>64000</v>
      </c>
    </row>
    <row r="161" spans="1:7" ht="15.75">
      <c r="A161" s="222">
        <v>13385</v>
      </c>
      <c r="B161" s="231">
        <v>0.1</v>
      </c>
      <c r="C161" s="272" t="s">
        <v>138</v>
      </c>
      <c r="D161" s="230"/>
      <c r="E161" s="246">
        <v>1450000</v>
      </c>
      <c r="F161" s="247">
        <v>0.05</v>
      </c>
      <c r="G161" s="248">
        <f t="shared" si="5"/>
        <v>72500</v>
      </c>
    </row>
    <row r="162" spans="1:7" ht="15.75">
      <c r="A162" s="343">
        <v>13156</v>
      </c>
      <c r="B162" s="231">
        <v>0.1</v>
      </c>
      <c r="C162" s="344" t="s">
        <v>721</v>
      </c>
      <c r="D162" s="230"/>
      <c r="E162" s="224">
        <v>1850000</v>
      </c>
      <c r="F162" s="349">
        <v>0.02</v>
      </c>
      <c r="G162" s="248">
        <f t="shared" si="5"/>
        <v>37000</v>
      </c>
    </row>
    <row r="163" spans="1:7" ht="15.75">
      <c r="A163" s="343">
        <v>13142</v>
      </c>
      <c r="B163" s="231">
        <v>0.1</v>
      </c>
      <c r="C163" s="344" t="s">
        <v>149</v>
      </c>
      <c r="D163" s="230"/>
      <c r="E163" s="224">
        <v>2600000</v>
      </c>
      <c r="F163" s="247">
        <v>0.05</v>
      </c>
      <c r="G163" s="248">
        <f t="shared" si="5"/>
        <v>130000</v>
      </c>
    </row>
    <row r="164" spans="1:7" ht="15.75">
      <c r="A164" s="260">
        <v>13213</v>
      </c>
      <c r="B164" s="228">
        <v>0.1</v>
      </c>
      <c r="C164" s="261" t="s">
        <v>150</v>
      </c>
      <c r="D164" s="230"/>
      <c r="E164" s="224">
        <v>1100000</v>
      </c>
      <c r="F164" s="247">
        <v>0.05</v>
      </c>
      <c r="G164" s="248">
        <f t="shared" si="5"/>
        <v>55000</v>
      </c>
    </row>
    <row r="165" spans="1:7" ht="15.75">
      <c r="A165" s="222">
        <v>13197</v>
      </c>
      <c r="B165" s="235">
        <v>0.1</v>
      </c>
      <c r="C165" s="272" t="s">
        <v>124</v>
      </c>
      <c r="D165" s="230"/>
      <c r="E165" s="216">
        <v>2200000</v>
      </c>
      <c r="F165" s="247">
        <v>0.05</v>
      </c>
      <c r="G165" s="248">
        <f t="shared" si="5"/>
        <v>110000</v>
      </c>
    </row>
    <row r="166" spans="1:7" ht="15.75">
      <c r="A166" s="300">
        <v>13371</v>
      </c>
      <c r="B166" s="235">
        <v>0.1</v>
      </c>
      <c r="C166" s="272" t="s">
        <v>153</v>
      </c>
      <c r="D166" s="230"/>
      <c r="E166" s="216">
        <v>1650000</v>
      </c>
      <c r="F166" s="247">
        <v>0.05</v>
      </c>
      <c r="G166" s="248">
        <f t="shared" si="5"/>
        <v>82500</v>
      </c>
    </row>
    <row r="167" spans="1:7" ht="15.75">
      <c r="A167" s="214">
        <v>13222</v>
      </c>
      <c r="B167" s="221">
        <v>0.1</v>
      </c>
      <c r="C167" s="277" t="s">
        <v>160</v>
      </c>
      <c r="D167" s="216"/>
      <c r="E167" s="242">
        <v>1750000</v>
      </c>
      <c r="F167" s="247">
        <v>0.05</v>
      </c>
      <c r="G167" s="248">
        <f t="shared" si="5"/>
        <v>87500</v>
      </c>
    </row>
    <row r="168" spans="1:7" ht="15.75">
      <c r="A168" s="240">
        <v>13202</v>
      </c>
      <c r="B168" s="228">
        <v>0.1</v>
      </c>
      <c r="C168" s="241" t="s">
        <v>174</v>
      </c>
      <c r="D168" s="242"/>
      <c r="E168" s="242">
        <v>1200000</v>
      </c>
      <c r="F168" s="247">
        <v>0.05</v>
      </c>
      <c r="G168" s="248">
        <f t="shared" si="5"/>
        <v>60000</v>
      </c>
    </row>
    <row r="169" spans="1:7" ht="15.75">
      <c r="A169" s="240">
        <v>13296</v>
      </c>
      <c r="B169" s="228">
        <v>0.1</v>
      </c>
      <c r="C169" s="241" t="s">
        <v>177</v>
      </c>
      <c r="D169" s="242"/>
      <c r="E169" s="242">
        <v>950000</v>
      </c>
      <c r="F169" s="247">
        <v>0.05</v>
      </c>
      <c r="G169" s="248">
        <f t="shared" si="5"/>
        <v>47500</v>
      </c>
    </row>
    <row r="170" spans="1:7" ht="15.75">
      <c r="A170" s="260">
        <v>13304</v>
      </c>
      <c r="B170" s="231">
        <v>0.1</v>
      </c>
      <c r="C170" s="241" t="s">
        <v>179</v>
      </c>
      <c r="D170" s="242"/>
      <c r="E170" s="246">
        <v>1200000</v>
      </c>
      <c r="F170" s="247">
        <v>0.05</v>
      </c>
      <c r="G170" s="248">
        <f t="shared" si="5"/>
        <v>60000</v>
      </c>
    </row>
    <row r="171" spans="1:7" ht="15.75">
      <c r="A171" s="240">
        <v>13355</v>
      </c>
      <c r="B171" s="228">
        <v>0.1</v>
      </c>
      <c r="C171" s="241" t="s">
        <v>183</v>
      </c>
      <c r="D171" s="302"/>
      <c r="E171" s="246">
        <v>650000</v>
      </c>
      <c r="F171" s="247">
        <v>0.05</v>
      </c>
      <c r="G171" s="248">
        <f t="shared" si="5"/>
        <v>32500</v>
      </c>
    </row>
    <row r="172" spans="1:7" ht="15.75">
      <c r="A172" s="260">
        <v>13159</v>
      </c>
      <c r="B172" s="231">
        <v>0.1</v>
      </c>
      <c r="C172" s="261" t="s">
        <v>187</v>
      </c>
      <c r="D172" s="278"/>
      <c r="E172" s="246">
        <v>1950000</v>
      </c>
      <c r="F172" s="247">
        <v>0.05</v>
      </c>
      <c r="G172" s="248">
        <f t="shared" si="5"/>
        <v>97500</v>
      </c>
    </row>
    <row r="173" spans="1:7" ht="18">
      <c r="A173" s="461"/>
      <c r="B173" s="180"/>
      <c r="C173" s="180"/>
      <c r="D173" s="181"/>
      <c r="E173" s="182">
        <f>SUM(E159:E172)</f>
        <v>21700000</v>
      </c>
      <c r="F173" s="180"/>
      <c r="G173" s="192">
        <f>SUM(G159:G172)</f>
        <v>1013500</v>
      </c>
    </row>
    <row r="176" spans="1:7">
      <c r="A176" s="994" t="s">
        <v>722</v>
      </c>
      <c r="B176" s="994"/>
      <c r="C176" s="994"/>
      <c r="D176" s="994"/>
      <c r="E176" s="994"/>
      <c r="F176" s="994"/>
      <c r="G176" s="994"/>
    </row>
    <row r="177" spans="1:7">
      <c r="A177" s="994"/>
      <c r="B177" s="994"/>
      <c r="C177" s="995"/>
      <c r="D177" s="994"/>
      <c r="E177" s="994"/>
      <c r="F177" s="994"/>
      <c r="G177" s="994"/>
    </row>
    <row r="178" spans="1:7">
      <c r="A178" s="299" t="s">
        <v>3</v>
      </c>
      <c r="B178" s="183" t="s">
        <v>709</v>
      </c>
      <c r="C178" s="184" t="s">
        <v>710</v>
      </c>
      <c r="D178" s="185" t="s">
        <v>711</v>
      </c>
      <c r="E178" s="186" t="s">
        <v>300</v>
      </c>
      <c r="F178" s="187" t="s">
        <v>7</v>
      </c>
      <c r="G178" s="188" t="s">
        <v>50</v>
      </c>
    </row>
    <row r="179" spans="1:7" ht="15.75">
      <c r="A179" s="222">
        <v>13345</v>
      </c>
      <c r="B179" s="347">
        <v>0.08</v>
      </c>
      <c r="C179" s="272" t="s">
        <v>134</v>
      </c>
      <c r="D179" s="230"/>
      <c r="E179" s="216">
        <v>2300000</v>
      </c>
      <c r="F179" s="225">
        <v>0.04</v>
      </c>
      <c r="G179" s="226">
        <f>E179*F179</f>
        <v>92000</v>
      </c>
    </row>
    <row r="180" spans="1:7" ht="15.75">
      <c r="A180" s="222">
        <v>13379</v>
      </c>
      <c r="B180" s="347">
        <v>0.08</v>
      </c>
      <c r="C180" s="272" t="s">
        <v>137</v>
      </c>
      <c r="D180" s="230"/>
      <c r="E180" s="216">
        <v>1800000</v>
      </c>
      <c r="F180" s="225">
        <v>0.04</v>
      </c>
      <c r="G180" s="226">
        <f t="shared" ref="G180:G193" si="6">E180*F180</f>
        <v>72000</v>
      </c>
    </row>
    <row r="181" spans="1:7" ht="15.75">
      <c r="A181" s="222">
        <v>13404</v>
      </c>
      <c r="B181" s="231">
        <v>0.1</v>
      </c>
      <c r="C181" s="272" t="s">
        <v>139</v>
      </c>
      <c r="D181" s="230"/>
      <c r="E181" s="242">
        <v>1600000</v>
      </c>
      <c r="F181" s="250">
        <v>0.05</v>
      </c>
      <c r="G181" s="226">
        <f t="shared" si="6"/>
        <v>80000</v>
      </c>
    </row>
    <row r="182" spans="1:7" ht="15.75">
      <c r="A182" s="222">
        <v>13347</v>
      </c>
      <c r="B182" s="235">
        <v>0.1</v>
      </c>
      <c r="C182" s="272" t="s">
        <v>152</v>
      </c>
      <c r="D182" s="230"/>
      <c r="E182" s="242">
        <v>1750000</v>
      </c>
      <c r="F182" s="250">
        <v>0.05</v>
      </c>
      <c r="G182" s="226">
        <f t="shared" si="6"/>
        <v>87500</v>
      </c>
    </row>
    <row r="183" spans="1:7" ht="15.75">
      <c r="A183" s="300">
        <v>13400</v>
      </c>
      <c r="B183" s="235">
        <v>0.1</v>
      </c>
      <c r="C183" s="272" t="s">
        <v>154</v>
      </c>
      <c r="D183" s="230"/>
      <c r="E183" s="305">
        <v>1700000</v>
      </c>
      <c r="F183" s="250">
        <v>0.05</v>
      </c>
      <c r="G183" s="226">
        <f t="shared" si="6"/>
        <v>85000</v>
      </c>
    </row>
    <row r="184" spans="1:7" ht="15.75">
      <c r="A184" s="214">
        <v>13227</v>
      </c>
      <c r="B184" s="221">
        <v>0.1</v>
      </c>
      <c r="C184" s="277" t="s">
        <v>161</v>
      </c>
      <c r="D184" s="216"/>
      <c r="E184" s="242">
        <v>850000</v>
      </c>
      <c r="F184" s="250">
        <v>0.05</v>
      </c>
      <c r="G184" s="226">
        <f t="shared" si="6"/>
        <v>42500</v>
      </c>
    </row>
    <row r="185" spans="1:7" ht="15.75">
      <c r="A185" s="214">
        <v>13235</v>
      </c>
      <c r="B185" s="221">
        <v>0.1</v>
      </c>
      <c r="C185" s="277" t="s">
        <v>162</v>
      </c>
      <c r="D185" s="216"/>
      <c r="E185" s="242">
        <v>1500000</v>
      </c>
      <c r="F185" s="250">
        <v>0.05</v>
      </c>
      <c r="G185" s="226">
        <f t="shared" si="6"/>
        <v>75000</v>
      </c>
    </row>
    <row r="186" spans="1:7" ht="15.75">
      <c r="A186" s="214">
        <v>13362</v>
      </c>
      <c r="B186" s="221">
        <v>0.1</v>
      </c>
      <c r="C186" s="241" t="s">
        <v>165</v>
      </c>
      <c r="D186" s="242"/>
      <c r="E186" s="242">
        <v>1100000</v>
      </c>
      <c r="F186" s="250">
        <v>0.05</v>
      </c>
      <c r="G186" s="226">
        <f t="shared" si="6"/>
        <v>55000</v>
      </c>
    </row>
    <row r="187" spans="1:7" ht="15.75">
      <c r="A187" s="293">
        <v>13137</v>
      </c>
      <c r="B187" s="231">
        <v>0.1</v>
      </c>
      <c r="C187" s="241" t="s">
        <v>171</v>
      </c>
      <c r="D187" s="242"/>
      <c r="E187" s="246">
        <v>1100000</v>
      </c>
      <c r="F187" s="250">
        <v>0.05</v>
      </c>
      <c r="G187" s="226">
        <f t="shared" si="6"/>
        <v>55000</v>
      </c>
    </row>
    <row r="188" spans="1:7" ht="15.75">
      <c r="A188" s="240">
        <v>13258</v>
      </c>
      <c r="B188" s="228">
        <v>0.1</v>
      </c>
      <c r="C188" s="241" t="s">
        <v>175</v>
      </c>
      <c r="D188" s="242"/>
      <c r="E188" s="242">
        <v>1100000</v>
      </c>
      <c r="F188" s="250">
        <v>0.05</v>
      </c>
      <c r="G188" s="226">
        <f t="shared" si="6"/>
        <v>55000</v>
      </c>
    </row>
    <row r="189" spans="1:7" ht="15.75">
      <c r="A189" s="240">
        <v>13302</v>
      </c>
      <c r="B189" s="228">
        <v>0.1</v>
      </c>
      <c r="C189" s="241" t="s">
        <v>178</v>
      </c>
      <c r="D189" s="242"/>
      <c r="E189" s="416">
        <v>1200000</v>
      </c>
      <c r="F189" s="250">
        <v>0.05</v>
      </c>
      <c r="G189" s="226">
        <f t="shared" si="6"/>
        <v>60000</v>
      </c>
    </row>
    <row r="190" spans="1:7" ht="15.75">
      <c r="A190" s="260">
        <v>13316</v>
      </c>
      <c r="B190" s="231">
        <v>0.1</v>
      </c>
      <c r="C190" s="241" t="s">
        <v>180</v>
      </c>
      <c r="D190" s="242"/>
      <c r="E190" s="416">
        <v>750000</v>
      </c>
      <c r="F190" s="250">
        <v>0.05</v>
      </c>
      <c r="G190" s="226">
        <f t="shared" si="6"/>
        <v>37500</v>
      </c>
    </row>
    <row r="191" spans="1:7" ht="15.75">
      <c r="A191" s="260">
        <v>13390</v>
      </c>
      <c r="B191" s="217">
        <v>0.08</v>
      </c>
      <c r="C191" s="241" t="s">
        <v>184</v>
      </c>
      <c r="D191" s="242"/>
      <c r="E191" s="416">
        <v>1250000</v>
      </c>
      <c r="F191" s="225">
        <v>0.04</v>
      </c>
      <c r="G191" s="226">
        <f t="shared" si="6"/>
        <v>50000</v>
      </c>
    </row>
    <row r="192" spans="1:7" ht="15.75">
      <c r="A192" s="214">
        <v>13340</v>
      </c>
      <c r="B192" s="228">
        <v>0.1</v>
      </c>
      <c r="C192" s="261" t="s">
        <v>190</v>
      </c>
      <c r="D192" s="278"/>
      <c r="E192" s="416">
        <v>2100000</v>
      </c>
      <c r="F192" s="250">
        <v>0.05</v>
      </c>
      <c r="G192" s="226">
        <f t="shared" si="6"/>
        <v>105000</v>
      </c>
    </row>
    <row r="193" spans="1:7" ht="15.75">
      <c r="A193" s="426">
        <v>13295</v>
      </c>
      <c r="B193" s="231">
        <v>0.1</v>
      </c>
      <c r="C193" s="344" t="s">
        <v>145</v>
      </c>
      <c r="D193" s="413" t="s">
        <v>723</v>
      </c>
      <c r="E193" s="346">
        <v>1500000</v>
      </c>
      <c r="F193" s="250">
        <v>0.05</v>
      </c>
      <c r="G193" s="226">
        <f t="shared" si="6"/>
        <v>75000</v>
      </c>
    </row>
    <row r="194" spans="1:7" ht="18">
      <c r="A194" s="190"/>
      <c r="B194" s="190"/>
      <c r="C194" s="190"/>
      <c r="D194" s="189"/>
      <c r="E194" s="191">
        <f>SUM(E179:E193)</f>
        <v>21600000</v>
      </c>
      <c r="F194" s="190"/>
      <c r="G194" s="192">
        <f>SUM(G179:G193)</f>
        <v>1026500</v>
      </c>
    </row>
    <row r="197" spans="1:7">
      <c r="A197" s="994" t="s">
        <v>724</v>
      </c>
      <c r="B197" s="994"/>
      <c r="C197" s="994"/>
      <c r="D197" s="994"/>
      <c r="E197" s="994"/>
      <c r="F197" s="994"/>
      <c r="G197" s="994"/>
    </row>
    <row r="198" spans="1:7">
      <c r="A198" s="994"/>
      <c r="B198" s="995"/>
      <c r="C198" s="995"/>
      <c r="D198" s="994"/>
      <c r="E198" s="994"/>
      <c r="F198" s="994"/>
      <c r="G198" s="994"/>
    </row>
    <row r="199" spans="1:7">
      <c r="A199" s="194" t="s">
        <v>3</v>
      </c>
      <c r="B199" s="195" t="s">
        <v>709</v>
      </c>
      <c r="C199" s="195" t="s">
        <v>710</v>
      </c>
      <c r="D199" s="196" t="s">
        <v>711</v>
      </c>
      <c r="E199" s="197" t="s">
        <v>300</v>
      </c>
      <c r="F199" s="178" t="s">
        <v>7</v>
      </c>
      <c r="G199" s="198" t="s">
        <v>50</v>
      </c>
    </row>
    <row r="200" spans="1:7" ht="15.75">
      <c r="A200" s="222">
        <v>13136</v>
      </c>
      <c r="B200" s="408">
        <v>0.1</v>
      </c>
      <c r="C200" s="261" t="s">
        <v>127</v>
      </c>
      <c r="D200" s="245"/>
      <c r="E200" s="246">
        <v>900000</v>
      </c>
      <c r="F200" s="250"/>
      <c r="G200" s="226"/>
    </row>
    <row r="201" spans="1:7" ht="15.75">
      <c r="A201" s="341">
        <v>13151</v>
      </c>
      <c r="B201" s="231">
        <v>0.1</v>
      </c>
      <c r="C201" s="344" t="s">
        <v>725</v>
      </c>
      <c r="D201" s="245"/>
      <c r="E201" s="230">
        <v>2400000</v>
      </c>
      <c r="F201" s="250"/>
      <c r="G201" s="226"/>
    </row>
    <row r="202" spans="1:7" ht="15.75">
      <c r="A202" s="411">
        <v>13140</v>
      </c>
      <c r="B202" s="228">
        <v>0.1</v>
      </c>
      <c r="C202" s="261" t="s">
        <v>726</v>
      </c>
      <c r="D202" s="245"/>
      <c r="E202" s="230">
        <v>1800000</v>
      </c>
      <c r="F202" s="250"/>
      <c r="G202" s="226"/>
    </row>
    <row r="203" spans="1:7" ht="15.75">
      <c r="A203" s="159"/>
      <c r="B203" s="21"/>
      <c r="C203" s="193"/>
      <c r="D203" s="405"/>
      <c r="E203" s="406"/>
      <c r="F203" s="407"/>
      <c r="G203" s="114"/>
    </row>
    <row r="204" spans="1:7" ht="18">
      <c r="A204" s="412"/>
      <c r="B204" s="190"/>
      <c r="C204" s="190"/>
      <c r="D204" s="189"/>
      <c r="E204" s="199">
        <f>SUM(E200:E203)</f>
        <v>5100000</v>
      </c>
      <c r="F204" s="190"/>
      <c r="G204" s="192">
        <f>SUM(G200:G203)</f>
        <v>0</v>
      </c>
    </row>
    <row r="207" spans="1:7" ht="15" customHeight="1">
      <c r="A207" s="994" t="s">
        <v>727</v>
      </c>
      <c r="B207" s="994"/>
      <c r="C207" s="994"/>
      <c r="D207" s="994"/>
      <c r="E207" s="994"/>
      <c r="F207" s="994"/>
      <c r="G207" s="994"/>
    </row>
    <row r="208" spans="1:7" ht="15" customHeight="1">
      <c r="A208" s="994"/>
      <c r="B208" s="995"/>
      <c r="C208" s="995"/>
      <c r="D208" s="994"/>
      <c r="E208" s="994"/>
      <c r="F208" s="994"/>
      <c r="G208" s="994"/>
    </row>
    <row r="209" spans="1:7">
      <c r="A209" s="195" t="s">
        <v>3</v>
      </c>
      <c r="B209" s="195" t="s">
        <v>709</v>
      </c>
      <c r="C209" s="195" t="s">
        <v>710</v>
      </c>
      <c r="D209" s="176" t="s">
        <v>711</v>
      </c>
      <c r="E209" s="197" t="s">
        <v>300</v>
      </c>
      <c r="F209" s="178" t="s">
        <v>7</v>
      </c>
      <c r="G209" s="198" t="s">
        <v>50</v>
      </c>
    </row>
    <row r="210" spans="1:7" ht="15.75">
      <c r="A210" s="222">
        <v>13146</v>
      </c>
      <c r="B210" s="408">
        <v>0.1</v>
      </c>
      <c r="C210" s="261" t="s">
        <v>123</v>
      </c>
      <c r="D210" s="216"/>
      <c r="E210" s="230">
        <v>1450000</v>
      </c>
      <c r="F210" s="250">
        <v>0.05</v>
      </c>
      <c r="G210" s="226">
        <f>E210*F210</f>
        <v>72500</v>
      </c>
    </row>
    <row r="211" spans="1:7" ht="15.75">
      <c r="A211" s="222">
        <v>13166</v>
      </c>
      <c r="B211" s="235">
        <v>0.1</v>
      </c>
      <c r="C211" s="272" t="s">
        <v>129</v>
      </c>
      <c r="D211" s="230"/>
      <c r="E211" s="230">
        <v>850000</v>
      </c>
      <c r="F211" s="250">
        <v>0.05</v>
      </c>
      <c r="G211" s="226">
        <f t="shared" ref="G211:G228" si="7">E211*F211</f>
        <v>42500</v>
      </c>
    </row>
    <row r="212" spans="1:7" ht="15.75">
      <c r="A212" s="222">
        <v>13282</v>
      </c>
      <c r="B212" s="235">
        <v>0.1</v>
      </c>
      <c r="C212" s="272" t="s">
        <v>133</v>
      </c>
      <c r="D212" s="230"/>
      <c r="E212" s="230">
        <v>850000</v>
      </c>
      <c r="F212" s="250">
        <v>0.05</v>
      </c>
      <c r="G212" s="226">
        <f t="shared" si="7"/>
        <v>42500</v>
      </c>
    </row>
    <row r="213" spans="1:7" ht="15.75">
      <c r="A213" s="222">
        <v>13361</v>
      </c>
      <c r="B213" s="235">
        <v>0.1</v>
      </c>
      <c r="C213" s="272" t="s">
        <v>728</v>
      </c>
      <c r="D213" s="230"/>
      <c r="E213" s="414">
        <v>1400000</v>
      </c>
      <c r="F213" s="250">
        <v>0.05</v>
      </c>
      <c r="G213" s="226">
        <f t="shared" si="7"/>
        <v>70000</v>
      </c>
    </row>
    <row r="214" spans="1:7" ht="15.75">
      <c r="A214" s="222">
        <v>13364</v>
      </c>
      <c r="B214" s="235">
        <v>0.1</v>
      </c>
      <c r="C214" s="272" t="s">
        <v>136</v>
      </c>
      <c r="D214" s="230"/>
      <c r="E214" s="230">
        <v>850000</v>
      </c>
      <c r="F214" s="250">
        <v>0.05</v>
      </c>
      <c r="G214" s="226">
        <f t="shared" si="7"/>
        <v>42500</v>
      </c>
    </row>
    <row r="215" spans="1:7" ht="15.75">
      <c r="A215" s="300">
        <v>13320</v>
      </c>
      <c r="B215" s="235">
        <v>0.1</v>
      </c>
      <c r="C215" s="272" t="s">
        <v>151</v>
      </c>
      <c r="D215" s="230"/>
      <c r="E215" s="224">
        <v>1700000</v>
      </c>
      <c r="F215" s="250">
        <v>0.05</v>
      </c>
      <c r="G215" s="226">
        <f t="shared" si="7"/>
        <v>85000</v>
      </c>
    </row>
    <row r="216" spans="1:7" ht="15.75">
      <c r="A216" s="300">
        <v>13412</v>
      </c>
      <c r="B216" s="235">
        <v>0.1</v>
      </c>
      <c r="C216" s="272" t="s">
        <v>126</v>
      </c>
      <c r="D216" s="230"/>
      <c r="E216" s="415">
        <v>1800000</v>
      </c>
      <c r="F216" s="250">
        <v>0.05</v>
      </c>
      <c r="G216" s="226">
        <f t="shared" si="7"/>
        <v>90000</v>
      </c>
    </row>
    <row r="217" spans="1:7" ht="15.75">
      <c r="A217" s="214">
        <v>13199</v>
      </c>
      <c r="B217" s="221">
        <v>0.1</v>
      </c>
      <c r="C217" s="277" t="s">
        <v>159</v>
      </c>
      <c r="D217" s="216"/>
      <c r="E217" s="216">
        <v>1600000</v>
      </c>
      <c r="F217" s="250">
        <v>0.05</v>
      </c>
      <c r="G217" s="226">
        <f t="shared" si="7"/>
        <v>80000</v>
      </c>
    </row>
    <row r="218" spans="1:7" ht="15.75">
      <c r="A218" s="214">
        <v>13297</v>
      </c>
      <c r="B218" s="221">
        <v>0.1</v>
      </c>
      <c r="C218" s="277" t="s">
        <v>163</v>
      </c>
      <c r="D218" s="216"/>
      <c r="E218" s="216">
        <v>1700000</v>
      </c>
      <c r="F218" s="250">
        <v>0.05</v>
      </c>
      <c r="G218" s="226">
        <f t="shared" si="7"/>
        <v>85000</v>
      </c>
    </row>
    <row r="219" spans="1:7" ht="15.75">
      <c r="A219" s="214">
        <v>13349</v>
      </c>
      <c r="B219" s="221">
        <v>0.1</v>
      </c>
      <c r="C219" s="277" t="s">
        <v>729</v>
      </c>
      <c r="D219" s="216"/>
      <c r="E219" s="224">
        <v>2000000</v>
      </c>
      <c r="F219" s="250">
        <v>0.05</v>
      </c>
      <c r="G219" s="226">
        <f t="shared" si="7"/>
        <v>100000</v>
      </c>
    </row>
    <row r="220" spans="1:7" ht="15.75">
      <c r="A220" s="214">
        <v>13366</v>
      </c>
      <c r="B220" s="221">
        <v>0.1</v>
      </c>
      <c r="C220" s="277" t="s">
        <v>166</v>
      </c>
      <c r="D220" s="216"/>
      <c r="E220" s="224">
        <v>1800000</v>
      </c>
      <c r="F220" s="250">
        <v>0.05</v>
      </c>
      <c r="G220" s="226">
        <f t="shared" si="7"/>
        <v>90000</v>
      </c>
    </row>
    <row r="221" spans="1:7" ht="15.75">
      <c r="A221" s="410">
        <v>13152</v>
      </c>
      <c r="B221" s="231">
        <v>0.1</v>
      </c>
      <c r="C221" s="241" t="s">
        <v>173</v>
      </c>
      <c r="D221" s="242"/>
      <c r="E221" s="224">
        <v>1100000</v>
      </c>
      <c r="F221" s="250">
        <v>0.05</v>
      </c>
      <c r="G221" s="226">
        <f t="shared" si="7"/>
        <v>55000</v>
      </c>
    </row>
    <row r="222" spans="1:7" ht="15.75">
      <c r="A222" s="240">
        <v>13261</v>
      </c>
      <c r="B222" s="228">
        <v>0.1</v>
      </c>
      <c r="C222" s="241" t="s">
        <v>730</v>
      </c>
      <c r="D222" s="242"/>
      <c r="E222" s="242">
        <v>520000</v>
      </c>
      <c r="F222" s="250">
        <v>0.05</v>
      </c>
      <c r="G222" s="226">
        <f t="shared" si="7"/>
        <v>26000</v>
      </c>
    </row>
    <row r="223" spans="1:7" ht="15.75">
      <c r="A223" s="240">
        <v>13317</v>
      </c>
      <c r="B223" s="228">
        <v>0.1</v>
      </c>
      <c r="C223" s="241" t="s">
        <v>181</v>
      </c>
      <c r="D223" s="242"/>
      <c r="E223" s="242">
        <v>1200000</v>
      </c>
      <c r="F223" s="250">
        <v>0.05</v>
      </c>
      <c r="G223" s="226">
        <f t="shared" si="7"/>
        <v>60000</v>
      </c>
    </row>
    <row r="224" spans="1:7" ht="15.75">
      <c r="A224" s="260">
        <v>13344</v>
      </c>
      <c r="B224" s="231">
        <v>0.1</v>
      </c>
      <c r="C224" s="241" t="s">
        <v>182</v>
      </c>
      <c r="D224" s="242"/>
      <c r="E224" s="278">
        <v>950000</v>
      </c>
      <c r="F224" s="250">
        <v>0.05</v>
      </c>
      <c r="G224" s="226">
        <f t="shared" si="7"/>
        <v>47500</v>
      </c>
    </row>
    <row r="225" spans="1:7" ht="15.75">
      <c r="A225" s="260">
        <v>13407</v>
      </c>
      <c r="B225" s="228">
        <v>0.1</v>
      </c>
      <c r="C225" s="241" t="s">
        <v>128</v>
      </c>
      <c r="D225" s="242"/>
      <c r="E225" s="278">
        <v>1000000</v>
      </c>
      <c r="F225" s="250">
        <v>0.05</v>
      </c>
      <c r="G225" s="226">
        <f t="shared" si="7"/>
        <v>50000</v>
      </c>
    </row>
    <row r="226" spans="1:7" ht="15.75">
      <c r="A226" s="214">
        <v>13219</v>
      </c>
      <c r="B226" s="228">
        <v>0.1</v>
      </c>
      <c r="C226" s="261" t="s">
        <v>188</v>
      </c>
      <c r="D226" s="278"/>
      <c r="E226" s="278">
        <v>950000</v>
      </c>
      <c r="F226" s="250">
        <v>0.05</v>
      </c>
      <c r="G226" s="226">
        <f t="shared" si="7"/>
        <v>47500</v>
      </c>
    </row>
    <row r="227" spans="1:7" ht="15.75">
      <c r="A227" s="214">
        <v>13278</v>
      </c>
      <c r="B227" s="217">
        <v>0.08</v>
      </c>
      <c r="C227" s="261" t="s">
        <v>189</v>
      </c>
      <c r="D227" s="278"/>
      <c r="E227" s="278">
        <v>1550000</v>
      </c>
      <c r="F227" s="225">
        <v>0.04</v>
      </c>
      <c r="G227" s="226">
        <f t="shared" si="7"/>
        <v>62000</v>
      </c>
    </row>
    <row r="228" spans="1:7" ht="15.75">
      <c r="A228" s="300">
        <v>13190</v>
      </c>
      <c r="B228" s="347">
        <v>0.08</v>
      </c>
      <c r="C228" s="272" t="s">
        <v>731</v>
      </c>
      <c r="D228" s="310" t="s">
        <v>732</v>
      </c>
      <c r="E228" s="224">
        <v>2500000</v>
      </c>
      <c r="F228" s="225">
        <v>0.04</v>
      </c>
      <c r="G228" s="226">
        <f t="shared" si="7"/>
        <v>100000</v>
      </c>
    </row>
    <row r="229" spans="1:7" ht="18">
      <c r="A229" s="190"/>
      <c r="B229" s="190"/>
      <c r="C229" s="190"/>
      <c r="D229" s="189"/>
      <c r="E229" s="200">
        <f>SUM(E210:E228)</f>
        <v>25770000</v>
      </c>
      <c r="F229" s="201"/>
      <c r="G229" s="192">
        <f>SUM(G210:G228)</f>
        <v>1248000</v>
      </c>
    </row>
    <row r="232" spans="1:7">
      <c r="A232" s="994" t="s">
        <v>733</v>
      </c>
      <c r="B232" s="994"/>
      <c r="C232" s="994"/>
      <c r="D232" s="994"/>
      <c r="E232" s="994"/>
      <c r="F232" s="994"/>
      <c r="G232" s="994"/>
    </row>
    <row r="233" spans="1:7">
      <c r="A233" s="994"/>
      <c r="B233" s="995"/>
      <c r="C233" s="995"/>
      <c r="D233" s="994"/>
      <c r="E233" s="994"/>
      <c r="F233" s="994"/>
      <c r="G233" s="994"/>
    </row>
    <row r="234" spans="1:7">
      <c r="A234" s="194" t="s">
        <v>3</v>
      </c>
      <c r="B234" s="195" t="s">
        <v>709</v>
      </c>
      <c r="C234" s="195" t="s">
        <v>710</v>
      </c>
      <c r="D234" s="196" t="s">
        <v>711</v>
      </c>
      <c r="E234" s="197" t="s">
        <v>300</v>
      </c>
      <c r="F234" s="178" t="s">
        <v>7</v>
      </c>
      <c r="G234" s="198" t="s">
        <v>50</v>
      </c>
    </row>
    <row r="235" spans="1:7" ht="15.75">
      <c r="A235" s="300">
        <v>13255</v>
      </c>
      <c r="B235" s="408">
        <v>0.1</v>
      </c>
      <c r="C235" s="261" t="s">
        <v>131</v>
      </c>
      <c r="D235" s="216"/>
      <c r="E235" s="246">
        <v>850000</v>
      </c>
      <c r="F235" s="250">
        <v>0.02</v>
      </c>
      <c r="G235" s="226">
        <f>E235*F235</f>
        <v>17000</v>
      </c>
    </row>
    <row r="236" spans="1:7" ht="18">
      <c r="A236" s="412"/>
      <c r="B236" s="190"/>
      <c r="C236" s="190"/>
      <c r="D236" s="189"/>
      <c r="E236" s="199">
        <f>SUM(E232:E235)</f>
        <v>850000</v>
      </c>
      <c r="F236" s="190"/>
      <c r="G236" s="192">
        <f>SUM(G232:G235)</f>
        <v>17000</v>
      </c>
    </row>
    <row r="240" spans="1:7" ht="15" customHeight="1">
      <c r="A240" s="996" t="s">
        <v>734</v>
      </c>
      <c r="B240" s="997"/>
      <c r="C240" s="997"/>
      <c r="D240" s="997"/>
      <c r="E240" s="997"/>
      <c r="F240" s="997"/>
      <c r="G240" s="998"/>
    </row>
    <row r="241" spans="1:7">
      <c r="A241" s="999"/>
      <c r="B241" s="1000"/>
      <c r="C241" s="1000"/>
      <c r="D241" s="1000"/>
      <c r="E241" s="1000"/>
      <c r="F241" s="1000"/>
      <c r="G241" s="1001"/>
    </row>
    <row r="242" spans="1:7">
      <c r="A242" s="175" t="s">
        <v>3</v>
      </c>
      <c r="B242" s="175" t="s">
        <v>709</v>
      </c>
      <c r="C242" s="175" t="s">
        <v>710</v>
      </c>
      <c r="D242" s="176" t="s">
        <v>711</v>
      </c>
      <c r="E242" s="177" t="s">
        <v>300</v>
      </c>
      <c r="F242" s="178" t="s">
        <v>7</v>
      </c>
      <c r="G242" s="179" t="s">
        <v>50</v>
      </c>
    </row>
    <row r="243" spans="1:7" ht="15.75">
      <c r="A243" s="222">
        <v>13181</v>
      </c>
      <c r="B243" s="408">
        <v>0.1</v>
      </c>
      <c r="C243" s="261" t="s">
        <v>125</v>
      </c>
      <c r="D243" s="216"/>
      <c r="E243" s="224">
        <v>1550000</v>
      </c>
      <c r="F243" s="379">
        <v>0.03</v>
      </c>
      <c r="G243" s="381">
        <f>E243*F243</f>
        <v>46500</v>
      </c>
    </row>
    <row r="244" spans="1:7" ht="15.75">
      <c r="A244" s="222">
        <v>13248</v>
      </c>
      <c r="B244" s="347">
        <v>0.08</v>
      </c>
      <c r="C244" s="272" t="s">
        <v>130</v>
      </c>
      <c r="D244" s="230"/>
      <c r="E244" s="246">
        <v>1600000</v>
      </c>
      <c r="F244" s="380">
        <v>0.02</v>
      </c>
      <c r="G244" s="381">
        <f t="shared" ref="G244:G294" si="8">E244*F244</f>
        <v>32000</v>
      </c>
    </row>
    <row r="245" spans="1:7" ht="15.75">
      <c r="A245" s="222">
        <v>13385</v>
      </c>
      <c r="B245" s="231">
        <v>0.1</v>
      </c>
      <c r="C245" s="272" t="s">
        <v>138</v>
      </c>
      <c r="D245" s="230"/>
      <c r="E245" s="246">
        <v>1450000</v>
      </c>
      <c r="F245" s="379">
        <v>0.03</v>
      </c>
      <c r="G245" s="381">
        <f t="shared" si="8"/>
        <v>43500</v>
      </c>
    </row>
    <row r="246" spans="1:7" ht="15.75">
      <c r="A246" s="343">
        <v>13156</v>
      </c>
      <c r="B246" s="231">
        <v>0.1</v>
      </c>
      <c r="C246" s="344" t="s">
        <v>144</v>
      </c>
      <c r="D246" s="230"/>
      <c r="E246" s="224">
        <v>1850000</v>
      </c>
      <c r="F246" s="379">
        <v>0.03</v>
      </c>
      <c r="G246" s="381">
        <f t="shared" si="8"/>
        <v>55500</v>
      </c>
    </row>
    <row r="247" spans="1:7" ht="15.75">
      <c r="A247" s="343">
        <v>13142</v>
      </c>
      <c r="B247" s="231">
        <v>0.1</v>
      </c>
      <c r="C247" s="344" t="s">
        <v>149</v>
      </c>
      <c r="D247" s="230"/>
      <c r="E247" s="224">
        <v>2600000</v>
      </c>
      <c r="F247" s="379">
        <v>0.03</v>
      </c>
      <c r="G247" s="381">
        <f t="shared" si="8"/>
        <v>78000</v>
      </c>
    </row>
    <row r="248" spans="1:7" ht="15.75">
      <c r="A248" s="260">
        <v>13213</v>
      </c>
      <c r="B248" s="228">
        <v>0.1</v>
      </c>
      <c r="C248" s="261" t="s">
        <v>150</v>
      </c>
      <c r="D248" s="230"/>
      <c r="E248" s="224">
        <v>1100000</v>
      </c>
      <c r="F248" s="379">
        <v>0.03</v>
      </c>
      <c r="G248" s="381">
        <f t="shared" si="8"/>
        <v>33000</v>
      </c>
    </row>
    <row r="249" spans="1:7" ht="15.75">
      <c r="A249" s="222">
        <v>13197</v>
      </c>
      <c r="B249" s="235">
        <v>0.1</v>
      </c>
      <c r="C249" s="272" t="s">
        <v>124</v>
      </c>
      <c r="D249" s="230"/>
      <c r="E249" s="216">
        <v>2200000</v>
      </c>
      <c r="F249" s="379">
        <v>0.03</v>
      </c>
      <c r="G249" s="381">
        <f t="shared" si="8"/>
        <v>66000</v>
      </c>
    </row>
    <row r="250" spans="1:7" ht="15.75">
      <c r="A250" s="300">
        <v>13371</v>
      </c>
      <c r="B250" s="235">
        <v>0.1</v>
      </c>
      <c r="C250" s="272" t="s">
        <v>153</v>
      </c>
      <c r="D250" s="230"/>
      <c r="E250" s="216">
        <v>1650000</v>
      </c>
      <c r="F250" s="379">
        <v>0.03</v>
      </c>
      <c r="G250" s="381">
        <f t="shared" si="8"/>
        <v>49500</v>
      </c>
    </row>
    <row r="251" spans="1:7" ht="15.75">
      <c r="A251" s="214">
        <v>13222</v>
      </c>
      <c r="B251" s="221">
        <v>0.1</v>
      </c>
      <c r="C251" s="277" t="s">
        <v>160</v>
      </c>
      <c r="D251" s="216"/>
      <c r="E251" s="242">
        <v>1750000</v>
      </c>
      <c r="F251" s="379">
        <v>0.03</v>
      </c>
      <c r="G251" s="381">
        <f t="shared" si="8"/>
        <v>52500</v>
      </c>
    </row>
    <row r="252" spans="1:7" ht="15.75">
      <c r="A252" s="240">
        <v>13202</v>
      </c>
      <c r="B252" s="228">
        <v>0.1</v>
      </c>
      <c r="C252" s="241" t="s">
        <v>174</v>
      </c>
      <c r="D252" s="242"/>
      <c r="E252" s="242">
        <v>1200000</v>
      </c>
      <c r="F252" s="379">
        <v>0.03</v>
      </c>
      <c r="G252" s="381">
        <f t="shared" si="8"/>
        <v>36000</v>
      </c>
    </row>
    <row r="253" spans="1:7" ht="15.75">
      <c r="A253" s="240">
        <v>13296</v>
      </c>
      <c r="B253" s="228">
        <v>0.1</v>
      </c>
      <c r="C253" s="241" t="s">
        <v>177</v>
      </c>
      <c r="D253" s="242"/>
      <c r="E253" s="242">
        <v>950000</v>
      </c>
      <c r="F253" s="379">
        <v>0.03</v>
      </c>
      <c r="G253" s="381">
        <f t="shared" si="8"/>
        <v>28500</v>
      </c>
    </row>
    <row r="254" spans="1:7" ht="15.75">
      <c r="A254" s="260">
        <v>13304</v>
      </c>
      <c r="B254" s="231">
        <v>0.1</v>
      </c>
      <c r="C254" s="241" t="s">
        <v>179</v>
      </c>
      <c r="D254" s="242"/>
      <c r="E254" s="246">
        <v>1200000</v>
      </c>
      <c r="F254" s="379">
        <v>0.03</v>
      </c>
      <c r="G254" s="381">
        <f t="shared" si="8"/>
        <v>36000</v>
      </c>
    </row>
    <row r="255" spans="1:7" ht="15.75">
      <c r="A255" s="240">
        <v>13355</v>
      </c>
      <c r="B255" s="228">
        <v>0.1</v>
      </c>
      <c r="C255" s="241" t="s">
        <v>183</v>
      </c>
      <c r="D255" s="302"/>
      <c r="E255" s="246">
        <v>650000</v>
      </c>
      <c r="F255" s="379">
        <v>0.03</v>
      </c>
      <c r="G255" s="381">
        <f t="shared" si="8"/>
        <v>19500</v>
      </c>
    </row>
    <row r="256" spans="1:7" ht="15.75">
      <c r="A256" s="260">
        <v>13159</v>
      </c>
      <c r="B256" s="231">
        <v>0.1</v>
      </c>
      <c r="C256" s="261" t="s">
        <v>187</v>
      </c>
      <c r="D256" s="278"/>
      <c r="E256" s="246">
        <v>1950000</v>
      </c>
      <c r="F256" s="379">
        <v>0.03</v>
      </c>
      <c r="G256" s="381">
        <f t="shared" si="8"/>
        <v>58500</v>
      </c>
    </row>
    <row r="257" spans="1:7" ht="15.75">
      <c r="A257" s="222">
        <v>13345</v>
      </c>
      <c r="B257" s="347">
        <v>0.08</v>
      </c>
      <c r="C257" s="272" t="s">
        <v>134</v>
      </c>
      <c r="D257" s="230"/>
      <c r="E257" s="216">
        <v>2300000</v>
      </c>
      <c r="F257" s="380">
        <v>0.02</v>
      </c>
      <c r="G257" s="381">
        <f t="shared" si="8"/>
        <v>46000</v>
      </c>
    </row>
    <row r="258" spans="1:7" ht="15.75">
      <c r="A258" s="222">
        <v>13379</v>
      </c>
      <c r="B258" s="347">
        <v>0.08</v>
      </c>
      <c r="C258" s="272" t="s">
        <v>137</v>
      </c>
      <c r="D258" s="230"/>
      <c r="E258" s="216">
        <v>1800000</v>
      </c>
      <c r="F258" s="380">
        <v>0.02</v>
      </c>
      <c r="G258" s="381">
        <f t="shared" si="8"/>
        <v>36000</v>
      </c>
    </row>
    <row r="259" spans="1:7" ht="15.75">
      <c r="A259" s="222">
        <v>13404</v>
      </c>
      <c r="B259" s="231">
        <v>0.1</v>
      </c>
      <c r="C259" s="272" t="s">
        <v>139</v>
      </c>
      <c r="D259" s="230"/>
      <c r="E259" s="242">
        <v>1600000</v>
      </c>
      <c r="F259" s="379">
        <v>0.03</v>
      </c>
      <c r="G259" s="381">
        <f t="shared" si="8"/>
        <v>48000</v>
      </c>
    </row>
    <row r="260" spans="1:7" ht="15.75">
      <c r="A260" s="222">
        <v>13347</v>
      </c>
      <c r="B260" s="235">
        <v>0.1</v>
      </c>
      <c r="C260" s="272" t="s">
        <v>152</v>
      </c>
      <c r="D260" s="230"/>
      <c r="E260" s="242">
        <v>1750000</v>
      </c>
      <c r="F260" s="379">
        <v>0.03</v>
      </c>
      <c r="G260" s="381">
        <f t="shared" si="8"/>
        <v>52500</v>
      </c>
    </row>
    <row r="261" spans="1:7" ht="15.75">
      <c r="A261" s="300">
        <v>13400</v>
      </c>
      <c r="B261" s="235">
        <v>0.1</v>
      </c>
      <c r="C261" s="272" t="s">
        <v>154</v>
      </c>
      <c r="D261" s="230"/>
      <c r="E261" s="305">
        <v>1700000</v>
      </c>
      <c r="F261" s="379">
        <v>0.03</v>
      </c>
      <c r="G261" s="381">
        <f t="shared" si="8"/>
        <v>51000</v>
      </c>
    </row>
    <row r="262" spans="1:7" ht="15.75">
      <c r="A262" s="214">
        <v>13227</v>
      </c>
      <c r="B262" s="221">
        <v>0.1</v>
      </c>
      <c r="C262" s="277" t="s">
        <v>161</v>
      </c>
      <c r="D262" s="216"/>
      <c r="E262" s="242">
        <v>850000</v>
      </c>
      <c r="F262" s="379">
        <v>0.03</v>
      </c>
      <c r="G262" s="381">
        <f t="shared" si="8"/>
        <v>25500</v>
      </c>
    </row>
    <row r="263" spans="1:7" ht="15.75">
      <c r="A263" s="214">
        <v>13235</v>
      </c>
      <c r="B263" s="221">
        <v>0.1</v>
      </c>
      <c r="C263" s="277" t="s">
        <v>162</v>
      </c>
      <c r="D263" s="216"/>
      <c r="E263" s="242">
        <v>1500000</v>
      </c>
      <c r="F263" s="379">
        <v>0.03</v>
      </c>
      <c r="G263" s="381">
        <f t="shared" si="8"/>
        <v>45000</v>
      </c>
    </row>
    <row r="264" spans="1:7" ht="15.75">
      <c r="A264" s="214">
        <v>13362</v>
      </c>
      <c r="B264" s="221">
        <v>0.1</v>
      </c>
      <c r="C264" s="241" t="s">
        <v>165</v>
      </c>
      <c r="D264" s="242"/>
      <c r="E264" s="242">
        <v>1100000</v>
      </c>
      <c r="F264" s="379">
        <v>0.03</v>
      </c>
      <c r="G264" s="381">
        <f t="shared" si="8"/>
        <v>33000</v>
      </c>
    </row>
    <row r="265" spans="1:7" ht="15.75">
      <c r="A265" s="293">
        <v>13137</v>
      </c>
      <c r="B265" s="231">
        <v>0.1</v>
      </c>
      <c r="C265" s="241" t="s">
        <v>171</v>
      </c>
      <c r="D265" s="242"/>
      <c r="E265" s="246">
        <v>1100000</v>
      </c>
      <c r="F265" s="379">
        <v>0.03</v>
      </c>
      <c r="G265" s="381">
        <f t="shared" si="8"/>
        <v>33000</v>
      </c>
    </row>
    <row r="266" spans="1:7" ht="15.75">
      <c r="A266" s="240">
        <v>13258</v>
      </c>
      <c r="B266" s="228">
        <v>0.1</v>
      </c>
      <c r="C266" s="241" t="s">
        <v>175</v>
      </c>
      <c r="D266" s="242"/>
      <c r="E266" s="242">
        <v>1100000</v>
      </c>
      <c r="F266" s="379">
        <v>0.03</v>
      </c>
      <c r="G266" s="381">
        <f t="shared" si="8"/>
        <v>33000</v>
      </c>
    </row>
    <row r="267" spans="1:7" ht="15.75">
      <c r="A267" s="240">
        <v>13302</v>
      </c>
      <c r="B267" s="228">
        <v>0.1</v>
      </c>
      <c r="C267" s="241" t="s">
        <v>178</v>
      </c>
      <c r="D267" s="242"/>
      <c r="E267" s="416">
        <v>1200000</v>
      </c>
      <c r="F267" s="379">
        <v>0.03</v>
      </c>
      <c r="G267" s="381">
        <f t="shared" si="8"/>
        <v>36000</v>
      </c>
    </row>
    <row r="268" spans="1:7" ht="15.75">
      <c r="A268" s="260">
        <v>13316</v>
      </c>
      <c r="B268" s="231">
        <v>0.1</v>
      </c>
      <c r="C268" s="241" t="s">
        <v>180</v>
      </c>
      <c r="D268" s="242"/>
      <c r="E268" s="416">
        <v>750000</v>
      </c>
      <c r="F268" s="379">
        <v>0.03</v>
      </c>
      <c r="G268" s="381">
        <f t="shared" si="8"/>
        <v>22500</v>
      </c>
    </row>
    <row r="269" spans="1:7" ht="15.75">
      <c r="A269" s="260">
        <v>13390</v>
      </c>
      <c r="B269" s="217">
        <v>0.08</v>
      </c>
      <c r="C269" s="241" t="s">
        <v>184</v>
      </c>
      <c r="D269" s="242"/>
      <c r="E269" s="416">
        <v>1250000</v>
      </c>
      <c r="F269" s="380">
        <v>0.02</v>
      </c>
      <c r="G269" s="381">
        <f t="shared" si="8"/>
        <v>25000</v>
      </c>
    </row>
    <row r="270" spans="1:7" ht="15.75">
      <c r="A270" s="214">
        <v>13340</v>
      </c>
      <c r="B270" s="228">
        <v>0.1</v>
      </c>
      <c r="C270" s="261" t="s">
        <v>190</v>
      </c>
      <c r="D270" s="278"/>
      <c r="E270" s="416">
        <v>2100000</v>
      </c>
      <c r="F270" s="379">
        <v>0.03</v>
      </c>
      <c r="G270" s="381">
        <f t="shared" si="8"/>
        <v>63000</v>
      </c>
    </row>
    <row r="271" spans="1:7" ht="15.75">
      <c r="A271" s="222">
        <v>13136</v>
      </c>
      <c r="B271" s="408">
        <v>0.1</v>
      </c>
      <c r="C271" s="261" t="s">
        <v>127</v>
      </c>
      <c r="D271" s="245"/>
      <c r="E271" s="246">
        <v>900000</v>
      </c>
      <c r="F271" s="379">
        <v>0.03</v>
      </c>
      <c r="G271" s="381">
        <f t="shared" si="8"/>
        <v>27000</v>
      </c>
    </row>
    <row r="272" spans="1:7" ht="15.75">
      <c r="A272" s="341">
        <v>13151</v>
      </c>
      <c r="B272" s="231">
        <v>0.1</v>
      </c>
      <c r="C272" s="344" t="s">
        <v>735</v>
      </c>
      <c r="D272" s="245"/>
      <c r="E272" s="230">
        <v>2400000</v>
      </c>
      <c r="F272" s="379">
        <v>0.03</v>
      </c>
      <c r="G272" s="381">
        <f t="shared" si="8"/>
        <v>72000</v>
      </c>
    </row>
    <row r="273" spans="1:7" ht="15.75">
      <c r="A273" s="411">
        <v>13140</v>
      </c>
      <c r="B273" s="228">
        <v>0.1</v>
      </c>
      <c r="C273" s="261" t="s">
        <v>186</v>
      </c>
      <c r="D273" s="245"/>
      <c r="E273" s="230">
        <v>1800000</v>
      </c>
      <c r="F273" s="379">
        <v>0.03</v>
      </c>
      <c r="G273" s="381">
        <f t="shared" si="8"/>
        <v>54000</v>
      </c>
    </row>
    <row r="274" spans="1:7" ht="15.75">
      <c r="A274" s="222">
        <v>13146</v>
      </c>
      <c r="B274" s="408">
        <v>0.1</v>
      </c>
      <c r="C274" s="261" t="s">
        <v>123</v>
      </c>
      <c r="D274" s="216"/>
      <c r="E274" s="230">
        <v>1450000</v>
      </c>
      <c r="F274" s="379">
        <v>0.03</v>
      </c>
      <c r="G274" s="381">
        <f t="shared" si="8"/>
        <v>43500</v>
      </c>
    </row>
    <row r="275" spans="1:7" ht="15.75">
      <c r="A275" s="222">
        <v>13166</v>
      </c>
      <c r="B275" s="235">
        <v>0.1</v>
      </c>
      <c r="C275" s="272" t="s">
        <v>129</v>
      </c>
      <c r="D275" s="230"/>
      <c r="E275" s="230">
        <v>850000</v>
      </c>
      <c r="F275" s="379">
        <v>0.03</v>
      </c>
      <c r="G275" s="381">
        <f t="shared" si="8"/>
        <v>25500</v>
      </c>
    </row>
    <row r="276" spans="1:7" ht="15.75">
      <c r="A276" s="222">
        <v>13282</v>
      </c>
      <c r="B276" s="235">
        <v>0.1</v>
      </c>
      <c r="C276" s="272" t="s">
        <v>133</v>
      </c>
      <c r="D276" s="230"/>
      <c r="E276" s="230">
        <v>850000</v>
      </c>
      <c r="F276" s="379">
        <v>0.03</v>
      </c>
      <c r="G276" s="381">
        <f t="shared" si="8"/>
        <v>25500</v>
      </c>
    </row>
    <row r="277" spans="1:7" ht="15.75">
      <c r="A277" s="222">
        <v>13361</v>
      </c>
      <c r="B277" s="235">
        <v>0.1</v>
      </c>
      <c r="C277" s="272" t="s">
        <v>728</v>
      </c>
      <c r="D277" s="230"/>
      <c r="E277" s="414">
        <v>1400000</v>
      </c>
      <c r="F277" s="379">
        <v>0.03</v>
      </c>
      <c r="G277" s="381">
        <f t="shared" si="8"/>
        <v>42000</v>
      </c>
    </row>
    <row r="278" spans="1:7" ht="15.75">
      <c r="A278" s="222">
        <v>13364</v>
      </c>
      <c r="B278" s="235">
        <v>0.1</v>
      </c>
      <c r="C278" s="272" t="s">
        <v>136</v>
      </c>
      <c r="D278" s="230"/>
      <c r="E278" s="230">
        <v>850000</v>
      </c>
      <c r="F278" s="379">
        <v>0.03</v>
      </c>
      <c r="G278" s="381">
        <f t="shared" si="8"/>
        <v>25500</v>
      </c>
    </row>
    <row r="279" spans="1:7" ht="15.75">
      <c r="A279" s="300">
        <v>13320</v>
      </c>
      <c r="B279" s="235">
        <v>0.1</v>
      </c>
      <c r="C279" s="272" t="s">
        <v>151</v>
      </c>
      <c r="D279" s="230"/>
      <c r="E279" s="224">
        <v>1700000</v>
      </c>
      <c r="F279" s="379">
        <v>0.03</v>
      </c>
      <c r="G279" s="381">
        <f t="shared" si="8"/>
        <v>51000</v>
      </c>
    </row>
    <row r="280" spans="1:7" ht="15.75">
      <c r="A280" s="300">
        <v>13412</v>
      </c>
      <c r="B280" s="235">
        <v>0.1</v>
      </c>
      <c r="C280" s="272" t="s">
        <v>126</v>
      </c>
      <c r="D280" s="230"/>
      <c r="E280" s="415">
        <v>1800000</v>
      </c>
      <c r="F280" s="379">
        <v>0.03</v>
      </c>
      <c r="G280" s="381">
        <f t="shared" si="8"/>
        <v>54000</v>
      </c>
    </row>
    <row r="281" spans="1:7" ht="15.75">
      <c r="A281" s="214">
        <v>13199</v>
      </c>
      <c r="B281" s="221">
        <v>0.1</v>
      </c>
      <c r="C281" s="277" t="s">
        <v>159</v>
      </c>
      <c r="D281" s="216"/>
      <c r="E281" s="216">
        <v>1600000</v>
      </c>
      <c r="F281" s="379">
        <v>0.03</v>
      </c>
      <c r="G281" s="381">
        <f t="shared" si="8"/>
        <v>48000</v>
      </c>
    </row>
    <row r="282" spans="1:7" ht="15.75">
      <c r="A282" s="214">
        <v>13297</v>
      </c>
      <c r="B282" s="221">
        <v>0.1</v>
      </c>
      <c r="C282" s="277" t="s">
        <v>163</v>
      </c>
      <c r="D282" s="216"/>
      <c r="E282" s="216">
        <v>1700000</v>
      </c>
      <c r="F282" s="379">
        <v>0.03</v>
      </c>
      <c r="G282" s="381">
        <f t="shared" si="8"/>
        <v>51000</v>
      </c>
    </row>
    <row r="283" spans="1:7" ht="15.75">
      <c r="A283" s="214">
        <v>13349</v>
      </c>
      <c r="B283" s="221">
        <v>0.1</v>
      </c>
      <c r="C283" s="277" t="s">
        <v>164</v>
      </c>
      <c r="D283" s="216"/>
      <c r="E283" s="224">
        <v>2000000</v>
      </c>
      <c r="F283" s="379">
        <v>0.03</v>
      </c>
      <c r="G283" s="381">
        <f t="shared" si="8"/>
        <v>60000</v>
      </c>
    </row>
    <row r="284" spans="1:7" ht="15.75">
      <c r="A284" s="214">
        <v>13366</v>
      </c>
      <c r="B284" s="221">
        <v>0.1</v>
      </c>
      <c r="C284" s="277" t="s">
        <v>166</v>
      </c>
      <c r="D284" s="216"/>
      <c r="E284" s="224">
        <v>1800000</v>
      </c>
      <c r="F284" s="379">
        <v>0.03</v>
      </c>
      <c r="G284" s="381">
        <f t="shared" si="8"/>
        <v>54000</v>
      </c>
    </row>
    <row r="285" spans="1:7" ht="15.75">
      <c r="A285" s="410">
        <v>13152</v>
      </c>
      <c r="B285" s="231">
        <v>0.1</v>
      </c>
      <c r="C285" s="241" t="s">
        <v>173</v>
      </c>
      <c r="D285" s="242"/>
      <c r="E285" s="224">
        <v>1100000</v>
      </c>
      <c r="F285" s="379">
        <v>0.03</v>
      </c>
      <c r="G285" s="381">
        <f t="shared" si="8"/>
        <v>33000</v>
      </c>
    </row>
    <row r="286" spans="1:7" ht="15.75">
      <c r="A286" s="240">
        <v>13261</v>
      </c>
      <c r="B286" s="228">
        <v>0.1</v>
      </c>
      <c r="C286" s="241" t="s">
        <v>176</v>
      </c>
      <c r="D286" s="242"/>
      <c r="E286" s="242">
        <v>520000</v>
      </c>
      <c r="F286" s="379">
        <v>0.03</v>
      </c>
      <c r="G286" s="381">
        <f t="shared" si="8"/>
        <v>15600</v>
      </c>
    </row>
    <row r="287" spans="1:7" ht="15.75">
      <c r="A287" s="240">
        <v>13317</v>
      </c>
      <c r="B287" s="228">
        <v>0.1</v>
      </c>
      <c r="C287" s="241" t="s">
        <v>181</v>
      </c>
      <c r="D287" s="242"/>
      <c r="E287" s="242">
        <v>1200000</v>
      </c>
      <c r="F287" s="379">
        <v>0.03</v>
      </c>
      <c r="G287" s="381">
        <f t="shared" si="8"/>
        <v>36000</v>
      </c>
    </row>
    <row r="288" spans="1:7" ht="15.75">
      <c r="A288" s="260">
        <v>13344</v>
      </c>
      <c r="B288" s="231">
        <v>0.1</v>
      </c>
      <c r="C288" s="241" t="s">
        <v>182</v>
      </c>
      <c r="D288" s="242"/>
      <c r="E288" s="278">
        <v>950000</v>
      </c>
      <c r="F288" s="379">
        <v>0.03</v>
      </c>
      <c r="G288" s="381">
        <f t="shared" si="8"/>
        <v>28500</v>
      </c>
    </row>
    <row r="289" spans="1:7" ht="15.75">
      <c r="A289" s="260">
        <v>13407</v>
      </c>
      <c r="B289" s="228">
        <v>0.1</v>
      </c>
      <c r="C289" s="241" t="s">
        <v>128</v>
      </c>
      <c r="D289" s="242"/>
      <c r="E289" s="278">
        <v>1000000</v>
      </c>
      <c r="F289" s="379">
        <v>0.03</v>
      </c>
      <c r="G289" s="381">
        <f t="shared" si="8"/>
        <v>30000</v>
      </c>
    </row>
    <row r="290" spans="1:7" ht="15.75">
      <c r="A290" s="214">
        <v>13219</v>
      </c>
      <c r="B290" s="228">
        <v>0.1</v>
      </c>
      <c r="C290" s="261" t="s">
        <v>188</v>
      </c>
      <c r="D290" s="278"/>
      <c r="E290" s="278">
        <v>950000</v>
      </c>
      <c r="F290" s="379">
        <v>0.03</v>
      </c>
      <c r="G290" s="381">
        <f t="shared" si="8"/>
        <v>28500</v>
      </c>
    </row>
    <row r="291" spans="1:7" ht="15.75">
      <c r="A291" s="214">
        <v>13278</v>
      </c>
      <c r="B291" s="217">
        <v>0.08</v>
      </c>
      <c r="C291" s="261" t="s">
        <v>189</v>
      </c>
      <c r="D291" s="278"/>
      <c r="E291" s="278">
        <v>1550000</v>
      </c>
      <c r="F291" s="380">
        <v>0.02</v>
      </c>
      <c r="G291" s="381">
        <f t="shared" si="8"/>
        <v>31000</v>
      </c>
    </row>
    <row r="292" spans="1:7" ht="15.75">
      <c r="A292" s="300">
        <v>13255</v>
      </c>
      <c r="B292" s="408">
        <v>0.1</v>
      </c>
      <c r="C292" s="261" t="s">
        <v>131</v>
      </c>
      <c r="D292" s="216"/>
      <c r="E292" s="246">
        <v>850000</v>
      </c>
      <c r="F292" s="379">
        <v>0.03</v>
      </c>
      <c r="G292" s="381">
        <f t="shared" si="8"/>
        <v>25500</v>
      </c>
    </row>
    <row r="293" spans="1:7" ht="15.75">
      <c r="A293" s="214">
        <v>13162</v>
      </c>
      <c r="B293" s="221">
        <v>0.1</v>
      </c>
      <c r="C293" s="277" t="s">
        <v>156</v>
      </c>
      <c r="D293" s="216" t="s">
        <v>736</v>
      </c>
      <c r="E293" s="278">
        <v>2150000</v>
      </c>
      <c r="F293" s="379">
        <v>0.03</v>
      </c>
      <c r="G293" s="381">
        <f t="shared" si="8"/>
        <v>64500</v>
      </c>
    </row>
    <row r="294" spans="1:7" ht="15.75">
      <c r="A294" s="214">
        <v>13150</v>
      </c>
      <c r="B294" s="348">
        <v>0.08</v>
      </c>
      <c r="C294" s="277" t="s">
        <v>158</v>
      </c>
      <c r="D294" s="216" t="s">
        <v>736</v>
      </c>
      <c r="E294" s="278">
        <v>2000000</v>
      </c>
      <c r="F294" s="380">
        <v>0.02</v>
      </c>
      <c r="G294" s="381">
        <f t="shared" si="8"/>
        <v>40000</v>
      </c>
    </row>
    <row r="295" spans="1:7" ht="18">
      <c r="A295" s="190"/>
      <c r="B295" s="190"/>
      <c r="C295" s="190"/>
      <c r="D295" s="202" t="s">
        <v>47</v>
      </c>
      <c r="E295" s="203">
        <f>SUM(E243:E294)</f>
        <v>75170000</v>
      </c>
      <c r="F295" s="404"/>
      <c r="G295" s="200">
        <f>SUM(G243:G294)</f>
        <v>2150100</v>
      </c>
    </row>
    <row r="299" spans="1:7">
      <c r="A299" s="1002" t="s">
        <v>194</v>
      </c>
      <c r="B299" s="1003"/>
      <c r="C299" s="1003"/>
      <c r="D299" s="1003"/>
      <c r="E299" s="1003"/>
      <c r="F299" s="1003"/>
      <c r="G299" s="1004"/>
    </row>
    <row r="300" spans="1:7">
      <c r="A300" s="1005"/>
      <c r="B300" s="1006"/>
      <c r="C300" s="1006"/>
      <c r="D300" s="1006"/>
      <c r="E300" s="1006"/>
      <c r="F300" s="1006"/>
      <c r="G300" s="1007"/>
    </row>
    <row r="301" spans="1:7">
      <c r="A301" s="1005"/>
      <c r="B301" s="1006"/>
      <c r="C301" s="1006"/>
      <c r="D301" s="1006"/>
      <c r="E301" s="1006"/>
      <c r="F301" s="1006"/>
      <c r="G301" s="1007"/>
    </row>
    <row r="302" spans="1:7">
      <c r="A302" s="1008"/>
      <c r="B302" s="1009"/>
      <c r="C302" s="1009"/>
      <c r="D302" s="1009"/>
      <c r="E302" s="1009"/>
      <c r="F302" s="1009"/>
      <c r="G302" s="1010"/>
    </row>
    <row r="304" spans="1:7">
      <c r="A304" s="994" t="s">
        <v>737</v>
      </c>
      <c r="B304" s="994"/>
      <c r="C304" s="994"/>
      <c r="D304" s="994"/>
      <c r="E304" s="994"/>
      <c r="F304" s="994"/>
      <c r="G304" s="994"/>
    </row>
    <row r="305" spans="1:7">
      <c r="A305" s="994"/>
      <c r="B305" s="994"/>
      <c r="C305" s="994"/>
      <c r="D305" s="994"/>
      <c r="E305" s="994"/>
      <c r="F305" s="994"/>
      <c r="G305" s="994"/>
    </row>
    <row r="306" spans="1:7">
      <c r="A306" s="175" t="s">
        <v>3</v>
      </c>
      <c r="B306" s="175" t="s">
        <v>709</v>
      </c>
      <c r="C306" s="493" t="s">
        <v>710</v>
      </c>
      <c r="D306" s="176" t="s">
        <v>711</v>
      </c>
      <c r="E306" s="177" t="s">
        <v>300</v>
      </c>
      <c r="F306" s="178" t="s">
        <v>7</v>
      </c>
      <c r="G306" s="179" t="s">
        <v>50</v>
      </c>
    </row>
    <row r="307" spans="1:7" ht="15.75">
      <c r="A307" s="222">
        <v>13433</v>
      </c>
      <c r="B307" s="408">
        <v>0.1</v>
      </c>
      <c r="C307" s="272" t="s">
        <v>198</v>
      </c>
      <c r="D307" s="216"/>
      <c r="E307" s="224">
        <v>1550000</v>
      </c>
      <c r="F307" s="247">
        <v>0.04</v>
      </c>
      <c r="G307" s="248">
        <f>E307*F307</f>
        <v>62000</v>
      </c>
    </row>
    <row r="308" spans="1:7" ht="15.75">
      <c r="A308" s="222">
        <v>13637</v>
      </c>
      <c r="B308" s="231">
        <v>0.1</v>
      </c>
      <c r="C308" s="272" t="s">
        <v>738</v>
      </c>
      <c r="D308" s="230"/>
      <c r="E308" s="230">
        <v>1500000</v>
      </c>
      <c r="F308" s="349">
        <v>0.02</v>
      </c>
      <c r="G308" s="248">
        <f t="shared" ref="G308:G321" si="9">E308*F308</f>
        <v>30000</v>
      </c>
    </row>
    <row r="309" spans="1:7" ht="15.75">
      <c r="A309" s="300">
        <v>13586</v>
      </c>
      <c r="B309" s="231">
        <v>0.1</v>
      </c>
      <c r="C309" s="272" t="s">
        <v>205</v>
      </c>
      <c r="D309" s="230"/>
      <c r="E309" s="230">
        <v>1650000</v>
      </c>
      <c r="F309" s="247">
        <v>0.04</v>
      </c>
      <c r="G309" s="248">
        <f t="shared" si="9"/>
        <v>66000</v>
      </c>
    </row>
    <row r="310" spans="1:7" ht="15.75">
      <c r="A310" s="260">
        <v>13425</v>
      </c>
      <c r="B310" s="308">
        <v>0.1</v>
      </c>
      <c r="C310" s="277" t="s">
        <v>227</v>
      </c>
      <c r="D310" s="230"/>
      <c r="E310" s="216">
        <v>2200000</v>
      </c>
      <c r="F310" s="247">
        <v>0.04</v>
      </c>
      <c r="G310" s="248">
        <f t="shared" si="9"/>
        <v>88000</v>
      </c>
    </row>
    <row r="311" spans="1:7" ht="15.75">
      <c r="A311" s="260">
        <v>13454</v>
      </c>
      <c r="B311" s="308">
        <v>0.1</v>
      </c>
      <c r="C311" s="277" t="s">
        <v>228</v>
      </c>
      <c r="D311" s="230"/>
      <c r="E311" s="216">
        <v>1700000</v>
      </c>
      <c r="F311" s="349">
        <v>0.02</v>
      </c>
      <c r="G311" s="248">
        <f t="shared" si="9"/>
        <v>34000</v>
      </c>
    </row>
    <row r="312" spans="1:7" ht="15.75">
      <c r="A312" s="214">
        <v>13483</v>
      </c>
      <c r="B312" s="221">
        <v>0.1</v>
      </c>
      <c r="C312" s="277" t="s">
        <v>229</v>
      </c>
      <c r="D312" s="230"/>
      <c r="E312" s="216">
        <v>1600000</v>
      </c>
      <c r="F312" s="247">
        <v>0.04</v>
      </c>
      <c r="G312" s="248">
        <f t="shared" si="9"/>
        <v>64000</v>
      </c>
    </row>
    <row r="313" spans="1:7" ht="15.75">
      <c r="A313" s="214">
        <v>13508</v>
      </c>
      <c r="B313" s="221">
        <v>0.1</v>
      </c>
      <c r="C313" s="277" t="s">
        <v>230</v>
      </c>
      <c r="D313" s="230"/>
      <c r="E313" s="216">
        <v>950000</v>
      </c>
      <c r="F313" s="247">
        <v>0.04</v>
      </c>
      <c r="G313" s="248">
        <f t="shared" si="9"/>
        <v>38000</v>
      </c>
    </row>
    <row r="314" spans="1:7" ht="15.75">
      <c r="A314" s="214">
        <v>13635</v>
      </c>
      <c r="B314" s="221">
        <v>0.1</v>
      </c>
      <c r="C314" s="277" t="s">
        <v>235</v>
      </c>
      <c r="D314" s="230"/>
      <c r="E314" s="216">
        <v>1500000</v>
      </c>
      <c r="F314" s="247">
        <v>0.04</v>
      </c>
      <c r="G314" s="248">
        <f t="shared" si="9"/>
        <v>60000</v>
      </c>
    </row>
    <row r="315" spans="1:7" ht="15.75">
      <c r="A315" s="409">
        <v>13472</v>
      </c>
      <c r="B315" s="231">
        <v>0.1</v>
      </c>
      <c r="C315" s="241" t="s">
        <v>242</v>
      </c>
      <c r="D315" s="216"/>
      <c r="E315" s="242">
        <v>1130000</v>
      </c>
      <c r="F315" s="247">
        <v>0.04</v>
      </c>
      <c r="G315" s="248">
        <f t="shared" si="9"/>
        <v>45200</v>
      </c>
    </row>
    <row r="316" spans="1:7" ht="15.75">
      <c r="A316" s="410">
        <v>13498</v>
      </c>
      <c r="B316" s="231">
        <v>0.1</v>
      </c>
      <c r="C316" s="241" t="s">
        <v>245</v>
      </c>
      <c r="D316" s="242"/>
      <c r="E316" s="242">
        <v>1150000</v>
      </c>
      <c r="F316" s="247">
        <v>0.04</v>
      </c>
      <c r="G316" s="248">
        <f t="shared" si="9"/>
        <v>46000</v>
      </c>
    </row>
    <row r="317" spans="1:7" ht="15.75">
      <c r="A317" s="293">
        <v>13572</v>
      </c>
      <c r="B317" s="231">
        <v>0.1</v>
      </c>
      <c r="C317" s="241" t="s">
        <v>739</v>
      </c>
      <c r="D317" s="242"/>
      <c r="E317" s="242">
        <v>1200000</v>
      </c>
      <c r="F317" s="247">
        <v>0.04</v>
      </c>
      <c r="G317" s="248">
        <f t="shared" si="9"/>
        <v>48000</v>
      </c>
    </row>
    <row r="318" spans="1:7" ht="15.75">
      <c r="A318" s="409">
        <v>13574</v>
      </c>
      <c r="B318" s="231">
        <v>0.1</v>
      </c>
      <c r="C318" s="241" t="s">
        <v>247</v>
      </c>
      <c r="D318" s="242"/>
      <c r="E318" s="242">
        <v>950000</v>
      </c>
      <c r="F318" s="247">
        <v>0.04</v>
      </c>
      <c r="G318" s="248">
        <f t="shared" si="9"/>
        <v>38000</v>
      </c>
    </row>
    <row r="319" spans="1:7" ht="15.75">
      <c r="A319" s="409">
        <v>13626</v>
      </c>
      <c r="B319" s="347">
        <v>0.08</v>
      </c>
      <c r="C319" s="241" t="s">
        <v>251</v>
      </c>
      <c r="D319" s="302"/>
      <c r="E319" s="246">
        <v>750000</v>
      </c>
      <c r="F319" s="349">
        <v>0.03</v>
      </c>
      <c r="G319" s="248">
        <f t="shared" si="9"/>
        <v>22500</v>
      </c>
    </row>
    <row r="320" spans="1:7" ht="15.75">
      <c r="A320" s="240">
        <v>13639</v>
      </c>
      <c r="B320" s="347">
        <v>0.08</v>
      </c>
      <c r="C320" s="261" t="s">
        <v>197</v>
      </c>
      <c r="D320" s="302"/>
      <c r="E320" s="246">
        <v>1550000</v>
      </c>
      <c r="F320" s="349">
        <v>0.03</v>
      </c>
      <c r="G320" s="248">
        <f t="shared" si="9"/>
        <v>46500</v>
      </c>
    </row>
    <row r="321" spans="1:7" ht="15.75">
      <c r="A321" s="240">
        <v>13651</v>
      </c>
      <c r="B321" s="231">
        <v>0.1</v>
      </c>
      <c r="C321" s="261" t="s">
        <v>219</v>
      </c>
      <c r="D321" s="278"/>
      <c r="E321" s="246">
        <v>1500000</v>
      </c>
      <c r="F321" s="247">
        <v>0.04</v>
      </c>
      <c r="G321" s="248">
        <f t="shared" si="9"/>
        <v>60000</v>
      </c>
    </row>
    <row r="322" spans="1:7" ht="15.75">
      <c r="A322" s="522" t="s">
        <v>740</v>
      </c>
      <c r="B322" s="491"/>
      <c r="C322" s="513" t="s">
        <v>741</v>
      </c>
      <c r="D322" s="518" t="s">
        <v>742</v>
      </c>
      <c r="E322" s="519"/>
      <c r="F322" s="520"/>
      <c r="G322" s="521"/>
    </row>
    <row r="323" spans="1:7" ht="18">
      <c r="A323" s="461"/>
      <c r="B323" s="180"/>
      <c r="C323" s="180"/>
      <c r="D323" s="181"/>
      <c r="E323" s="182">
        <f>SUM(E307:E321)</f>
        <v>20880000</v>
      </c>
      <c r="F323" s="180"/>
      <c r="G323" s="192">
        <f>SUM(G307:G321)</f>
        <v>748200</v>
      </c>
    </row>
    <row r="326" spans="1:7">
      <c r="A326" s="994" t="s">
        <v>743</v>
      </c>
      <c r="B326" s="994"/>
      <c r="C326" s="994"/>
      <c r="D326" s="994"/>
      <c r="E326" s="994"/>
      <c r="F326" s="994"/>
      <c r="G326" s="994"/>
    </row>
    <row r="327" spans="1:7">
      <c r="A327" s="994"/>
      <c r="B327" s="994"/>
      <c r="C327" s="995"/>
      <c r="D327" s="994"/>
      <c r="E327" s="994"/>
      <c r="F327" s="994"/>
      <c r="G327" s="994"/>
    </row>
    <row r="328" spans="1:7">
      <c r="A328" s="299" t="s">
        <v>3</v>
      </c>
      <c r="B328" s="183" t="s">
        <v>709</v>
      </c>
      <c r="C328" s="184" t="s">
        <v>710</v>
      </c>
      <c r="D328" s="185" t="s">
        <v>711</v>
      </c>
      <c r="E328" s="186" t="s">
        <v>300</v>
      </c>
      <c r="F328" s="187" t="s">
        <v>7</v>
      </c>
      <c r="G328" s="188" t="s">
        <v>50</v>
      </c>
    </row>
    <row r="329" spans="1:7" ht="15.75">
      <c r="A329" s="222">
        <v>13530</v>
      </c>
      <c r="B329" s="347">
        <v>0.08</v>
      </c>
      <c r="C329" s="272" t="s">
        <v>200</v>
      </c>
      <c r="D329" s="230"/>
      <c r="E329" s="216">
        <v>1800000</v>
      </c>
      <c r="F329" s="225">
        <v>0.01</v>
      </c>
      <c r="G329" s="226">
        <f>E329*F329</f>
        <v>18000</v>
      </c>
    </row>
    <row r="330" spans="1:7" ht="15.75">
      <c r="A330" s="260">
        <v>13618</v>
      </c>
      <c r="B330" s="231">
        <v>0.1</v>
      </c>
      <c r="C330" s="261" t="s">
        <v>218</v>
      </c>
      <c r="D330" s="230"/>
      <c r="E330" s="216">
        <v>1700000</v>
      </c>
      <c r="F330" s="250">
        <v>0.02</v>
      </c>
      <c r="G330" s="226">
        <f t="shared" ref="G330:G335" si="10">E330*F330</f>
        <v>34000</v>
      </c>
    </row>
    <row r="331" spans="1:7" ht="15.75">
      <c r="A331" s="214">
        <v>13573</v>
      </c>
      <c r="B331" s="221">
        <v>0.1</v>
      </c>
      <c r="C331" s="277" t="s">
        <v>231</v>
      </c>
      <c r="D331" s="230"/>
      <c r="E331" s="216">
        <v>2100000</v>
      </c>
      <c r="F331" s="250">
        <v>0.02</v>
      </c>
      <c r="G331" s="226">
        <f t="shared" si="10"/>
        <v>42000</v>
      </c>
    </row>
    <row r="332" spans="1:7" ht="15.75">
      <c r="A332" s="214">
        <v>13594</v>
      </c>
      <c r="B332" s="221">
        <v>0.1</v>
      </c>
      <c r="C332" s="277" t="s">
        <v>232</v>
      </c>
      <c r="D332" s="230"/>
      <c r="E332" s="216">
        <v>1950000</v>
      </c>
      <c r="F332" s="250">
        <v>0.02</v>
      </c>
      <c r="G332" s="226">
        <f t="shared" si="10"/>
        <v>39000</v>
      </c>
    </row>
    <row r="333" spans="1:7" ht="15.75">
      <c r="A333" s="409">
        <v>13462</v>
      </c>
      <c r="B333" s="231">
        <v>0.1</v>
      </c>
      <c r="C333" s="241" t="s">
        <v>243</v>
      </c>
      <c r="D333" s="230"/>
      <c r="E333" s="242">
        <v>700000</v>
      </c>
      <c r="F333" s="250">
        <v>0.02</v>
      </c>
      <c r="G333" s="226">
        <f t="shared" si="10"/>
        <v>14000</v>
      </c>
    </row>
    <row r="334" spans="1:7" ht="15.75">
      <c r="A334" s="410">
        <v>13599</v>
      </c>
      <c r="B334" s="231">
        <v>0.1</v>
      </c>
      <c r="C334" s="241" t="s">
        <v>250</v>
      </c>
      <c r="D334" s="216"/>
      <c r="E334" s="242">
        <v>1250000</v>
      </c>
      <c r="F334" s="250">
        <v>0.02</v>
      </c>
      <c r="G334" s="226">
        <f t="shared" si="10"/>
        <v>25000</v>
      </c>
    </row>
    <row r="335" spans="1:7" ht="15.75">
      <c r="A335" s="244">
        <v>13650</v>
      </c>
      <c r="B335" s="231">
        <v>0.1</v>
      </c>
      <c r="C335" s="241" t="s">
        <v>223</v>
      </c>
      <c r="D335" s="216"/>
      <c r="E335" s="242">
        <v>1150000</v>
      </c>
      <c r="F335" s="250">
        <v>0.02</v>
      </c>
      <c r="G335" s="226">
        <f t="shared" si="10"/>
        <v>23000</v>
      </c>
    </row>
    <row r="336" spans="1:7" ht="18">
      <c r="A336" s="412"/>
      <c r="B336" s="190"/>
      <c r="C336" s="190"/>
      <c r="D336" s="189"/>
      <c r="E336" s="191">
        <f>SUM(E329:E335)</f>
        <v>10650000</v>
      </c>
      <c r="F336" s="190"/>
      <c r="G336" s="192">
        <f>SUM(G329:G335)</f>
        <v>195000</v>
      </c>
    </row>
    <row r="339" spans="1:7">
      <c r="A339" s="994" t="s">
        <v>744</v>
      </c>
      <c r="B339" s="994"/>
      <c r="C339" s="994"/>
      <c r="D339" s="994"/>
      <c r="E339" s="994"/>
      <c r="F339" s="994"/>
      <c r="G339" s="994"/>
    </row>
    <row r="340" spans="1:7">
      <c r="A340" s="994"/>
      <c r="B340" s="995"/>
      <c r="C340" s="995"/>
      <c r="D340" s="994"/>
      <c r="E340" s="994"/>
      <c r="F340" s="994"/>
      <c r="G340" s="994"/>
    </row>
    <row r="341" spans="1:7">
      <c r="A341" s="194" t="s">
        <v>3</v>
      </c>
      <c r="B341" s="195" t="s">
        <v>709</v>
      </c>
      <c r="C341" s="184" t="s">
        <v>710</v>
      </c>
      <c r="D341" s="196" t="s">
        <v>711</v>
      </c>
      <c r="E341" s="197" t="s">
        <v>300</v>
      </c>
      <c r="F341" s="178" t="s">
        <v>7</v>
      </c>
      <c r="G341" s="198" t="s">
        <v>50</v>
      </c>
    </row>
    <row r="342" spans="1:7" ht="15.75">
      <c r="A342" s="341">
        <v>13655</v>
      </c>
      <c r="B342" s="347">
        <v>0.08</v>
      </c>
      <c r="C342" s="272" t="s">
        <v>221</v>
      </c>
      <c r="D342" s="245"/>
      <c r="E342" s="230">
        <v>1800000</v>
      </c>
      <c r="F342" s="250"/>
      <c r="G342" s="226"/>
    </row>
    <row r="343" spans="1:7" ht="18">
      <c r="A343" s="412"/>
      <c r="B343" s="190"/>
      <c r="C343" s="190"/>
      <c r="D343" s="189"/>
      <c r="E343" s="199">
        <f>SUM(E342:E342)</f>
        <v>1800000</v>
      </c>
      <c r="F343" s="190"/>
      <c r="G343" s="192">
        <f>SUM(G342:G342)</f>
        <v>0</v>
      </c>
    </row>
    <row r="346" spans="1:7">
      <c r="A346" s="994" t="s">
        <v>745</v>
      </c>
      <c r="B346" s="994"/>
      <c r="C346" s="994"/>
      <c r="D346" s="994"/>
      <c r="E346" s="994"/>
      <c r="F346" s="994"/>
      <c r="G346" s="994"/>
    </row>
    <row r="347" spans="1:7">
      <c r="A347" s="994"/>
      <c r="B347" s="995"/>
      <c r="C347" s="995"/>
      <c r="D347" s="994"/>
      <c r="E347" s="994"/>
      <c r="F347" s="994"/>
      <c r="G347" s="994"/>
    </row>
    <row r="348" spans="1:7">
      <c r="A348" s="195" t="s">
        <v>3</v>
      </c>
      <c r="B348" s="195" t="s">
        <v>709</v>
      </c>
      <c r="C348" s="195" t="s">
        <v>710</v>
      </c>
      <c r="D348" s="176" t="s">
        <v>711</v>
      </c>
      <c r="E348" s="197" t="s">
        <v>300</v>
      </c>
      <c r="F348" s="178" t="s">
        <v>7</v>
      </c>
      <c r="G348" s="198" t="s">
        <v>50</v>
      </c>
    </row>
    <row r="349" spans="1:7" ht="15.75">
      <c r="A349" s="222">
        <v>13418</v>
      </c>
      <c r="B349" s="408">
        <v>0.1</v>
      </c>
      <c r="C349" s="261" t="s">
        <v>195</v>
      </c>
      <c r="D349" s="216"/>
      <c r="E349" s="230">
        <v>1600000</v>
      </c>
      <c r="F349" s="250">
        <v>0.05</v>
      </c>
      <c r="G349" s="226">
        <f>E349*F349</f>
        <v>80000</v>
      </c>
    </row>
    <row r="350" spans="1:7" ht="15.75">
      <c r="A350" s="222">
        <v>13458</v>
      </c>
      <c r="B350" s="408">
        <v>0.1</v>
      </c>
      <c r="C350" s="261" t="s">
        <v>199</v>
      </c>
      <c r="D350" s="230"/>
      <c r="E350" s="230">
        <v>1600000</v>
      </c>
      <c r="F350" s="250">
        <v>0.05</v>
      </c>
      <c r="G350" s="226">
        <f t="shared" ref="G350:G364" si="11">E350*F350</f>
        <v>80000</v>
      </c>
    </row>
    <row r="351" spans="1:7" ht="15.75">
      <c r="A351" s="222">
        <v>13560</v>
      </c>
      <c r="B351" s="231">
        <v>0.1</v>
      </c>
      <c r="C351" s="272" t="s">
        <v>201</v>
      </c>
      <c r="D351" s="230"/>
      <c r="E351" s="230">
        <v>750000</v>
      </c>
      <c r="F351" s="250">
        <v>0.05</v>
      </c>
      <c r="G351" s="226">
        <f t="shared" si="11"/>
        <v>37500</v>
      </c>
    </row>
    <row r="352" spans="1:7" ht="15.75">
      <c r="A352" s="222">
        <v>13585</v>
      </c>
      <c r="B352" s="231">
        <v>0.1</v>
      </c>
      <c r="C352" s="272" t="s">
        <v>203</v>
      </c>
      <c r="D352" s="230"/>
      <c r="E352" s="230">
        <v>1900000</v>
      </c>
      <c r="F352" s="250">
        <v>0.05</v>
      </c>
      <c r="G352" s="226">
        <f t="shared" si="11"/>
        <v>95000</v>
      </c>
    </row>
    <row r="353" spans="1:7" ht="15.75">
      <c r="A353" s="222">
        <v>13601</v>
      </c>
      <c r="B353" s="347">
        <v>0.08</v>
      </c>
      <c r="C353" s="272" t="s">
        <v>207</v>
      </c>
      <c r="D353" s="230"/>
      <c r="E353" s="230">
        <v>1800000</v>
      </c>
      <c r="F353" s="225">
        <v>0.04</v>
      </c>
      <c r="G353" s="226">
        <f t="shared" si="11"/>
        <v>72000</v>
      </c>
    </row>
    <row r="354" spans="1:7" ht="15.75">
      <c r="A354" s="260">
        <v>13465</v>
      </c>
      <c r="B354" s="228">
        <v>0.1</v>
      </c>
      <c r="C354" s="261" t="s">
        <v>213</v>
      </c>
      <c r="D354" s="230"/>
      <c r="E354" s="230">
        <v>1700000</v>
      </c>
      <c r="F354" s="250">
        <v>0.05</v>
      </c>
      <c r="G354" s="226">
        <f t="shared" si="11"/>
        <v>85000</v>
      </c>
    </row>
    <row r="355" spans="1:7" ht="15.75">
      <c r="A355" s="240">
        <v>13457</v>
      </c>
      <c r="B355" s="347">
        <v>0.08</v>
      </c>
      <c r="C355" s="261" t="s">
        <v>214</v>
      </c>
      <c r="D355" s="230"/>
      <c r="E355" s="230">
        <v>1700000</v>
      </c>
      <c r="F355" s="225">
        <v>0.04</v>
      </c>
      <c r="G355" s="226">
        <f t="shared" si="11"/>
        <v>68000</v>
      </c>
    </row>
    <row r="356" spans="1:7" ht="15.75">
      <c r="A356" s="240">
        <v>13438</v>
      </c>
      <c r="B356" s="231">
        <v>0.1</v>
      </c>
      <c r="C356" s="261" t="s">
        <v>215</v>
      </c>
      <c r="D356" s="216"/>
      <c r="E356" s="230">
        <v>1800000</v>
      </c>
      <c r="F356" s="225">
        <v>0.02</v>
      </c>
      <c r="G356" s="226">
        <f t="shared" si="11"/>
        <v>36000</v>
      </c>
    </row>
    <row r="357" spans="1:7" ht="15.75">
      <c r="A357" s="240">
        <v>13496</v>
      </c>
      <c r="B357" s="231">
        <v>0.1</v>
      </c>
      <c r="C357" s="261" t="s">
        <v>216</v>
      </c>
      <c r="D357" s="216"/>
      <c r="E357" s="230">
        <v>750000</v>
      </c>
      <c r="F357" s="250">
        <v>0.05</v>
      </c>
      <c r="G357" s="226">
        <f t="shared" si="11"/>
        <v>37500</v>
      </c>
    </row>
    <row r="358" spans="1:7" ht="15.75">
      <c r="A358" s="260">
        <v>13532</v>
      </c>
      <c r="B358" s="347">
        <v>0.08</v>
      </c>
      <c r="C358" s="261" t="s">
        <v>217</v>
      </c>
      <c r="D358" s="216"/>
      <c r="E358" s="230">
        <v>2600000</v>
      </c>
      <c r="F358" s="225">
        <v>0.04</v>
      </c>
      <c r="G358" s="226">
        <f t="shared" si="11"/>
        <v>104000</v>
      </c>
    </row>
    <row r="359" spans="1:7" ht="15.75">
      <c r="A359" s="214">
        <v>13612</v>
      </c>
      <c r="B359" s="221">
        <v>0.1</v>
      </c>
      <c r="C359" s="277" t="s">
        <v>233</v>
      </c>
      <c r="D359" s="216"/>
      <c r="E359" s="216">
        <v>1350000</v>
      </c>
      <c r="F359" s="250">
        <v>0.05</v>
      </c>
      <c r="G359" s="226">
        <f t="shared" si="11"/>
        <v>67500</v>
      </c>
    </row>
    <row r="360" spans="1:7" ht="15.75">
      <c r="A360" s="214">
        <v>13628</v>
      </c>
      <c r="B360" s="221">
        <v>0.1</v>
      </c>
      <c r="C360" s="277" t="s">
        <v>234</v>
      </c>
      <c r="D360" s="242"/>
      <c r="E360" s="216">
        <v>1500000</v>
      </c>
      <c r="F360" s="250">
        <v>0.05</v>
      </c>
      <c r="G360" s="226">
        <f t="shared" si="11"/>
        <v>75000</v>
      </c>
    </row>
    <row r="361" spans="1:7" ht="15.75">
      <c r="A361" s="409">
        <v>13467</v>
      </c>
      <c r="B361" s="231">
        <v>0.1</v>
      </c>
      <c r="C361" s="241" t="s">
        <v>244</v>
      </c>
      <c r="D361" s="242"/>
      <c r="E361" s="242">
        <v>850000</v>
      </c>
      <c r="F361" s="250">
        <v>0.05</v>
      </c>
      <c r="G361" s="226">
        <f t="shared" si="11"/>
        <v>42500</v>
      </c>
    </row>
    <row r="362" spans="1:7" ht="15.75">
      <c r="A362" s="409">
        <v>13576</v>
      </c>
      <c r="B362" s="231">
        <v>0.1</v>
      </c>
      <c r="C362" s="241" t="s">
        <v>248</v>
      </c>
      <c r="D362" s="242"/>
      <c r="E362" s="242">
        <v>900000</v>
      </c>
      <c r="F362" s="250">
        <v>0.05</v>
      </c>
      <c r="G362" s="226">
        <f t="shared" si="11"/>
        <v>45000</v>
      </c>
    </row>
    <row r="363" spans="1:7" ht="15.75">
      <c r="A363" s="409">
        <v>13595</v>
      </c>
      <c r="B363" s="231">
        <v>0.1</v>
      </c>
      <c r="C363" s="241" t="s">
        <v>249</v>
      </c>
      <c r="D363" s="242"/>
      <c r="E363" s="242">
        <v>780000</v>
      </c>
      <c r="F363" s="250">
        <v>0.05</v>
      </c>
      <c r="G363" s="226">
        <f t="shared" si="11"/>
        <v>39000</v>
      </c>
    </row>
    <row r="364" spans="1:7" ht="15.75">
      <c r="A364" s="240">
        <v>13664</v>
      </c>
      <c r="B364" s="217">
        <v>0.08</v>
      </c>
      <c r="C364" s="272" t="s">
        <v>208</v>
      </c>
      <c r="D364" s="242"/>
      <c r="E364" s="278">
        <v>2000000</v>
      </c>
      <c r="F364" s="225">
        <v>0.04</v>
      </c>
      <c r="G364" s="226">
        <f t="shared" si="11"/>
        <v>80000</v>
      </c>
    </row>
    <row r="365" spans="1:7" ht="15.75">
      <c r="A365" s="522" t="s">
        <v>746</v>
      </c>
      <c r="B365" s="491"/>
      <c r="C365" s="517" t="s">
        <v>747</v>
      </c>
      <c r="D365" s="514" t="s">
        <v>748</v>
      </c>
      <c r="E365" s="514"/>
      <c r="F365" s="515"/>
      <c r="G365" s="516"/>
    </row>
    <row r="366" spans="1:7" ht="15.75">
      <c r="A366" s="63"/>
      <c r="B366" s="85"/>
      <c r="C366" s="22"/>
      <c r="D366" s="87"/>
      <c r="E366" s="87"/>
      <c r="F366" s="488"/>
      <c r="G366" s="114"/>
    </row>
    <row r="367" spans="1:7" ht="18">
      <c r="A367" s="190"/>
      <c r="B367" s="190"/>
      <c r="C367" s="190"/>
      <c r="D367" s="189"/>
      <c r="E367" s="200">
        <f>SUM(E349:E366)</f>
        <v>23580000</v>
      </c>
      <c r="F367" s="201"/>
      <c r="G367" s="192">
        <f>SUM(G349:G366)</f>
        <v>1044000</v>
      </c>
    </row>
    <row r="371" spans="1:7">
      <c r="A371" s="996" t="s">
        <v>749</v>
      </c>
      <c r="B371" s="997"/>
      <c r="C371" s="997"/>
      <c r="D371" s="997"/>
      <c r="E371" s="997"/>
      <c r="F371" s="997"/>
      <c r="G371" s="998"/>
    </row>
    <row r="372" spans="1:7">
      <c r="A372" s="999"/>
      <c r="B372" s="1000"/>
      <c r="C372" s="1000"/>
      <c r="D372" s="1000"/>
      <c r="E372" s="1000"/>
      <c r="F372" s="1000"/>
      <c r="G372" s="1001"/>
    </row>
    <row r="373" spans="1:7">
      <c r="A373" s="175" t="s">
        <v>3</v>
      </c>
      <c r="B373" s="175" t="s">
        <v>709</v>
      </c>
      <c r="C373" s="493" t="s">
        <v>710</v>
      </c>
      <c r="D373" s="176" t="s">
        <v>711</v>
      </c>
      <c r="E373" s="177" t="s">
        <v>300</v>
      </c>
      <c r="F373" s="178" t="s">
        <v>7</v>
      </c>
      <c r="G373" s="179" t="s">
        <v>50</v>
      </c>
    </row>
    <row r="374" spans="1:7" ht="15.75">
      <c r="A374" s="222">
        <v>13433</v>
      </c>
      <c r="B374" s="408">
        <v>0.1</v>
      </c>
      <c r="C374" s="272" t="s">
        <v>198</v>
      </c>
      <c r="D374" s="216"/>
      <c r="E374" s="224">
        <v>1550000</v>
      </c>
      <c r="F374" s="494">
        <v>2.5000000000000001E-2</v>
      </c>
      <c r="G374" s="381">
        <f>E374*F374</f>
        <v>38750</v>
      </c>
    </row>
    <row r="375" spans="1:7" ht="15.75">
      <c r="A375" s="222">
        <v>13637</v>
      </c>
      <c r="B375" s="231">
        <v>0.1</v>
      </c>
      <c r="C375" s="272" t="s">
        <v>738</v>
      </c>
      <c r="D375" s="230"/>
      <c r="E375" s="230">
        <v>1500000</v>
      </c>
      <c r="F375" s="494">
        <v>2.5000000000000001E-2</v>
      </c>
      <c r="G375" s="381">
        <f t="shared" ref="G375:G413" si="12">E375*F375</f>
        <v>37500</v>
      </c>
    </row>
    <row r="376" spans="1:7" ht="15.75">
      <c r="A376" s="300">
        <v>13586</v>
      </c>
      <c r="B376" s="231">
        <v>0.1</v>
      </c>
      <c r="C376" s="272" t="s">
        <v>205</v>
      </c>
      <c r="D376" s="230"/>
      <c r="E376" s="230">
        <v>1650000</v>
      </c>
      <c r="F376" s="494">
        <v>2.5000000000000001E-2</v>
      </c>
      <c r="G376" s="381">
        <f t="shared" si="12"/>
        <v>41250</v>
      </c>
    </row>
    <row r="377" spans="1:7" ht="15.75">
      <c r="A377" s="260">
        <v>13425</v>
      </c>
      <c r="B377" s="308">
        <v>0.1</v>
      </c>
      <c r="C377" s="277" t="s">
        <v>227</v>
      </c>
      <c r="D377" s="230"/>
      <c r="E377" s="216">
        <v>2200000</v>
      </c>
      <c r="F377" s="494">
        <v>2.5000000000000001E-2</v>
      </c>
      <c r="G377" s="381">
        <f t="shared" si="12"/>
        <v>55000</v>
      </c>
    </row>
    <row r="378" spans="1:7" ht="15.75">
      <c r="A378" s="260">
        <v>13454</v>
      </c>
      <c r="B378" s="308">
        <v>0.1</v>
      </c>
      <c r="C378" s="277" t="s">
        <v>228</v>
      </c>
      <c r="D378" s="230"/>
      <c r="E378" s="216">
        <v>1700000</v>
      </c>
      <c r="F378" s="494">
        <v>2.5000000000000001E-2</v>
      </c>
      <c r="G378" s="381">
        <f t="shared" si="12"/>
        <v>42500</v>
      </c>
    </row>
    <row r="379" spans="1:7" ht="15.75">
      <c r="A379" s="214">
        <v>13483</v>
      </c>
      <c r="B379" s="221">
        <v>0.1</v>
      </c>
      <c r="C379" s="277" t="s">
        <v>229</v>
      </c>
      <c r="D379" s="230"/>
      <c r="E379" s="216">
        <v>1600000</v>
      </c>
      <c r="F379" s="494">
        <v>2.5000000000000001E-2</v>
      </c>
      <c r="G379" s="381">
        <f t="shared" si="12"/>
        <v>40000</v>
      </c>
    </row>
    <row r="380" spans="1:7" ht="15.75">
      <c r="A380" s="214">
        <v>13508</v>
      </c>
      <c r="B380" s="221">
        <v>0.1</v>
      </c>
      <c r="C380" s="277" t="s">
        <v>230</v>
      </c>
      <c r="D380" s="230"/>
      <c r="E380" s="216">
        <v>950000</v>
      </c>
      <c r="F380" s="494">
        <v>2.5000000000000001E-2</v>
      </c>
      <c r="G380" s="381">
        <f t="shared" si="12"/>
        <v>23750</v>
      </c>
    </row>
    <row r="381" spans="1:7" ht="15.75">
      <c r="A381" s="214">
        <v>13635</v>
      </c>
      <c r="B381" s="221">
        <v>0.1</v>
      </c>
      <c r="C381" s="277" t="s">
        <v>235</v>
      </c>
      <c r="D381" s="230"/>
      <c r="E381" s="216">
        <v>1500000</v>
      </c>
      <c r="F381" s="494">
        <v>2.5000000000000001E-2</v>
      </c>
      <c r="G381" s="381">
        <f t="shared" si="12"/>
        <v>37500</v>
      </c>
    </row>
    <row r="382" spans="1:7" ht="15.75">
      <c r="A382" s="409">
        <v>13472</v>
      </c>
      <c r="B382" s="231">
        <v>0.1</v>
      </c>
      <c r="C382" s="241" t="s">
        <v>242</v>
      </c>
      <c r="D382" s="216"/>
      <c r="E382" s="242">
        <v>1130000</v>
      </c>
      <c r="F382" s="494">
        <v>2.5000000000000001E-2</v>
      </c>
      <c r="G382" s="381">
        <f t="shared" si="12"/>
        <v>28250</v>
      </c>
    </row>
    <row r="383" spans="1:7" ht="15.75">
      <c r="A383" s="410">
        <v>13498</v>
      </c>
      <c r="B383" s="231">
        <v>0.1</v>
      </c>
      <c r="C383" s="241" t="s">
        <v>245</v>
      </c>
      <c r="D383" s="242"/>
      <c r="E383" s="242">
        <v>1150000</v>
      </c>
      <c r="F383" s="494">
        <v>2.5000000000000001E-2</v>
      </c>
      <c r="G383" s="381">
        <f t="shared" si="12"/>
        <v>28750</v>
      </c>
    </row>
    <row r="384" spans="1:7" ht="15.75">
      <c r="A384" s="293">
        <v>13572</v>
      </c>
      <c r="B384" s="231">
        <v>0.1</v>
      </c>
      <c r="C384" s="241" t="s">
        <v>739</v>
      </c>
      <c r="D384" s="242"/>
      <c r="E384" s="242">
        <v>1200000</v>
      </c>
      <c r="F384" s="494">
        <v>2.5000000000000001E-2</v>
      </c>
      <c r="G384" s="381">
        <f t="shared" si="12"/>
        <v>30000</v>
      </c>
    </row>
    <row r="385" spans="1:7" ht="15.75">
      <c r="A385" s="409">
        <v>13574</v>
      </c>
      <c r="B385" s="231">
        <v>0.1</v>
      </c>
      <c r="C385" s="241" t="s">
        <v>247</v>
      </c>
      <c r="D385" s="242"/>
      <c r="E385" s="242">
        <v>950000</v>
      </c>
      <c r="F385" s="494">
        <v>2.5000000000000001E-2</v>
      </c>
      <c r="G385" s="381">
        <f t="shared" si="12"/>
        <v>23750</v>
      </c>
    </row>
    <row r="386" spans="1:7" ht="15.75">
      <c r="A386" s="409">
        <v>13626</v>
      </c>
      <c r="B386" s="347">
        <v>0.08</v>
      </c>
      <c r="C386" s="241" t="s">
        <v>251</v>
      </c>
      <c r="D386" s="302"/>
      <c r="E386" s="246">
        <v>750000</v>
      </c>
      <c r="F386" s="495">
        <v>1.4999999999999999E-2</v>
      </c>
      <c r="G386" s="381">
        <f t="shared" si="12"/>
        <v>11250</v>
      </c>
    </row>
    <row r="387" spans="1:7" ht="15.75">
      <c r="A387" s="240">
        <v>13639</v>
      </c>
      <c r="B387" s="347">
        <v>0.08</v>
      </c>
      <c r="C387" s="261" t="s">
        <v>197</v>
      </c>
      <c r="D387" s="302"/>
      <c r="E387" s="246">
        <v>1550000</v>
      </c>
      <c r="F387" s="495">
        <v>1.4999999999999999E-2</v>
      </c>
      <c r="G387" s="381">
        <f t="shared" si="12"/>
        <v>23250</v>
      </c>
    </row>
    <row r="388" spans="1:7" ht="15.75">
      <c r="A388" s="222">
        <v>13530</v>
      </c>
      <c r="B388" s="347">
        <v>0.08</v>
      </c>
      <c r="C388" s="272" t="s">
        <v>200</v>
      </c>
      <c r="D388" s="230"/>
      <c r="E388" s="216">
        <v>1800000</v>
      </c>
      <c r="F388" s="495">
        <v>1.4999999999999999E-2</v>
      </c>
      <c r="G388" s="381">
        <f t="shared" si="12"/>
        <v>27000</v>
      </c>
    </row>
    <row r="389" spans="1:7" ht="15.75">
      <c r="A389" s="260">
        <v>13618</v>
      </c>
      <c r="B389" s="231">
        <v>0.1</v>
      </c>
      <c r="C389" s="261" t="s">
        <v>218</v>
      </c>
      <c r="D389" s="230"/>
      <c r="E389" s="216">
        <v>1700000</v>
      </c>
      <c r="F389" s="494">
        <v>2.5000000000000001E-2</v>
      </c>
      <c r="G389" s="381">
        <f t="shared" si="12"/>
        <v>42500</v>
      </c>
    </row>
    <row r="390" spans="1:7" ht="15.75">
      <c r="A390" s="214">
        <v>13573</v>
      </c>
      <c r="B390" s="221">
        <v>0.1</v>
      </c>
      <c r="C390" s="277" t="s">
        <v>231</v>
      </c>
      <c r="D390" s="230"/>
      <c r="E390" s="216">
        <v>2100000</v>
      </c>
      <c r="F390" s="494">
        <v>2.5000000000000001E-2</v>
      </c>
      <c r="G390" s="381">
        <f t="shared" si="12"/>
        <v>52500</v>
      </c>
    </row>
    <row r="391" spans="1:7" ht="15.75">
      <c r="A391" s="214">
        <v>13594</v>
      </c>
      <c r="B391" s="221">
        <v>0.1</v>
      </c>
      <c r="C391" s="277" t="s">
        <v>232</v>
      </c>
      <c r="D391" s="230"/>
      <c r="E391" s="216">
        <v>1950000</v>
      </c>
      <c r="F391" s="494">
        <v>2.5000000000000001E-2</v>
      </c>
      <c r="G391" s="381">
        <f t="shared" si="12"/>
        <v>48750</v>
      </c>
    </row>
    <row r="392" spans="1:7" ht="15.75">
      <c r="A392" s="409">
        <v>13462</v>
      </c>
      <c r="B392" s="231">
        <v>0.1</v>
      </c>
      <c r="C392" s="241" t="s">
        <v>243</v>
      </c>
      <c r="D392" s="230"/>
      <c r="E392" s="242">
        <v>700000</v>
      </c>
      <c r="F392" s="494">
        <v>2.5000000000000001E-2</v>
      </c>
      <c r="G392" s="381">
        <f t="shared" si="12"/>
        <v>17500</v>
      </c>
    </row>
    <row r="393" spans="1:7" ht="15.75">
      <c r="A393" s="409">
        <v>13599</v>
      </c>
      <c r="B393" s="231">
        <v>0.1</v>
      </c>
      <c r="C393" s="241" t="s">
        <v>250</v>
      </c>
      <c r="D393" s="216"/>
      <c r="E393" s="242">
        <v>1250000</v>
      </c>
      <c r="F393" s="494">
        <v>2.5000000000000001E-2</v>
      </c>
      <c r="G393" s="381">
        <f t="shared" si="12"/>
        <v>31250</v>
      </c>
    </row>
    <row r="394" spans="1:7" ht="15.75">
      <c r="A394" s="409">
        <v>13650</v>
      </c>
      <c r="B394" s="231">
        <v>0.1</v>
      </c>
      <c r="C394" s="241" t="s">
        <v>223</v>
      </c>
      <c r="D394" s="216"/>
      <c r="E394" s="242">
        <v>1150000</v>
      </c>
      <c r="F394" s="494">
        <v>2.5000000000000001E-2</v>
      </c>
      <c r="G394" s="381">
        <f t="shared" si="12"/>
        <v>28750</v>
      </c>
    </row>
    <row r="395" spans="1:7" ht="15.75">
      <c r="A395" s="341">
        <v>13655</v>
      </c>
      <c r="B395" s="347">
        <v>0.08</v>
      </c>
      <c r="C395" s="272" t="s">
        <v>221</v>
      </c>
      <c r="D395" s="245"/>
      <c r="E395" s="230">
        <v>1800000</v>
      </c>
      <c r="F395" s="495">
        <v>1.4999999999999999E-2</v>
      </c>
      <c r="G395" s="381">
        <f t="shared" si="12"/>
        <v>27000</v>
      </c>
    </row>
    <row r="396" spans="1:7" ht="15.75">
      <c r="A396" s="222">
        <v>13418</v>
      </c>
      <c r="B396" s="408">
        <v>0.1</v>
      </c>
      <c r="C396" s="261" t="s">
        <v>195</v>
      </c>
      <c r="D396" s="216"/>
      <c r="E396" s="230">
        <v>1600000</v>
      </c>
      <c r="F396" s="494">
        <v>2.5000000000000001E-2</v>
      </c>
      <c r="G396" s="381">
        <f t="shared" si="12"/>
        <v>40000</v>
      </c>
    </row>
    <row r="397" spans="1:7" ht="15.75">
      <c r="A397" s="222">
        <v>13458</v>
      </c>
      <c r="B397" s="408">
        <v>0.1</v>
      </c>
      <c r="C397" s="261" t="s">
        <v>199</v>
      </c>
      <c r="D397" s="230"/>
      <c r="E397" s="230">
        <v>1600000</v>
      </c>
      <c r="F397" s="494">
        <v>2.5000000000000001E-2</v>
      </c>
      <c r="G397" s="381">
        <f t="shared" si="12"/>
        <v>40000</v>
      </c>
    </row>
    <row r="398" spans="1:7" ht="15.75">
      <c r="A398" s="222">
        <v>13560</v>
      </c>
      <c r="B398" s="231">
        <v>0.1</v>
      </c>
      <c r="C398" s="272" t="s">
        <v>201</v>
      </c>
      <c r="D398" s="230"/>
      <c r="E398" s="230">
        <v>750000</v>
      </c>
      <c r="F398" s="494">
        <v>2.5000000000000001E-2</v>
      </c>
      <c r="G398" s="381">
        <f t="shared" si="12"/>
        <v>18750</v>
      </c>
    </row>
    <row r="399" spans="1:7" ht="15.75">
      <c r="A399" s="222">
        <v>13585</v>
      </c>
      <c r="B399" s="231">
        <v>0.1</v>
      </c>
      <c r="C399" s="272" t="s">
        <v>203</v>
      </c>
      <c r="D399" s="230"/>
      <c r="E399" s="230">
        <v>1900000</v>
      </c>
      <c r="F399" s="494">
        <v>2.5000000000000001E-2</v>
      </c>
      <c r="G399" s="381">
        <f t="shared" si="12"/>
        <v>47500</v>
      </c>
    </row>
    <row r="400" spans="1:7" ht="15.75">
      <c r="A400" s="222">
        <v>13601</v>
      </c>
      <c r="B400" s="347">
        <v>0.08</v>
      </c>
      <c r="C400" s="272" t="s">
        <v>207</v>
      </c>
      <c r="D400" s="230"/>
      <c r="E400" s="230">
        <v>1800000</v>
      </c>
      <c r="F400" s="495">
        <v>1.4999999999999999E-2</v>
      </c>
      <c r="G400" s="381">
        <f t="shared" si="12"/>
        <v>27000</v>
      </c>
    </row>
    <row r="401" spans="1:7" ht="15.75">
      <c r="A401" s="260">
        <v>13465</v>
      </c>
      <c r="B401" s="228">
        <v>0.1</v>
      </c>
      <c r="C401" s="261" t="s">
        <v>213</v>
      </c>
      <c r="D401" s="230"/>
      <c r="E401" s="230">
        <v>1700000</v>
      </c>
      <c r="F401" s="494">
        <v>2.5000000000000001E-2</v>
      </c>
      <c r="G401" s="381">
        <f t="shared" si="12"/>
        <v>42500</v>
      </c>
    </row>
    <row r="402" spans="1:7" ht="15.75">
      <c r="A402" s="240">
        <v>13457</v>
      </c>
      <c r="B402" s="347">
        <v>0.08</v>
      </c>
      <c r="C402" s="261" t="s">
        <v>214</v>
      </c>
      <c r="D402" s="230"/>
      <c r="E402" s="230">
        <v>1700000</v>
      </c>
      <c r="F402" s="495">
        <v>1.4999999999999999E-2</v>
      </c>
      <c r="G402" s="381">
        <f t="shared" si="12"/>
        <v>25500</v>
      </c>
    </row>
    <row r="403" spans="1:7" ht="15.75">
      <c r="A403" s="240">
        <v>13438</v>
      </c>
      <c r="B403" s="231">
        <v>0.1</v>
      </c>
      <c r="C403" s="261" t="s">
        <v>215</v>
      </c>
      <c r="D403" s="216"/>
      <c r="E403" s="230">
        <v>1800000</v>
      </c>
      <c r="F403" s="494">
        <v>2.5000000000000001E-2</v>
      </c>
      <c r="G403" s="381">
        <f t="shared" si="12"/>
        <v>45000</v>
      </c>
    </row>
    <row r="404" spans="1:7" ht="15.75">
      <c r="A404" s="240">
        <v>13496</v>
      </c>
      <c r="B404" s="231">
        <v>0.1</v>
      </c>
      <c r="C404" s="261" t="s">
        <v>216</v>
      </c>
      <c r="D404" s="216"/>
      <c r="E404" s="230">
        <v>750000</v>
      </c>
      <c r="F404" s="494">
        <v>2.5000000000000001E-2</v>
      </c>
      <c r="G404" s="381">
        <f t="shared" si="12"/>
        <v>18750</v>
      </c>
    </row>
    <row r="405" spans="1:7" ht="15.75">
      <c r="A405" s="260">
        <v>13532</v>
      </c>
      <c r="B405" s="347">
        <v>0.08</v>
      </c>
      <c r="C405" s="261" t="s">
        <v>217</v>
      </c>
      <c r="D405" s="216"/>
      <c r="E405" s="230">
        <v>2600000</v>
      </c>
      <c r="F405" s="495">
        <v>1.4999999999999999E-2</v>
      </c>
      <c r="G405" s="381">
        <f t="shared" si="12"/>
        <v>39000</v>
      </c>
    </row>
    <row r="406" spans="1:7" ht="15.75">
      <c r="A406" s="214">
        <v>13612</v>
      </c>
      <c r="B406" s="221">
        <v>0.1</v>
      </c>
      <c r="C406" s="277" t="s">
        <v>233</v>
      </c>
      <c r="D406" s="216"/>
      <c r="E406" s="216">
        <v>1350000</v>
      </c>
      <c r="F406" s="494">
        <v>2.5000000000000001E-2</v>
      </c>
      <c r="G406" s="381">
        <f t="shared" si="12"/>
        <v>33750</v>
      </c>
    </row>
    <row r="407" spans="1:7" ht="15.75">
      <c r="A407" s="214">
        <v>13628</v>
      </c>
      <c r="B407" s="221">
        <v>0.1</v>
      </c>
      <c r="C407" s="277" t="s">
        <v>234</v>
      </c>
      <c r="D407" s="242"/>
      <c r="E407" s="216">
        <v>1500000</v>
      </c>
      <c r="F407" s="494">
        <v>2.5000000000000001E-2</v>
      </c>
      <c r="G407" s="381">
        <f t="shared" si="12"/>
        <v>37500</v>
      </c>
    </row>
    <row r="408" spans="1:7" ht="15.75">
      <c r="A408" s="409">
        <v>13467</v>
      </c>
      <c r="B408" s="231">
        <v>0.1</v>
      </c>
      <c r="C408" s="241" t="s">
        <v>244</v>
      </c>
      <c r="D408" s="242"/>
      <c r="E408" s="242">
        <v>850000</v>
      </c>
      <c r="F408" s="494">
        <v>2.5000000000000001E-2</v>
      </c>
      <c r="G408" s="381">
        <f t="shared" si="12"/>
        <v>21250</v>
      </c>
    </row>
    <row r="409" spans="1:7" ht="15.75">
      <c r="A409" s="409">
        <v>13576</v>
      </c>
      <c r="B409" s="231">
        <v>0.1</v>
      </c>
      <c r="C409" s="241" t="s">
        <v>248</v>
      </c>
      <c r="D409" s="242"/>
      <c r="E409" s="242">
        <v>900000</v>
      </c>
      <c r="F409" s="494">
        <v>2.5000000000000001E-2</v>
      </c>
      <c r="G409" s="381">
        <f t="shared" si="12"/>
        <v>22500</v>
      </c>
    </row>
    <row r="410" spans="1:7" ht="15.75">
      <c r="A410" s="409">
        <v>13595</v>
      </c>
      <c r="B410" s="231">
        <v>0.1</v>
      </c>
      <c r="C410" s="241" t="s">
        <v>249</v>
      </c>
      <c r="D410" s="242"/>
      <c r="E410" s="242">
        <v>780000</v>
      </c>
      <c r="F410" s="494">
        <v>2.5000000000000001E-2</v>
      </c>
      <c r="G410" s="381">
        <f t="shared" si="12"/>
        <v>19500</v>
      </c>
    </row>
    <row r="411" spans="1:7" ht="15.75">
      <c r="A411" s="240">
        <v>13664</v>
      </c>
      <c r="B411" s="217">
        <v>0.08</v>
      </c>
      <c r="C411" s="272" t="s">
        <v>208</v>
      </c>
      <c r="D411" s="242"/>
      <c r="E411" s="278">
        <v>2000000</v>
      </c>
      <c r="F411" s="495">
        <v>1.4999999999999999E-2</v>
      </c>
      <c r="G411" s="381">
        <f t="shared" si="12"/>
        <v>30000</v>
      </c>
    </row>
    <row r="412" spans="1:7" ht="15.75">
      <c r="A412" s="260">
        <v>13651</v>
      </c>
      <c r="B412" s="231">
        <v>0.1</v>
      </c>
      <c r="C412" s="261" t="s">
        <v>219</v>
      </c>
      <c r="D412" s="278"/>
      <c r="E412" s="278">
        <v>1500000</v>
      </c>
      <c r="F412" s="494">
        <v>2.5000000000000001E-2</v>
      </c>
      <c r="G412" s="381">
        <f t="shared" si="12"/>
        <v>37500</v>
      </c>
    </row>
    <row r="413" spans="1:7" ht="15.75">
      <c r="A413" s="214">
        <v>13504</v>
      </c>
      <c r="B413" s="228">
        <v>0.1</v>
      </c>
      <c r="C413" s="261" t="s">
        <v>255</v>
      </c>
      <c r="D413" s="216"/>
      <c r="E413" s="216">
        <v>1250000</v>
      </c>
      <c r="F413" s="494">
        <v>2.5000000000000001E-2</v>
      </c>
      <c r="G413" s="381">
        <f t="shared" si="12"/>
        <v>31250</v>
      </c>
    </row>
    <row r="414" spans="1:7" ht="18">
      <c r="A414" s="190"/>
      <c r="B414" s="190"/>
      <c r="C414" s="190"/>
      <c r="D414" s="202" t="s">
        <v>47</v>
      </c>
      <c r="E414" s="203">
        <f>SUM(E374:E413)</f>
        <v>58160000</v>
      </c>
      <c r="F414" s="404"/>
      <c r="G414" s="200">
        <f>SUM(G374:G413)</f>
        <v>1314000</v>
      </c>
    </row>
    <row r="418" spans="1:7">
      <c r="A418" s="1002" t="s">
        <v>258</v>
      </c>
      <c r="B418" s="1003"/>
      <c r="C418" s="1003"/>
      <c r="D418" s="1003"/>
      <c r="E418" s="1003"/>
      <c r="F418" s="1003"/>
      <c r="G418" s="1004"/>
    </row>
    <row r="419" spans="1:7">
      <c r="A419" s="1005"/>
      <c r="B419" s="1006"/>
      <c r="C419" s="1006"/>
      <c r="D419" s="1006"/>
      <c r="E419" s="1006"/>
      <c r="F419" s="1006"/>
      <c r="G419" s="1007"/>
    </row>
    <row r="420" spans="1:7">
      <c r="A420" s="1005"/>
      <c r="B420" s="1006"/>
      <c r="C420" s="1006"/>
      <c r="D420" s="1006"/>
      <c r="E420" s="1006"/>
      <c r="F420" s="1006"/>
      <c r="G420" s="1007"/>
    </row>
    <row r="421" spans="1:7">
      <c r="A421" s="1008"/>
      <c r="B421" s="1009"/>
      <c r="C421" s="1009"/>
      <c r="D421" s="1009"/>
      <c r="E421" s="1009"/>
      <c r="F421" s="1009"/>
      <c r="G421" s="1010"/>
    </row>
    <row r="423" spans="1:7">
      <c r="A423" s="994" t="s">
        <v>750</v>
      </c>
      <c r="B423" s="994"/>
      <c r="C423" s="994"/>
      <c r="D423" s="994"/>
      <c r="E423" s="994"/>
      <c r="F423" s="994"/>
      <c r="G423" s="994"/>
    </row>
    <row r="424" spans="1:7">
      <c r="A424" s="994"/>
      <c r="B424" s="994"/>
      <c r="C424" s="994"/>
      <c r="D424" s="994"/>
      <c r="E424" s="994"/>
      <c r="F424" s="994"/>
      <c r="G424" s="994"/>
    </row>
    <row r="425" spans="1:7">
      <c r="A425" s="175" t="s">
        <v>3</v>
      </c>
      <c r="B425" s="175" t="s">
        <v>709</v>
      </c>
      <c r="C425" s="493" t="s">
        <v>710</v>
      </c>
      <c r="D425" s="176" t="s">
        <v>711</v>
      </c>
      <c r="E425" s="177" t="s">
        <v>300</v>
      </c>
      <c r="F425" s="178" t="s">
        <v>7</v>
      </c>
      <c r="G425" s="179" t="s">
        <v>50</v>
      </c>
    </row>
    <row r="426" spans="1:7" ht="15.75">
      <c r="A426" s="260">
        <v>13679</v>
      </c>
      <c r="B426" s="217">
        <v>0.08</v>
      </c>
      <c r="C426" s="261" t="s">
        <v>271</v>
      </c>
      <c r="D426" s="216"/>
      <c r="E426" s="224">
        <v>1200000</v>
      </c>
      <c r="F426" s="349">
        <v>0.01</v>
      </c>
      <c r="G426" s="248">
        <f>E426*F426</f>
        <v>12000</v>
      </c>
    </row>
    <row r="427" spans="1:7" ht="15.75">
      <c r="A427" s="214">
        <v>13678</v>
      </c>
      <c r="B427" s="221">
        <v>0.1</v>
      </c>
      <c r="C427" s="277" t="s">
        <v>281</v>
      </c>
      <c r="D427" s="230"/>
      <c r="E427" s="230">
        <v>1500000</v>
      </c>
      <c r="F427" s="247">
        <v>0.02</v>
      </c>
      <c r="G427" s="248">
        <f t="shared" ref="G427:G431" si="13">E427*F427</f>
        <v>30000</v>
      </c>
    </row>
    <row r="428" spans="1:7" ht="15.75">
      <c r="A428" s="293">
        <v>13750</v>
      </c>
      <c r="B428" s="231">
        <v>0.1</v>
      </c>
      <c r="C428" s="241" t="s">
        <v>272</v>
      </c>
      <c r="D428" s="230"/>
      <c r="E428" s="230">
        <v>850000</v>
      </c>
      <c r="F428" s="247">
        <v>0.02</v>
      </c>
      <c r="G428" s="248">
        <f t="shared" si="13"/>
        <v>17000</v>
      </c>
    </row>
    <row r="429" spans="1:7" ht="15.75">
      <c r="A429" s="240">
        <v>13839</v>
      </c>
      <c r="B429" s="231">
        <v>0.1</v>
      </c>
      <c r="C429" s="261" t="s">
        <v>292</v>
      </c>
      <c r="D429" s="242"/>
      <c r="E429" s="242">
        <v>1100000</v>
      </c>
      <c r="F429" s="247">
        <v>0.02</v>
      </c>
      <c r="G429" s="248">
        <f t="shared" si="13"/>
        <v>22000</v>
      </c>
    </row>
    <row r="430" spans="1:7" ht="15.75">
      <c r="A430" s="240">
        <v>13846</v>
      </c>
      <c r="B430" s="231">
        <v>0.1</v>
      </c>
      <c r="C430" s="261" t="s">
        <v>293</v>
      </c>
      <c r="D430" s="242"/>
      <c r="E430" s="242">
        <v>1000000</v>
      </c>
      <c r="F430" s="247">
        <v>0.02</v>
      </c>
      <c r="G430" s="248">
        <f t="shared" si="13"/>
        <v>20000</v>
      </c>
    </row>
    <row r="431" spans="1:7" ht="15.75">
      <c r="A431" s="260">
        <v>13882</v>
      </c>
      <c r="B431" s="231">
        <v>0.1</v>
      </c>
      <c r="C431" s="261" t="s">
        <v>267</v>
      </c>
      <c r="D431" s="544"/>
      <c r="E431" s="242">
        <v>1900000</v>
      </c>
      <c r="F431" s="247">
        <v>0.02</v>
      </c>
      <c r="G431" s="248">
        <f t="shared" si="13"/>
        <v>38000</v>
      </c>
    </row>
    <row r="432" spans="1:7" ht="18">
      <c r="A432" s="461"/>
      <c r="B432" s="180"/>
      <c r="C432" s="180"/>
      <c r="D432" s="181"/>
      <c r="E432" s="182">
        <f>SUM(E426:E431)</f>
        <v>7550000</v>
      </c>
      <c r="F432" s="180"/>
      <c r="G432" s="548">
        <f>SUM(G426:G431)</f>
        <v>139000</v>
      </c>
    </row>
    <row r="435" spans="1:7">
      <c r="A435" s="994" t="s">
        <v>751</v>
      </c>
      <c r="B435" s="994"/>
      <c r="C435" s="994"/>
      <c r="D435" s="994"/>
      <c r="E435" s="994"/>
      <c r="F435" s="994"/>
      <c r="G435" s="994"/>
    </row>
    <row r="436" spans="1:7">
      <c r="A436" s="994"/>
      <c r="B436" s="994"/>
      <c r="C436" s="995"/>
      <c r="D436" s="994"/>
      <c r="E436" s="994"/>
      <c r="F436" s="994"/>
      <c r="G436" s="994"/>
    </row>
    <row r="437" spans="1:7">
      <c r="A437" s="299" t="s">
        <v>3</v>
      </c>
      <c r="B437" s="183" t="s">
        <v>709</v>
      </c>
      <c r="C437" s="184" t="s">
        <v>710</v>
      </c>
      <c r="D437" s="185" t="s">
        <v>711</v>
      </c>
      <c r="E437" s="186" t="s">
        <v>300</v>
      </c>
      <c r="F437" s="187" t="s">
        <v>7</v>
      </c>
      <c r="G437" s="188" t="s">
        <v>50</v>
      </c>
    </row>
    <row r="438" spans="1:7" ht="15.75">
      <c r="A438" s="222">
        <v>13775</v>
      </c>
      <c r="B438" s="526">
        <v>0.08</v>
      </c>
      <c r="C438" s="272" t="s">
        <v>261</v>
      </c>
      <c r="D438" s="230"/>
      <c r="E438" s="216">
        <v>1500000</v>
      </c>
      <c r="F438" s="225">
        <v>0.01</v>
      </c>
      <c r="G438" s="226">
        <f>E438*F438</f>
        <v>15000</v>
      </c>
    </row>
    <row r="439" spans="1:7" ht="15.75">
      <c r="A439" s="222">
        <v>13806</v>
      </c>
      <c r="B439" s="408">
        <v>0.1</v>
      </c>
      <c r="C439" s="272" t="s">
        <v>262</v>
      </c>
      <c r="D439" s="230"/>
      <c r="E439" s="216">
        <v>1800000</v>
      </c>
      <c r="F439" s="250">
        <v>0.02</v>
      </c>
      <c r="G439" s="226">
        <f t="shared" ref="G439:G443" si="14">E439*F439</f>
        <v>36000</v>
      </c>
    </row>
    <row r="440" spans="1:7" ht="15.75">
      <c r="A440" s="300">
        <v>13789</v>
      </c>
      <c r="B440" s="526">
        <v>0.08</v>
      </c>
      <c r="C440" s="272" t="s">
        <v>259</v>
      </c>
      <c r="D440" s="230"/>
      <c r="E440" s="216">
        <v>1750000</v>
      </c>
      <c r="F440" s="250">
        <v>0.01</v>
      </c>
      <c r="G440" s="226">
        <f t="shared" si="14"/>
        <v>17500</v>
      </c>
    </row>
    <row r="441" spans="1:7" ht="15.75">
      <c r="A441" s="214">
        <v>13796</v>
      </c>
      <c r="B441" s="221">
        <v>0.1</v>
      </c>
      <c r="C441" s="277" t="s">
        <v>282</v>
      </c>
      <c r="D441" s="230"/>
      <c r="E441" s="216">
        <v>800000</v>
      </c>
      <c r="F441" s="250">
        <v>0.02</v>
      </c>
      <c r="G441" s="226">
        <f t="shared" si="14"/>
        <v>16000</v>
      </c>
    </row>
    <row r="442" spans="1:7" ht="15.75">
      <c r="A442" s="409">
        <v>13781</v>
      </c>
      <c r="B442" s="231">
        <v>0.1</v>
      </c>
      <c r="C442" s="241" t="s">
        <v>289</v>
      </c>
      <c r="D442" s="216"/>
      <c r="E442" s="242">
        <v>1400000</v>
      </c>
      <c r="F442" s="250">
        <v>0.02</v>
      </c>
      <c r="G442" s="226">
        <f t="shared" si="14"/>
        <v>28000</v>
      </c>
    </row>
    <row r="443" spans="1:7" ht="15.75">
      <c r="A443" s="409">
        <v>13785</v>
      </c>
      <c r="B443" s="231">
        <v>0.1</v>
      </c>
      <c r="C443" s="241" t="s">
        <v>290</v>
      </c>
      <c r="D443" s="216"/>
      <c r="E443" s="242">
        <v>950000</v>
      </c>
      <c r="F443" s="250">
        <v>0.02</v>
      </c>
      <c r="G443" s="226">
        <f t="shared" si="14"/>
        <v>19000</v>
      </c>
    </row>
    <row r="444" spans="1:7" ht="18">
      <c r="A444" s="412"/>
      <c r="B444" s="190"/>
      <c r="C444" s="190"/>
      <c r="D444" s="189"/>
      <c r="E444" s="191">
        <f>SUM(E438:E443)</f>
        <v>8200000</v>
      </c>
      <c r="F444" s="190"/>
      <c r="G444" s="192">
        <f>SUM(G438:G443)</f>
        <v>131500</v>
      </c>
    </row>
    <row r="447" spans="1:7">
      <c r="A447" s="994" t="s">
        <v>752</v>
      </c>
      <c r="B447" s="994"/>
      <c r="C447" s="994"/>
      <c r="D447" s="994"/>
      <c r="E447" s="994"/>
      <c r="F447" s="994"/>
      <c r="G447" s="994"/>
    </row>
    <row r="448" spans="1:7">
      <c r="A448" s="994"/>
      <c r="B448" s="995"/>
      <c r="C448" s="995"/>
      <c r="D448" s="994"/>
      <c r="E448" s="994"/>
      <c r="F448" s="994"/>
      <c r="G448" s="994"/>
    </row>
    <row r="449" spans="1:7">
      <c r="A449" s="194" t="s">
        <v>3</v>
      </c>
      <c r="B449" s="195" t="s">
        <v>709</v>
      </c>
      <c r="C449" s="184" t="s">
        <v>710</v>
      </c>
      <c r="D449" s="196" t="s">
        <v>711</v>
      </c>
      <c r="E449" s="197" t="s">
        <v>300</v>
      </c>
      <c r="F449" s="178" t="s">
        <v>7</v>
      </c>
      <c r="G449" s="537" t="s">
        <v>50</v>
      </c>
    </row>
    <row r="450" spans="1:7" ht="18.75">
      <c r="A450" s="341">
        <v>13876</v>
      </c>
      <c r="B450" s="231">
        <v>0.1</v>
      </c>
      <c r="C450" s="272" t="s">
        <v>753</v>
      </c>
      <c r="D450" s="245"/>
      <c r="E450" s="230">
        <v>800000</v>
      </c>
      <c r="F450" s="250">
        <v>0.02</v>
      </c>
      <c r="G450" s="546">
        <f>E450*F450</f>
        <v>16000</v>
      </c>
    </row>
    <row r="451" spans="1:7" ht="15.75">
      <c r="A451" s="545">
        <v>13869</v>
      </c>
      <c r="B451" s="231">
        <v>0.1</v>
      </c>
      <c r="C451" s="272" t="s">
        <v>263</v>
      </c>
      <c r="D451" s="245"/>
      <c r="E451" s="536">
        <v>850000</v>
      </c>
      <c r="F451" s="250">
        <v>0.02</v>
      </c>
      <c r="G451" s="226">
        <f>E451*F451</f>
        <v>17000</v>
      </c>
    </row>
    <row r="452" spans="1:7" ht="18">
      <c r="A452" s="412"/>
      <c r="B452" s="190"/>
      <c r="C452" s="190"/>
      <c r="D452" s="189"/>
      <c r="E452" s="199">
        <f>SUM(E450:E451)</f>
        <v>1650000</v>
      </c>
      <c r="F452" s="190"/>
      <c r="G452" s="192">
        <f>SUM(G450:G451)</f>
        <v>33000</v>
      </c>
    </row>
    <row r="455" spans="1:7">
      <c r="A455" s="994" t="s">
        <v>754</v>
      </c>
      <c r="B455" s="994"/>
      <c r="C455" s="994"/>
      <c r="D455" s="994"/>
      <c r="E455" s="994"/>
      <c r="F455" s="994"/>
      <c r="G455" s="994"/>
    </row>
    <row r="456" spans="1:7">
      <c r="A456" s="994"/>
      <c r="B456" s="995"/>
      <c r="C456" s="995"/>
      <c r="D456" s="994"/>
      <c r="E456" s="994"/>
      <c r="F456" s="994"/>
      <c r="G456" s="994"/>
    </row>
    <row r="457" spans="1:7">
      <c r="A457" s="195" t="s">
        <v>3</v>
      </c>
      <c r="B457" s="195" t="s">
        <v>709</v>
      </c>
      <c r="C457" s="184" t="s">
        <v>710</v>
      </c>
      <c r="D457" s="176" t="s">
        <v>711</v>
      </c>
      <c r="E457" s="197" t="s">
        <v>300</v>
      </c>
      <c r="F457" s="178" t="s">
        <v>7</v>
      </c>
      <c r="G457" s="537" t="s">
        <v>50</v>
      </c>
    </row>
    <row r="458" spans="1:7" ht="15.75">
      <c r="A458" s="222">
        <v>13763</v>
      </c>
      <c r="B458" s="408">
        <v>0.1</v>
      </c>
      <c r="C458" s="272" t="s">
        <v>260</v>
      </c>
      <c r="D458" s="216"/>
      <c r="E458" s="216">
        <v>1500000</v>
      </c>
      <c r="F458" s="250">
        <v>0.04</v>
      </c>
      <c r="G458" s="226">
        <f>E458*F458</f>
        <v>60000</v>
      </c>
    </row>
    <row r="459" spans="1:7" ht="15.75">
      <c r="A459" s="240">
        <v>13706</v>
      </c>
      <c r="B459" s="347">
        <v>0.08</v>
      </c>
      <c r="C459" s="261" t="s">
        <v>273</v>
      </c>
      <c r="D459" s="230"/>
      <c r="E459" s="230">
        <v>1700000</v>
      </c>
      <c r="F459" s="225">
        <v>0.03</v>
      </c>
      <c r="G459" s="226">
        <f t="shared" ref="G459:G470" si="15">E459*F459</f>
        <v>51000</v>
      </c>
    </row>
    <row r="460" spans="1:7" ht="15.75">
      <c r="A460" s="240">
        <v>13757</v>
      </c>
      <c r="B460" s="231">
        <v>0.1</v>
      </c>
      <c r="C460" s="261" t="s">
        <v>274</v>
      </c>
      <c r="D460" s="230"/>
      <c r="E460" s="230">
        <v>1400000</v>
      </c>
      <c r="F460" s="250">
        <v>0.04</v>
      </c>
      <c r="G460" s="226">
        <f t="shared" si="15"/>
        <v>56000</v>
      </c>
    </row>
    <row r="461" spans="1:7" ht="15.75">
      <c r="A461" s="240">
        <v>13779</v>
      </c>
      <c r="B461" s="231">
        <v>0.1</v>
      </c>
      <c r="C461" s="261" t="s">
        <v>276</v>
      </c>
      <c r="D461" s="230"/>
      <c r="E461" s="230">
        <v>1600000</v>
      </c>
      <c r="F461" s="250">
        <v>0.04</v>
      </c>
      <c r="G461" s="226">
        <f t="shared" si="15"/>
        <v>64000</v>
      </c>
    </row>
    <row r="462" spans="1:7" ht="15.75">
      <c r="A462" s="240">
        <v>13809</v>
      </c>
      <c r="B462" s="231">
        <v>0.1</v>
      </c>
      <c r="C462" s="261" t="s">
        <v>278</v>
      </c>
      <c r="D462" s="230"/>
      <c r="E462" s="230">
        <v>1700000</v>
      </c>
      <c r="F462" s="250">
        <v>0.04</v>
      </c>
      <c r="G462" s="226">
        <f t="shared" si="15"/>
        <v>68000</v>
      </c>
    </row>
    <row r="463" spans="1:7" ht="15.75">
      <c r="A463" s="240">
        <v>13801</v>
      </c>
      <c r="B463" s="231">
        <v>0.1</v>
      </c>
      <c r="C463" s="261" t="s">
        <v>279</v>
      </c>
      <c r="D463" s="230"/>
      <c r="E463" s="230">
        <v>1700000</v>
      </c>
      <c r="F463" s="250">
        <v>0.04</v>
      </c>
      <c r="G463" s="226">
        <f t="shared" si="15"/>
        <v>68000</v>
      </c>
    </row>
    <row r="464" spans="1:7" ht="15.75">
      <c r="A464" s="260">
        <v>13843</v>
      </c>
      <c r="B464" s="347">
        <v>0.08</v>
      </c>
      <c r="C464" s="261" t="s">
        <v>280</v>
      </c>
      <c r="D464" s="230"/>
      <c r="E464" s="230">
        <v>2000000</v>
      </c>
      <c r="F464" s="225">
        <v>0.03</v>
      </c>
      <c r="G464" s="226">
        <f t="shared" si="15"/>
        <v>60000</v>
      </c>
    </row>
    <row r="465" spans="1:7" ht="15.75">
      <c r="A465" s="409">
        <v>13704</v>
      </c>
      <c r="B465" s="231">
        <v>0.1</v>
      </c>
      <c r="C465" s="241" t="s">
        <v>286</v>
      </c>
      <c r="D465" s="230"/>
      <c r="E465" s="242">
        <v>1000000</v>
      </c>
      <c r="F465" s="250">
        <v>0.04</v>
      </c>
      <c r="G465" s="226">
        <f t="shared" si="15"/>
        <v>40000</v>
      </c>
    </row>
    <row r="466" spans="1:7" ht="15.75">
      <c r="A466" s="409">
        <v>13707</v>
      </c>
      <c r="B466" s="231">
        <v>0.1</v>
      </c>
      <c r="C466" s="241" t="s">
        <v>287</v>
      </c>
      <c r="D466" s="216"/>
      <c r="E466" s="242">
        <v>1000000</v>
      </c>
      <c r="F466" s="250">
        <v>0.04</v>
      </c>
      <c r="G466" s="226">
        <f t="shared" si="15"/>
        <v>40000</v>
      </c>
    </row>
    <row r="467" spans="1:7" ht="15.75">
      <c r="A467" s="214">
        <v>13830</v>
      </c>
      <c r="B467" s="228">
        <v>0.1</v>
      </c>
      <c r="C467" s="261" t="s">
        <v>297</v>
      </c>
      <c r="D467" s="216"/>
      <c r="E467" s="230">
        <v>1100000</v>
      </c>
      <c r="F467" s="250">
        <v>0.04</v>
      </c>
      <c r="G467" s="226">
        <f t="shared" si="15"/>
        <v>44000</v>
      </c>
    </row>
    <row r="468" spans="1:7" ht="15.75">
      <c r="A468" s="409">
        <v>13845</v>
      </c>
      <c r="B468" s="231">
        <v>0.1</v>
      </c>
      <c r="C468" s="241" t="s">
        <v>291</v>
      </c>
      <c r="D468" s="216"/>
      <c r="E468" s="242">
        <v>900000</v>
      </c>
      <c r="F468" s="250">
        <v>0.04</v>
      </c>
      <c r="G468" s="226">
        <f t="shared" si="15"/>
        <v>36000</v>
      </c>
    </row>
    <row r="469" spans="1:7" ht="15.75">
      <c r="A469" s="214">
        <v>13847</v>
      </c>
      <c r="B469" s="228">
        <v>0.1</v>
      </c>
      <c r="C469" s="261" t="s">
        <v>298</v>
      </c>
      <c r="D469" s="216"/>
      <c r="E469" s="216">
        <v>1200000</v>
      </c>
      <c r="F469" s="250">
        <v>0.04</v>
      </c>
      <c r="G469" s="226">
        <f t="shared" si="15"/>
        <v>48000</v>
      </c>
    </row>
    <row r="470" spans="1:7" ht="15.75">
      <c r="A470" s="214">
        <v>13870</v>
      </c>
      <c r="B470" s="228">
        <v>0.1</v>
      </c>
      <c r="C470" s="272" t="s">
        <v>755</v>
      </c>
      <c r="D470" s="278"/>
      <c r="E470" s="278">
        <v>1200000</v>
      </c>
      <c r="F470" s="250">
        <v>0.04</v>
      </c>
      <c r="G470" s="226">
        <f t="shared" si="15"/>
        <v>48000</v>
      </c>
    </row>
    <row r="471" spans="1:7" ht="15.75">
      <c r="A471" s="411">
        <v>13886</v>
      </c>
      <c r="B471" s="308">
        <v>0.1</v>
      </c>
      <c r="C471" s="272" t="s">
        <v>294</v>
      </c>
      <c r="D471" s="278"/>
      <c r="E471" s="278">
        <v>1200000</v>
      </c>
      <c r="F471" s="250">
        <v>0.04</v>
      </c>
      <c r="G471" s="226">
        <f>E471*F471</f>
        <v>48000</v>
      </c>
    </row>
    <row r="472" spans="1:7" ht="15.75">
      <c r="A472" s="204" t="s">
        <v>191</v>
      </c>
      <c r="B472" s="524"/>
      <c r="C472" s="205" t="s">
        <v>268</v>
      </c>
      <c r="D472" s="331"/>
      <c r="E472" s="331"/>
      <c r="F472" s="395"/>
      <c r="G472" s="206"/>
    </row>
    <row r="473" spans="1:7" ht="15.75">
      <c r="A473" s="204" t="s">
        <v>191</v>
      </c>
      <c r="B473" s="524"/>
      <c r="C473" s="205" t="s">
        <v>269</v>
      </c>
      <c r="D473" s="331"/>
      <c r="E473" s="331"/>
      <c r="F473" s="395"/>
      <c r="G473" s="206"/>
    </row>
    <row r="474" spans="1:7" ht="15.75">
      <c r="A474" s="204" t="s">
        <v>191</v>
      </c>
      <c r="B474" s="524"/>
      <c r="C474" s="264" t="s">
        <v>284</v>
      </c>
      <c r="D474" s="331"/>
      <c r="E474" s="331"/>
      <c r="F474" s="395"/>
      <c r="G474" s="206"/>
    </row>
    <row r="475" spans="1:7" ht="15.75">
      <c r="A475" s="204" t="s">
        <v>191</v>
      </c>
      <c r="B475" s="524"/>
      <c r="C475" s="205" t="s">
        <v>270</v>
      </c>
      <c r="D475" s="331"/>
      <c r="E475" s="331"/>
      <c r="F475" s="538"/>
      <c r="G475" s="206"/>
    </row>
    <row r="476" spans="1:7" ht="18">
      <c r="A476" s="190"/>
      <c r="B476" s="190"/>
      <c r="C476" s="190"/>
      <c r="D476" s="189"/>
      <c r="E476" s="200">
        <f>SUM(E458:E475)</f>
        <v>19200000</v>
      </c>
      <c r="F476" s="201"/>
      <c r="G476" s="192">
        <f>SUM(G458:G475)</f>
        <v>731000</v>
      </c>
    </row>
    <row r="480" spans="1:7">
      <c r="A480" s="996" t="s">
        <v>756</v>
      </c>
      <c r="B480" s="997"/>
      <c r="C480" s="997"/>
      <c r="D480" s="997"/>
      <c r="E480" s="997"/>
      <c r="F480" s="997"/>
      <c r="G480" s="998"/>
    </row>
    <row r="481" spans="1:7">
      <c r="A481" s="999"/>
      <c r="B481" s="1000"/>
      <c r="C481" s="1000"/>
      <c r="D481" s="1000"/>
      <c r="E481" s="1000"/>
      <c r="F481" s="1000"/>
      <c r="G481" s="1001"/>
    </row>
    <row r="482" spans="1:7">
      <c r="A482" s="175" t="s">
        <v>3</v>
      </c>
      <c r="B482" s="175" t="s">
        <v>709</v>
      </c>
      <c r="C482" s="493" t="s">
        <v>710</v>
      </c>
      <c r="D482" s="176" t="s">
        <v>711</v>
      </c>
      <c r="E482" s="177" t="s">
        <v>300</v>
      </c>
      <c r="F482" s="178" t="s">
        <v>7</v>
      </c>
      <c r="G482" s="179" t="s">
        <v>50</v>
      </c>
    </row>
    <row r="483" spans="1:7" ht="15.75">
      <c r="A483" s="260">
        <v>13679</v>
      </c>
      <c r="B483" s="217">
        <v>0.08</v>
      </c>
      <c r="C483" s="261" t="s">
        <v>271</v>
      </c>
      <c r="D483" s="216"/>
      <c r="E483" s="224">
        <v>1200000</v>
      </c>
      <c r="F483" s="380">
        <v>0.01</v>
      </c>
      <c r="G483" s="381">
        <f>E483*F483</f>
        <v>12000</v>
      </c>
    </row>
    <row r="484" spans="1:7" ht="15.75">
      <c r="A484" s="214">
        <v>13678</v>
      </c>
      <c r="B484" s="221">
        <v>0.1</v>
      </c>
      <c r="C484" s="277" t="s">
        <v>281</v>
      </c>
      <c r="D484" s="230"/>
      <c r="E484" s="230">
        <v>1500000</v>
      </c>
      <c r="F484" s="379">
        <v>0.02</v>
      </c>
      <c r="G484" s="381">
        <f t="shared" ref="G484:G513" si="16">E484*F484</f>
        <v>30000</v>
      </c>
    </row>
    <row r="485" spans="1:7" ht="15.75">
      <c r="A485" s="293">
        <v>13750</v>
      </c>
      <c r="B485" s="231">
        <v>0.1</v>
      </c>
      <c r="C485" s="241" t="s">
        <v>272</v>
      </c>
      <c r="D485" s="230"/>
      <c r="E485" s="230">
        <v>850000</v>
      </c>
      <c r="F485" s="379">
        <v>0.02</v>
      </c>
      <c r="G485" s="381">
        <f t="shared" si="16"/>
        <v>17000</v>
      </c>
    </row>
    <row r="486" spans="1:7" ht="15.75">
      <c r="A486" s="240">
        <v>13839</v>
      </c>
      <c r="B486" s="231">
        <v>0.1</v>
      </c>
      <c r="C486" s="261" t="s">
        <v>292</v>
      </c>
      <c r="D486" s="242"/>
      <c r="E486" s="242">
        <v>1100000</v>
      </c>
      <c r="F486" s="379">
        <v>0.02</v>
      </c>
      <c r="G486" s="381">
        <f t="shared" si="16"/>
        <v>22000</v>
      </c>
    </row>
    <row r="487" spans="1:7" ht="15.75">
      <c r="A487" s="260">
        <v>13846</v>
      </c>
      <c r="B487" s="231">
        <v>0.1</v>
      </c>
      <c r="C487" s="261" t="s">
        <v>293</v>
      </c>
      <c r="D487" s="242"/>
      <c r="E487" s="242">
        <v>1000000</v>
      </c>
      <c r="F487" s="379">
        <v>0.02</v>
      </c>
      <c r="G487" s="381">
        <f t="shared" si="16"/>
        <v>20000</v>
      </c>
    </row>
    <row r="488" spans="1:7" ht="15.75">
      <c r="A488" s="222">
        <v>13775</v>
      </c>
      <c r="B488" s="526">
        <v>0.08</v>
      </c>
      <c r="C488" s="272" t="s">
        <v>261</v>
      </c>
      <c r="D488" s="230"/>
      <c r="E488" s="216">
        <v>1500000</v>
      </c>
      <c r="F488" s="380">
        <v>0.01</v>
      </c>
      <c r="G488" s="381">
        <f t="shared" si="16"/>
        <v>15000</v>
      </c>
    </row>
    <row r="489" spans="1:7" ht="15.75">
      <c r="A489" s="222">
        <v>13806</v>
      </c>
      <c r="B489" s="408">
        <v>0.1</v>
      </c>
      <c r="C489" s="272" t="s">
        <v>262</v>
      </c>
      <c r="D489" s="230"/>
      <c r="E489" s="216">
        <v>1800000</v>
      </c>
      <c r="F489" s="379">
        <v>0.02</v>
      </c>
      <c r="G489" s="381">
        <f t="shared" si="16"/>
        <v>36000</v>
      </c>
    </row>
    <row r="490" spans="1:7" ht="15.75">
      <c r="A490" s="300">
        <v>13789</v>
      </c>
      <c r="B490" s="526">
        <v>0.08</v>
      </c>
      <c r="C490" s="272" t="s">
        <v>259</v>
      </c>
      <c r="D490" s="230"/>
      <c r="E490" s="216">
        <v>1750000</v>
      </c>
      <c r="F490" s="380">
        <v>0.01</v>
      </c>
      <c r="G490" s="381">
        <f t="shared" si="16"/>
        <v>17500</v>
      </c>
    </row>
    <row r="491" spans="1:7" ht="15.75">
      <c r="A491" s="214">
        <v>13796</v>
      </c>
      <c r="B491" s="221">
        <v>0.1</v>
      </c>
      <c r="C491" s="277" t="s">
        <v>282</v>
      </c>
      <c r="D491" s="230"/>
      <c r="E491" s="216">
        <v>800000</v>
      </c>
      <c r="F491" s="379">
        <v>0.02</v>
      </c>
      <c r="G491" s="381">
        <f t="shared" si="16"/>
        <v>16000</v>
      </c>
    </row>
    <row r="492" spans="1:7" ht="15.75">
      <c r="A492" s="409">
        <v>13781</v>
      </c>
      <c r="B492" s="231">
        <v>0.1</v>
      </c>
      <c r="C492" s="241" t="s">
        <v>289</v>
      </c>
      <c r="D492" s="216"/>
      <c r="E492" s="242">
        <v>1400000</v>
      </c>
      <c r="F492" s="379">
        <v>0.02</v>
      </c>
      <c r="G492" s="381">
        <f t="shared" si="16"/>
        <v>28000</v>
      </c>
    </row>
    <row r="493" spans="1:7" ht="15.75">
      <c r="A493" s="409">
        <v>13785</v>
      </c>
      <c r="B493" s="231">
        <v>0.1</v>
      </c>
      <c r="C493" s="241" t="s">
        <v>290</v>
      </c>
      <c r="D493" s="216"/>
      <c r="E493" s="242">
        <v>950000</v>
      </c>
      <c r="F493" s="379">
        <v>0.02</v>
      </c>
      <c r="G493" s="381">
        <f t="shared" si="16"/>
        <v>19000</v>
      </c>
    </row>
    <row r="494" spans="1:7" ht="15.75">
      <c r="A494" s="409">
        <v>13700</v>
      </c>
      <c r="B494" s="231">
        <v>0.1</v>
      </c>
      <c r="C494" s="241" t="s">
        <v>285</v>
      </c>
      <c r="D494" s="242"/>
      <c r="E494" s="242">
        <v>1100000</v>
      </c>
      <c r="F494" s="379">
        <v>0.02</v>
      </c>
      <c r="G494" s="381">
        <f t="shared" si="16"/>
        <v>22000</v>
      </c>
    </row>
    <row r="495" spans="1:7" ht="15.75">
      <c r="A495" s="409">
        <v>13724</v>
      </c>
      <c r="B495" s="231">
        <v>0.1</v>
      </c>
      <c r="C495" s="241" t="s">
        <v>288</v>
      </c>
      <c r="D495" s="302"/>
      <c r="E495" s="246">
        <v>750000</v>
      </c>
      <c r="F495" s="379">
        <v>0.02</v>
      </c>
      <c r="G495" s="381">
        <f t="shared" si="16"/>
        <v>15000</v>
      </c>
    </row>
    <row r="496" spans="1:7" ht="15.75">
      <c r="A496" s="240">
        <v>13684</v>
      </c>
      <c r="B496" s="231">
        <v>0.1</v>
      </c>
      <c r="C496" s="261" t="s">
        <v>296</v>
      </c>
      <c r="D496" s="302"/>
      <c r="E496" s="246">
        <v>850000</v>
      </c>
      <c r="F496" s="379">
        <v>0.02</v>
      </c>
      <c r="G496" s="381">
        <f t="shared" si="16"/>
        <v>17000</v>
      </c>
    </row>
    <row r="497" spans="1:7" ht="15.75">
      <c r="A497" s="341">
        <v>13876</v>
      </c>
      <c r="B497" s="231">
        <v>0.1</v>
      </c>
      <c r="C497" s="272" t="s">
        <v>753</v>
      </c>
      <c r="D497" s="245"/>
      <c r="E497" s="230">
        <v>800000</v>
      </c>
      <c r="F497" s="379">
        <v>0.02</v>
      </c>
      <c r="G497" s="381">
        <f t="shared" si="16"/>
        <v>16000</v>
      </c>
    </row>
    <row r="498" spans="1:7" ht="15.75">
      <c r="A498" s="545">
        <v>13869</v>
      </c>
      <c r="B498" s="231">
        <v>0.1</v>
      </c>
      <c r="C498" s="272" t="s">
        <v>263</v>
      </c>
      <c r="D498" s="245"/>
      <c r="E498" s="536">
        <v>850000</v>
      </c>
      <c r="F498" s="379">
        <v>0.02</v>
      </c>
      <c r="G498" s="381">
        <f t="shared" si="16"/>
        <v>17000</v>
      </c>
    </row>
    <row r="499" spans="1:7" ht="15.75">
      <c r="A499" s="222">
        <v>13763</v>
      </c>
      <c r="B499" s="408">
        <v>0.1</v>
      </c>
      <c r="C499" s="272" t="s">
        <v>260</v>
      </c>
      <c r="D499" s="216"/>
      <c r="E499" s="216">
        <v>1500000</v>
      </c>
      <c r="F499" s="379">
        <v>0.02</v>
      </c>
      <c r="G499" s="381">
        <f t="shared" si="16"/>
        <v>30000</v>
      </c>
    </row>
    <row r="500" spans="1:7" ht="15.75">
      <c r="A500" s="240">
        <v>13706</v>
      </c>
      <c r="B500" s="347">
        <v>0.08</v>
      </c>
      <c r="C500" s="261" t="s">
        <v>273</v>
      </c>
      <c r="D500" s="230"/>
      <c r="E500" s="230">
        <v>1700000</v>
      </c>
      <c r="F500" s="380">
        <v>0.01</v>
      </c>
      <c r="G500" s="381">
        <f t="shared" si="16"/>
        <v>17000</v>
      </c>
    </row>
    <row r="501" spans="1:7" ht="15.75">
      <c r="A501" s="240">
        <v>13757</v>
      </c>
      <c r="B501" s="231">
        <v>0.1</v>
      </c>
      <c r="C501" s="261" t="s">
        <v>274</v>
      </c>
      <c r="D501" s="230"/>
      <c r="E501" s="230">
        <v>1400000</v>
      </c>
      <c r="F501" s="379">
        <v>0.02</v>
      </c>
      <c r="G501" s="381">
        <f t="shared" si="16"/>
        <v>28000</v>
      </c>
    </row>
    <row r="502" spans="1:7" ht="15.75">
      <c r="A502" s="240">
        <v>13779</v>
      </c>
      <c r="B502" s="231">
        <v>0.1</v>
      </c>
      <c r="C502" s="261" t="s">
        <v>276</v>
      </c>
      <c r="D502" s="230"/>
      <c r="E502" s="230">
        <v>1600000</v>
      </c>
      <c r="F502" s="379">
        <v>0.02</v>
      </c>
      <c r="G502" s="381">
        <f t="shared" si="16"/>
        <v>32000</v>
      </c>
    </row>
    <row r="503" spans="1:7" ht="15.75">
      <c r="A503" s="240">
        <v>13809</v>
      </c>
      <c r="B503" s="231">
        <v>0.1</v>
      </c>
      <c r="C503" s="261" t="s">
        <v>278</v>
      </c>
      <c r="D503" s="230"/>
      <c r="E503" s="230">
        <v>1700000</v>
      </c>
      <c r="F503" s="379">
        <v>0.02</v>
      </c>
      <c r="G503" s="381">
        <f t="shared" si="16"/>
        <v>34000</v>
      </c>
    </row>
    <row r="504" spans="1:7" ht="15.75">
      <c r="A504" s="240">
        <v>13801</v>
      </c>
      <c r="B504" s="231">
        <v>0.1</v>
      </c>
      <c r="C504" s="261" t="s">
        <v>279</v>
      </c>
      <c r="D504" s="230"/>
      <c r="E504" s="230">
        <v>1700000</v>
      </c>
      <c r="F504" s="379">
        <v>0.02</v>
      </c>
      <c r="G504" s="381">
        <f t="shared" si="16"/>
        <v>34000</v>
      </c>
    </row>
    <row r="505" spans="1:7" ht="15.75">
      <c r="A505" s="260">
        <v>13843</v>
      </c>
      <c r="B505" s="231">
        <v>0.1</v>
      </c>
      <c r="C505" s="261" t="s">
        <v>280</v>
      </c>
      <c r="D505" s="230"/>
      <c r="E505" s="230">
        <v>2000000</v>
      </c>
      <c r="F505" s="379">
        <v>0.02</v>
      </c>
      <c r="G505" s="381">
        <f t="shared" si="16"/>
        <v>40000</v>
      </c>
    </row>
    <row r="506" spans="1:7" ht="15.75">
      <c r="A506" s="409">
        <v>13704</v>
      </c>
      <c r="B506" s="231">
        <v>0.1</v>
      </c>
      <c r="C506" s="241" t="s">
        <v>286</v>
      </c>
      <c r="D506" s="230"/>
      <c r="E506" s="242">
        <v>1000000</v>
      </c>
      <c r="F506" s="379">
        <v>0.02</v>
      </c>
      <c r="G506" s="381">
        <f t="shared" si="16"/>
        <v>20000</v>
      </c>
    </row>
    <row r="507" spans="1:7" ht="15.75">
      <c r="A507" s="409">
        <v>13707</v>
      </c>
      <c r="B507" s="231">
        <v>0.1</v>
      </c>
      <c r="C507" s="241" t="s">
        <v>287</v>
      </c>
      <c r="D507" s="216"/>
      <c r="E507" s="242">
        <v>1000000</v>
      </c>
      <c r="F507" s="379">
        <v>0.02</v>
      </c>
      <c r="G507" s="381">
        <f t="shared" si="16"/>
        <v>20000</v>
      </c>
    </row>
    <row r="508" spans="1:7" ht="15.75">
      <c r="A508" s="214">
        <v>13830</v>
      </c>
      <c r="B508" s="228">
        <v>0.1</v>
      </c>
      <c r="C508" s="261" t="s">
        <v>297</v>
      </c>
      <c r="D508" s="216"/>
      <c r="E508" s="230">
        <v>1100000</v>
      </c>
      <c r="F508" s="379">
        <v>0.02</v>
      </c>
      <c r="G508" s="381">
        <f t="shared" si="16"/>
        <v>22000</v>
      </c>
    </row>
    <row r="509" spans="1:7" ht="15.75">
      <c r="A509" s="409">
        <v>13845</v>
      </c>
      <c r="B509" s="231">
        <v>0.1</v>
      </c>
      <c r="C509" s="241" t="s">
        <v>291</v>
      </c>
      <c r="D509" s="216"/>
      <c r="E509" s="242">
        <v>900000</v>
      </c>
      <c r="F509" s="379">
        <v>0.02</v>
      </c>
      <c r="G509" s="381">
        <f t="shared" si="16"/>
        <v>18000</v>
      </c>
    </row>
    <row r="510" spans="1:7" ht="15.75">
      <c r="A510" s="214">
        <v>13847</v>
      </c>
      <c r="B510" s="228">
        <v>0.1</v>
      </c>
      <c r="C510" s="261" t="s">
        <v>298</v>
      </c>
      <c r="D510" s="216"/>
      <c r="E510" s="216">
        <v>1200000</v>
      </c>
      <c r="F510" s="379">
        <v>0.02</v>
      </c>
      <c r="G510" s="381">
        <f t="shared" si="16"/>
        <v>24000</v>
      </c>
    </row>
    <row r="511" spans="1:7" ht="15.75">
      <c r="A511" s="214">
        <v>13870</v>
      </c>
      <c r="B511" s="228">
        <v>0.1</v>
      </c>
      <c r="C511" s="272" t="s">
        <v>755</v>
      </c>
      <c r="D511" s="278"/>
      <c r="E511" s="278">
        <v>1200000</v>
      </c>
      <c r="F511" s="379">
        <v>0.02</v>
      </c>
      <c r="G511" s="381">
        <f t="shared" si="16"/>
        <v>24000</v>
      </c>
    </row>
    <row r="512" spans="1:7" ht="15.75">
      <c r="A512" s="300">
        <v>13666</v>
      </c>
      <c r="B512" s="231">
        <v>0.1</v>
      </c>
      <c r="C512" s="272" t="s">
        <v>295</v>
      </c>
      <c r="D512" s="216"/>
      <c r="E512" s="230">
        <v>1600000</v>
      </c>
      <c r="F512" s="379">
        <v>0.02</v>
      </c>
      <c r="G512" s="381">
        <f t="shared" si="16"/>
        <v>32000</v>
      </c>
    </row>
    <row r="513" spans="1:7" ht="15.75">
      <c r="A513" s="214">
        <v>13882</v>
      </c>
      <c r="B513" s="231">
        <v>0.1</v>
      </c>
      <c r="C513" s="261" t="s">
        <v>267</v>
      </c>
      <c r="D513" s="544"/>
      <c r="E513" s="242">
        <v>1900000</v>
      </c>
      <c r="F513" s="247">
        <v>0.02</v>
      </c>
      <c r="G513" s="547">
        <f t="shared" si="16"/>
        <v>38000</v>
      </c>
    </row>
    <row r="514" spans="1:7" ht="15.75">
      <c r="A514" s="214">
        <v>13886</v>
      </c>
      <c r="B514" s="231">
        <v>0.1</v>
      </c>
      <c r="C514" s="261" t="s">
        <v>294</v>
      </c>
      <c r="D514" s="544"/>
      <c r="E514" s="553">
        <v>1200000</v>
      </c>
      <c r="F514" s="247">
        <v>0.02</v>
      </c>
      <c r="G514" s="547">
        <f>E514*F514</f>
        <v>24000</v>
      </c>
    </row>
    <row r="515" spans="1:7" ht="18">
      <c r="A515" s="190"/>
      <c r="B515" s="190"/>
      <c r="C515" s="190"/>
      <c r="D515" s="202" t="s">
        <v>47</v>
      </c>
      <c r="E515" s="203">
        <f>SUM(E483:E514)</f>
        <v>40900000</v>
      </c>
      <c r="F515" s="404"/>
      <c r="G515" s="539">
        <f>SUM(G483:G514)</f>
        <v>756500</v>
      </c>
    </row>
    <row r="519" spans="1:7">
      <c r="A519" s="1002" t="s">
        <v>299</v>
      </c>
      <c r="B519" s="1003"/>
      <c r="C519" s="1003"/>
      <c r="D519" s="1003"/>
      <c r="E519" s="1003"/>
      <c r="F519" s="1003"/>
      <c r="G519" s="1004"/>
    </row>
    <row r="520" spans="1:7">
      <c r="A520" s="1005"/>
      <c r="B520" s="1006"/>
      <c r="C520" s="1006"/>
      <c r="D520" s="1006"/>
      <c r="E520" s="1006"/>
      <c r="F520" s="1006"/>
      <c r="G520" s="1007"/>
    </row>
    <row r="521" spans="1:7">
      <c r="A521" s="1005"/>
      <c r="B521" s="1006"/>
      <c r="C521" s="1006"/>
      <c r="D521" s="1006"/>
      <c r="E521" s="1006"/>
      <c r="F521" s="1006"/>
      <c r="G521" s="1007"/>
    </row>
    <row r="522" spans="1:7">
      <c r="A522" s="1008"/>
      <c r="B522" s="1009"/>
      <c r="C522" s="1009"/>
      <c r="D522" s="1009"/>
      <c r="E522" s="1009"/>
      <c r="F522" s="1009"/>
      <c r="G522" s="1010"/>
    </row>
    <row r="524" spans="1:7">
      <c r="A524" s="994" t="s">
        <v>757</v>
      </c>
      <c r="B524" s="994"/>
      <c r="C524" s="994"/>
      <c r="D524" s="994"/>
      <c r="E524" s="994"/>
      <c r="F524" s="994"/>
      <c r="G524" s="994"/>
    </row>
    <row r="525" spans="1:7">
      <c r="A525" s="994"/>
      <c r="B525" s="994"/>
      <c r="C525" s="994"/>
      <c r="D525" s="994"/>
      <c r="E525" s="994"/>
      <c r="F525" s="994"/>
      <c r="G525" s="994"/>
    </row>
    <row r="526" spans="1:7">
      <c r="A526" s="175" t="s">
        <v>3</v>
      </c>
      <c r="B526" s="175" t="s">
        <v>709</v>
      </c>
      <c r="C526" s="175" t="s">
        <v>710</v>
      </c>
      <c r="D526" s="176" t="s">
        <v>711</v>
      </c>
      <c r="E526" s="177" t="s">
        <v>300</v>
      </c>
      <c r="F526" s="178" t="s">
        <v>7</v>
      </c>
      <c r="G526" s="179" t="s">
        <v>50</v>
      </c>
    </row>
    <row r="527" spans="1:7" ht="15.75">
      <c r="A527" s="300">
        <v>13937</v>
      </c>
      <c r="B527" s="568">
        <v>0.1</v>
      </c>
      <c r="C527" s="261" t="s">
        <v>304</v>
      </c>
      <c r="D527" s="230"/>
      <c r="E527" s="216">
        <v>1450000</v>
      </c>
      <c r="F527" s="247">
        <v>0.03</v>
      </c>
      <c r="G527" s="248">
        <f>E527*F527</f>
        <v>43500</v>
      </c>
    </row>
    <row r="528" spans="1:7" ht="15.75">
      <c r="A528" s="222">
        <v>14045</v>
      </c>
      <c r="B528" s="308">
        <v>0.1</v>
      </c>
      <c r="C528" s="272" t="s">
        <v>310</v>
      </c>
      <c r="D528" s="294"/>
      <c r="E528" s="216">
        <v>1200000</v>
      </c>
      <c r="F528" s="247">
        <v>0.03</v>
      </c>
      <c r="G528" s="248">
        <f t="shared" ref="G528:G540" si="17">E528*F528</f>
        <v>36000</v>
      </c>
    </row>
    <row r="529" spans="1:7" ht="15.75">
      <c r="A529" s="260">
        <v>13977</v>
      </c>
      <c r="B529" s="231">
        <v>0.1</v>
      </c>
      <c r="C529" s="261" t="s">
        <v>321</v>
      </c>
      <c r="D529" s="230"/>
      <c r="E529" s="230">
        <v>1600000</v>
      </c>
      <c r="F529" s="247">
        <v>0.03</v>
      </c>
      <c r="G529" s="248">
        <f t="shared" si="17"/>
        <v>48000</v>
      </c>
    </row>
    <row r="530" spans="1:7" ht="15.75">
      <c r="A530" s="214">
        <v>13907</v>
      </c>
      <c r="B530" s="348">
        <v>0.08</v>
      </c>
      <c r="C530" s="277" t="s">
        <v>331</v>
      </c>
      <c r="D530" s="230"/>
      <c r="E530" s="216">
        <v>1550000</v>
      </c>
      <c r="F530" s="349">
        <v>0.02</v>
      </c>
      <c r="G530" s="248">
        <f t="shared" si="17"/>
        <v>31000</v>
      </c>
    </row>
    <row r="531" spans="1:7" ht="15.75">
      <c r="A531" s="409">
        <v>13945</v>
      </c>
      <c r="B531" s="231">
        <v>0.1</v>
      </c>
      <c r="C531" s="241" t="s">
        <v>335</v>
      </c>
      <c r="D531" s="230"/>
      <c r="E531" s="242">
        <v>750000</v>
      </c>
      <c r="F531" s="247">
        <v>0.03</v>
      </c>
      <c r="G531" s="248">
        <f t="shared" si="17"/>
        <v>22500</v>
      </c>
    </row>
    <row r="532" spans="1:7" ht="15.75">
      <c r="A532" s="409">
        <v>13979</v>
      </c>
      <c r="B532" s="231">
        <v>0.1</v>
      </c>
      <c r="C532" s="241" t="s">
        <v>338</v>
      </c>
      <c r="D532" s="230"/>
      <c r="E532" s="242">
        <v>1070000</v>
      </c>
      <c r="F532" s="247">
        <v>0.03</v>
      </c>
      <c r="G532" s="248">
        <f t="shared" si="17"/>
        <v>32100</v>
      </c>
    </row>
    <row r="533" spans="1:7" ht="15.75">
      <c r="A533" s="409">
        <v>13993</v>
      </c>
      <c r="B533" s="231">
        <v>0.1</v>
      </c>
      <c r="C533" s="241" t="s">
        <v>339</v>
      </c>
      <c r="D533" s="230"/>
      <c r="E533" s="242">
        <v>1100000</v>
      </c>
      <c r="F533" s="247">
        <v>0.03</v>
      </c>
      <c r="G533" s="248">
        <f t="shared" si="17"/>
        <v>33000</v>
      </c>
    </row>
    <row r="534" spans="1:7" ht="15.75">
      <c r="A534" s="409">
        <v>13991</v>
      </c>
      <c r="B534" s="231">
        <v>0.1</v>
      </c>
      <c r="C534" s="241" t="s">
        <v>340</v>
      </c>
      <c r="D534" s="230"/>
      <c r="E534" s="242">
        <v>1200000</v>
      </c>
      <c r="F534" s="247">
        <v>0.03</v>
      </c>
      <c r="G534" s="248">
        <f t="shared" si="17"/>
        <v>36000</v>
      </c>
    </row>
    <row r="535" spans="1:7" ht="15.75">
      <c r="A535" s="409">
        <v>14025</v>
      </c>
      <c r="B535" s="231">
        <v>0.1</v>
      </c>
      <c r="C535" s="241" t="s">
        <v>341</v>
      </c>
      <c r="D535" s="242"/>
      <c r="E535" s="242">
        <v>1200000</v>
      </c>
      <c r="F535" s="247">
        <v>0.03</v>
      </c>
      <c r="G535" s="248">
        <f t="shared" si="17"/>
        <v>36000</v>
      </c>
    </row>
    <row r="536" spans="1:7" ht="15.75">
      <c r="A536" s="409">
        <v>14051</v>
      </c>
      <c r="B536" s="231">
        <v>0.1</v>
      </c>
      <c r="C536" s="241" t="s">
        <v>342</v>
      </c>
      <c r="D536" s="242"/>
      <c r="E536" s="242">
        <v>850000</v>
      </c>
      <c r="F536" s="247">
        <v>0.03</v>
      </c>
      <c r="G536" s="248">
        <f t="shared" si="17"/>
        <v>25500</v>
      </c>
    </row>
    <row r="537" spans="1:7" ht="15.75">
      <c r="A537" s="409">
        <v>14065</v>
      </c>
      <c r="B537" s="231">
        <v>0.1</v>
      </c>
      <c r="C537" s="241" t="s">
        <v>344</v>
      </c>
      <c r="D537" s="242"/>
      <c r="E537" s="242">
        <v>1100000</v>
      </c>
      <c r="F537" s="247">
        <v>0.03</v>
      </c>
      <c r="G537" s="248">
        <f t="shared" si="17"/>
        <v>33000</v>
      </c>
    </row>
    <row r="538" spans="1:7" ht="15.75">
      <c r="A538" s="409">
        <v>14098</v>
      </c>
      <c r="B538" s="231">
        <v>0.1</v>
      </c>
      <c r="C538" s="241" t="s">
        <v>346</v>
      </c>
      <c r="D538" s="242"/>
      <c r="E538" s="242">
        <v>1200000</v>
      </c>
      <c r="F538" s="247">
        <v>0.03</v>
      </c>
      <c r="G538" s="248">
        <f t="shared" si="17"/>
        <v>36000</v>
      </c>
    </row>
    <row r="539" spans="1:7" ht="15.75">
      <c r="A539" s="293">
        <v>14100</v>
      </c>
      <c r="B539" s="347">
        <v>0.08</v>
      </c>
      <c r="C539" s="241" t="s">
        <v>347</v>
      </c>
      <c r="D539" s="544"/>
      <c r="E539" s="242">
        <v>1270000</v>
      </c>
      <c r="F539" s="349">
        <v>0.02</v>
      </c>
      <c r="G539" s="248">
        <f t="shared" si="17"/>
        <v>25400</v>
      </c>
    </row>
    <row r="540" spans="1:7" ht="15.75">
      <c r="A540" s="409">
        <v>14127</v>
      </c>
      <c r="B540" s="231">
        <v>0.1</v>
      </c>
      <c r="C540" s="241" t="s">
        <v>349</v>
      </c>
      <c r="D540" s="544"/>
      <c r="E540" s="242">
        <v>1500000</v>
      </c>
      <c r="F540" s="247">
        <v>0.03</v>
      </c>
      <c r="G540" s="248">
        <f t="shared" si="17"/>
        <v>45000</v>
      </c>
    </row>
    <row r="541" spans="1:7" ht="15.75">
      <c r="A541" s="281" t="s">
        <v>191</v>
      </c>
      <c r="B541" s="328"/>
      <c r="C541" s="208" t="s">
        <v>317</v>
      </c>
      <c r="D541" s="599"/>
      <c r="E541" s="255"/>
      <c r="F541" s="389"/>
      <c r="G541" s="390"/>
    </row>
    <row r="542" spans="1:7" ht="18">
      <c r="A542" s="461"/>
      <c r="B542" s="180"/>
      <c r="C542" s="180"/>
      <c r="D542" s="181"/>
      <c r="E542" s="182">
        <f>SUM(E527:E541)</f>
        <v>17040000</v>
      </c>
      <c r="F542" s="180"/>
      <c r="G542" s="606">
        <f>SUM(G527:G541)</f>
        <v>483000</v>
      </c>
    </row>
    <row r="545" spans="1:7">
      <c r="A545" s="994" t="s">
        <v>758</v>
      </c>
      <c r="B545" s="994"/>
      <c r="C545" s="994"/>
      <c r="D545" s="994"/>
      <c r="E545" s="994"/>
      <c r="F545" s="994"/>
      <c r="G545" s="994"/>
    </row>
    <row r="546" spans="1:7">
      <c r="A546" s="994"/>
      <c r="B546" s="994"/>
      <c r="C546" s="995"/>
      <c r="D546" s="994"/>
      <c r="E546" s="994"/>
      <c r="F546" s="994"/>
      <c r="G546" s="994"/>
    </row>
    <row r="547" spans="1:7">
      <c r="A547" s="299" t="s">
        <v>3</v>
      </c>
      <c r="B547" s="183" t="s">
        <v>709</v>
      </c>
      <c r="C547" s="184" t="s">
        <v>710</v>
      </c>
      <c r="D547" s="185" t="s">
        <v>711</v>
      </c>
      <c r="E547" s="186" t="s">
        <v>300</v>
      </c>
      <c r="F547" s="187" t="s">
        <v>7</v>
      </c>
      <c r="G547" s="188" t="s">
        <v>50</v>
      </c>
    </row>
    <row r="548" spans="1:7" ht="15.75">
      <c r="A548" s="260">
        <v>14029</v>
      </c>
      <c r="B548" s="231">
        <v>0.1</v>
      </c>
      <c r="C548" s="261" t="s">
        <v>325</v>
      </c>
      <c r="D548" s="230"/>
      <c r="E548" s="230">
        <v>950000</v>
      </c>
      <c r="F548" s="250">
        <v>0.02</v>
      </c>
      <c r="G548" s="226">
        <f>E548*F548</f>
        <v>19000</v>
      </c>
    </row>
    <row r="549" spans="1:7" ht="15.75">
      <c r="A549" s="409">
        <v>14050</v>
      </c>
      <c r="B549" s="231">
        <v>0.1</v>
      </c>
      <c r="C549" s="569" t="s">
        <v>326</v>
      </c>
      <c r="D549" s="230"/>
      <c r="E549" s="230">
        <v>1200000</v>
      </c>
      <c r="F549" s="250">
        <v>0.02</v>
      </c>
      <c r="G549" s="226">
        <f>E549*F549</f>
        <v>24000</v>
      </c>
    </row>
    <row r="550" spans="1:7" ht="15.75">
      <c r="A550" s="159"/>
      <c r="B550" s="566"/>
      <c r="C550" s="193"/>
      <c r="D550" s="23"/>
      <c r="E550" s="84"/>
      <c r="F550" s="407"/>
      <c r="G550" s="114"/>
    </row>
    <row r="551" spans="1:7" ht="18">
      <c r="A551" s="412"/>
      <c r="B551" s="190"/>
      <c r="C551" s="190"/>
      <c r="D551" s="189"/>
      <c r="E551" s="191">
        <f>SUM(E548:E550)</f>
        <v>2150000</v>
      </c>
      <c r="F551" s="190"/>
      <c r="G551" s="192">
        <f>SUM(G548:G550)</f>
        <v>43000</v>
      </c>
    </row>
    <row r="554" spans="1:7">
      <c r="A554" s="994" t="s">
        <v>759</v>
      </c>
      <c r="B554" s="994"/>
      <c r="C554" s="994"/>
      <c r="D554" s="994"/>
      <c r="E554" s="994"/>
      <c r="F554" s="994"/>
      <c r="G554" s="994"/>
    </row>
    <row r="555" spans="1:7">
      <c r="A555" s="994"/>
      <c r="B555" s="995"/>
      <c r="C555" s="995"/>
      <c r="D555" s="994"/>
      <c r="E555" s="994"/>
      <c r="F555" s="994"/>
      <c r="G555" s="994"/>
    </row>
    <row r="556" spans="1:7">
      <c r="A556" s="194" t="s">
        <v>3</v>
      </c>
      <c r="B556" s="195" t="s">
        <v>709</v>
      </c>
      <c r="C556" s="184" t="s">
        <v>710</v>
      </c>
      <c r="D556" s="196" t="s">
        <v>711</v>
      </c>
      <c r="E556" s="197" t="s">
        <v>300</v>
      </c>
      <c r="F556" s="178" t="s">
        <v>7</v>
      </c>
      <c r="G556" s="537" t="s">
        <v>50</v>
      </c>
    </row>
    <row r="557" spans="1:7" ht="15" customHeight="1">
      <c r="A557" s="293">
        <v>13967</v>
      </c>
      <c r="B557" s="408">
        <v>0.1</v>
      </c>
      <c r="C557" s="272" t="s">
        <v>301</v>
      </c>
      <c r="D557" s="245"/>
      <c r="E557" s="216">
        <v>850000</v>
      </c>
      <c r="F557" s="247">
        <v>0.02</v>
      </c>
      <c r="G557" s="570">
        <f>E557*F557</f>
        <v>17000</v>
      </c>
    </row>
    <row r="558" spans="1:7" ht="15" customHeight="1">
      <c r="A558" s="260">
        <v>13989</v>
      </c>
      <c r="B558" s="231">
        <v>0.1</v>
      </c>
      <c r="C558" s="261" t="s">
        <v>322</v>
      </c>
      <c r="D558" s="245"/>
      <c r="E558" s="230">
        <v>2350000</v>
      </c>
      <c r="F558" s="247">
        <v>0.02</v>
      </c>
      <c r="G558" s="570">
        <f t="shared" ref="G558:G564" si="18">E558*F558</f>
        <v>47000</v>
      </c>
    </row>
    <row r="559" spans="1:7" ht="15" customHeight="1">
      <c r="A559" s="409">
        <v>13916</v>
      </c>
      <c r="B559" s="231">
        <v>0.1</v>
      </c>
      <c r="C559" s="241" t="s">
        <v>334</v>
      </c>
      <c r="D559" s="245"/>
      <c r="E559" s="242">
        <v>1100000</v>
      </c>
      <c r="F559" s="247">
        <v>0.02</v>
      </c>
      <c r="G559" s="570">
        <f t="shared" si="18"/>
        <v>22000</v>
      </c>
    </row>
    <row r="560" spans="1:7" ht="15" customHeight="1">
      <c r="A560" s="293">
        <v>13974</v>
      </c>
      <c r="B560" s="231">
        <v>0.1</v>
      </c>
      <c r="C560" s="241" t="s">
        <v>337</v>
      </c>
      <c r="D560" s="245"/>
      <c r="E560" s="242">
        <v>1000000</v>
      </c>
      <c r="F560" s="247">
        <v>0.02</v>
      </c>
      <c r="G560" s="570">
        <f t="shared" si="18"/>
        <v>20000</v>
      </c>
    </row>
    <row r="561" spans="1:7" ht="15" customHeight="1">
      <c r="A561" s="300">
        <v>14006</v>
      </c>
      <c r="B561" s="231">
        <v>0.1</v>
      </c>
      <c r="C561" s="272" t="s">
        <v>350</v>
      </c>
      <c r="D561" s="245"/>
      <c r="E561" s="278">
        <v>1700000</v>
      </c>
      <c r="F561" s="247">
        <v>0.02</v>
      </c>
      <c r="G561" s="570">
        <f t="shared" si="18"/>
        <v>34000</v>
      </c>
    </row>
    <row r="562" spans="1:7" ht="15" customHeight="1">
      <c r="A562" s="409">
        <v>14086</v>
      </c>
      <c r="B562" s="231">
        <v>0.1</v>
      </c>
      <c r="C562" s="241" t="s">
        <v>345</v>
      </c>
      <c r="D562" s="245"/>
      <c r="E562" s="579">
        <v>900000</v>
      </c>
      <c r="F562" s="247">
        <v>0.02</v>
      </c>
      <c r="G562" s="570">
        <f t="shared" si="18"/>
        <v>18000</v>
      </c>
    </row>
    <row r="563" spans="1:7" ht="15" customHeight="1">
      <c r="A563" s="260">
        <v>13997</v>
      </c>
      <c r="B563" s="231">
        <v>0.1</v>
      </c>
      <c r="C563" s="344" t="s">
        <v>328</v>
      </c>
      <c r="D563" s="245"/>
      <c r="E563" s="553">
        <v>1700000</v>
      </c>
      <c r="F563" s="247">
        <v>0.02</v>
      </c>
      <c r="G563" s="570">
        <f t="shared" si="18"/>
        <v>34000</v>
      </c>
    </row>
    <row r="564" spans="1:7" ht="15" customHeight="1">
      <c r="A564" s="240">
        <v>14118</v>
      </c>
      <c r="B564" s="231">
        <v>0.1</v>
      </c>
      <c r="C564" s="344" t="s">
        <v>329</v>
      </c>
      <c r="D564" s="245"/>
      <c r="E564" s="553">
        <v>2000000</v>
      </c>
      <c r="F564" s="247">
        <v>0.02</v>
      </c>
      <c r="G564" s="570">
        <f t="shared" si="18"/>
        <v>40000</v>
      </c>
    </row>
    <row r="565" spans="1:7" ht="15" customHeight="1">
      <c r="A565" s="281" t="s">
        <v>40</v>
      </c>
      <c r="B565" s="554"/>
      <c r="C565" s="208" t="s">
        <v>330</v>
      </c>
      <c r="D565" s="600"/>
      <c r="E565" s="601"/>
      <c r="F565" s="389"/>
      <c r="G565" s="602"/>
    </row>
    <row r="566" spans="1:7" ht="18">
      <c r="A566" s="412"/>
      <c r="B566" s="190"/>
      <c r="C566" s="190"/>
      <c r="D566" s="189"/>
      <c r="E566" s="199">
        <f>SUM(E557:E564)</f>
        <v>11600000</v>
      </c>
      <c r="F566" s="190"/>
      <c r="G566" s="567">
        <f>SUM(G557:G564)</f>
        <v>232000</v>
      </c>
    </row>
    <row r="569" spans="1:7">
      <c r="A569" s="994" t="s">
        <v>760</v>
      </c>
      <c r="B569" s="994"/>
      <c r="C569" s="994"/>
      <c r="D569" s="994"/>
      <c r="E569" s="994"/>
      <c r="F569" s="994"/>
      <c r="G569" s="994"/>
    </row>
    <row r="570" spans="1:7">
      <c r="A570" s="994"/>
      <c r="B570" s="995"/>
      <c r="C570" s="995"/>
      <c r="D570" s="994"/>
      <c r="E570" s="994"/>
      <c r="F570" s="994"/>
      <c r="G570" s="994"/>
    </row>
    <row r="571" spans="1:7">
      <c r="A571" s="195" t="s">
        <v>3</v>
      </c>
      <c r="B571" s="195" t="s">
        <v>709</v>
      </c>
      <c r="C571" s="184" t="s">
        <v>710</v>
      </c>
      <c r="D571" s="176" t="s">
        <v>711</v>
      </c>
      <c r="E571" s="197" t="s">
        <v>300</v>
      </c>
      <c r="F571" s="178" t="s">
        <v>7</v>
      </c>
      <c r="G571" s="537" t="s">
        <v>50</v>
      </c>
    </row>
    <row r="572" spans="1:7" ht="15.75">
      <c r="A572" s="222">
        <v>13912</v>
      </c>
      <c r="B572" s="408">
        <v>0.1</v>
      </c>
      <c r="C572" s="272" t="s">
        <v>306</v>
      </c>
      <c r="D572" s="230"/>
      <c r="E572" s="216">
        <v>1200000</v>
      </c>
      <c r="F572" s="250">
        <v>0.05</v>
      </c>
      <c r="G572" s="226">
        <f>E572*F572</f>
        <v>60000</v>
      </c>
    </row>
    <row r="573" spans="1:7" ht="15.75">
      <c r="A573" s="222">
        <v>13995</v>
      </c>
      <c r="B573" s="526">
        <v>0.08</v>
      </c>
      <c r="C573" s="272" t="s">
        <v>308</v>
      </c>
      <c r="D573" s="230"/>
      <c r="E573" s="216">
        <v>2100000</v>
      </c>
      <c r="F573" s="225">
        <v>0.04</v>
      </c>
      <c r="G573" s="226">
        <f t="shared" ref="G573:G586" si="19">E573*F573</f>
        <v>84000</v>
      </c>
    </row>
    <row r="574" spans="1:7" ht="15.75">
      <c r="A574" s="222">
        <v>14014</v>
      </c>
      <c r="B574" s="526">
        <v>0.08</v>
      </c>
      <c r="C574" s="272" t="s">
        <v>309</v>
      </c>
      <c r="D574" s="230"/>
      <c r="E574" s="216">
        <v>2200000</v>
      </c>
      <c r="F574" s="225">
        <v>0.04</v>
      </c>
      <c r="G574" s="226">
        <f t="shared" si="19"/>
        <v>88000</v>
      </c>
    </row>
    <row r="575" spans="1:7" ht="15.75">
      <c r="A575" s="222">
        <v>14053</v>
      </c>
      <c r="B575" s="408">
        <v>0.1</v>
      </c>
      <c r="C575" s="272" t="s">
        <v>311</v>
      </c>
      <c r="D575" s="230"/>
      <c r="E575" s="216">
        <v>780000</v>
      </c>
      <c r="F575" s="250">
        <v>0.05</v>
      </c>
      <c r="G575" s="226">
        <f t="shared" si="19"/>
        <v>39000</v>
      </c>
    </row>
    <row r="576" spans="1:7" ht="15.75">
      <c r="A576" s="240">
        <v>13960</v>
      </c>
      <c r="B576" s="231">
        <v>0.1</v>
      </c>
      <c r="C576" s="261" t="s">
        <v>319</v>
      </c>
      <c r="D576" s="230"/>
      <c r="E576" s="230">
        <v>1700000</v>
      </c>
      <c r="F576" s="250">
        <v>0.05</v>
      </c>
      <c r="G576" s="226">
        <f t="shared" si="19"/>
        <v>85000</v>
      </c>
    </row>
    <row r="577" spans="1:7" ht="15.75">
      <c r="A577" s="260">
        <v>14021</v>
      </c>
      <c r="B577" s="231">
        <v>0.1</v>
      </c>
      <c r="C577" s="261" t="s">
        <v>324</v>
      </c>
      <c r="D577" s="230"/>
      <c r="E577" s="230">
        <v>2000000</v>
      </c>
      <c r="F577" s="250">
        <v>0.05</v>
      </c>
      <c r="G577" s="226">
        <f t="shared" si="19"/>
        <v>100000</v>
      </c>
    </row>
    <row r="578" spans="1:7" ht="15.75">
      <c r="A578" s="214">
        <v>14123</v>
      </c>
      <c r="B578" s="231">
        <v>0.1</v>
      </c>
      <c r="C578" s="261" t="s">
        <v>327</v>
      </c>
      <c r="D578" s="230"/>
      <c r="E578" s="242">
        <v>800000</v>
      </c>
      <c r="F578" s="250">
        <v>0.05</v>
      </c>
      <c r="G578" s="226">
        <f t="shared" si="19"/>
        <v>40000</v>
      </c>
    </row>
    <row r="579" spans="1:7" ht="15.75">
      <c r="A579" s="214">
        <v>14019</v>
      </c>
      <c r="B579" s="221">
        <v>0.1</v>
      </c>
      <c r="C579" s="277" t="s">
        <v>332</v>
      </c>
      <c r="D579" s="216"/>
      <c r="E579" s="242">
        <v>2100000</v>
      </c>
      <c r="F579" s="250">
        <v>0.05</v>
      </c>
      <c r="G579" s="226">
        <f t="shared" si="19"/>
        <v>105000</v>
      </c>
    </row>
    <row r="580" spans="1:7" ht="15.75">
      <c r="A580" s="409">
        <v>14030</v>
      </c>
      <c r="B580" s="231">
        <v>0.1</v>
      </c>
      <c r="C580" s="241" t="s">
        <v>305</v>
      </c>
      <c r="D580" s="216"/>
      <c r="E580" s="242">
        <v>1150000</v>
      </c>
      <c r="F580" s="250">
        <v>0.05</v>
      </c>
      <c r="G580" s="226">
        <f t="shared" si="19"/>
        <v>57500</v>
      </c>
    </row>
    <row r="581" spans="1:7" ht="15.75">
      <c r="A581" s="409">
        <v>14056</v>
      </c>
      <c r="B581" s="231">
        <v>0.1</v>
      </c>
      <c r="C581" s="241" t="s">
        <v>343</v>
      </c>
      <c r="D581" s="216"/>
      <c r="E581" s="242">
        <v>1100000</v>
      </c>
      <c r="F581" s="250">
        <v>0.05</v>
      </c>
      <c r="G581" s="226">
        <f t="shared" si="19"/>
        <v>55000</v>
      </c>
    </row>
    <row r="582" spans="1:7" ht="15.75">
      <c r="A582" s="222">
        <v>14079</v>
      </c>
      <c r="B582" s="228">
        <v>0.1</v>
      </c>
      <c r="C582" s="261" t="s">
        <v>761</v>
      </c>
      <c r="D582" s="216"/>
      <c r="E582" s="216">
        <v>1650000</v>
      </c>
      <c r="F582" s="250">
        <v>0.05</v>
      </c>
      <c r="G582" s="226">
        <f t="shared" si="19"/>
        <v>82500</v>
      </c>
    </row>
    <row r="583" spans="1:7" ht="15.75">
      <c r="A583" s="222">
        <v>14095</v>
      </c>
      <c r="B583" s="408">
        <v>0.1</v>
      </c>
      <c r="C583" s="272" t="s">
        <v>313</v>
      </c>
      <c r="D583" s="278"/>
      <c r="E583" s="278">
        <v>2200000</v>
      </c>
      <c r="F583" s="250">
        <v>0.05</v>
      </c>
      <c r="G583" s="226">
        <f t="shared" si="19"/>
        <v>110000</v>
      </c>
    </row>
    <row r="584" spans="1:7" ht="15.75">
      <c r="A584" s="240">
        <v>14117</v>
      </c>
      <c r="B584" s="231">
        <v>0.1</v>
      </c>
      <c r="C584" s="344" t="s">
        <v>303</v>
      </c>
      <c r="D584" s="278"/>
      <c r="E584" s="278">
        <v>2000000</v>
      </c>
      <c r="F584" s="250">
        <v>0.05</v>
      </c>
      <c r="G584" s="226">
        <f t="shared" si="19"/>
        <v>100000</v>
      </c>
    </row>
    <row r="585" spans="1:7" ht="15.75">
      <c r="A585" s="222">
        <v>14115</v>
      </c>
      <c r="B585" s="231">
        <v>0.1</v>
      </c>
      <c r="C585" s="272" t="s">
        <v>315</v>
      </c>
      <c r="D585" s="598"/>
      <c r="E585" s="278">
        <v>1700000</v>
      </c>
      <c r="F585" s="250">
        <v>0.05</v>
      </c>
      <c r="G585" s="226">
        <f t="shared" si="19"/>
        <v>85000</v>
      </c>
    </row>
    <row r="586" spans="1:7" ht="15.75">
      <c r="A586" s="300">
        <v>14122</v>
      </c>
      <c r="B586" s="231">
        <v>0.1</v>
      </c>
      <c r="C586" s="564" t="s">
        <v>316</v>
      </c>
      <c r="D586" s="242"/>
      <c r="E586" s="278">
        <v>2000000</v>
      </c>
      <c r="F586" s="250">
        <v>0.05</v>
      </c>
      <c r="G586" s="226">
        <f t="shared" si="19"/>
        <v>100000</v>
      </c>
    </row>
    <row r="587" spans="1:7" ht="15.75">
      <c r="A587" s="591">
        <v>14125</v>
      </c>
      <c r="B587" s="595">
        <v>0.1</v>
      </c>
      <c r="C587" s="593" t="s">
        <v>348</v>
      </c>
      <c r="D587" s="597"/>
      <c r="E587" s="596">
        <v>1000000</v>
      </c>
      <c r="F587" s="247">
        <v>0.05</v>
      </c>
      <c r="G587" s="226">
        <f>E587*F587</f>
        <v>50000</v>
      </c>
    </row>
    <row r="588" spans="1:7" ht="15.75">
      <c r="A588" s="204" t="s">
        <v>40</v>
      </c>
      <c r="B588" s="524">
        <v>0.1</v>
      </c>
      <c r="C588" s="205" t="s">
        <v>318</v>
      </c>
      <c r="D588" s="603"/>
      <c r="E588" s="604"/>
      <c r="F588" s="389"/>
      <c r="G588" s="206"/>
    </row>
    <row r="589" spans="1:7" ht="18">
      <c r="A589" s="190"/>
      <c r="B589" s="190"/>
      <c r="C589" s="190"/>
      <c r="D589" s="189"/>
      <c r="E589" s="200">
        <f>SUM(E572:E587)</f>
        <v>25680000</v>
      </c>
      <c r="F589" s="201"/>
      <c r="G589" s="192">
        <f>SUM(G572:G587)</f>
        <v>1241000</v>
      </c>
    </row>
    <row r="592" spans="1:7">
      <c r="A592" s="994" t="s">
        <v>744</v>
      </c>
      <c r="B592" s="994"/>
      <c r="C592" s="994"/>
      <c r="D592" s="994"/>
      <c r="E592" s="994"/>
      <c r="F592" s="994"/>
      <c r="G592" s="994"/>
    </row>
    <row r="593" spans="1:7">
      <c r="A593" s="994"/>
      <c r="B593" s="995"/>
      <c r="C593" s="995"/>
      <c r="D593" s="994"/>
      <c r="E593" s="994"/>
      <c r="F593" s="994"/>
      <c r="G593" s="994"/>
    </row>
    <row r="594" spans="1:7">
      <c r="A594" s="194" t="s">
        <v>3</v>
      </c>
      <c r="B594" s="195" t="s">
        <v>709</v>
      </c>
      <c r="C594" s="184" t="s">
        <v>710</v>
      </c>
      <c r="D594" s="196" t="s">
        <v>711</v>
      </c>
      <c r="E594" s="197" t="s">
        <v>300</v>
      </c>
      <c r="F594" s="178" t="s">
        <v>7</v>
      </c>
      <c r="G594" s="198" t="s">
        <v>50</v>
      </c>
    </row>
    <row r="595" spans="1:7" ht="15.75">
      <c r="A595" s="300">
        <v>14105</v>
      </c>
      <c r="B595" s="408">
        <v>0.1</v>
      </c>
      <c r="C595" s="272" t="s">
        <v>314</v>
      </c>
      <c r="D595" s="245"/>
      <c r="E595" s="230">
        <v>2000000</v>
      </c>
      <c r="F595" s="250"/>
      <c r="G595" s="226"/>
    </row>
    <row r="596" spans="1:7" ht="18">
      <c r="A596" s="412"/>
      <c r="B596" s="190"/>
      <c r="C596" s="190"/>
      <c r="D596" s="189"/>
      <c r="E596" s="199">
        <f>SUM(E595:E595)</f>
        <v>2000000</v>
      </c>
      <c r="F596" s="190"/>
      <c r="G596" s="192">
        <f>SUM(G595:G595)</f>
        <v>0</v>
      </c>
    </row>
    <row r="600" spans="1:7">
      <c r="A600" s="996" t="s">
        <v>762</v>
      </c>
      <c r="B600" s="997"/>
      <c r="C600" s="997"/>
      <c r="D600" s="997"/>
      <c r="E600" s="997"/>
      <c r="F600" s="997"/>
      <c r="G600" s="998"/>
    </row>
    <row r="601" spans="1:7">
      <c r="A601" s="999"/>
      <c r="B601" s="1000"/>
      <c r="C601" s="1000"/>
      <c r="D601" s="1000"/>
      <c r="E601" s="1000"/>
      <c r="F601" s="1000"/>
      <c r="G601" s="1001"/>
    </row>
    <row r="602" spans="1:7">
      <c r="A602" s="175" t="s">
        <v>3</v>
      </c>
      <c r="B602" s="175" t="s">
        <v>709</v>
      </c>
      <c r="C602" s="493" t="s">
        <v>710</v>
      </c>
      <c r="D602" s="176" t="s">
        <v>711</v>
      </c>
      <c r="E602" s="177" t="s">
        <v>300</v>
      </c>
      <c r="F602" s="178" t="s">
        <v>7</v>
      </c>
      <c r="G602" s="179" t="s">
        <v>50</v>
      </c>
    </row>
    <row r="603" spans="1:7" ht="15.75">
      <c r="A603" s="300">
        <v>13937</v>
      </c>
      <c r="B603" s="568">
        <v>0.1</v>
      </c>
      <c r="C603" s="261" t="s">
        <v>304</v>
      </c>
      <c r="D603" s="230"/>
      <c r="E603" s="309">
        <v>1450000</v>
      </c>
      <c r="F603" s="494">
        <v>2.5000000000000001E-2</v>
      </c>
      <c r="G603" s="590">
        <f>E603*F603</f>
        <v>36250</v>
      </c>
    </row>
    <row r="604" spans="1:7" ht="15.75">
      <c r="A604" s="222">
        <v>14045</v>
      </c>
      <c r="B604" s="308">
        <v>0.1</v>
      </c>
      <c r="C604" s="272" t="s">
        <v>310</v>
      </c>
      <c r="D604" s="294"/>
      <c r="E604" s="309">
        <v>1200000</v>
      </c>
      <c r="F604" s="494">
        <v>2.5000000000000001E-2</v>
      </c>
      <c r="G604" s="590">
        <f t="shared" ref="G604:G640" si="20">E604*F604</f>
        <v>30000</v>
      </c>
    </row>
    <row r="605" spans="1:7" ht="15.75">
      <c r="A605" s="260">
        <v>13977</v>
      </c>
      <c r="B605" s="231">
        <v>0.1</v>
      </c>
      <c r="C605" s="261" t="s">
        <v>321</v>
      </c>
      <c r="D605" s="230"/>
      <c r="E605" s="536">
        <v>1600000</v>
      </c>
      <c r="F605" s="494">
        <v>2.5000000000000001E-2</v>
      </c>
      <c r="G605" s="590">
        <f t="shared" si="20"/>
        <v>40000</v>
      </c>
    </row>
    <row r="606" spans="1:7" ht="15.75">
      <c r="A606" s="214">
        <v>13907</v>
      </c>
      <c r="B606" s="348">
        <v>0.08</v>
      </c>
      <c r="C606" s="277" t="s">
        <v>331</v>
      </c>
      <c r="D606" s="230"/>
      <c r="E606" s="309">
        <v>1550000</v>
      </c>
      <c r="F606" s="495">
        <v>1.4999999999999999E-2</v>
      </c>
      <c r="G606" s="590">
        <f t="shared" si="20"/>
        <v>23250</v>
      </c>
    </row>
    <row r="607" spans="1:7" ht="15.75">
      <c r="A607" s="409">
        <v>13945</v>
      </c>
      <c r="B607" s="231">
        <v>0.1</v>
      </c>
      <c r="C607" s="241" t="s">
        <v>335</v>
      </c>
      <c r="D607" s="230"/>
      <c r="E607" s="553">
        <v>750000</v>
      </c>
      <c r="F607" s="494">
        <v>2.5000000000000001E-2</v>
      </c>
      <c r="G607" s="590">
        <f t="shared" si="20"/>
        <v>18750</v>
      </c>
    </row>
    <row r="608" spans="1:7" ht="15.75">
      <c r="A608" s="409">
        <v>13979</v>
      </c>
      <c r="B608" s="231">
        <v>0.1</v>
      </c>
      <c r="C608" s="241" t="s">
        <v>338</v>
      </c>
      <c r="D608" s="230"/>
      <c r="E608" s="553">
        <v>1070000</v>
      </c>
      <c r="F608" s="494">
        <v>2.5000000000000001E-2</v>
      </c>
      <c r="G608" s="590">
        <f t="shared" si="20"/>
        <v>26750</v>
      </c>
    </row>
    <row r="609" spans="1:7" ht="15.75">
      <c r="A609" s="409">
        <v>13993</v>
      </c>
      <c r="B609" s="231">
        <v>0.1</v>
      </c>
      <c r="C609" s="241" t="s">
        <v>339</v>
      </c>
      <c r="D609" s="230"/>
      <c r="E609" s="553">
        <v>1100000</v>
      </c>
      <c r="F609" s="494">
        <v>2.5000000000000001E-2</v>
      </c>
      <c r="G609" s="590">
        <f t="shared" si="20"/>
        <v>27500</v>
      </c>
    </row>
    <row r="610" spans="1:7" ht="15.75">
      <c r="A610" s="409">
        <v>13991</v>
      </c>
      <c r="B610" s="231">
        <v>0.1</v>
      </c>
      <c r="C610" s="241" t="s">
        <v>340</v>
      </c>
      <c r="D610" s="230"/>
      <c r="E610" s="553">
        <v>1200000</v>
      </c>
      <c r="F610" s="494">
        <v>2.5000000000000001E-2</v>
      </c>
      <c r="G610" s="590">
        <f t="shared" si="20"/>
        <v>30000</v>
      </c>
    </row>
    <row r="611" spans="1:7" ht="15.75">
      <c r="A611" s="409">
        <v>14025</v>
      </c>
      <c r="B611" s="231">
        <v>0.1</v>
      </c>
      <c r="C611" s="241" t="s">
        <v>341</v>
      </c>
      <c r="D611" s="242"/>
      <c r="E611" s="553">
        <v>1200000</v>
      </c>
      <c r="F611" s="494">
        <v>2.5000000000000001E-2</v>
      </c>
      <c r="G611" s="590">
        <f t="shared" si="20"/>
        <v>30000</v>
      </c>
    </row>
    <row r="612" spans="1:7" ht="15.75">
      <c r="A612" s="409">
        <v>14051</v>
      </c>
      <c r="B612" s="231">
        <v>0.1</v>
      </c>
      <c r="C612" s="241" t="s">
        <v>342</v>
      </c>
      <c r="D612" s="242"/>
      <c r="E612" s="553">
        <v>850000</v>
      </c>
      <c r="F612" s="494">
        <v>2.5000000000000001E-2</v>
      </c>
      <c r="G612" s="590">
        <f t="shared" si="20"/>
        <v>21250</v>
      </c>
    </row>
    <row r="613" spans="1:7" ht="15.75">
      <c r="A613" s="409">
        <v>14065</v>
      </c>
      <c r="B613" s="231">
        <v>0.1</v>
      </c>
      <c r="C613" s="241" t="s">
        <v>344</v>
      </c>
      <c r="D613" s="242"/>
      <c r="E613" s="553">
        <v>1100000</v>
      </c>
      <c r="F613" s="494">
        <v>2.5000000000000001E-2</v>
      </c>
      <c r="G613" s="590">
        <f t="shared" si="20"/>
        <v>27500</v>
      </c>
    </row>
    <row r="614" spans="1:7" ht="15.75">
      <c r="A614" s="409">
        <v>14098</v>
      </c>
      <c r="B614" s="231">
        <v>0.1</v>
      </c>
      <c r="C614" s="241" t="s">
        <v>346</v>
      </c>
      <c r="D614" s="242"/>
      <c r="E614" s="553">
        <v>1200000</v>
      </c>
      <c r="F614" s="494">
        <v>2.5000000000000001E-2</v>
      </c>
      <c r="G614" s="590">
        <f t="shared" si="20"/>
        <v>30000</v>
      </c>
    </row>
    <row r="615" spans="1:7" ht="15.75">
      <c r="A615" s="293">
        <v>14100</v>
      </c>
      <c r="B615" s="347">
        <v>0.08</v>
      </c>
      <c r="C615" s="241" t="s">
        <v>347</v>
      </c>
      <c r="D615" s="544"/>
      <c r="E615" s="553">
        <v>1270000</v>
      </c>
      <c r="F615" s="495">
        <v>1.4999999999999999E-2</v>
      </c>
      <c r="G615" s="590">
        <f t="shared" si="20"/>
        <v>19050</v>
      </c>
    </row>
    <row r="616" spans="1:7" ht="15.75">
      <c r="A616" s="260">
        <v>14029</v>
      </c>
      <c r="B616" s="231">
        <v>0.1</v>
      </c>
      <c r="C616" s="261" t="s">
        <v>325</v>
      </c>
      <c r="D616" s="230"/>
      <c r="E616" s="536">
        <v>950000</v>
      </c>
      <c r="F616" s="494">
        <v>2.5000000000000001E-2</v>
      </c>
      <c r="G616" s="590">
        <f t="shared" si="20"/>
        <v>23750</v>
      </c>
    </row>
    <row r="617" spans="1:7" ht="15.75">
      <c r="A617" s="409">
        <v>14050</v>
      </c>
      <c r="B617" s="231">
        <v>0.1</v>
      </c>
      <c r="C617" s="569" t="s">
        <v>326</v>
      </c>
      <c r="D617" s="230"/>
      <c r="E617" s="536">
        <v>1200000</v>
      </c>
      <c r="F617" s="494">
        <v>2.5000000000000001E-2</v>
      </c>
      <c r="G617" s="590">
        <f t="shared" si="20"/>
        <v>30000</v>
      </c>
    </row>
    <row r="618" spans="1:7" ht="15.75">
      <c r="A618" s="293">
        <v>13967</v>
      </c>
      <c r="B618" s="408">
        <v>0.1</v>
      </c>
      <c r="C618" s="272" t="s">
        <v>301</v>
      </c>
      <c r="D618" s="245"/>
      <c r="E618" s="309">
        <v>850000</v>
      </c>
      <c r="F618" s="494">
        <v>2.5000000000000001E-2</v>
      </c>
      <c r="G618" s="590">
        <f t="shared" si="20"/>
        <v>21250</v>
      </c>
    </row>
    <row r="619" spans="1:7" ht="15.75">
      <c r="A619" s="260">
        <v>13989</v>
      </c>
      <c r="B619" s="231">
        <v>0.1</v>
      </c>
      <c r="C619" s="261" t="s">
        <v>322</v>
      </c>
      <c r="D619" s="245"/>
      <c r="E619" s="536">
        <v>2350000</v>
      </c>
      <c r="F619" s="494">
        <v>2.5000000000000001E-2</v>
      </c>
      <c r="G619" s="590">
        <f t="shared" si="20"/>
        <v>58750</v>
      </c>
    </row>
    <row r="620" spans="1:7" ht="15.75">
      <c r="A620" s="409">
        <v>13916</v>
      </c>
      <c r="B620" s="231">
        <v>0.1</v>
      </c>
      <c r="C620" s="241" t="s">
        <v>334</v>
      </c>
      <c r="D620" s="245"/>
      <c r="E620" s="553">
        <v>1100000</v>
      </c>
      <c r="F620" s="494">
        <v>2.5000000000000001E-2</v>
      </c>
      <c r="G620" s="590">
        <f t="shared" si="20"/>
        <v>27500</v>
      </c>
    </row>
    <row r="621" spans="1:7" ht="15.75">
      <c r="A621" s="293">
        <v>13974</v>
      </c>
      <c r="B621" s="231">
        <v>0.1</v>
      </c>
      <c r="C621" s="241" t="s">
        <v>337</v>
      </c>
      <c r="D621" s="245"/>
      <c r="E621" s="553">
        <v>1000000</v>
      </c>
      <c r="F621" s="494">
        <v>2.5000000000000001E-2</v>
      </c>
      <c r="G621" s="590">
        <f t="shared" si="20"/>
        <v>25000</v>
      </c>
    </row>
    <row r="622" spans="1:7" ht="15.75">
      <c r="A622" s="300">
        <v>14006</v>
      </c>
      <c r="B622" s="231">
        <v>0.1</v>
      </c>
      <c r="C622" s="272" t="s">
        <v>350</v>
      </c>
      <c r="D622" s="245"/>
      <c r="E622" s="579">
        <v>1700000</v>
      </c>
      <c r="F622" s="494">
        <v>2.5000000000000001E-2</v>
      </c>
      <c r="G622" s="590">
        <f t="shared" si="20"/>
        <v>42500</v>
      </c>
    </row>
    <row r="623" spans="1:7" ht="15.75">
      <c r="A623" s="409">
        <v>14086</v>
      </c>
      <c r="B623" s="231">
        <v>0.1</v>
      </c>
      <c r="C623" s="241" t="s">
        <v>345</v>
      </c>
      <c r="D623" s="245"/>
      <c r="E623" s="579">
        <v>900000</v>
      </c>
      <c r="F623" s="494">
        <v>2.5000000000000001E-2</v>
      </c>
      <c r="G623" s="590">
        <f t="shared" si="20"/>
        <v>22500</v>
      </c>
    </row>
    <row r="624" spans="1:7" ht="15.75">
      <c r="A624" s="240">
        <v>14118</v>
      </c>
      <c r="B624" s="231">
        <v>0.1</v>
      </c>
      <c r="C624" s="344" t="s">
        <v>329</v>
      </c>
      <c r="D624" s="245"/>
      <c r="E624" s="553">
        <v>2000000</v>
      </c>
      <c r="F624" s="494">
        <v>2.5000000000000001E-2</v>
      </c>
      <c r="G624" s="590">
        <f t="shared" si="20"/>
        <v>50000</v>
      </c>
    </row>
    <row r="625" spans="1:7" ht="15.75">
      <c r="A625" s="222">
        <v>13912</v>
      </c>
      <c r="B625" s="408">
        <v>0.1</v>
      </c>
      <c r="C625" s="272" t="s">
        <v>306</v>
      </c>
      <c r="D625" s="230"/>
      <c r="E625" s="309">
        <v>1200000</v>
      </c>
      <c r="F625" s="494">
        <v>2.5000000000000001E-2</v>
      </c>
      <c r="G625" s="590">
        <f t="shared" si="20"/>
        <v>30000</v>
      </c>
    </row>
    <row r="626" spans="1:7" ht="15.75">
      <c r="A626" s="222">
        <v>13995</v>
      </c>
      <c r="B626" s="526">
        <v>0.08</v>
      </c>
      <c r="C626" s="272" t="s">
        <v>308</v>
      </c>
      <c r="D626" s="230"/>
      <c r="E626" s="309">
        <v>2100000</v>
      </c>
      <c r="F626" s="495">
        <v>1.4999999999999999E-2</v>
      </c>
      <c r="G626" s="590">
        <f t="shared" si="20"/>
        <v>31500</v>
      </c>
    </row>
    <row r="627" spans="1:7" ht="15.75">
      <c r="A627" s="222">
        <v>14014</v>
      </c>
      <c r="B627" s="526">
        <v>0.08</v>
      </c>
      <c r="C627" s="272" t="s">
        <v>309</v>
      </c>
      <c r="D627" s="230"/>
      <c r="E627" s="309">
        <v>2200000</v>
      </c>
      <c r="F627" s="495">
        <v>1.4999999999999999E-2</v>
      </c>
      <c r="G627" s="590">
        <f t="shared" si="20"/>
        <v>33000</v>
      </c>
    </row>
    <row r="628" spans="1:7" ht="15.75">
      <c r="A628" s="222">
        <v>14053</v>
      </c>
      <c r="B628" s="408">
        <v>0.1</v>
      </c>
      <c r="C628" s="272" t="s">
        <v>311</v>
      </c>
      <c r="D628" s="230"/>
      <c r="E628" s="309">
        <v>780000</v>
      </c>
      <c r="F628" s="494">
        <v>2.5000000000000001E-2</v>
      </c>
      <c r="G628" s="590">
        <f t="shared" si="20"/>
        <v>19500</v>
      </c>
    </row>
    <row r="629" spans="1:7" ht="15.75">
      <c r="A629" s="240">
        <v>13960</v>
      </c>
      <c r="B629" s="231">
        <v>0.1</v>
      </c>
      <c r="C629" s="261" t="s">
        <v>319</v>
      </c>
      <c r="D629" s="230"/>
      <c r="E629" s="536">
        <v>1700000</v>
      </c>
      <c r="F629" s="494">
        <v>2.5000000000000001E-2</v>
      </c>
      <c r="G629" s="590">
        <f t="shared" si="20"/>
        <v>42500</v>
      </c>
    </row>
    <row r="630" spans="1:7" ht="15.75">
      <c r="A630" s="260">
        <v>14021</v>
      </c>
      <c r="B630" s="231">
        <v>0.1</v>
      </c>
      <c r="C630" s="261" t="s">
        <v>324</v>
      </c>
      <c r="D630" s="230"/>
      <c r="E630" s="536">
        <v>2000000</v>
      </c>
      <c r="F630" s="494">
        <v>2.5000000000000001E-2</v>
      </c>
      <c r="G630" s="590">
        <f t="shared" si="20"/>
        <v>50000</v>
      </c>
    </row>
    <row r="631" spans="1:7" ht="15.75">
      <c r="A631" s="214">
        <v>14123</v>
      </c>
      <c r="B631" s="231">
        <v>0.1</v>
      </c>
      <c r="C631" s="261" t="s">
        <v>327</v>
      </c>
      <c r="D631" s="230"/>
      <c r="E631" s="553">
        <v>800000</v>
      </c>
      <c r="F631" s="494">
        <v>2.5000000000000001E-2</v>
      </c>
      <c r="G631" s="590">
        <f t="shared" si="20"/>
        <v>20000</v>
      </c>
    </row>
    <row r="632" spans="1:7" ht="15.75">
      <c r="A632" s="214">
        <v>14019</v>
      </c>
      <c r="B632" s="221">
        <v>0.1</v>
      </c>
      <c r="C632" s="277" t="s">
        <v>332</v>
      </c>
      <c r="D632" s="216"/>
      <c r="E632" s="553">
        <v>2100000</v>
      </c>
      <c r="F632" s="494">
        <v>2.5000000000000001E-2</v>
      </c>
      <c r="G632" s="590">
        <f t="shared" si="20"/>
        <v>52500</v>
      </c>
    </row>
    <row r="633" spans="1:7" ht="15.75">
      <c r="A633" s="409">
        <v>14030</v>
      </c>
      <c r="B633" s="231">
        <v>0.1</v>
      </c>
      <c r="C633" s="241" t="s">
        <v>305</v>
      </c>
      <c r="D633" s="216"/>
      <c r="E633" s="553">
        <v>1150000</v>
      </c>
      <c r="F633" s="494">
        <v>2.5000000000000001E-2</v>
      </c>
      <c r="G633" s="590">
        <f t="shared" si="20"/>
        <v>28750</v>
      </c>
    </row>
    <row r="634" spans="1:7" ht="15.75">
      <c r="A634" s="409">
        <v>14056</v>
      </c>
      <c r="B634" s="231">
        <v>0.1</v>
      </c>
      <c r="C634" s="241" t="s">
        <v>343</v>
      </c>
      <c r="D634" s="216"/>
      <c r="E634" s="553">
        <v>1100000</v>
      </c>
      <c r="F634" s="494">
        <v>2.5000000000000001E-2</v>
      </c>
      <c r="G634" s="590">
        <f t="shared" si="20"/>
        <v>27500</v>
      </c>
    </row>
    <row r="635" spans="1:7" ht="15.75">
      <c r="A635" s="222">
        <v>14079</v>
      </c>
      <c r="B635" s="228">
        <v>0.1</v>
      </c>
      <c r="C635" s="261" t="s">
        <v>761</v>
      </c>
      <c r="D635" s="216"/>
      <c r="E635" s="309">
        <v>1650000</v>
      </c>
      <c r="F635" s="494">
        <v>2.5000000000000001E-2</v>
      </c>
      <c r="G635" s="590">
        <f t="shared" si="20"/>
        <v>41250</v>
      </c>
    </row>
    <row r="636" spans="1:7" ht="15.75">
      <c r="A636" s="222">
        <v>14095</v>
      </c>
      <c r="B636" s="408">
        <v>0.1</v>
      </c>
      <c r="C636" s="272" t="s">
        <v>313</v>
      </c>
      <c r="D636" s="278"/>
      <c r="E636" s="579">
        <v>2200000</v>
      </c>
      <c r="F636" s="494">
        <v>2.5000000000000001E-2</v>
      </c>
      <c r="G636" s="590">
        <f t="shared" si="20"/>
        <v>55000</v>
      </c>
    </row>
    <row r="637" spans="1:7" ht="15.75">
      <c r="A637" s="240">
        <v>14117</v>
      </c>
      <c r="B637" s="231">
        <v>0.1</v>
      </c>
      <c r="C637" s="344" t="s">
        <v>303</v>
      </c>
      <c r="D637" s="278"/>
      <c r="E637" s="579">
        <v>2000000</v>
      </c>
      <c r="F637" s="494">
        <v>2.5000000000000001E-2</v>
      </c>
      <c r="G637" s="590">
        <f t="shared" si="20"/>
        <v>50000</v>
      </c>
    </row>
    <row r="638" spans="1:7" ht="15.75">
      <c r="A638" s="222">
        <v>14115</v>
      </c>
      <c r="B638" s="231">
        <v>0.1</v>
      </c>
      <c r="C638" s="272" t="s">
        <v>315</v>
      </c>
      <c r="D638" s="278"/>
      <c r="E638" s="579">
        <v>1700000</v>
      </c>
      <c r="F638" s="494">
        <v>2.5000000000000001E-2</v>
      </c>
      <c r="G638" s="590">
        <f t="shared" si="20"/>
        <v>42500</v>
      </c>
    </row>
    <row r="639" spans="1:7" ht="15.75">
      <c r="A639" s="300">
        <v>14105</v>
      </c>
      <c r="B639" s="592">
        <v>0.1</v>
      </c>
      <c r="C639" s="272" t="s">
        <v>314</v>
      </c>
      <c r="D639" s="251"/>
      <c r="E639" s="536">
        <v>2000000</v>
      </c>
      <c r="F639" s="494">
        <v>2.5000000000000001E-2</v>
      </c>
      <c r="G639" s="590">
        <f t="shared" si="20"/>
        <v>50000</v>
      </c>
    </row>
    <row r="640" spans="1:7" ht="15.75">
      <c r="A640" s="591">
        <v>14122</v>
      </c>
      <c r="B640" s="568">
        <v>0.1</v>
      </c>
      <c r="C640" s="564" t="s">
        <v>316</v>
      </c>
      <c r="D640" s="223"/>
      <c r="E640" s="309">
        <v>2000000</v>
      </c>
      <c r="F640" s="494">
        <v>2.5000000000000001E-2</v>
      </c>
      <c r="G640" s="590">
        <f t="shared" si="20"/>
        <v>50000</v>
      </c>
    </row>
    <row r="641" spans="1:7" ht="15.75">
      <c r="A641" s="591">
        <v>14125</v>
      </c>
      <c r="B641" s="594">
        <v>0.1</v>
      </c>
      <c r="C641" s="593" t="s">
        <v>348</v>
      </c>
      <c r="D641" s="597"/>
      <c r="E641" s="536">
        <v>1000000</v>
      </c>
      <c r="F641" s="494">
        <v>2.5000000000000001E-2</v>
      </c>
      <c r="G641" s="590">
        <f>E641*F641</f>
        <v>25000</v>
      </c>
    </row>
    <row r="642" spans="1:7" ht="18">
      <c r="A642" s="190"/>
      <c r="B642" s="412"/>
      <c r="C642" s="412"/>
      <c r="D642" s="202" t="s">
        <v>47</v>
      </c>
      <c r="E642" s="203">
        <f>SUM(E603:E641)</f>
        <v>55270000</v>
      </c>
      <c r="F642" s="404"/>
      <c r="G642" s="539">
        <f>SUM(G603:G641)</f>
        <v>1310550</v>
      </c>
    </row>
    <row r="646" spans="1:7">
      <c r="A646" s="1002" t="s">
        <v>353</v>
      </c>
      <c r="B646" s="1003"/>
      <c r="C646" s="1003"/>
      <c r="D646" s="1003"/>
      <c r="E646" s="1003"/>
      <c r="F646" s="1003"/>
      <c r="G646" s="1004"/>
    </row>
    <row r="647" spans="1:7">
      <c r="A647" s="1005"/>
      <c r="B647" s="1006"/>
      <c r="C647" s="1006"/>
      <c r="D647" s="1006"/>
      <c r="E647" s="1006"/>
      <c r="F647" s="1006"/>
      <c r="G647" s="1007"/>
    </row>
    <row r="648" spans="1:7">
      <c r="A648" s="1005"/>
      <c r="B648" s="1006"/>
      <c r="C648" s="1006"/>
      <c r="D648" s="1006"/>
      <c r="E648" s="1006"/>
      <c r="F648" s="1006"/>
      <c r="G648" s="1007"/>
    </row>
    <row r="649" spans="1:7">
      <c r="A649" s="1008"/>
      <c r="B649" s="1009"/>
      <c r="C649" s="1009"/>
      <c r="D649" s="1009"/>
      <c r="E649" s="1009"/>
      <c r="F649" s="1009"/>
      <c r="G649" s="1010"/>
    </row>
    <row r="651" spans="1:7">
      <c r="A651" s="994" t="s">
        <v>763</v>
      </c>
      <c r="B651" s="994"/>
      <c r="C651" s="994"/>
      <c r="D651" s="994"/>
      <c r="E651" s="994"/>
      <c r="F651" s="994"/>
      <c r="G651" s="994"/>
    </row>
    <row r="652" spans="1:7">
      <c r="A652" s="994"/>
      <c r="B652" s="994"/>
      <c r="C652" s="994"/>
      <c r="D652" s="994"/>
      <c r="E652" s="994"/>
      <c r="F652" s="994"/>
      <c r="G652" s="994"/>
    </row>
    <row r="653" spans="1:7">
      <c r="A653" s="175" t="s">
        <v>3</v>
      </c>
      <c r="B653" s="175" t="s">
        <v>709</v>
      </c>
      <c r="C653" s="493" t="s">
        <v>710</v>
      </c>
      <c r="D653" s="176" t="s">
        <v>711</v>
      </c>
      <c r="E653" s="177" t="s">
        <v>300</v>
      </c>
      <c r="F653" s="178" t="s">
        <v>7</v>
      </c>
      <c r="G653" s="179" t="s">
        <v>50</v>
      </c>
    </row>
    <row r="654" spans="1:7" ht="15.75">
      <c r="A654" s="300">
        <v>14149</v>
      </c>
      <c r="B654" s="526">
        <v>0.08</v>
      </c>
      <c r="C654" s="272" t="s">
        <v>354</v>
      </c>
      <c r="D654" s="230"/>
      <c r="E654" s="216">
        <v>1650000</v>
      </c>
      <c r="F654" s="349">
        <v>0.02</v>
      </c>
      <c r="G654" s="248">
        <f>E654*F654</f>
        <v>33000</v>
      </c>
    </row>
    <row r="655" spans="1:7" ht="15.75">
      <c r="A655" s="611">
        <v>14152</v>
      </c>
      <c r="B655" s="408">
        <v>0.1</v>
      </c>
      <c r="C655" s="272" t="s">
        <v>356</v>
      </c>
      <c r="D655" s="294"/>
      <c r="E655" s="216">
        <v>2000000</v>
      </c>
      <c r="F655" s="247">
        <v>0.03</v>
      </c>
      <c r="G655" s="248">
        <f t="shared" ref="G655:G664" si="21">E655*F655</f>
        <v>60000</v>
      </c>
    </row>
    <row r="656" spans="1:7" ht="15.75">
      <c r="A656" s="611">
        <v>14240</v>
      </c>
      <c r="B656" s="408">
        <v>0.1</v>
      </c>
      <c r="C656" s="272" t="s">
        <v>363</v>
      </c>
      <c r="D656" s="230"/>
      <c r="E656" s="216">
        <v>1300000</v>
      </c>
      <c r="F656" s="349">
        <v>0.02</v>
      </c>
      <c r="G656" s="248">
        <f t="shared" si="21"/>
        <v>26000</v>
      </c>
    </row>
    <row r="657" spans="1:7" ht="15.75">
      <c r="A657" s="611">
        <v>14255</v>
      </c>
      <c r="B657" s="408">
        <v>0.1</v>
      </c>
      <c r="C657" s="272" t="s">
        <v>364</v>
      </c>
      <c r="D657" s="230"/>
      <c r="E657" s="216">
        <v>1700000</v>
      </c>
      <c r="F657" s="247">
        <v>0.03</v>
      </c>
      <c r="G657" s="248">
        <f t="shared" si="21"/>
        <v>51000</v>
      </c>
    </row>
    <row r="658" spans="1:7" ht="15.75">
      <c r="A658" s="260">
        <v>14218</v>
      </c>
      <c r="B658" s="347">
        <v>0.08</v>
      </c>
      <c r="C658" s="261" t="s">
        <v>375</v>
      </c>
      <c r="D658" s="230"/>
      <c r="E658" s="230">
        <v>1500000</v>
      </c>
      <c r="F658" s="349">
        <v>0.02</v>
      </c>
      <c r="G658" s="248">
        <f t="shared" si="21"/>
        <v>30000</v>
      </c>
    </row>
    <row r="659" spans="1:7" ht="15.75">
      <c r="A659" s="260">
        <v>14217</v>
      </c>
      <c r="B659" s="347">
        <v>0.08</v>
      </c>
      <c r="C659" s="261" t="s">
        <v>384</v>
      </c>
      <c r="D659" s="230"/>
      <c r="E659" s="216">
        <v>1800000</v>
      </c>
      <c r="F659" s="349">
        <v>0.02</v>
      </c>
      <c r="G659" s="248">
        <f t="shared" si="21"/>
        <v>36000</v>
      </c>
    </row>
    <row r="660" spans="1:7" ht="15.75">
      <c r="A660" s="293">
        <v>14184</v>
      </c>
      <c r="B660" s="231">
        <v>0.1</v>
      </c>
      <c r="C660" s="241" t="s">
        <v>373</v>
      </c>
      <c r="D660" s="230"/>
      <c r="E660" s="242">
        <v>900000</v>
      </c>
      <c r="F660" s="247">
        <v>0.03</v>
      </c>
      <c r="G660" s="248">
        <f t="shared" si="21"/>
        <v>27000</v>
      </c>
    </row>
    <row r="661" spans="1:7" ht="15.75">
      <c r="A661" s="409">
        <v>14234</v>
      </c>
      <c r="B661" s="231">
        <v>0.1</v>
      </c>
      <c r="C661" s="241" t="s">
        <v>393</v>
      </c>
      <c r="D661" s="230"/>
      <c r="E661" s="242">
        <v>1220000</v>
      </c>
      <c r="F661" s="247">
        <v>0.03</v>
      </c>
      <c r="G661" s="248">
        <f t="shared" si="21"/>
        <v>36600</v>
      </c>
    </row>
    <row r="662" spans="1:7" ht="15.75">
      <c r="A662" s="260">
        <v>14271</v>
      </c>
      <c r="B662" s="308">
        <v>0.1</v>
      </c>
      <c r="C662" s="272" t="s">
        <v>377</v>
      </c>
      <c r="D662" s="242"/>
      <c r="E662" s="242">
        <v>1550000</v>
      </c>
      <c r="F662" s="247">
        <v>0.03</v>
      </c>
      <c r="G662" s="248">
        <f t="shared" si="21"/>
        <v>46500</v>
      </c>
    </row>
    <row r="663" spans="1:7" ht="15.75">
      <c r="A663" s="260">
        <v>14307</v>
      </c>
      <c r="B663" s="308">
        <v>0.1</v>
      </c>
      <c r="C663" s="277" t="s">
        <v>379</v>
      </c>
      <c r="D663" s="242"/>
      <c r="E663" s="242">
        <v>1800000</v>
      </c>
      <c r="F663" s="247">
        <v>0.03</v>
      </c>
      <c r="G663" s="248">
        <f t="shared" si="21"/>
        <v>54000</v>
      </c>
    </row>
    <row r="664" spans="1:7" ht="15.75">
      <c r="A664" s="409">
        <v>14318</v>
      </c>
      <c r="B664" s="231">
        <v>0.1</v>
      </c>
      <c r="C664" s="241" t="s">
        <v>395</v>
      </c>
      <c r="D664" s="242"/>
      <c r="E664" s="242">
        <v>1200000</v>
      </c>
      <c r="F664" s="247">
        <v>0.03</v>
      </c>
      <c r="G664" s="248">
        <f t="shared" si="21"/>
        <v>36000</v>
      </c>
    </row>
    <row r="665" spans="1:7" ht="15.75">
      <c r="A665" s="253" t="s">
        <v>40</v>
      </c>
      <c r="B665" s="621"/>
      <c r="C665" s="264" t="s">
        <v>388</v>
      </c>
      <c r="D665" s="255"/>
      <c r="E665" s="255"/>
      <c r="F665" s="389"/>
      <c r="G665" s="390"/>
    </row>
    <row r="666" spans="1:7" ht="15.75">
      <c r="A666" s="565"/>
      <c r="B666" s="525"/>
      <c r="C666" s="113"/>
      <c r="D666" s="614"/>
      <c r="E666" s="31"/>
      <c r="F666" s="613"/>
      <c r="G666" s="548"/>
    </row>
    <row r="667" spans="1:7" ht="18">
      <c r="A667" s="461"/>
      <c r="B667" s="180"/>
      <c r="C667" s="180"/>
      <c r="D667" s="181"/>
      <c r="E667" s="182">
        <f>SUM(E654:E666)</f>
        <v>16620000</v>
      </c>
      <c r="F667" s="180"/>
      <c r="G667" s="606">
        <f>SUM(G654:G666)</f>
        <v>436100</v>
      </c>
    </row>
    <row r="670" spans="1:7">
      <c r="A670" s="994" t="s">
        <v>764</v>
      </c>
      <c r="B670" s="994"/>
      <c r="C670" s="994"/>
      <c r="D670" s="994"/>
      <c r="E670" s="994"/>
      <c r="F670" s="994"/>
      <c r="G670" s="994"/>
    </row>
    <row r="671" spans="1:7">
      <c r="A671" s="994"/>
      <c r="B671" s="994"/>
      <c r="C671" s="995"/>
      <c r="D671" s="994"/>
      <c r="E671" s="994"/>
      <c r="F671" s="994"/>
      <c r="G671" s="994"/>
    </row>
    <row r="672" spans="1:7">
      <c r="A672" s="299" t="s">
        <v>3</v>
      </c>
      <c r="B672" s="183" t="s">
        <v>709</v>
      </c>
      <c r="C672" s="184" t="s">
        <v>710</v>
      </c>
      <c r="D672" s="185" t="s">
        <v>711</v>
      </c>
      <c r="E672" s="186" t="s">
        <v>300</v>
      </c>
      <c r="F672" s="187" t="s">
        <v>7</v>
      </c>
      <c r="G672" s="188" t="s">
        <v>50</v>
      </c>
    </row>
    <row r="673" spans="1:7" ht="15.75">
      <c r="A673" s="611">
        <v>14216</v>
      </c>
      <c r="B673" s="408">
        <v>0.1</v>
      </c>
      <c r="C673" s="272" t="s">
        <v>362</v>
      </c>
      <c r="D673" s="230"/>
      <c r="E673" s="216">
        <v>1850000</v>
      </c>
      <c r="F673" s="250">
        <v>0.02</v>
      </c>
      <c r="G673" s="226">
        <f>E673*F673</f>
        <v>37000</v>
      </c>
    </row>
    <row r="674" spans="1:7" ht="15.75">
      <c r="A674" s="240">
        <v>14195</v>
      </c>
      <c r="B674" s="347">
        <v>0.09</v>
      </c>
      <c r="C674" s="261" t="s">
        <v>355</v>
      </c>
      <c r="D674" s="230"/>
      <c r="E674" s="230">
        <v>2200000</v>
      </c>
      <c r="F674" s="225">
        <v>0.01</v>
      </c>
      <c r="G674" s="226">
        <f t="shared" ref="G674:G678" si="22">E674*F674</f>
        <v>22000</v>
      </c>
    </row>
    <row r="675" spans="1:7" ht="15.75">
      <c r="A675" s="293">
        <v>14254</v>
      </c>
      <c r="B675" s="347">
        <v>8.4000000000000005E-2</v>
      </c>
      <c r="C675" s="241" t="s">
        <v>392</v>
      </c>
      <c r="D675" s="230"/>
      <c r="E675" s="242">
        <v>1100000</v>
      </c>
      <c r="F675" s="225">
        <v>0.01</v>
      </c>
      <c r="G675" s="226">
        <f t="shared" si="22"/>
        <v>11000</v>
      </c>
    </row>
    <row r="676" spans="1:7" ht="15.75">
      <c r="A676" s="214">
        <v>14274</v>
      </c>
      <c r="B676" s="620">
        <v>0.1</v>
      </c>
      <c r="C676" s="277" t="s">
        <v>386</v>
      </c>
      <c r="D676" s="230"/>
      <c r="E676" s="216">
        <v>1100000</v>
      </c>
      <c r="F676" s="250">
        <v>0.02</v>
      </c>
      <c r="G676" s="226">
        <f t="shared" si="22"/>
        <v>22000</v>
      </c>
    </row>
    <row r="677" spans="1:7" ht="15.75">
      <c r="A677" s="260">
        <v>14237</v>
      </c>
      <c r="B677" s="347">
        <v>0.08</v>
      </c>
      <c r="C677" s="261" t="s">
        <v>378</v>
      </c>
      <c r="D677" s="230"/>
      <c r="E677" s="216">
        <v>1000000</v>
      </c>
      <c r="F677" s="225">
        <v>0.01</v>
      </c>
      <c r="G677" s="226">
        <f t="shared" si="22"/>
        <v>10000</v>
      </c>
    </row>
    <row r="678" spans="1:7" ht="15.75">
      <c r="A678" s="222">
        <v>14328</v>
      </c>
      <c r="B678" s="526">
        <v>0.08</v>
      </c>
      <c r="C678" s="272" t="s">
        <v>380</v>
      </c>
      <c r="D678" s="230"/>
      <c r="E678" s="216">
        <v>1650000</v>
      </c>
      <c r="F678" s="225">
        <v>0.01</v>
      </c>
      <c r="G678" s="226">
        <f t="shared" si="22"/>
        <v>16500</v>
      </c>
    </row>
    <row r="679" spans="1:7" ht="15.75">
      <c r="A679" s="253" t="s">
        <v>40</v>
      </c>
      <c r="B679" s="621"/>
      <c r="C679" s="264" t="s">
        <v>389</v>
      </c>
      <c r="D679" s="209"/>
      <c r="E679" s="265"/>
      <c r="F679" s="395"/>
      <c r="G679" s="206"/>
    </row>
    <row r="680" spans="1:7" ht="18">
      <c r="A680" s="412"/>
      <c r="B680" s="190"/>
      <c r="C680" s="190"/>
      <c r="D680" s="189"/>
      <c r="E680" s="191">
        <f>SUM(E673:E679)</f>
        <v>8900000</v>
      </c>
      <c r="F680" s="190"/>
      <c r="G680" s="192">
        <f>SUM(G673:G679)</f>
        <v>118500</v>
      </c>
    </row>
    <row r="683" spans="1:7">
      <c r="A683" s="994" t="s">
        <v>765</v>
      </c>
      <c r="B683" s="994"/>
      <c r="C683" s="994"/>
      <c r="D683" s="994"/>
      <c r="E683" s="994"/>
      <c r="F683" s="994"/>
      <c r="G683" s="994"/>
    </row>
    <row r="684" spans="1:7">
      <c r="A684" s="994"/>
      <c r="B684" s="995"/>
      <c r="C684" s="995"/>
      <c r="D684" s="994"/>
      <c r="E684" s="994"/>
      <c r="F684" s="994"/>
      <c r="G684" s="994"/>
    </row>
    <row r="685" spans="1:7">
      <c r="A685" s="615" t="s">
        <v>3</v>
      </c>
      <c r="B685" s="195" t="s">
        <v>709</v>
      </c>
      <c r="C685" s="184" t="s">
        <v>710</v>
      </c>
      <c r="D685" s="196" t="s">
        <v>711</v>
      </c>
      <c r="E685" s="197" t="s">
        <v>300</v>
      </c>
      <c r="F685" s="178" t="s">
        <v>7</v>
      </c>
      <c r="G685" s="537" t="s">
        <v>50</v>
      </c>
    </row>
    <row r="686" spans="1:7" ht="16.5" customHeight="1">
      <c r="A686" s="463">
        <v>14201</v>
      </c>
      <c r="B686" s="308">
        <v>0.1</v>
      </c>
      <c r="C686" s="612" t="s">
        <v>360</v>
      </c>
      <c r="D686" s="245"/>
      <c r="E686" s="216">
        <v>1600000</v>
      </c>
      <c r="F686" s="247">
        <v>0.02</v>
      </c>
      <c r="G686" s="570">
        <f>E686*F686</f>
        <v>32000</v>
      </c>
    </row>
    <row r="687" spans="1:7" ht="16.5" customHeight="1">
      <c r="A687" s="260">
        <v>14257</v>
      </c>
      <c r="B687" s="231">
        <v>0.1</v>
      </c>
      <c r="C687" s="261" t="s">
        <v>374</v>
      </c>
      <c r="D687" s="245"/>
      <c r="E687" s="230">
        <v>1900000</v>
      </c>
      <c r="F687" s="247">
        <v>0.02</v>
      </c>
      <c r="G687" s="570">
        <f t="shared" ref="G687:G693" si="23">E687*F687</f>
        <v>38000</v>
      </c>
    </row>
    <row r="688" spans="1:7" ht="16.5" customHeight="1">
      <c r="A688" s="214">
        <v>14267</v>
      </c>
      <c r="B688" s="231">
        <v>0.1</v>
      </c>
      <c r="C688" s="272" t="s">
        <v>385</v>
      </c>
      <c r="D688" s="245"/>
      <c r="E688" s="230">
        <v>2000000</v>
      </c>
      <c r="F688" s="247">
        <v>0.02</v>
      </c>
      <c r="G688" s="570">
        <f t="shared" si="23"/>
        <v>40000</v>
      </c>
    </row>
    <row r="689" spans="1:7" ht="16.5" customHeight="1">
      <c r="A689" s="293">
        <v>14133</v>
      </c>
      <c r="B689" s="231">
        <v>0.1</v>
      </c>
      <c r="C689" s="241" t="s">
        <v>391</v>
      </c>
      <c r="D689" s="245"/>
      <c r="E689" s="242">
        <v>1000000</v>
      </c>
      <c r="F689" s="247">
        <v>0.02</v>
      </c>
      <c r="G689" s="570">
        <f t="shared" si="23"/>
        <v>20000</v>
      </c>
    </row>
    <row r="690" spans="1:7" ht="16.5" customHeight="1">
      <c r="A690" s="409">
        <v>14250</v>
      </c>
      <c r="B690" s="526">
        <v>0.08</v>
      </c>
      <c r="C690" s="241" t="s">
        <v>766</v>
      </c>
      <c r="D690" s="245"/>
      <c r="E690" s="242">
        <v>800000</v>
      </c>
      <c r="F690" s="349">
        <v>0.01</v>
      </c>
      <c r="G690" s="570">
        <f t="shared" si="23"/>
        <v>8000</v>
      </c>
    </row>
    <row r="691" spans="1:7" ht="16.5" customHeight="1">
      <c r="A691" s="338">
        <v>14301</v>
      </c>
      <c r="B691" s="308">
        <v>0.1</v>
      </c>
      <c r="C691" s="277" t="s">
        <v>387</v>
      </c>
      <c r="D691" s="245"/>
      <c r="E691" s="242">
        <v>750000</v>
      </c>
      <c r="F691" s="247">
        <v>0.02</v>
      </c>
      <c r="G691" s="570">
        <f t="shared" si="23"/>
        <v>15000</v>
      </c>
    </row>
    <row r="692" spans="1:7" ht="16.5" customHeight="1">
      <c r="A692" s="300">
        <v>14314</v>
      </c>
      <c r="B692" s="308">
        <v>0.1</v>
      </c>
      <c r="C692" s="272" t="s">
        <v>767</v>
      </c>
      <c r="D692" s="245"/>
      <c r="E692" s="242">
        <v>2500000</v>
      </c>
      <c r="F692" s="247">
        <v>0.02</v>
      </c>
      <c r="G692" s="570">
        <f t="shared" si="23"/>
        <v>50000</v>
      </c>
    </row>
    <row r="693" spans="1:7" ht="15.75" customHeight="1">
      <c r="A693" s="409">
        <v>14316</v>
      </c>
      <c r="B693" s="231">
        <v>0.1</v>
      </c>
      <c r="C693" s="241" t="s">
        <v>396</v>
      </c>
      <c r="D693" s="245"/>
      <c r="E693" s="278">
        <v>1230000</v>
      </c>
      <c r="F693" s="247">
        <v>0.02</v>
      </c>
      <c r="G693" s="570">
        <f t="shared" si="23"/>
        <v>24600</v>
      </c>
    </row>
    <row r="694" spans="1:7" ht="18">
      <c r="A694" s="412"/>
      <c r="B694" s="190"/>
      <c r="C694" s="190"/>
      <c r="D694" s="189"/>
      <c r="E694" s="199">
        <f>SUM(E686:E693)</f>
        <v>11780000</v>
      </c>
      <c r="F694" s="190"/>
      <c r="G694" s="567">
        <f>SUM(G686:G693)</f>
        <v>227600</v>
      </c>
    </row>
    <row r="697" spans="1:7">
      <c r="A697" s="994" t="s">
        <v>768</v>
      </c>
      <c r="B697" s="994"/>
      <c r="C697" s="994"/>
      <c r="D697" s="994"/>
      <c r="E697" s="994"/>
      <c r="F697" s="994"/>
      <c r="G697" s="994"/>
    </row>
    <row r="698" spans="1:7">
      <c r="A698" s="994"/>
      <c r="B698" s="995"/>
      <c r="C698" s="995"/>
      <c r="D698" s="994"/>
      <c r="E698" s="994"/>
      <c r="F698" s="994"/>
      <c r="G698" s="994"/>
    </row>
    <row r="699" spans="1:7">
      <c r="A699" s="184" t="s">
        <v>3</v>
      </c>
      <c r="B699" s="195" t="s">
        <v>709</v>
      </c>
      <c r="C699" s="184" t="s">
        <v>710</v>
      </c>
      <c r="D699" s="176" t="s">
        <v>711</v>
      </c>
      <c r="E699" s="197" t="s">
        <v>300</v>
      </c>
      <c r="F699" s="178" t="s">
        <v>7</v>
      </c>
      <c r="G699" s="537" t="s">
        <v>50</v>
      </c>
    </row>
    <row r="700" spans="1:7" ht="15.75">
      <c r="A700" s="463">
        <v>14174</v>
      </c>
      <c r="B700" s="408">
        <v>0.1</v>
      </c>
      <c r="C700" s="272" t="s">
        <v>358</v>
      </c>
      <c r="D700" s="230"/>
      <c r="E700" s="216">
        <v>1200000</v>
      </c>
      <c r="F700" s="250">
        <v>0.02</v>
      </c>
      <c r="G700" s="226">
        <f>E700*F700</f>
        <v>24000</v>
      </c>
    </row>
    <row r="701" spans="1:7" ht="15.75">
      <c r="A701" s="300">
        <v>14181</v>
      </c>
      <c r="B701" s="526">
        <v>0.08</v>
      </c>
      <c r="C701" s="272" t="s">
        <v>359</v>
      </c>
      <c r="D701" s="230"/>
      <c r="E701" s="216">
        <v>2000000</v>
      </c>
      <c r="F701" s="225">
        <v>0.01</v>
      </c>
      <c r="G701" s="226">
        <f t="shared" ref="G701:G708" si="24">E701*F701</f>
        <v>20000</v>
      </c>
    </row>
    <row r="702" spans="1:7" ht="15.75">
      <c r="A702" s="300">
        <v>14202</v>
      </c>
      <c r="B702" s="308">
        <v>0.1</v>
      </c>
      <c r="C702" s="261" t="s">
        <v>361</v>
      </c>
      <c r="D702" s="230"/>
      <c r="E702" s="216">
        <v>850000</v>
      </c>
      <c r="F702" s="250">
        <v>0.02</v>
      </c>
      <c r="G702" s="226">
        <f t="shared" si="24"/>
        <v>17000</v>
      </c>
    </row>
    <row r="703" spans="1:7" ht="15.75">
      <c r="A703" s="240">
        <v>14230</v>
      </c>
      <c r="B703" s="231">
        <v>0.1</v>
      </c>
      <c r="C703" s="261" t="s">
        <v>369</v>
      </c>
      <c r="D703" s="230"/>
      <c r="E703" s="230">
        <v>1700000</v>
      </c>
      <c r="F703" s="250">
        <v>0.02</v>
      </c>
      <c r="G703" s="226">
        <f t="shared" si="24"/>
        <v>34000</v>
      </c>
    </row>
    <row r="704" spans="1:7" ht="15.75">
      <c r="A704" s="240">
        <v>14161</v>
      </c>
      <c r="B704" s="231">
        <v>0.1</v>
      </c>
      <c r="C704" s="261" t="s">
        <v>371</v>
      </c>
      <c r="D704" s="230"/>
      <c r="E704" s="230">
        <v>1400000</v>
      </c>
      <c r="F704" s="250">
        <v>0.02</v>
      </c>
      <c r="G704" s="226">
        <f t="shared" si="24"/>
        <v>28000</v>
      </c>
    </row>
    <row r="705" spans="1:7" ht="15.75">
      <c r="A705" s="260">
        <v>14256</v>
      </c>
      <c r="B705" s="231">
        <v>0.1</v>
      </c>
      <c r="C705" s="261" t="s">
        <v>376</v>
      </c>
      <c r="D705" s="230"/>
      <c r="E705" s="230">
        <v>2000000</v>
      </c>
      <c r="F705" s="250">
        <v>0.02</v>
      </c>
      <c r="G705" s="226">
        <f t="shared" si="24"/>
        <v>40000</v>
      </c>
    </row>
    <row r="706" spans="1:7" ht="15.75">
      <c r="A706" s="214">
        <v>14304</v>
      </c>
      <c r="B706" s="221">
        <v>0.1</v>
      </c>
      <c r="C706" s="277" t="s">
        <v>370</v>
      </c>
      <c r="D706" s="230"/>
      <c r="E706" s="242">
        <v>1100000</v>
      </c>
      <c r="F706" s="250">
        <v>0.02</v>
      </c>
      <c r="G706" s="226">
        <f t="shared" si="24"/>
        <v>22000</v>
      </c>
    </row>
    <row r="707" spans="1:7" ht="15.75">
      <c r="A707" s="409">
        <v>14276</v>
      </c>
      <c r="B707" s="347">
        <v>0.08</v>
      </c>
      <c r="C707" s="241" t="s">
        <v>394</v>
      </c>
      <c r="D707" s="216"/>
      <c r="E707" s="242">
        <v>2200000</v>
      </c>
      <c r="F707" s="225">
        <v>0.01</v>
      </c>
      <c r="G707" s="226">
        <f t="shared" si="24"/>
        <v>22000</v>
      </c>
    </row>
    <row r="708" spans="1:7" ht="15.75">
      <c r="A708" s="300">
        <v>14312</v>
      </c>
      <c r="B708" s="231">
        <v>0.1</v>
      </c>
      <c r="C708" s="272" t="s">
        <v>398</v>
      </c>
      <c r="D708" s="278"/>
      <c r="E708" s="278">
        <v>1100000</v>
      </c>
      <c r="F708" s="250">
        <v>0.02</v>
      </c>
      <c r="G708" s="226">
        <f t="shared" si="24"/>
        <v>22000</v>
      </c>
    </row>
    <row r="709" spans="1:7" ht="15.75">
      <c r="A709" s="663" t="s">
        <v>40</v>
      </c>
      <c r="B709" s="328"/>
      <c r="C709" s="205" t="s">
        <v>366</v>
      </c>
      <c r="D709" s="331"/>
      <c r="E709" s="331"/>
      <c r="F709" s="389"/>
      <c r="G709" s="206"/>
    </row>
    <row r="710" spans="1:7" ht="15.75">
      <c r="A710" s="663" t="s">
        <v>40</v>
      </c>
      <c r="B710" s="328"/>
      <c r="C710" s="205" t="s">
        <v>367</v>
      </c>
      <c r="D710" s="331"/>
      <c r="E710" s="331"/>
      <c r="F710" s="389"/>
      <c r="G710" s="206"/>
    </row>
    <row r="711" spans="1:7" ht="15.75">
      <c r="A711" s="663" t="s">
        <v>40</v>
      </c>
      <c r="B711" s="328"/>
      <c r="C711" s="208" t="s">
        <v>381</v>
      </c>
      <c r="D711" s="331"/>
      <c r="E711" s="331"/>
      <c r="F711" s="389"/>
      <c r="G711" s="206"/>
    </row>
    <row r="712" spans="1:7" ht="15.75">
      <c r="A712" s="663" t="s">
        <v>40</v>
      </c>
      <c r="B712" s="328"/>
      <c r="C712" s="205" t="s">
        <v>368</v>
      </c>
      <c r="D712" s="331"/>
      <c r="E712" s="331"/>
      <c r="F712" s="389"/>
      <c r="G712" s="206"/>
    </row>
    <row r="713" spans="1:7" ht="18">
      <c r="A713" s="190"/>
      <c r="B713" s="190"/>
      <c r="C713" s="190"/>
      <c r="D713" s="189"/>
      <c r="E713" s="200">
        <f>SUM(E700:E708)</f>
        <v>13550000</v>
      </c>
      <c r="F713" s="201"/>
      <c r="G713" s="192">
        <f>SUM(G700:G708)</f>
        <v>229000</v>
      </c>
    </row>
    <row r="717" spans="1:7">
      <c r="A717" s="996" t="s">
        <v>769</v>
      </c>
      <c r="B717" s="997"/>
      <c r="C717" s="997"/>
      <c r="D717" s="997"/>
      <c r="E717" s="997"/>
      <c r="F717" s="997"/>
      <c r="G717" s="998"/>
    </row>
    <row r="718" spans="1:7">
      <c r="A718" s="999"/>
      <c r="B718" s="1000"/>
      <c r="C718" s="1000"/>
      <c r="D718" s="1000"/>
      <c r="E718" s="1000"/>
      <c r="F718" s="1000"/>
      <c r="G718" s="1001"/>
    </row>
    <row r="719" spans="1:7">
      <c r="A719" s="175" t="s">
        <v>3</v>
      </c>
      <c r="B719" s="175" t="s">
        <v>709</v>
      </c>
      <c r="C719" s="493" t="s">
        <v>710</v>
      </c>
      <c r="D719" s="176" t="s">
        <v>711</v>
      </c>
      <c r="E719" s="177" t="s">
        <v>300</v>
      </c>
      <c r="F719" s="178" t="s">
        <v>7</v>
      </c>
      <c r="G719" s="179" t="s">
        <v>50</v>
      </c>
    </row>
    <row r="720" spans="1:7" ht="15.75">
      <c r="A720" s="300">
        <v>14149</v>
      </c>
      <c r="B720" s="526">
        <v>0.08</v>
      </c>
      <c r="C720" s="272" t="s">
        <v>354</v>
      </c>
      <c r="D720" s="230"/>
      <c r="E720" s="216">
        <v>1650000</v>
      </c>
      <c r="F720" s="380">
        <v>0.01</v>
      </c>
      <c r="G720" s="590">
        <f>E720*F720</f>
        <v>16500</v>
      </c>
    </row>
    <row r="721" spans="1:7" ht="15.75">
      <c r="A721" s="611">
        <v>14152</v>
      </c>
      <c r="B721" s="408">
        <v>0.1</v>
      </c>
      <c r="C721" s="272" t="s">
        <v>356</v>
      </c>
      <c r="D721" s="294"/>
      <c r="E721" s="216">
        <v>2000000</v>
      </c>
      <c r="F721" s="379">
        <v>0.02</v>
      </c>
      <c r="G721" s="590">
        <f t="shared" ref="G721:G753" si="25">E721*F721</f>
        <v>40000</v>
      </c>
    </row>
    <row r="722" spans="1:7" ht="15.75">
      <c r="A722" s="611">
        <v>14240</v>
      </c>
      <c r="B722" s="408">
        <v>0.1</v>
      </c>
      <c r="C722" s="272" t="s">
        <v>363</v>
      </c>
      <c r="D722" s="230"/>
      <c r="E722" s="216">
        <v>1300000</v>
      </c>
      <c r="F722" s="379">
        <v>0.02</v>
      </c>
      <c r="G722" s="590">
        <f t="shared" si="25"/>
        <v>26000</v>
      </c>
    </row>
    <row r="723" spans="1:7" ht="15.75">
      <c r="A723" s="611">
        <v>14255</v>
      </c>
      <c r="B723" s="408">
        <v>0.1</v>
      </c>
      <c r="C723" s="272" t="s">
        <v>364</v>
      </c>
      <c r="D723" s="230"/>
      <c r="E723" s="216">
        <v>1700000</v>
      </c>
      <c r="F723" s="379">
        <v>0.02</v>
      </c>
      <c r="G723" s="590">
        <f t="shared" si="25"/>
        <v>34000</v>
      </c>
    </row>
    <row r="724" spans="1:7" ht="15.75">
      <c r="A724" s="260">
        <v>14218</v>
      </c>
      <c r="B724" s="347">
        <v>0.08</v>
      </c>
      <c r="C724" s="261" t="s">
        <v>375</v>
      </c>
      <c r="D724" s="230"/>
      <c r="E724" s="230">
        <v>1500000</v>
      </c>
      <c r="F724" s="380">
        <v>0.01</v>
      </c>
      <c r="G724" s="590">
        <f t="shared" si="25"/>
        <v>15000</v>
      </c>
    </row>
    <row r="725" spans="1:7" ht="15.75">
      <c r="A725" s="260">
        <v>14217</v>
      </c>
      <c r="B725" s="347">
        <v>0.08</v>
      </c>
      <c r="C725" s="261" t="s">
        <v>384</v>
      </c>
      <c r="D725" s="230"/>
      <c r="E725" s="216">
        <v>1800000</v>
      </c>
      <c r="F725" s="380">
        <v>0.01</v>
      </c>
      <c r="G725" s="590">
        <f t="shared" si="25"/>
        <v>18000</v>
      </c>
    </row>
    <row r="726" spans="1:7" ht="15.75">
      <c r="A726" s="293">
        <v>14184</v>
      </c>
      <c r="B726" s="231">
        <v>0.1</v>
      </c>
      <c r="C726" s="241" t="s">
        <v>373</v>
      </c>
      <c r="D726" s="230"/>
      <c r="E726" s="242">
        <v>900000</v>
      </c>
      <c r="F726" s="379">
        <v>0.02</v>
      </c>
      <c r="G726" s="590">
        <f t="shared" si="25"/>
        <v>18000</v>
      </c>
    </row>
    <row r="727" spans="1:7" ht="15.75">
      <c r="A727" s="409">
        <v>14234</v>
      </c>
      <c r="B727" s="231">
        <v>0.1</v>
      </c>
      <c r="C727" s="241" t="s">
        <v>393</v>
      </c>
      <c r="D727" s="230"/>
      <c r="E727" s="242">
        <v>1220000</v>
      </c>
      <c r="F727" s="379">
        <v>0.02</v>
      </c>
      <c r="G727" s="590">
        <f t="shared" si="25"/>
        <v>24400</v>
      </c>
    </row>
    <row r="728" spans="1:7" ht="15.75">
      <c r="A728" s="260">
        <v>14271</v>
      </c>
      <c r="B728" s="308">
        <v>0.1</v>
      </c>
      <c r="C728" s="272" t="s">
        <v>377</v>
      </c>
      <c r="D728" s="242"/>
      <c r="E728" s="242">
        <v>1550000</v>
      </c>
      <c r="F728" s="379">
        <v>0.02</v>
      </c>
      <c r="G728" s="590">
        <f t="shared" si="25"/>
        <v>31000</v>
      </c>
    </row>
    <row r="729" spans="1:7" ht="15.75">
      <c r="A729" s="260">
        <v>14307</v>
      </c>
      <c r="B729" s="308">
        <v>0.1</v>
      </c>
      <c r="C729" s="277" t="s">
        <v>379</v>
      </c>
      <c r="D729" s="242"/>
      <c r="E729" s="242">
        <v>1800000</v>
      </c>
      <c r="F729" s="379">
        <v>0.02</v>
      </c>
      <c r="G729" s="590">
        <f t="shared" si="25"/>
        <v>36000</v>
      </c>
    </row>
    <row r="730" spans="1:7" ht="15.75">
      <c r="A730" s="409">
        <v>14318</v>
      </c>
      <c r="B730" s="231">
        <v>0.1</v>
      </c>
      <c r="C730" s="241" t="s">
        <v>395</v>
      </c>
      <c r="D730" s="242"/>
      <c r="E730" s="242">
        <v>1200000</v>
      </c>
      <c r="F730" s="379">
        <v>0.02</v>
      </c>
      <c r="G730" s="590">
        <f t="shared" si="25"/>
        <v>24000</v>
      </c>
    </row>
    <row r="731" spans="1:7" ht="15.75">
      <c r="A731" s="611">
        <v>14216</v>
      </c>
      <c r="B731" s="408">
        <v>0.1</v>
      </c>
      <c r="C731" s="272" t="s">
        <v>362</v>
      </c>
      <c r="D731" s="230"/>
      <c r="E731" s="216">
        <v>1850000</v>
      </c>
      <c r="F731" s="379">
        <v>0.02</v>
      </c>
      <c r="G731" s="590">
        <f t="shared" si="25"/>
        <v>37000</v>
      </c>
    </row>
    <row r="732" spans="1:7" ht="15.75">
      <c r="A732" s="240">
        <v>14195</v>
      </c>
      <c r="B732" s="347">
        <v>0.09</v>
      </c>
      <c r="C732" s="261" t="s">
        <v>355</v>
      </c>
      <c r="D732" s="230"/>
      <c r="E732" s="230">
        <v>2200000</v>
      </c>
      <c r="F732" s="380">
        <v>0.01</v>
      </c>
      <c r="G732" s="590">
        <f t="shared" si="25"/>
        <v>22000</v>
      </c>
    </row>
    <row r="733" spans="1:7" ht="15.75">
      <c r="A733" s="293">
        <v>14254</v>
      </c>
      <c r="B733" s="347">
        <v>8.4000000000000005E-2</v>
      </c>
      <c r="C733" s="241" t="s">
        <v>392</v>
      </c>
      <c r="D733" s="230"/>
      <c r="E733" s="242">
        <v>1100000</v>
      </c>
      <c r="F733" s="380">
        <v>0.01</v>
      </c>
      <c r="G733" s="590">
        <f t="shared" si="25"/>
        <v>11000</v>
      </c>
    </row>
    <row r="734" spans="1:7" ht="15.75">
      <c r="A734" s="214">
        <v>14274</v>
      </c>
      <c r="B734" s="620">
        <v>0.1</v>
      </c>
      <c r="C734" s="277" t="s">
        <v>386</v>
      </c>
      <c r="D734" s="230"/>
      <c r="E734" s="216">
        <v>1100000</v>
      </c>
      <c r="F734" s="379">
        <v>0.02</v>
      </c>
      <c r="G734" s="590">
        <f t="shared" si="25"/>
        <v>22000</v>
      </c>
    </row>
    <row r="735" spans="1:7" ht="15.75">
      <c r="A735" s="260">
        <v>14237</v>
      </c>
      <c r="B735" s="347">
        <v>0.08</v>
      </c>
      <c r="C735" s="261" t="s">
        <v>378</v>
      </c>
      <c r="D735" s="230"/>
      <c r="E735" s="216">
        <v>1000000</v>
      </c>
      <c r="F735" s="380">
        <v>0.01</v>
      </c>
      <c r="G735" s="590">
        <f t="shared" si="25"/>
        <v>10000</v>
      </c>
    </row>
    <row r="736" spans="1:7" ht="15.75">
      <c r="A736" s="222">
        <v>14328</v>
      </c>
      <c r="B736" s="526">
        <v>0.08</v>
      </c>
      <c r="C736" s="272" t="s">
        <v>380</v>
      </c>
      <c r="D736" s="230"/>
      <c r="E736" s="216">
        <v>1650000</v>
      </c>
      <c r="F736" s="380">
        <v>0.01</v>
      </c>
      <c r="G736" s="590">
        <f t="shared" si="25"/>
        <v>16500</v>
      </c>
    </row>
    <row r="737" spans="1:7" ht="15.75">
      <c r="A737" s="463">
        <v>14201</v>
      </c>
      <c r="B737" s="308">
        <v>0.1</v>
      </c>
      <c r="C737" s="612" t="s">
        <v>360</v>
      </c>
      <c r="D737" s="245"/>
      <c r="E737" s="216">
        <v>1600000</v>
      </c>
      <c r="F737" s="379">
        <v>0.02</v>
      </c>
      <c r="G737" s="590">
        <f t="shared" si="25"/>
        <v>32000</v>
      </c>
    </row>
    <row r="738" spans="1:7" ht="15.75">
      <c r="A738" s="260">
        <v>14257</v>
      </c>
      <c r="B738" s="231">
        <v>0.1</v>
      </c>
      <c r="C738" s="261" t="s">
        <v>374</v>
      </c>
      <c r="D738" s="245"/>
      <c r="E738" s="230">
        <v>1900000</v>
      </c>
      <c r="F738" s="379">
        <v>0.02</v>
      </c>
      <c r="G738" s="590">
        <f t="shared" si="25"/>
        <v>38000</v>
      </c>
    </row>
    <row r="739" spans="1:7" ht="15.75" customHeight="1">
      <c r="A739" s="214">
        <v>14267</v>
      </c>
      <c r="B739" s="231">
        <v>0.1</v>
      </c>
      <c r="C739" s="272" t="s">
        <v>385</v>
      </c>
      <c r="D739" s="245"/>
      <c r="E739" s="230">
        <v>2000000</v>
      </c>
      <c r="F739" s="379">
        <v>0.02</v>
      </c>
      <c r="G739" s="590">
        <f t="shared" si="25"/>
        <v>40000</v>
      </c>
    </row>
    <row r="740" spans="1:7" ht="15.75">
      <c r="A740" s="293">
        <v>14133</v>
      </c>
      <c r="B740" s="231">
        <v>0.1</v>
      </c>
      <c r="C740" s="241" t="s">
        <v>391</v>
      </c>
      <c r="D740" s="245"/>
      <c r="E740" s="242">
        <v>1000000</v>
      </c>
      <c r="F740" s="379">
        <v>0.02</v>
      </c>
      <c r="G740" s="590">
        <f t="shared" si="25"/>
        <v>20000</v>
      </c>
    </row>
    <row r="741" spans="1:7" ht="15.75">
      <c r="A741" s="409">
        <v>14250</v>
      </c>
      <c r="B741" s="526">
        <v>0.08</v>
      </c>
      <c r="C741" s="241" t="s">
        <v>766</v>
      </c>
      <c r="D741" s="245"/>
      <c r="E741" s="242">
        <v>800000</v>
      </c>
      <c r="F741" s="380">
        <v>0.01</v>
      </c>
      <c r="G741" s="590">
        <f t="shared" si="25"/>
        <v>8000</v>
      </c>
    </row>
    <row r="742" spans="1:7" ht="16.5" customHeight="1">
      <c r="A742" s="338">
        <v>14301</v>
      </c>
      <c r="B742" s="308">
        <v>0.1</v>
      </c>
      <c r="C742" s="277" t="s">
        <v>387</v>
      </c>
      <c r="D742" s="245"/>
      <c r="E742" s="242">
        <v>750000</v>
      </c>
      <c r="F742" s="379">
        <v>0.02</v>
      </c>
      <c r="G742" s="590">
        <f t="shared" si="25"/>
        <v>15000</v>
      </c>
    </row>
    <row r="743" spans="1:7" ht="15" customHeight="1">
      <c r="A743" s="300">
        <v>14314</v>
      </c>
      <c r="B743" s="308">
        <v>0.1</v>
      </c>
      <c r="C743" s="272" t="s">
        <v>770</v>
      </c>
      <c r="D743" s="245"/>
      <c r="E743" s="242">
        <v>2500000</v>
      </c>
      <c r="F743" s="379">
        <v>0.02</v>
      </c>
      <c r="G743" s="590">
        <f t="shared" si="25"/>
        <v>50000</v>
      </c>
    </row>
    <row r="744" spans="1:7" ht="16.5" customHeight="1">
      <c r="A744" s="409">
        <v>14316</v>
      </c>
      <c r="B744" s="231">
        <v>0.1</v>
      </c>
      <c r="C744" s="241" t="s">
        <v>396</v>
      </c>
      <c r="D744" s="245"/>
      <c r="E744" s="278">
        <v>1230000</v>
      </c>
      <c r="F744" s="379">
        <v>0.02</v>
      </c>
      <c r="G744" s="590">
        <f t="shared" si="25"/>
        <v>24600</v>
      </c>
    </row>
    <row r="745" spans="1:7" ht="15.75">
      <c r="A745" s="463">
        <v>14174</v>
      </c>
      <c r="B745" s="408">
        <v>0.1</v>
      </c>
      <c r="C745" s="272" t="s">
        <v>358</v>
      </c>
      <c r="D745" s="230"/>
      <c r="E745" s="216">
        <v>1200000</v>
      </c>
      <c r="F745" s="379">
        <v>0.02</v>
      </c>
      <c r="G745" s="590">
        <f t="shared" si="25"/>
        <v>24000</v>
      </c>
    </row>
    <row r="746" spans="1:7" ht="15.75">
      <c r="A746" s="300">
        <v>14181</v>
      </c>
      <c r="B746" s="526">
        <v>0.08</v>
      </c>
      <c r="C746" s="272" t="s">
        <v>359</v>
      </c>
      <c r="D746" s="230"/>
      <c r="E746" s="216">
        <v>2000000</v>
      </c>
      <c r="F746" s="380">
        <v>0.01</v>
      </c>
      <c r="G746" s="590">
        <f t="shared" si="25"/>
        <v>20000</v>
      </c>
    </row>
    <row r="747" spans="1:7" ht="15.75">
      <c r="A747" s="300">
        <v>14202</v>
      </c>
      <c r="B747" s="308">
        <v>0.1</v>
      </c>
      <c r="C747" s="261" t="s">
        <v>361</v>
      </c>
      <c r="D747" s="230"/>
      <c r="E747" s="216">
        <v>850000</v>
      </c>
      <c r="F747" s="379">
        <v>0.02</v>
      </c>
      <c r="G747" s="590">
        <f t="shared" si="25"/>
        <v>17000</v>
      </c>
    </row>
    <row r="748" spans="1:7" ht="15.75">
      <c r="A748" s="240">
        <v>14230</v>
      </c>
      <c r="B748" s="231">
        <v>0.1</v>
      </c>
      <c r="C748" s="261" t="s">
        <v>369</v>
      </c>
      <c r="D748" s="230"/>
      <c r="E748" s="230">
        <v>1700000</v>
      </c>
      <c r="F748" s="379">
        <v>0.02</v>
      </c>
      <c r="G748" s="590">
        <f t="shared" si="25"/>
        <v>34000</v>
      </c>
    </row>
    <row r="749" spans="1:7" ht="15.75">
      <c r="A749" s="240">
        <v>14161</v>
      </c>
      <c r="B749" s="231">
        <v>0.1</v>
      </c>
      <c r="C749" s="261" t="s">
        <v>371</v>
      </c>
      <c r="D749" s="230"/>
      <c r="E749" s="230">
        <v>1400000</v>
      </c>
      <c r="F749" s="379">
        <v>0.02</v>
      </c>
      <c r="G749" s="590">
        <f t="shared" si="25"/>
        <v>28000</v>
      </c>
    </row>
    <row r="750" spans="1:7" ht="15.75">
      <c r="A750" s="260">
        <v>14256</v>
      </c>
      <c r="B750" s="231">
        <v>0.1</v>
      </c>
      <c r="C750" s="261" t="s">
        <v>376</v>
      </c>
      <c r="D750" s="230"/>
      <c r="E750" s="230">
        <v>2000000</v>
      </c>
      <c r="F750" s="379">
        <v>0.02</v>
      </c>
      <c r="G750" s="590">
        <f t="shared" si="25"/>
        <v>40000</v>
      </c>
    </row>
    <row r="751" spans="1:7" ht="15.75">
      <c r="A751" s="214">
        <v>14304</v>
      </c>
      <c r="B751" s="221">
        <v>0.1</v>
      </c>
      <c r="C751" s="277" t="s">
        <v>370</v>
      </c>
      <c r="D751" s="230"/>
      <c r="E751" s="242">
        <v>1100000</v>
      </c>
      <c r="F751" s="379">
        <v>0.02</v>
      </c>
      <c r="G751" s="590">
        <f t="shared" si="25"/>
        <v>22000</v>
      </c>
    </row>
    <row r="752" spans="1:7" ht="15.75">
      <c r="A752" s="409">
        <v>14276</v>
      </c>
      <c r="B752" s="347">
        <v>0.08</v>
      </c>
      <c r="C752" s="241" t="s">
        <v>394</v>
      </c>
      <c r="D752" s="216"/>
      <c r="E752" s="242">
        <v>2200000</v>
      </c>
      <c r="F752" s="380">
        <v>0.01</v>
      </c>
      <c r="G752" s="590">
        <f t="shared" si="25"/>
        <v>22000</v>
      </c>
    </row>
    <row r="753" spans="1:7" ht="15.75">
      <c r="A753" s="300">
        <v>14312</v>
      </c>
      <c r="B753" s="231">
        <v>0.1</v>
      </c>
      <c r="C753" s="272" t="s">
        <v>398</v>
      </c>
      <c r="D753" s="278"/>
      <c r="E753" s="278">
        <v>1100000</v>
      </c>
      <c r="F753" s="379">
        <v>0.02</v>
      </c>
      <c r="G753" s="590">
        <f t="shared" si="25"/>
        <v>22000</v>
      </c>
    </row>
    <row r="754" spans="1:7" ht="18">
      <c r="A754" s="190"/>
      <c r="B754" s="412"/>
      <c r="C754" s="412"/>
      <c r="D754" s="202" t="s">
        <v>47</v>
      </c>
      <c r="E754" s="203">
        <f>SUM(E720:E753)</f>
        <v>50850000</v>
      </c>
      <c r="F754" s="404"/>
      <c r="G754" s="539">
        <f>SUM(G720:G753)</f>
        <v>858000</v>
      </c>
    </row>
    <row r="758" spans="1:7">
      <c r="A758" s="1002" t="s">
        <v>400</v>
      </c>
      <c r="B758" s="1003"/>
      <c r="C758" s="1003"/>
      <c r="D758" s="1003"/>
      <c r="E758" s="1003"/>
      <c r="F758" s="1003"/>
      <c r="G758" s="1004"/>
    </row>
    <row r="759" spans="1:7">
      <c r="A759" s="1005"/>
      <c r="B759" s="1006"/>
      <c r="C759" s="1006"/>
      <c r="D759" s="1006"/>
      <c r="E759" s="1006"/>
      <c r="F759" s="1006"/>
      <c r="G759" s="1007"/>
    </row>
    <row r="760" spans="1:7">
      <c r="A760" s="1005"/>
      <c r="B760" s="1006"/>
      <c r="C760" s="1006"/>
      <c r="D760" s="1006"/>
      <c r="E760" s="1006"/>
      <c r="F760" s="1006"/>
      <c r="G760" s="1007"/>
    </row>
    <row r="761" spans="1:7">
      <c r="A761" s="1008"/>
      <c r="B761" s="1009"/>
      <c r="C761" s="1009"/>
      <c r="D761" s="1009"/>
      <c r="E761" s="1009"/>
      <c r="F761" s="1009"/>
      <c r="G761" s="1010"/>
    </row>
    <row r="763" spans="1:7">
      <c r="A763" s="994" t="s">
        <v>771</v>
      </c>
      <c r="B763" s="994"/>
      <c r="C763" s="994"/>
      <c r="D763" s="994"/>
      <c r="E763" s="994"/>
      <c r="F763" s="994"/>
      <c r="G763" s="994"/>
    </row>
    <row r="764" spans="1:7">
      <c r="A764" s="994"/>
      <c r="B764" s="994"/>
      <c r="C764" s="994"/>
      <c r="D764" s="994"/>
      <c r="E764" s="994"/>
      <c r="F764" s="994"/>
      <c r="G764" s="994"/>
    </row>
    <row r="765" spans="1:7">
      <c r="A765" s="493" t="s">
        <v>3</v>
      </c>
      <c r="B765" s="175" t="s">
        <v>709</v>
      </c>
      <c r="C765" s="493" t="s">
        <v>710</v>
      </c>
      <c r="D765" s="176" t="s">
        <v>711</v>
      </c>
      <c r="E765" s="177" t="s">
        <v>300</v>
      </c>
      <c r="F765" s="178" t="s">
        <v>7</v>
      </c>
      <c r="G765" s="179" t="s">
        <v>50</v>
      </c>
    </row>
    <row r="766" spans="1:7" ht="15.75">
      <c r="A766" s="676">
        <v>14392</v>
      </c>
      <c r="B766" s="308">
        <v>0.1</v>
      </c>
      <c r="C766" s="272" t="s">
        <v>402</v>
      </c>
      <c r="D766" s="230"/>
      <c r="E766" s="216">
        <v>2000000</v>
      </c>
      <c r="F766" s="247">
        <v>0.05</v>
      </c>
      <c r="G766" s="248">
        <f>E766*F766</f>
        <v>100000</v>
      </c>
    </row>
    <row r="767" spans="1:7" ht="15.75">
      <c r="A767" s="676">
        <v>14435</v>
      </c>
      <c r="B767" s="308">
        <v>0.1</v>
      </c>
      <c r="C767" s="272" t="s">
        <v>404</v>
      </c>
      <c r="D767" s="294"/>
      <c r="E767" s="216">
        <v>1200000</v>
      </c>
      <c r="F767" s="349">
        <v>0.02</v>
      </c>
      <c r="G767" s="248">
        <f>E767*F767</f>
        <v>24000</v>
      </c>
    </row>
    <row r="768" spans="1:7" ht="15.75">
      <c r="A768" s="676">
        <v>14516</v>
      </c>
      <c r="B768" s="677">
        <v>0.1</v>
      </c>
      <c r="C768" s="678" t="s">
        <v>411</v>
      </c>
      <c r="D768" s="230"/>
      <c r="E768" s="679">
        <v>1800000</v>
      </c>
      <c r="F768" s="247">
        <v>0.05</v>
      </c>
      <c r="G768" s="248">
        <f>E768*F768</f>
        <v>90000</v>
      </c>
    </row>
    <row r="769" spans="1:7" ht="15.75">
      <c r="A769" s="214">
        <v>14572</v>
      </c>
      <c r="B769" s="308">
        <v>0.1</v>
      </c>
      <c r="C769" s="272" t="s">
        <v>255</v>
      </c>
      <c r="D769" s="230"/>
      <c r="E769" s="679">
        <v>1300000</v>
      </c>
      <c r="F769" s="247">
        <v>0.05</v>
      </c>
      <c r="G769" s="248">
        <f>E769*F769</f>
        <v>65000</v>
      </c>
    </row>
    <row r="770" spans="1:7" ht="15.75">
      <c r="A770" s="683">
        <v>14373</v>
      </c>
      <c r="B770" s="681">
        <v>0.1</v>
      </c>
      <c r="C770" s="215" t="s">
        <v>426</v>
      </c>
      <c r="D770" s="230"/>
      <c r="E770" s="230">
        <v>800000</v>
      </c>
      <c r="F770" s="247">
        <v>0.05</v>
      </c>
      <c r="G770" s="248">
        <f>E770*F770</f>
        <v>40000</v>
      </c>
    </row>
    <row r="771" spans="1:7" ht="15.75">
      <c r="A771" s="676">
        <v>14418</v>
      </c>
      <c r="B771" s="526">
        <v>0.08</v>
      </c>
      <c r="C771" s="272" t="s">
        <v>428</v>
      </c>
      <c r="D771" s="230"/>
      <c r="E771" s="230">
        <v>1650000</v>
      </c>
      <c r="F771" s="349">
        <v>0.04</v>
      </c>
      <c r="G771" s="248">
        <f>E771*F771</f>
        <v>66000</v>
      </c>
    </row>
    <row r="772" spans="1:7" ht="15.75">
      <c r="A772" s="676">
        <v>14506</v>
      </c>
      <c r="B772" s="719">
        <v>0.08</v>
      </c>
      <c r="C772" s="682" t="s">
        <v>429</v>
      </c>
      <c r="D772" s="230"/>
      <c r="E772" s="246">
        <v>1800000</v>
      </c>
      <c r="F772" s="349">
        <v>0.04</v>
      </c>
      <c r="G772" s="248">
        <f>E772*F772</f>
        <v>72000</v>
      </c>
    </row>
    <row r="773" spans="1:7" ht="15.75">
      <c r="A773" s="214">
        <v>14509</v>
      </c>
      <c r="B773" s="308">
        <v>0.1</v>
      </c>
      <c r="C773" s="682" t="s">
        <v>431</v>
      </c>
      <c r="D773" s="230"/>
      <c r="E773" s="242">
        <v>1600000</v>
      </c>
      <c r="F773" s="247">
        <v>0.05</v>
      </c>
      <c r="G773" s="248">
        <f>E773*F773</f>
        <v>80000</v>
      </c>
    </row>
    <row r="774" spans="1:7" ht="15.75">
      <c r="A774" s="214">
        <v>14542</v>
      </c>
      <c r="B774" s="308">
        <v>0.1</v>
      </c>
      <c r="C774" s="241" t="s">
        <v>405</v>
      </c>
      <c r="D774" s="230"/>
      <c r="E774" s="242">
        <v>2100000</v>
      </c>
      <c r="F774" s="247">
        <v>0.05</v>
      </c>
      <c r="G774" s="248">
        <f>E774*F774</f>
        <v>105000</v>
      </c>
    </row>
    <row r="775" spans="1:7" ht="15.75">
      <c r="A775" s="341">
        <v>14349</v>
      </c>
      <c r="B775" s="308">
        <v>0.1</v>
      </c>
      <c r="C775" s="678" t="s">
        <v>441</v>
      </c>
      <c r="D775" s="230"/>
      <c r="E775" s="679">
        <v>1900000</v>
      </c>
      <c r="F775" s="247">
        <v>0.05</v>
      </c>
      <c r="G775" s="248">
        <f>E775*F775</f>
        <v>95000</v>
      </c>
    </row>
    <row r="776" spans="1:7" ht="15.75">
      <c r="A776" s="293">
        <v>14399</v>
      </c>
      <c r="B776" s="681">
        <v>0.1</v>
      </c>
      <c r="C776" s="682" t="s">
        <v>443</v>
      </c>
      <c r="D776" s="230"/>
      <c r="E776" s="246">
        <v>1030000</v>
      </c>
      <c r="F776" s="247">
        <v>0.05</v>
      </c>
      <c r="G776" s="248">
        <f>E776*F776</f>
        <v>51500</v>
      </c>
    </row>
    <row r="777" spans="1:7" ht="15.75">
      <c r="A777" s="293">
        <v>14460</v>
      </c>
      <c r="B777" s="231">
        <v>0.1</v>
      </c>
      <c r="C777" s="241" t="s">
        <v>445</v>
      </c>
      <c r="D777" s="230"/>
      <c r="E777" s="242">
        <v>1100000</v>
      </c>
      <c r="F777" s="247">
        <v>0.05</v>
      </c>
      <c r="G777" s="248">
        <f>E777*F777</f>
        <v>55000</v>
      </c>
    </row>
    <row r="778" spans="1:7" ht="15.75">
      <c r="A778" s="293">
        <v>14556</v>
      </c>
      <c r="B778" s="231">
        <v>0.1</v>
      </c>
      <c r="C778" s="241" t="s">
        <v>449</v>
      </c>
      <c r="D778" s="230"/>
      <c r="E778" s="242">
        <v>750000</v>
      </c>
      <c r="F778" s="247">
        <v>0.05</v>
      </c>
      <c r="G778" s="248">
        <f>E778*F778</f>
        <v>37500</v>
      </c>
    </row>
    <row r="779" spans="1:7" ht="15.75">
      <c r="A779" s="676">
        <v>14573</v>
      </c>
      <c r="B779" s="684">
        <v>0.1</v>
      </c>
      <c r="C779" s="569" t="s">
        <v>451</v>
      </c>
      <c r="D779" s="230"/>
      <c r="E779" s="246">
        <v>850000</v>
      </c>
      <c r="F779" s="247">
        <v>0.05</v>
      </c>
      <c r="G779" s="248">
        <f>E779*F779</f>
        <v>42500</v>
      </c>
    </row>
    <row r="780" spans="1:7" ht="15.75" customHeight="1">
      <c r="A780" s="685" t="s">
        <v>453</v>
      </c>
      <c r="B780" s="684">
        <v>0.1</v>
      </c>
      <c r="C780" s="569" t="s">
        <v>454</v>
      </c>
      <c r="D780" s="230"/>
      <c r="E780" s="246">
        <v>950000</v>
      </c>
      <c r="F780" s="247">
        <v>0.05</v>
      </c>
      <c r="G780" s="248">
        <f>E780*F780</f>
        <v>47500</v>
      </c>
    </row>
    <row r="781" spans="1:7" ht="15.75">
      <c r="A781" s="214">
        <v>14585</v>
      </c>
      <c r="B781" s="684">
        <v>0.1</v>
      </c>
      <c r="C781" s="569" t="s">
        <v>455</v>
      </c>
      <c r="D781" s="242"/>
      <c r="E781" s="246">
        <v>1100000</v>
      </c>
      <c r="F781" s="247">
        <v>0.05</v>
      </c>
      <c r="G781" s="248">
        <f>E781*F781</f>
        <v>55000</v>
      </c>
    </row>
    <row r="782" spans="1:7" ht="15.75">
      <c r="A782" s="686">
        <v>14357</v>
      </c>
      <c r="B782" s="681">
        <v>0.1</v>
      </c>
      <c r="C782" s="678" t="s">
        <v>462</v>
      </c>
      <c r="D782" s="242"/>
      <c r="E782" s="687">
        <v>1742730</v>
      </c>
      <c r="F782" s="247">
        <v>0.05</v>
      </c>
      <c r="G782" s="248">
        <f>E782*F782</f>
        <v>87136.5</v>
      </c>
    </row>
    <row r="783" spans="1:7" ht="15.75">
      <c r="A783" s="676">
        <v>14439</v>
      </c>
      <c r="B783" s="250">
        <v>0.1</v>
      </c>
      <c r="C783" s="215" t="s">
        <v>464</v>
      </c>
      <c r="D783" s="242"/>
      <c r="E783" s="687">
        <v>1800000</v>
      </c>
      <c r="F783" s="247">
        <v>0.05</v>
      </c>
      <c r="G783" s="248">
        <f>E783*F783</f>
        <v>90000</v>
      </c>
    </row>
    <row r="784" spans="1:7" ht="15.75">
      <c r="A784" s="676">
        <v>14521</v>
      </c>
      <c r="B784" s="250">
        <v>0.1</v>
      </c>
      <c r="C784" s="215" t="s">
        <v>467</v>
      </c>
      <c r="D784" s="242"/>
      <c r="E784" s="687">
        <v>1700000</v>
      </c>
      <c r="F784" s="247">
        <v>0.05</v>
      </c>
      <c r="G784" s="248">
        <f>E784*F784</f>
        <v>85000</v>
      </c>
    </row>
    <row r="785" spans="1:7" ht="15.75">
      <c r="A785" s="393" t="s">
        <v>40</v>
      </c>
      <c r="B785" s="395"/>
      <c r="C785" s="336" t="s">
        <v>421</v>
      </c>
      <c r="D785" s="599"/>
      <c r="E785" s="718"/>
      <c r="F785" s="389"/>
      <c r="G785" s="390"/>
    </row>
    <row r="786" spans="1:7" ht="15.75">
      <c r="A786" s="393" t="s">
        <v>40</v>
      </c>
      <c r="B786" s="395"/>
      <c r="C786" s="208" t="s">
        <v>437</v>
      </c>
      <c r="D786" s="599"/>
      <c r="E786" s="718"/>
      <c r="F786" s="389"/>
      <c r="G786" s="390"/>
    </row>
    <row r="787" spans="1:7" ht="15.75">
      <c r="A787" s="393" t="s">
        <v>40</v>
      </c>
      <c r="B787" s="395"/>
      <c r="C787" s="208" t="s">
        <v>439</v>
      </c>
      <c r="D787" s="599"/>
      <c r="E787" s="718"/>
      <c r="F787" s="389"/>
      <c r="G787" s="390"/>
    </row>
    <row r="788" spans="1:7" ht="15.75">
      <c r="A788" s="393" t="s">
        <v>40</v>
      </c>
      <c r="B788" s="395"/>
      <c r="C788" s="336" t="s">
        <v>439</v>
      </c>
      <c r="D788" s="599"/>
      <c r="E788" s="718"/>
      <c r="F788" s="389"/>
      <c r="G788" s="390"/>
    </row>
    <row r="789" spans="1:7" ht="15.75">
      <c r="A789" s="393" t="s">
        <v>40</v>
      </c>
      <c r="B789" s="395"/>
      <c r="C789" s="336" t="s">
        <v>460</v>
      </c>
      <c r="D789" s="599"/>
      <c r="E789" s="718"/>
      <c r="F789" s="389"/>
      <c r="G789" s="390"/>
    </row>
    <row r="790" spans="1:7" ht="15.75">
      <c r="A790" s="393" t="s">
        <v>40</v>
      </c>
      <c r="B790" s="395"/>
      <c r="C790" s="208" t="s">
        <v>470</v>
      </c>
      <c r="D790" s="599"/>
      <c r="E790" s="718"/>
      <c r="F790" s="389"/>
      <c r="G790" s="390"/>
    </row>
    <row r="791" spans="1:7" ht="15.75">
      <c r="A791" s="393" t="s">
        <v>40</v>
      </c>
      <c r="B791" s="395"/>
      <c r="C791" s="264" t="s">
        <v>442</v>
      </c>
      <c r="D791" s="599"/>
      <c r="E791" s="718"/>
      <c r="F791" s="389"/>
      <c r="G791" s="390"/>
    </row>
    <row r="792" spans="1:7" ht="18">
      <c r="A792" s="461"/>
      <c r="B792" s="180"/>
      <c r="C792" s="180"/>
      <c r="D792" s="181"/>
      <c r="E792" s="182">
        <f>SUM(E766:E784)</f>
        <v>27172730</v>
      </c>
      <c r="F792" s="180"/>
      <c r="G792" s="606">
        <f>SUM(G766:G784)</f>
        <v>1288136.5</v>
      </c>
    </row>
    <row r="796" spans="1:7">
      <c r="A796" s="994" t="s">
        <v>772</v>
      </c>
      <c r="B796" s="994"/>
      <c r="C796" s="994"/>
      <c r="D796" s="994"/>
      <c r="E796" s="994"/>
      <c r="F796" s="994"/>
      <c r="G796" s="994"/>
    </row>
    <row r="797" spans="1:7">
      <c r="A797" s="994"/>
      <c r="B797" s="995"/>
      <c r="C797" s="995"/>
      <c r="D797" s="994"/>
      <c r="E797" s="994"/>
      <c r="F797" s="994"/>
      <c r="G797" s="994"/>
    </row>
    <row r="798" spans="1:7">
      <c r="A798" s="184" t="s">
        <v>3</v>
      </c>
      <c r="B798" s="195" t="s">
        <v>709</v>
      </c>
      <c r="C798" s="184" t="s">
        <v>710</v>
      </c>
      <c r="D798" s="176" t="s">
        <v>711</v>
      </c>
      <c r="E798" s="197" t="s">
        <v>300</v>
      </c>
      <c r="F798" s="178" t="s">
        <v>7</v>
      </c>
      <c r="G798" s="537" t="s">
        <v>50</v>
      </c>
    </row>
    <row r="799" spans="1:7" ht="15.75">
      <c r="A799" s="260">
        <v>14296</v>
      </c>
      <c r="B799" s="231">
        <v>0.1</v>
      </c>
      <c r="C799" s="261" t="s">
        <v>204</v>
      </c>
      <c r="D799" s="230"/>
      <c r="E799" s="224">
        <v>1750000</v>
      </c>
      <c r="F799" s="250">
        <v>0.05</v>
      </c>
      <c r="G799" s="226">
        <f>E799*F799</f>
        <v>87500</v>
      </c>
    </row>
    <row r="800" spans="1:7" ht="15.75">
      <c r="A800" s="214">
        <v>14438</v>
      </c>
      <c r="B800" s="308">
        <v>0.1</v>
      </c>
      <c r="C800" s="272" t="s">
        <v>406</v>
      </c>
      <c r="D800" s="679"/>
      <c r="E800" s="216">
        <v>2050000</v>
      </c>
      <c r="F800" s="250">
        <v>0.05</v>
      </c>
      <c r="G800" s="226">
        <f>E800*F800</f>
        <v>102500</v>
      </c>
    </row>
    <row r="801" spans="1:7" ht="15.75">
      <c r="A801" s="676">
        <v>14474</v>
      </c>
      <c r="B801" s="677">
        <v>0.1</v>
      </c>
      <c r="C801" s="678" t="s">
        <v>407</v>
      </c>
      <c r="D801" s="679"/>
      <c r="E801" s="216">
        <v>1200000</v>
      </c>
      <c r="F801" s="250">
        <v>0.05</v>
      </c>
      <c r="G801" s="226">
        <f>E801*F801</f>
        <v>60000</v>
      </c>
    </row>
    <row r="802" spans="1:7" ht="15.75">
      <c r="A802" s="676">
        <v>14449</v>
      </c>
      <c r="B802" s="677">
        <v>0.1</v>
      </c>
      <c r="C802" s="678" t="s">
        <v>408</v>
      </c>
      <c r="D802" s="679"/>
      <c r="E802" s="679">
        <v>2100000</v>
      </c>
      <c r="F802" s="250">
        <v>0.05</v>
      </c>
      <c r="G802" s="226">
        <f>E802*F802</f>
        <v>105000</v>
      </c>
    </row>
    <row r="803" spans="1:7" ht="15.75">
      <c r="A803" s="214">
        <v>14525</v>
      </c>
      <c r="B803" s="308">
        <v>0.1</v>
      </c>
      <c r="C803" s="272" t="s">
        <v>412</v>
      </c>
      <c r="D803" s="679"/>
      <c r="E803" s="679">
        <v>2200000</v>
      </c>
      <c r="F803" s="250">
        <v>0.05</v>
      </c>
      <c r="G803" s="226">
        <f>E803*F803</f>
        <v>110000</v>
      </c>
    </row>
    <row r="804" spans="1:7" ht="15.75">
      <c r="A804" s="676">
        <v>14551</v>
      </c>
      <c r="B804" s="677">
        <v>0.1</v>
      </c>
      <c r="C804" s="678" t="s">
        <v>773</v>
      </c>
      <c r="D804" s="679"/>
      <c r="E804" s="679">
        <v>650000</v>
      </c>
      <c r="F804" s="225">
        <v>0.02</v>
      </c>
      <c r="G804" s="226">
        <f>E804*F804</f>
        <v>13000</v>
      </c>
    </row>
    <row r="805" spans="1:7" ht="15.75">
      <c r="A805" s="683">
        <v>14570</v>
      </c>
      <c r="B805" s="694">
        <v>0.08</v>
      </c>
      <c r="C805" s="682" t="s">
        <v>416</v>
      </c>
      <c r="D805" s="687"/>
      <c r="E805" s="687">
        <v>1800000</v>
      </c>
      <c r="F805" s="225">
        <v>0.04</v>
      </c>
      <c r="G805" s="226">
        <f>E805*F805</f>
        <v>72000</v>
      </c>
    </row>
    <row r="806" spans="1:7" ht="15.75">
      <c r="A806" s="680">
        <v>14469</v>
      </c>
      <c r="B806" s="681">
        <v>0.1</v>
      </c>
      <c r="C806" s="215" t="s">
        <v>424</v>
      </c>
      <c r="D806" s="224"/>
      <c r="E806" s="224">
        <v>2000000</v>
      </c>
      <c r="F806" s="250">
        <v>0.05</v>
      </c>
      <c r="G806" s="226">
        <f>E806*F806</f>
        <v>100000</v>
      </c>
    </row>
    <row r="807" spans="1:7" ht="15.75">
      <c r="A807" s="683">
        <v>14385</v>
      </c>
      <c r="B807" s="681">
        <v>0.1</v>
      </c>
      <c r="C807" s="215" t="s">
        <v>427</v>
      </c>
      <c r="D807" s="224"/>
      <c r="E807" s="224">
        <v>1400000</v>
      </c>
      <c r="F807" s="250">
        <v>0.05</v>
      </c>
      <c r="G807" s="226">
        <f>E807*F807</f>
        <v>70000</v>
      </c>
    </row>
    <row r="808" spans="1:7" ht="15.75">
      <c r="A808" s="676">
        <v>14411</v>
      </c>
      <c r="B808" s="677">
        <v>0.1</v>
      </c>
      <c r="C808" s="678" t="s">
        <v>150</v>
      </c>
      <c r="D808" s="224"/>
      <c r="E808" s="224">
        <v>1200000</v>
      </c>
      <c r="F808" s="247">
        <v>0.05</v>
      </c>
      <c r="G808" s="226">
        <f>E808*F808</f>
        <v>60000</v>
      </c>
    </row>
    <row r="809" spans="1:7" ht="15.75">
      <c r="A809" s="676">
        <v>14530</v>
      </c>
      <c r="B809" s="677">
        <v>0.1</v>
      </c>
      <c r="C809" s="682" t="s">
        <v>432</v>
      </c>
      <c r="D809" s="246"/>
      <c r="E809" s="246">
        <v>1800000</v>
      </c>
      <c r="F809" s="349">
        <v>0.02</v>
      </c>
      <c r="G809" s="226">
        <f>E809*F809</f>
        <v>36000</v>
      </c>
    </row>
    <row r="810" spans="1:7" ht="15.75">
      <c r="A810" s="676">
        <v>14543</v>
      </c>
      <c r="B810" s="677">
        <v>0.1</v>
      </c>
      <c r="C810" s="678" t="s">
        <v>433</v>
      </c>
      <c r="D810" s="224"/>
      <c r="E810" s="224">
        <v>1700000</v>
      </c>
      <c r="F810" s="247">
        <v>0.05</v>
      </c>
      <c r="G810" s="226">
        <f>E810*F810</f>
        <v>85000</v>
      </c>
    </row>
    <row r="811" spans="1:7" ht="17.25" customHeight="1">
      <c r="A811" s="685" t="s">
        <v>435</v>
      </c>
      <c r="B811" s="694">
        <v>0.08</v>
      </c>
      <c r="C811" s="678" t="s">
        <v>436</v>
      </c>
      <c r="D811" s="224"/>
      <c r="E811" s="224">
        <v>1750000</v>
      </c>
      <c r="F811" s="349">
        <v>0.04</v>
      </c>
      <c r="G811" s="226">
        <f>E811*F811</f>
        <v>70000</v>
      </c>
    </row>
    <row r="812" spans="1:7" ht="15.75">
      <c r="A812" s="293">
        <v>14404</v>
      </c>
      <c r="B812" s="681">
        <v>0.1</v>
      </c>
      <c r="C812" s="682" t="s">
        <v>444</v>
      </c>
      <c r="D812" s="246"/>
      <c r="E812" s="246">
        <v>1120000</v>
      </c>
      <c r="F812" s="247">
        <v>0.05</v>
      </c>
      <c r="G812" s="226">
        <f>E812*F812</f>
        <v>56000</v>
      </c>
    </row>
    <row r="813" spans="1:7" ht="15.75">
      <c r="A813" s="293">
        <v>14493</v>
      </c>
      <c r="B813" s="681">
        <v>0.1</v>
      </c>
      <c r="C813" s="682" t="s">
        <v>446</v>
      </c>
      <c r="D813" s="246"/>
      <c r="E813" s="246">
        <v>900000</v>
      </c>
      <c r="F813" s="247">
        <v>0.05</v>
      </c>
      <c r="G813" s="226">
        <f>E813*F813</f>
        <v>45000</v>
      </c>
    </row>
    <row r="814" spans="1:7" ht="15.75">
      <c r="A814" s="293">
        <v>14532</v>
      </c>
      <c r="B814" s="681">
        <v>0.1</v>
      </c>
      <c r="C814" s="682" t="s">
        <v>447</v>
      </c>
      <c r="D814" s="246"/>
      <c r="E814" s="246">
        <v>1300000</v>
      </c>
      <c r="F814" s="247">
        <v>0.05</v>
      </c>
      <c r="G814" s="226">
        <f>E814*F814</f>
        <v>65000</v>
      </c>
    </row>
    <row r="815" spans="1:7" ht="15.75">
      <c r="A815" s="683">
        <v>14587</v>
      </c>
      <c r="B815" s="684">
        <v>0.1</v>
      </c>
      <c r="C815" s="569" t="s">
        <v>450</v>
      </c>
      <c r="D815" s="246"/>
      <c r="E815" s="246">
        <v>1200000</v>
      </c>
      <c r="F815" s="247">
        <v>0.05</v>
      </c>
      <c r="G815" s="226">
        <f>E815*F815</f>
        <v>60000</v>
      </c>
    </row>
    <row r="816" spans="1:7" ht="15.75">
      <c r="A816" s="688">
        <v>14444</v>
      </c>
      <c r="B816" s="681">
        <v>0.1</v>
      </c>
      <c r="C816" s="678" t="s">
        <v>463</v>
      </c>
      <c r="D816" s="687"/>
      <c r="E816" s="687">
        <v>1150000</v>
      </c>
      <c r="F816" s="247">
        <v>0.05</v>
      </c>
      <c r="G816" s="226">
        <f>E816*F816</f>
        <v>57500</v>
      </c>
    </row>
    <row r="817" spans="1:7" ht="15.75">
      <c r="A817" s="322" t="s">
        <v>40</v>
      </c>
      <c r="B817" s="717"/>
      <c r="C817" s="336" t="s">
        <v>418</v>
      </c>
      <c r="D817" s="718"/>
      <c r="E817" s="718"/>
      <c r="F817" s="389"/>
      <c r="G817" s="206"/>
    </row>
    <row r="818" spans="1:7" ht="15.75">
      <c r="A818" s="663" t="s">
        <v>40</v>
      </c>
      <c r="B818" s="717"/>
      <c r="C818" s="205" t="s">
        <v>388</v>
      </c>
      <c r="D818" s="718"/>
      <c r="E818" s="718"/>
      <c r="F818" s="389"/>
      <c r="G818" s="206"/>
    </row>
    <row r="819" spans="1:7" ht="15.75">
      <c r="A819" s="322" t="s">
        <v>40</v>
      </c>
      <c r="B819" s="717"/>
      <c r="C819" s="336" t="s">
        <v>419</v>
      </c>
      <c r="D819" s="718"/>
      <c r="E819" s="718"/>
      <c r="F819" s="389"/>
      <c r="G819" s="206"/>
    </row>
    <row r="820" spans="1:7" ht="15.75">
      <c r="A820" s="322" t="s">
        <v>420</v>
      </c>
      <c r="B820" s="717"/>
      <c r="C820" s="336" t="s">
        <v>421</v>
      </c>
      <c r="D820" s="718"/>
      <c r="E820" s="718"/>
      <c r="F820" s="389"/>
      <c r="G820" s="206"/>
    </row>
    <row r="821" spans="1:7" ht="15.75">
      <c r="A821" s="204" t="s">
        <v>40</v>
      </c>
      <c r="B821" s="717"/>
      <c r="C821" s="205" t="s">
        <v>422</v>
      </c>
      <c r="D821" s="718"/>
      <c r="E821" s="718"/>
      <c r="F821" s="389"/>
      <c r="G821" s="206"/>
    </row>
    <row r="822" spans="1:7" ht="15.75">
      <c r="A822" s="204" t="s">
        <v>40</v>
      </c>
      <c r="B822" s="717"/>
      <c r="C822" s="264" t="s">
        <v>774</v>
      </c>
      <c r="D822" s="718"/>
      <c r="E822" s="718"/>
      <c r="F822" s="389"/>
      <c r="G822" s="206"/>
    </row>
    <row r="823" spans="1:7" ht="15.75">
      <c r="A823" s="204" t="s">
        <v>40</v>
      </c>
      <c r="B823" s="717"/>
      <c r="C823" s="336" t="s">
        <v>457</v>
      </c>
      <c r="D823" s="718"/>
      <c r="E823" s="718"/>
      <c r="F823" s="389"/>
      <c r="G823" s="206"/>
    </row>
    <row r="824" spans="1:7" ht="18">
      <c r="A824" s="190"/>
      <c r="B824" s="190"/>
      <c r="C824" s="190"/>
      <c r="D824" s="189"/>
      <c r="E824" s="200">
        <f>SUM(E799:E816)</f>
        <v>27270000</v>
      </c>
      <c r="F824" s="201"/>
      <c r="G824" s="192">
        <f>SUM(G799:G816)</f>
        <v>1254500</v>
      </c>
    </row>
    <row r="827" spans="1:7">
      <c r="A827" s="994" t="s">
        <v>775</v>
      </c>
      <c r="B827" s="994"/>
      <c r="C827" s="994"/>
      <c r="D827" s="994"/>
      <c r="E827" s="994"/>
      <c r="F827" s="994"/>
      <c r="G827" s="994"/>
    </row>
    <row r="828" spans="1:7">
      <c r="A828" s="994"/>
      <c r="B828" s="995"/>
      <c r="C828" s="995"/>
      <c r="D828" s="994"/>
      <c r="E828" s="994"/>
      <c r="F828" s="994"/>
      <c r="G828" s="994"/>
    </row>
    <row r="829" spans="1:7">
      <c r="A829" s="184" t="s">
        <v>3</v>
      </c>
      <c r="B829" s="195" t="s">
        <v>709</v>
      </c>
      <c r="C829" s="184" t="s">
        <v>710</v>
      </c>
      <c r="D829" s="176" t="s">
        <v>711</v>
      </c>
      <c r="E829" s="197" t="s">
        <v>300</v>
      </c>
      <c r="F829" s="178" t="s">
        <v>7</v>
      </c>
      <c r="G829" s="537" t="s">
        <v>50</v>
      </c>
    </row>
    <row r="830" spans="1:7" ht="15.75">
      <c r="A830" s="683">
        <v>14569</v>
      </c>
      <c r="B830" s="677">
        <v>0.1</v>
      </c>
      <c r="C830" s="682" t="s">
        <v>776</v>
      </c>
      <c r="D830" s="687"/>
      <c r="E830" s="687">
        <v>1050000</v>
      </c>
      <c r="F830" s="250">
        <v>0.02</v>
      </c>
      <c r="G830" s="226">
        <f>E830*F830</f>
        <v>21000</v>
      </c>
    </row>
    <row r="831" spans="1:7" ht="15.75">
      <c r="A831" s="683">
        <v>14593</v>
      </c>
      <c r="B831" s="677">
        <v>0.1</v>
      </c>
      <c r="C831" s="682" t="s">
        <v>417</v>
      </c>
      <c r="D831" s="687"/>
      <c r="E831" s="687">
        <v>1400000</v>
      </c>
      <c r="F831" s="250">
        <v>0.02</v>
      </c>
      <c r="G831" s="226">
        <f>E831*F831</f>
        <v>28000</v>
      </c>
    </row>
    <row r="832" spans="1:7" ht="15.75">
      <c r="A832" s="676">
        <v>14589</v>
      </c>
      <c r="B832" s="677">
        <v>0.1</v>
      </c>
      <c r="C832" s="678" t="s">
        <v>434</v>
      </c>
      <c r="D832" s="224"/>
      <c r="E832" s="224">
        <v>1800000</v>
      </c>
      <c r="F832" s="250">
        <v>0.02</v>
      </c>
      <c r="G832" s="226">
        <f>E832*F832</f>
        <v>36000</v>
      </c>
    </row>
    <row r="833" spans="1:7" ht="18">
      <c r="A833" s="689"/>
      <c r="B833" s="690"/>
      <c r="C833" s="691"/>
      <c r="D833" s="692"/>
      <c r="E833" s="693">
        <f>SUM(E830:E832)</f>
        <v>4250000</v>
      </c>
      <c r="F833" s="666"/>
      <c r="G833" s="695">
        <f>SUM(G830:G832)</f>
        <v>85000</v>
      </c>
    </row>
    <row r="837" spans="1:7">
      <c r="A837" s="994" t="s">
        <v>777</v>
      </c>
      <c r="B837" s="994"/>
      <c r="C837" s="994"/>
      <c r="D837" s="994"/>
      <c r="E837" s="994"/>
      <c r="F837" s="994"/>
      <c r="G837" s="994"/>
    </row>
    <row r="838" spans="1:7">
      <c r="A838" s="994"/>
      <c r="B838" s="995"/>
      <c r="C838" s="995"/>
      <c r="D838" s="994"/>
      <c r="E838" s="994"/>
      <c r="F838" s="994"/>
      <c r="G838" s="994"/>
    </row>
    <row r="839" spans="1:7">
      <c r="A839" s="184" t="s">
        <v>3</v>
      </c>
      <c r="B839" s="195" t="s">
        <v>709</v>
      </c>
      <c r="C839" s="184" t="s">
        <v>710</v>
      </c>
      <c r="D839" s="176" t="s">
        <v>711</v>
      </c>
      <c r="E839" s="197" t="s">
        <v>300</v>
      </c>
      <c r="F839" s="178" t="s">
        <v>7</v>
      </c>
      <c r="G839" s="537" t="s">
        <v>50</v>
      </c>
    </row>
    <row r="840" spans="1:7" ht="15.75">
      <c r="A840" s="676">
        <v>14490</v>
      </c>
      <c r="B840" s="677">
        <v>0.1</v>
      </c>
      <c r="C840" s="678" t="s">
        <v>409</v>
      </c>
      <c r="D840" s="679"/>
      <c r="E840" s="679">
        <v>1350000</v>
      </c>
      <c r="F840" s="250"/>
      <c r="G840" s="226"/>
    </row>
    <row r="841" spans="1:7" ht="15.75">
      <c r="A841" s="676">
        <v>14504</v>
      </c>
      <c r="B841" s="677">
        <v>0.1</v>
      </c>
      <c r="C841" s="682" t="s">
        <v>430</v>
      </c>
      <c r="D841" s="246"/>
      <c r="E841" s="246">
        <v>1600000</v>
      </c>
      <c r="F841" s="225"/>
      <c r="G841" s="226"/>
    </row>
    <row r="842" spans="1:7" ht="15.75">
      <c r="A842" s="293">
        <v>14533</v>
      </c>
      <c r="B842" s="681">
        <v>0.1</v>
      </c>
      <c r="C842" s="682" t="s">
        <v>448</v>
      </c>
      <c r="D842" s="246"/>
      <c r="E842" s="246">
        <v>1100000</v>
      </c>
      <c r="F842" s="250"/>
      <c r="G842" s="226"/>
    </row>
    <row r="843" spans="1:7" ht="15.75">
      <c r="A843" s="676">
        <v>14527</v>
      </c>
      <c r="B843" s="250">
        <v>0.1</v>
      </c>
      <c r="C843" s="215" t="s">
        <v>466</v>
      </c>
      <c r="D843" s="687"/>
      <c r="E843" s="687">
        <v>1600000</v>
      </c>
      <c r="F843" s="250"/>
      <c r="G843" s="226"/>
    </row>
    <row r="844" spans="1:7" ht="15.75">
      <c r="A844" s="676"/>
      <c r="B844" s="681">
        <v>0.1</v>
      </c>
      <c r="C844" s="678" t="s">
        <v>456</v>
      </c>
      <c r="D844" s="687"/>
      <c r="E844" s="687">
        <v>800000</v>
      </c>
      <c r="F844" s="250"/>
      <c r="G844" s="226"/>
    </row>
    <row r="845" spans="1:7" ht="18">
      <c r="A845" s="689"/>
      <c r="B845" s="690"/>
      <c r="C845" s="691"/>
      <c r="D845" s="710" t="s">
        <v>778</v>
      </c>
      <c r="E845" s="693">
        <f>SUM(E840:E844)</f>
        <v>6450000</v>
      </c>
      <c r="F845" s="666"/>
      <c r="G845" s="664"/>
    </row>
    <row r="848" spans="1:7">
      <c r="A848" s="996" t="s">
        <v>779</v>
      </c>
      <c r="B848" s="997"/>
      <c r="C848" s="997"/>
      <c r="D848" s="997"/>
      <c r="E848" s="997"/>
      <c r="F848" s="997"/>
      <c r="G848" s="998"/>
    </row>
    <row r="849" spans="1:7">
      <c r="A849" s="999"/>
      <c r="B849" s="1000"/>
      <c r="C849" s="1000"/>
      <c r="D849" s="1000"/>
      <c r="E849" s="1000"/>
      <c r="F849" s="1000"/>
      <c r="G849" s="1001"/>
    </row>
    <row r="850" spans="1:7">
      <c r="A850" s="493" t="s">
        <v>3</v>
      </c>
      <c r="B850" s="175" t="s">
        <v>709</v>
      </c>
      <c r="C850" s="493" t="s">
        <v>710</v>
      </c>
      <c r="D850" s="176" t="s">
        <v>711</v>
      </c>
      <c r="E850" s="177" t="s">
        <v>300</v>
      </c>
      <c r="F850" s="178" t="s">
        <v>7</v>
      </c>
      <c r="G850" s="179" t="s">
        <v>50</v>
      </c>
    </row>
    <row r="851" spans="1:7" ht="15.75">
      <c r="A851" s="676">
        <v>14392</v>
      </c>
      <c r="B851" s="677">
        <v>0.1</v>
      </c>
      <c r="C851" s="678" t="s">
        <v>402</v>
      </c>
      <c r="D851" s="224"/>
      <c r="E851" s="679">
        <v>2000000</v>
      </c>
      <c r="F851" s="379">
        <v>0.03</v>
      </c>
      <c r="G851" s="590">
        <f>E851*F851</f>
        <v>60000</v>
      </c>
    </row>
    <row r="852" spans="1:7" ht="15.75">
      <c r="A852" s="676">
        <v>14435</v>
      </c>
      <c r="B852" s="677">
        <v>0.1</v>
      </c>
      <c r="C852" s="678" t="s">
        <v>404</v>
      </c>
      <c r="D852" s="415"/>
      <c r="E852" s="679">
        <v>1200000</v>
      </c>
      <c r="F852" s="379">
        <v>0.02</v>
      </c>
      <c r="G852" s="590">
        <f t="shared" ref="G852:G895" si="26">E852*F852</f>
        <v>24000</v>
      </c>
    </row>
    <row r="853" spans="1:7" ht="15.75">
      <c r="A853" s="676">
        <v>14516</v>
      </c>
      <c r="B853" s="677">
        <v>0.1</v>
      </c>
      <c r="C853" s="678" t="s">
        <v>411</v>
      </c>
      <c r="D853" s="224"/>
      <c r="E853" s="679">
        <v>1800000</v>
      </c>
      <c r="F853" s="379">
        <v>0.03</v>
      </c>
      <c r="G853" s="590">
        <f t="shared" si="26"/>
        <v>54000</v>
      </c>
    </row>
    <row r="854" spans="1:7" ht="15.75">
      <c r="A854" s="676">
        <v>14572</v>
      </c>
      <c r="B854" s="677">
        <v>0.1</v>
      </c>
      <c r="C854" s="678" t="s">
        <v>255</v>
      </c>
      <c r="D854" s="224"/>
      <c r="E854" s="679">
        <v>1300000</v>
      </c>
      <c r="F854" s="379">
        <v>0.03</v>
      </c>
      <c r="G854" s="590">
        <f t="shared" si="26"/>
        <v>39000</v>
      </c>
    </row>
    <row r="855" spans="1:7" ht="15.75">
      <c r="A855" s="683">
        <v>14373</v>
      </c>
      <c r="B855" s="681">
        <v>0.1</v>
      </c>
      <c r="C855" s="215" t="s">
        <v>426</v>
      </c>
      <c r="D855" s="224"/>
      <c r="E855" s="224">
        <v>800000</v>
      </c>
      <c r="F855" s="379">
        <v>0.03</v>
      </c>
      <c r="G855" s="590">
        <f t="shared" si="26"/>
        <v>24000</v>
      </c>
    </row>
    <row r="856" spans="1:7" ht="15.75">
      <c r="A856" s="676">
        <v>14418</v>
      </c>
      <c r="B856" s="694">
        <v>0.08</v>
      </c>
      <c r="C856" s="678" t="s">
        <v>428</v>
      </c>
      <c r="D856" s="224"/>
      <c r="E856" s="224">
        <v>1650000</v>
      </c>
      <c r="F856" s="380">
        <v>0.02</v>
      </c>
      <c r="G856" s="590">
        <f t="shared" si="26"/>
        <v>33000</v>
      </c>
    </row>
    <row r="857" spans="1:7" ht="15.75">
      <c r="A857" s="676">
        <v>14506</v>
      </c>
      <c r="B857" s="719">
        <v>0.08</v>
      </c>
      <c r="C857" s="682" t="s">
        <v>429</v>
      </c>
      <c r="D857" s="224"/>
      <c r="E857" s="246">
        <v>1800000</v>
      </c>
      <c r="F857" s="380">
        <v>0.02</v>
      </c>
      <c r="G857" s="590">
        <f t="shared" si="26"/>
        <v>36000</v>
      </c>
    </row>
    <row r="858" spans="1:7" ht="15.75">
      <c r="A858" s="676">
        <v>14509</v>
      </c>
      <c r="B858" s="677">
        <v>0.1</v>
      </c>
      <c r="C858" s="682" t="s">
        <v>431</v>
      </c>
      <c r="D858" s="224"/>
      <c r="E858" s="246">
        <v>1600000</v>
      </c>
      <c r="F858" s="379">
        <v>0.03</v>
      </c>
      <c r="G858" s="590">
        <f t="shared" si="26"/>
        <v>48000</v>
      </c>
    </row>
    <row r="859" spans="1:7" ht="15.75">
      <c r="A859" s="676">
        <v>14542</v>
      </c>
      <c r="B859" s="677">
        <v>0.1</v>
      </c>
      <c r="C859" s="682" t="s">
        <v>405</v>
      </c>
      <c r="D859" s="224"/>
      <c r="E859" s="246">
        <v>2100000</v>
      </c>
      <c r="F859" s="379">
        <v>0.03</v>
      </c>
      <c r="G859" s="590">
        <f t="shared" si="26"/>
        <v>63000</v>
      </c>
    </row>
    <row r="860" spans="1:7" ht="15.75">
      <c r="A860" s="341">
        <v>14349</v>
      </c>
      <c r="B860" s="677">
        <v>0.1</v>
      </c>
      <c r="C860" s="678" t="s">
        <v>441</v>
      </c>
      <c r="D860" s="224"/>
      <c r="E860" s="679">
        <v>1900000</v>
      </c>
      <c r="F860" s="379">
        <v>0.03</v>
      </c>
      <c r="G860" s="590">
        <f t="shared" si="26"/>
        <v>57000</v>
      </c>
    </row>
    <row r="861" spans="1:7" ht="15.75">
      <c r="A861" s="293">
        <v>14399</v>
      </c>
      <c r="B861" s="681">
        <v>0.1</v>
      </c>
      <c r="C861" s="682" t="s">
        <v>443</v>
      </c>
      <c r="D861" s="224"/>
      <c r="E861" s="246">
        <v>1030000</v>
      </c>
      <c r="F861" s="379">
        <v>0.03</v>
      </c>
      <c r="G861" s="590">
        <f t="shared" si="26"/>
        <v>30900</v>
      </c>
    </row>
    <row r="862" spans="1:7" ht="15.75">
      <c r="A862" s="293">
        <v>14460</v>
      </c>
      <c r="B862" s="681">
        <v>0.1</v>
      </c>
      <c r="C862" s="682" t="s">
        <v>445</v>
      </c>
      <c r="D862" s="224"/>
      <c r="E862" s="246">
        <v>1100000</v>
      </c>
      <c r="F862" s="379">
        <v>0.03</v>
      </c>
      <c r="G862" s="590">
        <f t="shared" si="26"/>
        <v>33000</v>
      </c>
    </row>
    <row r="863" spans="1:7" ht="15.75">
      <c r="A863" s="293">
        <v>14556</v>
      </c>
      <c r="B863" s="681">
        <v>0.1</v>
      </c>
      <c r="C863" s="682" t="s">
        <v>449</v>
      </c>
      <c r="D863" s="224"/>
      <c r="E863" s="246">
        <v>750000</v>
      </c>
      <c r="F863" s="379">
        <v>0.03</v>
      </c>
      <c r="G863" s="590">
        <f t="shared" si="26"/>
        <v>22500</v>
      </c>
    </row>
    <row r="864" spans="1:7" ht="15.75">
      <c r="A864" s="676">
        <v>14573</v>
      </c>
      <c r="B864" s="684">
        <v>0.1</v>
      </c>
      <c r="C864" s="569" t="s">
        <v>451</v>
      </c>
      <c r="D864" s="224"/>
      <c r="E864" s="246">
        <v>850000</v>
      </c>
      <c r="F864" s="379">
        <v>0.03</v>
      </c>
      <c r="G864" s="590">
        <f t="shared" si="26"/>
        <v>25500</v>
      </c>
    </row>
    <row r="865" spans="1:7" ht="15.75" customHeight="1">
      <c r="A865" s="685" t="s">
        <v>453</v>
      </c>
      <c r="B865" s="684">
        <v>0.1</v>
      </c>
      <c r="C865" s="569" t="s">
        <v>454</v>
      </c>
      <c r="D865" s="224"/>
      <c r="E865" s="246">
        <v>950000</v>
      </c>
      <c r="F865" s="379">
        <v>0.03</v>
      </c>
      <c r="G865" s="590">
        <f t="shared" si="26"/>
        <v>28500</v>
      </c>
    </row>
    <row r="866" spans="1:7" ht="15.75">
      <c r="A866" s="676">
        <v>14585</v>
      </c>
      <c r="B866" s="684">
        <v>0.1</v>
      </c>
      <c r="C866" s="569" t="s">
        <v>455</v>
      </c>
      <c r="D866" s="246"/>
      <c r="E866" s="246">
        <v>1100000</v>
      </c>
      <c r="F866" s="379">
        <v>0.03</v>
      </c>
      <c r="G866" s="590">
        <f t="shared" si="26"/>
        <v>33000</v>
      </c>
    </row>
    <row r="867" spans="1:7" ht="15.75">
      <c r="A867" s="686">
        <v>14357</v>
      </c>
      <c r="B867" s="681">
        <v>0.1</v>
      </c>
      <c r="C867" s="678" t="s">
        <v>462</v>
      </c>
      <c r="D867" s="246"/>
      <c r="E867" s="687">
        <v>1742730</v>
      </c>
      <c r="F867" s="379">
        <v>0.03</v>
      </c>
      <c r="G867" s="590">
        <f t="shared" si="26"/>
        <v>52281.9</v>
      </c>
    </row>
    <row r="868" spans="1:7" ht="15.75">
      <c r="A868" s="676">
        <v>14439</v>
      </c>
      <c r="B868" s="250">
        <v>0.1</v>
      </c>
      <c r="C868" s="215" t="s">
        <v>464</v>
      </c>
      <c r="D868" s="246"/>
      <c r="E868" s="687">
        <v>1800000</v>
      </c>
      <c r="F868" s="379">
        <v>0.03</v>
      </c>
      <c r="G868" s="590">
        <f t="shared" si="26"/>
        <v>54000</v>
      </c>
    </row>
    <row r="869" spans="1:7" ht="15.75">
      <c r="A869" s="676">
        <v>14521</v>
      </c>
      <c r="B869" s="250">
        <v>0.1</v>
      </c>
      <c r="C869" s="215" t="s">
        <v>467</v>
      </c>
      <c r="D869" s="246"/>
      <c r="E869" s="687">
        <v>1700000</v>
      </c>
      <c r="F869" s="379">
        <v>0.03</v>
      </c>
      <c r="G869" s="590">
        <f t="shared" si="26"/>
        <v>51000</v>
      </c>
    </row>
    <row r="870" spans="1:7" ht="15.75">
      <c r="A870" s="683">
        <v>14296</v>
      </c>
      <c r="B870" s="681">
        <v>0.1</v>
      </c>
      <c r="C870" s="215" t="s">
        <v>204</v>
      </c>
      <c r="D870" s="224"/>
      <c r="E870" s="224">
        <v>1750000</v>
      </c>
      <c r="F870" s="379">
        <v>0.03</v>
      </c>
      <c r="G870" s="590">
        <f t="shared" si="26"/>
        <v>52500</v>
      </c>
    </row>
    <row r="871" spans="1:7" ht="15.75">
      <c r="A871" s="676">
        <v>14438</v>
      </c>
      <c r="B871" s="677">
        <v>0.1</v>
      </c>
      <c r="C871" s="678" t="s">
        <v>406</v>
      </c>
      <c r="D871" s="679"/>
      <c r="E871" s="679">
        <v>2050000</v>
      </c>
      <c r="F871" s="379">
        <v>0.03</v>
      </c>
      <c r="G871" s="590">
        <f t="shared" si="26"/>
        <v>61500</v>
      </c>
    </row>
    <row r="872" spans="1:7" ht="15.75">
      <c r="A872" s="676">
        <v>14474</v>
      </c>
      <c r="B872" s="677">
        <v>0.1</v>
      </c>
      <c r="C872" s="678" t="s">
        <v>407</v>
      </c>
      <c r="D872" s="679"/>
      <c r="E872" s="679">
        <v>1200000</v>
      </c>
      <c r="F872" s="379">
        <v>0.03</v>
      </c>
      <c r="G872" s="590">
        <f t="shared" si="26"/>
        <v>36000</v>
      </c>
    </row>
    <row r="873" spans="1:7" ht="15.75">
      <c r="A873" s="676">
        <v>14449</v>
      </c>
      <c r="B873" s="677">
        <v>0.1</v>
      </c>
      <c r="C873" s="678" t="s">
        <v>408</v>
      </c>
      <c r="D873" s="679"/>
      <c r="E873" s="679">
        <v>2100000</v>
      </c>
      <c r="F873" s="379">
        <v>0.03</v>
      </c>
      <c r="G873" s="590">
        <f t="shared" si="26"/>
        <v>63000</v>
      </c>
    </row>
    <row r="874" spans="1:7" ht="15.75">
      <c r="A874" s="676">
        <v>14525</v>
      </c>
      <c r="B874" s="677">
        <v>0.1</v>
      </c>
      <c r="C874" s="678" t="s">
        <v>412</v>
      </c>
      <c r="D874" s="679"/>
      <c r="E874" s="679">
        <v>2200000</v>
      </c>
      <c r="F874" s="379">
        <v>0.03</v>
      </c>
      <c r="G874" s="590">
        <f t="shared" si="26"/>
        <v>66000</v>
      </c>
    </row>
    <row r="875" spans="1:7" ht="15.75">
      <c r="A875" s="676">
        <v>14551</v>
      </c>
      <c r="B875" s="677">
        <v>0.1</v>
      </c>
      <c r="C875" s="678" t="s">
        <v>780</v>
      </c>
      <c r="D875" s="679"/>
      <c r="E875" s="679">
        <v>650000</v>
      </c>
      <c r="F875" s="379">
        <v>0.03</v>
      </c>
      <c r="G875" s="590">
        <f t="shared" si="26"/>
        <v>19500</v>
      </c>
    </row>
    <row r="876" spans="1:7" ht="15.75">
      <c r="A876" s="683">
        <v>14570</v>
      </c>
      <c r="B876" s="694">
        <v>0.08</v>
      </c>
      <c r="C876" s="682" t="s">
        <v>416</v>
      </c>
      <c r="D876" s="687"/>
      <c r="E876" s="687">
        <v>1800000</v>
      </c>
      <c r="F876" s="380">
        <v>0.02</v>
      </c>
      <c r="G876" s="590">
        <f t="shared" si="26"/>
        <v>36000</v>
      </c>
    </row>
    <row r="877" spans="1:7" ht="15.75">
      <c r="A877" s="680">
        <v>14469</v>
      </c>
      <c r="B877" s="681">
        <v>0.1</v>
      </c>
      <c r="C877" s="215" t="s">
        <v>424</v>
      </c>
      <c r="D877" s="224"/>
      <c r="E877" s="224">
        <v>2000000</v>
      </c>
      <c r="F877" s="379">
        <v>0.03</v>
      </c>
      <c r="G877" s="590">
        <f t="shared" si="26"/>
        <v>60000</v>
      </c>
    </row>
    <row r="878" spans="1:7" ht="15.75">
      <c r="A878" s="683">
        <v>14385</v>
      </c>
      <c r="B878" s="681">
        <v>0.1</v>
      </c>
      <c r="C878" s="215" t="s">
        <v>427</v>
      </c>
      <c r="D878" s="224"/>
      <c r="E878" s="224">
        <v>1400000</v>
      </c>
      <c r="F878" s="379">
        <v>0.03</v>
      </c>
      <c r="G878" s="590">
        <f t="shared" si="26"/>
        <v>42000</v>
      </c>
    </row>
    <row r="879" spans="1:7" ht="15.75">
      <c r="A879" s="676">
        <v>14411</v>
      </c>
      <c r="B879" s="677">
        <v>0.1</v>
      </c>
      <c r="C879" s="678" t="s">
        <v>150</v>
      </c>
      <c r="D879" s="224"/>
      <c r="E879" s="224">
        <v>1200000</v>
      </c>
      <c r="F879" s="379">
        <v>0.03</v>
      </c>
      <c r="G879" s="590">
        <f t="shared" si="26"/>
        <v>36000</v>
      </c>
    </row>
    <row r="880" spans="1:7" ht="15.75">
      <c r="A880" s="676">
        <v>14530</v>
      </c>
      <c r="B880" s="677">
        <v>0.1</v>
      </c>
      <c r="C880" s="682" t="s">
        <v>432</v>
      </c>
      <c r="D880" s="246"/>
      <c r="E880" s="246">
        <v>1800000</v>
      </c>
      <c r="F880" s="379">
        <v>0.03</v>
      </c>
      <c r="G880" s="590">
        <f t="shared" si="26"/>
        <v>54000</v>
      </c>
    </row>
    <row r="881" spans="1:10" ht="15.75">
      <c r="A881" s="676">
        <v>14543</v>
      </c>
      <c r="B881" s="677">
        <v>0.1</v>
      </c>
      <c r="C881" s="678" t="s">
        <v>433</v>
      </c>
      <c r="D881" s="224"/>
      <c r="E881" s="224">
        <v>1700000</v>
      </c>
      <c r="F881" s="379">
        <v>0.03</v>
      </c>
      <c r="G881" s="590">
        <f t="shared" si="26"/>
        <v>51000</v>
      </c>
    </row>
    <row r="882" spans="1:10" ht="17.25" customHeight="1">
      <c r="A882" s="685" t="s">
        <v>435</v>
      </c>
      <c r="B882" s="694">
        <v>0.08</v>
      </c>
      <c r="C882" s="678" t="s">
        <v>436</v>
      </c>
      <c r="D882" s="224"/>
      <c r="E882" s="224">
        <v>1750000</v>
      </c>
      <c r="F882" s="380">
        <v>0.02</v>
      </c>
      <c r="G882" s="590">
        <f t="shared" si="26"/>
        <v>35000</v>
      </c>
    </row>
    <row r="883" spans="1:10" ht="15.75">
      <c r="A883" s="293">
        <v>14404</v>
      </c>
      <c r="B883" s="681">
        <v>0.1</v>
      </c>
      <c r="C883" s="682" t="s">
        <v>444</v>
      </c>
      <c r="D883" s="246"/>
      <c r="E883" s="246">
        <v>1120000</v>
      </c>
      <c r="F883" s="379">
        <v>0.03</v>
      </c>
      <c r="G883" s="590">
        <f t="shared" si="26"/>
        <v>33600</v>
      </c>
    </row>
    <row r="884" spans="1:10" ht="15.75">
      <c r="A884" s="293">
        <v>14493</v>
      </c>
      <c r="B884" s="681">
        <v>0.1</v>
      </c>
      <c r="C884" s="682" t="s">
        <v>446</v>
      </c>
      <c r="D884" s="246"/>
      <c r="E884" s="246">
        <v>900000</v>
      </c>
      <c r="F884" s="379">
        <v>0.03</v>
      </c>
      <c r="G884" s="590">
        <f t="shared" si="26"/>
        <v>27000</v>
      </c>
    </row>
    <row r="885" spans="1:10" ht="15.75">
      <c r="A885" s="293">
        <v>14532</v>
      </c>
      <c r="B885" s="681">
        <v>0.1</v>
      </c>
      <c r="C885" s="682" t="s">
        <v>447</v>
      </c>
      <c r="D885" s="246"/>
      <c r="E885" s="246">
        <v>1300000</v>
      </c>
      <c r="F885" s="379">
        <v>0.03</v>
      </c>
      <c r="G885" s="590">
        <f t="shared" si="26"/>
        <v>39000</v>
      </c>
    </row>
    <row r="886" spans="1:10" ht="15.75">
      <c r="A886" s="683">
        <v>14587</v>
      </c>
      <c r="B886" s="684">
        <v>0.1</v>
      </c>
      <c r="C886" s="569" t="s">
        <v>450</v>
      </c>
      <c r="D886" s="246"/>
      <c r="E886" s="246">
        <v>1200000</v>
      </c>
      <c r="F886" s="379">
        <v>0.03</v>
      </c>
      <c r="G886" s="590">
        <f t="shared" si="26"/>
        <v>36000</v>
      </c>
    </row>
    <row r="887" spans="1:10" ht="15.75">
      <c r="A887" s="688">
        <v>14444</v>
      </c>
      <c r="B887" s="681">
        <v>0.1</v>
      </c>
      <c r="C887" s="678" t="s">
        <v>463</v>
      </c>
      <c r="D887" s="687"/>
      <c r="E887" s="687">
        <v>1150000</v>
      </c>
      <c r="F887" s="379">
        <v>0.03</v>
      </c>
      <c r="G887" s="590">
        <f t="shared" si="26"/>
        <v>34500</v>
      </c>
    </row>
    <row r="888" spans="1:10" ht="15.75">
      <c r="A888" s="683">
        <v>14569</v>
      </c>
      <c r="B888" s="677">
        <v>0.1</v>
      </c>
      <c r="C888" s="682" t="s">
        <v>776</v>
      </c>
      <c r="D888" s="687"/>
      <c r="E888" s="687">
        <v>1050000</v>
      </c>
      <c r="F888" s="379">
        <v>0.03</v>
      </c>
      <c r="G888" s="590">
        <f t="shared" si="26"/>
        <v>31500</v>
      </c>
    </row>
    <row r="889" spans="1:10" ht="15.75">
      <c r="A889" s="683">
        <v>14593</v>
      </c>
      <c r="B889" s="677">
        <v>0.1</v>
      </c>
      <c r="C889" s="682" t="s">
        <v>417</v>
      </c>
      <c r="D889" s="687"/>
      <c r="E889" s="687">
        <v>1400000</v>
      </c>
      <c r="F889" s="379">
        <v>0.03</v>
      </c>
      <c r="G889" s="590">
        <f t="shared" si="26"/>
        <v>42000</v>
      </c>
    </row>
    <row r="890" spans="1:10" ht="15.75">
      <c r="A890" s="676">
        <v>14589</v>
      </c>
      <c r="B890" s="677">
        <v>0.1</v>
      </c>
      <c r="C890" s="678" t="s">
        <v>434</v>
      </c>
      <c r="D890" s="224"/>
      <c r="E890" s="224">
        <v>1800000</v>
      </c>
      <c r="F890" s="379">
        <v>0.03</v>
      </c>
      <c r="G890" s="590">
        <f t="shared" si="26"/>
        <v>54000</v>
      </c>
    </row>
    <row r="891" spans="1:10" ht="15.75">
      <c r="A891" s="676">
        <v>14490</v>
      </c>
      <c r="B891" s="677">
        <v>0.1</v>
      </c>
      <c r="C891" s="678" t="s">
        <v>409</v>
      </c>
      <c r="D891" s="679"/>
      <c r="E891" s="679">
        <v>1350000</v>
      </c>
      <c r="F891" s="379">
        <v>0.03</v>
      </c>
      <c r="G891" s="590">
        <f t="shared" si="26"/>
        <v>40500</v>
      </c>
    </row>
    <row r="892" spans="1:10" ht="15.75">
      <c r="A892" s="676">
        <v>14504</v>
      </c>
      <c r="B892" s="677">
        <v>0.1</v>
      </c>
      <c r="C892" s="682" t="s">
        <v>430</v>
      </c>
      <c r="D892" s="246"/>
      <c r="E892" s="246">
        <v>1600000</v>
      </c>
      <c r="F892" s="379">
        <v>0.03</v>
      </c>
      <c r="G892" s="590">
        <f t="shared" si="26"/>
        <v>48000</v>
      </c>
    </row>
    <row r="893" spans="1:10" ht="15.75">
      <c r="A893" s="293">
        <v>14533</v>
      </c>
      <c r="B893" s="681">
        <v>0.1</v>
      </c>
      <c r="C893" s="682" t="s">
        <v>448</v>
      </c>
      <c r="D893" s="246"/>
      <c r="E893" s="246">
        <v>1100000</v>
      </c>
      <c r="F893" s="379">
        <v>0.03</v>
      </c>
      <c r="G893" s="590">
        <f t="shared" si="26"/>
        <v>33000</v>
      </c>
    </row>
    <row r="894" spans="1:10" ht="15.75">
      <c r="A894" s="676">
        <v>14527</v>
      </c>
      <c r="B894" s="250">
        <v>0.1</v>
      </c>
      <c r="C894" s="215" t="s">
        <v>466</v>
      </c>
      <c r="D894" s="687"/>
      <c r="E894" s="687">
        <v>1600000</v>
      </c>
      <c r="F894" s="379">
        <v>0.03</v>
      </c>
      <c r="G894" s="590">
        <f t="shared" si="26"/>
        <v>48000</v>
      </c>
    </row>
    <row r="895" spans="1:10" ht="15.75">
      <c r="A895" s="409">
        <v>14590</v>
      </c>
      <c r="B895" s="681">
        <v>0.1</v>
      </c>
      <c r="C895" s="678" t="s">
        <v>456</v>
      </c>
      <c r="D895" s="687"/>
      <c r="E895" s="687">
        <v>800000</v>
      </c>
      <c r="F895" s="379">
        <v>0.03</v>
      </c>
      <c r="G895" s="590">
        <f t="shared" si="26"/>
        <v>24000</v>
      </c>
    </row>
    <row r="896" spans="1:10" ht="15.75">
      <c r="A896" s="739">
        <v>14400</v>
      </c>
      <c r="B896" s="730">
        <v>0.1</v>
      </c>
      <c r="C896" s="720" t="s">
        <v>781</v>
      </c>
      <c r="D896" s="720"/>
      <c r="E896" s="721">
        <v>750000</v>
      </c>
      <c r="F896" s="723">
        <v>2.5000000000000001E-2</v>
      </c>
      <c r="G896" s="732">
        <v>18750</v>
      </c>
      <c r="H896" s="1013"/>
      <c r="I896" s="1014"/>
      <c r="J896" s="1014"/>
    </row>
    <row r="897" spans="1:7" ht="15.75">
      <c r="A897" s="739">
        <v>14524</v>
      </c>
      <c r="B897" s="730">
        <v>0.1</v>
      </c>
      <c r="C897" s="720" t="s">
        <v>782</v>
      </c>
      <c r="D897" s="720"/>
      <c r="E897" s="721">
        <v>900000</v>
      </c>
      <c r="F897" s="723">
        <v>2.5000000000000001E-2</v>
      </c>
      <c r="G897" s="732">
        <v>22500</v>
      </c>
    </row>
    <row r="898" spans="1:7" ht="15.75">
      <c r="A898" s="739">
        <v>14550</v>
      </c>
      <c r="B898" s="730">
        <v>0.1</v>
      </c>
      <c r="C898" s="720" t="s">
        <v>783</v>
      </c>
      <c r="D898" s="720"/>
      <c r="E898" s="721">
        <v>1200000</v>
      </c>
      <c r="F898" s="723">
        <v>2.5000000000000001E-2</v>
      </c>
      <c r="G898" s="732">
        <v>30000</v>
      </c>
    </row>
    <row r="899" spans="1:7" ht="15.75">
      <c r="A899" s="739">
        <v>14599</v>
      </c>
      <c r="B899" s="730">
        <v>0.1</v>
      </c>
      <c r="C899" s="720" t="s">
        <v>784</v>
      </c>
      <c r="D899" s="720"/>
      <c r="E899" s="721">
        <v>950000</v>
      </c>
      <c r="F899" s="723">
        <v>2.5000000000000001E-2</v>
      </c>
      <c r="G899" s="732">
        <v>23750</v>
      </c>
    </row>
    <row r="900" spans="1:7" ht="15.75">
      <c r="A900" s="739">
        <v>14578</v>
      </c>
      <c r="B900" s="731">
        <v>0.08</v>
      </c>
      <c r="C900" s="720" t="s">
        <v>785</v>
      </c>
      <c r="D900" s="720"/>
      <c r="E900" s="721">
        <v>1750000</v>
      </c>
      <c r="F900" s="724">
        <v>1.4999999999999999E-2</v>
      </c>
      <c r="G900" s="732">
        <v>26250</v>
      </c>
    </row>
    <row r="901" spans="1:7" ht="15.75">
      <c r="A901" s="739">
        <v>14374</v>
      </c>
      <c r="B901" s="731">
        <v>0.08</v>
      </c>
      <c r="C901" s="722" t="s">
        <v>786</v>
      </c>
      <c r="D901" s="720"/>
      <c r="E901" s="721">
        <v>1800000</v>
      </c>
      <c r="F901" s="724">
        <v>1.4999999999999999E-2</v>
      </c>
      <c r="G901" s="732">
        <v>27000</v>
      </c>
    </row>
    <row r="902" spans="1:7" ht="15.75">
      <c r="A902" s="739">
        <v>14372</v>
      </c>
      <c r="B902" s="730">
        <v>0.1</v>
      </c>
      <c r="C902" s="720" t="s">
        <v>787</v>
      </c>
      <c r="D902" s="720"/>
      <c r="E902" s="721">
        <v>1700000</v>
      </c>
      <c r="F902" s="723">
        <v>2.5000000000000001E-2</v>
      </c>
      <c r="G902" s="732">
        <v>42500</v>
      </c>
    </row>
    <row r="903" spans="1:7" ht="15.75">
      <c r="A903" s="740">
        <v>14416</v>
      </c>
      <c r="B903" s="730">
        <v>0.1</v>
      </c>
      <c r="C903" s="725" t="s">
        <v>788</v>
      </c>
      <c r="D903" s="725"/>
      <c r="E903" s="726">
        <v>1250000</v>
      </c>
      <c r="F903" s="723">
        <v>2.5000000000000001E-2</v>
      </c>
      <c r="G903" s="732">
        <v>31250</v>
      </c>
    </row>
    <row r="904" spans="1:7" ht="15.75">
      <c r="A904" s="739">
        <v>14526</v>
      </c>
      <c r="B904" s="731">
        <v>0.08</v>
      </c>
      <c r="C904" s="720" t="s">
        <v>789</v>
      </c>
      <c r="D904" s="720"/>
      <c r="E904" s="721">
        <v>1800000</v>
      </c>
      <c r="F904" s="724">
        <v>1.4999999999999999E-2</v>
      </c>
      <c r="G904" s="732">
        <v>27000</v>
      </c>
    </row>
    <row r="905" spans="1:7" ht="15.75">
      <c r="A905" s="739">
        <v>14574</v>
      </c>
      <c r="B905" s="730">
        <v>0.1</v>
      </c>
      <c r="C905" s="720" t="s">
        <v>790</v>
      </c>
      <c r="D905" s="720"/>
      <c r="E905" s="721">
        <v>1050000</v>
      </c>
      <c r="F905" s="723">
        <v>2.5000000000000001E-2</v>
      </c>
      <c r="G905" s="732">
        <v>26250</v>
      </c>
    </row>
    <row r="906" spans="1:7" ht="15.75">
      <c r="A906" s="739">
        <v>14396</v>
      </c>
      <c r="B906" s="730">
        <v>0.1</v>
      </c>
      <c r="C906" s="720" t="s">
        <v>791</v>
      </c>
      <c r="D906" s="727"/>
      <c r="E906" s="721">
        <v>1500000</v>
      </c>
      <c r="F906" s="723">
        <v>2.5000000000000001E-2</v>
      </c>
      <c r="G906" s="732">
        <v>37500</v>
      </c>
    </row>
    <row r="907" spans="1:7" ht="15.75">
      <c r="A907" s="739">
        <v>14459</v>
      </c>
      <c r="B907" s="730">
        <v>0.1</v>
      </c>
      <c r="C907" s="720" t="s">
        <v>792</v>
      </c>
      <c r="D907" s="727"/>
      <c r="E907" s="728">
        <v>1300000</v>
      </c>
      <c r="F907" s="723">
        <v>2.5000000000000001E-2</v>
      </c>
      <c r="G907" s="732">
        <v>32500</v>
      </c>
    </row>
    <row r="908" spans="1:7" ht="15.75">
      <c r="A908" s="739">
        <v>14398</v>
      </c>
      <c r="B908" s="730">
        <v>0.1</v>
      </c>
      <c r="C908" s="722" t="s">
        <v>793</v>
      </c>
      <c r="D908" s="727"/>
      <c r="E908" s="721">
        <v>1000000</v>
      </c>
      <c r="F908" s="723">
        <v>2.5000000000000001E-2</v>
      </c>
      <c r="G908" s="732">
        <v>25000</v>
      </c>
    </row>
    <row r="909" spans="1:7" ht="15.75">
      <c r="A909" s="739">
        <v>14428</v>
      </c>
      <c r="B909" s="730">
        <v>0.1</v>
      </c>
      <c r="C909" s="720" t="s">
        <v>794</v>
      </c>
      <c r="D909" s="727"/>
      <c r="E909" s="721">
        <v>1000000</v>
      </c>
      <c r="F909" s="723">
        <v>2.5000000000000001E-2</v>
      </c>
      <c r="G909" s="732">
        <v>25000</v>
      </c>
    </row>
    <row r="910" spans="1:7" ht="15.75">
      <c r="A910" s="739">
        <v>14446</v>
      </c>
      <c r="B910" s="730">
        <v>0.1</v>
      </c>
      <c r="C910" s="720" t="s">
        <v>795</v>
      </c>
      <c r="D910" s="727"/>
      <c r="E910" s="721">
        <v>2000000</v>
      </c>
      <c r="F910" s="723">
        <v>2.5000000000000001E-2</v>
      </c>
      <c r="G910" s="732">
        <v>50000</v>
      </c>
    </row>
    <row r="911" spans="1:7" ht="15.75">
      <c r="A911" s="739">
        <v>14453</v>
      </c>
      <c r="B911" s="730">
        <v>0.1</v>
      </c>
      <c r="C911" s="720" t="s">
        <v>796</v>
      </c>
      <c r="D911" s="727"/>
      <c r="E911" s="721">
        <v>1300000</v>
      </c>
      <c r="F911" s="723">
        <v>2.5000000000000001E-2</v>
      </c>
      <c r="G911" s="732">
        <v>32500</v>
      </c>
    </row>
    <row r="912" spans="1:7" ht="15.75">
      <c r="A912" s="739">
        <v>14494</v>
      </c>
      <c r="B912" s="730">
        <v>0.1</v>
      </c>
      <c r="C912" s="720" t="s">
        <v>797</v>
      </c>
      <c r="D912" s="727"/>
      <c r="E912" s="729">
        <v>1700000</v>
      </c>
      <c r="F912" s="723">
        <v>2.5000000000000001E-2</v>
      </c>
      <c r="G912" s="732">
        <v>42500</v>
      </c>
    </row>
    <row r="913" spans="1:10" ht="15.75">
      <c r="A913" s="741"/>
      <c r="B913" s="733">
        <v>0.08</v>
      </c>
      <c r="C913" s="722" t="s">
        <v>798</v>
      </c>
      <c r="D913" s="734"/>
      <c r="E913" s="735">
        <v>1800000</v>
      </c>
      <c r="F913" s="724">
        <v>1.4999999999999999E-2</v>
      </c>
      <c r="G913" s="736">
        <v>27000</v>
      </c>
    </row>
    <row r="914" spans="1:10" ht="18">
      <c r="A914" s="190"/>
      <c r="B914" s="190"/>
      <c r="C914" s="190"/>
      <c r="D914" s="190"/>
      <c r="E914" s="191">
        <f>SUM(E851:E913)</f>
        <v>89892730</v>
      </c>
      <c r="F914" s="190"/>
      <c r="G914" s="191">
        <f>SUM(G851:G913)</f>
        <v>2419531.9</v>
      </c>
      <c r="H914" s="1011" t="s">
        <v>799</v>
      </c>
      <c r="I914" s="1012"/>
      <c r="J914" s="1012"/>
    </row>
    <row r="918" spans="1:10">
      <c r="A918" s="1002" t="s">
        <v>471</v>
      </c>
      <c r="B918" s="1003"/>
      <c r="C918" s="1003"/>
      <c r="D918" s="1003"/>
      <c r="E918" s="1003"/>
      <c r="F918" s="1003"/>
      <c r="G918" s="1004"/>
    </row>
    <row r="919" spans="1:10">
      <c r="A919" s="1005"/>
      <c r="B919" s="1006"/>
      <c r="C919" s="1006"/>
      <c r="D919" s="1006"/>
      <c r="E919" s="1006"/>
      <c r="F919" s="1006"/>
      <c r="G919" s="1007"/>
    </row>
    <row r="920" spans="1:10">
      <c r="A920" s="1005"/>
      <c r="B920" s="1006"/>
      <c r="C920" s="1006"/>
      <c r="D920" s="1006"/>
      <c r="E920" s="1006"/>
      <c r="F920" s="1006"/>
      <c r="G920" s="1007"/>
    </row>
    <row r="921" spans="1:10">
      <c r="A921" s="1008"/>
      <c r="B921" s="1009"/>
      <c r="C921" s="1009"/>
      <c r="D921" s="1009"/>
      <c r="E921" s="1009"/>
      <c r="F921" s="1009"/>
      <c r="G921" s="1010"/>
    </row>
    <row r="923" spans="1:10">
      <c r="A923" s="994" t="s">
        <v>800</v>
      </c>
      <c r="B923" s="994"/>
      <c r="C923" s="994"/>
      <c r="D923" s="994"/>
      <c r="E923" s="994"/>
      <c r="F923" s="994"/>
      <c r="G923" s="994"/>
    </row>
    <row r="924" spans="1:10">
      <c r="A924" s="994"/>
      <c r="B924" s="994"/>
      <c r="C924" s="994"/>
      <c r="D924" s="994"/>
      <c r="E924" s="994"/>
      <c r="F924" s="994"/>
      <c r="G924" s="994"/>
    </row>
    <row r="925" spans="1:10">
      <c r="A925" s="493" t="s">
        <v>3</v>
      </c>
      <c r="B925" s="175" t="s">
        <v>709</v>
      </c>
      <c r="C925" s="493" t="s">
        <v>710</v>
      </c>
      <c r="D925" s="176" t="s">
        <v>711</v>
      </c>
      <c r="E925" s="177" t="s">
        <v>300</v>
      </c>
      <c r="F925" s="178" t="s">
        <v>7</v>
      </c>
      <c r="G925" s="179" t="s">
        <v>50</v>
      </c>
    </row>
    <row r="926" spans="1:10" ht="15.75">
      <c r="A926" s="341">
        <v>14851</v>
      </c>
      <c r="B926" s="308">
        <v>0.1</v>
      </c>
      <c r="C926" s="272" t="s">
        <v>479</v>
      </c>
      <c r="D926" s="216"/>
      <c r="E926" s="216">
        <v>1300000</v>
      </c>
      <c r="F926" s="247">
        <v>0.05</v>
      </c>
      <c r="G926" s="248">
        <f>E926*F926</f>
        <v>65000</v>
      </c>
    </row>
    <row r="927" spans="1:10" ht="15.75">
      <c r="A927" s="214">
        <v>14853</v>
      </c>
      <c r="B927" s="308">
        <v>0.1</v>
      </c>
      <c r="C927" s="241" t="s">
        <v>480</v>
      </c>
      <c r="D927" s="278"/>
      <c r="E927" s="278">
        <v>1750000</v>
      </c>
      <c r="F927" s="247">
        <v>0.05</v>
      </c>
      <c r="G927" s="248">
        <f t="shared" ref="G927:G942" si="27">E927*F927</f>
        <v>87500</v>
      </c>
    </row>
    <row r="928" spans="1:10" ht="15.75">
      <c r="A928" s="214">
        <v>14680</v>
      </c>
      <c r="B928" s="231">
        <v>0.1</v>
      </c>
      <c r="C928" s="241" t="s">
        <v>492</v>
      </c>
      <c r="D928" s="242"/>
      <c r="E928" s="242">
        <v>2200000</v>
      </c>
      <c r="F928" s="247">
        <v>0.05</v>
      </c>
      <c r="G928" s="248">
        <f t="shared" si="27"/>
        <v>110000</v>
      </c>
    </row>
    <row r="929" spans="1:7" ht="15.75">
      <c r="A929" s="214">
        <v>14726</v>
      </c>
      <c r="B929" s="231">
        <v>0.1</v>
      </c>
      <c r="C929" s="241" t="s">
        <v>493</v>
      </c>
      <c r="D929" s="242"/>
      <c r="E929" s="242">
        <v>2150000</v>
      </c>
      <c r="F929" s="247">
        <v>0.05</v>
      </c>
      <c r="G929" s="248">
        <f t="shared" si="27"/>
        <v>107500</v>
      </c>
    </row>
    <row r="930" spans="1:7" ht="15.75">
      <c r="A930" s="214">
        <v>14817</v>
      </c>
      <c r="B930" s="347">
        <v>0.08</v>
      </c>
      <c r="C930" s="241" t="s">
        <v>496</v>
      </c>
      <c r="D930" s="242"/>
      <c r="E930" s="242">
        <v>2200000</v>
      </c>
      <c r="F930" s="349">
        <v>0.02</v>
      </c>
      <c r="G930" s="248">
        <f t="shared" si="27"/>
        <v>44000</v>
      </c>
    </row>
    <row r="931" spans="1:7" ht="15.75">
      <c r="A931" s="293">
        <v>14635</v>
      </c>
      <c r="B931" s="347">
        <v>0.08</v>
      </c>
      <c r="C931" s="241" t="s">
        <v>518</v>
      </c>
      <c r="D931" s="242"/>
      <c r="E931" s="242">
        <v>1200000</v>
      </c>
      <c r="F931" s="349">
        <v>0.04</v>
      </c>
      <c r="G931" s="248">
        <f t="shared" si="27"/>
        <v>48000</v>
      </c>
    </row>
    <row r="932" spans="1:7" ht="15.75">
      <c r="A932" s="293">
        <v>14669</v>
      </c>
      <c r="B932" s="526">
        <v>0.08</v>
      </c>
      <c r="C932" s="241" t="s">
        <v>476</v>
      </c>
      <c r="D932" s="242"/>
      <c r="E932" s="242">
        <v>1300000</v>
      </c>
      <c r="F932" s="349">
        <v>0.04</v>
      </c>
      <c r="G932" s="248">
        <f t="shared" si="27"/>
        <v>52000</v>
      </c>
    </row>
    <row r="933" spans="1:7" ht="15.75">
      <c r="A933" s="293">
        <v>14725</v>
      </c>
      <c r="B933" s="308">
        <v>0.1</v>
      </c>
      <c r="C933" s="241" t="s">
        <v>521</v>
      </c>
      <c r="D933" s="242"/>
      <c r="E933" s="242">
        <v>1150000</v>
      </c>
      <c r="F933" s="247">
        <v>0.05</v>
      </c>
      <c r="G933" s="248">
        <f t="shared" si="27"/>
        <v>57500</v>
      </c>
    </row>
    <row r="934" spans="1:7" ht="15.75">
      <c r="A934" s="341">
        <v>14837</v>
      </c>
      <c r="B934" s="719">
        <v>0.08</v>
      </c>
      <c r="C934" s="344" t="s">
        <v>528</v>
      </c>
      <c r="D934" s="278"/>
      <c r="E934" s="278">
        <v>1300000</v>
      </c>
      <c r="F934" s="349">
        <v>0.04</v>
      </c>
      <c r="G934" s="248">
        <f t="shared" si="27"/>
        <v>52000</v>
      </c>
    </row>
    <row r="935" spans="1:7" ht="15.75">
      <c r="A935" s="293">
        <v>14831</v>
      </c>
      <c r="B935" s="231">
        <v>0.1</v>
      </c>
      <c r="C935" s="241" t="s">
        <v>530</v>
      </c>
      <c r="D935" s="278"/>
      <c r="E935" s="278">
        <v>850000</v>
      </c>
      <c r="F935" s="247">
        <v>0.05</v>
      </c>
      <c r="G935" s="248">
        <f t="shared" si="27"/>
        <v>42500</v>
      </c>
    </row>
    <row r="936" spans="1:7" ht="15.75">
      <c r="A936" s="611">
        <v>14794</v>
      </c>
      <c r="B936" s="347">
        <v>0.08</v>
      </c>
      <c r="C936" s="272" t="s">
        <v>533</v>
      </c>
      <c r="D936" s="278"/>
      <c r="E936" s="278">
        <v>950000</v>
      </c>
      <c r="F936" s="349">
        <v>0.04</v>
      </c>
      <c r="G936" s="248">
        <f t="shared" si="27"/>
        <v>38000</v>
      </c>
    </row>
    <row r="937" spans="1:7" ht="15.75">
      <c r="A937" s="611">
        <v>14847</v>
      </c>
      <c r="B937" s="684">
        <v>0.1</v>
      </c>
      <c r="C937" s="272" t="s">
        <v>535</v>
      </c>
      <c r="D937" s="278"/>
      <c r="E937" s="278">
        <v>1374000</v>
      </c>
      <c r="F937" s="247">
        <v>0.05</v>
      </c>
      <c r="G937" s="248">
        <f t="shared" si="27"/>
        <v>68700</v>
      </c>
    </row>
    <row r="938" spans="1:7" ht="15.75">
      <c r="A938" s="739">
        <v>14747</v>
      </c>
      <c r="B938" s="783">
        <v>0.1</v>
      </c>
      <c r="C938" s="725" t="s">
        <v>801</v>
      </c>
      <c r="D938" s="784" t="s">
        <v>802</v>
      </c>
      <c r="E938" s="782">
        <v>1400000</v>
      </c>
      <c r="F938" s="349">
        <v>0.02</v>
      </c>
      <c r="G938" s="248">
        <f t="shared" si="27"/>
        <v>28000</v>
      </c>
    </row>
    <row r="939" spans="1:7" ht="15.75">
      <c r="A939" s="739">
        <v>14689</v>
      </c>
      <c r="B939" s="730">
        <v>0.1</v>
      </c>
      <c r="C939" s="722" t="s">
        <v>803</v>
      </c>
      <c r="D939" s="784" t="s">
        <v>802</v>
      </c>
      <c r="E939" s="728">
        <v>1300000</v>
      </c>
      <c r="F939" s="349">
        <v>0.02</v>
      </c>
      <c r="G939" s="248">
        <f t="shared" si="27"/>
        <v>26000</v>
      </c>
    </row>
    <row r="940" spans="1:7" ht="15.75">
      <c r="A940" s="739">
        <v>14730</v>
      </c>
      <c r="B940" s="730">
        <v>0.1</v>
      </c>
      <c r="C940" s="720" t="s">
        <v>804</v>
      </c>
      <c r="D940" s="784" t="s">
        <v>802</v>
      </c>
      <c r="E940" s="721">
        <v>3500000</v>
      </c>
      <c r="F940" s="247">
        <v>0.05</v>
      </c>
      <c r="G940" s="248">
        <f t="shared" si="27"/>
        <v>175000</v>
      </c>
    </row>
    <row r="941" spans="1:7" ht="15.75">
      <c r="A941" s="739">
        <v>14796</v>
      </c>
      <c r="B941" s="730">
        <v>0.1</v>
      </c>
      <c r="C941" s="720" t="s">
        <v>805</v>
      </c>
      <c r="D941" s="784" t="s">
        <v>802</v>
      </c>
      <c r="E941" s="721">
        <v>1050000</v>
      </c>
      <c r="F941" s="349">
        <v>0.02</v>
      </c>
      <c r="G941" s="248">
        <f t="shared" si="27"/>
        <v>21000</v>
      </c>
    </row>
    <row r="942" spans="1:7" ht="15.75">
      <c r="A942" s="739">
        <v>14801</v>
      </c>
      <c r="B942" s="730">
        <v>0.1</v>
      </c>
      <c r="C942" s="720" t="s">
        <v>806</v>
      </c>
      <c r="D942" s="784" t="s">
        <v>802</v>
      </c>
      <c r="E942" s="721">
        <v>1400000</v>
      </c>
      <c r="F942" s="247">
        <v>0.05</v>
      </c>
      <c r="G942" s="248">
        <f t="shared" si="27"/>
        <v>70000</v>
      </c>
    </row>
    <row r="943" spans="1:7" ht="18">
      <c r="A943" s="461"/>
      <c r="B943" s="461"/>
      <c r="C943" s="461"/>
      <c r="D943" s="181"/>
      <c r="E943" s="767">
        <f>SUM(E926:E942)</f>
        <v>26374000</v>
      </c>
      <c r="F943" s="180"/>
      <c r="G943" s="606">
        <f>SUM(G926:G942)</f>
        <v>1092700</v>
      </c>
    </row>
    <row r="947" spans="1:7">
      <c r="A947" s="994" t="s">
        <v>807</v>
      </c>
      <c r="B947" s="994"/>
      <c r="C947" s="994"/>
      <c r="D947" s="994"/>
      <c r="E947" s="994"/>
      <c r="F947" s="994"/>
      <c r="G947" s="994"/>
    </row>
    <row r="948" spans="1:7">
      <c r="A948" s="994"/>
      <c r="B948" s="995"/>
      <c r="C948" s="995"/>
      <c r="D948" s="994"/>
      <c r="E948" s="994"/>
      <c r="F948" s="994"/>
      <c r="G948" s="994"/>
    </row>
    <row r="949" spans="1:7">
      <c r="A949" s="184" t="s">
        <v>3</v>
      </c>
      <c r="B949" s="195" t="s">
        <v>709</v>
      </c>
      <c r="C949" s="184" t="s">
        <v>710</v>
      </c>
      <c r="D949" s="176" t="s">
        <v>711</v>
      </c>
      <c r="E949" s="197" t="s">
        <v>300</v>
      </c>
      <c r="F949" s="178" t="s">
        <v>7</v>
      </c>
      <c r="G949" s="537" t="s">
        <v>50</v>
      </c>
    </row>
    <row r="950" spans="1:7" ht="15.75">
      <c r="A950" s="260">
        <v>14640</v>
      </c>
      <c r="B950" s="308">
        <v>0.1</v>
      </c>
      <c r="C950" s="241" t="s">
        <v>472</v>
      </c>
      <c r="D950" s="230"/>
      <c r="E950" s="230">
        <v>1650000</v>
      </c>
      <c r="F950" s="250">
        <v>0.05</v>
      </c>
      <c r="G950" s="226">
        <f>E950*F950</f>
        <v>82500</v>
      </c>
    </row>
    <row r="951" spans="1:7" ht="15.75">
      <c r="A951" s="409">
        <v>14828</v>
      </c>
      <c r="B951" s="231">
        <v>0.1</v>
      </c>
      <c r="C951" s="241" t="s">
        <v>474</v>
      </c>
      <c r="D951" s="216"/>
      <c r="E951" s="216">
        <v>1500000</v>
      </c>
      <c r="F951" s="250">
        <v>0.05</v>
      </c>
      <c r="G951" s="226">
        <f t="shared" ref="G951:G965" si="28">E951*F951</f>
        <v>75000</v>
      </c>
    </row>
    <row r="952" spans="1:7" ht="15.75">
      <c r="A952" s="260">
        <v>14653</v>
      </c>
      <c r="B952" s="308">
        <v>0.1</v>
      </c>
      <c r="C952" s="261" t="s">
        <v>483</v>
      </c>
      <c r="D952" s="230"/>
      <c r="E952" s="230">
        <v>1900000</v>
      </c>
      <c r="F952" s="250">
        <v>0.05</v>
      </c>
      <c r="G952" s="226">
        <f t="shared" si="28"/>
        <v>95000</v>
      </c>
    </row>
    <row r="953" spans="1:7" ht="15.75">
      <c r="A953" s="214">
        <v>14663</v>
      </c>
      <c r="B953" s="308">
        <v>0.1</v>
      </c>
      <c r="C953" s="272" t="s">
        <v>488</v>
      </c>
      <c r="D953" s="230"/>
      <c r="E953" s="230">
        <v>1700000</v>
      </c>
      <c r="F953" s="250">
        <v>0.05</v>
      </c>
      <c r="G953" s="226">
        <f t="shared" si="28"/>
        <v>85000</v>
      </c>
    </row>
    <row r="954" spans="1:7" ht="15.75">
      <c r="A954" s="214">
        <v>14678</v>
      </c>
      <c r="B954" s="308">
        <v>0.1</v>
      </c>
      <c r="C954" s="272" t="s">
        <v>490</v>
      </c>
      <c r="D954" s="230"/>
      <c r="E954" s="230">
        <v>3500000</v>
      </c>
      <c r="F954" s="250">
        <v>0.05</v>
      </c>
      <c r="G954" s="226">
        <f t="shared" si="28"/>
        <v>175000</v>
      </c>
    </row>
    <row r="955" spans="1:7" ht="15.75">
      <c r="A955" s="214">
        <v>14789</v>
      </c>
      <c r="B955" s="308">
        <v>0.1</v>
      </c>
      <c r="C955" s="241" t="s">
        <v>495</v>
      </c>
      <c r="D955" s="242"/>
      <c r="E955" s="242">
        <v>1500000</v>
      </c>
      <c r="F955" s="250">
        <v>0.05</v>
      </c>
      <c r="G955" s="226">
        <f t="shared" si="28"/>
        <v>75000</v>
      </c>
    </row>
    <row r="956" spans="1:7" ht="15.75">
      <c r="A956" s="214">
        <v>14827</v>
      </c>
      <c r="B956" s="231">
        <v>0.1</v>
      </c>
      <c r="C956" s="241" t="s">
        <v>497</v>
      </c>
      <c r="D956" s="242"/>
      <c r="E956" s="242">
        <v>2200000</v>
      </c>
      <c r="F956" s="250">
        <v>0.05</v>
      </c>
      <c r="G956" s="226">
        <f t="shared" si="28"/>
        <v>110000</v>
      </c>
    </row>
    <row r="957" spans="1:7" ht="15.75">
      <c r="A957" s="545">
        <v>14778</v>
      </c>
      <c r="B957" s="231">
        <v>0.1</v>
      </c>
      <c r="C957" s="272" t="s">
        <v>504</v>
      </c>
      <c r="D957" s="216"/>
      <c r="E957" s="216">
        <v>800000</v>
      </c>
      <c r="F957" s="250">
        <v>0.05</v>
      </c>
      <c r="G957" s="226">
        <f t="shared" si="28"/>
        <v>40000</v>
      </c>
    </row>
    <row r="958" spans="1:7" ht="15.75">
      <c r="A958" s="293">
        <v>14613</v>
      </c>
      <c r="B958" s="340">
        <v>0.1</v>
      </c>
      <c r="C958" s="241" t="s">
        <v>516</v>
      </c>
      <c r="D958" s="242"/>
      <c r="E958" s="242">
        <v>1050000</v>
      </c>
      <c r="F958" s="250">
        <v>0.05</v>
      </c>
      <c r="G958" s="226">
        <f t="shared" si="28"/>
        <v>52500</v>
      </c>
    </row>
    <row r="959" spans="1:7" ht="15.75">
      <c r="A959" s="293">
        <v>14628</v>
      </c>
      <c r="B959" s="250">
        <v>0.1</v>
      </c>
      <c r="C959" s="776" t="s">
        <v>517</v>
      </c>
      <c r="D959" s="242"/>
      <c r="E959" s="242">
        <v>950000</v>
      </c>
      <c r="F959" s="250">
        <v>0.05</v>
      </c>
      <c r="G959" s="226">
        <f t="shared" si="28"/>
        <v>47500</v>
      </c>
    </row>
    <row r="960" spans="1:7" ht="15.75">
      <c r="A960" s="409">
        <v>14758</v>
      </c>
      <c r="B960" s="250">
        <v>0.1</v>
      </c>
      <c r="C960" s="756" t="s">
        <v>525</v>
      </c>
      <c r="D960" s="242"/>
      <c r="E960" s="242">
        <v>1100000</v>
      </c>
      <c r="F960" s="250">
        <v>0.05</v>
      </c>
      <c r="G960" s="226">
        <f t="shared" si="28"/>
        <v>55000</v>
      </c>
    </row>
    <row r="961" spans="1:7" ht="15.75">
      <c r="A961" s="410">
        <v>14824</v>
      </c>
      <c r="B961" s="379">
        <v>0.1</v>
      </c>
      <c r="C961" s="775" t="s">
        <v>526</v>
      </c>
      <c r="D961" s="242"/>
      <c r="E961" s="242">
        <v>1200000</v>
      </c>
      <c r="F961" s="250">
        <v>0.05</v>
      </c>
      <c r="G961" s="226">
        <f t="shared" si="28"/>
        <v>60000</v>
      </c>
    </row>
    <row r="962" spans="1:7" ht="15.75">
      <c r="A962" s="293">
        <v>14832</v>
      </c>
      <c r="B962" s="681">
        <v>0.1</v>
      </c>
      <c r="C962" s="344" t="s">
        <v>527</v>
      </c>
      <c r="D962" s="278"/>
      <c r="E962" s="242">
        <v>900000</v>
      </c>
      <c r="F962" s="250">
        <v>0.05</v>
      </c>
      <c r="G962" s="226">
        <f t="shared" si="28"/>
        <v>45000</v>
      </c>
    </row>
    <row r="963" spans="1:7" ht="15.75">
      <c r="A963" s="409">
        <v>14839</v>
      </c>
      <c r="B963" s="250">
        <v>0.1</v>
      </c>
      <c r="C963" s="344" t="s">
        <v>529</v>
      </c>
      <c r="D963" s="278"/>
      <c r="E963" s="278">
        <v>1000000</v>
      </c>
      <c r="F963" s="250">
        <v>0.05</v>
      </c>
      <c r="G963" s="226">
        <f t="shared" si="28"/>
        <v>50000</v>
      </c>
    </row>
    <row r="964" spans="1:7" ht="15.75">
      <c r="A964" s="688">
        <v>14854</v>
      </c>
      <c r="B964" s="684">
        <v>0.1</v>
      </c>
      <c r="C964" s="241" t="s">
        <v>473</v>
      </c>
      <c r="D964" s="242"/>
      <c r="E964" s="242">
        <v>2000000</v>
      </c>
      <c r="F964" s="250">
        <v>0.05</v>
      </c>
      <c r="G964" s="226">
        <f t="shared" si="28"/>
        <v>100000</v>
      </c>
    </row>
    <row r="965" spans="1:7" ht="15.75">
      <c r="A965" s="739">
        <v>14752</v>
      </c>
      <c r="B965" s="730">
        <v>0.1</v>
      </c>
      <c r="C965" s="720" t="s">
        <v>808</v>
      </c>
      <c r="D965" s="739" t="s">
        <v>802</v>
      </c>
      <c r="E965" s="721">
        <v>1400000</v>
      </c>
      <c r="F965" s="250">
        <v>0.05</v>
      </c>
      <c r="G965" s="226">
        <f t="shared" si="28"/>
        <v>70000</v>
      </c>
    </row>
    <row r="966" spans="1:7" ht="18">
      <c r="A966" s="190"/>
      <c r="B966" s="190"/>
      <c r="C966" s="190"/>
      <c r="D966" s="189"/>
      <c r="E966" s="200">
        <f>SUM(E950:E965)</f>
        <v>24350000</v>
      </c>
      <c r="F966" s="201"/>
      <c r="G966" s="192">
        <f>SUM(G950:G965)</f>
        <v>1217500</v>
      </c>
    </row>
    <row r="969" spans="1:7">
      <c r="A969" s="994" t="s">
        <v>809</v>
      </c>
      <c r="B969" s="994"/>
      <c r="C969" s="994"/>
      <c r="D969" s="994"/>
      <c r="E969" s="994"/>
      <c r="F969" s="994"/>
      <c r="G969" s="994"/>
    </row>
    <row r="970" spans="1:7">
      <c r="A970" s="994"/>
      <c r="B970" s="995"/>
      <c r="C970" s="995"/>
      <c r="D970" s="994"/>
      <c r="E970" s="994"/>
      <c r="F970" s="994"/>
      <c r="G970" s="994"/>
    </row>
    <row r="971" spans="1:7">
      <c r="A971" s="184" t="s">
        <v>3</v>
      </c>
      <c r="B971" s="195" t="s">
        <v>709</v>
      </c>
      <c r="C971" s="184" t="s">
        <v>710</v>
      </c>
      <c r="D971" s="176" t="s">
        <v>711</v>
      </c>
      <c r="E971" s="197" t="s">
        <v>300</v>
      </c>
      <c r="F971" s="178" t="s">
        <v>7</v>
      </c>
      <c r="G971" s="537" t="s">
        <v>50</v>
      </c>
    </row>
    <row r="972" spans="1:7" ht="15.75">
      <c r="A972" s="214">
        <v>14676</v>
      </c>
      <c r="B972" s="308">
        <v>0.1</v>
      </c>
      <c r="C972" s="272" t="s">
        <v>481</v>
      </c>
      <c r="D972" s="230"/>
      <c r="E972" s="230">
        <v>1700000</v>
      </c>
      <c r="F972" s="250">
        <v>0.05</v>
      </c>
      <c r="G972" s="226">
        <f>E972*F972</f>
        <v>85000</v>
      </c>
    </row>
    <row r="973" spans="1:7" ht="15.75">
      <c r="A973" s="214">
        <v>14634</v>
      </c>
      <c r="B973" s="308">
        <v>0.1</v>
      </c>
      <c r="C973" s="272" t="s">
        <v>486</v>
      </c>
      <c r="D973" s="230"/>
      <c r="E973" s="230">
        <v>1050000</v>
      </c>
      <c r="F973" s="250">
        <v>0.05</v>
      </c>
      <c r="G973" s="226">
        <f t="shared" ref="G973:G991" si="29">E973*F973</f>
        <v>52500</v>
      </c>
    </row>
    <row r="974" spans="1:7" ht="15.75">
      <c r="A974" s="214">
        <v>14822</v>
      </c>
      <c r="B974" s="308">
        <v>0.1</v>
      </c>
      <c r="C974" s="241" t="s">
        <v>494</v>
      </c>
      <c r="D974" s="242"/>
      <c r="E974" s="242">
        <v>1532000</v>
      </c>
      <c r="F974" s="250">
        <v>0.05</v>
      </c>
      <c r="G974" s="226">
        <f t="shared" si="29"/>
        <v>76600</v>
      </c>
    </row>
    <row r="975" spans="1:7" ht="15.75">
      <c r="A975" s="545">
        <v>14834</v>
      </c>
      <c r="B975" s="308">
        <v>0.1</v>
      </c>
      <c r="C975" s="272" t="s">
        <v>506</v>
      </c>
      <c r="D975" s="216"/>
      <c r="E975" s="216">
        <v>1200000</v>
      </c>
      <c r="F975" s="250">
        <v>0.05</v>
      </c>
      <c r="G975" s="226">
        <f t="shared" si="29"/>
        <v>60000</v>
      </c>
    </row>
    <row r="976" spans="1:7" ht="16.5" customHeight="1">
      <c r="A976" s="240">
        <v>14746</v>
      </c>
      <c r="B976" s="217">
        <v>0.08</v>
      </c>
      <c r="C976" s="241" t="s">
        <v>513</v>
      </c>
      <c r="D976" s="242"/>
      <c r="E976" s="242">
        <v>1500000</v>
      </c>
      <c r="F976" s="225">
        <v>0.04</v>
      </c>
      <c r="G976" s="226">
        <f t="shared" si="29"/>
        <v>60000</v>
      </c>
    </row>
    <row r="977" spans="1:7" ht="18" customHeight="1">
      <c r="A977" s="777" t="s">
        <v>514</v>
      </c>
      <c r="B977" s="231">
        <v>0.1</v>
      </c>
      <c r="C977" s="569" t="s">
        <v>515</v>
      </c>
      <c r="D977" s="242"/>
      <c r="E977" s="242">
        <v>1050000</v>
      </c>
      <c r="F977" s="250">
        <v>0.05</v>
      </c>
      <c r="G977" s="226">
        <f t="shared" si="29"/>
        <v>52500</v>
      </c>
    </row>
    <row r="978" spans="1:7" ht="15.75">
      <c r="A978" s="410">
        <v>14671</v>
      </c>
      <c r="B978" s="755">
        <v>0.1</v>
      </c>
      <c r="C978" s="241" t="s">
        <v>519</v>
      </c>
      <c r="D978" s="242"/>
      <c r="E978" s="242">
        <v>1200000</v>
      </c>
      <c r="F978" s="250">
        <v>0.05</v>
      </c>
      <c r="G978" s="226">
        <f t="shared" si="29"/>
        <v>60000</v>
      </c>
    </row>
    <row r="979" spans="1:7" ht="15.75">
      <c r="A979" s="293">
        <v>14719</v>
      </c>
      <c r="B979" s="681">
        <v>0.1</v>
      </c>
      <c r="C979" s="756" t="s">
        <v>522</v>
      </c>
      <c r="D979" s="242"/>
      <c r="E979" s="242">
        <v>750000</v>
      </c>
      <c r="F979" s="250">
        <v>0.05</v>
      </c>
      <c r="G979" s="226">
        <f t="shared" si="29"/>
        <v>37500</v>
      </c>
    </row>
    <row r="980" spans="1:7" ht="15.75">
      <c r="A980" s="739">
        <v>14616</v>
      </c>
      <c r="B980" s="730">
        <v>0.1</v>
      </c>
      <c r="C980" s="720" t="s">
        <v>810</v>
      </c>
      <c r="D980" s="739" t="s">
        <v>802</v>
      </c>
      <c r="E980" s="721">
        <v>1785000</v>
      </c>
      <c r="F980" s="250">
        <v>0.05</v>
      </c>
      <c r="G980" s="226">
        <f t="shared" si="29"/>
        <v>89250</v>
      </c>
    </row>
    <row r="981" spans="1:7" ht="15.75">
      <c r="A981" s="739">
        <v>14656</v>
      </c>
      <c r="B981" s="731">
        <v>0.08</v>
      </c>
      <c r="C981" s="785" t="s">
        <v>811</v>
      </c>
      <c r="D981" s="739" t="s">
        <v>802</v>
      </c>
      <c r="E981" s="721">
        <v>1800000</v>
      </c>
      <c r="F981" s="225">
        <v>0.04</v>
      </c>
      <c r="G981" s="226">
        <f t="shared" si="29"/>
        <v>72000</v>
      </c>
    </row>
    <row r="982" spans="1:7" ht="15.75">
      <c r="A982" s="739">
        <v>14665</v>
      </c>
      <c r="B982" s="730">
        <v>0.1</v>
      </c>
      <c r="C982" s="785" t="s">
        <v>812</v>
      </c>
      <c r="D982" s="739" t="s">
        <v>802</v>
      </c>
      <c r="E982" s="721">
        <v>1400000</v>
      </c>
      <c r="F982" s="250">
        <v>0.05</v>
      </c>
      <c r="G982" s="226">
        <f t="shared" si="29"/>
        <v>70000</v>
      </c>
    </row>
    <row r="983" spans="1:7" ht="15.75">
      <c r="A983" s="739">
        <v>14751</v>
      </c>
      <c r="B983" s="783">
        <v>0.1</v>
      </c>
      <c r="C983" s="786" t="s">
        <v>813</v>
      </c>
      <c r="D983" s="739" t="s">
        <v>802</v>
      </c>
      <c r="E983" s="782">
        <v>1500000</v>
      </c>
      <c r="F983" s="250">
        <v>0.05</v>
      </c>
      <c r="G983" s="226">
        <f t="shared" si="29"/>
        <v>75000</v>
      </c>
    </row>
    <row r="984" spans="1:7" ht="15.75">
      <c r="A984" s="739">
        <v>14770</v>
      </c>
      <c r="B984" s="783">
        <v>0.1</v>
      </c>
      <c r="C984" s="786" t="s">
        <v>814</v>
      </c>
      <c r="D984" s="739" t="s">
        <v>802</v>
      </c>
      <c r="E984" s="782">
        <v>1350000</v>
      </c>
      <c r="F984" s="250">
        <v>0.05</v>
      </c>
      <c r="G984" s="226">
        <f t="shared" si="29"/>
        <v>67500</v>
      </c>
    </row>
    <row r="985" spans="1:7" ht="15.75">
      <c r="A985" s="739">
        <v>14782</v>
      </c>
      <c r="B985" s="783">
        <v>0.1</v>
      </c>
      <c r="C985" s="786" t="s">
        <v>815</v>
      </c>
      <c r="D985" s="739" t="s">
        <v>802</v>
      </c>
      <c r="E985" s="782">
        <v>1200000</v>
      </c>
      <c r="F985" s="250">
        <v>0.05</v>
      </c>
      <c r="G985" s="226">
        <f t="shared" si="29"/>
        <v>60000</v>
      </c>
    </row>
    <row r="986" spans="1:7" ht="15.75">
      <c r="A986" s="739">
        <v>14620</v>
      </c>
      <c r="B986" s="730">
        <v>0.1</v>
      </c>
      <c r="C986" s="722" t="s">
        <v>816</v>
      </c>
      <c r="D986" s="739" t="s">
        <v>802</v>
      </c>
      <c r="E986" s="721">
        <v>1300000</v>
      </c>
      <c r="F986" s="225">
        <v>0.02</v>
      </c>
      <c r="G986" s="226">
        <f t="shared" si="29"/>
        <v>26000</v>
      </c>
    </row>
    <row r="987" spans="1:7" ht="15.75">
      <c r="A987" s="739">
        <v>14642</v>
      </c>
      <c r="B987" s="730">
        <v>0.1</v>
      </c>
      <c r="C987" s="722" t="s">
        <v>817</v>
      </c>
      <c r="D987" s="739" t="s">
        <v>802</v>
      </c>
      <c r="E987" s="721">
        <v>1000000</v>
      </c>
      <c r="F987" s="250">
        <v>0.05</v>
      </c>
      <c r="G987" s="226">
        <f t="shared" si="29"/>
        <v>50000</v>
      </c>
    </row>
    <row r="988" spans="1:7" ht="15.75">
      <c r="A988" s="739">
        <v>14701</v>
      </c>
      <c r="B988" s="730">
        <v>0.1</v>
      </c>
      <c r="C988" s="722" t="s">
        <v>818</v>
      </c>
      <c r="D988" s="739" t="s">
        <v>802</v>
      </c>
      <c r="E988" s="721">
        <v>1200000</v>
      </c>
      <c r="F988" s="250">
        <v>0.05</v>
      </c>
      <c r="G988" s="226">
        <f t="shared" si="29"/>
        <v>60000</v>
      </c>
    </row>
    <row r="989" spans="1:7" ht="15.75">
      <c r="A989" s="739">
        <v>14709</v>
      </c>
      <c r="B989" s="730">
        <v>0.1</v>
      </c>
      <c r="C989" s="720" t="s">
        <v>819</v>
      </c>
      <c r="D989" s="739" t="s">
        <v>802</v>
      </c>
      <c r="E989" s="721">
        <v>1400000</v>
      </c>
      <c r="F989" s="250">
        <v>0.05</v>
      </c>
      <c r="G989" s="226">
        <f t="shared" si="29"/>
        <v>70000</v>
      </c>
    </row>
    <row r="990" spans="1:7" ht="15.75">
      <c r="A990" s="739">
        <v>14738</v>
      </c>
      <c r="B990" s="730">
        <v>0.1</v>
      </c>
      <c r="C990" s="720" t="s">
        <v>820</v>
      </c>
      <c r="D990" s="739" t="s">
        <v>802</v>
      </c>
      <c r="E990" s="721">
        <v>1800000</v>
      </c>
      <c r="F990" s="250">
        <v>0.05</v>
      </c>
      <c r="G990" s="226">
        <f t="shared" si="29"/>
        <v>90000</v>
      </c>
    </row>
    <row r="991" spans="1:7" ht="15.75">
      <c r="A991" s="739">
        <v>14767</v>
      </c>
      <c r="B991" s="730">
        <v>0.1</v>
      </c>
      <c r="C991" s="781" t="s">
        <v>821</v>
      </c>
      <c r="D991" s="739" t="s">
        <v>802</v>
      </c>
      <c r="E991" s="787">
        <v>2100000</v>
      </c>
      <c r="F991" s="250">
        <v>0.05</v>
      </c>
      <c r="G991" s="226">
        <f t="shared" si="29"/>
        <v>105000</v>
      </c>
    </row>
    <row r="992" spans="1:7" ht="18">
      <c r="A992" s="689"/>
      <c r="B992" s="690"/>
      <c r="C992" s="691"/>
      <c r="D992" s="692"/>
      <c r="E992" s="693">
        <f>SUM(E972:E991)</f>
        <v>27817000</v>
      </c>
      <c r="F992" s="666"/>
      <c r="G992" s="695">
        <f>SUM(G972:G991)</f>
        <v>1318850</v>
      </c>
    </row>
    <row r="995" spans="1:7">
      <c r="A995" s="994" t="s">
        <v>822</v>
      </c>
      <c r="B995" s="994"/>
      <c r="C995" s="994"/>
      <c r="D995" s="994"/>
      <c r="E995" s="994"/>
      <c r="F995" s="994"/>
      <c r="G995" s="994"/>
    </row>
    <row r="996" spans="1:7">
      <c r="A996" s="994"/>
      <c r="B996" s="995"/>
      <c r="C996" s="995"/>
      <c r="D996" s="994"/>
      <c r="E996" s="994"/>
      <c r="F996" s="994"/>
      <c r="G996" s="994"/>
    </row>
    <row r="997" spans="1:7">
      <c r="A997" s="184" t="s">
        <v>3</v>
      </c>
      <c r="B997" s="195" t="s">
        <v>709</v>
      </c>
      <c r="C997" s="184" t="s">
        <v>710</v>
      </c>
      <c r="D997" s="176" t="s">
        <v>711</v>
      </c>
      <c r="E997" s="197" t="s">
        <v>300</v>
      </c>
      <c r="F997" s="178" t="s">
        <v>7</v>
      </c>
      <c r="G997" s="537" t="s">
        <v>50</v>
      </c>
    </row>
    <row r="998" spans="1:7" ht="15.75">
      <c r="A998" s="293">
        <v>14742</v>
      </c>
      <c r="B998" s="228">
        <v>0.1</v>
      </c>
      <c r="C998" s="756" t="s">
        <v>524</v>
      </c>
      <c r="D998" s="242"/>
      <c r="E998" s="242">
        <v>1250000</v>
      </c>
      <c r="F998" s="250">
        <v>0.02</v>
      </c>
      <c r="G998" s="226">
        <f>E998*F998</f>
        <v>25000</v>
      </c>
    </row>
    <row r="999" spans="1:7" ht="15.75">
      <c r="A999" s="739">
        <v>14724</v>
      </c>
      <c r="B999" s="783">
        <v>0.1</v>
      </c>
      <c r="C999" s="788" t="s">
        <v>823</v>
      </c>
      <c r="D999" s="789" t="s">
        <v>802</v>
      </c>
      <c r="E999" s="721">
        <v>700000</v>
      </c>
      <c r="F999" s="250">
        <v>0.02</v>
      </c>
      <c r="G999" s="226">
        <f t="shared" ref="G999:G1000" si="30">E999*F999</f>
        <v>14000</v>
      </c>
    </row>
    <row r="1000" spans="1:7" ht="15.75">
      <c r="A1000" s="739">
        <v>14823</v>
      </c>
      <c r="B1000" s="794">
        <v>0.08</v>
      </c>
      <c r="C1000" s="720" t="s">
        <v>499</v>
      </c>
      <c r="D1000" s="790" t="s">
        <v>802</v>
      </c>
      <c r="E1000" s="728">
        <v>1850000</v>
      </c>
      <c r="F1000" s="225">
        <v>0.01</v>
      </c>
      <c r="G1000" s="226">
        <f t="shared" si="30"/>
        <v>18500</v>
      </c>
    </row>
    <row r="1001" spans="1:7" ht="18">
      <c r="A1001" s="689"/>
      <c r="B1001" s="690"/>
      <c r="C1001" s="691"/>
      <c r="D1001" s="692"/>
      <c r="E1001" s="693">
        <f>SUM(E998:E1000)</f>
        <v>3800000</v>
      </c>
      <c r="F1001" s="666"/>
      <c r="G1001" s="695">
        <f>SUM(G998:G1000)</f>
        <v>57500</v>
      </c>
    </row>
    <row r="1004" spans="1:7" ht="15" customHeight="1">
      <c r="A1004" s="994" t="s">
        <v>824</v>
      </c>
      <c r="B1004" s="994"/>
      <c r="C1004" s="994"/>
      <c r="D1004" s="994"/>
      <c r="E1004" s="994"/>
      <c r="F1004" s="994"/>
      <c r="G1004" s="994"/>
    </row>
    <row r="1005" spans="1:7" ht="15" customHeight="1">
      <c r="A1005" s="994"/>
      <c r="B1005" s="995"/>
      <c r="C1005" s="995"/>
      <c r="D1005" s="994"/>
      <c r="E1005" s="994"/>
      <c r="F1005" s="994"/>
      <c r="G1005" s="994"/>
    </row>
    <row r="1006" spans="1:7">
      <c r="A1006" s="184" t="s">
        <v>3</v>
      </c>
      <c r="B1006" s="195" t="s">
        <v>709</v>
      </c>
      <c r="C1006" s="184" t="s">
        <v>710</v>
      </c>
      <c r="D1006" s="176" t="s">
        <v>711</v>
      </c>
      <c r="E1006" s="197" t="s">
        <v>300</v>
      </c>
      <c r="F1006" s="178" t="s">
        <v>7</v>
      </c>
      <c r="G1006" s="537" t="s">
        <v>50</v>
      </c>
    </row>
    <row r="1007" spans="1:7" ht="15.75">
      <c r="A1007" s="676">
        <v>14844</v>
      </c>
      <c r="B1007" s="677">
        <v>0.1</v>
      </c>
      <c r="C1007" s="241" t="s">
        <v>477</v>
      </c>
      <c r="D1007" s="216"/>
      <c r="E1007" s="216">
        <v>900000</v>
      </c>
      <c r="F1007" s="250">
        <v>0.02</v>
      </c>
      <c r="G1007" s="226">
        <f>E1007*F1007</f>
        <v>18000</v>
      </c>
    </row>
    <row r="1008" spans="1:7" ht="15.75">
      <c r="A1008" s="676">
        <v>14843</v>
      </c>
      <c r="B1008" s="677">
        <v>0.1</v>
      </c>
      <c r="C1008" s="241" t="s">
        <v>498</v>
      </c>
      <c r="D1008" s="242"/>
      <c r="E1008" s="242">
        <v>1100000</v>
      </c>
      <c r="F1008" s="250">
        <v>0.02</v>
      </c>
      <c r="G1008" s="226">
        <f t="shared" ref="G1008:G1009" si="31">E1008*F1008</f>
        <v>22000</v>
      </c>
    </row>
    <row r="1009" spans="1:7" ht="15.75">
      <c r="A1009" s="739">
        <v>14852</v>
      </c>
      <c r="B1009" s="730">
        <v>0.1</v>
      </c>
      <c r="C1009" s="786" t="s">
        <v>825</v>
      </c>
      <c r="D1009" s="789" t="s">
        <v>802</v>
      </c>
      <c r="E1009" s="782">
        <v>1200000</v>
      </c>
      <c r="F1009" s="250">
        <v>0.02</v>
      </c>
      <c r="G1009" s="226">
        <f t="shared" si="31"/>
        <v>24000</v>
      </c>
    </row>
    <row r="1010" spans="1:7" ht="18">
      <c r="A1010" s="689"/>
      <c r="B1010" s="690"/>
      <c r="C1010" s="691"/>
      <c r="D1010" s="768"/>
      <c r="E1010" s="693">
        <f>SUM(E1007:E1009)</f>
        <v>3200000</v>
      </c>
      <c r="F1010" s="666"/>
      <c r="G1010" s="664">
        <f>SUM(G1007:G1009)</f>
        <v>64000</v>
      </c>
    </row>
    <row r="1014" spans="1:7">
      <c r="A1014" s="994" t="s">
        <v>826</v>
      </c>
      <c r="B1014" s="994"/>
      <c r="C1014" s="994"/>
      <c r="D1014" s="994"/>
      <c r="E1014" s="994"/>
      <c r="F1014" s="994"/>
      <c r="G1014" s="994"/>
    </row>
    <row r="1015" spans="1:7">
      <c r="A1015" s="994"/>
      <c r="B1015" s="995"/>
      <c r="C1015" s="995"/>
      <c r="D1015" s="994"/>
      <c r="E1015" s="994"/>
      <c r="F1015" s="994"/>
      <c r="G1015" s="994"/>
    </row>
    <row r="1016" spans="1:7">
      <c r="A1016" s="195" t="s">
        <v>3</v>
      </c>
      <c r="B1016" s="195" t="s">
        <v>709</v>
      </c>
      <c r="C1016" s="184" t="s">
        <v>710</v>
      </c>
      <c r="D1016" s="176" t="s">
        <v>711</v>
      </c>
      <c r="E1016" s="197" t="s">
        <v>300</v>
      </c>
      <c r="F1016" s="178" t="s">
        <v>7</v>
      </c>
      <c r="G1016" s="537" t="s">
        <v>50</v>
      </c>
    </row>
    <row r="1017" spans="1:7" ht="15.75">
      <c r="A1017" s="293">
        <v>14729</v>
      </c>
      <c r="B1017" s="755">
        <v>0.1</v>
      </c>
      <c r="C1017" s="756" t="s">
        <v>523</v>
      </c>
      <c r="D1017" s="242"/>
      <c r="E1017" s="242">
        <v>1200000</v>
      </c>
      <c r="F1017" s="250"/>
      <c r="G1017" s="226"/>
    </row>
    <row r="1018" spans="1:7" ht="15.75">
      <c r="A1018" s="754">
        <v>14699</v>
      </c>
      <c r="B1018" s="231">
        <v>0.1</v>
      </c>
      <c r="C1018" s="241" t="s">
        <v>520</v>
      </c>
      <c r="D1018" s="242"/>
      <c r="E1018" s="242">
        <v>1100000</v>
      </c>
      <c r="F1018" s="225"/>
      <c r="G1018" s="226"/>
    </row>
    <row r="1019" spans="1:7" ht="18">
      <c r="A1019" s="689"/>
      <c r="B1019" s="690"/>
      <c r="C1019" s="691"/>
      <c r="D1019" s="710" t="s">
        <v>827</v>
      </c>
      <c r="E1019" s="693">
        <f>SUM(E1017:E1018)</f>
        <v>2300000</v>
      </c>
      <c r="F1019" s="666"/>
      <c r="G1019" s="664"/>
    </row>
    <row r="1022" spans="1:7">
      <c r="A1022" s="996" t="s">
        <v>828</v>
      </c>
      <c r="B1022" s="997"/>
      <c r="C1022" s="997"/>
      <c r="D1022" s="997"/>
      <c r="E1022" s="997"/>
      <c r="F1022" s="997"/>
      <c r="G1022" s="998"/>
    </row>
    <row r="1023" spans="1:7">
      <c r="A1023" s="999"/>
      <c r="B1023" s="1000"/>
      <c r="C1023" s="1000"/>
      <c r="D1023" s="1000"/>
      <c r="E1023" s="1000"/>
      <c r="F1023" s="1000"/>
      <c r="G1023" s="1001"/>
    </row>
    <row r="1024" spans="1:7">
      <c r="A1024" s="493" t="s">
        <v>3</v>
      </c>
      <c r="B1024" s="175" t="s">
        <v>709</v>
      </c>
      <c r="C1024" s="493" t="s">
        <v>710</v>
      </c>
      <c r="D1024" s="176" t="s">
        <v>711</v>
      </c>
      <c r="E1024" s="177" t="s">
        <v>300</v>
      </c>
      <c r="F1024" s="178" t="s">
        <v>7</v>
      </c>
      <c r="G1024" s="179" t="s">
        <v>50</v>
      </c>
    </row>
    <row r="1025" spans="1:7" ht="15.75">
      <c r="A1025" s="341">
        <v>14851</v>
      </c>
      <c r="B1025" s="308">
        <v>0.1</v>
      </c>
      <c r="C1025" s="272" t="s">
        <v>479</v>
      </c>
      <c r="D1025" s="216"/>
      <c r="E1025" s="216">
        <v>1300000</v>
      </c>
      <c r="F1025" s="247">
        <v>0.02</v>
      </c>
      <c r="G1025" s="248">
        <f>E1025*F1025</f>
        <v>26000</v>
      </c>
    </row>
    <row r="1026" spans="1:7" ht="15.75">
      <c r="A1026" s="214">
        <v>14853</v>
      </c>
      <c r="B1026" s="308">
        <v>0.1</v>
      </c>
      <c r="C1026" s="241" t="s">
        <v>480</v>
      </c>
      <c r="D1026" s="278"/>
      <c r="E1026" s="278">
        <v>1750000</v>
      </c>
      <c r="F1026" s="247">
        <v>0.02</v>
      </c>
      <c r="G1026" s="248">
        <f t="shared" ref="G1026:G1085" si="32">E1026*F1026</f>
        <v>35000</v>
      </c>
    </row>
    <row r="1027" spans="1:7" ht="15.75">
      <c r="A1027" s="214">
        <v>14680</v>
      </c>
      <c r="B1027" s="231">
        <v>0.1</v>
      </c>
      <c r="C1027" s="241" t="s">
        <v>492</v>
      </c>
      <c r="D1027" s="242"/>
      <c r="E1027" s="242">
        <v>2200000</v>
      </c>
      <c r="F1027" s="247">
        <v>0.02</v>
      </c>
      <c r="G1027" s="248">
        <f t="shared" si="32"/>
        <v>44000</v>
      </c>
    </row>
    <row r="1028" spans="1:7" ht="15.75">
      <c r="A1028" s="214">
        <v>14726</v>
      </c>
      <c r="B1028" s="231">
        <v>0.1</v>
      </c>
      <c r="C1028" s="241" t="s">
        <v>493</v>
      </c>
      <c r="D1028" s="242"/>
      <c r="E1028" s="242">
        <v>2150000</v>
      </c>
      <c r="F1028" s="247">
        <v>0.02</v>
      </c>
      <c r="G1028" s="248">
        <f t="shared" si="32"/>
        <v>43000</v>
      </c>
    </row>
    <row r="1029" spans="1:7" ht="15.75">
      <c r="A1029" s="214">
        <v>14817</v>
      </c>
      <c r="B1029" s="347">
        <v>0.08</v>
      </c>
      <c r="C1029" s="241" t="s">
        <v>496</v>
      </c>
      <c r="D1029" s="242"/>
      <c r="E1029" s="242">
        <v>2200000</v>
      </c>
      <c r="F1029" s="349">
        <v>0.01</v>
      </c>
      <c r="G1029" s="248">
        <f t="shared" si="32"/>
        <v>22000</v>
      </c>
    </row>
    <row r="1030" spans="1:7" ht="15.75">
      <c r="A1030" s="293">
        <v>14635</v>
      </c>
      <c r="B1030" s="347">
        <v>0.08</v>
      </c>
      <c r="C1030" s="241" t="s">
        <v>518</v>
      </c>
      <c r="D1030" s="242"/>
      <c r="E1030" s="242">
        <v>1200000</v>
      </c>
      <c r="F1030" s="349">
        <v>0.01</v>
      </c>
      <c r="G1030" s="248">
        <f t="shared" si="32"/>
        <v>12000</v>
      </c>
    </row>
    <row r="1031" spans="1:7" ht="15.75">
      <c r="A1031" s="293">
        <v>14669</v>
      </c>
      <c r="B1031" s="526">
        <v>0.08</v>
      </c>
      <c r="C1031" s="241" t="s">
        <v>476</v>
      </c>
      <c r="D1031" s="242"/>
      <c r="E1031" s="242">
        <v>1300000</v>
      </c>
      <c r="F1031" s="349">
        <v>0.01</v>
      </c>
      <c r="G1031" s="248">
        <f t="shared" si="32"/>
        <v>13000</v>
      </c>
    </row>
    <row r="1032" spans="1:7" ht="15.75">
      <c r="A1032" s="293">
        <v>14725</v>
      </c>
      <c r="B1032" s="308">
        <v>0.1</v>
      </c>
      <c r="C1032" s="241" t="s">
        <v>521</v>
      </c>
      <c r="D1032" s="242"/>
      <c r="E1032" s="242">
        <v>1150000</v>
      </c>
      <c r="F1032" s="247">
        <v>0.02</v>
      </c>
      <c r="G1032" s="248">
        <f t="shared" si="32"/>
        <v>23000</v>
      </c>
    </row>
    <row r="1033" spans="1:7" ht="15.75">
      <c r="A1033" s="341">
        <v>14837</v>
      </c>
      <c r="B1033" s="719">
        <v>0.08</v>
      </c>
      <c r="C1033" s="344" t="s">
        <v>528</v>
      </c>
      <c r="D1033" s="278"/>
      <c r="E1033" s="278">
        <v>1300000</v>
      </c>
      <c r="F1033" s="349">
        <v>0.01</v>
      </c>
      <c r="G1033" s="248">
        <f t="shared" si="32"/>
        <v>13000</v>
      </c>
    </row>
    <row r="1034" spans="1:7" ht="15.75">
      <c r="A1034" s="293">
        <v>14831</v>
      </c>
      <c r="B1034" s="231">
        <v>0.1</v>
      </c>
      <c r="C1034" s="241" t="s">
        <v>530</v>
      </c>
      <c r="D1034" s="278"/>
      <c r="E1034" s="278">
        <v>850000</v>
      </c>
      <c r="F1034" s="247">
        <v>0.02</v>
      </c>
      <c r="G1034" s="248">
        <f t="shared" si="32"/>
        <v>17000</v>
      </c>
    </row>
    <row r="1035" spans="1:7" ht="15.75">
      <c r="A1035" s="611">
        <v>14794</v>
      </c>
      <c r="B1035" s="347">
        <v>0.08</v>
      </c>
      <c r="C1035" s="272" t="s">
        <v>533</v>
      </c>
      <c r="D1035" s="278"/>
      <c r="E1035" s="278">
        <v>950000</v>
      </c>
      <c r="F1035" s="349">
        <v>0.01</v>
      </c>
      <c r="G1035" s="248">
        <f t="shared" si="32"/>
        <v>9500</v>
      </c>
    </row>
    <row r="1036" spans="1:7" ht="15.75">
      <c r="A1036" s="611">
        <v>14847</v>
      </c>
      <c r="B1036" s="684">
        <v>0.1</v>
      </c>
      <c r="C1036" s="272" t="s">
        <v>535</v>
      </c>
      <c r="D1036" s="278"/>
      <c r="E1036" s="278">
        <v>1374000</v>
      </c>
      <c r="F1036" s="247">
        <v>0.02</v>
      </c>
      <c r="G1036" s="248">
        <f t="shared" si="32"/>
        <v>27480</v>
      </c>
    </row>
    <row r="1037" spans="1:7" ht="15.75">
      <c r="A1037" s="260">
        <v>14640</v>
      </c>
      <c r="B1037" s="308">
        <v>0.1</v>
      </c>
      <c r="C1037" s="241" t="s">
        <v>472</v>
      </c>
      <c r="D1037" s="230"/>
      <c r="E1037" s="230">
        <v>1650000</v>
      </c>
      <c r="F1037" s="247">
        <v>0.02</v>
      </c>
      <c r="G1037" s="248">
        <f t="shared" si="32"/>
        <v>33000</v>
      </c>
    </row>
    <row r="1038" spans="1:7" ht="15.75">
      <c r="A1038" s="409">
        <v>14828</v>
      </c>
      <c r="B1038" s="231">
        <v>0.1</v>
      </c>
      <c r="C1038" s="241" t="s">
        <v>474</v>
      </c>
      <c r="D1038" s="216"/>
      <c r="E1038" s="216">
        <v>1500000</v>
      </c>
      <c r="F1038" s="247">
        <v>0.02</v>
      </c>
      <c r="G1038" s="248">
        <f t="shared" si="32"/>
        <v>30000</v>
      </c>
    </row>
    <row r="1039" spans="1:7" ht="15.75">
      <c r="A1039" s="260">
        <v>14653</v>
      </c>
      <c r="B1039" s="308">
        <v>0.1</v>
      </c>
      <c r="C1039" s="261" t="s">
        <v>483</v>
      </c>
      <c r="D1039" s="230"/>
      <c r="E1039" s="230">
        <v>1900000</v>
      </c>
      <c r="F1039" s="247">
        <v>0.02</v>
      </c>
      <c r="G1039" s="248">
        <f t="shared" si="32"/>
        <v>38000</v>
      </c>
    </row>
    <row r="1040" spans="1:7" ht="15.75">
      <c r="A1040" s="214">
        <v>14663</v>
      </c>
      <c r="B1040" s="308">
        <v>0.1</v>
      </c>
      <c r="C1040" s="272" t="s">
        <v>488</v>
      </c>
      <c r="D1040" s="230"/>
      <c r="E1040" s="230">
        <v>1700000</v>
      </c>
      <c r="F1040" s="247">
        <v>0.02</v>
      </c>
      <c r="G1040" s="248">
        <f t="shared" si="32"/>
        <v>34000</v>
      </c>
    </row>
    <row r="1041" spans="1:7" ht="15.75">
      <c r="A1041" s="214">
        <v>14678</v>
      </c>
      <c r="B1041" s="308">
        <v>0.1</v>
      </c>
      <c r="C1041" s="272" t="s">
        <v>490</v>
      </c>
      <c r="D1041" s="230"/>
      <c r="E1041" s="230">
        <v>3500000</v>
      </c>
      <c r="F1041" s="247">
        <v>0.02</v>
      </c>
      <c r="G1041" s="248">
        <f t="shared" si="32"/>
        <v>70000</v>
      </c>
    </row>
    <row r="1042" spans="1:7" ht="15.75">
      <c r="A1042" s="214">
        <v>14789</v>
      </c>
      <c r="B1042" s="308">
        <v>0.1</v>
      </c>
      <c r="C1042" s="241" t="s">
        <v>495</v>
      </c>
      <c r="D1042" s="242"/>
      <c r="E1042" s="242">
        <v>1500000</v>
      </c>
      <c r="F1042" s="247">
        <v>0.02</v>
      </c>
      <c r="G1042" s="248">
        <f t="shared" si="32"/>
        <v>30000</v>
      </c>
    </row>
    <row r="1043" spans="1:7" ht="15.75">
      <c r="A1043" s="214">
        <v>14827</v>
      </c>
      <c r="B1043" s="231">
        <v>0.1</v>
      </c>
      <c r="C1043" s="241" t="s">
        <v>497</v>
      </c>
      <c r="D1043" s="242"/>
      <c r="E1043" s="242">
        <v>2200000</v>
      </c>
      <c r="F1043" s="247">
        <v>0.02</v>
      </c>
      <c r="G1043" s="248">
        <f t="shared" si="32"/>
        <v>44000</v>
      </c>
    </row>
    <row r="1044" spans="1:7" ht="15.75">
      <c r="A1044" s="545">
        <v>14778</v>
      </c>
      <c r="B1044" s="231">
        <v>0.1</v>
      </c>
      <c r="C1044" s="272" t="s">
        <v>504</v>
      </c>
      <c r="D1044" s="216"/>
      <c r="E1044" s="216">
        <v>800000</v>
      </c>
      <c r="F1044" s="247">
        <v>0.02</v>
      </c>
      <c r="G1044" s="248">
        <f t="shared" si="32"/>
        <v>16000</v>
      </c>
    </row>
    <row r="1045" spans="1:7" ht="15.75">
      <c r="A1045" s="293">
        <v>14613</v>
      </c>
      <c r="B1045" s="340">
        <v>0.1</v>
      </c>
      <c r="C1045" s="241" t="s">
        <v>516</v>
      </c>
      <c r="D1045" s="242"/>
      <c r="E1045" s="242">
        <v>1050000</v>
      </c>
      <c r="F1045" s="247">
        <v>0.02</v>
      </c>
      <c r="G1045" s="248">
        <f t="shared" si="32"/>
        <v>21000</v>
      </c>
    </row>
    <row r="1046" spans="1:7" ht="15.75">
      <c r="A1046" s="293">
        <v>14628</v>
      </c>
      <c r="B1046" s="250">
        <v>0.1</v>
      </c>
      <c r="C1046" s="776" t="s">
        <v>517</v>
      </c>
      <c r="D1046" s="242"/>
      <c r="E1046" s="242">
        <v>950000</v>
      </c>
      <c r="F1046" s="247">
        <v>0.02</v>
      </c>
      <c r="G1046" s="248">
        <f t="shared" si="32"/>
        <v>19000</v>
      </c>
    </row>
    <row r="1047" spans="1:7" ht="15.75">
      <c r="A1047" s="409">
        <v>14758</v>
      </c>
      <c r="B1047" s="250">
        <v>0.1</v>
      </c>
      <c r="C1047" s="756" t="s">
        <v>525</v>
      </c>
      <c r="D1047" s="242"/>
      <c r="E1047" s="242">
        <v>1100000</v>
      </c>
      <c r="F1047" s="247">
        <v>0.02</v>
      </c>
      <c r="G1047" s="248">
        <f t="shared" si="32"/>
        <v>22000</v>
      </c>
    </row>
    <row r="1048" spans="1:7" ht="15.75">
      <c r="A1048" s="410">
        <v>14824</v>
      </c>
      <c r="B1048" s="379">
        <v>0.1</v>
      </c>
      <c r="C1048" s="775" t="s">
        <v>526</v>
      </c>
      <c r="D1048" s="242"/>
      <c r="E1048" s="242">
        <v>1200000</v>
      </c>
      <c r="F1048" s="247">
        <v>0.02</v>
      </c>
      <c r="G1048" s="248">
        <f t="shared" si="32"/>
        <v>24000</v>
      </c>
    </row>
    <row r="1049" spans="1:7" ht="15.75">
      <c r="A1049" s="293">
        <v>14832</v>
      </c>
      <c r="B1049" s="681">
        <v>0.1</v>
      </c>
      <c r="C1049" s="344" t="s">
        <v>527</v>
      </c>
      <c r="D1049" s="278"/>
      <c r="E1049" s="242">
        <v>900000</v>
      </c>
      <c r="F1049" s="247">
        <v>0.02</v>
      </c>
      <c r="G1049" s="248">
        <f t="shared" si="32"/>
        <v>18000</v>
      </c>
    </row>
    <row r="1050" spans="1:7" ht="15.75">
      <c r="A1050" s="409">
        <v>14839</v>
      </c>
      <c r="B1050" s="250">
        <v>0.1</v>
      </c>
      <c r="C1050" s="344" t="s">
        <v>529</v>
      </c>
      <c r="D1050" s="278"/>
      <c r="E1050" s="278">
        <v>1000000</v>
      </c>
      <c r="F1050" s="247">
        <v>0.02</v>
      </c>
      <c r="G1050" s="248">
        <f t="shared" si="32"/>
        <v>20000</v>
      </c>
    </row>
    <row r="1051" spans="1:7" ht="15.75">
      <c r="A1051" s="688">
        <v>14854</v>
      </c>
      <c r="B1051" s="684">
        <v>0.1</v>
      </c>
      <c r="C1051" s="241" t="s">
        <v>473</v>
      </c>
      <c r="D1051" s="242"/>
      <c r="E1051" s="242">
        <v>2000000</v>
      </c>
      <c r="F1051" s="247">
        <v>0.02</v>
      </c>
      <c r="G1051" s="248">
        <f t="shared" si="32"/>
        <v>40000</v>
      </c>
    </row>
    <row r="1052" spans="1:7" ht="15.75">
      <c r="A1052" s="214">
        <v>14676</v>
      </c>
      <c r="B1052" s="308">
        <v>0.1</v>
      </c>
      <c r="C1052" s="272" t="s">
        <v>481</v>
      </c>
      <c r="D1052" s="230"/>
      <c r="E1052" s="230">
        <v>1700000</v>
      </c>
      <c r="F1052" s="247">
        <v>0.02</v>
      </c>
      <c r="G1052" s="248">
        <f t="shared" si="32"/>
        <v>34000</v>
      </c>
    </row>
    <row r="1053" spans="1:7" ht="15.75">
      <c r="A1053" s="214">
        <v>14634</v>
      </c>
      <c r="B1053" s="308">
        <v>0.1</v>
      </c>
      <c r="C1053" s="272" t="s">
        <v>486</v>
      </c>
      <c r="D1053" s="230"/>
      <c r="E1053" s="230">
        <v>1050000</v>
      </c>
      <c r="F1053" s="247">
        <v>0.02</v>
      </c>
      <c r="G1053" s="248">
        <f t="shared" si="32"/>
        <v>21000</v>
      </c>
    </row>
    <row r="1054" spans="1:7" ht="15.75">
      <c r="A1054" s="214">
        <v>14822</v>
      </c>
      <c r="B1054" s="308">
        <v>0.1</v>
      </c>
      <c r="C1054" s="241" t="s">
        <v>494</v>
      </c>
      <c r="D1054" s="242"/>
      <c r="E1054" s="242">
        <v>1532000</v>
      </c>
      <c r="F1054" s="247">
        <v>0.02</v>
      </c>
      <c r="G1054" s="248">
        <f t="shared" si="32"/>
        <v>30640</v>
      </c>
    </row>
    <row r="1055" spans="1:7" ht="15.75">
      <c r="A1055" s="545">
        <v>14834</v>
      </c>
      <c r="B1055" s="308">
        <v>0.1</v>
      </c>
      <c r="C1055" s="272" t="s">
        <v>506</v>
      </c>
      <c r="D1055" s="216"/>
      <c r="E1055" s="216">
        <v>1200000</v>
      </c>
      <c r="F1055" s="247">
        <v>0.02</v>
      </c>
      <c r="G1055" s="248">
        <f t="shared" si="32"/>
        <v>24000</v>
      </c>
    </row>
    <row r="1056" spans="1:7" ht="15.75">
      <c r="A1056" s="240">
        <v>14746</v>
      </c>
      <c r="B1056" s="217">
        <v>0.08</v>
      </c>
      <c r="C1056" s="241" t="s">
        <v>513</v>
      </c>
      <c r="D1056" s="242"/>
      <c r="E1056" s="242">
        <v>1500000</v>
      </c>
      <c r="F1056" s="349">
        <v>0.01</v>
      </c>
      <c r="G1056" s="248">
        <f t="shared" si="32"/>
        <v>15000</v>
      </c>
    </row>
    <row r="1057" spans="1:7" ht="18.75" customHeight="1">
      <c r="A1057" s="777" t="s">
        <v>514</v>
      </c>
      <c r="B1057" s="231">
        <v>0.1</v>
      </c>
      <c r="C1057" s="569" t="s">
        <v>515</v>
      </c>
      <c r="D1057" s="242"/>
      <c r="E1057" s="242">
        <v>1050000</v>
      </c>
      <c r="F1057" s="247">
        <v>0.02</v>
      </c>
      <c r="G1057" s="248">
        <f t="shared" si="32"/>
        <v>21000</v>
      </c>
    </row>
    <row r="1058" spans="1:7" ht="15.75">
      <c r="A1058" s="410">
        <v>14671</v>
      </c>
      <c r="B1058" s="755">
        <v>0.1</v>
      </c>
      <c r="C1058" s="241" t="s">
        <v>519</v>
      </c>
      <c r="D1058" s="242"/>
      <c r="E1058" s="242">
        <v>1200000</v>
      </c>
      <c r="F1058" s="247">
        <v>0.02</v>
      </c>
      <c r="G1058" s="248">
        <f t="shared" si="32"/>
        <v>24000</v>
      </c>
    </row>
    <row r="1059" spans="1:7" ht="15.75">
      <c r="A1059" s="293">
        <v>14719</v>
      </c>
      <c r="B1059" s="681">
        <v>0.1</v>
      </c>
      <c r="C1059" s="756" t="s">
        <v>522</v>
      </c>
      <c r="D1059" s="242"/>
      <c r="E1059" s="242">
        <v>750000</v>
      </c>
      <c r="F1059" s="247">
        <v>0.02</v>
      </c>
      <c r="G1059" s="248">
        <f t="shared" si="32"/>
        <v>15000</v>
      </c>
    </row>
    <row r="1060" spans="1:7" ht="15.75">
      <c r="A1060" s="293">
        <v>14742</v>
      </c>
      <c r="B1060" s="228">
        <v>0.1</v>
      </c>
      <c r="C1060" s="756" t="s">
        <v>524</v>
      </c>
      <c r="D1060" s="242"/>
      <c r="E1060" s="242">
        <v>1250000</v>
      </c>
      <c r="F1060" s="247">
        <v>0.02</v>
      </c>
      <c r="G1060" s="248">
        <f t="shared" si="32"/>
        <v>25000</v>
      </c>
    </row>
    <row r="1061" spans="1:7" ht="15.75">
      <c r="A1061" s="676">
        <v>14844</v>
      </c>
      <c r="B1061" s="677">
        <v>0.1</v>
      </c>
      <c r="C1061" s="241" t="s">
        <v>477</v>
      </c>
      <c r="D1061" s="216"/>
      <c r="E1061" s="216">
        <v>900000</v>
      </c>
      <c r="F1061" s="247">
        <v>0.02</v>
      </c>
      <c r="G1061" s="248">
        <f t="shared" si="32"/>
        <v>18000</v>
      </c>
    </row>
    <row r="1062" spans="1:7" ht="15.75">
      <c r="A1062" s="676">
        <v>14843</v>
      </c>
      <c r="B1062" s="677">
        <v>0.1</v>
      </c>
      <c r="C1062" s="241" t="s">
        <v>498</v>
      </c>
      <c r="D1062" s="242"/>
      <c r="E1062" s="242">
        <v>1100000</v>
      </c>
      <c r="F1062" s="247">
        <v>0.02</v>
      </c>
      <c r="G1062" s="248">
        <f t="shared" si="32"/>
        <v>22000</v>
      </c>
    </row>
    <row r="1063" spans="1:7" ht="15.75">
      <c r="A1063" s="293">
        <v>14729</v>
      </c>
      <c r="B1063" s="755">
        <v>0.1</v>
      </c>
      <c r="C1063" s="756" t="s">
        <v>523</v>
      </c>
      <c r="D1063" s="242"/>
      <c r="E1063" s="242">
        <v>1200000</v>
      </c>
      <c r="F1063" s="247">
        <v>0.02</v>
      </c>
      <c r="G1063" s="248">
        <f t="shared" si="32"/>
        <v>24000</v>
      </c>
    </row>
    <row r="1064" spans="1:7" ht="15.75">
      <c r="A1064" s="754">
        <v>14699</v>
      </c>
      <c r="B1064" s="231">
        <v>0.1</v>
      </c>
      <c r="C1064" s="241" t="s">
        <v>520</v>
      </c>
      <c r="D1064" s="242"/>
      <c r="E1064" s="242">
        <v>1100000</v>
      </c>
      <c r="F1064" s="247">
        <v>0.02</v>
      </c>
      <c r="G1064" s="248">
        <f t="shared" si="32"/>
        <v>22000</v>
      </c>
    </row>
    <row r="1065" spans="1:7" ht="15.75">
      <c r="A1065" s="739">
        <v>14747</v>
      </c>
      <c r="B1065" s="783">
        <v>0.1</v>
      </c>
      <c r="C1065" s="725" t="s">
        <v>801</v>
      </c>
      <c r="D1065" s="784" t="s">
        <v>802</v>
      </c>
      <c r="E1065" s="782">
        <v>1400000</v>
      </c>
      <c r="F1065" s="723">
        <v>2.5000000000000001E-2</v>
      </c>
      <c r="G1065" s="248">
        <f t="shared" si="32"/>
        <v>35000</v>
      </c>
    </row>
    <row r="1066" spans="1:7" ht="15.75">
      <c r="A1066" s="739">
        <v>14689</v>
      </c>
      <c r="B1066" s="730">
        <v>0.1</v>
      </c>
      <c r="C1066" s="722" t="s">
        <v>803</v>
      </c>
      <c r="D1066" s="784" t="s">
        <v>802</v>
      </c>
      <c r="E1066" s="728">
        <v>1300000</v>
      </c>
      <c r="F1066" s="723">
        <v>2.5000000000000001E-2</v>
      </c>
      <c r="G1066" s="248">
        <f t="shared" si="32"/>
        <v>32500</v>
      </c>
    </row>
    <row r="1067" spans="1:7" ht="15.75">
      <c r="A1067" s="739">
        <v>14730</v>
      </c>
      <c r="B1067" s="730">
        <v>0.1</v>
      </c>
      <c r="C1067" s="720" t="s">
        <v>804</v>
      </c>
      <c r="D1067" s="784" t="s">
        <v>802</v>
      </c>
      <c r="E1067" s="721">
        <v>3500000</v>
      </c>
      <c r="F1067" s="723">
        <v>2.5000000000000001E-2</v>
      </c>
      <c r="G1067" s="248">
        <f t="shared" si="32"/>
        <v>87500</v>
      </c>
    </row>
    <row r="1068" spans="1:7" ht="15.75">
      <c r="A1068" s="739">
        <v>14796</v>
      </c>
      <c r="B1068" s="730">
        <v>0.1</v>
      </c>
      <c r="C1068" s="720" t="s">
        <v>829</v>
      </c>
      <c r="D1068" s="784" t="s">
        <v>802</v>
      </c>
      <c r="E1068" s="721">
        <v>1050000</v>
      </c>
      <c r="F1068" s="723">
        <v>2.5000000000000001E-2</v>
      </c>
      <c r="G1068" s="248">
        <f t="shared" si="32"/>
        <v>26250</v>
      </c>
    </row>
    <row r="1069" spans="1:7" ht="15.75">
      <c r="A1069" s="739">
        <v>14801</v>
      </c>
      <c r="B1069" s="730">
        <v>0.1</v>
      </c>
      <c r="C1069" s="720" t="s">
        <v>806</v>
      </c>
      <c r="D1069" s="784" t="s">
        <v>802</v>
      </c>
      <c r="E1069" s="721">
        <v>1400000</v>
      </c>
      <c r="F1069" s="723">
        <v>2.5000000000000001E-2</v>
      </c>
      <c r="G1069" s="248">
        <f t="shared" si="32"/>
        <v>35000</v>
      </c>
    </row>
    <row r="1070" spans="1:7" ht="15.75">
      <c r="A1070" s="739">
        <v>14752</v>
      </c>
      <c r="B1070" s="730">
        <v>0.1</v>
      </c>
      <c r="C1070" s="720" t="s">
        <v>808</v>
      </c>
      <c r="D1070" s="739" t="s">
        <v>802</v>
      </c>
      <c r="E1070" s="721">
        <v>1400000</v>
      </c>
      <c r="F1070" s="723">
        <v>2.5000000000000001E-2</v>
      </c>
      <c r="G1070" s="248">
        <f t="shared" si="32"/>
        <v>35000</v>
      </c>
    </row>
    <row r="1071" spans="1:7" ht="15.75">
      <c r="A1071" s="739">
        <v>14616</v>
      </c>
      <c r="B1071" s="730">
        <v>0.1</v>
      </c>
      <c r="C1071" s="720" t="s">
        <v>810</v>
      </c>
      <c r="D1071" s="739" t="s">
        <v>802</v>
      </c>
      <c r="E1071" s="721">
        <v>1785000</v>
      </c>
      <c r="F1071" s="723">
        <v>2.5000000000000001E-2</v>
      </c>
      <c r="G1071" s="248">
        <f t="shared" si="32"/>
        <v>44625</v>
      </c>
    </row>
    <row r="1072" spans="1:7" ht="15.75">
      <c r="A1072" s="739">
        <v>14656</v>
      </c>
      <c r="B1072" s="731">
        <v>0.08</v>
      </c>
      <c r="C1072" s="785" t="s">
        <v>811</v>
      </c>
      <c r="D1072" s="739" t="s">
        <v>802</v>
      </c>
      <c r="E1072" s="721">
        <v>1800000</v>
      </c>
      <c r="F1072" s="724">
        <v>1.4999999999999999E-2</v>
      </c>
      <c r="G1072" s="248">
        <f t="shared" si="32"/>
        <v>27000</v>
      </c>
    </row>
    <row r="1073" spans="1:7" ht="15.75">
      <c r="A1073" s="739">
        <v>14665</v>
      </c>
      <c r="B1073" s="730">
        <v>0.1</v>
      </c>
      <c r="C1073" s="785" t="s">
        <v>812</v>
      </c>
      <c r="D1073" s="739" t="s">
        <v>802</v>
      </c>
      <c r="E1073" s="721">
        <v>1400000</v>
      </c>
      <c r="F1073" s="723">
        <v>2.5000000000000001E-2</v>
      </c>
      <c r="G1073" s="248">
        <f t="shared" si="32"/>
        <v>35000</v>
      </c>
    </row>
    <row r="1074" spans="1:7" ht="15.75">
      <c r="A1074" s="739">
        <v>14751</v>
      </c>
      <c r="B1074" s="783">
        <v>0.1</v>
      </c>
      <c r="C1074" s="786" t="s">
        <v>813</v>
      </c>
      <c r="D1074" s="739" t="s">
        <v>802</v>
      </c>
      <c r="E1074" s="782">
        <v>1500000</v>
      </c>
      <c r="F1074" s="723">
        <v>2.5000000000000001E-2</v>
      </c>
      <c r="G1074" s="248">
        <f t="shared" si="32"/>
        <v>37500</v>
      </c>
    </row>
    <row r="1075" spans="1:7" ht="15.75">
      <c r="A1075" s="739">
        <v>14770</v>
      </c>
      <c r="B1075" s="783">
        <v>0.1</v>
      </c>
      <c r="C1075" s="786" t="s">
        <v>814</v>
      </c>
      <c r="D1075" s="739" t="s">
        <v>802</v>
      </c>
      <c r="E1075" s="782">
        <v>1350000</v>
      </c>
      <c r="F1075" s="723">
        <v>2.5000000000000001E-2</v>
      </c>
      <c r="G1075" s="248">
        <f t="shared" si="32"/>
        <v>33750</v>
      </c>
    </row>
    <row r="1076" spans="1:7" ht="15.75">
      <c r="A1076" s="739">
        <v>14782</v>
      </c>
      <c r="B1076" s="783">
        <v>0.1</v>
      </c>
      <c r="C1076" s="786" t="s">
        <v>815</v>
      </c>
      <c r="D1076" s="739" t="s">
        <v>802</v>
      </c>
      <c r="E1076" s="782">
        <v>1200000</v>
      </c>
      <c r="F1076" s="723">
        <v>2.5000000000000001E-2</v>
      </c>
      <c r="G1076" s="248">
        <f t="shared" si="32"/>
        <v>30000</v>
      </c>
    </row>
    <row r="1077" spans="1:7" ht="15.75">
      <c r="A1077" s="739">
        <v>14620</v>
      </c>
      <c r="B1077" s="730">
        <v>0.1</v>
      </c>
      <c r="C1077" s="722" t="s">
        <v>816</v>
      </c>
      <c r="D1077" s="739" t="s">
        <v>802</v>
      </c>
      <c r="E1077" s="721">
        <v>1300000</v>
      </c>
      <c r="F1077" s="723">
        <v>2.5000000000000001E-2</v>
      </c>
      <c r="G1077" s="248">
        <f t="shared" si="32"/>
        <v>32500</v>
      </c>
    </row>
    <row r="1078" spans="1:7" ht="15.75">
      <c r="A1078" s="739">
        <v>14642</v>
      </c>
      <c r="B1078" s="730">
        <v>0.1</v>
      </c>
      <c r="C1078" s="722" t="s">
        <v>817</v>
      </c>
      <c r="D1078" s="739" t="s">
        <v>802</v>
      </c>
      <c r="E1078" s="721">
        <v>1000000</v>
      </c>
      <c r="F1078" s="723">
        <v>2.5000000000000001E-2</v>
      </c>
      <c r="G1078" s="248">
        <f t="shared" si="32"/>
        <v>25000</v>
      </c>
    </row>
    <row r="1079" spans="1:7" ht="15.75">
      <c r="A1079" s="739">
        <v>14701</v>
      </c>
      <c r="B1079" s="730">
        <v>0.1</v>
      </c>
      <c r="C1079" s="722" t="s">
        <v>818</v>
      </c>
      <c r="D1079" s="739" t="s">
        <v>802</v>
      </c>
      <c r="E1079" s="721">
        <v>1200000</v>
      </c>
      <c r="F1079" s="723">
        <v>2.5000000000000001E-2</v>
      </c>
      <c r="G1079" s="248">
        <f t="shared" si="32"/>
        <v>30000</v>
      </c>
    </row>
    <row r="1080" spans="1:7" ht="15.75">
      <c r="A1080" s="739">
        <v>14709</v>
      </c>
      <c r="B1080" s="730">
        <v>0.1</v>
      </c>
      <c r="C1080" s="720" t="s">
        <v>819</v>
      </c>
      <c r="D1080" s="739" t="s">
        <v>802</v>
      </c>
      <c r="E1080" s="721">
        <v>1400000</v>
      </c>
      <c r="F1080" s="723">
        <v>2.5000000000000001E-2</v>
      </c>
      <c r="G1080" s="248">
        <f t="shared" si="32"/>
        <v>35000</v>
      </c>
    </row>
    <row r="1081" spans="1:7" ht="15.75">
      <c r="A1081" s="739">
        <v>14738</v>
      </c>
      <c r="B1081" s="730">
        <v>0.1</v>
      </c>
      <c r="C1081" s="720" t="s">
        <v>820</v>
      </c>
      <c r="D1081" s="739" t="s">
        <v>802</v>
      </c>
      <c r="E1081" s="721">
        <v>1800000</v>
      </c>
      <c r="F1081" s="723">
        <v>2.5000000000000001E-2</v>
      </c>
      <c r="G1081" s="248">
        <f t="shared" si="32"/>
        <v>45000</v>
      </c>
    </row>
    <row r="1082" spans="1:7" ht="15.75">
      <c r="A1082" s="739">
        <v>14767</v>
      </c>
      <c r="B1082" s="730">
        <v>0.1</v>
      </c>
      <c r="C1082" s="781" t="s">
        <v>821</v>
      </c>
      <c r="D1082" s="739" t="s">
        <v>802</v>
      </c>
      <c r="E1082" s="787">
        <v>2100000</v>
      </c>
      <c r="F1082" s="723">
        <v>2.5000000000000001E-2</v>
      </c>
      <c r="G1082" s="248">
        <f t="shared" si="32"/>
        <v>52500</v>
      </c>
    </row>
    <row r="1083" spans="1:7" ht="15.75">
      <c r="A1083" s="739">
        <v>14724</v>
      </c>
      <c r="B1083" s="783">
        <v>0.1</v>
      </c>
      <c r="C1083" s="788" t="s">
        <v>823</v>
      </c>
      <c r="D1083" s="789" t="s">
        <v>802</v>
      </c>
      <c r="E1083" s="721">
        <v>700000</v>
      </c>
      <c r="F1083" s="723">
        <v>2.5000000000000001E-2</v>
      </c>
      <c r="G1083" s="248">
        <f t="shared" si="32"/>
        <v>17500</v>
      </c>
    </row>
    <row r="1084" spans="1:7" ht="15.75">
      <c r="A1084" s="739">
        <v>14823</v>
      </c>
      <c r="B1084" s="794">
        <v>0.08</v>
      </c>
      <c r="C1084" s="720" t="s">
        <v>499</v>
      </c>
      <c r="D1084" s="790" t="s">
        <v>802</v>
      </c>
      <c r="E1084" s="728">
        <v>1850000</v>
      </c>
      <c r="F1084" s="724">
        <v>1.4999999999999999E-2</v>
      </c>
      <c r="G1084" s="248">
        <f t="shared" si="32"/>
        <v>27750</v>
      </c>
    </row>
    <row r="1085" spans="1:7" ht="15.75">
      <c r="A1085" s="739">
        <v>14852</v>
      </c>
      <c r="B1085" s="730">
        <v>0.1</v>
      </c>
      <c r="C1085" s="786" t="s">
        <v>825</v>
      </c>
      <c r="D1085" s="789" t="s">
        <v>802</v>
      </c>
      <c r="E1085" s="782">
        <v>1200000</v>
      </c>
      <c r="F1085" s="723">
        <v>2.5000000000000001E-2</v>
      </c>
      <c r="G1085" s="248">
        <f t="shared" si="32"/>
        <v>30000</v>
      </c>
    </row>
    <row r="1086" spans="1:7" ht="18">
      <c r="A1086" s="190"/>
      <c r="B1086" s="190"/>
      <c r="C1086" s="190"/>
      <c r="D1086" s="190"/>
      <c r="E1086" s="191">
        <f>SUM(E1025:E1085)</f>
        <v>87841000</v>
      </c>
      <c r="F1086" s="190"/>
      <c r="G1086" s="191">
        <f>SUM(G1025:G1085)</f>
        <v>1793995</v>
      </c>
    </row>
    <row r="1091" spans="1:7">
      <c r="A1091" s="1002" t="s">
        <v>538</v>
      </c>
      <c r="B1091" s="1003"/>
      <c r="C1091" s="1003"/>
      <c r="D1091" s="1003"/>
      <c r="E1091" s="1003"/>
      <c r="F1091" s="1003"/>
      <c r="G1091" s="1004"/>
    </row>
    <row r="1092" spans="1:7">
      <c r="A1092" s="1005"/>
      <c r="B1092" s="1006"/>
      <c r="C1092" s="1006"/>
      <c r="D1092" s="1006"/>
      <c r="E1092" s="1006"/>
      <c r="F1092" s="1006"/>
      <c r="G1092" s="1007"/>
    </row>
    <row r="1093" spans="1:7">
      <c r="A1093" s="1005"/>
      <c r="B1093" s="1006"/>
      <c r="C1093" s="1006"/>
      <c r="D1093" s="1006"/>
      <c r="E1093" s="1006"/>
      <c r="F1093" s="1006"/>
      <c r="G1093" s="1007"/>
    </row>
    <row r="1094" spans="1:7">
      <c r="A1094" s="1008"/>
      <c r="B1094" s="1009"/>
      <c r="C1094" s="1009"/>
      <c r="D1094" s="1009"/>
      <c r="E1094" s="1009"/>
      <c r="F1094" s="1009"/>
      <c r="G1094" s="1010"/>
    </row>
    <row r="1096" spans="1:7">
      <c r="A1096" s="994" t="s">
        <v>830</v>
      </c>
      <c r="B1096" s="994"/>
      <c r="C1096" s="994"/>
      <c r="D1096" s="994"/>
      <c r="E1096" s="994"/>
      <c r="F1096" s="994"/>
      <c r="G1096" s="994"/>
    </row>
    <row r="1097" spans="1:7">
      <c r="A1097" s="994"/>
      <c r="B1097" s="994"/>
      <c r="C1097" s="994"/>
      <c r="D1097" s="994"/>
      <c r="E1097" s="994"/>
      <c r="F1097" s="994"/>
      <c r="G1097" s="994"/>
    </row>
    <row r="1098" spans="1:7">
      <c r="A1098" s="493" t="s">
        <v>3</v>
      </c>
      <c r="B1098" s="175" t="s">
        <v>709</v>
      </c>
      <c r="C1098" s="493" t="s">
        <v>710</v>
      </c>
      <c r="D1098" s="176" t="s">
        <v>711</v>
      </c>
      <c r="E1098" s="177" t="s">
        <v>300</v>
      </c>
      <c r="F1098" s="178" t="s">
        <v>7</v>
      </c>
      <c r="G1098" s="179" t="s">
        <v>50</v>
      </c>
    </row>
    <row r="1099" spans="1:7" ht="15.75">
      <c r="A1099" s="214">
        <v>14935</v>
      </c>
      <c r="B1099" s="308">
        <v>0.1</v>
      </c>
      <c r="C1099" s="241" t="s">
        <v>541</v>
      </c>
      <c r="D1099" s="216"/>
      <c r="E1099" s="216">
        <v>1550000</v>
      </c>
      <c r="F1099" s="247">
        <v>0.05</v>
      </c>
      <c r="G1099" s="248">
        <f>E1099*F1099</f>
        <v>77500</v>
      </c>
    </row>
    <row r="1100" spans="1:7" ht="15.75">
      <c r="A1100" s="214">
        <v>14984</v>
      </c>
      <c r="B1100" s="308">
        <v>0.1</v>
      </c>
      <c r="C1100" s="241" t="s">
        <v>544</v>
      </c>
      <c r="D1100" s="216"/>
      <c r="E1100" s="216">
        <v>900000</v>
      </c>
      <c r="F1100" s="247">
        <v>0.05</v>
      </c>
      <c r="G1100" s="248">
        <f t="shared" ref="G1100:G1113" si="33">E1100*F1100</f>
        <v>45000</v>
      </c>
    </row>
    <row r="1101" spans="1:7" ht="15.75">
      <c r="A1101" s="545">
        <v>14902</v>
      </c>
      <c r="B1101" s="342">
        <v>0.1</v>
      </c>
      <c r="C1101" s="241" t="s">
        <v>564</v>
      </c>
      <c r="D1101" s="242"/>
      <c r="E1101" s="242">
        <v>1800000</v>
      </c>
      <c r="F1101" s="247">
        <v>0.05</v>
      </c>
      <c r="G1101" s="248">
        <f t="shared" si="33"/>
        <v>90000</v>
      </c>
    </row>
    <row r="1102" spans="1:7" ht="15.75">
      <c r="A1102" s="545">
        <v>15076</v>
      </c>
      <c r="B1102" s="793">
        <v>0.08</v>
      </c>
      <c r="C1102" s="241" t="s">
        <v>553</v>
      </c>
      <c r="D1102" s="242"/>
      <c r="E1102" s="242">
        <v>2500000</v>
      </c>
      <c r="F1102" s="349">
        <v>0.04</v>
      </c>
      <c r="G1102" s="248">
        <f t="shared" si="33"/>
        <v>100000</v>
      </c>
    </row>
    <row r="1103" spans="1:7" ht="15.75">
      <c r="A1103" s="545">
        <v>15057</v>
      </c>
      <c r="B1103" s="342">
        <v>0.1</v>
      </c>
      <c r="C1103" s="241" t="s">
        <v>571</v>
      </c>
      <c r="D1103" s="242"/>
      <c r="E1103" s="242">
        <v>1100000</v>
      </c>
      <c r="F1103" s="247">
        <v>0.05</v>
      </c>
      <c r="G1103" s="248">
        <f t="shared" si="33"/>
        <v>55000</v>
      </c>
    </row>
    <row r="1104" spans="1:7" ht="15.75">
      <c r="A1104" s="214">
        <v>15091</v>
      </c>
      <c r="B1104" s="308">
        <v>0.1</v>
      </c>
      <c r="C1104" s="241" t="s">
        <v>550</v>
      </c>
      <c r="D1104" s="216"/>
      <c r="E1104" s="216">
        <v>1250000</v>
      </c>
      <c r="F1104" s="247">
        <v>0.05</v>
      </c>
      <c r="G1104" s="248">
        <f t="shared" si="33"/>
        <v>62500</v>
      </c>
    </row>
    <row r="1105" spans="1:7" ht="15.75">
      <c r="A1105" s="214">
        <v>15093</v>
      </c>
      <c r="B1105" s="806">
        <v>0.1</v>
      </c>
      <c r="C1105" s="241" t="s">
        <v>551</v>
      </c>
      <c r="D1105" s="216"/>
      <c r="E1105" s="216">
        <v>1350000</v>
      </c>
      <c r="F1105" s="247">
        <v>0.05</v>
      </c>
      <c r="G1105" s="248">
        <f t="shared" si="33"/>
        <v>67500</v>
      </c>
    </row>
    <row r="1106" spans="1:7" ht="15.75">
      <c r="A1106" s="739">
        <v>15073</v>
      </c>
      <c r="B1106" s="794">
        <v>0.08</v>
      </c>
      <c r="C1106" s="786" t="s">
        <v>831</v>
      </c>
      <c r="D1106" s="789" t="s">
        <v>802</v>
      </c>
      <c r="E1106" s="782">
        <v>1700000</v>
      </c>
      <c r="F1106" s="794">
        <v>0.04</v>
      </c>
      <c r="G1106" s="248">
        <f t="shared" si="33"/>
        <v>68000</v>
      </c>
    </row>
    <row r="1107" spans="1:7" ht="15.75">
      <c r="A1107" s="739">
        <v>14874</v>
      </c>
      <c r="B1107" s="730">
        <v>0.1</v>
      </c>
      <c r="C1107" s="722" t="s">
        <v>832</v>
      </c>
      <c r="D1107" s="739" t="s">
        <v>802</v>
      </c>
      <c r="E1107" s="721">
        <v>950000</v>
      </c>
      <c r="F1107" s="794">
        <v>0.02</v>
      </c>
      <c r="G1107" s="248">
        <f t="shared" si="33"/>
        <v>19000</v>
      </c>
    </row>
    <row r="1108" spans="1:7" ht="15.75">
      <c r="A1108" s="808">
        <v>14925</v>
      </c>
      <c r="B1108" s="730">
        <v>0.1</v>
      </c>
      <c r="C1108" s="722" t="s">
        <v>833</v>
      </c>
      <c r="D1108" s="739" t="s">
        <v>802</v>
      </c>
      <c r="E1108" s="721">
        <v>1200000</v>
      </c>
      <c r="F1108" s="783">
        <v>0.05</v>
      </c>
      <c r="G1108" s="248">
        <f t="shared" si="33"/>
        <v>60000</v>
      </c>
    </row>
    <row r="1109" spans="1:7" ht="15.75">
      <c r="A1109" s="809">
        <v>14937</v>
      </c>
      <c r="B1109" s="810">
        <v>0.1</v>
      </c>
      <c r="C1109" s="722" t="s">
        <v>834</v>
      </c>
      <c r="D1109" s="739" t="s">
        <v>802</v>
      </c>
      <c r="E1109" s="721">
        <v>2100000</v>
      </c>
      <c r="F1109" s="794">
        <v>0.02</v>
      </c>
      <c r="G1109" s="248">
        <f t="shared" si="33"/>
        <v>42000</v>
      </c>
    </row>
    <row r="1110" spans="1:7" ht="15.75">
      <c r="A1110" s="811">
        <v>14998</v>
      </c>
      <c r="B1110" s="730">
        <v>0.1</v>
      </c>
      <c r="C1110" s="722" t="s">
        <v>835</v>
      </c>
      <c r="D1110" s="739" t="s">
        <v>802</v>
      </c>
      <c r="E1110" s="721">
        <v>1350000</v>
      </c>
      <c r="F1110" s="783">
        <v>0.05</v>
      </c>
      <c r="G1110" s="248">
        <f t="shared" si="33"/>
        <v>67500</v>
      </c>
    </row>
    <row r="1111" spans="1:7" ht="15.75">
      <c r="A1111" s="811">
        <v>15008</v>
      </c>
      <c r="B1111" s="730">
        <v>0.1</v>
      </c>
      <c r="C1111" s="722" t="s">
        <v>836</v>
      </c>
      <c r="D1111" s="739" t="s">
        <v>802</v>
      </c>
      <c r="E1111" s="721">
        <v>2050000</v>
      </c>
      <c r="F1111" s="783">
        <v>0.05</v>
      </c>
      <c r="G1111" s="248">
        <f t="shared" si="33"/>
        <v>102500</v>
      </c>
    </row>
    <row r="1112" spans="1:7" ht="15.75">
      <c r="A1112" s="811">
        <v>15115</v>
      </c>
      <c r="B1112" s="730">
        <v>0.1</v>
      </c>
      <c r="C1112" s="722" t="s">
        <v>837</v>
      </c>
      <c r="D1112" s="739" t="s">
        <v>802</v>
      </c>
      <c r="E1112" s="721">
        <v>2000000</v>
      </c>
      <c r="F1112" s="783">
        <v>0.05</v>
      </c>
      <c r="G1112" s="248">
        <f t="shared" si="33"/>
        <v>100000</v>
      </c>
    </row>
    <row r="1113" spans="1:7" ht="15.75">
      <c r="A1113" s="739">
        <v>15112</v>
      </c>
      <c r="B1113" s="730">
        <v>0.1</v>
      </c>
      <c r="C1113" s="722" t="s">
        <v>838</v>
      </c>
      <c r="D1113" s="739" t="s">
        <v>802</v>
      </c>
      <c r="E1113" s="721">
        <v>900000</v>
      </c>
      <c r="F1113" s="783">
        <v>0.05</v>
      </c>
      <c r="G1113" s="248">
        <f t="shared" si="33"/>
        <v>45000</v>
      </c>
    </row>
    <row r="1114" spans="1:7" ht="15.75">
      <c r="A1114" s="766"/>
      <c r="B1114" s="666"/>
      <c r="C1114" s="802"/>
      <c r="D1114" s="505"/>
      <c r="E1114" s="803"/>
      <c r="F1114" s="800"/>
      <c r="G1114" s="801"/>
    </row>
    <row r="1115" spans="1:7" ht="18">
      <c r="A1115" s="461"/>
      <c r="B1115" s="461"/>
      <c r="C1115" s="461"/>
      <c r="D1115" s="181"/>
      <c r="E1115" s="767">
        <f>SUM(E1099:E1114)</f>
        <v>22700000</v>
      </c>
      <c r="F1115" s="180"/>
      <c r="G1115" s="606">
        <f>SUM(G1099:G1114)</f>
        <v>1001500</v>
      </c>
    </row>
    <row r="1119" spans="1:7">
      <c r="A1119" s="994" t="s">
        <v>839</v>
      </c>
      <c r="B1119" s="994"/>
      <c r="C1119" s="994"/>
      <c r="D1119" s="994"/>
      <c r="E1119" s="994"/>
      <c r="F1119" s="994"/>
      <c r="G1119" s="994"/>
    </row>
    <row r="1120" spans="1:7">
      <c r="A1120" s="994"/>
      <c r="B1120" s="995"/>
      <c r="C1120" s="995"/>
      <c r="D1120" s="994"/>
      <c r="E1120" s="994"/>
      <c r="F1120" s="994"/>
      <c r="G1120" s="994"/>
    </row>
    <row r="1121" spans="1:7">
      <c r="A1121" s="184" t="s">
        <v>3</v>
      </c>
      <c r="B1121" s="195" t="s">
        <v>709</v>
      </c>
      <c r="C1121" s="184" t="s">
        <v>710</v>
      </c>
      <c r="D1121" s="176" t="s">
        <v>711</v>
      </c>
      <c r="E1121" s="197" t="s">
        <v>300</v>
      </c>
      <c r="F1121" s="178" t="s">
        <v>7</v>
      </c>
      <c r="G1121" s="537" t="s">
        <v>50</v>
      </c>
    </row>
    <row r="1122" spans="1:7" ht="15.75">
      <c r="A1122" s="260">
        <v>14904</v>
      </c>
      <c r="B1122" s="308">
        <v>0.1</v>
      </c>
      <c r="C1122" s="241" t="s">
        <v>540</v>
      </c>
      <c r="D1122" s="230"/>
      <c r="E1122" s="230">
        <v>1650000</v>
      </c>
      <c r="F1122" s="250">
        <v>0.05</v>
      </c>
      <c r="G1122" s="226">
        <f>E1122*F1122</f>
        <v>82500</v>
      </c>
    </row>
    <row r="1123" spans="1:7" ht="15.75">
      <c r="A1123" s="214">
        <v>14947</v>
      </c>
      <c r="B1123" s="526">
        <v>0.08</v>
      </c>
      <c r="C1123" s="241" t="s">
        <v>543</v>
      </c>
      <c r="D1123" s="216"/>
      <c r="E1123" s="216">
        <v>900000</v>
      </c>
      <c r="F1123" s="225">
        <v>0.04</v>
      </c>
      <c r="G1123" s="226">
        <f t="shared" ref="G1123:G1136" si="34">E1123*F1123</f>
        <v>36000</v>
      </c>
    </row>
    <row r="1124" spans="1:7" ht="15.75">
      <c r="A1124" s="675">
        <v>15003</v>
      </c>
      <c r="B1124" s="308">
        <v>0.1</v>
      </c>
      <c r="C1124" s="241" t="s">
        <v>546</v>
      </c>
      <c r="D1124" s="216"/>
      <c r="E1124" s="216">
        <v>1700000</v>
      </c>
      <c r="F1124" s="250">
        <v>0.05</v>
      </c>
      <c r="G1124" s="226">
        <f t="shared" si="34"/>
        <v>85000</v>
      </c>
    </row>
    <row r="1125" spans="1:7" ht="15.75">
      <c r="A1125" s="675">
        <v>15019</v>
      </c>
      <c r="B1125" s="308">
        <v>0.1</v>
      </c>
      <c r="C1125" s="241" t="s">
        <v>547</v>
      </c>
      <c r="D1125" s="216"/>
      <c r="E1125" s="216">
        <v>1300000</v>
      </c>
      <c r="F1125" s="250">
        <v>0.05</v>
      </c>
      <c r="G1125" s="226">
        <f t="shared" si="34"/>
        <v>65000</v>
      </c>
    </row>
    <row r="1126" spans="1:7" ht="15.75">
      <c r="A1126" s="675">
        <v>15050</v>
      </c>
      <c r="B1126" s="308">
        <v>0.1</v>
      </c>
      <c r="C1126" s="241" t="s">
        <v>548</v>
      </c>
      <c r="D1126" s="216"/>
      <c r="E1126" s="216">
        <v>2150000</v>
      </c>
      <c r="F1126" s="250">
        <v>0.05</v>
      </c>
      <c r="G1126" s="226">
        <f t="shared" si="34"/>
        <v>107500</v>
      </c>
    </row>
    <row r="1127" spans="1:7" ht="15.75">
      <c r="A1127" s="341">
        <v>14878</v>
      </c>
      <c r="B1127" s="308">
        <v>0.1</v>
      </c>
      <c r="C1127" s="241" t="s">
        <v>562</v>
      </c>
      <c r="D1127" s="242"/>
      <c r="E1127" s="242">
        <v>2100000</v>
      </c>
      <c r="F1127" s="250">
        <v>0.05</v>
      </c>
      <c r="G1127" s="226">
        <f t="shared" si="34"/>
        <v>105000</v>
      </c>
    </row>
    <row r="1128" spans="1:7" ht="15.75">
      <c r="A1128" s="545">
        <v>14941</v>
      </c>
      <c r="B1128" s="342">
        <v>0.1</v>
      </c>
      <c r="C1128" s="241" t="s">
        <v>565</v>
      </c>
      <c r="D1128" s="242"/>
      <c r="E1128" s="242">
        <v>1200000</v>
      </c>
      <c r="F1128" s="250">
        <v>0.05</v>
      </c>
      <c r="G1128" s="226">
        <f t="shared" si="34"/>
        <v>60000</v>
      </c>
    </row>
    <row r="1129" spans="1:7" ht="15.75">
      <c r="A1129" s="545">
        <v>14958</v>
      </c>
      <c r="B1129" s="342">
        <v>0.1</v>
      </c>
      <c r="C1129" s="241" t="s">
        <v>567</v>
      </c>
      <c r="D1129" s="242"/>
      <c r="E1129" s="242">
        <v>1300000</v>
      </c>
      <c r="F1129" s="250">
        <v>0.05</v>
      </c>
      <c r="G1129" s="226">
        <f t="shared" si="34"/>
        <v>65000</v>
      </c>
    </row>
    <row r="1130" spans="1:7" ht="15.75">
      <c r="A1130" s="545">
        <v>15015</v>
      </c>
      <c r="B1130" s="342">
        <v>0.1</v>
      </c>
      <c r="C1130" s="241" t="s">
        <v>568</v>
      </c>
      <c r="D1130" s="242"/>
      <c r="E1130" s="242">
        <v>1800000</v>
      </c>
      <c r="F1130" s="250">
        <v>0.05</v>
      </c>
      <c r="G1130" s="226">
        <f t="shared" si="34"/>
        <v>90000</v>
      </c>
    </row>
    <row r="1131" spans="1:7" ht="15.75">
      <c r="A1131" s="545">
        <v>15024</v>
      </c>
      <c r="B1131" s="342">
        <v>0.1</v>
      </c>
      <c r="C1131" s="241" t="s">
        <v>569</v>
      </c>
      <c r="D1131" s="242"/>
      <c r="E1131" s="242">
        <v>3000000</v>
      </c>
      <c r="F1131" s="250">
        <v>0.05</v>
      </c>
      <c r="G1131" s="226">
        <f t="shared" si="34"/>
        <v>150000</v>
      </c>
    </row>
    <row r="1132" spans="1:7" ht="15.75">
      <c r="A1132" s="545">
        <v>15062</v>
      </c>
      <c r="B1132" s="793">
        <v>0.08</v>
      </c>
      <c r="C1132" s="241" t="s">
        <v>572</v>
      </c>
      <c r="D1132" s="242"/>
      <c r="E1132" s="242">
        <v>2300000</v>
      </c>
      <c r="F1132" s="225">
        <v>0.04</v>
      </c>
      <c r="G1132" s="226">
        <f t="shared" si="34"/>
        <v>92000</v>
      </c>
    </row>
    <row r="1133" spans="1:7" ht="15.75">
      <c r="A1133" s="300">
        <v>15100</v>
      </c>
      <c r="B1133" s="347">
        <v>0.08</v>
      </c>
      <c r="C1133" s="272" t="s">
        <v>578</v>
      </c>
      <c r="D1133" s="278"/>
      <c r="E1133" s="278">
        <v>2700000</v>
      </c>
      <c r="F1133" s="225">
        <v>0.04</v>
      </c>
      <c r="G1133" s="226">
        <f t="shared" si="34"/>
        <v>108000</v>
      </c>
    </row>
    <row r="1134" spans="1:7" ht="15.75">
      <c r="A1134" s="739">
        <v>14909</v>
      </c>
      <c r="B1134" s="783">
        <v>0.1</v>
      </c>
      <c r="C1134" s="786" t="s">
        <v>840</v>
      </c>
      <c r="D1134" s="789" t="s">
        <v>802</v>
      </c>
      <c r="E1134" s="782">
        <v>1100000</v>
      </c>
      <c r="F1134" s="250">
        <v>0.05</v>
      </c>
      <c r="G1134" s="226">
        <f t="shared" si="34"/>
        <v>55000</v>
      </c>
    </row>
    <row r="1135" spans="1:7" ht="15.75">
      <c r="A1135" s="739">
        <v>15013</v>
      </c>
      <c r="B1135" s="783">
        <v>0.1</v>
      </c>
      <c r="C1135" s="786" t="s">
        <v>841</v>
      </c>
      <c r="D1135" s="789" t="s">
        <v>802</v>
      </c>
      <c r="E1135" s="782">
        <v>1000000</v>
      </c>
      <c r="F1135" s="250">
        <v>0.05</v>
      </c>
      <c r="G1135" s="226">
        <f t="shared" si="34"/>
        <v>50000</v>
      </c>
    </row>
    <row r="1136" spans="1:7" ht="15.75">
      <c r="A1136" s="739">
        <v>14964</v>
      </c>
      <c r="B1136" s="730">
        <v>0.1</v>
      </c>
      <c r="C1136" s="785" t="s">
        <v>842</v>
      </c>
      <c r="D1136" s="739" t="s">
        <v>802</v>
      </c>
      <c r="E1136" s="721">
        <v>2000000</v>
      </c>
      <c r="F1136" s="250">
        <v>0.05</v>
      </c>
      <c r="G1136" s="226">
        <f t="shared" si="34"/>
        <v>100000</v>
      </c>
    </row>
    <row r="1137" spans="1:7" ht="18">
      <c r="A1137" s="190"/>
      <c r="B1137" s="190"/>
      <c r="C1137" s="190"/>
      <c r="D1137" s="189"/>
      <c r="E1137" s="200">
        <f>SUM(E1122:E1136)</f>
        <v>26200000</v>
      </c>
      <c r="F1137" s="201"/>
      <c r="G1137" s="192">
        <f>SUM(G1122:G1136)</f>
        <v>1251000</v>
      </c>
    </row>
    <row r="1140" spans="1:7">
      <c r="A1140" s="994" t="s">
        <v>843</v>
      </c>
      <c r="B1140" s="994"/>
      <c r="C1140" s="994"/>
      <c r="D1140" s="994"/>
      <c r="E1140" s="994"/>
      <c r="F1140" s="994"/>
      <c r="G1140" s="994"/>
    </row>
    <row r="1141" spans="1:7">
      <c r="A1141" s="994"/>
      <c r="B1141" s="995"/>
      <c r="C1141" s="995"/>
      <c r="D1141" s="994"/>
      <c r="E1141" s="994"/>
      <c r="F1141" s="994"/>
      <c r="G1141" s="994"/>
    </row>
    <row r="1142" spans="1:7">
      <c r="A1142" s="184" t="s">
        <v>3</v>
      </c>
      <c r="B1142" s="195" t="s">
        <v>709</v>
      </c>
      <c r="C1142" s="184" t="s">
        <v>710</v>
      </c>
      <c r="D1142" s="176" t="s">
        <v>711</v>
      </c>
      <c r="E1142" s="197" t="s">
        <v>300</v>
      </c>
      <c r="F1142" s="178" t="s">
        <v>7</v>
      </c>
      <c r="G1142" s="537" t="s">
        <v>50</v>
      </c>
    </row>
    <row r="1143" spans="1:7" ht="15.75">
      <c r="A1143" s="675">
        <v>15075</v>
      </c>
      <c r="B1143" s="308">
        <v>0.1</v>
      </c>
      <c r="C1143" s="241" t="s">
        <v>549</v>
      </c>
      <c r="D1143" s="216"/>
      <c r="E1143" s="216">
        <v>1800000</v>
      </c>
      <c r="F1143" s="250">
        <v>0.02</v>
      </c>
      <c r="G1143" s="226">
        <f>E1143*F1143</f>
        <v>36000</v>
      </c>
    </row>
    <row r="1144" spans="1:7" ht="15.75">
      <c r="A1144" s="545">
        <v>15025</v>
      </c>
      <c r="B1144" s="342">
        <v>0.1</v>
      </c>
      <c r="C1144" s="241" t="s">
        <v>570</v>
      </c>
      <c r="D1144" s="242"/>
      <c r="E1144" s="242">
        <v>1100000</v>
      </c>
      <c r="F1144" s="250">
        <v>0.02</v>
      </c>
      <c r="G1144" s="226">
        <f t="shared" ref="G1144:G1149" si="35">E1144*F1144</f>
        <v>22000</v>
      </c>
    </row>
    <row r="1145" spans="1:7" ht="15.75">
      <c r="A1145" s="545">
        <v>15070</v>
      </c>
      <c r="B1145" s="342">
        <v>0.1</v>
      </c>
      <c r="C1145" s="241" t="s">
        <v>573</v>
      </c>
      <c r="D1145" s="242"/>
      <c r="E1145" s="242">
        <v>2200000</v>
      </c>
      <c r="F1145" s="250">
        <v>0.02</v>
      </c>
      <c r="G1145" s="226">
        <f t="shared" si="35"/>
        <v>44000</v>
      </c>
    </row>
    <row r="1146" spans="1:7" ht="15.75">
      <c r="A1146" s="293">
        <v>15101</v>
      </c>
      <c r="B1146" s="231">
        <v>0.1</v>
      </c>
      <c r="C1146" s="241" t="s">
        <v>577</v>
      </c>
      <c r="D1146" s="242"/>
      <c r="E1146" s="242">
        <v>1200000</v>
      </c>
      <c r="F1146" s="250">
        <v>0.02</v>
      </c>
      <c r="G1146" s="226">
        <f t="shared" si="35"/>
        <v>24000</v>
      </c>
    </row>
    <row r="1147" spans="1:7" ht="15.75">
      <c r="A1147" s="545">
        <v>15097</v>
      </c>
      <c r="B1147" s="342">
        <v>0.1</v>
      </c>
      <c r="C1147" s="241" t="s">
        <v>554</v>
      </c>
      <c r="D1147" s="278"/>
      <c r="E1147" s="278">
        <v>2200000</v>
      </c>
      <c r="F1147" s="250">
        <v>0.02</v>
      </c>
      <c r="G1147" s="226">
        <f t="shared" si="35"/>
        <v>44000</v>
      </c>
    </row>
    <row r="1148" spans="1:7" ht="15.75">
      <c r="A1148" s="777">
        <v>15118</v>
      </c>
      <c r="B1148" s="526">
        <v>0.08</v>
      </c>
      <c r="C1148" s="241" t="s">
        <v>555</v>
      </c>
      <c r="D1148" s="216"/>
      <c r="E1148" s="216">
        <v>750000</v>
      </c>
      <c r="F1148" s="225">
        <v>0.01</v>
      </c>
      <c r="G1148" s="226">
        <f t="shared" si="35"/>
        <v>7500</v>
      </c>
    </row>
    <row r="1149" spans="1:7" ht="15.75">
      <c r="A1149" s="260">
        <v>15132</v>
      </c>
      <c r="B1149" s="308">
        <v>0.1</v>
      </c>
      <c r="C1149" s="241" t="s">
        <v>556</v>
      </c>
      <c r="D1149" s="216"/>
      <c r="E1149" s="216">
        <v>1750000</v>
      </c>
      <c r="F1149" s="250">
        <v>0.02</v>
      </c>
      <c r="G1149" s="226">
        <f t="shared" si="35"/>
        <v>35000</v>
      </c>
    </row>
    <row r="1150" spans="1:7" ht="18">
      <c r="A1150" s="689"/>
      <c r="B1150" s="690"/>
      <c r="C1150" s="691"/>
      <c r="D1150" s="692"/>
      <c r="E1150" s="693">
        <f>SUM(E1143:E1149)</f>
        <v>11000000</v>
      </c>
      <c r="F1150" s="666"/>
      <c r="G1150" s="695">
        <f>SUM(G1143:G1149)</f>
        <v>212500</v>
      </c>
    </row>
    <row r="1153" spans="1:7">
      <c r="A1153" s="994" t="s">
        <v>844</v>
      </c>
      <c r="B1153" s="994"/>
      <c r="C1153" s="994"/>
      <c r="D1153" s="994"/>
      <c r="E1153" s="994"/>
      <c r="F1153" s="994"/>
      <c r="G1153" s="994"/>
    </row>
    <row r="1154" spans="1:7">
      <c r="A1154" s="994"/>
      <c r="B1154" s="995"/>
      <c r="C1154" s="995"/>
      <c r="D1154" s="994"/>
      <c r="E1154" s="994"/>
      <c r="F1154" s="994"/>
      <c r="G1154" s="994"/>
    </row>
    <row r="1155" spans="1:7">
      <c r="A1155" s="615" t="s">
        <v>3</v>
      </c>
      <c r="B1155" s="184" t="s">
        <v>709</v>
      </c>
      <c r="C1155" s="805" t="s">
        <v>710</v>
      </c>
      <c r="D1155" s="176" t="s">
        <v>711</v>
      </c>
      <c r="E1155" s="197" t="s">
        <v>300</v>
      </c>
      <c r="F1155" s="178" t="s">
        <v>7</v>
      </c>
      <c r="G1155" s="537" t="s">
        <v>50</v>
      </c>
    </row>
    <row r="1156" spans="1:7" ht="15.75">
      <c r="A1156" s="545">
        <v>14962</v>
      </c>
      <c r="B1156" s="342">
        <v>0.1</v>
      </c>
      <c r="C1156" s="241" t="s">
        <v>566</v>
      </c>
      <c r="D1156" s="242"/>
      <c r="E1156" s="242">
        <v>1100000</v>
      </c>
      <c r="F1156" s="250">
        <v>0.04</v>
      </c>
      <c r="G1156" s="226">
        <f>E1156*F1156</f>
        <v>44000</v>
      </c>
    </row>
    <row r="1157" spans="1:7" ht="15.75">
      <c r="A1157" s="611">
        <v>15001</v>
      </c>
      <c r="B1157" s="231">
        <v>0.1</v>
      </c>
      <c r="C1157" s="272" t="s">
        <v>580</v>
      </c>
      <c r="D1157" s="278"/>
      <c r="E1157" s="278">
        <v>1440000</v>
      </c>
      <c r="F1157" s="250">
        <v>0.04</v>
      </c>
      <c r="G1157" s="226">
        <f t="shared" ref="G1157:G1168" si="36">E1157*F1157</f>
        <v>57600</v>
      </c>
    </row>
    <row r="1158" spans="1:7" ht="15.75">
      <c r="A1158" s="739">
        <v>14881</v>
      </c>
      <c r="B1158" s="730">
        <v>0.1</v>
      </c>
      <c r="C1158" s="812" t="s">
        <v>845</v>
      </c>
      <c r="D1158" s="739" t="s">
        <v>802</v>
      </c>
      <c r="E1158" s="721">
        <v>1250000</v>
      </c>
      <c r="F1158" s="250">
        <v>0.04</v>
      </c>
      <c r="G1158" s="226">
        <f t="shared" si="36"/>
        <v>50000</v>
      </c>
    </row>
    <row r="1159" spans="1:7" ht="15.75">
      <c r="A1159" s="739">
        <v>14887</v>
      </c>
      <c r="B1159" s="730">
        <v>0.1</v>
      </c>
      <c r="C1159" s="812" t="s">
        <v>846</v>
      </c>
      <c r="D1159" s="739" t="s">
        <v>802</v>
      </c>
      <c r="E1159" s="721">
        <v>3057000</v>
      </c>
      <c r="F1159" s="250">
        <v>0.04</v>
      </c>
      <c r="G1159" s="226">
        <f t="shared" si="36"/>
        <v>122280</v>
      </c>
    </row>
    <row r="1160" spans="1:7" ht="15.75">
      <c r="A1160" s="739">
        <v>14989</v>
      </c>
      <c r="B1160" s="730">
        <v>0.1</v>
      </c>
      <c r="C1160" s="812" t="s">
        <v>847</v>
      </c>
      <c r="D1160" s="739" t="s">
        <v>802</v>
      </c>
      <c r="E1160" s="721">
        <v>1350000</v>
      </c>
      <c r="F1160" s="250">
        <v>0.04</v>
      </c>
      <c r="G1160" s="226">
        <f t="shared" si="36"/>
        <v>54000</v>
      </c>
    </row>
    <row r="1161" spans="1:7" ht="15.75">
      <c r="A1161" s="739">
        <v>15009</v>
      </c>
      <c r="B1161" s="730">
        <v>0.1</v>
      </c>
      <c r="C1161" s="812" t="s">
        <v>848</v>
      </c>
      <c r="D1161" s="739" t="s">
        <v>802</v>
      </c>
      <c r="E1161" s="721">
        <v>1000000</v>
      </c>
      <c r="F1161" s="250">
        <v>0.04</v>
      </c>
      <c r="G1161" s="226">
        <f t="shared" si="36"/>
        <v>40000</v>
      </c>
    </row>
    <row r="1162" spans="1:7" ht="15.75">
      <c r="A1162" s="739">
        <v>15032</v>
      </c>
      <c r="B1162" s="730">
        <v>0.1</v>
      </c>
      <c r="C1162" s="812" t="s">
        <v>849</v>
      </c>
      <c r="D1162" s="739" t="s">
        <v>802</v>
      </c>
      <c r="E1162" s="721">
        <v>2200000</v>
      </c>
      <c r="F1162" s="250">
        <v>0.04</v>
      </c>
      <c r="G1162" s="226">
        <f t="shared" si="36"/>
        <v>88000</v>
      </c>
    </row>
    <row r="1163" spans="1:7" ht="15.75">
      <c r="A1163" s="739">
        <v>15084</v>
      </c>
      <c r="B1163" s="730">
        <v>0.1</v>
      </c>
      <c r="C1163" s="788" t="s">
        <v>850</v>
      </c>
      <c r="D1163" s="739" t="s">
        <v>802</v>
      </c>
      <c r="E1163" s="721">
        <v>1300000</v>
      </c>
      <c r="F1163" s="250">
        <v>0.04</v>
      </c>
      <c r="G1163" s="226">
        <f t="shared" si="36"/>
        <v>52000</v>
      </c>
    </row>
    <row r="1164" spans="1:7" ht="15.75">
      <c r="A1164" s="739">
        <v>14862</v>
      </c>
      <c r="B1164" s="783">
        <v>0.1</v>
      </c>
      <c r="C1164" s="720" t="s">
        <v>851</v>
      </c>
      <c r="D1164" s="789" t="s">
        <v>802</v>
      </c>
      <c r="E1164" s="782">
        <v>1150000</v>
      </c>
      <c r="F1164" s="250">
        <v>0.04</v>
      </c>
      <c r="G1164" s="226">
        <f t="shared" si="36"/>
        <v>46000</v>
      </c>
    </row>
    <row r="1165" spans="1:7" ht="15.75">
      <c r="A1165" s="739">
        <v>14959</v>
      </c>
      <c r="B1165" s="731">
        <v>0.08</v>
      </c>
      <c r="C1165" s="785" t="s">
        <v>852</v>
      </c>
      <c r="D1165" s="739" t="s">
        <v>802</v>
      </c>
      <c r="E1165" s="721">
        <v>1200000</v>
      </c>
      <c r="F1165" s="731">
        <v>0.03</v>
      </c>
      <c r="G1165" s="226">
        <f t="shared" si="36"/>
        <v>36000</v>
      </c>
    </row>
    <row r="1166" spans="1:7" ht="15.75">
      <c r="A1166" s="814">
        <v>14960</v>
      </c>
      <c r="B1166" s="730">
        <v>0.1</v>
      </c>
      <c r="C1166" s="785" t="s">
        <v>853</v>
      </c>
      <c r="D1166" s="739" t="s">
        <v>802</v>
      </c>
      <c r="E1166" s="721">
        <v>900000</v>
      </c>
      <c r="F1166" s="730">
        <v>0.04</v>
      </c>
      <c r="G1166" s="226">
        <f t="shared" si="36"/>
        <v>36000</v>
      </c>
    </row>
    <row r="1167" spans="1:7" ht="15.75">
      <c r="A1167" s="739">
        <v>15106</v>
      </c>
      <c r="B1167" s="816">
        <v>0.1</v>
      </c>
      <c r="C1167" s="786" t="s">
        <v>854</v>
      </c>
      <c r="D1167" s="789" t="s">
        <v>802</v>
      </c>
      <c r="E1167" s="782">
        <v>1400000</v>
      </c>
      <c r="F1167" s="730">
        <v>0.04</v>
      </c>
      <c r="G1167" s="226">
        <f t="shared" si="36"/>
        <v>56000</v>
      </c>
    </row>
    <row r="1168" spans="1:7" ht="15.75">
      <c r="A1168" s="807">
        <v>15111</v>
      </c>
      <c r="B1168" s="730">
        <v>0.1</v>
      </c>
      <c r="C1168" s="815" t="s">
        <v>855</v>
      </c>
      <c r="D1168" s="739" t="s">
        <v>802</v>
      </c>
      <c r="E1168" s="721">
        <v>1200000</v>
      </c>
      <c r="F1168" s="731">
        <v>0.02</v>
      </c>
      <c r="G1168" s="226">
        <f t="shared" si="36"/>
        <v>24000</v>
      </c>
    </row>
    <row r="1169" spans="1:10" ht="18">
      <c r="A1169" s="689"/>
      <c r="B1169" s="804"/>
      <c r="C1169" s="744"/>
      <c r="D1169" s="813"/>
      <c r="E1169" s="693">
        <f>SUM(E1156:E1168)</f>
        <v>18547000</v>
      </c>
      <c r="F1169" s="666"/>
      <c r="G1169" s="695">
        <f>SUM(G1156:G1168)</f>
        <v>705880</v>
      </c>
      <c r="H1169" s="712" t="s">
        <v>856</v>
      </c>
      <c r="I1169" s="713"/>
      <c r="J1169" s="713"/>
    </row>
    <row r="1170" spans="1:10">
      <c r="H1170" s="580"/>
    </row>
    <row r="1172" spans="1:10">
      <c r="A1172" s="994" t="s">
        <v>857</v>
      </c>
      <c r="B1172" s="994"/>
      <c r="C1172" s="994"/>
      <c r="D1172" s="994"/>
      <c r="E1172" s="994"/>
      <c r="F1172" s="994"/>
      <c r="G1172" s="994"/>
    </row>
    <row r="1173" spans="1:10">
      <c r="A1173" s="994"/>
      <c r="B1173" s="995"/>
      <c r="C1173" s="995"/>
      <c r="D1173" s="994"/>
      <c r="E1173" s="994"/>
      <c r="F1173" s="994"/>
      <c r="G1173" s="994"/>
    </row>
    <row r="1174" spans="1:10">
      <c r="A1174" s="184" t="s">
        <v>3</v>
      </c>
      <c r="B1174" s="195" t="s">
        <v>709</v>
      </c>
      <c r="C1174" s="184" t="s">
        <v>710</v>
      </c>
      <c r="D1174" s="176" t="s">
        <v>711</v>
      </c>
      <c r="E1174" s="197" t="s">
        <v>300</v>
      </c>
      <c r="F1174" s="178" t="s">
        <v>7</v>
      </c>
      <c r="G1174" s="537" t="s">
        <v>50</v>
      </c>
    </row>
    <row r="1175" spans="1:10" ht="15.75">
      <c r="A1175" s="739">
        <v>14903</v>
      </c>
      <c r="B1175" s="794">
        <v>7.0000000000000007E-2</v>
      </c>
      <c r="C1175" s="786" t="s">
        <v>858</v>
      </c>
      <c r="D1175" s="789" t="s">
        <v>802</v>
      </c>
      <c r="E1175" s="782">
        <v>1150000</v>
      </c>
      <c r="F1175" s="730">
        <v>0.02</v>
      </c>
      <c r="G1175" s="226">
        <f>E1175*F1175</f>
        <v>23000</v>
      </c>
    </row>
    <row r="1176" spans="1:10" ht="15.75">
      <c r="A1176" s="739">
        <v>14945</v>
      </c>
      <c r="B1176" s="794">
        <v>0.08</v>
      </c>
      <c r="C1176" s="786" t="s">
        <v>859</v>
      </c>
      <c r="D1176" s="789" t="s">
        <v>802</v>
      </c>
      <c r="E1176" s="782">
        <v>1200000</v>
      </c>
      <c r="F1176" s="731">
        <v>0.01</v>
      </c>
      <c r="G1176" s="226">
        <f t="shared" ref="G1176:G1177" si="37">E1176*F1176</f>
        <v>12000</v>
      </c>
    </row>
    <row r="1177" spans="1:10" ht="15.75">
      <c r="A1177" s="739">
        <v>14943</v>
      </c>
      <c r="B1177" s="794">
        <v>0.08</v>
      </c>
      <c r="C1177" s="786" t="s">
        <v>860</v>
      </c>
      <c r="D1177" s="789" t="s">
        <v>802</v>
      </c>
      <c r="E1177" s="782">
        <v>1200000</v>
      </c>
      <c r="F1177" s="731">
        <v>0.01</v>
      </c>
      <c r="G1177" s="226">
        <f t="shared" si="37"/>
        <v>12000</v>
      </c>
    </row>
    <row r="1178" spans="1:10" ht="18">
      <c r="A1178" s="689"/>
      <c r="B1178" s="690"/>
      <c r="C1178" s="691"/>
      <c r="D1178" s="768"/>
      <c r="E1178" s="693">
        <f>SUM(E1175:E1177)</f>
        <v>3550000</v>
      </c>
      <c r="F1178" s="666"/>
      <c r="G1178" s="695">
        <f>SUM(G1175:G1177)</f>
        <v>47000</v>
      </c>
    </row>
    <row r="1182" spans="1:10">
      <c r="A1182" s="996" t="s">
        <v>861</v>
      </c>
      <c r="B1182" s="997"/>
      <c r="C1182" s="997"/>
      <c r="D1182" s="997"/>
      <c r="E1182" s="997"/>
      <c r="F1182" s="997"/>
      <c r="G1182" s="998"/>
    </row>
    <row r="1183" spans="1:10">
      <c r="A1183" s="999"/>
      <c r="B1183" s="1000"/>
      <c r="C1183" s="1000"/>
      <c r="D1183" s="1000"/>
      <c r="E1183" s="1000"/>
      <c r="F1183" s="1000"/>
      <c r="G1183" s="1001"/>
    </row>
    <row r="1184" spans="1:10">
      <c r="A1184" s="493" t="s">
        <v>3</v>
      </c>
      <c r="B1184" s="175" t="s">
        <v>709</v>
      </c>
      <c r="C1184" s="493" t="s">
        <v>710</v>
      </c>
      <c r="D1184" s="176" t="s">
        <v>711</v>
      </c>
      <c r="E1184" s="177" t="s">
        <v>300</v>
      </c>
      <c r="F1184" s="178" t="s">
        <v>7</v>
      </c>
      <c r="G1184" s="179" t="s">
        <v>50</v>
      </c>
    </row>
    <row r="1185" spans="1:7" ht="15.75">
      <c r="A1185" s="214">
        <v>14935</v>
      </c>
      <c r="B1185" s="308">
        <v>0.1</v>
      </c>
      <c r="C1185" s="241" t="s">
        <v>541</v>
      </c>
      <c r="D1185" s="216"/>
      <c r="E1185" s="216">
        <v>1550000</v>
      </c>
      <c r="F1185" s="247">
        <v>0.02</v>
      </c>
      <c r="G1185" s="248">
        <f>E1185*F1185</f>
        <v>31000</v>
      </c>
    </row>
    <row r="1186" spans="1:7" ht="15.75">
      <c r="A1186" s="214">
        <v>14984</v>
      </c>
      <c r="B1186" s="308">
        <v>0.1</v>
      </c>
      <c r="C1186" s="241" t="s">
        <v>544</v>
      </c>
      <c r="D1186" s="216"/>
      <c r="E1186" s="216">
        <v>900000</v>
      </c>
      <c r="F1186" s="247">
        <v>0.02</v>
      </c>
      <c r="G1186" s="248">
        <f t="shared" ref="G1186:G1237" si="38">E1186*F1186</f>
        <v>18000</v>
      </c>
    </row>
    <row r="1187" spans="1:7" ht="15.75">
      <c r="A1187" s="545">
        <v>14902</v>
      </c>
      <c r="B1187" s="342">
        <v>0.1</v>
      </c>
      <c r="C1187" s="241" t="s">
        <v>564</v>
      </c>
      <c r="D1187" s="242"/>
      <c r="E1187" s="242">
        <v>1800000</v>
      </c>
      <c r="F1187" s="247">
        <v>0.02</v>
      </c>
      <c r="G1187" s="248">
        <f t="shared" si="38"/>
        <v>36000</v>
      </c>
    </row>
    <row r="1188" spans="1:7" ht="15.75">
      <c r="A1188" s="545">
        <v>15076</v>
      </c>
      <c r="B1188" s="793">
        <v>0.08</v>
      </c>
      <c r="C1188" s="241" t="s">
        <v>553</v>
      </c>
      <c r="D1188" s="242"/>
      <c r="E1188" s="242">
        <v>2500000</v>
      </c>
      <c r="F1188" s="349">
        <v>0.01</v>
      </c>
      <c r="G1188" s="248">
        <f t="shared" si="38"/>
        <v>25000</v>
      </c>
    </row>
    <row r="1189" spans="1:7" ht="15.75">
      <c r="A1189" s="545">
        <v>15057</v>
      </c>
      <c r="B1189" s="342">
        <v>0.1</v>
      </c>
      <c r="C1189" s="241" t="s">
        <v>571</v>
      </c>
      <c r="D1189" s="242"/>
      <c r="E1189" s="242">
        <v>1100000</v>
      </c>
      <c r="F1189" s="247">
        <v>0.02</v>
      </c>
      <c r="G1189" s="248">
        <f t="shared" si="38"/>
        <v>22000</v>
      </c>
    </row>
    <row r="1190" spans="1:7" ht="15.75">
      <c r="A1190" s="214">
        <v>15091</v>
      </c>
      <c r="B1190" s="308">
        <v>0.1</v>
      </c>
      <c r="C1190" s="241" t="s">
        <v>550</v>
      </c>
      <c r="D1190" s="216"/>
      <c r="E1190" s="216">
        <v>1250000</v>
      </c>
      <c r="F1190" s="247">
        <v>0.02</v>
      </c>
      <c r="G1190" s="248">
        <f t="shared" si="38"/>
        <v>25000</v>
      </c>
    </row>
    <row r="1191" spans="1:7" ht="15.75">
      <c r="A1191" s="214">
        <v>15093</v>
      </c>
      <c r="B1191" s="806">
        <v>0.1</v>
      </c>
      <c r="C1191" s="241" t="s">
        <v>551</v>
      </c>
      <c r="D1191" s="216"/>
      <c r="E1191" s="216">
        <v>1350000</v>
      </c>
      <c r="F1191" s="247">
        <v>0.02</v>
      </c>
      <c r="G1191" s="248">
        <f t="shared" si="38"/>
        <v>27000</v>
      </c>
    </row>
    <row r="1192" spans="1:7" ht="15.75">
      <c r="A1192" s="260">
        <v>14904</v>
      </c>
      <c r="B1192" s="308">
        <v>0.1</v>
      </c>
      <c r="C1192" s="241" t="s">
        <v>540</v>
      </c>
      <c r="D1192" s="230"/>
      <c r="E1192" s="230">
        <v>1650000</v>
      </c>
      <c r="F1192" s="247">
        <v>0.02</v>
      </c>
      <c r="G1192" s="248">
        <f t="shared" si="38"/>
        <v>33000</v>
      </c>
    </row>
    <row r="1193" spans="1:7" ht="15.75">
      <c r="A1193" s="214">
        <v>14947</v>
      </c>
      <c r="B1193" s="526">
        <v>0.08</v>
      </c>
      <c r="C1193" s="241" t="s">
        <v>543</v>
      </c>
      <c r="D1193" s="216"/>
      <c r="E1193" s="216">
        <v>900000</v>
      </c>
      <c r="F1193" s="349">
        <v>0.01</v>
      </c>
      <c r="G1193" s="248">
        <f t="shared" si="38"/>
        <v>9000</v>
      </c>
    </row>
    <row r="1194" spans="1:7" ht="15.75">
      <c r="A1194" s="675">
        <v>15003</v>
      </c>
      <c r="B1194" s="308">
        <v>0.1</v>
      </c>
      <c r="C1194" s="241" t="s">
        <v>546</v>
      </c>
      <c r="D1194" s="216"/>
      <c r="E1194" s="216">
        <v>1700000</v>
      </c>
      <c r="F1194" s="247">
        <v>0.02</v>
      </c>
      <c r="G1194" s="248">
        <f t="shared" si="38"/>
        <v>34000</v>
      </c>
    </row>
    <row r="1195" spans="1:7" ht="15.75">
      <c r="A1195" s="675">
        <v>15019</v>
      </c>
      <c r="B1195" s="308">
        <v>0.1</v>
      </c>
      <c r="C1195" s="241" t="s">
        <v>547</v>
      </c>
      <c r="D1195" s="216"/>
      <c r="E1195" s="216">
        <v>1300000</v>
      </c>
      <c r="F1195" s="247">
        <v>0.02</v>
      </c>
      <c r="G1195" s="248">
        <f t="shared" si="38"/>
        <v>26000</v>
      </c>
    </row>
    <row r="1196" spans="1:7" ht="15.75">
      <c r="A1196" s="675">
        <v>15050</v>
      </c>
      <c r="B1196" s="308">
        <v>0.1</v>
      </c>
      <c r="C1196" s="241" t="s">
        <v>548</v>
      </c>
      <c r="D1196" s="216"/>
      <c r="E1196" s="216">
        <v>2150000</v>
      </c>
      <c r="F1196" s="247">
        <v>0.02</v>
      </c>
      <c r="G1196" s="248">
        <f t="shared" si="38"/>
        <v>43000</v>
      </c>
    </row>
    <row r="1197" spans="1:7" ht="15.75">
      <c r="A1197" s="341">
        <v>14878</v>
      </c>
      <c r="B1197" s="308">
        <v>0.1</v>
      </c>
      <c r="C1197" s="241" t="s">
        <v>562</v>
      </c>
      <c r="D1197" s="242"/>
      <c r="E1197" s="242">
        <v>2100000</v>
      </c>
      <c r="F1197" s="247">
        <v>0.02</v>
      </c>
      <c r="G1197" s="248">
        <f t="shared" si="38"/>
        <v>42000</v>
      </c>
    </row>
    <row r="1198" spans="1:7" ht="15.75">
      <c r="A1198" s="545">
        <v>14941</v>
      </c>
      <c r="B1198" s="342">
        <v>0.1</v>
      </c>
      <c r="C1198" s="241" t="s">
        <v>565</v>
      </c>
      <c r="D1198" s="242"/>
      <c r="E1198" s="242">
        <v>1200000</v>
      </c>
      <c r="F1198" s="247">
        <v>0.02</v>
      </c>
      <c r="G1198" s="248">
        <f t="shared" si="38"/>
        <v>24000</v>
      </c>
    </row>
    <row r="1199" spans="1:7" ht="15.75">
      <c r="A1199" s="545">
        <v>14958</v>
      </c>
      <c r="B1199" s="342">
        <v>0.1</v>
      </c>
      <c r="C1199" s="241" t="s">
        <v>567</v>
      </c>
      <c r="D1199" s="242"/>
      <c r="E1199" s="242">
        <v>1300000</v>
      </c>
      <c r="F1199" s="247">
        <v>0.02</v>
      </c>
      <c r="G1199" s="248">
        <f t="shared" si="38"/>
        <v>26000</v>
      </c>
    </row>
    <row r="1200" spans="1:7" ht="15.75">
      <c r="A1200" s="545">
        <v>15015</v>
      </c>
      <c r="B1200" s="342">
        <v>0.1</v>
      </c>
      <c r="C1200" s="241" t="s">
        <v>568</v>
      </c>
      <c r="D1200" s="242"/>
      <c r="E1200" s="242">
        <v>1800000</v>
      </c>
      <c r="F1200" s="247">
        <v>0.02</v>
      </c>
      <c r="G1200" s="248">
        <f t="shared" si="38"/>
        <v>36000</v>
      </c>
    </row>
    <row r="1201" spans="1:7" ht="15.75">
      <c r="A1201" s="545">
        <v>15024</v>
      </c>
      <c r="B1201" s="342">
        <v>0.1</v>
      </c>
      <c r="C1201" s="241" t="s">
        <v>569</v>
      </c>
      <c r="D1201" s="242"/>
      <c r="E1201" s="242">
        <v>3000000</v>
      </c>
      <c r="F1201" s="247">
        <v>0.02</v>
      </c>
      <c r="G1201" s="248">
        <f t="shared" si="38"/>
        <v>60000</v>
      </c>
    </row>
    <row r="1202" spans="1:7" ht="15.75">
      <c r="A1202" s="545">
        <v>15062</v>
      </c>
      <c r="B1202" s="793">
        <v>0.08</v>
      </c>
      <c r="C1202" s="241" t="s">
        <v>572</v>
      </c>
      <c r="D1202" s="242"/>
      <c r="E1202" s="242">
        <v>2300000</v>
      </c>
      <c r="F1202" s="349">
        <v>0.01</v>
      </c>
      <c r="G1202" s="248">
        <f t="shared" si="38"/>
        <v>23000</v>
      </c>
    </row>
    <row r="1203" spans="1:7" ht="15.75">
      <c r="A1203" s="300">
        <v>15100</v>
      </c>
      <c r="B1203" s="347">
        <v>0.08</v>
      </c>
      <c r="C1203" s="272" t="s">
        <v>578</v>
      </c>
      <c r="D1203" s="278"/>
      <c r="E1203" s="278">
        <v>2700000</v>
      </c>
      <c r="F1203" s="349">
        <v>0.01</v>
      </c>
      <c r="G1203" s="248">
        <f t="shared" si="38"/>
        <v>27000</v>
      </c>
    </row>
    <row r="1204" spans="1:7" ht="15.75">
      <c r="A1204" s="675">
        <v>15075</v>
      </c>
      <c r="B1204" s="308">
        <v>0.1</v>
      </c>
      <c r="C1204" s="241" t="s">
        <v>549</v>
      </c>
      <c r="D1204" s="216"/>
      <c r="E1204" s="216">
        <v>1800000</v>
      </c>
      <c r="F1204" s="247">
        <v>0.02</v>
      </c>
      <c r="G1204" s="248">
        <f t="shared" si="38"/>
        <v>36000</v>
      </c>
    </row>
    <row r="1205" spans="1:7" ht="15.75">
      <c r="A1205" s="545">
        <v>15025</v>
      </c>
      <c r="B1205" s="342">
        <v>0.1</v>
      </c>
      <c r="C1205" s="241" t="s">
        <v>570</v>
      </c>
      <c r="D1205" s="242"/>
      <c r="E1205" s="242">
        <v>1100000</v>
      </c>
      <c r="F1205" s="247">
        <v>0.02</v>
      </c>
      <c r="G1205" s="248">
        <f t="shared" si="38"/>
        <v>22000</v>
      </c>
    </row>
    <row r="1206" spans="1:7" ht="15.75">
      <c r="A1206" s="545">
        <v>15070</v>
      </c>
      <c r="B1206" s="342">
        <v>0.1</v>
      </c>
      <c r="C1206" s="241" t="s">
        <v>573</v>
      </c>
      <c r="D1206" s="242"/>
      <c r="E1206" s="242">
        <v>2200000</v>
      </c>
      <c r="F1206" s="247">
        <v>0.02</v>
      </c>
      <c r="G1206" s="248">
        <f t="shared" si="38"/>
        <v>44000</v>
      </c>
    </row>
    <row r="1207" spans="1:7" ht="15.75">
      <c r="A1207" s="293">
        <v>15101</v>
      </c>
      <c r="B1207" s="231">
        <v>0.1</v>
      </c>
      <c r="C1207" s="241" t="s">
        <v>577</v>
      </c>
      <c r="D1207" s="242"/>
      <c r="E1207" s="242">
        <v>1200000</v>
      </c>
      <c r="F1207" s="247">
        <v>0.02</v>
      </c>
      <c r="G1207" s="248">
        <f t="shared" si="38"/>
        <v>24000</v>
      </c>
    </row>
    <row r="1208" spans="1:7" ht="15.75">
      <c r="A1208" s="545">
        <v>15097</v>
      </c>
      <c r="B1208" s="342">
        <v>0.1</v>
      </c>
      <c r="C1208" s="241" t="s">
        <v>554</v>
      </c>
      <c r="D1208" s="278"/>
      <c r="E1208" s="278">
        <v>2200000</v>
      </c>
      <c r="F1208" s="247">
        <v>0.02</v>
      </c>
      <c r="G1208" s="248">
        <f t="shared" si="38"/>
        <v>44000</v>
      </c>
    </row>
    <row r="1209" spans="1:7" ht="15.75">
      <c r="A1209" s="754">
        <v>15118</v>
      </c>
      <c r="B1209" s="526">
        <v>0.08</v>
      </c>
      <c r="C1209" s="241" t="s">
        <v>555</v>
      </c>
      <c r="D1209" s="216"/>
      <c r="E1209" s="216">
        <v>750000</v>
      </c>
      <c r="F1209" s="349">
        <v>0.01</v>
      </c>
      <c r="G1209" s="248">
        <f t="shared" si="38"/>
        <v>7500</v>
      </c>
    </row>
    <row r="1210" spans="1:7" ht="15.75">
      <c r="A1210" s="545">
        <v>14962</v>
      </c>
      <c r="B1210" s="342">
        <v>0.1</v>
      </c>
      <c r="C1210" s="241" t="s">
        <v>566</v>
      </c>
      <c r="D1210" s="242"/>
      <c r="E1210" s="242">
        <v>1100000</v>
      </c>
      <c r="F1210" s="247">
        <v>0.02</v>
      </c>
      <c r="G1210" s="248">
        <f t="shared" si="38"/>
        <v>22000</v>
      </c>
    </row>
    <row r="1211" spans="1:7" ht="15.75">
      <c r="A1211" s="611">
        <v>15001</v>
      </c>
      <c r="B1211" s="231">
        <v>0.1</v>
      </c>
      <c r="C1211" s="272" t="s">
        <v>580</v>
      </c>
      <c r="D1211" s="278"/>
      <c r="E1211" s="278">
        <v>1440000</v>
      </c>
      <c r="F1211" s="247">
        <v>0.02</v>
      </c>
      <c r="G1211" s="248">
        <f t="shared" si="38"/>
        <v>28800</v>
      </c>
    </row>
    <row r="1212" spans="1:7" ht="15.75">
      <c r="A1212" s="260">
        <v>15132</v>
      </c>
      <c r="B1212" s="308">
        <v>0.1</v>
      </c>
      <c r="C1212" s="241" t="s">
        <v>556</v>
      </c>
      <c r="D1212" s="216"/>
      <c r="E1212" s="216">
        <v>1750000</v>
      </c>
      <c r="F1212" s="247">
        <v>0.02</v>
      </c>
      <c r="G1212" s="248">
        <f t="shared" si="38"/>
        <v>35000</v>
      </c>
    </row>
    <row r="1213" spans="1:7" ht="15.75">
      <c r="A1213" s="739">
        <v>15073</v>
      </c>
      <c r="B1213" s="794">
        <v>0.08</v>
      </c>
      <c r="C1213" s="786" t="s">
        <v>831</v>
      </c>
      <c r="D1213" s="789" t="s">
        <v>802</v>
      </c>
      <c r="E1213" s="782">
        <v>1700000</v>
      </c>
      <c r="F1213" s="349">
        <v>0.02</v>
      </c>
      <c r="G1213" s="248">
        <f t="shared" si="38"/>
        <v>34000</v>
      </c>
    </row>
    <row r="1214" spans="1:7" ht="15.75">
      <c r="A1214" s="739">
        <v>14874</v>
      </c>
      <c r="B1214" s="730">
        <v>0.1</v>
      </c>
      <c r="C1214" s="722" t="s">
        <v>862</v>
      </c>
      <c r="D1214" s="739" t="s">
        <v>802</v>
      </c>
      <c r="E1214" s="721">
        <v>950000</v>
      </c>
      <c r="F1214" s="247">
        <v>0.03</v>
      </c>
      <c r="G1214" s="248">
        <f t="shared" si="38"/>
        <v>28500</v>
      </c>
    </row>
    <row r="1215" spans="1:7" ht="15.75">
      <c r="A1215" s="814">
        <v>14925</v>
      </c>
      <c r="B1215" s="730">
        <v>0.1</v>
      </c>
      <c r="C1215" s="722" t="s">
        <v>833</v>
      </c>
      <c r="D1215" s="739" t="s">
        <v>802</v>
      </c>
      <c r="E1215" s="721">
        <v>1200000</v>
      </c>
      <c r="F1215" s="247">
        <v>0.03</v>
      </c>
      <c r="G1215" s="248">
        <f t="shared" si="38"/>
        <v>36000</v>
      </c>
    </row>
    <row r="1216" spans="1:7" ht="15.75">
      <c r="A1216" s="820">
        <v>14937</v>
      </c>
      <c r="B1216" s="810">
        <v>0.1</v>
      </c>
      <c r="C1216" s="722" t="s">
        <v>863</v>
      </c>
      <c r="D1216" s="739" t="s">
        <v>802</v>
      </c>
      <c r="E1216" s="721">
        <v>2100000</v>
      </c>
      <c r="F1216" s="247">
        <v>0.03</v>
      </c>
      <c r="G1216" s="248">
        <f t="shared" si="38"/>
        <v>63000</v>
      </c>
    </row>
    <row r="1217" spans="1:7" ht="15.75">
      <c r="A1217" s="811">
        <v>14998</v>
      </c>
      <c r="B1217" s="730">
        <v>0.1</v>
      </c>
      <c r="C1217" s="722" t="s">
        <v>835</v>
      </c>
      <c r="D1217" s="739" t="s">
        <v>802</v>
      </c>
      <c r="E1217" s="721">
        <v>1350000</v>
      </c>
      <c r="F1217" s="247">
        <v>0.03</v>
      </c>
      <c r="G1217" s="248">
        <f t="shared" si="38"/>
        <v>40500</v>
      </c>
    </row>
    <row r="1218" spans="1:7" ht="15.75">
      <c r="A1218" s="811">
        <v>15008</v>
      </c>
      <c r="B1218" s="730">
        <v>0.1</v>
      </c>
      <c r="C1218" s="722" t="s">
        <v>836</v>
      </c>
      <c r="D1218" s="739" t="s">
        <v>802</v>
      </c>
      <c r="E1218" s="721">
        <v>2050000</v>
      </c>
      <c r="F1218" s="247">
        <v>0.03</v>
      </c>
      <c r="G1218" s="248">
        <f t="shared" si="38"/>
        <v>61500</v>
      </c>
    </row>
    <row r="1219" spans="1:7" ht="15.75">
      <c r="A1219" s="817">
        <v>15115</v>
      </c>
      <c r="B1219" s="730">
        <v>0.1</v>
      </c>
      <c r="C1219" s="722" t="s">
        <v>837</v>
      </c>
      <c r="D1219" s="739" t="s">
        <v>802</v>
      </c>
      <c r="E1219" s="721">
        <v>2000000</v>
      </c>
      <c r="F1219" s="247">
        <v>0.03</v>
      </c>
      <c r="G1219" s="248">
        <f t="shared" si="38"/>
        <v>60000</v>
      </c>
    </row>
    <row r="1220" spans="1:7" ht="15.75">
      <c r="A1220" s="811">
        <v>15112</v>
      </c>
      <c r="B1220" s="730">
        <v>0.1</v>
      </c>
      <c r="C1220" s="722" t="s">
        <v>838</v>
      </c>
      <c r="D1220" s="739" t="s">
        <v>802</v>
      </c>
      <c r="E1220" s="721">
        <v>900000</v>
      </c>
      <c r="F1220" s="247">
        <v>0.03</v>
      </c>
      <c r="G1220" s="248">
        <f t="shared" si="38"/>
        <v>27000</v>
      </c>
    </row>
    <row r="1221" spans="1:7" ht="15.75">
      <c r="A1221" s="739">
        <v>14909</v>
      </c>
      <c r="B1221" s="783">
        <v>0.1</v>
      </c>
      <c r="C1221" s="812" t="s">
        <v>840</v>
      </c>
      <c r="D1221" s="789" t="s">
        <v>802</v>
      </c>
      <c r="E1221" s="782">
        <v>1100000</v>
      </c>
      <c r="F1221" s="247">
        <v>0.03</v>
      </c>
      <c r="G1221" s="248">
        <f t="shared" si="38"/>
        <v>33000</v>
      </c>
    </row>
    <row r="1222" spans="1:7" ht="15.75">
      <c r="A1222" s="739">
        <v>15013</v>
      </c>
      <c r="B1222" s="783">
        <v>0.1</v>
      </c>
      <c r="C1222" s="786" t="s">
        <v>841</v>
      </c>
      <c r="D1222" s="789" t="s">
        <v>802</v>
      </c>
      <c r="E1222" s="782">
        <v>1000000</v>
      </c>
      <c r="F1222" s="247">
        <v>0.03</v>
      </c>
      <c r="G1222" s="248">
        <f t="shared" si="38"/>
        <v>30000</v>
      </c>
    </row>
    <row r="1223" spans="1:7" ht="15.75">
      <c r="A1223" s="739">
        <v>14964</v>
      </c>
      <c r="B1223" s="730">
        <v>0.1</v>
      </c>
      <c r="C1223" s="785" t="s">
        <v>842</v>
      </c>
      <c r="D1223" s="739" t="s">
        <v>802</v>
      </c>
      <c r="E1223" s="721">
        <v>2000000</v>
      </c>
      <c r="F1223" s="247">
        <v>0.03</v>
      </c>
      <c r="G1223" s="248">
        <f t="shared" si="38"/>
        <v>60000</v>
      </c>
    </row>
    <row r="1224" spans="1:7" ht="15.75">
      <c r="A1224" s="739">
        <v>14881</v>
      </c>
      <c r="B1224" s="730">
        <v>0.1</v>
      </c>
      <c r="C1224" s="812" t="s">
        <v>845</v>
      </c>
      <c r="D1224" s="739" t="s">
        <v>802</v>
      </c>
      <c r="E1224" s="721">
        <v>1250000</v>
      </c>
      <c r="F1224" s="247">
        <v>0.03</v>
      </c>
      <c r="G1224" s="248">
        <f t="shared" si="38"/>
        <v>37500</v>
      </c>
    </row>
    <row r="1225" spans="1:7" ht="15.75">
      <c r="A1225" s="739">
        <v>14887</v>
      </c>
      <c r="B1225" s="730">
        <v>0.1</v>
      </c>
      <c r="C1225" s="812" t="s">
        <v>846</v>
      </c>
      <c r="D1225" s="739" t="s">
        <v>802</v>
      </c>
      <c r="E1225" s="721">
        <v>3057000</v>
      </c>
      <c r="F1225" s="247">
        <v>0.03</v>
      </c>
      <c r="G1225" s="248">
        <f t="shared" si="38"/>
        <v>91710</v>
      </c>
    </row>
    <row r="1226" spans="1:7" ht="15.75">
      <c r="A1226" s="739">
        <v>14989</v>
      </c>
      <c r="B1226" s="730">
        <v>0.1</v>
      </c>
      <c r="C1226" s="812" t="s">
        <v>847</v>
      </c>
      <c r="D1226" s="739" t="s">
        <v>802</v>
      </c>
      <c r="E1226" s="721">
        <v>1350000</v>
      </c>
      <c r="F1226" s="247">
        <v>0.03</v>
      </c>
      <c r="G1226" s="248">
        <f t="shared" si="38"/>
        <v>40500</v>
      </c>
    </row>
    <row r="1227" spans="1:7" ht="15.75">
      <c r="A1227" s="739">
        <v>15009</v>
      </c>
      <c r="B1227" s="730">
        <v>0.1</v>
      </c>
      <c r="C1227" s="812" t="s">
        <v>848</v>
      </c>
      <c r="D1227" s="739" t="s">
        <v>802</v>
      </c>
      <c r="E1227" s="721">
        <v>1000000</v>
      </c>
      <c r="F1227" s="247">
        <v>0.03</v>
      </c>
      <c r="G1227" s="248">
        <f t="shared" si="38"/>
        <v>30000</v>
      </c>
    </row>
    <row r="1228" spans="1:7" ht="15.75">
      <c r="A1228" s="739">
        <v>15032</v>
      </c>
      <c r="B1228" s="730">
        <v>0.1</v>
      </c>
      <c r="C1228" s="812" t="s">
        <v>849</v>
      </c>
      <c r="D1228" s="739" t="s">
        <v>802</v>
      </c>
      <c r="E1228" s="721">
        <v>2200000</v>
      </c>
      <c r="F1228" s="247">
        <v>0.03</v>
      </c>
      <c r="G1228" s="248">
        <f t="shared" si="38"/>
        <v>66000</v>
      </c>
    </row>
    <row r="1229" spans="1:7" ht="15.75">
      <c r="A1229" s="739">
        <v>15084</v>
      </c>
      <c r="B1229" s="730">
        <v>0.1</v>
      </c>
      <c r="C1229" s="788" t="s">
        <v>850</v>
      </c>
      <c r="D1229" s="739" t="s">
        <v>802</v>
      </c>
      <c r="E1229" s="721">
        <v>1300000</v>
      </c>
      <c r="F1229" s="247">
        <v>0.03</v>
      </c>
      <c r="G1229" s="248">
        <f t="shared" si="38"/>
        <v>39000</v>
      </c>
    </row>
    <row r="1230" spans="1:7" ht="15.75">
      <c r="A1230" s="739">
        <v>14862</v>
      </c>
      <c r="B1230" s="783">
        <v>0.1</v>
      </c>
      <c r="C1230" s="720" t="s">
        <v>851</v>
      </c>
      <c r="D1230" s="789" t="s">
        <v>802</v>
      </c>
      <c r="E1230" s="782">
        <v>1150000</v>
      </c>
      <c r="F1230" s="247">
        <v>0.03</v>
      </c>
      <c r="G1230" s="248">
        <f t="shared" si="38"/>
        <v>34500</v>
      </c>
    </row>
    <row r="1231" spans="1:7" ht="15.75">
      <c r="A1231" s="739">
        <v>14959</v>
      </c>
      <c r="B1231" s="731">
        <v>0.08</v>
      </c>
      <c r="C1231" s="785" t="s">
        <v>852</v>
      </c>
      <c r="D1231" s="739" t="s">
        <v>802</v>
      </c>
      <c r="E1231" s="721">
        <v>1200000</v>
      </c>
      <c r="F1231" s="349">
        <v>0.02</v>
      </c>
      <c r="G1231" s="248">
        <f t="shared" si="38"/>
        <v>24000</v>
      </c>
    </row>
    <row r="1232" spans="1:7" ht="15.75">
      <c r="A1232" s="814">
        <v>14960</v>
      </c>
      <c r="B1232" s="730">
        <v>0.1</v>
      </c>
      <c r="C1232" s="785" t="s">
        <v>853</v>
      </c>
      <c r="D1232" s="739" t="s">
        <v>802</v>
      </c>
      <c r="E1232" s="721">
        <v>900000</v>
      </c>
      <c r="F1232" s="247">
        <v>0.03</v>
      </c>
      <c r="G1232" s="248">
        <f t="shared" si="38"/>
        <v>27000</v>
      </c>
    </row>
    <row r="1233" spans="1:13" ht="15.75">
      <c r="A1233" s="739">
        <v>15106</v>
      </c>
      <c r="B1233" s="816">
        <v>0.1</v>
      </c>
      <c r="C1233" s="786" t="s">
        <v>854</v>
      </c>
      <c r="D1233" s="789" t="s">
        <v>802</v>
      </c>
      <c r="E1233" s="782">
        <v>1400000</v>
      </c>
      <c r="F1233" s="247">
        <v>0.03</v>
      </c>
      <c r="G1233" s="248">
        <f t="shared" si="38"/>
        <v>42000</v>
      </c>
    </row>
    <row r="1234" spans="1:13" ht="15.75">
      <c r="A1234" s="818">
        <v>15111</v>
      </c>
      <c r="B1234" s="730">
        <v>0.1</v>
      </c>
      <c r="C1234" s="815" t="s">
        <v>864</v>
      </c>
      <c r="D1234" s="739" t="s">
        <v>802</v>
      </c>
      <c r="E1234" s="721">
        <v>1200000</v>
      </c>
      <c r="F1234" s="247">
        <v>0.03</v>
      </c>
      <c r="G1234" s="248">
        <f t="shared" si="38"/>
        <v>36000</v>
      </c>
    </row>
    <row r="1235" spans="1:13" ht="15.75">
      <c r="A1235" s="739">
        <v>14903</v>
      </c>
      <c r="B1235" s="794">
        <v>7.0000000000000007E-2</v>
      </c>
      <c r="C1235" s="812" t="s">
        <v>858</v>
      </c>
      <c r="D1235" s="789" t="s">
        <v>802</v>
      </c>
      <c r="E1235" s="782">
        <v>1150000</v>
      </c>
      <c r="F1235" s="349">
        <v>0.02</v>
      </c>
      <c r="G1235" s="248">
        <f t="shared" si="38"/>
        <v>23000</v>
      </c>
    </row>
    <row r="1236" spans="1:13" ht="15.75">
      <c r="A1236" s="739">
        <v>14945</v>
      </c>
      <c r="B1236" s="794">
        <v>0.08</v>
      </c>
      <c r="C1236" s="786" t="s">
        <v>859</v>
      </c>
      <c r="D1236" s="789" t="s">
        <v>802</v>
      </c>
      <c r="E1236" s="782">
        <v>1200000</v>
      </c>
      <c r="F1236" s="349">
        <v>0.02</v>
      </c>
      <c r="G1236" s="248">
        <f t="shared" si="38"/>
        <v>24000</v>
      </c>
    </row>
    <row r="1237" spans="1:13" ht="15.75">
      <c r="A1237" s="739">
        <v>14943</v>
      </c>
      <c r="B1237" s="794">
        <v>0.08</v>
      </c>
      <c r="C1237" s="786" t="s">
        <v>860</v>
      </c>
      <c r="D1237" s="789" t="s">
        <v>802</v>
      </c>
      <c r="E1237" s="782">
        <v>1200000</v>
      </c>
      <c r="F1237" s="349">
        <v>0.02</v>
      </c>
      <c r="G1237" s="248">
        <f t="shared" si="38"/>
        <v>24000</v>
      </c>
    </row>
    <row r="1238" spans="1:13" ht="21">
      <c r="A1238" s="190"/>
      <c r="B1238" s="190"/>
      <c r="C1238" s="190"/>
      <c r="D1238" s="190"/>
      <c r="E1238" s="191">
        <f>SUM(E1185:E1237)</f>
        <v>81997000</v>
      </c>
      <c r="F1238" s="190"/>
      <c r="G1238" s="191">
        <f>SUM(G1185:G1237)</f>
        <v>1843010</v>
      </c>
      <c r="H1238" s="821" t="s">
        <v>865</v>
      </c>
      <c r="I1238" s="822"/>
      <c r="J1238" s="822"/>
      <c r="K1238" s="713"/>
      <c r="L1238" s="713"/>
      <c r="M1238" s="713"/>
    </row>
    <row r="1242" spans="1:13">
      <c r="A1242" s="1002" t="s">
        <v>582</v>
      </c>
      <c r="B1242" s="1003"/>
      <c r="C1242" s="1003"/>
      <c r="D1242" s="1003"/>
      <c r="E1242" s="1003"/>
      <c r="F1242" s="1003"/>
      <c r="G1242" s="1004"/>
    </row>
    <row r="1243" spans="1:13">
      <c r="A1243" s="1005"/>
      <c r="B1243" s="1006"/>
      <c r="C1243" s="1006"/>
      <c r="D1243" s="1006"/>
      <c r="E1243" s="1006"/>
      <c r="F1243" s="1006"/>
      <c r="G1243" s="1007"/>
    </row>
    <row r="1244" spans="1:13">
      <c r="A1244" s="1005"/>
      <c r="B1244" s="1006"/>
      <c r="C1244" s="1006"/>
      <c r="D1244" s="1006"/>
      <c r="E1244" s="1006"/>
      <c r="F1244" s="1006"/>
      <c r="G1244" s="1007"/>
    </row>
    <row r="1245" spans="1:13">
      <c r="A1245" s="1008"/>
      <c r="B1245" s="1009"/>
      <c r="C1245" s="1009"/>
      <c r="D1245" s="1009"/>
      <c r="E1245" s="1009"/>
      <c r="F1245" s="1009"/>
      <c r="G1245" s="1010"/>
    </row>
    <row r="1247" spans="1:13">
      <c r="A1247" s="994" t="s">
        <v>866</v>
      </c>
      <c r="B1247" s="994"/>
      <c r="C1247" s="994"/>
      <c r="D1247" s="994"/>
      <c r="E1247" s="994"/>
      <c r="F1247" s="994"/>
      <c r="G1247" s="994"/>
    </row>
    <row r="1248" spans="1:13">
      <c r="A1248" s="994"/>
      <c r="B1248" s="994"/>
      <c r="C1248" s="994"/>
      <c r="D1248" s="994"/>
      <c r="E1248" s="994"/>
      <c r="F1248" s="994"/>
      <c r="G1248" s="994"/>
    </row>
    <row r="1249" spans="1:7">
      <c r="A1249" s="493" t="s">
        <v>3</v>
      </c>
      <c r="B1249" s="175" t="s">
        <v>709</v>
      </c>
      <c r="C1249" s="493" t="s">
        <v>710</v>
      </c>
      <c r="D1249" s="176" t="s">
        <v>711</v>
      </c>
      <c r="E1249" s="177" t="s">
        <v>300</v>
      </c>
      <c r="F1249" s="178" t="s">
        <v>7</v>
      </c>
      <c r="G1249" s="179" t="s">
        <v>50</v>
      </c>
    </row>
    <row r="1250" spans="1:7" ht="15.75">
      <c r="A1250" s="675">
        <v>15160</v>
      </c>
      <c r="B1250" s="308">
        <v>0.1</v>
      </c>
      <c r="C1250" s="241" t="s">
        <v>584</v>
      </c>
      <c r="D1250" s="278"/>
      <c r="E1250" s="278">
        <v>1900000</v>
      </c>
      <c r="F1250" s="247">
        <v>0.05</v>
      </c>
      <c r="G1250" s="248">
        <f>E1250*F1250</f>
        <v>95000</v>
      </c>
    </row>
    <row r="1251" spans="1:7" ht="15.75">
      <c r="A1251" s="341">
        <v>15221</v>
      </c>
      <c r="B1251" s="308">
        <v>0.1</v>
      </c>
      <c r="C1251" s="241" t="s">
        <v>588</v>
      </c>
      <c r="D1251" s="216"/>
      <c r="E1251" s="216">
        <v>1750000</v>
      </c>
      <c r="F1251" s="247">
        <v>0.05</v>
      </c>
      <c r="G1251" s="248">
        <f t="shared" ref="G1251:G1272" si="39">E1251*F1251</f>
        <v>87500</v>
      </c>
    </row>
    <row r="1252" spans="1:7" ht="15.75">
      <c r="A1252" s="545">
        <v>15266</v>
      </c>
      <c r="B1252" s="308">
        <v>0.1</v>
      </c>
      <c r="C1252" s="241" t="s">
        <v>589</v>
      </c>
      <c r="D1252" s="216"/>
      <c r="E1252" s="216">
        <v>2150000</v>
      </c>
      <c r="F1252" s="247">
        <v>0.05</v>
      </c>
      <c r="G1252" s="248">
        <f t="shared" si="39"/>
        <v>107500</v>
      </c>
    </row>
    <row r="1253" spans="1:7" ht="15.75">
      <c r="A1253" s="675">
        <v>15365</v>
      </c>
      <c r="B1253" s="308">
        <v>0.1</v>
      </c>
      <c r="C1253" s="241" t="s">
        <v>592</v>
      </c>
      <c r="D1253" s="216"/>
      <c r="E1253" s="216">
        <v>1750000</v>
      </c>
      <c r="F1253" s="247">
        <v>0.05</v>
      </c>
      <c r="G1253" s="248">
        <f t="shared" si="39"/>
        <v>87500</v>
      </c>
    </row>
    <row r="1254" spans="1:7" ht="15.75">
      <c r="A1254" s="545">
        <v>15225</v>
      </c>
      <c r="B1254" s="342">
        <v>0.1</v>
      </c>
      <c r="C1254" s="241" t="s">
        <v>601</v>
      </c>
      <c r="D1254" s="242"/>
      <c r="E1254" s="242">
        <v>2300000</v>
      </c>
      <c r="F1254" s="247">
        <v>0.05</v>
      </c>
      <c r="G1254" s="248">
        <f t="shared" si="39"/>
        <v>115000</v>
      </c>
    </row>
    <row r="1255" spans="1:7" ht="15.75">
      <c r="A1255" s="545">
        <v>15256</v>
      </c>
      <c r="B1255" s="342">
        <v>0.1</v>
      </c>
      <c r="C1255" s="241" t="s">
        <v>603</v>
      </c>
      <c r="D1255" s="242"/>
      <c r="E1255" s="242">
        <v>2100000</v>
      </c>
      <c r="F1255" s="247">
        <v>0.05</v>
      </c>
      <c r="G1255" s="248">
        <f t="shared" si="39"/>
        <v>105000</v>
      </c>
    </row>
    <row r="1256" spans="1:7" ht="15.75">
      <c r="A1256" s="545">
        <v>15329</v>
      </c>
      <c r="B1256" s="342">
        <v>0.1</v>
      </c>
      <c r="C1256" s="241" t="s">
        <v>605</v>
      </c>
      <c r="D1256" s="242"/>
      <c r="E1256" s="242">
        <v>1500000</v>
      </c>
      <c r="F1256" s="247">
        <v>0.05</v>
      </c>
      <c r="G1256" s="248">
        <f t="shared" si="39"/>
        <v>75000</v>
      </c>
    </row>
    <row r="1257" spans="1:7" ht="15.75">
      <c r="A1257" s="341">
        <v>15191</v>
      </c>
      <c r="B1257" s="308">
        <v>0.1</v>
      </c>
      <c r="C1257" s="241" t="s">
        <v>610</v>
      </c>
      <c r="D1257" s="242"/>
      <c r="E1257" s="242">
        <v>1200000</v>
      </c>
      <c r="F1257" s="247">
        <v>0.05</v>
      </c>
      <c r="G1257" s="248">
        <f t="shared" si="39"/>
        <v>60000</v>
      </c>
    </row>
    <row r="1258" spans="1:7" ht="15.75">
      <c r="A1258" s="293">
        <v>15206</v>
      </c>
      <c r="B1258" s="231">
        <v>0.1</v>
      </c>
      <c r="C1258" s="241" t="s">
        <v>615</v>
      </c>
      <c r="D1258" s="242"/>
      <c r="E1258" s="242">
        <v>1200000</v>
      </c>
      <c r="F1258" s="247">
        <v>0.05</v>
      </c>
      <c r="G1258" s="248">
        <f t="shared" si="39"/>
        <v>60000</v>
      </c>
    </row>
    <row r="1259" spans="1:7" ht="15.75">
      <c r="A1259" s="293">
        <v>15351</v>
      </c>
      <c r="B1259" s="231">
        <v>0.1</v>
      </c>
      <c r="C1259" s="241" t="s">
        <v>289</v>
      </c>
      <c r="D1259" s="242"/>
      <c r="E1259" s="242">
        <v>1450000</v>
      </c>
      <c r="F1259" s="247">
        <v>0.05</v>
      </c>
      <c r="G1259" s="248">
        <f t="shared" si="39"/>
        <v>72500</v>
      </c>
    </row>
    <row r="1260" spans="1:7" ht="15.75">
      <c r="A1260" s="293">
        <v>15352</v>
      </c>
      <c r="B1260" s="231">
        <v>0.1</v>
      </c>
      <c r="C1260" s="241" t="s">
        <v>625</v>
      </c>
      <c r="D1260" s="242"/>
      <c r="E1260" s="242">
        <v>1200000</v>
      </c>
      <c r="F1260" s="247">
        <v>0.05</v>
      </c>
      <c r="G1260" s="248">
        <f t="shared" si="39"/>
        <v>60000</v>
      </c>
    </row>
    <row r="1261" spans="1:7" ht="15.75">
      <c r="A1261" s="293">
        <v>15379</v>
      </c>
      <c r="B1261" s="231">
        <v>0.1</v>
      </c>
      <c r="C1261" s="241" t="s">
        <v>628</v>
      </c>
      <c r="D1261" s="242"/>
      <c r="E1261" s="242">
        <v>1200000</v>
      </c>
      <c r="F1261" s="247">
        <v>0.05</v>
      </c>
      <c r="G1261" s="248">
        <f t="shared" si="39"/>
        <v>60000</v>
      </c>
    </row>
    <row r="1262" spans="1:7" ht="15.75">
      <c r="A1262" s="300">
        <v>15330</v>
      </c>
      <c r="B1262" s="231">
        <v>0.1</v>
      </c>
      <c r="C1262" s="272" t="s">
        <v>631</v>
      </c>
      <c r="D1262" s="278"/>
      <c r="E1262" s="278">
        <v>1700000</v>
      </c>
      <c r="F1262" s="247">
        <v>0.05</v>
      </c>
      <c r="G1262" s="248">
        <f t="shared" si="39"/>
        <v>85000</v>
      </c>
    </row>
    <row r="1263" spans="1:7" ht="15.75">
      <c r="A1263" s="611">
        <v>15343</v>
      </c>
      <c r="B1263" s="347">
        <v>0.08</v>
      </c>
      <c r="C1263" s="272" t="s">
        <v>635</v>
      </c>
      <c r="D1263" s="278" t="s">
        <v>694</v>
      </c>
      <c r="E1263" s="278">
        <v>1000000</v>
      </c>
      <c r="F1263" s="349">
        <v>0.04</v>
      </c>
      <c r="G1263" s="248">
        <f t="shared" si="39"/>
        <v>40000</v>
      </c>
    </row>
    <row r="1264" spans="1:7" ht="15.75">
      <c r="A1264" s="293">
        <v>15385</v>
      </c>
      <c r="B1264" s="250">
        <v>0.1</v>
      </c>
      <c r="C1264" s="593" t="s">
        <v>606</v>
      </c>
      <c r="D1264" s="293"/>
      <c r="E1264" s="837">
        <v>2300000</v>
      </c>
      <c r="F1264" s="247">
        <v>0.05</v>
      </c>
      <c r="G1264" s="248">
        <f t="shared" si="39"/>
        <v>115000</v>
      </c>
    </row>
    <row r="1265" spans="1:7" ht="15.75">
      <c r="A1265" s="739">
        <v>15360</v>
      </c>
      <c r="B1265" s="783">
        <v>0.1</v>
      </c>
      <c r="C1265" s="786" t="s">
        <v>867</v>
      </c>
      <c r="D1265" s="848" t="s">
        <v>802</v>
      </c>
      <c r="E1265" s="782">
        <v>1300000</v>
      </c>
      <c r="F1265" s="247">
        <v>0.05</v>
      </c>
      <c r="G1265" s="248">
        <f t="shared" si="39"/>
        <v>65000</v>
      </c>
    </row>
    <row r="1266" spans="1:7" ht="15.75">
      <c r="A1266" s="739">
        <v>15146</v>
      </c>
      <c r="B1266" s="730">
        <v>0.1</v>
      </c>
      <c r="C1266" s="720" t="s">
        <v>868</v>
      </c>
      <c r="D1266" s="720" t="s">
        <v>802</v>
      </c>
      <c r="E1266" s="721">
        <v>1300000</v>
      </c>
      <c r="F1266" s="247">
        <v>0.05</v>
      </c>
      <c r="G1266" s="248">
        <f t="shared" si="39"/>
        <v>65000</v>
      </c>
    </row>
    <row r="1267" spans="1:7" ht="15.75">
      <c r="A1267" s="739">
        <v>15198</v>
      </c>
      <c r="B1267" s="730">
        <v>0.1</v>
      </c>
      <c r="C1267" s="720" t="s">
        <v>869</v>
      </c>
      <c r="D1267" s="720" t="s">
        <v>802</v>
      </c>
      <c r="E1267" s="721">
        <v>1400000</v>
      </c>
      <c r="F1267" s="247">
        <v>0.05</v>
      </c>
      <c r="G1267" s="248">
        <f t="shared" si="39"/>
        <v>70000</v>
      </c>
    </row>
    <row r="1268" spans="1:7" ht="15.75">
      <c r="A1268" s="739">
        <v>15223</v>
      </c>
      <c r="B1268" s="731">
        <v>0.08</v>
      </c>
      <c r="C1268" s="720" t="s">
        <v>870</v>
      </c>
      <c r="D1268" s="720" t="s">
        <v>802</v>
      </c>
      <c r="E1268" s="721">
        <v>1800000</v>
      </c>
      <c r="F1268" s="349">
        <v>0.04</v>
      </c>
      <c r="G1268" s="248">
        <f t="shared" si="39"/>
        <v>72000</v>
      </c>
    </row>
    <row r="1269" spans="1:7" ht="15.75">
      <c r="A1269" s="849">
        <v>15230</v>
      </c>
      <c r="B1269" s="731">
        <v>0.08</v>
      </c>
      <c r="C1269" s="720" t="s">
        <v>871</v>
      </c>
      <c r="D1269" s="720" t="s">
        <v>802</v>
      </c>
      <c r="E1269" s="721">
        <v>2100000</v>
      </c>
      <c r="F1269" s="349">
        <v>0.04</v>
      </c>
      <c r="G1269" s="248">
        <f t="shared" si="39"/>
        <v>84000</v>
      </c>
    </row>
    <row r="1270" spans="1:7" ht="15.75">
      <c r="A1270" s="849">
        <v>15245</v>
      </c>
      <c r="B1270" s="730">
        <v>0.1</v>
      </c>
      <c r="C1270" s="720" t="s">
        <v>872</v>
      </c>
      <c r="D1270" s="720" t="s">
        <v>802</v>
      </c>
      <c r="E1270" s="721">
        <v>1900000</v>
      </c>
      <c r="F1270" s="247">
        <v>0.05</v>
      </c>
      <c r="G1270" s="248">
        <f t="shared" si="39"/>
        <v>95000</v>
      </c>
    </row>
    <row r="1271" spans="1:7" ht="15.75">
      <c r="A1271" s="739">
        <v>15271</v>
      </c>
      <c r="B1271" s="730">
        <v>0.1</v>
      </c>
      <c r="C1271" s="720" t="s">
        <v>873</v>
      </c>
      <c r="D1271" s="720" t="s">
        <v>802</v>
      </c>
      <c r="E1271" s="721">
        <v>950000</v>
      </c>
      <c r="F1271" s="247">
        <v>0.05</v>
      </c>
      <c r="G1271" s="248">
        <f t="shared" si="39"/>
        <v>47500</v>
      </c>
    </row>
    <row r="1272" spans="1:7" ht="15.75">
      <c r="A1272" s="739">
        <v>15295</v>
      </c>
      <c r="B1272" s="730">
        <v>0.1</v>
      </c>
      <c r="C1272" s="720" t="s">
        <v>874</v>
      </c>
      <c r="D1272" s="720" t="s">
        <v>802</v>
      </c>
      <c r="E1272" s="721">
        <v>1450000</v>
      </c>
      <c r="F1272" s="247">
        <v>0.05</v>
      </c>
      <c r="G1272" s="248">
        <f t="shared" si="39"/>
        <v>72500</v>
      </c>
    </row>
    <row r="1273" spans="1:7" ht="18">
      <c r="A1273" s="461"/>
      <c r="B1273" s="461"/>
      <c r="C1273" s="461"/>
      <c r="D1273" s="181"/>
      <c r="E1273" s="767">
        <f>SUM(E1250:E1272)</f>
        <v>36900000</v>
      </c>
      <c r="F1273" s="180"/>
      <c r="G1273" s="606">
        <f>SUM(G1250:G1272)</f>
        <v>1796000</v>
      </c>
    </row>
    <row r="1277" spans="1:7">
      <c r="A1277" s="994" t="s">
        <v>875</v>
      </c>
      <c r="B1277" s="994"/>
      <c r="C1277" s="994"/>
      <c r="D1277" s="994"/>
      <c r="E1277" s="994"/>
      <c r="F1277" s="994"/>
      <c r="G1277" s="994"/>
    </row>
    <row r="1278" spans="1:7">
      <c r="A1278" s="994"/>
      <c r="B1278" s="995"/>
      <c r="C1278" s="995"/>
      <c r="D1278" s="994"/>
      <c r="E1278" s="994"/>
      <c r="F1278" s="994"/>
      <c r="G1278" s="994"/>
    </row>
    <row r="1279" spans="1:7">
      <c r="A1279" s="184" t="s">
        <v>3</v>
      </c>
      <c r="B1279" s="195" t="s">
        <v>709</v>
      </c>
      <c r="C1279" s="184" t="s">
        <v>710</v>
      </c>
      <c r="D1279" s="176" t="s">
        <v>711</v>
      </c>
      <c r="E1279" s="197" t="s">
        <v>300</v>
      </c>
      <c r="F1279" s="178" t="s">
        <v>7</v>
      </c>
      <c r="G1279" s="537" t="s">
        <v>50</v>
      </c>
    </row>
    <row r="1280" spans="1:7" ht="15.75">
      <c r="A1280" s="260">
        <v>15143</v>
      </c>
      <c r="B1280" s="526">
        <v>0.08</v>
      </c>
      <c r="C1280" s="241" t="s">
        <v>583</v>
      </c>
      <c r="D1280" s="278"/>
      <c r="E1280" s="278">
        <v>1800000</v>
      </c>
      <c r="F1280" s="225">
        <v>0.04</v>
      </c>
      <c r="G1280" s="226">
        <f>E1280*F1280</f>
        <v>72000</v>
      </c>
    </row>
    <row r="1281" spans="1:7" ht="15.75">
      <c r="A1281" s="675">
        <v>15211</v>
      </c>
      <c r="B1281" s="308">
        <v>0.1</v>
      </c>
      <c r="C1281" s="241" t="s">
        <v>586</v>
      </c>
      <c r="D1281" s="278"/>
      <c r="E1281" s="278">
        <v>1800000</v>
      </c>
      <c r="F1281" s="250">
        <v>0.05</v>
      </c>
      <c r="G1281" s="226">
        <f t="shared" ref="G1281:G1293" si="40">E1281*F1281</f>
        <v>90000</v>
      </c>
    </row>
    <row r="1282" spans="1:7" ht="15.75">
      <c r="A1282" s="545">
        <v>15320</v>
      </c>
      <c r="B1282" s="308">
        <v>0.1</v>
      </c>
      <c r="C1282" s="241" t="s">
        <v>591</v>
      </c>
      <c r="D1282" s="216"/>
      <c r="E1282" s="216">
        <v>1850000</v>
      </c>
      <c r="F1282" s="250">
        <v>0.05</v>
      </c>
      <c r="G1282" s="226">
        <f t="shared" si="40"/>
        <v>92500</v>
      </c>
    </row>
    <row r="1283" spans="1:7" ht="15.75">
      <c r="A1283" s="545">
        <v>15203</v>
      </c>
      <c r="B1283" s="342">
        <v>0.1</v>
      </c>
      <c r="C1283" s="241" t="s">
        <v>596</v>
      </c>
      <c r="D1283" s="242"/>
      <c r="E1283" s="242">
        <v>1900000</v>
      </c>
      <c r="F1283" s="250">
        <v>0.05</v>
      </c>
      <c r="G1283" s="226">
        <f t="shared" si="40"/>
        <v>95000</v>
      </c>
    </row>
    <row r="1284" spans="1:7" ht="15.75">
      <c r="A1284" s="545">
        <v>15200</v>
      </c>
      <c r="B1284" s="342">
        <v>0.1</v>
      </c>
      <c r="C1284" s="241" t="s">
        <v>597</v>
      </c>
      <c r="D1284" s="242"/>
      <c r="E1284" s="242">
        <v>1900000</v>
      </c>
      <c r="F1284" s="250">
        <v>0.05</v>
      </c>
      <c r="G1284" s="226">
        <f t="shared" si="40"/>
        <v>95000</v>
      </c>
    </row>
    <row r="1285" spans="1:7" ht="15.75">
      <c r="A1285" s="545">
        <v>15216</v>
      </c>
      <c r="B1285" s="342">
        <v>0.1</v>
      </c>
      <c r="C1285" s="241" t="s">
        <v>600</v>
      </c>
      <c r="D1285" s="242"/>
      <c r="E1285" s="242">
        <v>2000000</v>
      </c>
      <c r="F1285" s="225">
        <v>0.02</v>
      </c>
      <c r="G1285" s="226">
        <f t="shared" si="40"/>
        <v>40000</v>
      </c>
    </row>
    <row r="1286" spans="1:7" ht="15.75">
      <c r="A1286" s="341">
        <v>15270</v>
      </c>
      <c r="B1286" s="308">
        <v>0.1</v>
      </c>
      <c r="C1286" s="241" t="s">
        <v>602</v>
      </c>
      <c r="D1286" s="242"/>
      <c r="E1286" s="242">
        <v>2300000</v>
      </c>
      <c r="F1286" s="250">
        <v>0.05</v>
      </c>
      <c r="G1286" s="226">
        <f t="shared" si="40"/>
        <v>115000</v>
      </c>
    </row>
    <row r="1287" spans="1:7" ht="15.75">
      <c r="A1287" s="545">
        <v>15260</v>
      </c>
      <c r="B1287" s="342">
        <v>0.1</v>
      </c>
      <c r="C1287" s="241" t="s">
        <v>604</v>
      </c>
      <c r="D1287" s="242"/>
      <c r="E1287" s="242">
        <v>1700000</v>
      </c>
      <c r="F1287" s="250">
        <v>0.05</v>
      </c>
      <c r="G1287" s="226">
        <f t="shared" si="40"/>
        <v>85000</v>
      </c>
    </row>
    <row r="1288" spans="1:7" ht="15.75">
      <c r="A1288" s="341">
        <v>15186</v>
      </c>
      <c r="B1288" s="308">
        <v>0.1</v>
      </c>
      <c r="C1288" s="241" t="s">
        <v>612</v>
      </c>
      <c r="D1288" s="242"/>
      <c r="E1288" s="242">
        <v>900000</v>
      </c>
      <c r="F1288" s="250">
        <v>0.05</v>
      </c>
      <c r="G1288" s="226">
        <f t="shared" si="40"/>
        <v>45000</v>
      </c>
    </row>
    <row r="1289" spans="1:7" ht="15.75">
      <c r="A1289" s="293">
        <v>15192</v>
      </c>
      <c r="B1289" s="347">
        <v>0.08</v>
      </c>
      <c r="C1289" s="241" t="s">
        <v>614</v>
      </c>
      <c r="D1289" s="242"/>
      <c r="E1289" s="242">
        <v>1100000</v>
      </c>
      <c r="F1289" s="225">
        <v>0.04</v>
      </c>
      <c r="G1289" s="226">
        <f t="shared" si="40"/>
        <v>44000</v>
      </c>
    </row>
    <row r="1290" spans="1:7" ht="15.75">
      <c r="A1290" s="293">
        <v>15349</v>
      </c>
      <c r="B1290" s="231">
        <v>0.1</v>
      </c>
      <c r="C1290" s="241" t="s">
        <v>624</v>
      </c>
      <c r="D1290" s="242"/>
      <c r="E1290" s="242">
        <v>1050000</v>
      </c>
      <c r="F1290" s="250">
        <v>0.05</v>
      </c>
      <c r="G1290" s="226">
        <f t="shared" si="40"/>
        <v>52500</v>
      </c>
    </row>
    <row r="1291" spans="1:7" ht="15.75">
      <c r="A1291" s="293">
        <v>15361</v>
      </c>
      <c r="B1291" s="231">
        <v>0.1</v>
      </c>
      <c r="C1291" s="241" t="s">
        <v>627</v>
      </c>
      <c r="D1291" s="242"/>
      <c r="E1291" s="242">
        <v>1300000</v>
      </c>
      <c r="F1291" s="225">
        <v>0.02</v>
      </c>
      <c r="G1291" s="226">
        <f t="shared" si="40"/>
        <v>26000</v>
      </c>
    </row>
    <row r="1292" spans="1:7" ht="15.75">
      <c r="A1292" s="293">
        <v>15346</v>
      </c>
      <c r="B1292" s="231">
        <v>0.1</v>
      </c>
      <c r="C1292" s="241" t="s">
        <v>622</v>
      </c>
      <c r="D1292" s="242"/>
      <c r="E1292" s="242">
        <v>1200000</v>
      </c>
      <c r="F1292" s="250">
        <v>0.05</v>
      </c>
      <c r="G1292" s="226">
        <f t="shared" si="40"/>
        <v>60000</v>
      </c>
    </row>
    <row r="1293" spans="1:7" ht="15.75">
      <c r="A1293" s="739">
        <v>15140</v>
      </c>
      <c r="B1293" s="783">
        <v>0.1</v>
      </c>
      <c r="C1293" s="720" t="s">
        <v>876</v>
      </c>
      <c r="D1293" s="815" t="s">
        <v>802</v>
      </c>
      <c r="E1293" s="791">
        <v>1230000</v>
      </c>
      <c r="F1293" s="250">
        <v>0.05</v>
      </c>
      <c r="G1293" s="226">
        <f t="shared" si="40"/>
        <v>61500</v>
      </c>
    </row>
    <row r="1294" spans="1:7" ht="18">
      <c r="A1294" s="190"/>
      <c r="B1294" s="190"/>
      <c r="C1294" s="190"/>
      <c r="D1294" s="189"/>
      <c r="E1294" s="200">
        <f>SUM(E1280:E1293)</f>
        <v>22030000</v>
      </c>
      <c r="F1294" s="201"/>
      <c r="G1294" s="192">
        <f>SUM(G1280:G1293)</f>
        <v>973500</v>
      </c>
    </row>
    <row r="1297" spans="1:7">
      <c r="A1297" s="994" t="s">
        <v>877</v>
      </c>
      <c r="B1297" s="994"/>
      <c r="C1297" s="994"/>
      <c r="D1297" s="994"/>
      <c r="E1297" s="994"/>
      <c r="F1297" s="994"/>
      <c r="G1297" s="994"/>
    </row>
    <row r="1298" spans="1:7">
      <c r="A1298" s="994"/>
      <c r="B1298" s="995"/>
      <c r="C1298" s="995"/>
      <c r="D1298" s="994"/>
      <c r="E1298" s="994"/>
      <c r="F1298" s="994"/>
      <c r="G1298" s="994"/>
    </row>
    <row r="1299" spans="1:7">
      <c r="A1299" s="184" t="s">
        <v>3</v>
      </c>
      <c r="B1299" s="195" t="s">
        <v>709</v>
      </c>
      <c r="C1299" s="184" t="s">
        <v>710</v>
      </c>
      <c r="D1299" s="176" t="s">
        <v>711</v>
      </c>
      <c r="E1299" s="197" t="s">
        <v>300</v>
      </c>
      <c r="F1299" s="178" t="s">
        <v>7</v>
      </c>
      <c r="G1299" s="537" t="s">
        <v>50</v>
      </c>
    </row>
    <row r="1300" spans="1:7" ht="15.75">
      <c r="A1300" s="214">
        <v>15363</v>
      </c>
      <c r="B1300" s="526">
        <v>0.08</v>
      </c>
      <c r="C1300" s="241" t="s">
        <v>593</v>
      </c>
      <c r="D1300" s="216"/>
      <c r="E1300" s="216">
        <v>1850000</v>
      </c>
      <c r="F1300" s="225">
        <v>0.04</v>
      </c>
      <c r="G1300" s="226">
        <f>E1300*F1300</f>
        <v>74000</v>
      </c>
    </row>
    <row r="1301" spans="1:7" ht="15.75">
      <c r="A1301" s="545">
        <v>15368</v>
      </c>
      <c r="B1301" s="342">
        <v>0.1</v>
      </c>
      <c r="C1301" s="241" t="s">
        <v>20</v>
      </c>
      <c r="D1301" s="242"/>
      <c r="E1301" s="242">
        <v>850000</v>
      </c>
      <c r="F1301" s="250">
        <v>0.05</v>
      </c>
      <c r="G1301" s="226">
        <f t="shared" ref="G1301:G1316" si="41">E1301*F1301</f>
        <v>42500</v>
      </c>
    </row>
    <row r="1302" spans="1:7" ht="15.75">
      <c r="A1302" s="545">
        <v>15201</v>
      </c>
      <c r="B1302" s="793">
        <v>0.08</v>
      </c>
      <c r="C1302" s="241" t="s">
        <v>599</v>
      </c>
      <c r="D1302" s="242"/>
      <c r="E1302" s="242">
        <v>1650000</v>
      </c>
      <c r="F1302" s="225">
        <v>0.04</v>
      </c>
      <c r="G1302" s="226">
        <f t="shared" si="41"/>
        <v>66000</v>
      </c>
    </row>
    <row r="1303" spans="1:7" ht="15.75">
      <c r="A1303" s="341">
        <v>15189</v>
      </c>
      <c r="B1303" s="308">
        <v>0.1</v>
      </c>
      <c r="C1303" s="241" t="s">
        <v>613</v>
      </c>
      <c r="D1303" s="242"/>
      <c r="E1303" s="242">
        <v>1200000</v>
      </c>
      <c r="F1303" s="250">
        <v>0.05</v>
      </c>
      <c r="G1303" s="226">
        <f t="shared" si="41"/>
        <v>60000</v>
      </c>
    </row>
    <row r="1304" spans="1:7" ht="15.75">
      <c r="A1304" s="293">
        <v>15240</v>
      </c>
      <c r="B1304" s="231">
        <v>0.1</v>
      </c>
      <c r="C1304" s="241" t="s">
        <v>616</v>
      </c>
      <c r="D1304" s="242"/>
      <c r="E1304" s="242">
        <v>950000</v>
      </c>
      <c r="F1304" s="250">
        <v>0.05</v>
      </c>
      <c r="G1304" s="226">
        <f t="shared" si="41"/>
        <v>47500</v>
      </c>
    </row>
    <row r="1305" spans="1:7" ht="15.75">
      <c r="A1305" s="293">
        <v>15279</v>
      </c>
      <c r="B1305" s="231">
        <v>0.1</v>
      </c>
      <c r="C1305" s="241" t="s">
        <v>618</v>
      </c>
      <c r="D1305" s="242"/>
      <c r="E1305" s="242">
        <v>1000000</v>
      </c>
      <c r="F1305" s="250">
        <v>0.05</v>
      </c>
      <c r="G1305" s="226">
        <f t="shared" si="41"/>
        <v>50000</v>
      </c>
    </row>
    <row r="1306" spans="1:7" ht="15.75">
      <c r="A1306" s="293">
        <v>15269</v>
      </c>
      <c r="B1306" s="231">
        <v>0.1</v>
      </c>
      <c r="C1306" s="241" t="s">
        <v>619</v>
      </c>
      <c r="D1306" s="242"/>
      <c r="E1306" s="242">
        <v>1000000</v>
      </c>
      <c r="F1306" s="250">
        <v>0.05</v>
      </c>
      <c r="G1306" s="226">
        <f t="shared" si="41"/>
        <v>50000</v>
      </c>
    </row>
    <row r="1307" spans="1:7" ht="15.75">
      <c r="A1307" s="545">
        <v>15392</v>
      </c>
      <c r="B1307" s="342">
        <v>0.1</v>
      </c>
      <c r="C1307" s="241" t="s">
        <v>608</v>
      </c>
      <c r="D1307" s="242"/>
      <c r="E1307" s="242">
        <v>1800000</v>
      </c>
      <c r="F1307" s="250">
        <v>0.05</v>
      </c>
      <c r="G1307" s="226">
        <f t="shared" si="41"/>
        <v>90000</v>
      </c>
    </row>
    <row r="1308" spans="1:7" ht="15.75">
      <c r="A1308" s="739">
        <v>15148</v>
      </c>
      <c r="B1308" s="783">
        <v>0.1</v>
      </c>
      <c r="C1308" s="786" t="s">
        <v>878</v>
      </c>
      <c r="D1308" s="848" t="s">
        <v>802</v>
      </c>
      <c r="E1308" s="782">
        <v>1000000</v>
      </c>
      <c r="F1308" s="250">
        <v>0.05</v>
      </c>
      <c r="G1308" s="226">
        <f t="shared" si="41"/>
        <v>50000</v>
      </c>
    </row>
    <row r="1309" spans="1:7" ht="15.75">
      <c r="A1309" s="739">
        <v>15277</v>
      </c>
      <c r="B1309" s="783">
        <v>0.1</v>
      </c>
      <c r="C1309" s="786" t="s">
        <v>879</v>
      </c>
      <c r="D1309" s="848" t="s">
        <v>802</v>
      </c>
      <c r="E1309" s="782">
        <v>1200000</v>
      </c>
      <c r="F1309" s="225">
        <v>0.02</v>
      </c>
      <c r="G1309" s="226">
        <f t="shared" si="41"/>
        <v>24000</v>
      </c>
    </row>
    <row r="1310" spans="1:7" ht="15.75">
      <c r="A1310" s="739">
        <v>15285</v>
      </c>
      <c r="B1310" s="783">
        <v>0.1</v>
      </c>
      <c r="C1310" s="786" t="s">
        <v>880</v>
      </c>
      <c r="D1310" s="848" t="s">
        <v>802</v>
      </c>
      <c r="E1310" s="782">
        <v>620000</v>
      </c>
      <c r="F1310" s="250">
        <v>0.05</v>
      </c>
      <c r="G1310" s="226">
        <f t="shared" si="41"/>
        <v>31000</v>
      </c>
    </row>
    <row r="1311" spans="1:7" ht="15.75">
      <c r="A1311" s="739">
        <v>15319</v>
      </c>
      <c r="B1311" s="783">
        <v>0.1</v>
      </c>
      <c r="C1311" s="786" t="s">
        <v>881</v>
      </c>
      <c r="D1311" s="848" t="s">
        <v>802</v>
      </c>
      <c r="E1311" s="782">
        <v>1300000</v>
      </c>
      <c r="F1311" s="250">
        <v>0.05</v>
      </c>
      <c r="G1311" s="226">
        <f t="shared" si="41"/>
        <v>65000</v>
      </c>
    </row>
    <row r="1312" spans="1:7" ht="15.75">
      <c r="A1312" s="739">
        <v>15327</v>
      </c>
      <c r="B1312" s="783">
        <v>0.1</v>
      </c>
      <c r="C1312" s="786" t="s">
        <v>882</v>
      </c>
      <c r="D1312" s="848" t="s">
        <v>802</v>
      </c>
      <c r="E1312" s="782">
        <v>1400000</v>
      </c>
      <c r="F1312" s="250">
        <v>0.05</v>
      </c>
      <c r="G1312" s="226">
        <f t="shared" si="41"/>
        <v>70000</v>
      </c>
    </row>
    <row r="1313" spans="1:7" ht="15.75">
      <c r="A1313" s="739">
        <v>15347</v>
      </c>
      <c r="B1313" s="783">
        <v>0.1</v>
      </c>
      <c r="C1313" s="786" t="s">
        <v>883</v>
      </c>
      <c r="D1313" s="848" t="s">
        <v>802</v>
      </c>
      <c r="E1313" s="782">
        <v>2100000</v>
      </c>
      <c r="F1313" s="250">
        <v>0.05</v>
      </c>
      <c r="G1313" s="226">
        <f t="shared" si="41"/>
        <v>105000</v>
      </c>
    </row>
    <row r="1314" spans="1:7" ht="15.75">
      <c r="A1314" s="739">
        <v>15378</v>
      </c>
      <c r="B1314" s="794">
        <v>0.08</v>
      </c>
      <c r="C1314" s="786" t="s">
        <v>884</v>
      </c>
      <c r="D1314" s="848" t="s">
        <v>802</v>
      </c>
      <c r="E1314" s="782">
        <v>950000</v>
      </c>
      <c r="F1314" s="225">
        <v>0.04</v>
      </c>
      <c r="G1314" s="226">
        <f t="shared" si="41"/>
        <v>38000</v>
      </c>
    </row>
    <row r="1315" spans="1:7" ht="15.75">
      <c r="A1315" s="739">
        <v>15177</v>
      </c>
      <c r="B1315" s="731">
        <v>0.08</v>
      </c>
      <c r="C1315" s="720" t="s">
        <v>885</v>
      </c>
      <c r="D1315" s="720" t="s">
        <v>802</v>
      </c>
      <c r="E1315" s="721">
        <v>1750000</v>
      </c>
      <c r="F1315" s="225">
        <v>0.04</v>
      </c>
      <c r="G1315" s="226">
        <f t="shared" si="41"/>
        <v>70000</v>
      </c>
    </row>
    <row r="1316" spans="1:7" ht="15.75">
      <c r="A1316" s="811">
        <v>15282</v>
      </c>
      <c r="B1316" s="730">
        <v>0.1</v>
      </c>
      <c r="C1316" s="785" t="s">
        <v>886</v>
      </c>
      <c r="D1316" s="720" t="s">
        <v>802</v>
      </c>
      <c r="E1316" s="721">
        <v>1300000</v>
      </c>
      <c r="F1316" s="250">
        <v>0.05</v>
      </c>
      <c r="G1316" s="226">
        <f t="shared" si="41"/>
        <v>65000</v>
      </c>
    </row>
    <row r="1317" spans="1:7" ht="18">
      <c r="A1317" s="689"/>
      <c r="B1317" s="690"/>
      <c r="C1317" s="691"/>
      <c r="D1317" s="692"/>
      <c r="E1317" s="693">
        <f>SUM(E1300:E1316)</f>
        <v>21920000</v>
      </c>
      <c r="F1317" s="666"/>
      <c r="G1317" s="695">
        <f>SUM(G1300:G1316)</f>
        <v>998000</v>
      </c>
    </row>
    <row r="1320" spans="1:7">
      <c r="A1320" s="994" t="s">
        <v>887</v>
      </c>
      <c r="B1320" s="994"/>
      <c r="C1320" s="994"/>
      <c r="D1320" s="994"/>
      <c r="E1320" s="994"/>
      <c r="F1320" s="994"/>
      <c r="G1320" s="994"/>
    </row>
    <row r="1321" spans="1:7">
      <c r="A1321" s="994"/>
      <c r="B1321" s="995"/>
      <c r="C1321" s="995"/>
      <c r="D1321" s="994"/>
      <c r="E1321" s="994"/>
      <c r="F1321" s="994"/>
      <c r="G1321" s="994"/>
    </row>
    <row r="1322" spans="1:7">
      <c r="A1322" s="615" t="s">
        <v>3</v>
      </c>
      <c r="B1322" s="184" t="s">
        <v>709</v>
      </c>
      <c r="C1322" s="805" t="s">
        <v>710</v>
      </c>
      <c r="D1322" s="176" t="s">
        <v>711</v>
      </c>
      <c r="E1322" s="197" t="s">
        <v>300</v>
      </c>
      <c r="F1322" s="178" t="s">
        <v>7</v>
      </c>
      <c r="G1322" s="537" t="s">
        <v>50</v>
      </c>
    </row>
    <row r="1323" spans="1:7" ht="15.75">
      <c r="A1323" s="830">
        <v>15158</v>
      </c>
      <c r="B1323" s="308">
        <v>0.1</v>
      </c>
      <c r="C1323" s="241" t="s">
        <v>585</v>
      </c>
      <c r="D1323" s="278"/>
      <c r="E1323" s="278">
        <v>1900000</v>
      </c>
      <c r="F1323" s="250">
        <v>0.03</v>
      </c>
      <c r="G1323" s="226">
        <f>E1323*F1323</f>
        <v>57000</v>
      </c>
    </row>
    <row r="1324" spans="1:7" ht="15.75">
      <c r="A1324" s="777">
        <v>15249</v>
      </c>
      <c r="B1324" s="526">
        <v>0.08</v>
      </c>
      <c r="C1324" s="241" t="s">
        <v>587</v>
      </c>
      <c r="D1324" s="278"/>
      <c r="E1324" s="278">
        <v>2300000</v>
      </c>
      <c r="F1324" s="225">
        <v>0.02</v>
      </c>
      <c r="G1324" s="226">
        <f t="shared" ref="G1324:G1335" si="42">E1324*F1324</f>
        <v>46000</v>
      </c>
    </row>
    <row r="1325" spans="1:7" ht="15.75">
      <c r="A1325" s="545">
        <v>15313</v>
      </c>
      <c r="B1325" s="308">
        <v>0.1</v>
      </c>
      <c r="C1325" s="241" t="s">
        <v>590</v>
      </c>
      <c r="D1325" s="216"/>
      <c r="E1325" s="216">
        <v>950000</v>
      </c>
      <c r="F1325" s="250">
        <v>0.03</v>
      </c>
      <c r="G1325" s="226">
        <f t="shared" si="42"/>
        <v>28500</v>
      </c>
    </row>
    <row r="1326" spans="1:7" ht="15.75">
      <c r="A1326" s="293">
        <v>15250</v>
      </c>
      <c r="B1326" s="231">
        <v>0.1</v>
      </c>
      <c r="C1326" s="241" t="s">
        <v>617</v>
      </c>
      <c r="D1326" s="242"/>
      <c r="E1326" s="242">
        <v>1100000</v>
      </c>
      <c r="F1326" s="250">
        <v>0.03</v>
      </c>
      <c r="G1326" s="226">
        <f t="shared" si="42"/>
        <v>33000</v>
      </c>
    </row>
    <row r="1327" spans="1:7" ht="15.75">
      <c r="A1327" s="293">
        <v>15288</v>
      </c>
      <c r="B1327" s="231">
        <v>0.1</v>
      </c>
      <c r="C1327" s="241" t="s">
        <v>620</v>
      </c>
      <c r="D1327" s="242"/>
      <c r="E1327" s="242">
        <v>1300000</v>
      </c>
      <c r="F1327" s="250">
        <v>0.03</v>
      </c>
      <c r="G1327" s="226">
        <f t="shared" si="42"/>
        <v>39000</v>
      </c>
    </row>
    <row r="1328" spans="1:7" ht="15.75">
      <c r="A1328" s="293">
        <v>15293</v>
      </c>
      <c r="B1328" s="231">
        <v>0.1</v>
      </c>
      <c r="C1328" s="241" t="s">
        <v>621</v>
      </c>
      <c r="D1328" s="242"/>
      <c r="E1328" s="242">
        <v>1250000</v>
      </c>
      <c r="F1328" s="250">
        <v>0.03</v>
      </c>
      <c r="G1328" s="226">
        <f t="shared" si="42"/>
        <v>37500</v>
      </c>
    </row>
    <row r="1329" spans="1:7" ht="15.75">
      <c r="A1329" s="293">
        <v>15356</v>
      </c>
      <c r="B1329" s="231">
        <v>0.1</v>
      </c>
      <c r="C1329" s="241" t="s">
        <v>626</v>
      </c>
      <c r="D1329" s="242"/>
      <c r="E1329" s="242">
        <v>1400000</v>
      </c>
      <c r="F1329" s="250">
        <v>0.03</v>
      </c>
      <c r="G1329" s="226">
        <f t="shared" si="42"/>
        <v>42000</v>
      </c>
    </row>
    <row r="1330" spans="1:7" ht="15.75">
      <c r="A1330" s="293">
        <v>15400</v>
      </c>
      <c r="B1330" s="250">
        <v>0.1</v>
      </c>
      <c r="C1330" s="850" t="s">
        <v>629</v>
      </c>
      <c r="D1330" s="293"/>
      <c r="E1330" s="242">
        <v>1150000</v>
      </c>
      <c r="F1330" s="250">
        <v>0.03</v>
      </c>
      <c r="G1330" s="226">
        <f t="shared" si="42"/>
        <v>34500</v>
      </c>
    </row>
    <row r="1331" spans="1:7" ht="15.75">
      <c r="A1331" s="739">
        <v>15276</v>
      </c>
      <c r="B1331" s="783">
        <v>0.1</v>
      </c>
      <c r="C1331" s="786" t="s">
        <v>888</v>
      </c>
      <c r="D1331" s="848" t="s">
        <v>802</v>
      </c>
      <c r="E1331" s="782">
        <v>1180000</v>
      </c>
      <c r="F1331" s="250">
        <v>0.03</v>
      </c>
      <c r="G1331" s="226">
        <f t="shared" si="42"/>
        <v>35400</v>
      </c>
    </row>
    <row r="1332" spans="1:7" ht="15.75">
      <c r="A1332" s="739">
        <v>15284</v>
      </c>
      <c r="B1332" s="783">
        <v>0.1</v>
      </c>
      <c r="C1332" s="786" t="s">
        <v>889</v>
      </c>
      <c r="D1332" s="848" t="s">
        <v>802</v>
      </c>
      <c r="E1332" s="782">
        <v>900000</v>
      </c>
      <c r="F1332" s="250">
        <v>0.03</v>
      </c>
      <c r="G1332" s="226">
        <f t="shared" si="42"/>
        <v>27000</v>
      </c>
    </row>
    <row r="1333" spans="1:7" ht="15.75">
      <c r="A1333" s="739">
        <v>15178</v>
      </c>
      <c r="B1333" s="730">
        <v>0.1</v>
      </c>
      <c r="C1333" s="720" t="s">
        <v>890</v>
      </c>
      <c r="D1333" s="720" t="s">
        <v>802</v>
      </c>
      <c r="E1333" s="721">
        <v>1300000</v>
      </c>
      <c r="F1333" s="250">
        <v>0.03</v>
      </c>
      <c r="G1333" s="226">
        <f t="shared" si="42"/>
        <v>39000</v>
      </c>
    </row>
    <row r="1334" spans="1:7" ht="15.75">
      <c r="A1334" s="739">
        <v>15382</v>
      </c>
      <c r="B1334" s="783">
        <v>0.1</v>
      </c>
      <c r="C1334" s="725" t="s">
        <v>891</v>
      </c>
      <c r="D1334" s="848" t="s">
        <v>802</v>
      </c>
      <c r="E1334" s="782">
        <v>1800000</v>
      </c>
      <c r="F1334" s="250">
        <v>0.03</v>
      </c>
      <c r="G1334" s="226">
        <f t="shared" si="42"/>
        <v>54000</v>
      </c>
    </row>
    <row r="1335" spans="1:7" ht="15.75">
      <c r="A1335" s="739">
        <v>15394</v>
      </c>
      <c r="B1335" s="730">
        <v>0.1</v>
      </c>
      <c r="C1335" s="720" t="s">
        <v>892</v>
      </c>
      <c r="D1335" s="720" t="s">
        <v>802</v>
      </c>
      <c r="E1335" s="721">
        <v>1450000</v>
      </c>
      <c r="F1335" s="250">
        <v>0.03</v>
      </c>
      <c r="G1335" s="226">
        <f t="shared" si="42"/>
        <v>43500</v>
      </c>
    </row>
    <row r="1336" spans="1:7" ht="18">
      <c r="A1336" s="689"/>
      <c r="B1336" s="804"/>
      <c r="C1336" s="744"/>
      <c r="D1336" s="813"/>
      <c r="E1336" s="693">
        <f>SUM(E1323:E1335)</f>
        <v>17980000</v>
      </c>
      <c r="F1336" s="666"/>
      <c r="G1336" s="695">
        <f>SUM(G1323:G1335)</f>
        <v>516400</v>
      </c>
    </row>
    <row r="1337" spans="1:7" ht="18">
      <c r="A1337" s="842"/>
      <c r="B1337" s="843"/>
      <c r="C1337" s="844"/>
      <c r="D1337" s="845"/>
      <c r="E1337" s="846"/>
      <c r="F1337" s="843"/>
      <c r="G1337" s="847"/>
    </row>
    <row r="1338" spans="1:7" ht="18">
      <c r="A1338" s="842"/>
      <c r="B1338" s="843"/>
      <c r="C1338" s="844"/>
      <c r="D1338" s="845"/>
      <c r="E1338" s="846"/>
      <c r="F1338" s="843"/>
      <c r="G1338" s="847"/>
    </row>
    <row r="1339" spans="1:7">
      <c r="A1339" s="994" t="s">
        <v>893</v>
      </c>
      <c r="B1339" s="994"/>
      <c r="C1339" s="994"/>
      <c r="D1339" s="994"/>
      <c r="E1339" s="994"/>
      <c r="F1339" s="994"/>
      <c r="G1339" s="994"/>
    </row>
    <row r="1340" spans="1:7">
      <c r="A1340" s="994"/>
      <c r="B1340" s="995"/>
      <c r="C1340" s="995"/>
      <c r="D1340" s="994"/>
      <c r="E1340" s="994"/>
      <c r="F1340" s="994"/>
      <c r="G1340" s="994"/>
    </row>
    <row r="1341" spans="1:7">
      <c r="A1341" s="194" t="s">
        <v>3</v>
      </c>
      <c r="B1341" s="184" t="s">
        <v>709</v>
      </c>
      <c r="C1341" s="805" t="s">
        <v>710</v>
      </c>
      <c r="D1341" s="176" t="s">
        <v>711</v>
      </c>
      <c r="E1341" s="197" t="s">
        <v>300</v>
      </c>
      <c r="F1341" s="178" t="s">
        <v>7</v>
      </c>
      <c r="G1341" s="537" t="s">
        <v>50</v>
      </c>
    </row>
    <row r="1342" spans="1:7" ht="15.75">
      <c r="A1342" s="777">
        <v>15322</v>
      </c>
      <c r="B1342" s="526">
        <v>0.08</v>
      </c>
      <c r="C1342" s="850" t="s">
        <v>632</v>
      </c>
      <c r="D1342" s="278"/>
      <c r="E1342" s="278">
        <v>800000</v>
      </c>
      <c r="F1342" s="250"/>
      <c r="G1342" s="226"/>
    </row>
    <row r="1346" spans="1:7">
      <c r="A1346" s="996" t="s">
        <v>894</v>
      </c>
      <c r="B1346" s="997"/>
      <c r="C1346" s="997"/>
      <c r="D1346" s="997"/>
      <c r="E1346" s="997"/>
      <c r="F1346" s="997"/>
      <c r="G1346" s="998"/>
    </row>
    <row r="1347" spans="1:7">
      <c r="A1347" s="999"/>
      <c r="B1347" s="1000"/>
      <c r="C1347" s="1000"/>
      <c r="D1347" s="1000"/>
      <c r="E1347" s="1000"/>
      <c r="F1347" s="1000"/>
      <c r="G1347" s="1001"/>
    </row>
    <row r="1348" spans="1:7">
      <c r="A1348" s="493" t="s">
        <v>3</v>
      </c>
      <c r="B1348" s="175" t="s">
        <v>709</v>
      </c>
      <c r="C1348" s="493" t="s">
        <v>710</v>
      </c>
      <c r="D1348" s="176" t="s">
        <v>711</v>
      </c>
      <c r="E1348" s="177" t="s">
        <v>300</v>
      </c>
      <c r="F1348" s="178" t="s">
        <v>7</v>
      </c>
      <c r="G1348" s="179" t="s">
        <v>50</v>
      </c>
    </row>
    <row r="1349" spans="1:7" ht="15.75">
      <c r="A1349" s="675">
        <v>15160</v>
      </c>
      <c r="B1349" s="308">
        <v>0.1</v>
      </c>
      <c r="C1349" s="241" t="s">
        <v>584</v>
      </c>
      <c r="D1349" s="278"/>
      <c r="E1349" s="278">
        <v>1900000</v>
      </c>
      <c r="F1349" s="247">
        <v>0.03</v>
      </c>
      <c r="G1349" s="248">
        <f>E1349*F1349</f>
        <v>57000</v>
      </c>
    </row>
    <row r="1350" spans="1:7" ht="15.75">
      <c r="A1350" s="341">
        <v>15221</v>
      </c>
      <c r="B1350" s="308">
        <v>0.1</v>
      </c>
      <c r="C1350" s="241" t="s">
        <v>588</v>
      </c>
      <c r="D1350" s="216"/>
      <c r="E1350" s="216">
        <v>1750000</v>
      </c>
      <c r="F1350" s="247">
        <v>0.03</v>
      </c>
      <c r="G1350" s="248">
        <f t="shared" ref="G1350:G1413" si="43">E1350*F1350</f>
        <v>52500</v>
      </c>
    </row>
    <row r="1351" spans="1:7" ht="15.75">
      <c r="A1351" s="545">
        <v>15266</v>
      </c>
      <c r="B1351" s="308">
        <v>0.1</v>
      </c>
      <c r="C1351" s="241" t="s">
        <v>589</v>
      </c>
      <c r="D1351" s="216"/>
      <c r="E1351" s="216">
        <v>2150000</v>
      </c>
      <c r="F1351" s="247">
        <v>0.03</v>
      </c>
      <c r="G1351" s="248">
        <f t="shared" si="43"/>
        <v>64500</v>
      </c>
    </row>
    <row r="1352" spans="1:7" ht="15.75">
      <c r="A1352" s="675">
        <v>15365</v>
      </c>
      <c r="B1352" s="308">
        <v>0.1</v>
      </c>
      <c r="C1352" s="241" t="s">
        <v>592</v>
      </c>
      <c r="D1352" s="216"/>
      <c r="E1352" s="216">
        <v>1750000</v>
      </c>
      <c r="F1352" s="247">
        <v>0.03</v>
      </c>
      <c r="G1352" s="248">
        <f t="shared" si="43"/>
        <v>52500</v>
      </c>
    </row>
    <row r="1353" spans="1:7" ht="15.75">
      <c r="A1353" s="545">
        <v>15225</v>
      </c>
      <c r="B1353" s="342">
        <v>0.1</v>
      </c>
      <c r="C1353" s="241" t="s">
        <v>601</v>
      </c>
      <c r="D1353" s="242"/>
      <c r="E1353" s="242">
        <v>2300000</v>
      </c>
      <c r="F1353" s="247">
        <v>0.03</v>
      </c>
      <c r="G1353" s="248">
        <f t="shared" si="43"/>
        <v>69000</v>
      </c>
    </row>
    <row r="1354" spans="1:7" ht="15.75">
      <c r="A1354" s="545">
        <v>15256</v>
      </c>
      <c r="B1354" s="342">
        <v>0.1</v>
      </c>
      <c r="C1354" s="241" t="s">
        <v>603</v>
      </c>
      <c r="D1354" s="242"/>
      <c r="E1354" s="242">
        <v>2100000</v>
      </c>
      <c r="F1354" s="247">
        <v>0.03</v>
      </c>
      <c r="G1354" s="248">
        <f t="shared" si="43"/>
        <v>63000</v>
      </c>
    </row>
    <row r="1355" spans="1:7" ht="15.75">
      <c r="A1355" s="545">
        <v>15329</v>
      </c>
      <c r="B1355" s="342">
        <v>0.1</v>
      </c>
      <c r="C1355" s="241" t="s">
        <v>605</v>
      </c>
      <c r="D1355" s="242"/>
      <c r="E1355" s="242">
        <v>1500000</v>
      </c>
      <c r="F1355" s="247">
        <v>0.03</v>
      </c>
      <c r="G1355" s="248">
        <f t="shared" si="43"/>
        <v>45000</v>
      </c>
    </row>
    <row r="1356" spans="1:7" ht="15.75">
      <c r="A1356" s="341">
        <v>15191</v>
      </c>
      <c r="B1356" s="308">
        <v>0.1</v>
      </c>
      <c r="C1356" s="241" t="s">
        <v>610</v>
      </c>
      <c r="D1356" s="242"/>
      <c r="E1356" s="242">
        <v>1200000</v>
      </c>
      <c r="F1356" s="247">
        <v>0.03</v>
      </c>
      <c r="G1356" s="248">
        <f t="shared" si="43"/>
        <v>36000</v>
      </c>
    </row>
    <row r="1357" spans="1:7" ht="15.75">
      <c r="A1357" s="293">
        <v>15206</v>
      </c>
      <c r="B1357" s="231">
        <v>0.1</v>
      </c>
      <c r="C1357" s="241" t="s">
        <v>615</v>
      </c>
      <c r="D1357" s="242"/>
      <c r="E1357" s="242">
        <v>1200000</v>
      </c>
      <c r="F1357" s="247">
        <v>0.03</v>
      </c>
      <c r="G1357" s="248">
        <f t="shared" si="43"/>
        <v>36000</v>
      </c>
    </row>
    <row r="1358" spans="1:7" ht="15.75">
      <c r="A1358" s="293">
        <v>15351</v>
      </c>
      <c r="B1358" s="231">
        <v>0.1</v>
      </c>
      <c r="C1358" s="241" t="s">
        <v>289</v>
      </c>
      <c r="D1358" s="242"/>
      <c r="E1358" s="242">
        <v>1450000</v>
      </c>
      <c r="F1358" s="247">
        <v>0.03</v>
      </c>
      <c r="G1358" s="248">
        <f t="shared" si="43"/>
        <v>43500</v>
      </c>
    </row>
    <row r="1359" spans="1:7" ht="15.75">
      <c r="A1359" s="293">
        <v>15352</v>
      </c>
      <c r="B1359" s="231">
        <v>0.1</v>
      </c>
      <c r="C1359" s="241" t="s">
        <v>625</v>
      </c>
      <c r="D1359" s="242"/>
      <c r="E1359" s="242">
        <v>1200000</v>
      </c>
      <c r="F1359" s="247">
        <v>0.03</v>
      </c>
      <c r="G1359" s="248">
        <f t="shared" si="43"/>
        <v>36000</v>
      </c>
    </row>
    <row r="1360" spans="1:7" ht="15.75">
      <c r="A1360" s="293">
        <v>15379</v>
      </c>
      <c r="B1360" s="231">
        <v>0.1</v>
      </c>
      <c r="C1360" s="241" t="s">
        <v>628</v>
      </c>
      <c r="D1360" s="242"/>
      <c r="E1360" s="242">
        <v>1200000</v>
      </c>
      <c r="F1360" s="247">
        <v>0.03</v>
      </c>
      <c r="G1360" s="248">
        <f t="shared" si="43"/>
        <v>36000</v>
      </c>
    </row>
    <row r="1361" spans="1:7" ht="15.75">
      <c r="A1361" s="300">
        <v>15330</v>
      </c>
      <c r="B1361" s="231">
        <v>0.1</v>
      </c>
      <c r="C1361" s="272" t="s">
        <v>631</v>
      </c>
      <c r="D1361" s="278"/>
      <c r="E1361" s="278">
        <v>1700000</v>
      </c>
      <c r="F1361" s="247">
        <v>0.03</v>
      </c>
      <c r="G1361" s="248">
        <f t="shared" si="43"/>
        <v>51000</v>
      </c>
    </row>
    <row r="1362" spans="1:7" ht="15.75">
      <c r="A1362" s="611">
        <v>15343</v>
      </c>
      <c r="B1362" s="347">
        <v>0.08</v>
      </c>
      <c r="C1362" s="612" t="s">
        <v>635</v>
      </c>
      <c r="D1362" s="278"/>
      <c r="E1362" s="278">
        <v>1000000</v>
      </c>
      <c r="F1362" s="349">
        <v>0.02</v>
      </c>
      <c r="G1362" s="248">
        <f t="shared" si="43"/>
        <v>20000</v>
      </c>
    </row>
    <row r="1363" spans="1:7" ht="15.75">
      <c r="A1363" s="293">
        <v>15385</v>
      </c>
      <c r="B1363" s="247">
        <v>0.1</v>
      </c>
      <c r="C1363" s="593" t="s">
        <v>606</v>
      </c>
      <c r="D1363" s="841"/>
      <c r="E1363" s="837">
        <v>2300000</v>
      </c>
      <c r="F1363" s="247">
        <v>0.03</v>
      </c>
      <c r="G1363" s="248">
        <f t="shared" si="43"/>
        <v>69000</v>
      </c>
    </row>
    <row r="1364" spans="1:7" ht="15.75">
      <c r="A1364" s="260">
        <v>15143</v>
      </c>
      <c r="B1364" s="526">
        <v>0.08</v>
      </c>
      <c r="C1364" s="241" t="s">
        <v>583</v>
      </c>
      <c r="D1364" s="278"/>
      <c r="E1364" s="278">
        <v>1800000</v>
      </c>
      <c r="F1364" s="349">
        <v>0.02</v>
      </c>
      <c r="G1364" s="248">
        <f t="shared" si="43"/>
        <v>36000</v>
      </c>
    </row>
    <row r="1365" spans="1:7" ht="15.75">
      <c r="A1365" s="675">
        <v>15211</v>
      </c>
      <c r="B1365" s="308">
        <v>0.1</v>
      </c>
      <c r="C1365" s="241" t="s">
        <v>586</v>
      </c>
      <c r="D1365" s="278"/>
      <c r="E1365" s="278">
        <v>1800000</v>
      </c>
      <c r="F1365" s="247">
        <v>0.03</v>
      </c>
      <c r="G1365" s="248">
        <f t="shared" si="43"/>
        <v>54000</v>
      </c>
    </row>
    <row r="1366" spans="1:7" ht="15.75">
      <c r="A1366" s="545">
        <v>15320</v>
      </c>
      <c r="B1366" s="308">
        <v>0.1</v>
      </c>
      <c r="C1366" s="241" t="s">
        <v>591</v>
      </c>
      <c r="D1366" s="216"/>
      <c r="E1366" s="216">
        <v>1850000</v>
      </c>
      <c r="F1366" s="247">
        <v>0.03</v>
      </c>
      <c r="G1366" s="248">
        <f t="shared" si="43"/>
        <v>55500</v>
      </c>
    </row>
    <row r="1367" spans="1:7" ht="15.75">
      <c r="A1367" s="545">
        <v>15203</v>
      </c>
      <c r="B1367" s="342">
        <v>0.1</v>
      </c>
      <c r="C1367" s="241" t="s">
        <v>596</v>
      </c>
      <c r="D1367" s="242"/>
      <c r="E1367" s="242">
        <v>1900000</v>
      </c>
      <c r="F1367" s="247">
        <v>0.03</v>
      </c>
      <c r="G1367" s="248">
        <f t="shared" si="43"/>
        <v>57000</v>
      </c>
    </row>
    <row r="1368" spans="1:7" ht="15.75">
      <c r="A1368" s="545">
        <v>15200</v>
      </c>
      <c r="B1368" s="342">
        <v>0.1</v>
      </c>
      <c r="C1368" s="241" t="s">
        <v>597</v>
      </c>
      <c r="D1368" s="242"/>
      <c r="E1368" s="242">
        <v>1900000</v>
      </c>
      <c r="F1368" s="247">
        <v>0.03</v>
      </c>
      <c r="G1368" s="248">
        <f t="shared" si="43"/>
        <v>57000</v>
      </c>
    </row>
    <row r="1369" spans="1:7" ht="15.75">
      <c r="A1369" s="545">
        <v>15216</v>
      </c>
      <c r="B1369" s="342">
        <v>0.1</v>
      </c>
      <c r="C1369" s="241" t="s">
        <v>600</v>
      </c>
      <c r="D1369" s="242"/>
      <c r="E1369" s="242">
        <v>2000000</v>
      </c>
      <c r="F1369" s="247">
        <v>0.03</v>
      </c>
      <c r="G1369" s="248">
        <f t="shared" si="43"/>
        <v>60000</v>
      </c>
    </row>
    <row r="1370" spans="1:7" ht="15.75">
      <c r="A1370" s="341">
        <v>15270</v>
      </c>
      <c r="B1370" s="308">
        <v>0.1</v>
      </c>
      <c r="C1370" s="241" t="s">
        <v>602</v>
      </c>
      <c r="D1370" s="242"/>
      <c r="E1370" s="242">
        <v>2300000</v>
      </c>
      <c r="F1370" s="247">
        <v>0.03</v>
      </c>
      <c r="G1370" s="248">
        <f t="shared" si="43"/>
        <v>69000</v>
      </c>
    </row>
    <row r="1371" spans="1:7" ht="15.75">
      <c r="A1371" s="545">
        <v>15260</v>
      </c>
      <c r="B1371" s="342">
        <v>0.1</v>
      </c>
      <c r="C1371" s="241" t="s">
        <v>604</v>
      </c>
      <c r="D1371" s="242"/>
      <c r="E1371" s="242">
        <v>1700000</v>
      </c>
      <c r="F1371" s="247">
        <v>0.03</v>
      </c>
      <c r="G1371" s="248">
        <f t="shared" si="43"/>
        <v>51000</v>
      </c>
    </row>
    <row r="1372" spans="1:7" ht="15.75">
      <c r="A1372" s="341">
        <v>15186</v>
      </c>
      <c r="B1372" s="308">
        <v>0.1</v>
      </c>
      <c r="C1372" s="241" t="s">
        <v>612</v>
      </c>
      <c r="D1372" s="242"/>
      <c r="E1372" s="242">
        <v>900000</v>
      </c>
      <c r="F1372" s="247">
        <v>0.03</v>
      </c>
      <c r="G1372" s="248">
        <f t="shared" si="43"/>
        <v>27000</v>
      </c>
    </row>
    <row r="1373" spans="1:7" ht="15.75">
      <c r="A1373" s="293">
        <v>15192</v>
      </c>
      <c r="B1373" s="347">
        <v>0.08</v>
      </c>
      <c r="C1373" s="241" t="s">
        <v>614</v>
      </c>
      <c r="D1373" s="242"/>
      <c r="E1373" s="242">
        <v>1100000</v>
      </c>
      <c r="F1373" s="349">
        <v>0.02</v>
      </c>
      <c r="G1373" s="248">
        <f t="shared" si="43"/>
        <v>22000</v>
      </c>
    </row>
    <row r="1374" spans="1:7" ht="15.75">
      <c r="A1374" s="293">
        <v>15349</v>
      </c>
      <c r="B1374" s="231">
        <v>0.1</v>
      </c>
      <c r="C1374" s="241" t="s">
        <v>624</v>
      </c>
      <c r="D1374" s="242"/>
      <c r="E1374" s="242">
        <v>1050000</v>
      </c>
      <c r="F1374" s="247">
        <v>0.03</v>
      </c>
      <c r="G1374" s="248">
        <f t="shared" si="43"/>
        <v>31500</v>
      </c>
    </row>
    <row r="1375" spans="1:7" ht="15.75">
      <c r="A1375" s="293">
        <v>15361</v>
      </c>
      <c r="B1375" s="231">
        <v>0.1</v>
      </c>
      <c r="C1375" s="241" t="s">
        <v>627</v>
      </c>
      <c r="D1375" s="242"/>
      <c r="E1375" s="242">
        <v>1300000</v>
      </c>
      <c r="F1375" s="247">
        <v>0.03</v>
      </c>
      <c r="G1375" s="248">
        <f t="shared" si="43"/>
        <v>39000</v>
      </c>
    </row>
    <row r="1376" spans="1:7" ht="15.75">
      <c r="A1376" s="293">
        <v>15346</v>
      </c>
      <c r="B1376" s="231">
        <v>0.1</v>
      </c>
      <c r="C1376" s="241" t="s">
        <v>622</v>
      </c>
      <c r="D1376" s="242"/>
      <c r="E1376" s="242">
        <v>1200000</v>
      </c>
      <c r="F1376" s="247">
        <v>0.03</v>
      </c>
      <c r="G1376" s="248">
        <f t="shared" si="43"/>
        <v>36000</v>
      </c>
    </row>
    <row r="1377" spans="1:7" ht="15.75">
      <c r="A1377" s="214">
        <v>15363</v>
      </c>
      <c r="B1377" s="526">
        <v>0.08</v>
      </c>
      <c r="C1377" s="241" t="s">
        <v>593</v>
      </c>
      <c r="D1377" s="216"/>
      <c r="E1377" s="216">
        <v>1850000</v>
      </c>
      <c r="F1377" s="349">
        <v>0.02</v>
      </c>
      <c r="G1377" s="248">
        <f t="shared" si="43"/>
        <v>37000</v>
      </c>
    </row>
    <row r="1378" spans="1:7" ht="15.75">
      <c r="A1378" s="545">
        <v>15368</v>
      </c>
      <c r="B1378" s="342">
        <v>0.1</v>
      </c>
      <c r="C1378" s="241" t="s">
        <v>20</v>
      </c>
      <c r="D1378" s="242"/>
      <c r="E1378" s="242">
        <v>850000</v>
      </c>
      <c r="F1378" s="247">
        <v>0.03</v>
      </c>
      <c r="G1378" s="248">
        <f t="shared" si="43"/>
        <v>25500</v>
      </c>
    </row>
    <row r="1379" spans="1:7" ht="15.75">
      <c r="A1379" s="545">
        <v>15201</v>
      </c>
      <c r="B1379" s="793">
        <v>0.08</v>
      </c>
      <c r="C1379" s="241" t="s">
        <v>599</v>
      </c>
      <c r="D1379" s="242"/>
      <c r="E1379" s="242">
        <v>1650000</v>
      </c>
      <c r="F1379" s="349">
        <v>0.02</v>
      </c>
      <c r="G1379" s="248">
        <f t="shared" si="43"/>
        <v>33000</v>
      </c>
    </row>
    <row r="1380" spans="1:7" ht="15.75">
      <c r="A1380" s="341">
        <v>15189</v>
      </c>
      <c r="B1380" s="308">
        <v>0.1</v>
      </c>
      <c r="C1380" s="241" t="s">
        <v>613</v>
      </c>
      <c r="D1380" s="242"/>
      <c r="E1380" s="242">
        <v>1200000</v>
      </c>
      <c r="F1380" s="247">
        <v>0.03</v>
      </c>
      <c r="G1380" s="248">
        <f t="shared" si="43"/>
        <v>36000</v>
      </c>
    </row>
    <row r="1381" spans="1:7" ht="15.75">
      <c r="A1381" s="293">
        <v>15240</v>
      </c>
      <c r="B1381" s="231">
        <v>0.1</v>
      </c>
      <c r="C1381" s="241" t="s">
        <v>616</v>
      </c>
      <c r="D1381" s="242"/>
      <c r="E1381" s="242">
        <v>950000</v>
      </c>
      <c r="F1381" s="247">
        <v>0.03</v>
      </c>
      <c r="G1381" s="248">
        <f t="shared" si="43"/>
        <v>28500</v>
      </c>
    </row>
    <row r="1382" spans="1:7" ht="15.75">
      <c r="A1382" s="293">
        <v>15279</v>
      </c>
      <c r="B1382" s="231">
        <v>0.1</v>
      </c>
      <c r="C1382" s="241" t="s">
        <v>618</v>
      </c>
      <c r="D1382" s="242"/>
      <c r="E1382" s="242">
        <v>1000000</v>
      </c>
      <c r="F1382" s="247">
        <v>0.03</v>
      </c>
      <c r="G1382" s="248">
        <f t="shared" si="43"/>
        <v>30000</v>
      </c>
    </row>
    <row r="1383" spans="1:7" ht="15.75">
      <c r="A1383" s="293">
        <v>15269</v>
      </c>
      <c r="B1383" s="231">
        <v>0.1</v>
      </c>
      <c r="C1383" s="241" t="s">
        <v>619</v>
      </c>
      <c r="D1383" s="242"/>
      <c r="E1383" s="242">
        <v>1000000</v>
      </c>
      <c r="F1383" s="247">
        <v>0.03</v>
      </c>
      <c r="G1383" s="248">
        <f t="shared" si="43"/>
        <v>30000</v>
      </c>
    </row>
    <row r="1384" spans="1:7" ht="15.75">
      <c r="A1384" s="545">
        <v>15392</v>
      </c>
      <c r="B1384" s="342">
        <v>0.1</v>
      </c>
      <c r="C1384" s="241" t="s">
        <v>608</v>
      </c>
      <c r="D1384" s="242"/>
      <c r="E1384" s="242">
        <v>1800000</v>
      </c>
      <c r="F1384" s="247">
        <v>0.03</v>
      </c>
      <c r="G1384" s="248">
        <f t="shared" si="43"/>
        <v>54000</v>
      </c>
    </row>
    <row r="1385" spans="1:7" ht="15.75">
      <c r="A1385" s="830">
        <v>15158</v>
      </c>
      <c r="B1385" s="308">
        <v>0.1</v>
      </c>
      <c r="C1385" s="241" t="s">
        <v>585</v>
      </c>
      <c r="D1385" s="278"/>
      <c r="E1385" s="278">
        <v>1900000</v>
      </c>
      <c r="F1385" s="247">
        <v>0.03</v>
      </c>
      <c r="G1385" s="248">
        <f t="shared" si="43"/>
        <v>57000</v>
      </c>
    </row>
    <row r="1386" spans="1:7" ht="15.75">
      <c r="A1386" s="777">
        <v>15249</v>
      </c>
      <c r="B1386" s="526">
        <v>0.08</v>
      </c>
      <c r="C1386" s="241" t="s">
        <v>587</v>
      </c>
      <c r="D1386" s="278"/>
      <c r="E1386" s="278">
        <v>2300000</v>
      </c>
      <c r="F1386" s="349">
        <v>0.02</v>
      </c>
      <c r="G1386" s="248">
        <f t="shared" si="43"/>
        <v>46000</v>
      </c>
    </row>
    <row r="1387" spans="1:7" ht="15.75">
      <c r="A1387" s="545">
        <v>15313</v>
      </c>
      <c r="B1387" s="308">
        <v>0.1</v>
      </c>
      <c r="C1387" s="241" t="s">
        <v>590</v>
      </c>
      <c r="D1387" s="216"/>
      <c r="E1387" s="216">
        <v>950000</v>
      </c>
      <c r="F1387" s="247">
        <v>0.03</v>
      </c>
      <c r="G1387" s="248">
        <f t="shared" si="43"/>
        <v>28500</v>
      </c>
    </row>
    <row r="1388" spans="1:7" ht="15.75">
      <c r="A1388" s="293">
        <v>15250</v>
      </c>
      <c r="B1388" s="231">
        <v>0.1</v>
      </c>
      <c r="C1388" s="241" t="s">
        <v>617</v>
      </c>
      <c r="D1388" s="242"/>
      <c r="E1388" s="242">
        <v>1100000</v>
      </c>
      <c r="F1388" s="247">
        <v>0.03</v>
      </c>
      <c r="G1388" s="248">
        <f t="shared" si="43"/>
        <v>33000</v>
      </c>
    </row>
    <row r="1389" spans="1:7" ht="15.75">
      <c r="A1389" s="293">
        <v>15288</v>
      </c>
      <c r="B1389" s="231">
        <v>0.1</v>
      </c>
      <c r="C1389" s="241" t="s">
        <v>620</v>
      </c>
      <c r="D1389" s="242"/>
      <c r="E1389" s="242">
        <v>1300000</v>
      </c>
      <c r="F1389" s="247">
        <v>0.03</v>
      </c>
      <c r="G1389" s="248">
        <f t="shared" si="43"/>
        <v>39000</v>
      </c>
    </row>
    <row r="1390" spans="1:7" ht="15.75">
      <c r="A1390" s="293">
        <v>15293</v>
      </c>
      <c r="B1390" s="231">
        <v>0.1</v>
      </c>
      <c r="C1390" s="241" t="s">
        <v>621</v>
      </c>
      <c r="D1390" s="242"/>
      <c r="E1390" s="242">
        <v>1250000</v>
      </c>
      <c r="F1390" s="247">
        <v>0.03</v>
      </c>
      <c r="G1390" s="248">
        <f t="shared" si="43"/>
        <v>37500</v>
      </c>
    </row>
    <row r="1391" spans="1:7" ht="15.75">
      <c r="A1391" s="293">
        <v>15356</v>
      </c>
      <c r="B1391" s="231">
        <v>0.1</v>
      </c>
      <c r="C1391" s="241" t="s">
        <v>626</v>
      </c>
      <c r="D1391" s="242"/>
      <c r="E1391" s="242">
        <v>1400000</v>
      </c>
      <c r="F1391" s="247">
        <v>0.03</v>
      </c>
      <c r="G1391" s="248">
        <f t="shared" si="43"/>
        <v>42000</v>
      </c>
    </row>
    <row r="1392" spans="1:7" ht="15.75">
      <c r="A1392" s="293">
        <v>15400</v>
      </c>
      <c r="B1392" s="250">
        <v>0.1</v>
      </c>
      <c r="C1392" s="840" t="s">
        <v>629</v>
      </c>
      <c r="D1392" s="293"/>
      <c r="E1392" s="242">
        <v>1150000</v>
      </c>
      <c r="F1392" s="247">
        <v>0.03</v>
      </c>
      <c r="G1392" s="248">
        <f t="shared" si="43"/>
        <v>34500</v>
      </c>
    </row>
    <row r="1393" spans="1:7" ht="15.75">
      <c r="A1393" s="545">
        <v>15322</v>
      </c>
      <c r="B1393" s="349">
        <v>0.08</v>
      </c>
      <c r="C1393" s="850" t="s">
        <v>632</v>
      </c>
      <c r="D1393" s="841"/>
      <c r="E1393" s="837">
        <v>800000</v>
      </c>
      <c r="F1393" s="349">
        <v>0.02</v>
      </c>
      <c r="G1393" s="248">
        <f t="shared" si="43"/>
        <v>16000</v>
      </c>
    </row>
    <row r="1394" spans="1:7" ht="15.75">
      <c r="A1394" s="739">
        <v>15360</v>
      </c>
      <c r="B1394" s="783">
        <v>0.1</v>
      </c>
      <c r="C1394" s="786" t="s">
        <v>867</v>
      </c>
      <c r="D1394" s="848" t="s">
        <v>802</v>
      </c>
      <c r="E1394" s="782">
        <v>1300000</v>
      </c>
      <c r="F1394" s="247">
        <v>0.02</v>
      </c>
      <c r="G1394" s="248">
        <f t="shared" si="43"/>
        <v>26000</v>
      </c>
    </row>
    <row r="1395" spans="1:7" ht="15.75">
      <c r="A1395" s="739">
        <v>15146</v>
      </c>
      <c r="B1395" s="730">
        <v>0.1</v>
      </c>
      <c r="C1395" s="720" t="s">
        <v>868</v>
      </c>
      <c r="D1395" s="720" t="s">
        <v>802</v>
      </c>
      <c r="E1395" s="721">
        <v>1300000</v>
      </c>
      <c r="F1395" s="247">
        <v>0.02</v>
      </c>
      <c r="G1395" s="248">
        <f t="shared" si="43"/>
        <v>26000</v>
      </c>
    </row>
    <row r="1396" spans="1:7" ht="15.75">
      <c r="A1396" s="739">
        <v>15198</v>
      </c>
      <c r="B1396" s="730">
        <v>0.1</v>
      </c>
      <c r="C1396" s="720" t="s">
        <v>869</v>
      </c>
      <c r="D1396" s="720" t="s">
        <v>802</v>
      </c>
      <c r="E1396" s="721">
        <v>1400000</v>
      </c>
      <c r="F1396" s="247">
        <v>0.02</v>
      </c>
      <c r="G1396" s="248">
        <f t="shared" si="43"/>
        <v>28000</v>
      </c>
    </row>
    <row r="1397" spans="1:7" ht="15.75">
      <c r="A1397" s="739">
        <v>15223</v>
      </c>
      <c r="B1397" s="731">
        <v>0.08</v>
      </c>
      <c r="C1397" s="720" t="s">
        <v>870</v>
      </c>
      <c r="D1397" s="720" t="s">
        <v>802</v>
      </c>
      <c r="E1397" s="721">
        <v>1800000</v>
      </c>
      <c r="F1397" s="349">
        <v>0.01</v>
      </c>
      <c r="G1397" s="248">
        <f t="shared" si="43"/>
        <v>18000</v>
      </c>
    </row>
    <row r="1398" spans="1:7" ht="15.75">
      <c r="A1398" s="849">
        <v>15230</v>
      </c>
      <c r="B1398" s="731">
        <v>0.08</v>
      </c>
      <c r="C1398" s="720" t="s">
        <v>871</v>
      </c>
      <c r="D1398" s="720" t="s">
        <v>802</v>
      </c>
      <c r="E1398" s="721">
        <v>2100000</v>
      </c>
      <c r="F1398" s="349">
        <v>0.01</v>
      </c>
      <c r="G1398" s="248">
        <f t="shared" si="43"/>
        <v>21000</v>
      </c>
    </row>
    <row r="1399" spans="1:7" ht="15.75">
      <c r="A1399" s="849">
        <v>15245</v>
      </c>
      <c r="B1399" s="730">
        <v>0.1</v>
      </c>
      <c r="C1399" s="720" t="s">
        <v>872</v>
      </c>
      <c r="D1399" s="720" t="s">
        <v>802</v>
      </c>
      <c r="E1399" s="721">
        <v>1900000</v>
      </c>
      <c r="F1399" s="247">
        <v>0.02</v>
      </c>
      <c r="G1399" s="248">
        <f t="shared" si="43"/>
        <v>38000</v>
      </c>
    </row>
    <row r="1400" spans="1:7" ht="15.75">
      <c r="A1400" s="739">
        <v>15271</v>
      </c>
      <c r="B1400" s="730">
        <v>0.1</v>
      </c>
      <c r="C1400" s="720" t="s">
        <v>873</v>
      </c>
      <c r="D1400" s="720" t="s">
        <v>802</v>
      </c>
      <c r="E1400" s="721">
        <v>950000</v>
      </c>
      <c r="F1400" s="247">
        <v>0.02</v>
      </c>
      <c r="G1400" s="248">
        <f t="shared" si="43"/>
        <v>19000</v>
      </c>
    </row>
    <row r="1401" spans="1:7" ht="15.75">
      <c r="A1401" s="739">
        <v>15295</v>
      </c>
      <c r="B1401" s="730">
        <v>0.1</v>
      </c>
      <c r="C1401" s="720" t="s">
        <v>874</v>
      </c>
      <c r="D1401" s="720" t="s">
        <v>802</v>
      </c>
      <c r="E1401" s="721">
        <v>1450000</v>
      </c>
      <c r="F1401" s="247">
        <v>0.02</v>
      </c>
      <c r="G1401" s="248">
        <f t="shared" si="43"/>
        <v>29000</v>
      </c>
    </row>
    <row r="1402" spans="1:7" ht="15.75">
      <c r="A1402" s="739">
        <v>15140</v>
      </c>
      <c r="B1402" s="783">
        <v>0.1</v>
      </c>
      <c r="C1402" s="720" t="s">
        <v>876</v>
      </c>
      <c r="D1402" s="815" t="s">
        <v>802</v>
      </c>
      <c r="E1402" s="791">
        <v>1230000</v>
      </c>
      <c r="F1402" s="247">
        <v>0.02</v>
      </c>
      <c r="G1402" s="248">
        <f t="shared" si="43"/>
        <v>24600</v>
      </c>
    </row>
    <row r="1403" spans="1:7" ht="15.75">
      <c r="A1403" s="739">
        <v>15148</v>
      </c>
      <c r="B1403" s="783">
        <v>0.1</v>
      </c>
      <c r="C1403" s="786" t="s">
        <v>878</v>
      </c>
      <c r="D1403" s="848" t="s">
        <v>802</v>
      </c>
      <c r="E1403" s="782">
        <v>1000000</v>
      </c>
      <c r="F1403" s="247">
        <v>0.02</v>
      </c>
      <c r="G1403" s="248">
        <f t="shared" si="43"/>
        <v>20000</v>
      </c>
    </row>
    <row r="1404" spans="1:7" ht="15.75">
      <c r="A1404" s="739">
        <v>15277</v>
      </c>
      <c r="B1404" s="783">
        <v>0.1</v>
      </c>
      <c r="C1404" s="786" t="s">
        <v>879</v>
      </c>
      <c r="D1404" s="848" t="s">
        <v>802</v>
      </c>
      <c r="E1404" s="782">
        <v>1200000</v>
      </c>
      <c r="F1404" s="247">
        <v>0.02</v>
      </c>
      <c r="G1404" s="248">
        <f t="shared" si="43"/>
        <v>24000</v>
      </c>
    </row>
    <row r="1405" spans="1:7" ht="15.75">
      <c r="A1405" s="739">
        <v>15285</v>
      </c>
      <c r="B1405" s="783">
        <v>0.1</v>
      </c>
      <c r="C1405" s="786" t="s">
        <v>880</v>
      </c>
      <c r="D1405" s="848" t="s">
        <v>802</v>
      </c>
      <c r="E1405" s="782">
        <v>620000</v>
      </c>
      <c r="F1405" s="247">
        <v>0.02</v>
      </c>
      <c r="G1405" s="248">
        <f t="shared" si="43"/>
        <v>12400</v>
      </c>
    </row>
    <row r="1406" spans="1:7" ht="15.75">
      <c r="A1406" s="739">
        <v>15319</v>
      </c>
      <c r="B1406" s="783">
        <v>0.1</v>
      </c>
      <c r="C1406" s="786" t="s">
        <v>881</v>
      </c>
      <c r="D1406" s="848" t="s">
        <v>802</v>
      </c>
      <c r="E1406" s="782">
        <v>1300000</v>
      </c>
      <c r="F1406" s="247">
        <v>0.02</v>
      </c>
      <c r="G1406" s="248">
        <f t="shared" si="43"/>
        <v>26000</v>
      </c>
    </row>
    <row r="1407" spans="1:7" ht="15.75">
      <c r="A1407" s="739">
        <v>15327</v>
      </c>
      <c r="B1407" s="783">
        <v>0.1</v>
      </c>
      <c r="C1407" s="786" t="s">
        <v>882</v>
      </c>
      <c r="D1407" s="848" t="s">
        <v>802</v>
      </c>
      <c r="E1407" s="782">
        <v>1400000</v>
      </c>
      <c r="F1407" s="247">
        <v>0.02</v>
      </c>
      <c r="G1407" s="248">
        <f t="shared" si="43"/>
        <v>28000</v>
      </c>
    </row>
    <row r="1408" spans="1:7" ht="15.75">
      <c r="A1408" s="739">
        <v>15347</v>
      </c>
      <c r="B1408" s="783">
        <v>0.1</v>
      </c>
      <c r="C1408" s="786" t="s">
        <v>883</v>
      </c>
      <c r="D1408" s="848" t="s">
        <v>802</v>
      </c>
      <c r="E1408" s="782">
        <v>2100000</v>
      </c>
      <c r="F1408" s="247">
        <v>0.02</v>
      </c>
      <c r="G1408" s="248">
        <f t="shared" si="43"/>
        <v>42000</v>
      </c>
    </row>
    <row r="1409" spans="1:7" ht="15.75">
      <c r="A1409" s="739">
        <v>15378</v>
      </c>
      <c r="B1409" s="794">
        <v>0.08</v>
      </c>
      <c r="C1409" s="786" t="s">
        <v>884</v>
      </c>
      <c r="D1409" s="848" t="s">
        <v>802</v>
      </c>
      <c r="E1409" s="782">
        <v>950000</v>
      </c>
      <c r="F1409" s="349">
        <v>0.01</v>
      </c>
      <c r="G1409" s="248">
        <f t="shared" si="43"/>
        <v>9500</v>
      </c>
    </row>
    <row r="1410" spans="1:7" ht="15.75">
      <c r="A1410" s="739">
        <v>15177</v>
      </c>
      <c r="B1410" s="731">
        <v>0.08</v>
      </c>
      <c r="C1410" s="720" t="s">
        <v>885</v>
      </c>
      <c r="D1410" s="720" t="s">
        <v>802</v>
      </c>
      <c r="E1410" s="721">
        <v>1750000</v>
      </c>
      <c r="F1410" s="349">
        <v>0.01</v>
      </c>
      <c r="G1410" s="248">
        <f t="shared" si="43"/>
        <v>17500</v>
      </c>
    </row>
    <row r="1411" spans="1:7" ht="15.75">
      <c r="A1411" s="811">
        <v>15282</v>
      </c>
      <c r="B1411" s="730">
        <v>0.1</v>
      </c>
      <c r="C1411" s="785" t="s">
        <v>886</v>
      </c>
      <c r="D1411" s="720" t="s">
        <v>802</v>
      </c>
      <c r="E1411" s="721">
        <v>1300000</v>
      </c>
      <c r="F1411" s="247">
        <v>0.02</v>
      </c>
      <c r="G1411" s="248">
        <f t="shared" si="43"/>
        <v>26000</v>
      </c>
    </row>
    <row r="1412" spans="1:7" ht="15.75">
      <c r="A1412" s="739">
        <v>15276</v>
      </c>
      <c r="B1412" s="783">
        <v>0.1</v>
      </c>
      <c r="C1412" s="786" t="s">
        <v>888</v>
      </c>
      <c r="D1412" s="848" t="s">
        <v>802</v>
      </c>
      <c r="E1412" s="782">
        <v>1180000</v>
      </c>
      <c r="F1412" s="247">
        <v>0.02</v>
      </c>
      <c r="G1412" s="248">
        <f t="shared" si="43"/>
        <v>23600</v>
      </c>
    </row>
    <row r="1413" spans="1:7" ht="15.75">
      <c r="A1413" s="739">
        <v>15284</v>
      </c>
      <c r="B1413" s="783">
        <v>0.1</v>
      </c>
      <c r="C1413" s="786" t="s">
        <v>889</v>
      </c>
      <c r="D1413" s="848" t="s">
        <v>802</v>
      </c>
      <c r="E1413" s="782">
        <v>900000</v>
      </c>
      <c r="F1413" s="247">
        <v>0.02</v>
      </c>
      <c r="G1413" s="248">
        <f t="shared" si="43"/>
        <v>18000</v>
      </c>
    </row>
    <row r="1414" spans="1:7" ht="15.75">
      <c r="A1414" s="739">
        <v>15178</v>
      </c>
      <c r="B1414" s="730">
        <v>0.1</v>
      </c>
      <c r="C1414" s="720" t="s">
        <v>890</v>
      </c>
      <c r="D1414" s="720" t="s">
        <v>802</v>
      </c>
      <c r="E1414" s="721">
        <v>1300000</v>
      </c>
      <c r="F1414" s="247">
        <v>0.02</v>
      </c>
      <c r="G1414" s="248">
        <f t="shared" ref="G1414:G1416" si="44">E1414*F1414</f>
        <v>26000</v>
      </c>
    </row>
    <row r="1415" spans="1:7" ht="15.75">
      <c r="A1415" s="739">
        <v>15382</v>
      </c>
      <c r="B1415" s="783">
        <v>0.1</v>
      </c>
      <c r="C1415" s="725" t="s">
        <v>891</v>
      </c>
      <c r="D1415" s="848" t="s">
        <v>802</v>
      </c>
      <c r="E1415" s="782">
        <v>1800000</v>
      </c>
      <c r="F1415" s="247">
        <v>0.02</v>
      </c>
      <c r="G1415" s="248">
        <f t="shared" si="44"/>
        <v>36000</v>
      </c>
    </row>
    <row r="1416" spans="1:7" ht="15.75">
      <c r="A1416" s="739">
        <v>15394</v>
      </c>
      <c r="B1416" s="730">
        <v>0.1</v>
      </c>
      <c r="C1416" s="720" t="s">
        <v>892</v>
      </c>
      <c r="D1416" s="720" t="s">
        <v>802</v>
      </c>
      <c r="E1416" s="721">
        <v>1450000</v>
      </c>
      <c r="F1416" s="247">
        <v>0.02</v>
      </c>
      <c r="G1416" s="248">
        <f t="shared" si="44"/>
        <v>29000</v>
      </c>
    </row>
    <row r="1417" spans="1:7" ht="18">
      <c r="A1417" s="190"/>
      <c r="B1417" s="190"/>
      <c r="C1417" s="190"/>
      <c r="D1417" s="190"/>
      <c r="E1417" s="191">
        <f>SUM(E1349:E1416)</f>
        <v>99630000</v>
      </c>
      <c r="F1417" s="190"/>
      <c r="G1417" s="191">
        <f>SUM(G1349:G1416)</f>
        <v>2501100</v>
      </c>
    </row>
    <row r="1421" spans="1:7">
      <c r="A1421" s="1002" t="s">
        <v>637</v>
      </c>
      <c r="B1421" s="1003"/>
      <c r="C1421" s="1003"/>
      <c r="D1421" s="1003"/>
      <c r="E1421" s="1003"/>
      <c r="F1421" s="1003"/>
      <c r="G1421" s="1004"/>
    </row>
    <row r="1422" spans="1:7">
      <c r="A1422" s="1005"/>
      <c r="B1422" s="1006"/>
      <c r="C1422" s="1006"/>
      <c r="D1422" s="1006"/>
      <c r="E1422" s="1006"/>
      <c r="F1422" s="1006"/>
      <c r="G1422" s="1007"/>
    </row>
    <row r="1423" spans="1:7">
      <c r="A1423" s="1005"/>
      <c r="B1423" s="1006"/>
      <c r="C1423" s="1006"/>
      <c r="D1423" s="1006"/>
      <c r="E1423" s="1006"/>
      <c r="F1423" s="1006"/>
      <c r="G1423" s="1007"/>
    </row>
    <row r="1424" spans="1:7">
      <c r="A1424" s="1008"/>
      <c r="B1424" s="1009"/>
      <c r="C1424" s="1009"/>
      <c r="D1424" s="1009"/>
      <c r="E1424" s="1009"/>
      <c r="F1424" s="1009"/>
      <c r="G1424" s="1010"/>
    </row>
    <row r="1426" spans="1:7">
      <c r="A1426" s="994" t="s">
        <v>895</v>
      </c>
      <c r="B1426" s="994"/>
      <c r="C1426" s="994"/>
      <c r="D1426" s="994"/>
      <c r="E1426" s="994"/>
      <c r="F1426" s="994"/>
      <c r="G1426" s="994"/>
    </row>
    <row r="1427" spans="1:7">
      <c r="A1427" s="994"/>
      <c r="B1427" s="994"/>
      <c r="C1427" s="994"/>
      <c r="D1427" s="994"/>
      <c r="E1427" s="994"/>
      <c r="F1427" s="994"/>
      <c r="G1427" s="994"/>
    </row>
    <row r="1428" spans="1:7">
      <c r="A1428" s="493" t="s">
        <v>3</v>
      </c>
      <c r="B1428" s="175" t="s">
        <v>709</v>
      </c>
      <c r="C1428" s="493" t="s">
        <v>710</v>
      </c>
      <c r="D1428" s="176" t="s">
        <v>711</v>
      </c>
      <c r="E1428" s="177" t="s">
        <v>300</v>
      </c>
      <c r="F1428" s="178" t="s">
        <v>7</v>
      </c>
      <c r="G1428" s="179" t="s">
        <v>50</v>
      </c>
    </row>
    <row r="1429" spans="1:7" ht="15.75">
      <c r="A1429" s="214">
        <v>15452</v>
      </c>
      <c r="B1429" s="308">
        <v>0.1</v>
      </c>
      <c r="C1429" s="241" t="s">
        <v>643</v>
      </c>
      <c r="D1429" s="278"/>
      <c r="E1429" s="278">
        <v>3000000</v>
      </c>
      <c r="F1429" s="247">
        <v>0.05</v>
      </c>
      <c r="G1429" s="248">
        <f>E1429*F1429</f>
        <v>150000</v>
      </c>
    </row>
    <row r="1430" spans="1:7" ht="15.75">
      <c r="A1430" s="214">
        <v>15543</v>
      </c>
      <c r="B1430" s="308">
        <v>0.1</v>
      </c>
      <c r="C1430" s="241" t="s">
        <v>650</v>
      </c>
      <c r="D1430" s="278"/>
      <c r="E1430" s="278">
        <v>2200000</v>
      </c>
      <c r="F1430" s="247">
        <v>0.05</v>
      </c>
      <c r="G1430" s="248">
        <f t="shared" ref="G1430:G1446" si="45">E1430*F1430</f>
        <v>110000</v>
      </c>
    </row>
    <row r="1431" spans="1:7" ht="15.75">
      <c r="A1431" s="545">
        <v>15479</v>
      </c>
      <c r="B1431" s="793">
        <v>0.08</v>
      </c>
      <c r="C1431" s="241" t="s">
        <v>642</v>
      </c>
      <c r="D1431" s="242"/>
      <c r="E1431" s="242">
        <v>2100000</v>
      </c>
      <c r="F1431" s="349">
        <v>0.04</v>
      </c>
      <c r="G1431" s="248">
        <f t="shared" si="45"/>
        <v>84000</v>
      </c>
    </row>
    <row r="1432" spans="1:7" ht="15.75">
      <c r="A1432" s="545">
        <v>15542</v>
      </c>
      <c r="B1432" s="342">
        <v>0.1</v>
      </c>
      <c r="C1432" s="241" t="s">
        <v>661</v>
      </c>
      <c r="D1432" s="242"/>
      <c r="E1432" s="242">
        <v>950000</v>
      </c>
      <c r="F1432" s="247">
        <v>0.05</v>
      </c>
      <c r="G1432" s="248">
        <f t="shared" si="45"/>
        <v>47500</v>
      </c>
    </row>
    <row r="1433" spans="1:7" ht="15.75">
      <c r="A1433" s="545">
        <v>15571</v>
      </c>
      <c r="B1433" s="793">
        <v>0.08</v>
      </c>
      <c r="C1433" s="241" t="s">
        <v>663</v>
      </c>
      <c r="D1433" s="242"/>
      <c r="E1433" s="242">
        <v>2600000</v>
      </c>
      <c r="F1433" s="349">
        <v>0.04</v>
      </c>
      <c r="G1433" s="248">
        <f t="shared" si="45"/>
        <v>104000</v>
      </c>
    </row>
    <row r="1434" spans="1:7" ht="15.75">
      <c r="A1434" s="545">
        <v>15590</v>
      </c>
      <c r="B1434" s="342">
        <v>0.1</v>
      </c>
      <c r="C1434" s="241" t="s">
        <v>665</v>
      </c>
      <c r="D1434" s="242"/>
      <c r="E1434" s="242">
        <v>1900000</v>
      </c>
      <c r="F1434" s="349">
        <v>0.02</v>
      </c>
      <c r="G1434" s="248">
        <f t="shared" si="45"/>
        <v>38000</v>
      </c>
    </row>
    <row r="1435" spans="1:7" ht="15.75">
      <c r="A1435" s="545">
        <v>15615</v>
      </c>
      <c r="B1435" s="342">
        <v>0.1</v>
      </c>
      <c r="C1435" s="241" t="s">
        <v>667</v>
      </c>
      <c r="D1435" s="242"/>
      <c r="E1435" s="242">
        <v>2100000</v>
      </c>
      <c r="F1435" s="247">
        <v>0.05</v>
      </c>
      <c r="G1435" s="248">
        <f t="shared" si="45"/>
        <v>105000</v>
      </c>
    </row>
    <row r="1436" spans="1:7" ht="15.75">
      <c r="A1436" s="545">
        <v>15663</v>
      </c>
      <c r="B1436" s="342">
        <v>0.1</v>
      </c>
      <c r="C1436" s="241" t="s">
        <v>669</v>
      </c>
      <c r="D1436" s="242"/>
      <c r="E1436" s="242">
        <v>3200000</v>
      </c>
      <c r="F1436" s="247">
        <v>0.05</v>
      </c>
      <c r="G1436" s="248">
        <f t="shared" si="45"/>
        <v>160000</v>
      </c>
    </row>
    <row r="1437" spans="1:7" ht="15.75">
      <c r="A1437" s="341">
        <v>15532</v>
      </c>
      <c r="B1437" s="308">
        <v>0.1</v>
      </c>
      <c r="C1437" s="241" t="s">
        <v>659</v>
      </c>
      <c r="D1437" s="242"/>
      <c r="E1437" s="242">
        <v>1200000</v>
      </c>
      <c r="F1437" s="247">
        <v>0.05</v>
      </c>
      <c r="G1437" s="248">
        <f t="shared" si="45"/>
        <v>60000</v>
      </c>
    </row>
    <row r="1438" spans="1:7" ht="15.75">
      <c r="A1438" s="293">
        <v>15638</v>
      </c>
      <c r="B1438" s="231">
        <v>0.1</v>
      </c>
      <c r="C1438" s="241" t="s">
        <v>679</v>
      </c>
      <c r="D1438" s="242"/>
      <c r="E1438" s="242">
        <v>1200000</v>
      </c>
      <c r="F1438" s="247">
        <v>0.05</v>
      </c>
      <c r="G1438" s="248">
        <f t="shared" si="45"/>
        <v>60000</v>
      </c>
    </row>
    <row r="1439" spans="1:7" ht="15.75">
      <c r="A1439" s="675">
        <v>15651</v>
      </c>
      <c r="B1439" s="308">
        <v>0.1</v>
      </c>
      <c r="C1439" s="241" t="s">
        <v>654</v>
      </c>
      <c r="D1439" s="278"/>
      <c r="E1439" s="278">
        <v>1750000</v>
      </c>
      <c r="F1439" s="247">
        <v>0.05</v>
      </c>
      <c r="G1439" s="248">
        <f t="shared" si="45"/>
        <v>87500</v>
      </c>
    </row>
    <row r="1440" spans="1:7" ht="15.75">
      <c r="A1440" s="293">
        <v>15654</v>
      </c>
      <c r="B1440" s="231">
        <v>0.1</v>
      </c>
      <c r="C1440" s="241" t="s">
        <v>682</v>
      </c>
      <c r="D1440" s="242"/>
      <c r="E1440" s="218">
        <v>1300000</v>
      </c>
      <c r="F1440" s="247">
        <v>0.05</v>
      </c>
      <c r="G1440" s="248">
        <f t="shared" si="45"/>
        <v>65000</v>
      </c>
    </row>
    <row r="1441" spans="1:7" ht="15.75">
      <c r="A1441" s="739">
        <v>15416</v>
      </c>
      <c r="B1441" s="794">
        <v>0.08</v>
      </c>
      <c r="C1441" s="786" t="s">
        <v>896</v>
      </c>
      <c r="D1441" s="848" t="s">
        <v>802</v>
      </c>
      <c r="E1441" s="782">
        <v>1350000</v>
      </c>
      <c r="F1441" s="349">
        <v>0.04</v>
      </c>
      <c r="G1441" s="248">
        <f t="shared" si="45"/>
        <v>54000</v>
      </c>
    </row>
    <row r="1442" spans="1:7" ht="15.75">
      <c r="A1442" s="739">
        <v>15451</v>
      </c>
      <c r="B1442" s="783">
        <v>0.1</v>
      </c>
      <c r="C1442" s="786" t="s">
        <v>897</v>
      </c>
      <c r="D1442" s="848" t="s">
        <v>802</v>
      </c>
      <c r="E1442" s="782">
        <v>1000000</v>
      </c>
      <c r="F1442" s="247">
        <v>0.05</v>
      </c>
      <c r="G1442" s="248">
        <f t="shared" si="45"/>
        <v>50000</v>
      </c>
    </row>
    <row r="1443" spans="1:7" ht="15.75">
      <c r="A1443" s="849">
        <v>15490</v>
      </c>
      <c r="B1443" s="783">
        <v>0.1</v>
      </c>
      <c r="C1443" s="786" t="s">
        <v>898</v>
      </c>
      <c r="D1443" s="848" t="s">
        <v>802</v>
      </c>
      <c r="E1443" s="782">
        <v>1530000</v>
      </c>
      <c r="F1443" s="247">
        <v>0.05</v>
      </c>
      <c r="G1443" s="248">
        <f t="shared" si="45"/>
        <v>76500</v>
      </c>
    </row>
    <row r="1444" spans="1:7" ht="15.75">
      <c r="A1444" s="739">
        <v>15623</v>
      </c>
      <c r="B1444" s="783">
        <v>0.1</v>
      </c>
      <c r="C1444" s="786" t="s">
        <v>899</v>
      </c>
      <c r="D1444" s="848" t="s">
        <v>802</v>
      </c>
      <c r="E1444" s="782">
        <v>1300000</v>
      </c>
      <c r="F1444" s="247">
        <v>0.05</v>
      </c>
      <c r="G1444" s="248">
        <f t="shared" si="45"/>
        <v>65000</v>
      </c>
    </row>
    <row r="1445" spans="1:7" ht="15.75">
      <c r="A1445" s="739">
        <v>15484</v>
      </c>
      <c r="B1445" s="730">
        <v>0.1</v>
      </c>
      <c r="C1445" s="720" t="s">
        <v>900</v>
      </c>
      <c r="D1445" s="720" t="s">
        <v>802</v>
      </c>
      <c r="E1445" s="721">
        <v>1500000</v>
      </c>
      <c r="F1445" s="247">
        <v>0.05</v>
      </c>
      <c r="G1445" s="248">
        <f t="shared" si="45"/>
        <v>75000</v>
      </c>
    </row>
    <row r="1446" spans="1:7" ht="15.75">
      <c r="A1446" s="293">
        <v>15661</v>
      </c>
      <c r="B1446" s="250">
        <v>0.1</v>
      </c>
      <c r="C1446" s="593" t="s">
        <v>901</v>
      </c>
      <c r="D1446" s="593" t="s">
        <v>802</v>
      </c>
      <c r="E1446" s="889">
        <v>3200000</v>
      </c>
      <c r="F1446" s="247">
        <v>0.05</v>
      </c>
      <c r="G1446" s="248">
        <f t="shared" si="45"/>
        <v>160000</v>
      </c>
    </row>
    <row r="1447" spans="1:7" ht="18">
      <c r="A1447" s="461"/>
      <c r="B1447" s="461"/>
      <c r="C1447" s="461"/>
      <c r="D1447" s="181"/>
      <c r="E1447" s="767">
        <f>SUM(E1429:E1446)</f>
        <v>33380000</v>
      </c>
      <c r="F1447" s="180"/>
      <c r="G1447" s="606">
        <f>SUM(G1429:G1446)</f>
        <v>1551500</v>
      </c>
    </row>
    <row r="1451" spans="1:7">
      <c r="A1451" s="994" t="s">
        <v>902</v>
      </c>
      <c r="B1451" s="994"/>
      <c r="C1451" s="994"/>
      <c r="D1451" s="994"/>
      <c r="E1451" s="994"/>
      <c r="F1451" s="994"/>
      <c r="G1451" s="994"/>
    </row>
    <row r="1452" spans="1:7">
      <c r="A1452" s="994"/>
      <c r="B1452" s="995"/>
      <c r="C1452" s="995"/>
      <c r="D1452" s="994"/>
      <c r="E1452" s="994"/>
      <c r="F1452" s="994"/>
      <c r="G1452" s="994"/>
    </row>
    <row r="1453" spans="1:7">
      <c r="A1453" s="184" t="s">
        <v>3</v>
      </c>
      <c r="B1453" s="195" t="s">
        <v>709</v>
      </c>
      <c r="C1453" s="184" t="s">
        <v>710</v>
      </c>
      <c r="D1453" s="176" t="s">
        <v>711</v>
      </c>
      <c r="E1453" s="197" t="s">
        <v>300</v>
      </c>
      <c r="F1453" s="178" t="s">
        <v>7</v>
      </c>
      <c r="G1453" s="537" t="s">
        <v>50</v>
      </c>
    </row>
    <row r="1454" spans="1:7" ht="15.75">
      <c r="A1454" s="260">
        <v>15428</v>
      </c>
      <c r="B1454" s="308">
        <v>0.1</v>
      </c>
      <c r="C1454" s="241" t="s">
        <v>639</v>
      </c>
      <c r="D1454" s="278"/>
      <c r="E1454" s="278">
        <v>2200000</v>
      </c>
      <c r="F1454" s="250">
        <v>0.05</v>
      </c>
      <c r="G1454" s="226">
        <f>E1454*F1454</f>
        <v>110000</v>
      </c>
    </row>
    <row r="1455" spans="1:7" ht="15.75">
      <c r="A1455" s="214">
        <v>15439</v>
      </c>
      <c r="B1455" s="308">
        <v>0.1</v>
      </c>
      <c r="C1455" s="241" t="s">
        <v>641</v>
      </c>
      <c r="D1455" s="278"/>
      <c r="E1455" s="278">
        <v>1160000</v>
      </c>
      <c r="F1455" s="250">
        <v>0.05</v>
      </c>
      <c r="G1455" s="226">
        <f t="shared" ref="G1455:G1468" si="46">E1455*F1455</f>
        <v>58000</v>
      </c>
    </row>
    <row r="1456" spans="1:7" ht="15.75">
      <c r="A1456" s="214">
        <v>15497</v>
      </c>
      <c r="B1456" s="308">
        <v>0.1</v>
      </c>
      <c r="C1456" s="241" t="s">
        <v>647</v>
      </c>
      <c r="D1456" s="278"/>
      <c r="E1456" s="278">
        <v>1270000</v>
      </c>
      <c r="F1456" s="250">
        <v>0.05</v>
      </c>
      <c r="G1456" s="226">
        <f t="shared" si="46"/>
        <v>63500</v>
      </c>
    </row>
    <row r="1457" spans="1:7" ht="15.75">
      <c r="A1457" s="675">
        <v>15573</v>
      </c>
      <c r="B1457" s="308">
        <v>0.1</v>
      </c>
      <c r="C1457" s="241" t="s">
        <v>651</v>
      </c>
      <c r="D1457" s="278"/>
      <c r="E1457" s="278">
        <v>2200000</v>
      </c>
      <c r="F1457" s="250">
        <v>0.05</v>
      </c>
      <c r="G1457" s="226">
        <f t="shared" si="46"/>
        <v>110000</v>
      </c>
    </row>
    <row r="1458" spans="1:7" ht="15.75">
      <c r="A1458" s="675">
        <v>15587</v>
      </c>
      <c r="B1458" s="526">
        <v>0.08</v>
      </c>
      <c r="C1458" s="241" t="s">
        <v>652</v>
      </c>
      <c r="D1458" s="278"/>
      <c r="E1458" s="278">
        <v>4800000</v>
      </c>
      <c r="F1458" s="225">
        <v>0.04</v>
      </c>
      <c r="G1458" s="226">
        <f t="shared" si="46"/>
        <v>192000</v>
      </c>
    </row>
    <row r="1459" spans="1:7" ht="15.75">
      <c r="A1459" s="675">
        <v>15592</v>
      </c>
      <c r="B1459" s="308">
        <v>0.1</v>
      </c>
      <c r="C1459" s="241" t="s">
        <v>653</v>
      </c>
      <c r="D1459" s="278"/>
      <c r="E1459" s="278">
        <v>1700000</v>
      </c>
      <c r="F1459" s="250">
        <v>0.05</v>
      </c>
      <c r="G1459" s="226">
        <f t="shared" si="46"/>
        <v>85000</v>
      </c>
    </row>
    <row r="1460" spans="1:7" ht="15.75">
      <c r="A1460" s="545">
        <v>15460</v>
      </c>
      <c r="B1460" s="342">
        <v>0.1</v>
      </c>
      <c r="C1460" s="241" t="s">
        <v>658</v>
      </c>
      <c r="D1460" s="242"/>
      <c r="E1460" s="242">
        <v>2200000</v>
      </c>
      <c r="F1460" s="250">
        <v>0.05</v>
      </c>
      <c r="G1460" s="226">
        <f t="shared" si="46"/>
        <v>110000</v>
      </c>
    </row>
    <row r="1461" spans="1:7" ht="15.75">
      <c r="A1461" s="545">
        <v>15520</v>
      </c>
      <c r="B1461" s="342">
        <v>0.1</v>
      </c>
      <c r="C1461" s="241" t="s">
        <v>644</v>
      </c>
      <c r="D1461" s="242"/>
      <c r="E1461" s="242">
        <v>1650000</v>
      </c>
      <c r="F1461" s="250">
        <v>0.05</v>
      </c>
      <c r="G1461" s="226">
        <f t="shared" si="46"/>
        <v>82500</v>
      </c>
    </row>
    <row r="1462" spans="1:7" ht="15.75">
      <c r="A1462" s="341">
        <v>15562</v>
      </c>
      <c r="B1462" s="526">
        <v>0.08</v>
      </c>
      <c r="C1462" s="241" t="s">
        <v>646</v>
      </c>
      <c r="D1462" s="242"/>
      <c r="E1462" s="242">
        <v>1000000</v>
      </c>
      <c r="F1462" s="225">
        <v>0.04</v>
      </c>
      <c r="G1462" s="226">
        <f t="shared" si="46"/>
        <v>40000</v>
      </c>
    </row>
    <row r="1463" spans="1:7" ht="15.75">
      <c r="A1463" s="341">
        <v>15580</v>
      </c>
      <c r="B1463" s="308">
        <v>0.1</v>
      </c>
      <c r="C1463" s="241" t="s">
        <v>675</v>
      </c>
      <c r="D1463" s="242"/>
      <c r="E1463" s="242">
        <v>1200000</v>
      </c>
      <c r="F1463" s="250">
        <v>0.05</v>
      </c>
      <c r="G1463" s="226">
        <f t="shared" si="46"/>
        <v>60000</v>
      </c>
    </row>
    <row r="1464" spans="1:7" ht="15.75">
      <c r="A1464" s="341">
        <v>15599</v>
      </c>
      <c r="B1464" s="308">
        <v>0.1</v>
      </c>
      <c r="C1464" s="241" t="s">
        <v>676</v>
      </c>
      <c r="D1464" s="242"/>
      <c r="E1464" s="242">
        <v>1200000</v>
      </c>
      <c r="F1464" s="250">
        <v>0.05</v>
      </c>
      <c r="G1464" s="226">
        <f t="shared" si="46"/>
        <v>60000</v>
      </c>
    </row>
    <row r="1465" spans="1:7" ht="15.75">
      <c r="A1465" s="545">
        <v>15440</v>
      </c>
      <c r="B1465" s="231">
        <v>0.1</v>
      </c>
      <c r="C1465" s="858" t="s">
        <v>686</v>
      </c>
      <c r="D1465" s="859"/>
      <c r="E1465" s="859">
        <v>850000</v>
      </c>
      <c r="F1465" s="250">
        <v>0.05</v>
      </c>
      <c r="G1465" s="226">
        <f t="shared" si="46"/>
        <v>42500</v>
      </c>
    </row>
    <row r="1466" spans="1:7" ht="15.75">
      <c r="A1466" s="545">
        <v>15660</v>
      </c>
      <c r="B1466" s="308">
        <v>0.1</v>
      </c>
      <c r="C1466" s="858" t="s">
        <v>688</v>
      </c>
      <c r="D1466" s="859"/>
      <c r="E1466" s="859">
        <v>1450000</v>
      </c>
      <c r="F1466" s="250">
        <v>0.05</v>
      </c>
      <c r="G1466" s="226">
        <f t="shared" si="46"/>
        <v>72500</v>
      </c>
    </row>
    <row r="1467" spans="1:7" ht="15.75">
      <c r="A1467" s="545">
        <v>15658</v>
      </c>
      <c r="B1467" s="308">
        <v>0.1</v>
      </c>
      <c r="C1467" s="241" t="s">
        <v>655</v>
      </c>
      <c r="D1467" s="859"/>
      <c r="E1467" s="859">
        <v>800000</v>
      </c>
      <c r="F1467" s="250">
        <v>0.05</v>
      </c>
      <c r="G1467" s="226">
        <f t="shared" si="46"/>
        <v>40000</v>
      </c>
    </row>
    <row r="1468" spans="1:7" ht="15.75">
      <c r="A1468" s="739">
        <v>15620</v>
      </c>
      <c r="B1468" s="783">
        <v>0.1</v>
      </c>
      <c r="C1468" s="786" t="s">
        <v>903</v>
      </c>
      <c r="D1468" s="848" t="s">
        <v>904</v>
      </c>
      <c r="E1468" s="782">
        <v>1350000</v>
      </c>
      <c r="F1468" s="250">
        <v>0.05</v>
      </c>
      <c r="G1468" s="226">
        <f t="shared" si="46"/>
        <v>67500</v>
      </c>
    </row>
    <row r="1469" spans="1:7" ht="18">
      <c r="A1469" s="190"/>
      <c r="B1469" s="190"/>
      <c r="C1469" s="190"/>
      <c r="D1469" s="189"/>
      <c r="E1469" s="200">
        <f>SUM(E1454:E1468)</f>
        <v>25030000</v>
      </c>
      <c r="F1469" s="201"/>
      <c r="G1469" s="192">
        <f>SUM(G1454:G1468)</f>
        <v>1193500</v>
      </c>
    </row>
    <row r="1472" spans="1:7">
      <c r="A1472" s="994" t="s">
        <v>905</v>
      </c>
      <c r="B1472" s="994"/>
      <c r="C1472" s="994"/>
      <c r="D1472" s="994"/>
      <c r="E1472" s="994"/>
      <c r="F1472" s="994"/>
      <c r="G1472" s="994"/>
    </row>
    <row r="1473" spans="1:7">
      <c r="A1473" s="994"/>
      <c r="B1473" s="995"/>
      <c r="C1473" s="995"/>
      <c r="D1473" s="994"/>
      <c r="E1473" s="994"/>
      <c r="F1473" s="994"/>
      <c r="G1473" s="994"/>
    </row>
    <row r="1474" spans="1:7">
      <c r="A1474" s="184" t="s">
        <v>3</v>
      </c>
      <c r="B1474" s="184" t="s">
        <v>709</v>
      </c>
      <c r="C1474" s="184" t="s">
        <v>710</v>
      </c>
      <c r="D1474" s="176" t="s">
        <v>711</v>
      </c>
      <c r="E1474" s="197" t="s">
        <v>300</v>
      </c>
      <c r="F1474" s="178" t="s">
        <v>7</v>
      </c>
      <c r="G1474" s="537" t="s">
        <v>50</v>
      </c>
    </row>
    <row r="1475" spans="1:7" ht="15.75">
      <c r="A1475" s="545">
        <v>15565</v>
      </c>
      <c r="B1475" s="342">
        <v>0.1</v>
      </c>
      <c r="C1475" s="241" t="s">
        <v>662</v>
      </c>
      <c r="D1475" s="242"/>
      <c r="E1475" s="242">
        <v>700000</v>
      </c>
      <c r="F1475" s="250">
        <v>0.05</v>
      </c>
      <c r="G1475" s="226">
        <f>E1475*F1475</f>
        <v>35000</v>
      </c>
    </row>
    <row r="1476" spans="1:7" ht="15.75">
      <c r="A1476" s="545">
        <v>15600</v>
      </c>
      <c r="B1476" s="342">
        <v>0.1</v>
      </c>
      <c r="C1476" s="241" t="s">
        <v>664</v>
      </c>
      <c r="D1476" s="242"/>
      <c r="E1476" s="242">
        <v>1900000</v>
      </c>
      <c r="F1476" s="250">
        <v>0.05</v>
      </c>
      <c r="G1476" s="226">
        <f t="shared" ref="G1476:G1491" si="47">E1476*F1476</f>
        <v>95000</v>
      </c>
    </row>
    <row r="1477" spans="1:7" ht="15.75">
      <c r="A1477" s="545">
        <v>15608</v>
      </c>
      <c r="B1477" s="342">
        <v>0.1</v>
      </c>
      <c r="C1477" s="241" t="s">
        <v>666</v>
      </c>
      <c r="D1477" s="242"/>
      <c r="E1477" s="242">
        <v>2000000</v>
      </c>
      <c r="F1477" s="250">
        <v>0.05</v>
      </c>
      <c r="G1477" s="226">
        <f t="shared" si="47"/>
        <v>100000</v>
      </c>
    </row>
    <row r="1478" spans="1:7" ht="15.75">
      <c r="A1478" s="545">
        <v>15614</v>
      </c>
      <c r="B1478" s="342">
        <v>0.1</v>
      </c>
      <c r="C1478" s="241" t="s">
        <v>668</v>
      </c>
      <c r="D1478" s="242"/>
      <c r="E1478" s="242">
        <v>2200000</v>
      </c>
      <c r="F1478" s="250">
        <v>0.05</v>
      </c>
      <c r="G1478" s="226">
        <f t="shared" si="47"/>
        <v>110000</v>
      </c>
    </row>
    <row r="1479" spans="1:7" ht="15.75">
      <c r="A1479" s="341">
        <v>15499</v>
      </c>
      <c r="B1479" s="308">
        <v>0.1</v>
      </c>
      <c r="C1479" s="241" t="s">
        <v>660</v>
      </c>
      <c r="D1479" s="242"/>
      <c r="E1479" s="242">
        <v>1150000</v>
      </c>
      <c r="F1479" s="250">
        <v>0.05</v>
      </c>
      <c r="G1479" s="226">
        <f t="shared" si="47"/>
        <v>57500</v>
      </c>
    </row>
    <row r="1480" spans="1:7" ht="15.75">
      <c r="A1480" s="341">
        <v>15523</v>
      </c>
      <c r="B1480" s="308">
        <v>0.1</v>
      </c>
      <c r="C1480" s="241" t="s">
        <v>673</v>
      </c>
      <c r="D1480" s="242"/>
      <c r="E1480" s="242">
        <v>950000</v>
      </c>
      <c r="F1480" s="250">
        <v>0.05</v>
      </c>
      <c r="G1480" s="226">
        <f t="shared" si="47"/>
        <v>47500</v>
      </c>
    </row>
    <row r="1481" spans="1:7" ht="15.75">
      <c r="A1481" s="341">
        <v>15578</v>
      </c>
      <c r="B1481" s="526">
        <v>0.08</v>
      </c>
      <c r="C1481" s="241" t="s">
        <v>674</v>
      </c>
      <c r="D1481" s="242"/>
      <c r="E1481" s="242">
        <v>800000</v>
      </c>
      <c r="F1481" s="225">
        <v>0.04</v>
      </c>
      <c r="G1481" s="226">
        <f t="shared" si="47"/>
        <v>32000</v>
      </c>
    </row>
    <row r="1482" spans="1:7" ht="15.75">
      <c r="A1482" s="341">
        <v>15613</v>
      </c>
      <c r="B1482" s="308">
        <v>0.1</v>
      </c>
      <c r="C1482" s="241" t="s">
        <v>677</v>
      </c>
      <c r="D1482" s="242"/>
      <c r="E1482" s="242">
        <v>1300000</v>
      </c>
      <c r="F1482" s="250">
        <v>0.05</v>
      </c>
      <c r="G1482" s="226">
        <f t="shared" si="47"/>
        <v>65000</v>
      </c>
    </row>
    <row r="1483" spans="1:7" ht="15.75">
      <c r="A1483" s="341">
        <v>15641</v>
      </c>
      <c r="B1483" s="308">
        <v>0.1</v>
      </c>
      <c r="C1483" s="241" t="s">
        <v>678</v>
      </c>
      <c r="D1483" s="242"/>
      <c r="E1483" s="242">
        <v>1300000</v>
      </c>
      <c r="F1483" s="250">
        <v>0.05</v>
      </c>
      <c r="G1483" s="226">
        <f t="shared" si="47"/>
        <v>65000</v>
      </c>
    </row>
    <row r="1484" spans="1:7" ht="15.75">
      <c r="A1484" s="293">
        <v>15653</v>
      </c>
      <c r="B1484" s="231">
        <v>0.1</v>
      </c>
      <c r="C1484" s="241" t="s">
        <v>680</v>
      </c>
      <c r="D1484" s="242"/>
      <c r="E1484" s="242">
        <v>950000</v>
      </c>
      <c r="F1484" s="250">
        <v>0.05</v>
      </c>
      <c r="G1484" s="226">
        <f t="shared" si="47"/>
        <v>47500</v>
      </c>
    </row>
    <row r="1485" spans="1:7" ht="15.75">
      <c r="A1485" s="293">
        <v>15659</v>
      </c>
      <c r="B1485" s="231">
        <v>0.1</v>
      </c>
      <c r="C1485" s="241" t="s">
        <v>681</v>
      </c>
      <c r="D1485" s="242"/>
      <c r="E1485" s="242">
        <v>1300000</v>
      </c>
      <c r="F1485" s="250">
        <v>0.05</v>
      </c>
      <c r="G1485" s="226">
        <f t="shared" si="47"/>
        <v>65000</v>
      </c>
    </row>
    <row r="1486" spans="1:7" ht="15.75">
      <c r="A1486" s="545">
        <v>15626</v>
      </c>
      <c r="B1486" s="526">
        <v>0.08</v>
      </c>
      <c r="C1486" s="858" t="s">
        <v>687</v>
      </c>
      <c r="D1486" s="859"/>
      <c r="E1486" s="859">
        <v>2500000</v>
      </c>
      <c r="F1486" s="225">
        <v>0.04</v>
      </c>
      <c r="G1486" s="226">
        <f t="shared" si="47"/>
        <v>100000</v>
      </c>
    </row>
    <row r="1487" spans="1:7" ht="15.75">
      <c r="A1487" s="739">
        <v>15443</v>
      </c>
      <c r="B1487" s="783">
        <v>0.1</v>
      </c>
      <c r="C1487" s="786" t="s">
        <v>906</v>
      </c>
      <c r="D1487" s="848" t="s">
        <v>904</v>
      </c>
      <c r="E1487" s="782">
        <v>1400000</v>
      </c>
      <c r="F1487" s="250">
        <v>0.05</v>
      </c>
      <c r="G1487" s="226">
        <f t="shared" si="47"/>
        <v>70000</v>
      </c>
    </row>
    <row r="1488" spans="1:7" ht="15.75">
      <c r="A1488" s="881">
        <v>15541</v>
      </c>
      <c r="B1488" s="783">
        <v>0.1</v>
      </c>
      <c r="C1488" s="786" t="s">
        <v>907</v>
      </c>
      <c r="D1488" s="848" t="s">
        <v>904</v>
      </c>
      <c r="E1488" s="782">
        <v>1350000</v>
      </c>
      <c r="F1488" s="250">
        <v>0.05</v>
      </c>
      <c r="G1488" s="226">
        <f t="shared" si="47"/>
        <v>67500</v>
      </c>
    </row>
    <row r="1489" spans="1:7" ht="15.75">
      <c r="A1489" s="739">
        <v>15550</v>
      </c>
      <c r="B1489" s="783">
        <v>0.1</v>
      </c>
      <c r="C1489" s="786" t="s">
        <v>908</v>
      </c>
      <c r="D1489" s="848" t="s">
        <v>904</v>
      </c>
      <c r="E1489" s="782">
        <v>1400000</v>
      </c>
      <c r="F1489" s="250">
        <v>0.05</v>
      </c>
      <c r="G1489" s="226">
        <f t="shared" si="47"/>
        <v>70000</v>
      </c>
    </row>
    <row r="1490" spans="1:7" ht="15.75">
      <c r="A1490" s="739">
        <v>15621</v>
      </c>
      <c r="B1490" s="816">
        <v>0.1</v>
      </c>
      <c r="C1490" s="786" t="s">
        <v>909</v>
      </c>
      <c r="D1490" s="815" t="s">
        <v>904</v>
      </c>
      <c r="E1490" s="791">
        <v>1400000</v>
      </c>
      <c r="F1490" s="225">
        <v>0.02</v>
      </c>
      <c r="G1490" s="226">
        <f t="shared" si="47"/>
        <v>28000</v>
      </c>
    </row>
    <row r="1491" spans="1:7" ht="15.75">
      <c r="A1491" s="739">
        <v>15505</v>
      </c>
      <c r="B1491" s="730">
        <v>0.1</v>
      </c>
      <c r="C1491" s="720" t="s">
        <v>910</v>
      </c>
      <c r="D1491" s="720" t="s">
        <v>904</v>
      </c>
      <c r="E1491" s="721">
        <v>1300000</v>
      </c>
      <c r="F1491" s="225">
        <v>0.02</v>
      </c>
      <c r="G1491" s="226">
        <f t="shared" si="47"/>
        <v>26000</v>
      </c>
    </row>
    <row r="1492" spans="1:7" ht="18">
      <c r="A1492" s="689"/>
      <c r="B1492" s="690"/>
      <c r="C1492" s="691"/>
      <c r="D1492" s="692"/>
      <c r="E1492" s="693">
        <f>SUM(E1475:E1491)</f>
        <v>23900000</v>
      </c>
      <c r="F1492" s="666"/>
      <c r="G1492" s="695">
        <f>SUM(G1475:G1491)</f>
        <v>1081000</v>
      </c>
    </row>
    <row r="1495" spans="1:7">
      <c r="A1495" s="994" t="s">
        <v>911</v>
      </c>
      <c r="B1495" s="994"/>
      <c r="C1495" s="994"/>
      <c r="D1495" s="994"/>
      <c r="E1495" s="994"/>
      <c r="F1495" s="994"/>
      <c r="G1495" s="994"/>
    </row>
    <row r="1496" spans="1:7">
      <c r="A1496" s="994"/>
      <c r="B1496" s="995"/>
      <c r="C1496" s="995"/>
      <c r="D1496" s="994"/>
      <c r="E1496" s="994"/>
      <c r="F1496" s="994"/>
      <c r="G1496" s="994"/>
    </row>
    <row r="1497" spans="1:7">
      <c r="A1497" s="615" t="s">
        <v>3</v>
      </c>
      <c r="B1497" s="184" t="s">
        <v>709</v>
      </c>
      <c r="C1497" s="805" t="s">
        <v>710</v>
      </c>
      <c r="D1497" s="176" t="s">
        <v>711</v>
      </c>
      <c r="E1497" s="197" t="s">
        <v>300</v>
      </c>
      <c r="F1497" s="178" t="s">
        <v>7</v>
      </c>
      <c r="G1497" s="537" t="s">
        <v>50</v>
      </c>
    </row>
    <row r="1498" spans="1:7" ht="15.75">
      <c r="A1498" s="214">
        <v>15487</v>
      </c>
      <c r="B1498" s="526">
        <v>0.08</v>
      </c>
      <c r="C1498" s="241" t="s">
        <v>429</v>
      </c>
      <c r="D1498" s="278"/>
      <c r="E1498" s="278">
        <v>1900000</v>
      </c>
      <c r="F1498" s="225">
        <v>0.02</v>
      </c>
      <c r="G1498" s="226">
        <f>E1498*F1498</f>
        <v>38000</v>
      </c>
    </row>
    <row r="1499" spans="1:7" ht="15.75">
      <c r="A1499" s="214">
        <v>15482</v>
      </c>
      <c r="B1499" s="308">
        <v>0.1</v>
      </c>
      <c r="C1499" s="241" t="s">
        <v>649</v>
      </c>
      <c r="D1499" s="278"/>
      <c r="E1499" s="278">
        <v>1700000</v>
      </c>
      <c r="F1499" s="250">
        <v>0.03</v>
      </c>
      <c r="G1499" s="226">
        <f t="shared" ref="G1499:G1508" si="48">E1499*F1499</f>
        <v>51000</v>
      </c>
    </row>
    <row r="1500" spans="1:7" ht="15.75">
      <c r="A1500" s="545">
        <v>15637</v>
      </c>
      <c r="B1500" s="308">
        <v>0.1</v>
      </c>
      <c r="C1500" s="858" t="s">
        <v>689</v>
      </c>
      <c r="D1500" s="859"/>
      <c r="E1500" s="859">
        <v>1800000</v>
      </c>
      <c r="F1500" s="250">
        <v>0.03</v>
      </c>
      <c r="G1500" s="226">
        <f t="shared" si="48"/>
        <v>54000</v>
      </c>
    </row>
    <row r="1501" spans="1:7" ht="15.75">
      <c r="A1501" s="739">
        <v>15406</v>
      </c>
      <c r="B1501" s="783">
        <v>0.1</v>
      </c>
      <c r="C1501" s="786" t="s">
        <v>912</v>
      </c>
      <c r="D1501" s="848" t="s">
        <v>904</v>
      </c>
      <c r="E1501" s="782">
        <v>1380000</v>
      </c>
      <c r="F1501" s="250">
        <v>0.03</v>
      </c>
      <c r="G1501" s="226">
        <f t="shared" si="48"/>
        <v>41400</v>
      </c>
    </row>
    <row r="1502" spans="1:7" ht="15.75">
      <c r="A1502" s="739">
        <v>15430</v>
      </c>
      <c r="B1502" s="783">
        <v>0.1</v>
      </c>
      <c r="C1502" s="786" t="s">
        <v>913</v>
      </c>
      <c r="D1502" s="848" t="s">
        <v>904</v>
      </c>
      <c r="E1502" s="782">
        <v>1900000</v>
      </c>
      <c r="F1502" s="250">
        <v>0.03</v>
      </c>
      <c r="G1502" s="226">
        <f t="shared" si="48"/>
        <v>57000</v>
      </c>
    </row>
    <row r="1503" spans="1:7" ht="15.75">
      <c r="A1503" s="739">
        <v>15456</v>
      </c>
      <c r="B1503" s="783">
        <v>0.1</v>
      </c>
      <c r="C1503" s="786" t="s">
        <v>914</v>
      </c>
      <c r="D1503" s="848" t="s">
        <v>904</v>
      </c>
      <c r="E1503" s="782">
        <v>1700000</v>
      </c>
      <c r="F1503" s="250">
        <v>0.03</v>
      </c>
      <c r="G1503" s="226">
        <f t="shared" si="48"/>
        <v>51000</v>
      </c>
    </row>
    <row r="1504" spans="1:7" ht="15.75">
      <c r="A1504" s="739">
        <v>15472</v>
      </c>
      <c r="B1504" s="783">
        <v>0.1</v>
      </c>
      <c r="C1504" s="786" t="s">
        <v>915</v>
      </c>
      <c r="D1504" s="848" t="s">
        <v>904</v>
      </c>
      <c r="E1504" s="782">
        <v>1200000</v>
      </c>
      <c r="F1504" s="250">
        <v>0.03</v>
      </c>
      <c r="G1504" s="226">
        <f t="shared" si="48"/>
        <v>36000</v>
      </c>
    </row>
    <row r="1505" spans="1:7" ht="15.75">
      <c r="A1505" s="807">
        <v>15630</v>
      </c>
      <c r="B1505" s="783">
        <v>0.1</v>
      </c>
      <c r="C1505" s="720" t="s">
        <v>916</v>
      </c>
      <c r="D1505" s="848" t="s">
        <v>904</v>
      </c>
      <c r="E1505" s="782">
        <v>1600000</v>
      </c>
      <c r="F1505" s="250">
        <v>0.03</v>
      </c>
      <c r="G1505" s="226">
        <f t="shared" si="48"/>
        <v>48000</v>
      </c>
    </row>
    <row r="1506" spans="1:7" ht="15.75">
      <c r="A1506" s="739">
        <v>15498</v>
      </c>
      <c r="B1506" s="730">
        <v>0.1</v>
      </c>
      <c r="C1506" s="720" t="s">
        <v>917</v>
      </c>
      <c r="D1506" s="720" t="s">
        <v>904</v>
      </c>
      <c r="E1506" s="721">
        <v>1800000</v>
      </c>
      <c r="F1506" s="250">
        <v>0.03</v>
      </c>
      <c r="G1506" s="226">
        <f t="shared" si="48"/>
        <v>54000</v>
      </c>
    </row>
    <row r="1507" spans="1:7" ht="15.75">
      <c r="A1507" s="739">
        <v>15533</v>
      </c>
      <c r="B1507" s="730">
        <v>0.1</v>
      </c>
      <c r="C1507" s="720" t="s">
        <v>918</v>
      </c>
      <c r="D1507" s="720" t="s">
        <v>904</v>
      </c>
      <c r="E1507" s="721">
        <v>1300000</v>
      </c>
      <c r="F1507" s="250">
        <v>0.03</v>
      </c>
      <c r="G1507" s="226">
        <f t="shared" si="48"/>
        <v>39000</v>
      </c>
    </row>
    <row r="1508" spans="1:7" ht="15.75">
      <c r="A1508" s="739">
        <v>15609</v>
      </c>
      <c r="B1508" s="731">
        <v>0.08</v>
      </c>
      <c r="C1508" s="720" t="s">
        <v>919</v>
      </c>
      <c r="D1508" s="720" t="s">
        <v>904</v>
      </c>
      <c r="E1508" s="721">
        <v>1350000</v>
      </c>
      <c r="F1508" s="225">
        <v>0.02</v>
      </c>
      <c r="G1508" s="226">
        <f t="shared" si="48"/>
        <v>27000</v>
      </c>
    </row>
    <row r="1509" spans="1:7" ht="18">
      <c r="A1509" s="689"/>
      <c r="B1509" s="804"/>
      <c r="C1509" s="744"/>
      <c r="D1509" s="813"/>
      <c r="E1509" s="693">
        <f>SUM(E1498:E1508)</f>
        <v>17630000</v>
      </c>
      <c r="F1509" s="666"/>
      <c r="G1509" s="695">
        <f>SUM(G1498:G1508)</f>
        <v>496400</v>
      </c>
    </row>
    <row r="1510" spans="1:7" ht="18">
      <c r="A1510" s="842"/>
      <c r="B1510" s="843"/>
      <c r="C1510" s="844"/>
      <c r="D1510" s="845"/>
      <c r="E1510" s="846"/>
      <c r="F1510" s="843"/>
      <c r="G1510" s="847"/>
    </row>
    <row r="1511" spans="1:7" ht="18">
      <c r="A1511" s="842"/>
      <c r="B1511" s="843"/>
      <c r="C1511" s="844"/>
      <c r="D1511" s="845"/>
      <c r="E1511" s="846"/>
      <c r="F1511" s="843"/>
      <c r="G1511" s="847"/>
    </row>
    <row r="1512" spans="1:7">
      <c r="A1512" s="994" t="s">
        <v>920</v>
      </c>
      <c r="B1512" s="994"/>
      <c r="C1512" s="994"/>
      <c r="D1512" s="994"/>
      <c r="E1512" s="994"/>
      <c r="F1512" s="994"/>
      <c r="G1512" s="994"/>
    </row>
    <row r="1513" spans="1:7">
      <c r="A1513" s="994"/>
      <c r="B1513" s="995"/>
      <c r="C1513" s="995"/>
      <c r="D1513" s="994"/>
      <c r="E1513" s="994"/>
      <c r="F1513" s="994"/>
      <c r="G1513" s="994"/>
    </row>
    <row r="1514" spans="1:7">
      <c r="A1514" s="194" t="s">
        <v>3</v>
      </c>
      <c r="B1514" s="184" t="s">
        <v>709</v>
      </c>
      <c r="C1514" s="805" t="s">
        <v>710</v>
      </c>
      <c r="D1514" s="176" t="s">
        <v>711</v>
      </c>
      <c r="E1514" s="197" t="s">
        <v>300</v>
      </c>
      <c r="F1514" s="178" t="s">
        <v>7</v>
      </c>
      <c r="G1514" s="537" t="s">
        <v>50</v>
      </c>
    </row>
    <row r="1515" spans="1:7" ht="15.75">
      <c r="A1515" s="739">
        <v>15415</v>
      </c>
      <c r="B1515" s="730">
        <v>0.1</v>
      </c>
      <c r="C1515" s="720" t="s">
        <v>921</v>
      </c>
      <c r="D1515" s="721" t="s">
        <v>904</v>
      </c>
      <c r="E1515" s="721">
        <v>1650000</v>
      </c>
      <c r="F1515" s="250"/>
      <c r="G1515" s="226"/>
    </row>
    <row r="1519" spans="1:7">
      <c r="A1519" s="996" t="s">
        <v>922</v>
      </c>
      <c r="B1519" s="997"/>
      <c r="C1519" s="997"/>
      <c r="D1519" s="997"/>
      <c r="E1519" s="997"/>
      <c r="F1519" s="997"/>
      <c r="G1519" s="998"/>
    </row>
    <row r="1520" spans="1:7">
      <c r="A1520" s="999"/>
      <c r="B1520" s="1000"/>
      <c r="C1520" s="1000"/>
      <c r="D1520" s="1000"/>
      <c r="E1520" s="1000"/>
      <c r="F1520" s="1000"/>
      <c r="G1520" s="1001"/>
    </row>
    <row r="1521" spans="1:7">
      <c r="A1521" s="493" t="s">
        <v>3</v>
      </c>
      <c r="B1521" s="175" t="s">
        <v>709</v>
      </c>
      <c r="C1521" s="493" t="s">
        <v>710</v>
      </c>
      <c r="D1521" s="176" t="s">
        <v>711</v>
      </c>
      <c r="E1521" s="177" t="s">
        <v>300</v>
      </c>
      <c r="F1521" s="178" t="s">
        <v>7</v>
      </c>
      <c r="G1521" s="179" t="s">
        <v>50</v>
      </c>
    </row>
    <row r="1522" spans="1:7" ht="15.75">
      <c r="A1522" s="214">
        <v>15452</v>
      </c>
      <c r="B1522" s="308">
        <v>0.1</v>
      </c>
      <c r="C1522" s="241" t="s">
        <v>643</v>
      </c>
      <c r="D1522" s="278"/>
      <c r="E1522" s="278">
        <v>3000000</v>
      </c>
      <c r="F1522" s="247">
        <v>0.03</v>
      </c>
      <c r="G1522" s="248">
        <f>E1522*F1522</f>
        <v>90000</v>
      </c>
    </row>
    <row r="1523" spans="1:7" ht="15.75">
      <c r="A1523" s="214">
        <v>15543</v>
      </c>
      <c r="B1523" s="308">
        <v>0.1</v>
      </c>
      <c r="C1523" s="241" t="s">
        <v>650</v>
      </c>
      <c r="D1523" s="278"/>
      <c r="E1523" s="278">
        <v>2200000</v>
      </c>
      <c r="F1523" s="247">
        <v>0.03</v>
      </c>
      <c r="G1523" s="248">
        <f t="shared" ref="G1523:G1583" si="49">E1523*F1523</f>
        <v>66000</v>
      </c>
    </row>
    <row r="1524" spans="1:7" ht="15.75">
      <c r="A1524" s="545">
        <v>15479</v>
      </c>
      <c r="B1524" s="793">
        <v>0.08</v>
      </c>
      <c r="C1524" s="241" t="s">
        <v>642</v>
      </c>
      <c r="D1524" s="242"/>
      <c r="E1524" s="242">
        <v>2100000</v>
      </c>
      <c r="F1524" s="349">
        <v>0.02</v>
      </c>
      <c r="G1524" s="248">
        <f t="shared" si="49"/>
        <v>42000</v>
      </c>
    </row>
    <row r="1525" spans="1:7" ht="15.75">
      <c r="A1525" s="545">
        <v>15542</v>
      </c>
      <c r="B1525" s="342">
        <v>0.1</v>
      </c>
      <c r="C1525" s="241" t="s">
        <v>661</v>
      </c>
      <c r="D1525" s="242"/>
      <c r="E1525" s="242">
        <v>950000</v>
      </c>
      <c r="F1525" s="247">
        <v>0.03</v>
      </c>
      <c r="G1525" s="248">
        <f t="shared" si="49"/>
        <v>28500</v>
      </c>
    </row>
    <row r="1526" spans="1:7" ht="15.75">
      <c r="A1526" s="545">
        <v>15571</v>
      </c>
      <c r="B1526" s="793">
        <v>0.08</v>
      </c>
      <c r="C1526" s="241" t="s">
        <v>663</v>
      </c>
      <c r="D1526" s="242"/>
      <c r="E1526" s="242">
        <v>2600000</v>
      </c>
      <c r="F1526" s="349">
        <v>0.02</v>
      </c>
      <c r="G1526" s="248">
        <f t="shared" si="49"/>
        <v>52000</v>
      </c>
    </row>
    <row r="1527" spans="1:7" ht="15.75">
      <c r="A1527" s="545">
        <v>15590</v>
      </c>
      <c r="B1527" s="342">
        <v>0.1</v>
      </c>
      <c r="C1527" s="241" t="s">
        <v>665</v>
      </c>
      <c r="D1527" s="242"/>
      <c r="E1527" s="242">
        <v>1900000</v>
      </c>
      <c r="F1527" s="247">
        <v>0.03</v>
      </c>
      <c r="G1527" s="248">
        <f t="shared" si="49"/>
        <v>57000</v>
      </c>
    </row>
    <row r="1528" spans="1:7" ht="15.75">
      <c r="A1528" s="545">
        <v>15615</v>
      </c>
      <c r="B1528" s="342">
        <v>0.1</v>
      </c>
      <c r="C1528" s="241" t="s">
        <v>667</v>
      </c>
      <c r="D1528" s="242"/>
      <c r="E1528" s="242">
        <v>2100000</v>
      </c>
      <c r="F1528" s="247">
        <v>0.03</v>
      </c>
      <c r="G1528" s="248">
        <f t="shared" si="49"/>
        <v>63000</v>
      </c>
    </row>
    <row r="1529" spans="1:7" ht="15.75">
      <c r="A1529" s="545">
        <v>15663</v>
      </c>
      <c r="B1529" s="342">
        <v>0.1</v>
      </c>
      <c r="C1529" s="241" t="s">
        <v>669</v>
      </c>
      <c r="D1529" s="242"/>
      <c r="E1529" s="242">
        <v>3200000</v>
      </c>
      <c r="F1529" s="247">
        <v>0.03</v>
      </c>
      <c r="G1529" s="248">
        <f t="shared" si="49"/>
        <v>96000</v>
      </c>
    </row>
    <row r="1530" spans="1:7" ht="15.75">
      <c r="A1530" s="341">
        <v>15532</v>
      </c>
      <c r="B1530" s="308">
        <v>0.1</v>
      </c>
      <c r="C1530" s="241" t="s">
        <v>659</v>
      </c>
      <c r="D1530" s="242"/>
      <c r="E1530" s="242">
        <v>1200000</v>
      </c>
      <c r="F1530" s="247">
        <v>0.03</v>
      </c>
      <c r="G1530" s="248">
        <f t="shared" si="49"/>
        <v>36000</v>
      </c>
    </row>
    <row r="1531" spans="1:7" ht="15.75">
      <c r="A1531" s="293">
        <v>15638</v>
      </c>
      <c r="B1531" s="231">
        <v>0.1</v>
      </c>
      <c r="C1531" s="241" t="s">
        <v>679</v>
      </c>
      <c r="D1531" s="242"/>
      <c r="E1531" s="242">
        <v>1200000</v>
      </c>
      <c r="F1531" s="247">
        <v>0.03</v>
      </c>
      <c r="G1531" s="248">
        <f t="shared" si="49"/>
        <v>36000</v>
      </c>
    </row>
    <row r="1532" spans="1:7" ht="15.75">
      <c r="A1532" s="675">
        <v>15651</v>
      </c>
      <c r="B1532" s="308">
        <v>0.1</v>
      </c>
      <c r="C1532" s="241" t="s">
        <v>654</v>
      </c>
      <c r="D1532" s="278"/>
      <c r="E1532" s="278">
        <v>1750000</v>
      </c>
      <c r="F1532" s="247">
        <v>0.03</v>
      </c>
      <c r="G1532" s="248">
        <f t="shared" si="49"/>
        <v>52500</v>
      </c>
    </row>
    <row r="1533" spans="1:7" ht="15.75">
      <c r="A1533" s="293">
        <v>15654</v>
      </c>
      <c r="B1533" s="231">
        <v>0.1</v>
      </c>
      <c r="C1533" s="241" t="s">
        <v>682</v>
      </c>
      <c r="D1533" s="242"/>
      <c r="E1533" s="218">
        <v>1300000</v>
      </c>
      <c r="F1533" s="247">
        <v>0.03</v>
      </c>
      <c r="G1533" s="248">
        <f t="shared" si="49"/>
        <v>39000</v>
      </c>
    </row>
    <row r="1534" spans="1:7" ht="15.75">
      <c r="A1534" s="260">
        <v>15428</v>
      </c>
      <c r="B1534" s="308">
        <v>0.1</v>
      </c>
      <c r="C1534" s="241" t="s">
        <v>639</v>
      </c>
      <c r="D1534" s="278"/>
      <c r="E1534" s="278">
        <v>2200000</v>
      </c>
      <c r="F1534" s="247">
        <v>0.03</v>
      </c>
      <c r="G1534" s="248">
        <f t="shared" si="49"/>
        <v>66000</v>
      </c>
    </row>
    <row r="1535" spans="1:7" ht="15.75">
      <c r="A1535" s="214">
        <v>15439</v>
      </c>
      <c r="B1535" s="308">
        <v>0.1</v>
      </c>
      <c r="C1535" s="241" t="s">
        <v>641</v>
      </c>
      <c r="D1535" s="278"/>
      <c r="E1535" s="278">
        <v>1160000</v>
      </c>
      <c r="F1535" s="247">
        <v>0.03</v>
      </c>
      <c r="G1535" s="248">
        <f t="shared" si="49"/>
        <v>34800</v>
      </c>
    </row>
    <row r="1536" spans="1:7" ht="15.75">
      <c r="A1536" s="214">
        <v>15497</v>
      </c>
      <c r="B1536" s="308">
        <v>0.1</v>
      </c>
      <c r="C1536" s="241" t="s">
        <v>647</v>
      </c>
      <c r="D1536" s="278"/>
      <c r="E1536" s="278">
        <v>1270000</v>
      </c>
      <c r="F1536" s="247">
        <v>0.03</v>
      </c>
      <c r="G1536" s="248">
        <f t="shared" si="49"/>
        <v>38100</v>
      </c>
    </row>
    <row r="1537" spans="1:7" ht="15.75">
      <c r="A1537" s="675">
        <v>15573</v>
      </c>
      <c r="B1537" s="308">
        <v>0.1</v>
      </c>
      <c r="C1537" s="241" t="s">
        <v>651</v>
      </c>
      <c r="D1537" s="278"/>
      <c r="E1537" s="278">
        <v>2200000</v>
      </c>
      <c r="F1537" s="247">
        <v>0.03</v>
      </c>
      <c r="G1537" s="248">
        <f t="shared" si="49"/>
        <v>66000</v>
      </c>
    </row>
    <row r="1538" spans="1:7" ht="15.75">
      <c r="A1538" s="675">
        <v>15587</v>
      </c>
      <c r="B1538" s="526">
        <v>0.08</v>
      </c>
      <c r="C1538" s="241" t="s">
        <v>652</v>
      </c>
      <c r="D1538" s="278"/>
      <c r="E1538" s="278">
        <v>4800000</v>
      </c>
      <c r="F1538" s="349">
        <v>0.02</v>
      </c>
      <c r="G1538" s="248">
        <f t="shared" si="49"/>
        <v>96000</v>
      </c>
    </row>
    <row r="1539" spans="1:7" ht="15.75">
      <c r="A1539" s="675">
        <v>15592</v>
      </c>
      <c r="B1539" s="308">
        <v>0.1</v>
      </c>
      <c r="C1539" s="241" t="s">
        <v>653</v>
      </c>
      <c r="D1539" s="278"/>
      <c r="E1539" s="278">
        <v>1700000</v>
      </c>
      <c r="F1539" s="247">
        <v>0.03</v>
      </c>
      <c r="G1539" s="248">
        <f t="shared" si="49"/>
        <v>51000</v>
      </c>
    </row>
    <row r="1540" spans="1:7" ht="15.75">
      <c r="A1540" s="545">
        <v>15460</v>
      </c>
      <c r="B1540" s="342">
        <v>0.1</v>
      </c>
      <c r="C1540" s="241" t="s">
        <v>658</v>
      </c>
      <c r="D1540" s="242"/>
      <c r="E1540" s="242">
        <v>2200000</v>
      </c>
      <c r="F1540" s="247">
        <v>0.03</v>
      </c>
      <c r="G1540" s="248">
        <f t="shared" si="49"/>
        <v>66000</v>
      </c>
    </row>
    <row r="1541" spans="1:7" ht="15.75">
      <c r="A1541" s="545">
        <v>15520</v>
      </c>
      <c r="B1541" s="342">
        <v>0.1</v>
      </c>
      <c r="C1541" s="241" t="s">
        <v>644</v>
      </c>
      <c r="D1541" s="242"/>
      <c r="E1541" s="242">
        <v>1650000</v>
      </c>
      <c r="F1541" s="247">
        <v>0.03</v>
      </c>
      <c r="G1541" s="248">
        <f t="shared" si="49"/>
        <v>49500</v>
      </c>
    </row>
    <row r="1542" spans="1:7" ht="15.75">
      <c r="A1542" s="341">
        <v>15562</v>
      </c>
      <c r="B1542" s="526">
        <v>0.08</v>
      </c>
      <c r="C1542" s="241" t="s">
        <v>646</v>
      </c>
      <c r="D1542" s="242"/>
      <c r="E1542" s="242">
        <v>1000000</v>
      </c>
      <c r="F1542" s="349">
        <v>0.02</v>
      </c>
      <c r="G1542" s="248">
        <f t="shared" si="49"/>
        <v>20000</v>
      </c>
    </row>
    <row r="1543" spans="1:7" ht="15.75">
      <c r="A1543" s="341">
        <v>15580</v>
      </c>
      <c r="B1543" s="308">
        <v>0.1</v>
      </c>
      <c r="C1543" s="241" t="s">
        <v>675</v>
      </c>
      <c r="D1543" s="242"/>
      <c r="E1543" s="242">
        <v>1200000</v>
      </c>
      <c r="F1543" s="247">
        <v>0.03</v>
      </c>
      <c r="G1543" s="248">
        <f t="shared" si="49"/>
        <v>36000</v>
      </c>
    </row>
    <row r="1544" spans="1:7" ht="15.75">
      <c r="A1544" s="341">
        <v>15599</v>
      </c>
      <c r="B1544" s="308">
        <v>0.1</v>
      </c>
      <c r="C1544" s="241" t="s">
        <v>676</v>
      </c>
      <c r="D1544" s="242"/>
      <c r="E1544" s="242">
        <v>1200000</v>
      </c>
      <c r="F1544" s="247">
        <v>0.03</v>
      </c>
      <c r="G1544" s="248">
        <f t="shared" si="49"/>
        <v>36000</v>
      </c>
    </row>
    <row r="1545" spans="1:7" ht="15.75">
      <c r="A1545" s="545">
        <v>15440</v>
      </c>
      <c r="B1545" s="231">
        <v>0.1</v>
      </c>
      <c r="C1545" s="858" t="s">
        <v>686</v>
      </c>
      <c r="D1545" s="859"/>
      <c r="E1545" s="859">
        <v>850000</v>
      </c>
      <c r="F1545" s="247">
        <v>0.03</v>
      </c>
      <c r="G1545" s="248">
        <f t="shared" si="49"/>
        <v>25500</v>
      </c>
    </row>
    <row r="1546" spans="1:7" ht="15.75">
      <c r="A1546" s="545">
        <v>15660</v>
      </c>
      <c r="B1546" s="308">
        <v>0.1</v>
      </c>
      <c r="C1546" s="858" t="s">
        <v>688</v>
      </c>
      <c r="D1546" s="859"/>
      <c r="E1546" s="859">
        <v>1450000</v>
      </c>
      <c r="F1546" s="247">
        <v>0.03</v>
      </c>
      <c r="G1546" s="248">
        <f t="shared" si="49"/>
        <v>43500</v>
      </c>
    </row>
    <row r="1547" spans="1:7" ht="15.75">
      <c r="A1547" s="545">
        <v>15565</v>
      </c>
      <c r="B1547" s="342">
        <v>0.1</v>
      </c>
      <c r="C1547" s="241" t="s">
        <v>662</v>
      </c>
      <c r="D1547" s="242"/>
      <c r="E1547" s="242">
        <v>700000</v>
      </c>
      <c r="F1547" s="247">
        <v>0.03</v>
      </c>
      <c r="G1547" s="248">
        <f t="shared" si="49"/>
        <v>21000</v>
      </c>
    </row>
    <row r="1548" spans="1:7" ht="15.75">
      <c r="A1548" s="545">
        <v>15600</v>
      </c>
      <c r="B1548" s="342">
        <v>0.1</v>
      </c>
      <c r="C1548" s="241" t="s">
        <v>664</v>
      </c>
      <c r="D1548" s="242"/>
      <c r="E1548" s="242">
        <v>1900000</v>
      </c>
      <c r="F1548" s="247">
        <v>0.03</v>
      </c>
      <c r="G1548" s="248">
        <f t="shared" si="49"/>
        <v>57000</v>
      </c>
    </row>
    <row r="1549" spans="1:7" ht="15.75">
      <c r="A1549" s="545">
        <v>15608</v>
      </c>
      <c r="B1549" s="342">
        <v>0.1</v>
      </c>
      <c r="C1549" s="241" t="s">
        <v>666</v>
      </c>
      <c r="D1549" s="242"/>
      <c r="E1549" s="242">
        <v>2000000</v>
      </c>
      <c r="F1549" s="247">
        <v>0.03</v>
      </c>
      <c r="G1549" s="248">
        <f t="shared" si="49"/>
        <v>60000</v>
      </c>
    </row>
    <row r="1550" spans="1:7" ht="15.75">
      <c r="A1550" s="545">
        <v>15614</v>
      </c>
      <c r="B1550" s="342">
        <v>0.1</v>
      </c>
      <c r="C1550" s="241" t="s">
        <v>668</v>
      </c>
      <c r="D1550" s="242"/>
      <c r="E1550" s="242">
        <v>2200000</v>
      </c>
      <c r="F1550" s="247">
        <v>0.03</v>
      </c>
      <c r="G1550" s="248">
        <f t="shared" si="49"/>
        <v>66000</v>
      </c>
    </row>
    <row r="1551" spans="1:7" ht="15.75">
      <c r="A1551" s="341">
        <v>15499</v>
      </c>
      <c r="B1551" s="308">
        <v>0.1</v>
      </c>
      <c r="C1551" s="241" t="s">
        <v>660</v>
      </c>
      <c r="D1551" s="242"/>
      <c r="E1551" s="242">
        <v>1150000</v>
      </c>
      <c r="F1551" s="247">
        <v>0.03</v>
      </c>
      <c r="G1551" s="248">
        <f t="shared" si="49"/>
        <v>34500</v>
      </c>
    </row>
    <row r="1552" spans="1:7" ht="15.75">
      <c r="A1552" s="341">
        <v>15523</v>
      </c>
      <c r="B1552" s="308">
        <v>0.1</v>
      </c>
      <c r="C1552" s="241" t="s">
        <v>673</v>
      </c>
      <c r="D1552" s="242"/>
      <c r="E1552" s="242">
        <v>950000</v>
      </c>
      <c r="F1552" s="247">
        <v>0.03</v>
      </c>
      <c r="G1552" s="248">
        <f t="shared" si="49"/>
        <v>28500</v>
      </c>
    </row>
    <row r="1553" spans="1:7" ht="15.75">
      <c r="A1553" s="341">
        <v>15578</v>
      </c>
      <c r="B1553" s="526">
        <v>0.08</v>
      </c>
      <c r="C1553" s="241" t="s">
        <v>674</v>
      </c>
      <c r="D1553" s="242"/>
      <c r="E1553" s="242">
        <v>800000</v>
      </c>
      <c r="F1553" s="349">
        <v>0.02</v>
      </c>
      <c r="G1553" s="248">
        <f t="shared" si="49"/>
        <v>16000</v>
      </c>
    </row>
    <row r="1554" spans="1:7" ht="15.75">
      <c r="A1554" s="341">
        <v>15613</v>
      </c>
      <c r="B1554" s="308">
        <v>0.1</v>
      </c>
      <c r="C1554" s="241" t="s">
        <v>677</v>
      </c>
      <c r="D1554" s="242"/>
      <c r="E1554" s="242">
        <v>1300000</v>
      </c>
      <c r="F1554" s="247">
        <v>0.03</v>
      </c>
      <c r="G1554" s="248">
        <f t="shared" si="49"/>
        <v>39000</v>
      </c>
    </row>
    <row r="1555" spans="1:7" ht="15.75">
      <c r="A1555" s="341">
        <v>15641</v>
      </c>
      <c r="B1555" s="308">
        <v>0.1</v>
      </c>
      <c r="C1555" s="241" t="s">
        <v>678</v>
      </c>
      <c r="D1555" s="242"/>
      <c r="E1555" s="242">
        <v>1300000</v>
      </c>
      <c r="F1555" s="247">
        <v>0.03</v>
      </c>
      <c r="G1555" s="248">
        <f t="shared" si="49"/>
        <v>39000</v>
      </c>
    </row>
    <row r="1556" spans="1:7" ht="15.75">
      <c r="A1556" s="293">
        <v>15653</v>
      </c>
      <c r="B1556" s="231">
        <v>0.1</v>
      </c>
      <c r="C1556" s="241" t="s">
        <v>680</v>
      </c>
      <c r="D1556" s="242"/>
      <c r="E1556" s="242">
        <v>950000</v>
      </c>
      <c r="F1556" s="247">
        <v>0.03</v>
      </c>
      <c r="G1556" s="248">
        <f t="shared" si="49"/>
        <v>28500</v>
      </c>
    </row>
    <row r="1557" spans="1:7" ht="15.75">
      <c r="A1557" s="293">
        <v>15659</v>
      </c>
      <c r="B1557" s="231">
        <v>0.1</v>
      </c>
      <c r="C1557" s="241" t="s">
        <v>681</v>
      </c>
      <c r="D1557" s="242"/>
      <c r="E1557" s="242">
        <v>1300000</v>
      </c>
      <c r="F1557" s="247">
        <v>0.03</v>
      </c>
      <c r="G1557" s="248">
        <f t="shared" si="49"/>
        <v>39000</v>
      </c>
    </row>
    <row r="1558" spans="1:7" ht="15.75">
      <c r="A1558" s="545">
        <v>15626</v>
      </c>
      <c r="B1558" s="526">
        <v>0.08</v>
      </c>
      <c r="C1558" s="858" t="s">
        <v>687</v>
      </c>
      <c r="D1558" s="859"/>
      <c r="E1558" s="859">
        <v>2500000</v>
      </c>
      <c r="F1558" s="349">
        <v>0.02</v>
      </c>
      <c r="G1558" s="248">
        <f t="shared" si="49"/>
        <v>50000</v>
      </c>
    </row>
    <row r="1559" spans="1:7" ht="15.75">
      <c r="A1559" s="214">
        <v>15487</v>
      </c>
      <c r="B1559" s="526">
        <v>0.08</v>
      </c>
      <c r="C1559" s="241" t="s">
        <v>429</v>
      </c>
      <c r="D1559" s="278"/>
      <c r="E1559" s="278">
        <v>1900000</v>
      </c>
      <c r="F1559" s="349">
        <v>0.02</v>
      </c>
      <c r="G1559" s="248">
        <f t="shared" si="49"/>
        <v>38000</v>
      </c>
    </row>
    <row r="1560" spans="1:7" ht="15.75">
      <c r="A1560" s="214">
        <v>15482</v>
      </c>
      <c r="B1560" s="308">
        <v>0.1</v>
      </c>
      <c r="C1560" s="241" t="s">
        <v>649</v>
      </c>
      <c r="D1560" s="278"/>
      <c r="E1560" s="278">
        <v>1700000</v>
      </c>
      <c r="F1560" s="247">
        <v>0.03</v>
      </c>
      <c r="G1560" s="248">
        <f t="shared" si="49"/>
        <v>51000</v>
      </c>
    </row>
    <row r="1561" spans="1:7" ht="15.75">
      <c r="A1561" s="545">
        <v>15637</v>
      </c>
      <c r="B1561" s="308">
        <v>0.1</v>
      </c>
      <c r="C1561" s="858" t="s">
        <v>689</v>
      </c>
      <c r="D1561" s="859"/>
      <c r="E1561" s="859">
        <v>1800000</v>
      </c>
      <c r="F1561" s="247">
        <v>0.03</v>
      </c>
      <c r="G1561" s="248">
        <f t="shared" si="49"/>
        <v>54000</v>
      </c>
    </row>
    <row r="1562" spans="1:7" ht="15.75">
      <c r="A1562" s="545">
        <v>15658</v>
      </c>
      <c r="B1562" s="308">
        <v>0.1</v>
      </c>
      <c r="C1562" s="241" t="s">
        <v>655</v>
      </c>
      <c r="D1562" s="859"/>
      <c r="E1562" s="859">
        <v>800000</v>
      </c>
      <c r="F1562" s="247">
        <v>0.03</v>
      </c>
      <c r="G1562" s="248">
        <f t="shared" si="49"/>
        <v>24000</v>
      </c>
    </row>
    <row r="1563" spans="1:7" ht="15.75">
      <c r="A1563" s="739">
        <v>15416</v>
      </c>
      <c r="B1563" s="794">
        <v>0.08</v>
      </c>
      <c r="C1563" s="786" t="s">
        <v>896</v>
      </c>
      <c r="D1563" s="848" t="s">
        <v>802</v>
      </c>
      <c r="E1563" s="782">
        <v>1350000</v>
      </c>
      <c r="F1563" s="349">
        <v>0.01</v>
      </c>
      <c r="G1563" s="248">
        <f t="shared" si="49"/>
        <v>13500</v>
      </c>
    </row>
    <row r="1564" spans="1:7" ht="15.75">
      <c r="A1564" s="739">
        <v>15451</v>
      </c>
      <c r="B1564" s="783">
        <v>0.1</v>
      </c>
      <c r="C1564" s="786" t="s">
        <v>897</v>
      </c>
      <c r="D1564" s="848" t="s">
        <v>802</v>
      </c>
      <c r="E1564" s="782">
        <v>1000000</v>
      </c>
      <c r="F1564" s="247">
        <v>0.02</v>
      </c>
      <c r="G1564" s="248">
        <f t="shared" si="49"/>
        <v>20000</v>
      </c>
    </row>
    <row r="1565" spans="1:7" ht="15.75">
      <c r="A1565" s="849">
        <v>15490</v>
      </c>
      <c r="B1565" s="783">
        <v>0.1</v>
      </c>
      <c r="C1565" s="786" t="s">
        <v>898</v>
      </c>
      <c r="D1565" s="848" t="s">
        <v>802</v>
      </c>
      <c r="E1565" s="782">
        <v>1530000</v>
      </c>
      <c r="F1565" s="247">
        <v>0.02</v>
      </c>
      <c r="G1565" s="248">
        <f t="shared" si="49"/>
        <v>30600</v>
      </c>
    </row>
    <row r="1566" spans="1:7" ht="15.75">
      <c r="A1566" s="739">
        <v>15623</v>
      </c>
      <c r="B1566" s="783">
        <v>0.1</v>
      </c>
      <c r="C1566" s="786" t="s">
        <v>899</v>
      </c>
      <c r="D1566" s="848" t="s">
        <v>802</v>
      </c>
      <c r="E1566" s="782">
        <v>1300000</v>
      </c>
      <c r="F1566" s="247">
        <v>0.02</v>
      </c>
      <c r="G1566" s="248">
        <f t="shared" si="49"/>
        <v>26000</v>
      </c>
    </row>
    <row r="1567" spans="1:7" ht="15.75">
      <c r="A1567" s="739">
        <v>15484</v>
      </c>
      <c r="B1567" s="730">
        <v>0.1</v>
      </c>
      <c r="C1567" s="720" t="s">
        <v>900</v>
      </c>
      <c r="D1567" s="720" t="s">
        <v>802</v>
      </c>
      <c r="E1567" s="721">
        <v>1500000</v>
      </c>
      <c r="F1567" s="247">
        <v>0.02</v>
      </c>
      <c r="G1567" s="248">
        <f t="shared" si="49"/>
        <v>30000</v>
      </c>
    </row>
    <row r="1568" spans="1:7" ht="15.75">
      <c r="A1568" s="293">
        <v>15661</v>
      </c>
      <c r="B1568" s="730">
        <v>0.1</v>
      </c>
      <c r="C1568" s="593" t="s">
        <v>901</v>
      </c>
      <c r="D1568" s="593" t="s">
        <v>802</v>
      </c>
      <c r="E1568" s="889">
        <v>3200000</v>
      </c>
      <c r="F1568" s="247">
        <v>0.02</v>
      </c>
      <c r="G1568" s="248">
        <f t="shared" si="49"/>
        <v>64000</v>
      </c>
    </row>
    <row r="1569" spans="1:7" ht="15.75">
      <c r="A1569" s="739">
        <v>15620</v>
      </c>
      <c r="B1569" s="783">
        <v>0.1</v>
      </c>
      <c r="C1569" s="786" t="s">
        <v>903</v>
      </c>
      <c r="D1569" s="848" t="s">
        <v>904</v>
      </c>
      <c r="E1569" s="782">
        <v>1350000</v>
      </c>
      <c r="F1569" s="247">
        <v>0.02</v>
      </c>
      <c r="G1569" s="248">
        <f t="shared" si="49"/>
        <v>27000</v>
      </c>
    </row>
    <row r="1570" spans="1:7" ht="15.75">
      <c r="A1570" s="739">
        <v>15443</v>
      </c>
      <c r="B1570" s="783">
        <v>0.1</v>
      </c>
      <c r="C1570" s="786" t="s">
        <v>906</v>
      </c>
      <c r="D1570" s="848" t="s">
        <v>904</v>
      </c>
      <c r="E1570" s="782">
        <v>1400000</v>
      </c>
      <c r="F1570" s="247">
        <v>0.02</v>
      </c>
      <c r="G1570" s="248">
        <f t="shared" si="49"/>
        <v>28000</v>
      </c>
    </row>
    <row r="1571" spans="1:7" ht="15.75">
      <c r="A1571" s="881">
        <v>15541</v>
      </c>
      <c r="B1571" s="783">
        <v>0.1</v>
      </c>
      <c r="C1571" s="786" t="s">
        <v>907</v>
      </c>
      <c r="D1571" s="848" t="s">
        <v>904</v>
      </c>
      <c r="E1571" s="782">
        <v>1350000</v>
      </c>
      <c r="F1571" s="247">
        <v>0.02</v>
      </c>
      <c r="G1571" s="248">
        <f t="shared" si="49"/>
        <v>27000</v>
      </c>
    </row>
    <row r="1572" spans="1:7" ht="15.75">
      <c r="A1572" s="739">
        <v>15550</v>
      </c>
      <c r="B1572" s="783">
        <v>0.1</v>
      </c>
      <c r="C1572" s="786" t="s">
        <v>908</v>
      </c>
      <c r="D1572" s="848" t="s">
        <v>904</v>
      </c>
      <c r="E1572" s="782">
        <v>1400000</v>
      </c>
      <c r="F1572" s="247">
        <v>0.02</v>
      </c>
      <c r="G1572" s="248">
        <f t="shared" si="49"/>
        <v>28000</v>
      </c>
    </row>
    <row r="1573" spans="1:7" ht="15.75">
      <c r="A1573" s="739">
        <v>15621</v>
      </c>
      <c r="B1573" s="816">
        <v>0.1</v>
      </c>
      <c r="C1573" s="786" t="s">
        <v>909</v>
      </c>
      <c r="D1573" s="815" t="s">
        <v>904</v>
      </c>
      <c r="E1573" s="791">
        <v>1400000</v>
      </c>
      <c r="F1573" s="247">
        <v>0.02</v>
      </c>
      <c r="G1573" s="248">
        <f t="shared" si="49"/>
        <v>28000</v>
      </c>
    </row>
    <row r="1574" spans="1:7" ht="15.75">
      <c r="A1574" s="739">
        <v>15505</v>
      </c>
      <c r="B1574" s="730">
        <v>0.1</v>
      </c>
      <c r="C1574" s="720" t="s">
        <v>910</v>
      </c>
      <c r="D1574" s="720" t="s">
        <v>904</v>
      </c>
      <c r="E1574" s="721">
        <v>1300000</v>
      </c>
      <c r="F1574" s="247">
        <v>0.02</v>
      </c>
      <c r="G1574" s="248">
        <f t="shared" si="49"/>
        <v>26000</v>
      </c>
    </row>
    <row r="1575" spans="1:7" ht="15.75">
      <c r="A1575" s="739">
        <v>15406</v>
      </c>
      <c r="B1575" s="783">
        <v>0.1</v>
      </c>
      <c r="C1575" s="786" t="s">
        <v>912</v>
      </c>
      <c r="D1575" s="848" t="s">
        <v>904</v>
      </c>
      <c r="E1575" s="782">
        <v>1380000</v>
      </c>
      <c r="F1575" s="247">
        <v>0.02</v>
      </c>
      <c r="G1575" s="248">
        <f t="shared" si="49"/>
        <v>27600</v>
      </c>
    </row>
    <row r="1576" spans="1:7" ht="15.75">
      <c r="A1576" s="739">
        <v>15430</v>
      </c>
      <c r="B1576" s="783">
        <v>0.1</v>
      </c>
      <c r="C1576" s="786" t="s">
        <v>913</v>
      </c>
      <c r="D1576" s="848" t="s">
        <v>904</v>
      </c>
      <c r="E1576" s="782">
        <v>1900000</v>
      </c>
      <c r="F1576" s="247">
        <v>0.02</v>
      </c>
      <c r="G1576" s="248">
        <f t="shared" si="49"/>
        <v>38000</v>
      </c>
    </row>
    <row r="1577" spans="1:7" ht="15.75">
      <c r="A1577" s="739">
        <v>15456</v>
      </c>
      <c r="B1577" s="783">
        <v>0.1</v>
      </c>
      <c r="C1577" s="786" t="s">
        <v>914</v>
      </c>
      <c r="D1577" s="848" t="s">
        <v>904</v>
      </c>
      <c r="E1577" s="782">
        <v>1700000</v>
      </c>
      <c r="F1577" s="247">
        <v>0.02</v>
      </c>
      <c r="G1577" s="248">
        <f t="shared" si="49"/>
        <v>34000</v>
      </c>
    </row>
    <row r="1578" spans="1:7" ht="15.75">
      <c r="A1578" s="739">
        <v>15472</v>
      </c>
      <c r="B1578" s="783">
        <v>0.1</v>
      </c>
      <c r="C1578" s="786" t="s">
        <v>915</v>
      </c>
      <c r="D1578" s="848" t="s">
        <v>904</v>
      </c>
      <c r="E1578" s="782">
        <v>1200000</v>
      </c>
      <c r="F1578" s="247">
        <v>0.02</v>
      </c>
      <c r="G1578" s="248">
        <f t="shared" si="49"/>
        <v>24000</v>
      </c>
    </row>
    <row r="1579" spans="1:7" ht="15.75">
      <c r="A1579" s="807">
        <v>15630</v>
      </c>
      <c r="B1579" s="783">
        <v>0.1</v>
      </c>
      <c r="C1579" s="720" t="s">
        <v>916</v>
      </c>
      <c r="D1579" s="848" t="s">
        <v>904</v>
      </c>
      <c r="E1579" s="782">
        <v>1600000</v>
      </c>
      <c r="F1579" s="247">
        <v>0.02</v>
      </c>
      <c r="G1579" s="248">
        <f t="shared" si="49"/>
        <v>32000</v>
      </c>
    </row>
    <row r="1580" spans="1:7" ht="15.75">
      <c r="A1580" s="739">
        <v>15498</v>
      </c>
      <c r="B1580" s="730">
        <v>0.1</v>
      </c>
      <c r="C1580" s="720" t="s">
        <v>923</v>
      </c>
      <c r="D1580" s="720" t="s">
        <v>904</v>
      </c>
      <c r="E1580" s="721">
        <v>1800000</v>
      </c>
      <c r="F1580" s="247">
        <v>0.02</v>
      </c>
      <c r="G1580" s="248">
        <f t="shared" si="49"/>
        <v>36000</v>
      </c>
    </row>
    <row r="1581" spans="1:7" ht="15.75">
      <c r="A1581" s="739">
        <v>15533</v>
      </c>
      <c r="B1581" s="730">
        <v>0.1</v>
      </c>
      <c r="C1581" s="720" t="s">
        <v>918</v>
      </c>
      <c r="D1581" s="720" t="s">
        <v>904</v>
      </c>
      <c r="E1581" s="721">
        <v>1300000</v>
      </c>
      <c r="F1581" s="247">
        <v>0.02</v>
      </c>
      <c r="G1581" s="248">
        <f t="shared" si="49"/>
        <v>26000</v>
      </c>
    </row>
    <row r="1582" spans="1:7" ht="15.75">
      <c r="A1582" s="739">
        <v>15609</v>
      </c>
      <c r="B1582" s="731">
        <v>0.08</v>
      </c>
      <c r="C1582" s="720" t="s">
        <v>919</v>
      </c>
      <c r="D1582" s="720" t="s">
        <v>904</v>
      </c>
      <c r="E1582" s="721">
        <v>1350000</v>
      </c>
      <c r="F1582" s="349">
        <v>0.01</v>
      </c>
      <c r="G1582" s="248">
        <f t="shared" si="49"/>
        <v>13500</v>
      </c>
    </row>
    <row r="1583" spans="1:7" ht="15.75">
      <c r="A1583" s="739">
        <v>15415</v>
      </c>
      <c r="B1583" s="730">
        <v>0.1</v>
      </c>
      <c r="C1583" s="720" t="s">
        <v>921</v>
      </c>
      <c r="D1583" s="721" t="s">
        <v>802</v>
      </c>
      <c r="E1583" s="721">
        <v>1650000</v>
      </c>
      <c r="F1583" s="247">
        <v>0.02</v>
      </c>
      <c r="G1583" s="248">
        <f t="shared" si="49"/>
        <v>33000</v>
      </c>
    </row>
    <row r="1584" spans="1:7" ht="18">
      <c r="A1584" s="190"/>
      <c r="B1584" s="190"/>
      <c r="C1584" s="190"/>
      <c r="D1584" s="190"/>
      <c r="E1584" s="191">
        <f>SUM(E1522:E1583)</f>
        <v>101590000</v>
      </c>
      <c r="F1584" s="190"/>
      <c r="G1584" s="892">
        <f>SUM(G1522:G1583)</f>
        <v>2544100</v>
      </c>
    </row>
    <row r="1585" spans="7:7">
      <c r="G1585" s="891"/>
    </row>
  </sheetData>
  <mergeCells count="75">
    <mergeCell ref="A1346:G1347"/>
    <mergeCell ref="A1242:G1245"/>
    <mergeCell ref="A1247:G1248"/>
    <mergeCell ref="A1277:G1278"/>
    <mergeCell ref="A1297:G1298"/>
    <mergeCell ref="A1320:G1321"/>
    <mergeCell ref="A1339:G1340"/>
    <mergeCell ref="A1014:G1015"/>
    <mergeCell ref="A995:G996"/>
    <mergeCell ref="A1004:G1005"/>
    <mergeCell ref="A918:G921"/>
    <mergeCell ref="A923:G924"/>
    <mergeCell ref="A947:G948"/>
    <mergeCell ref="A969:G970"/>
    <mergeCell ref="H914:J914"/>
    <mergeCell ref="A837:G838"/>
    <mergeCell ref="A848:G849"/>
    <mergeCell ref="A758:G761"/>
    <mergeCell ref="A763:G764"/>
    <mergeCell ref="A796:G797"/>
    <mergeCell ref="A827:G828"/>
    <mergeCell ref="H896:J896"/>
    <mergeCell ref="A240:G241"/>
    <mergeCell ref="A151:G154"/>
    <mergeCell ref="A156:G157"/>
    <mergeCell ref="A176:G177"/>
    <mergeCell ref="A197:G198"/>
    <mergeCell ref="A207:G208"/>
    <mergeCell ref="A232:G233"/>
    <mergeCell ref="A95:G96"/>
    <mergeCell ref="A1:G4"/>
    <mergeCell ref="A6:G7"/>
    <mergeCell ref="A30:G31"/>
    <mergeCell ref="A50:G51"/>
    <mergeCell ref="A69:G70"/>
    <mergeCell ref="A371:G372"/>
    <mergeCell ref="A299:G302"/>
    <mergeCell ref="A304:G305"/>
    <mergeCell ref="A326:G327"/>
    <mergeCell ref="A339:G340"/>
    <mergeCell ref="A346:G347"/>
    <mergeCell ref="A480:G481"/>
    <mergeCell ref="A418:G421"/>
    <mergeCell ref="A423:G424"/>
    <mergeCell ref="A435:G436"/>
    <mergeCell ref="A447:G448"/>
    <mergeCell ref="A455:G456"/>
    <mergeCell ref="A1172:G1173"/>
    <mergeCell ref="A1182:G1183"/>
    <mergeCell ref="A519:G522"/>
    <mergeCell ref="A524:G525"/>
    <mergeCell ref="A545:G546"/>
    <mergeCell ref="A554:G555"/>
    <mergeCell ref="A569:G570"/>
    <mergeCell ref="A592:G593"/>
    <mergeCell ref="A600:G601"/>
    <mergeCell ref="A717:G718"/>
    <mergeCell ref="A646:G649"/>
    <mergeCell ref="A651:G652"/>
    <mergeCell ref="A670:G671"/>
    <mergeCell ref="A683:G684"/>
    <mergeCell ref="A697:G698"/>
    <mergeCell ref="A1022:G1023"/>
    <mergeCell ref="A1091:G1094"/>
    <mergeCell ref="A1096:G1097"/>
    <mergeCell ref="A1119:G1120"/>
    <mergeCell ref="A1140:G1141"/>
    <mergeCell ref="A1153:G1154"/>
    <mergeCell ref="A1512:G1513"/>
    <mergeCell ref="A1519:G1520"/>
    <mergeCell ref="A1421:G1424"/>
    <mergeCell ref="A1426:G1427"/>
    <mergeCell ref="A1451:G1452"/>
    <mergeCell ref="A1472:G1473"/>
    <mergeCell ref="A1495:G14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086B-E8AE-4597-AE06-70BD2F226532}">
  <dimension ref="A1:L132"/>
  <sheetViews>
    <sheetView topLeftCell="A93" workbookViewId="0">
      <selection activeCell="C116" sqref="C116:H116"/>
    </sheetView>
  </sheetViews>
  <sheetFormatPr defaultRowHeight="15"/>
  <cols>
    <col min="8" max="8" width="12.140625" customWidth="1"/>
    <col min="11" max="11" width="24.140625" customWidth="1"/>
  </cols>
  <sheetData>
    <row r="1" spans="1:11">
      <c r="A1" s="742"/>
      <c r="B1" s="742"/>
      <c r="C1" s="742"/>
      <c r="D1" s="742"/>
      <c r="E1" s="742"/>
      <c r="F1" s="742"/>
      <c r="G1" s="742"/>
      <c r="H1" s="742"/>
      <c r="I1" s="1089"/>
      <c r="J1" s="1089"/>
    </row>
    <row r="2" spans="1:11" ht="15" customHeight="1">
      <c r="A2" s="1056" t="s">
        <v>924</v>
      </c>
      <c r="B2" s="1056"/>
      <c r="C2" s="1056"/>
      <c r="D2" s="1056"/>
      <c r="E2" s="1056"/>
      <c r="F2" s="1056"/>
      <c r="G2" s="1056"/>
      <c r="H2" s="1056"/>
      <c r="I2" s="1056"/>
      <c r="J2" s="1056"/>
      <c r="K2" s="1056"/>
    </row>
    <row r="3" spans="1:11" ht="15" customHeight="1">
      <c r="A3" s="1056"/>
      <c r="B3" s="1056"/>
      <c r="C3" s="1056"/>
      <c r="D3" s="1056"/>
      <c r="E3" s="1056"/>
      <c r="F3" s="1056"/>
      <c r="G3" s="1056"/>
      <c r="H3" s="1056"/>
      <c r="I3" s="1056"/>
      <c r="J3" s="1056"/>
      <c r="K3" s="1056"/>
    </row>
    <row r="4" spans="1:11" ht="15" customHeight="1">
      <c r="A4" s="1090" t="s">
        <v>925</v>
      </c>
      <c r="B4" s="1091"/>
      <c r="C4" s="1090" t="s">
        <v>926</v>
      </c>
      <c r="D4" s="1092"/>
      <c r="E4" s="1092"/>
      <c r="F4" s="1092"/>
      <c r="G4" s="1092"/>
      <c r="H4" s="1091"/>
      <c r="I4" s="1090" t="s">
        <v>927</v>
      </c>
      <c r="J4" s="1091"/>
      <c r="K4" s="744" t="s">
        <v>928</v>
      </c>
    </row>
    <row r="5" spans="1:11" ht="15.75">
      <c r="A5" s="1065">
        <v>11840</v>
      </c>
      <c r="B5" s="1062"/>
      <c r="C5" s="1065" t="s">
        <v>929</v>
      </c>
      <c r="D5" s="1064"/>
      <c r="E5" s="1064"/>
      <c r="F5" s="1064"/>
      <c r="G5" s="1064"/>
      <c r="H5" s="1062"/>
      <c r="I5" s="1065" t="s">
        <v>930</v>
      </c>
      <c r="J5" s="1064"/>
      <c r="K5" s="746" t="s">
        <v>931</v>
      </c>
    </row>
    <row r="6" spans="1:11" ht="15.75">
      <c r="A6" s="1047">
        <v>9048</v>
      </c>
      <c r="B6" s="1048"/>
      <c r="C6" s="1047" t="s">
        <v>932</v>
      </c>
      <c r="D6" s="1066"/>
      <c r="E6" s="1066"/>
      <c r="F6" s="1066"/>
      <c r="G6" s="1066"/>
      <c r="H6" s="1048"/>
      <c r="I6" s="1047" t="s">
        <v>930</v>
      </c>
      <c r="J6" s="1066"/>
      <c r="K6" s="757" t="s">
        <v>933</v>
      </c>
    </row>
    <row r="7" spans="1:11" ht="15.75">
      <c r="A7" s="1044">
        <v>6452</v>
      </c>
      <c r="B7" s="1045"/>
      <c r="C7" s="1044" t="s">
        <v>934</v>
      </c>
      <c r="D7" s="1046"/>
      <c r="E7" s="1046"/>
      <c r="F7" s="1046"/>
      <c r="G7" s="1046"/>
      <c r="H7" s="1045"/>
      <c r="I7" s="1044" t="s">
        <v>935</v>
      </c>
      <c r="J7" s="1046"/>
      <c r="K7" s="758" t="s">
        <v>931</v>
      </c>
    </row>
    <row r="8" spans="1:11" ht="15.75">
      <c r="A8" s="1044">
        <v>12489</v>
      </c>
      <c r="B8" s="1045"/>
      <c r="C8" s="1044" t="s">
        <v>936</v>
      </c>
      <c r="D8" s="1046"/>
      <c r="E8" s="1046"/>
      <c r="F8" s="1046"/>
      <c r="G8" s="1046"/>
      <c r="H8" s="1045"/>
      <c r="I8" s="1044" t="s">
        <v>935</v>
      </c>
      <c r="J8" s="1046"/>
      <c r="K8" s="758" t="s">
        <v>931</v>
      </c>
    </row>
    <row r="9" spans="1:11" ht="15.75">
      <c r="A9" s="1047">
        <v>11720</v>
      </c>
      <c r="B9" s="1048"/>
      <c r="C9" s="1047" t="s">
        <v>937</v>
      </c>
      <c r="D9" s="1066"/>
      <c r="E9" s="1066"/>
      <c r="F9" s="1066"/>
      <c r="G9" s="1066"/>
      <c r="H9" s="1048"/>
      <c r="I9" s="1047" t="s">
        <v>938</v>
      </c>
      <c r="J9" s="1066"/>
      <c r="K9" s="757" t="s">
        <v>931</v>
      </c>
    </row>
    <row r="10" spans="1:11" ht="15.75">
      <c r="A10" s="1047">
        <v>12236</v>
      </c>
      <c r="B10" s="1048"/>
      <c r="C10" s="1047" t="s">
        <v>939</v>
      </c>
      <c r="D10" s="1066"/>
      <c r="E10" s="1066"/>
      <c r="F10" s="1066"/>
      <c r="G10" s="1066"/>
      <c r="H10" s="1048"/>
      <c r="I10" s="1047" t="s">
        <v>938</v>
      </c>
      <c r="J10" s="1066"/>
      <c r="K10" s="757" t="s">
        <v>931</v>
      </c>
    </row>
    <row r="11" spans="1:11" ht="15.75">
      <c r="A11" s="1044">
        <v>12129</v>
      </c>
      <c r="B11" s="1045"/>
      <c r="C11" s="1044" t="s">
        <v>940</v>
      </c>
      <c r="D11" s="1046"/>
      <c r="E11" s="1046"/>
      <c r="F11" s="1046"/>
      <c r="G11" s="1046"/>
      <c r="H11" s="1045"/>
      <c r="I11" s="1044" t="s">
        <v>941</v>
      </c>
      <c r="J11" s="1046"/>
      <c r="K11" s="758" t="s">
        <v>942</v>
      </c>
    </row>
    <row r="12" spans="1:11" ht="15.75">
      <c r="A12" s="1047">
        <v>13282</v>
      </c>
      <c r="B12" s="1048"/>
      <c r="C12" s="1047" t="s">
        <v>943</v>
      </c>
      <c r="D12" s="1066"/>
      <c r="E12" s="1066"/>
      <c r="F12" s="1066"/>
      <c r="G12" s="1066"/>
      <c r="H12" s="1048"/>
      <c r="I12" s="1047" t="s">
        <v>938</v>
      </c>
      <c r="J12" s="1066"/>
      <c r="K12" s="757" t="s">
        <v>931</v>
      </c>
    </row>
    <row r="13" spans="1:11" ht="15.75">
      <c r="A13" s="1044">
        <v>12250</v>
      </c>
      <c r="B13" s="1045"/>
      <c r="C13" s="1044" t="s">
        <v>944</v>
      </c>
      <c r="D13" s="1046"/>
      <c r="E13" s="1046"/>
      <c r="F13" s="1046"/>
      <c r="G13" s="1046"/>
      <c r="H13" s="1045"/>
      <c r="I13" s="1044" t="s">
        <v>945</v>
      </c>
      <c r="J13" s="1045"/>
      <c r="K13" s="758" t="s">
        <v>931</v>
      </c>
    </row>
    <row r="14" spans="1:11" ht="15.75">
      <c r="A14" s="1065">
        <v>9500</v>
      </c>
      <c r="B14" s="1062"/>
      <c r="C14" s="1065" t="s">
        <v>946</v>
      </c>
      <c r="D14" s="1064"/>
      <c r="E14" s="1064"/>
      <c r="F14" s="1064"/>
      <c r="G14" s="1064"/>
      <c r="H14" s="1062"/>
      <c r="I14" s="1065" t="s">
        <v>938</v>
      </c>
      <c r="J14" s="1064"/>
      <c r="K14" s="746" t="s">
        <v>931</v>
      </c>
    </row>
    <row r="15" spans="1:11" ht="15.75">
      <c r="A15" s="1044">
        <v>12264</v>
      </c>
      <c r="B15" s="1045"/>
      <c r="C15" s="1044" t="s">
        <v>947</v>
      </c>
      <c r="D15" s="1046"/>
      <c r="E15" s="1046"/>
      <c r="F15" s="1046"/>
      <c r="G15" s="1046"/>
      <c r="H15" s="1045"/>
      <c r="I15" s="1044" t="s">
        <v>945</v>
      </c>
      <c r="J15" s="1046"/>
      <c r="K15" s="758" t="s">
        <v>931</v>
      </c>
    </row>
    <row r="16" spans="1:11" ht="15.75">
      <c r="A16" s="1047">
        <v>12061</v>
      </c>
      <c r="B16" s="1048"/>
      <c r="C16" s="1047" t="s">
        <v>873</v>
      </c>
      <c r="D16" s="1066"/>
      <c r="E16" s="1066"/>
      <c r="F16" s="1066"/>
      <c r="G16" s="1066"/>
      <c r="H16" s="1048"/>
      <c r="I16" s="1047" t="s">
        <v>938</v>
      </c>
      <c r="J16" s="1066"/>
      <c r="K16" s="757" t="s">
        <v>931</v>
      </c>
    </row>
    <row r="17" spans="1:11" ht="15.75">
      <c r="A17" s="1049">
        <v>10565</v>
      </c>
      <c r="B17" s="1051"/>
      <c r="C17" s="1049" t="s">
        <v>948</v>
      </c>
      <c r="D17" s="1050"/>
      <c r="E17" s="1050"/>
      <c r="F17" s="1050"/>
      <c r="G17" s="1050"/>
      <c r="H17" s="1051"/>
      <c r="I17" s="1049" t="s">
        <v>938</v>
      </c>
      <c r="J17" s="1050"/>
      <c r="K17" s="829" t="s">
        <v>931</v>
      </c>
    </row>
    <row r="18" spans="1:11" ht="15.75">
      <c r="A18" s="1017">
        <v>12243</v>
      </c>
      <c r="B18" s="1018"/>
      <c r="C18" s="1017" t="s">
        <v>949</v>
      </c>
      <c r="D18" s="1031"/>
      <c r="E18" s="1031"/>
      <c r="F18" s="1031"/>
      <c r="G18" s="1031"/>
      <c r="H18" s="1018"/>
      <c r="I18" s="1017" t="s">
        <v>938</v>
      </c>
      <c r="J18" s="1018"/>
      <c r="K18" s="763" t="s">
        <v>931</v>
      </c>
    </row>
    <row r="19" spans="1:11" ht="15.75">
      <c r="A19" s="1047">
        <v>14317</v>
      </c>
      <c r="B19" s="1048"/>
      <c r="C19" s="1047" t="s">
        <v>950</v>
      </c>
      <c r="D19" s="1066"/>
      <c r="E19" s="1066"/>
      <c r="F19" s="1066"/>
      <c r="G19" s="1066"/>
      <c r="H19" s="1048"/>
      <c r="I19" s="1047" t="s">
        <v>951</v>
      </c>
      <c r="J19" s="1048"/>
      <c r="K19" s="864" t="s">
        <v>942</v>
      </c>
    </row>
    <row r="20" spans="1:11" ht="15.75">
      <c r="A20" s="1049">
        <v>12314</v>
      </c>
      <c r="B20" s="1051"/>
      <c r="C20" s="1049" t="s">
        <v>952</v>
      </c>
      <c r="D20" s="1050"/>
      <c r="E20" s="1050"/>
      <c r="F20" s="1050"/>
      <c r="G20" s="1050"/>
      <c r="H20" s="1051"/>
      <c r="I20" s="1049" t="s">
        <v>938</v>
      </c>
      <c r="J20" s="1051"/>
      <c r="K20" s="829" t="s">
        <v>931</v>
      </c>
    </row>
    <row r="21" spans="1:11" ht="15.75">
      <c r="A21" s="1044">
        <v>10709</v>
      </c>
      <c r="B21" s="1045"/>
      <c r="C21" s="1044" t="s">
        <v>953</v>
      </c>
      <c r="D21" s="1046"/>
      <c r="E21" s="1046"/>
      <c r="F21" s="1046"/>
      <c r="G21" s="1046"/>
      <c r="H21" s="1045"/>
      <c r="I21" s="1044" t="s">
        <v>420</v>
      </c>
      <c r="J21" s="1045"/>
      <c r="K21" s="758" t="s">
        <v>931</v>
      </c>
    </row>
    <row r="24" spans="1:11">
      <c r="A24" s="1056" t="s">
        <v>954</v>
      </c>
      <c r="B24" s="1056"/>
      <c r="C24" s="1056"/>
      <c r="D24" s="1056"/>
      <c r="E24" s="1056"/>
      <c r="F24" s="1056"/>
      <c r="G24" s="1056"/>
      <c r="H24" s="1056"/>
      <c r="I24" s="1056"/>
      <c r="J24" s="1056"/>
      <c r="K24" s="1056"/>
    </row>
    <row r="25" spans="1:11">
      <c r="A25" s="1056"/>
      <c r="B25" s="1056"/>
      <c r="C25" s="1056"/>
      <c r="D25" s="1056"/>
      <c r="E25" s="1056"/>
      <c r="F25" s="1056"/>
      <c r="G25" s="1056"/>
      <c r="H25" s="1056"/>
      <c r="I25" s="1056"/>
      <c r="J25" s="1056"/>
      <c r="K25" s="1056"/>
    </row>
    <row r="26" spans="1:11" ht="15.75">
      <c r="A26" s="1057" t="s">
        <v>925</v>
      </c>
      <c r="B26" s="1057"/>
      <c r="C26" s="1058" t="s">
        <v>926</v>
      </c>
      <c r="D26" s="1059"/>
      <c r="E26" s="1059"/>
      <c r="F26" s="1059"/>
      <c r="G26" s="1059"/>
      <c r="H26" s="1060"/>
      <c r="I26" s="1059" t="s">
        <v>927</v>
      </c>
      <c r="J26" s="1060"/>
      <c r="K26" s="691" t="s">
        <v>928</v>
      </c>
    </row>
    <row r="27" spans="1:11" ht="15.75">
      <c r="A27" s="1047">
        <v>11038</v>
      </c>
      <c r="B27" s="1048"/>
      <c r="C27" s="1086" t="s">
        <v>955</v>
      </c>
      <c r="D27" s="1087"/>
      <c r="E27" s="1087"/>
      <c r="F27" s="1087"/>
      <c r="G27" s="1087"/>
      <c r="H27" s="1088"/>
      <c r="I27" s="1047" t="s">
        <v>938</v>
      </c>
      <c r="J27" s="1066"/>
      <c r="K27" s="757" t="s">
        <v>942</v>
      </c>
    </row>
    <row r="28" spans="1:11" ht="15.75">
      <c r="A28" s="1022">
        <v>13679</v>
      </c>
      <c r="B28" s="1023"/>
      <c r="C28" s="1022" t="s">
        <v>956</v>
      </c>
      <c r="D28" s="1024"/>
      <c r="E28" s="1024"/>
      <c r="F28" s="1024"/>
      <c r="G28" s="1024"/>
      <c r="H28" s="1023"/>
      <c r="I28" s="1022" t="s">
        <v>957</v>
      </c>
      <c r="J28" s="1024"/>
      <c r="K28" s="745" t="s">
        <v>931</v>
      </c>
    </row>
    <row r="29" spans="1:11" ht="15.75">
      <c r="A29" s="1047">
        <v>12787</v>
      </c>
      <c r="B29" s="1048"/>
      <c r="C29" s="1047" t="s">
        <v>958</v>
      </c>
      <c r="D29" s="1066"/>
      <c r="E29" s="1066"/>
      <c r="F29" s="1066"/>
      <c r="G29" s="1066"/>
      <c r="H29" s="1048"/>
      <c r="I29" s="1047" t="s">
        <v>938</v>
      </c>
      <c r="J29" s="1066"/>
      <c r="K29" s="757" t="s">
        <v>942</v>
      </c>
    </row>
    <row r="30" spans="1:11" ht="15.75">
      <c r="A30" s="1047">
        <v>12400</v>
      </c>
      <c r="B30" s="1048"/>
      <c r="C30" s="1083" t="s">
        <v>959</v>
      </c>
      <c r="D30" s="1084"/>
      <c r="E30" s="1084"/>
      <c r="F30" s="1084"/>
      <c r="G30" s="1084"/>
      <c r="H30" s="1085"/>
      <c r="I30" s="1047" t="s">
        <v>938</v>
      </c>
      <c r="J30" s="1066"/>
      <c r="K30" s="757" t="s">
        <v>933</v>
      </c>
    </row>
    <row r="31" spans="1:11" ht="15.75">
      <c r="A31" s="1082" t="s">
        <v>960</v>
      </c>
      <c r="B31" s="1048"/>
      <c r="C31" s="1047" t="s">
        <v>961</v>
      </c>
      <c r="D31" s="1066"/>
      <c r="E31" s="1066"/>
      <c r="F31" s="1066"/>
      <c r="G31" s="1066"/>
      <c r="H31" s="1048"/>
      <c r="I31" s="1047" t="s">
        <v>938</v>
      </c>
      <c r="J31" s="1066"/>
      <c r="K31" s="757" t="s">
        <v>931</v>
      </c>
    </row>
    <row r="32" spans="1:11" ht="15.75">
      <c r="A32" s="1065">
        <v>8193</v>
      </c>
      <c r="B32" s="1062"/>
      <c r="C32" s="1065" t="s">
        <v>962</v>
      </c>
      <c r="D32" s="1064"/>
      <c r="E32" s="1064"/>
      <c r="F32" s="1064"/>
      <c r="G32" s="1064"/>
      <c r="H32" s="1062"/>
      <c r="I32" s="1065" t="s">
        <v>938</v>
      </c>
      <c r="J32" s="1064"/>
      <c r="K32" s="746" t="s">
        <v>931</v>
      </c>
    </row>
    <row r="33" spans="1:11" ht="15.75">
      <c r="A33" s="1044">
        <v>8476</v>
      </c>
      <c r="B33" s="1045"/>
      <c r="C33" s="1044" t="s">
        <v>963</v>
      </c>
      <c r="D33" s="1046"/>
      <c r="E33" s="1046"/>
      <c r="F33" s="1046"/>
      <c r="G33" s="1046"/>
      <c r="H33" s="1045"/>
      <c r="I33" s="1044" t="s">
        <v>420</v>
      </c>
      <c r="J33" s="1046"/>
      <c r="K33" s="758" t="s">
        <v>931</v>
      </c>
    </row>
    <row r="34" spans="1:11" ht="15.75">
      <c r="A34" s="1044">
        <v>10845</v>
      </c>
      <c r="B34" s="1045"/>
      <c r="C34" s="1044" t="s">
        <v>964</v>
      </c>
      <c r="D34" s="1046"/>
      <c r="E34" s="1046"/>
      <c r="F34" s="1046"/>
      <c r="G34" s="1046"/>
      <c r="H34" s="1045"/>
      <c r="I34" s="1044" t="s">
        <v>945</v>
      </c>
      <c r="J34" s="1046"/>
      <c r="K34" s="758" t="s">
        <v>931</v>
      </c>
    </row>
    <row r="35" spans="1:11" ht="15.75">
      <c r="A35" s="1022">
        <v>10347</v>
      </c>
      <c r="B35" s="1023"/>
      <c r="C35" s="1017" t="s">
        <v>965</v>
      </c>
      <c r="D35" s="1031"/>
      <c r="E35" s="1031"/>
      <c r="F35" s="1031"/>
      <c r="G35" s="1031"/>
      <c r="H35" s="1018"/>
      <c r="I35" s="1022" t="s">
        <v>938</v>
      </c>
      <c r="J35" s="1023"/>
      <c r="K35" s="745" t="s">
        <v>933</v>
      </c>
    </row>
    <row r="36" spans="1:11" ht="15.75">
      <c r="A36" s="1049">
        <v>11652</v>
      </c>
      <c r="B36" s="1050"/>
      <c r="C36" s="1073" t="s">
        <v>966</v>
      </c>
      <c r="D36" s="1073"/>
      <c r="E36" s="1073"/>
      <c r="F36" s="1073"/>
      <c r="G36" s="1073"/>
      <c r="H36" s="1073"/>
      <c r="I36" s="1050" t="s">
        <v>938</v>
      </c>
      <c r="J36" s="1050"/>
      <c r="K36" s="829" t="s">
        <v>942</v>
      </c>
    </row>
    <row r="37" spans="1:11" ht="15.75">
      <c r="A37" s="1016">
        <v>12668</v>
      </c>
      <c r="B37" s="1016"/>
      <c r="C37" s="1016" t="s">
        <v>967</v>
      </c>
      <c r="D37" s="1016"/>
      <c r="E37" s="1016"/>
      <c r="F37" s="1016"/>
      <c r="G37" s="1016"/>
      <c r="H37" s="1016"/>
      <c r="I37" s="1016" t="s">
        <v>938</v>
      </c>
      <c r="J37" s="1016"/>
      <c r="K37" s="745" t="s">
        <v>931</v>
      </c>
    </row>
    <row r="38" spans="1:11" ht="15.75">
      <c r="A38" s="1073">
        <v>10161</v>
      </c>
      <c r="B38" s="1073"/>
      <c r="C38" s="1073" t="s">
        <v>968</v>
      </c>
      <c r="D38" s="1073"/>
      <c r="E38" s="1073"/>
      <c r="F38" s="1073"/>
      <c r="G38" s="1073"/>
      <c r="H38" s="1073"/>
      <c r="I38" s="1073" t="s">
        <v>938</v>
      </c>
      <c r="J38" s="1073"/>
      <c r="K38" s="829" t="s">
        <v>942</v>
      </c>
    </row>
    <row r="39" spans="1:11" ht="15.75">
      <c r="A39" s="1041">
        <v>14223</v>
      </c>
      <c r="B39" s="1041"/>
      <c r="C39" s="1043" t="s">
        <v>312</v>
      </c>
      <c r="D39" s="1043"/>
      <c r="E39" s="1043"/>
      <c r="F39" s="1043"/>
      <c r="G39" s="1043"/>
      <c r="H39" s="1043"/>
      <c r="I39" s="1041" t="s">
        <v>938</v>
      </c>
      <c r="J39" s="1041"/>
      <c r="K39" s="831" t="s">
        <v>931</v>
      </c>
    </row>
    <row r="40" spans="1:11" ht="15.75">
      <c r="A40" s="1022">
        <v>13586</v>
      </c>
      <c r="B40" s="1023"/>
      <c r="C40" s="1022" t="s">
        <v>205</v>
      </c>
      <c r="D40" s="1024"/>
      <c r="E40" s="1024"/>
      <c r="F40" s="1024"/>
      <c r="G40" s="1024"/>
      <c r="H40" s="1023"/>
      <c r="I40" s="1022" t="s">
        <v>938</v>
      </c>
      <c r="J40" s="1023"/>
      <c r="K40" s="745" t="s">
        <v>942</v>
      </c>
    </row>
    <row r="41" spans="1:11" ht="15.75">
      <c r="A41" s="1049">
        <v>13500</v>
      </c>
      <c r="B41" s="1051"/>
      <c r="C41" s="1049" t="s">
        <v>969</v>
      </c>
      <c r="D41" s="1050"/>
      <c r="E41" s="1050"/>
      <c r="F41" s="1050"/>
      <c r="G41" s="1050"/>
      <c r="H41" s="1051"/>
      <c r="I41" s="1049" t="s">
        <v>938</v>
      </c>
      <c r="J41" s="1051"/>
      <c r="K41" s="829" t="s">
        <v>931</v>
      </c>
    </row>
    <row r="42" spans="1:11" ht="15.75">
      <c r="A42" s="1078">
        <v>8434</v>
      </c>
      <c r="B42" s="1078"/>
      <c r="C42" s="1078" t="s">
        <v>970</v>
      </c>
      <c r="D42" s="1078"/>
      <c r="E42" s="1078"/>
      <c r="F42" s="1078"/>
      <c r="G42" s="1078"/>
      <c r="H42" s="1078"/>
      <c r="I42" s="1078" t="s">
        <v>938</v>
      </c>
      <c r="J42" s="1078"/>
      <c r="K42" s="764" t="s">
        <v>942</v>
      </c>
    </row>
    <row r="43" spans="1:11" ht="15.75">
      <c r="A43" s="1027">
        <v>12876</v>
      </c>
      <c r="B43" s="1028"/>
      <c r="C43" s="1027" t="s">
        <v>971</v>
      </c>
      <c r="D43" s="1029"/>
      <c r="E43" s="1029"/>
      <c r="F43" s="1029"/>
      <c r="G43" s="1029"/>
      <c r="H43" s="1028"/>
      <c r="I43" s="1027" t="s">
        <v>945</v>
      </c>
      <c r="J43" s="1028"/>
      <c r="K43" s="823" t="s">
        <v>942</v>
      </c>
    </row>
    <row r="44" spans="1:11" ht="15.75">
      <c r="A44" s="1070">
        <v>6903</v>
      </c>
      <c r="B44" s="1071"/>
      <c r="C44" s="1093" t="s">
        <v>972</v>
      </c>
      <c r="D44" s="1094"/>
      <c r="E44" s="1094"/>
      <c r="F44" s="1094"/>
      <c r="G44" s="1094"/>
      <c r="H44" s="1095"/>
      <c r="I44" s="1070" t="s">
        <v>938</v>
      </c>
      <c r="J44" s="1071"/>
      <c r="K44" s="764" t="s">
        <v>942</v>
      </c>
    </row>
    <row r="45" spans="1:11" ht="15.75">
      <c r="A45" s="1027">
        <v>14025</v>
      </c>
      <c r="B45" s="1028"/>
      <c r="C45" s="1096" t="s">
        <v>973</v>
      </c>
      <c r="D45" s="1029"/>
      <c r="E45" s="1029"/>
      <c r="F45" s="1029"/>
      <c r="G45" s="1029"/>
      <c r="H45" s="1028"/>
      <c r="I45" s="1027" t="s">
        <v>420</v>
      </c>
      <c r="J45" s="1028"/>
      <c r="K45" s="823" t="s">
        <v>942</v>
      </c>
    </row>
    <row r="46" spans="1:11" ht="15.75">
      <c r="A46" s="1074">
        <v>14778</v>
      </c>
      <c r="B46" s="1074"/>
      <c r="C46" s="1074" t="s">
        <v>974</v>
      </c>
      <c r="D46" s="1074"/>
      <c r="E46" s="1074"/>
      <c r="F46" s="1074"/>
      <c r="G46" s="1074"/>
      <c r="H46" s="1074"/>
      <c r="I46" s="1074" t="s">
        <v>938</v>
      </c>
      <c r="J46" s="1074"/>
      <c r="K46" s="746" t="s">
        <v>942</v>
      </c>
    </row>
    <row r="47" spans="1:11" ht="16.5">
      <c r="C47" s="819"/>
    </row>
    <row r="48" spans="1:11" ht="16.5">
      <c r="C48" s="819"/>
    </row>
    <row r="50" spans="1:11">
      <c r="A50" s="1056" t="s">
        <v>975</v>
      </c>
      <c r="B50" s="1056"/>
      <c r="C50" s="1056"/>
      <c r="D50" s="1056"/>
      <c r="E50" s="1056"/>
      <c r="F50" s="1056"/>
      <c r="G50" s="1056"/>
      <c r="H50" s="1056"/>
      <c r="I50" s="1056"/>
      <c r="J50" s="1056"/>
      <c r="K50" s="1056"/>
    </row>
    <row r="51" spans="1:11">
      <c r="A51" s="1056"/>
      <c r="B51" s="1056"/>
      <c r="C51" s="1056"/>
      <c r="D51" s="1056"/>
      <c r="E51" s="1056"/>
      <c r="F51" s="1056"/>
      <c r="G51" s="1056"/>
      <c r="H51" s="1056"/>
      <c r="I51" s="1056"/>
      <c r="J51" s="1056"/>
      <c r="K51" s="1056"/>
    </row>
    <row r="52" spans="1:11" ht="15.75">
      <c r="A52" s="1057" t="s">
        <v>925</v>
      </c>
      <c r="B52" s="1057"/>
      <c r="C52" s="1058" t="s">
        <v>926</v>
      </c>
      <c r="D52" s="1059"/>
      <c r="E52" s="1059"/>
      <c r="F52" s="1059"/>
      <c r="G52" s="1059"/>
      <c r="H52" s="1060"/>
      <c r="I52" s="1059" t="s">
        <v>927</v>
      </c>
      <c r="J52" s="1060"/>
      <c r="K52" s="691" t="s">
        <v>928</v>
      </c>
    </row>
    <row r="53" spans="1:11" ht="15.75">
      <c r="A53" s="1061">
        <v>13916</v>
      </c>
      <c r="B53" s="1062"/>
      <c r="C53" s="1065" t="s">
        <v>976</v>
      </c>
      <c r="D53" s="1064"/>
      <c r="E53" s="1064"/>
      <c r="F53" s="1064"/>
      <c r="G53" s="1064"/>
      <c r="H53" s="1062"/>
      <c r="I53" s="1065" t="s">
        <v>938</v>
      </c>
      <c r="J53" s="1064"/>
      <c r="K53" s="746" t="s">
        <v>942</v>
      </c>
    </row>
    <row r="54" spans="1:11" ht="15.75">
      <c r="A54" s="1022">
        <v>14254</v>
      </c>
      <c r="B54" s="1023"/>
      <c r="C54" s="1022" t="s">
        <v>977</v>
      </c>
      <c r="D54" s="1024"/>
      <c r="E54" s="1024"/>
      <c r="F54" s="1024"/>
      <c r="G54" s="1024"/>
      <c r="H54" s="1023"/>
      <c r="I54" s="1022" t="s">
        <v>938</v>
      </c>
      <c r="J54" s="1024"/>
      <c r="K54" s="745" t="s">
        <v>942</v>
      </c>
    </row>
    <row r="55" spans="1:11" ht="15.75">
      <c r="A55" s="1065">
        <v>13610</v>
      </c>
      <c r="B55" s="1062"/>
      <c r="C55" s="1097" t="s">
        <v>978</v>
      </c>
      <c r="D55" s="1098"/>
      <c r="E55" s="1098"/>
      <c r="F55" s="1098"/>
      <c r="G55" s="1098"/>
      <c r="H55" s="1099"/>
      <c r="I55" s="1065" t="s">
        <v>938</v>
      </c>
      <c r="J55" s="1064"/>
      <c r="K55" s="746" t="s">
        <v>933</v>
      </c>
    </row>
    <row r="56" spans="1:11" ht="15.75">
      <c r="A56" s="1061">
        <v>13785</v>
      </c>
      <c r="B56" s="1062"/>
      <c r="C56" s="1065" t="s">
        <v>979</v>
      </c>
      <c r="D56" s="1064"/>
      <c r="E56" s="1064"/>
      <c r="F56" s="1064"/>
      <c r="G56" s="1064"/>
      <c r="H56" s="1062"/>
      <c r="I56" s="1065" t="s">
        <v>938</v>
      </c>
      <c r="J56" s="1064"/>
      <c r="K56" s="746" t="s">
        <v>933</v>
      </c>
    </row>
    <row r="57" spans="1:11" ht="15.75">
      <c r="A57" s="1047">
        <v>5832</v>
      </c>
      <c r="B57" s="1048"/>
      <c r="C57" s="1047" t="s">
        <v>980</v>
      </c>
      <c r="D57" s="1066"/>
      <c r="E57" s="1066"/>
      <c r="F57" s="1066"/>
      <c r="G57" s="1066"/>
      <c r="H57" s="1048"/>
      <c r="I57" s="1047" t="s">
        <v>938</v>
      </c>
      <c r="J57" s="1066"/>
      <c r="K57" s="757" t="s">
        <v>942</v>
      </c>
    </row>
    <row r="58" spans="1:11" ht="15.75">
      <c r="A58" s="1047">
        <v>6946</v>
      </c>
      <c r="B58" s="1048"/>
      <c r="C58" s="1047" t="s">
        <v>981</v>
      </c>
      <c r="D58" s="1066"/>
      <c r="E58" s="1066"/>
      <c r="F58" s="1066"/>
      <c r="G58" s="1066"/>
      <c r="H58" s="1048"/>
      <c r="I58" s="1047" t="s">
        <v>938</v>
      </c>
      <c r="J58" s="1066"/>
      <c r="K58" s="757" t="s">
        <v>942</v>
      </c>
    </row>
    <row r="59" spans="1:11" ht="15.75">
      <c r="A59" s="1047">
        <v>12870</v>
      </c>
      <c r="B59" s="1048"/>
      <c r="C59" s="1047" t="s">
        <v>982</v>
      </c>
      <c r="D59" s="1066"/>
      <c r="E59" s="1066"/>
      <c r="F59" s="1066"/>
      <c r="G59" s="1066"/>
      <c r="H59" s="1048"/>
      <c r="I59" s="1047" t="s">
        <v>938</v>
      </c>
      <c r="J59" s="1066"/>
      <c r="K59" s="757" t="s">
        <v>942</v>
      </c>
    </row>
    <row r="60" spans="1:11" ht="15.75">
      <c r="A60" s="1047">
        <v>13870</v>
      </c>
      <c r="B60" s="1048"/>
      <c r="C60" s="1049" t="s">
        <v>983</v>
      </c>
      <c r="D60" s="1050"/>
      <c r="E60" s="1050"/>
      <c r="F60" s="1050"/>
      <c r="G60" s="1050"/>
      <c r="H60" s="1051"/>
      <c r="I60" s="1047" t="s">
        <v>938</v>
      </c>
      <c r="J60" s="1048"/>
      <c r="K60" s="757" t="s">
        <v>942</v>
      </c>
    </row>
    <row r="61" spans="1:11" ht="15.75">
      <c r="A61" s="1049">
        <v>10419</v>
      </c>
      <c r="B61" s="1050"/>
      <c r="C61" s="1073" t="s">
        <v>984</v>
      </c>
      <c r="D61" s="1073"/>
      <c r="E61" s="1073"/>
      <c r="F61" s="1073"/>
      <c r="G61" s="1073"/>
      <c r="H61" s="1073"/>
      <c r="I61" s="1050" t="s">
        <v>938</v>
      </c>
      <c r="J61" s="1050"/>
      <c r="K61" s="829" t="s">
        <v>942</v>
      </c>
    </row>
    <row r="62" spans="1:11" ht="15.75">
      <c r="A62" s="1041">
        <v>14506</v>
      </c>
      <c r="B62" s="1041"/>
      <c r="C62" s="1043" t="s">
        <v>429</v>
      </c>
      <c r="D62" s="1043"/>
      <c r="E62" s="1043"/>
      <c r="F62" s="1043"/>
      <c r="G62" s="1043"/>
      <c r="H62" s="1043"/>
      <c r="I62" s="1041" t="s">
        <v>938</v>
      </c>
      <c r="J62" s="1041"/>
      <c r="K62" s="831" t="s">
        <v>933</v>
      </c>
    </row>
    <row r="63" spans="1:11" ht="15.75">
      <c r="A63" s="1047">
        <v>14086</v>
      </c>
      <c r="B63" s="1048"/>
      <c r="C63" s="1047" t="s">
        <v>345</v>
      </c>
      <c r="D63" s="1066"/>
      <c r="E63" s="1066"/>
      <c r="F63" s="1066"/>
      <c r="G63" s="1066"/>
      <c r="H63" s="1048"/>
      <c r="I63" s="1047" t="s">
        <v>938</v>
      </c>
      <c r="J63" s="1048"/>
      <c r="K63" s="757" t="s">
        <v>933</v>
      </c>
    </row>
    <row r="64" spans="1:11" ht="15.75">
      <c r="A64" s="1049">
        <v>13086</v>
      </c>
      <c r="B64" s="1051"/>
      <c r="C64" s="1049" t="s">
        <v>985</v>
      </c>
      <c r="D64" s="1050"/>
      <c r="E64" s="1050"/>
      <c r="F64" s="1050"/>
      <c r="G64" s="1050"/>
      <c r="H64" s="1051"/>
      <c r="I64" s="1049" t="s">
        <v>938</v>
      </c>
      <c r="J64" s="1051"/>
      <c r="K64" s="829" t="s">
        <v>933</v>
      </c>
    </row>
    <row r="65" spans="1:12" ht="15.75">
      <c r="A65" s="1078">
        <v>13979</v>
      </c>
      <c r="B65" s="1078"/>
      <c r="C65" s="1078" t="s">
        <v>338</v>
      </c>
      <c r="D65" s="1078"/>
      <c r="E65" s="1078"/>
      <c r="F65" s="1078"/>
      <c r="G65" s="1078"/>
      <c r="H65" s="1078"/>
      <c r="I65" s="1078" t="s">
        <v>938</v>
      </c>
      <c r="J65" s="1078"/>
      <c r="K65" s="764" t="s">
        <v>933</v>
      </c>
    </row>
    <row r="66" spans="1:12" ht="15.75">
      <c r="A66" s="1070">
        <v>14752</v>
      </c>
      <c r="B66" s="1071"/>
      <c r="C66" s="1070" t="s">
        <v>808</v>
      </c>
      <c r="D66" s="1072"/>
      <c r="E66" s="1072"/>
      <c r="F66" s="1072"/>
      <c r="G66" s="1072"/>
      <c r="H66" s="1071"/>
      <c r="I66" s="1070" t="s">
        <v>938</v>
      </c>
      <c r="J66" s="1071"/>
      <c r="K66" s="764" t="s">
        <v>933</v>
      </c>
    </row>
    <row r="67" spans="1:12" ht="15.75">
      <c r="A67" s="1049">
        <v>12930</v>
      </c>
      <c r="B67" s="1051"/>
      <c r="C67" s="1079" t="s">
        <v>986</v>
      </c>
      <c r="D67" s="1080"/>
      <c r="E67" s="1080"/>
      <c r="F67" s="1080"/>
      <c r="G67" s="1080"/>
      <c r="H67" s="1081"/>
      <c r="I67" s="1049" t="s">
        <v>938</v>
      </c>
      <c r="J67" s="1051"/>
      <c r="K67" s="829" t="s">
        <v>933</v>
      </c>
    </row>
    <row r="68" spans="1:12" ht="15.75">
      <c r="A68" s="1049">
        <v>14101</v>
      </c>
      <c r="B68" s="1051"/>
      <c r="C68" s="1075" t="s">
        <v>987</v>
      </c>
      <c r="D68" s="1050"/>
      <c r="E68" s="1050"/>
      <c r="F68" s="1050"/>
      <c r="G68" s="1050"/>
      <c r="H68" s="1051"/>
      <c r="I68" s="1049" t="s">
        <v>938</v>
      </c>
      <c r="J68" s="1051"/>
      <c r="K68" s="829" t="s">
        <v>933</v>
      </c>
    </row>
    <row r="69" spans="1:12" ht="15.75">
      <c r="A69" s="1076">
        <v>11803</v>
      </c>
      <c r="B69" s="1077"/>
      <c r="C69" s="1077" t="s">
        <v>988</v>
      </c>
      <c r="D69" s="1077"/>
      <c r="E69" s="1077"/>
      <c r="F69" s="1077"/>
      <c r="G69" s="1077"/>
      <c r="H69" s="1077"/>
      <c r="I69" s="1077" t="s">
        <v>935</v>
      </c>
      <c r="J69" s="1077"/>
      <c r="K69" s="823" t="s">
        <v>933</v>
      </c>
    </row>
    <row r="70" spans="1:12" ht="15.75">
      <c r="A70" s="1070">
        <v>11518</v>
      </c>
      <c r="B70" s="1071"/>
      <c r="C70" s="1070" t="s">
        <v>989</v>
      </c>
      <c r="D70" s="1072"/>
      <c r="E70" s="1072"/>
      <c r="F70" s="1072"/>
      <c r="G70" s="1072"/>
      <c r="H70" s="1071"/>
      <c r="I70" s="1070" t="s">
        <v>938</v>
      </c>
      <c r="J70" s="1071"/>
      <c r="K70" s="764" t="s">
        <v>942</v>
      </c>
    </row>
    <row r="71" spans="1:12" ht="15.75">
      <c r="A71" s="1049">
        <v>11904</v>
      </c>
      <c r="B71" s="1051"/>
      <c r="C71" s="1049" t="s">
        <v>990</v>
      </c>
      <c r="D71" s="1050"/>
      <c r="E71" s="1050"/>
      <c r="F71" s="1050"/>
      <c r="G71" s="1050"/>
      <c r="H71" s="1051"/>
      <c r="I71" s="1049" t="s">
        <v>938</v>
      </c>
      <c r="J71" s="1051"/>
      <c r="K71" s="829" t="s">
        <v>933</v>
      </c>
    </row>
    <row r="72" spans="1:12" ht="15.75">
      <c r="A72" s="1073">
        <v>13454</v>
      </c>
      <c r="B72" s="1073"/>
      <c r="C72" s="1073" t="s">
        <v>991</v>
      </c>
      <c r="D72" s="1073"/>
      <c r="E72" s="1073"/>
      <c r="F72" s="1073"/>
      <c r="G72" s="1073"/>
      <c r="H72" s="1073"/>
      <c r="I72" s="1073" t="s">
        <v>938</v>
      </c>
      <c r="J72" s="1073"/>
      <c r="K72" s="829" t="s">
        <v>942</v>
      </c>
    </row>
    <row r="73" spans="1:12" ht="15.75">
      <c r="A73" s="1074">
        <v>13317</v>
      </c>
      <c r="B73" s="1074"/>
      <c r="C73" s="1074" t="s">
        <v>992</v>
      </c>
      <c r="D73" s="1074"/>
      <c r="E73" s="1074"/>
      <c r="F73" s="1074"/>
      <c r="G73" s="1074"/>
      <c r="H73" s="1074"/>
      <c r="I73" s="1074" t="s">
        <v>938</v>
      </c>
      <c r="J73" s="1074"/>
      <c r="K73" s="746" t="s">
        <v>942</v>
      </c>
      <c r="L73" t="s">
        <v>993</v>
      </c>
    </row>
    <row r="74" spans="1:12" ht="15.75">
      <c r="A74" s="1017">
        <v>12429</v>
      </c>
      <c r="B74" s="1018"/>
      <c r="C74" s="1067" t="s">
        <v>994</v>
      </c>
      <c r="D74" s="1068"/>
      <c r="E74" s="1068"/>
      <c r="F74" s="1068"/>
      <c r="G74" s="1068"/>
      <c r="H74" s="1069"/>
      <c r="I74" s="1017" t="s">
        <v>938</v>
      </c>
      <c r="J74" s="1018"/>
      <c r="K74" s="799" t="s">
        <v>942</v>
      </c>
    </row>
    <row r="75" spans="1:12" ht="15.75">
      <c r="A75" s="1044">
        <v>13235</v>
      </c>
      <c r="B75" s="1045"/>
      <c r="C75" s="1044" t="s">
        <v>995</v>
      </c>
      <c r="D75" s="1046"/>
      <c r="E75" s="1046"/>
      <c r="F75" s="1046"/>
      <c r="G75" s="1046"/>
      <c r="H75" s="1045"/>
      <c r="I75" s="1044" t="s">
        <v>420</v>
      </c>
      <c r="J75" s="1045"/>
      <c r="K75" s="758" t="s">
        <v>933</v>
      </c>
    </row>
    <row r="79" spans="1:12">
      <c r="A79" s="1056" t="s">
        <v>996</v>
      </c>
      <c r="B79" s="1056"/>
      <c r="C79" s="1056"/>
      <c r="D79" s="1056"/>
      <c r="E79" s="1056"/>
      <c r="F79" s="1056"/>
      <c r="G79" s="1056"/>
      <c r="H79" s="1056"/>
      <c r="I79" s="1056"/>
      <c r="J79" s="1056"/>
      <c r="K79" s="1056"/>
    </row>
    <row r="80" spans="1:12">
      <c r="A80" s="1056"/>
      <c r="B80" s="1056"/>
      <c r="C80" s="1056"/>
      <c r="D80" s="1056"/>
      <c r="E80" s="1056"/>
      <c r="F80" s="1056"/>
      <c r="G80" s="1056"/>
      <c r="H80" s="1056"/>
      <c r="I80" s="1056"/>
      <c r="J80" s="1056"/>
      <c r="K80" s="1056"/>
    </row>
    <row r="81" spans="1:12" ht="15.75">
      <c r="A81" s="1057" t="s">
        <v>925</v>
      </c>
      <c r="B81" s="1057"/>
      <c r="C81" s="1058" t="s">
        <v>926</v>
      </c>
      <c r="D81" s="1059"/>
      <c r="E81" s="1059"/>
      <c r="F81" s="1059"/>
      <c r="G81" s="1059"/>
      <c r="H81" s="1060"/>
      <c r="I81" s="1059" t="s">
        <v>927</v>
      </c>
      <c r="J81" s="1060"/>
      <c r="K81" s="691" t="s">
        <v>928</v>
      </c>
    </row>
    <row r="82" spans="1:12" ht="15.75">
      <c r="A82" s="1061">
        <v>12762</v>
      </c>
      <c r="B82" s="1062"/>
      <c r="C82" s="1063" t="s">
        <v>997</v>
      </c>
      <c r="D82" s="1064"/>
      <c r="E82" s="1064"/>
      <c r="F82" s="1064"/>
      <c r="G82" s="1064"/>
      <c r="H82" s="1062"/>
      <c r="I82" s="1065" t="s">
        <v>938</v>
      </c>
      <c r="J82" s="1064"/>
      <c r="K82" s="746" t="s">
        <v>942</v>
      </c>
    </row>
    <row r="83" spans="1:12" ht="15.75">
      <c r="A83" s="1047">
        <v>10560</v>
      </c>
      <c r="B83" s="1048"/>
      <c r="C83" s="1047" t="s">
        <v>998</v>
      </c>
      <c r="D83" s="1066"/>
      <c r="E83" s="1066"/>
      <c r="F83" s="1066"/>
      <c r="G83" s="1066"/>
      <c r="H83" s="1048"/>
      <c r="I83" s="1047" t="s">
        <v>938</v>
      </c>
      <c r="J83" s="1066"/>
      <c r="K83" s="757" t="s">
        <v>942</v>
      </c>
    </row>
    <row r="84" spans="1:12" ht="15.75">
      <c r="A84" s="1044">
        <v>12721</v>
      </c>
      <c r="B84" s="1045"/>
      <c r="C84" s="1052" t="s">
        <v>999</v>
      </c>
      <c r="D84" s="1053"/>
      <c r="E84" s="1053"/>
      <c r="F84" s="1053"/>
      <c r="G84" s="1053"/>
      <c r="H84" s="1054"/>
      <c r="I84" s="1044" t="s">
        <v>945</v>
      </c>
      <c r="J84" s="1046"/>
      <c r="K84" s="758" t="s">
        <v>933</v>
      </c>
      <c r="L84" t="s">
        <v>1000</v>
      </c>
    </row>
    <row r="85" spans="1:12" ht="15.75">
      <c r="A85" s="1055">
        <v>13646</v>
      </c>
      <c r="B85" s="1035"/>
      <c r="C85" s="1022" t="s">
        <v>1001</v>
      </c>
      <c r="D85" s="1024"/>
      <c r="E85" s="1024"/>
      <c r="F85" s="1024"/>
      <c r="G85" s="1024"/>
      <c r="H85" s="1023"/>
      <c r="I85" s="1022" t="s">
        <v>957</v>
      </c>
      <c r="J85" s="1024"/>
      <c r="K85" s="745" t="s">
        <v>942</v>
      </c>
    </row>
    <row r="86" spans="1:12" ht="15.75">
      <c r="A86" s="1044">
        <v>12634</v>
      </c>
      <c r="B86" s="1045"/>
      <c r="C86" s="1044" t="s">
        <v>1002</v>
      </c>
      <c r="D86" s="1046"/>
      <c r="E86" s="1046"/>
      <c r="F86" s="1046"/>
      <c r="G86" s="1046"/>
      <c r="H86" s="1045"/>
      <c r="I86" s="1044" t="s">
        <v>420</v>
      </c>
      <c r="J86" s="1046"/>
      <c r="K86" s="758" t="s">
        <v>942</v>
      </c>
    </row>
    <row r="87" spans="1:12" ht="15.75">
      <c r="A87" s="1044">
        <v>11409</v>
      </c>
      <c r="B87" s="1045"/>
      <c r="C87" s="1044" t="s">
        <v>1003</v>
      </c>
      <c r="D87" s="1046"/>
      <c r="E87" s="1046"/>
      <c r="F87" s="1046"/>
      <c r="G87" s="1046"/>
      <c r="H87" s="1045"/>
      <c r="I87" s="1044" t="s">
        <v>1004</v>
      </c>
      <c r="J87" s="1046"/>
      <c r="K87" s="758" t="s">
        <v>933</v>
      </c>
    </row>
    <row r="88" spans="1:12" ht="15.75">
      <c r="A88" s="1022">
        <v>12616</v>
      </c>
      <c r="B88" s="1023"/>
      <c r="C88" s="1022" t="s">
        <v>1005</v>
      </c>
      <c r="D88" s="1024"/>
      <c r="E88" s="1024"/>
      <c r="F88" s="1024"/>
      <c r="G88" s="1024"/>
      <c r="H88" s="1023"/>
      <c r="I88" s="1022" t="s">
        <v>938</v>
      </c>
      <c r="J88" s="1024"/>
      <c r="K88" s="745" t="s">
        <v>933</v>
      </c>
    </row>
    <row r="89" spans="1:12" ht="15.75">
      <c r="A89" s="1047">
        <v>12638</v>
      </c>
      <c r="B89" s="1048"/>
      <c r="C89" s="1049" t="s">
        <v>1006</v>
      </c>
      <c r="D89" s="1050"/>
      <c r="E89" s="1050"/>
      <c r="F89" s="1050"/>
      <c r="G89" s="1050"/>
      <c r="H89" s="1051"/>
      <c r="I89" s="1047" t="s">
        <v>938</v>
      </c>
      <c r="J89" s="1048"/>
      <c r="K89" s="757" t="s">
        <v>942</v>
      </c>
    </row>
    <row r="90" spans="1:12" ht="15.75">
      <c r="A90" s="1017">
        <v>12597</v>
      </c>
      <c r="B90" s="1031"/>
      <c r="C90" s="1032" t="s">
        <v>1007</v>
      </c>
      <c r="D90" s="1032"/>
      <c r="E90" s="1032"/>
      <c r="F90" s="1032"/>
      <c r="G90" s="1032"/>
      <c r="H90" s="1032"/>
      <c r="I90" s="1031" t="s">
        <v>938</v>
      </c>
      <c r="J90" s="1031"/>
      <c r="K90" s="799" t="s">
        <v>933</v>
      </c>
    </row>
    <row r="91" spans="1:12" ht="15.75">
      <c r="A91" s="1041">
        <v>10621</v>
      </c>
      <c r="B91" s="1041"/>
      <c r="C91" s="1042" t="s">
        <v>1008</v>
      </c>
      <c r="D91" s="1043"/>
      <c r="E91" s="1043"/>
      <c r="F91" s="1043"/>
      <c r="G91" s="1043"/>
      <c r="H91" s="1043"/>
      <c r="I91" s="1041" t="s">
        <v>938</v>
      </c>
      <c r="J91" s="1041"/>
      <c r="K91" s="831" t="s">
        <v>942</v>
      </c>
    </row>
    <row r="92" spans="1:12" ht="15.75">
      <c r="A92" s="1044">
        <v>4713</v>
      </c>
      <c r="B92" s="1045"/>
      <c r="C92" s="1044" t="s">
        <v>1009</v>
      </c>
      <c r="D92" s="1046"/>
      <c r="E92" s="1046"/>
      <c r="F92" s="1046"/>
      <c r="G92" s="1046"/>
      <c r="H92" s="1045"/>
      <c r="I92" s="1044" t="s">
        <v>420</v>
      </c>
      <c r="J92" s="1045"/>
      <c r="K92" s="758" t="s">
        <v>942</v>
      </c>
    </row>
    <row r="93" spans="1:12" ht="15.75">
      <c r="A93" s="1017">
        <v>14050</v>
      </c>
      <c r="B93" s="1018"/>
      <c r="C93" s="1017" t="s">
        <v>1010</v>
      </c>
      <c r="D93" s="1031"/>
      <c r="E93" s="1031"/>
      <c r="F93" s="1031"/>
      <c r="G93" s="1031"/>
      <c r="H93" s="1018"/>
      <c r="I93" s="1017" t="s">
        <v>938</v>
      </c>
      <c r="J93" s="1018"/>
      <c r="K93" s="799" t="s">
        <v>933</v>
      </c>
    </row>
    <row r="94" spans="1:12" ht="15.75">
      <c r="A94" s="1032">
        <v>6822</v>
      </c>
      <c r="B94" s="1032"/>
      <c r="C94" s="1022" t="s">
        <v>1011</v>
      </c>
      <c r="D94" s="1024"/>
      <c r="E94" s="1024"/>
      <c r="F94" s="1024"/>
      <c r="G94" s="1024"/>
      <c r="H94" s="1023"/>
      <c r="I94" s="1032" t="s">
        <v>938</v>
      </c>
      <c r="J94" s="1032"/>
      <c r="K94" s="799" t="s">
        <v>942</v>
      </c>
    </row>
    <row r="95" spans="1:12" ht="15.75">
      <c r="A95" s="1017">
        <v>13846</v>
      </c>
      <c r="B95" s="1018"/>
      <c r="C95" s="1017" t="s">
        <v>1012</v>
      </c>
      <c r="D95" s="1031"/>
      <c r="E95" s="1031"/>
      <c r="F95" s="1031"/>
      <c r="G95" s="1031"/>
      <c r="H95" s="1018"/>
      <c r="I95" s="1017" t="s">
        <v>938</v>
      </c>
      <c r="J95" s="1018"/>
      <c r="K95" s="799" t="s">
        <v>942</v>
      </c>
    </row>
    <row r="96" spans="1:12" ht="17.25" customHeight="1">
      <c r="A96" s="1037">
        <v>11664</v>
      </c>
      <c r="B96" s="1038"/>
      <c r="C96" s="1039" t="s">
        <v>1013</v>
      </c>
      <c r="D96" s="1031"/>
      <c r="E96" s="1031"/>
      <c r="F96" s="1031"/>
      <c r="G96" s="1031"/>
      <c r="H96" s="1018"/>
      <c r="I96" s="1037" t="s">
        <v>957</v>
      </c>
      <c r="J96" s="1038"/>
      <c r="K96" s="906" t="s">
        <v>933</v>
      </c>
      <c r="L96" t="s">
        <v>1014</v>
      </c>
    </row>
    <row r="97" spans="1:12" ht="15.75" customHeight="1">
      <c r="A97" s="1037">
        <v>12586</v>
      </c>
      <c r="B97" s="1038"/>
      <c r="C97" s="1030" t="s">
        <v>1015</v>
      </c>
      <c r="D97" s="1031"/>
      <c r="E97" s="1031"/>
      <c r="F97" s="1031"/>
      <c r="G97" s="1031"/>
      <c r="H97" s="1018"/>
      <c r="I97" s="1037" t="s">
        <v>957</v>
      </c>
      <c r="J97" s="1038"/>
      <c r="K97" s="906" t="s">
        <v>933</v>
      </c>
      <c r="L97" t="s">
        <v>1014</v>
      </c>
    </row>
    <row r="98" spans="1:12" ht="15.75">
      <c r="A98" s="1040">
        <v>13348</v>
      </c>
      <c r="B98" s="1040"/>
      <c r="C98" s="1032" t="s">
        <v>1016</v>
      </c>
      <c r="D98" s="1032"/>
      <c r="E98" s="1032"/>
      <c r="F98" s="1032"/>
      <c r="G98" s="1032"/>
      <c r="H98" s="1032"/>
      <c r="I98" s="1032" t="s">
        <v>957</v>
      </c>
      <c r="J98" s="1032"/>
      <c r="K98" s="799" t="s">
        <v>933</v>
      </c>
    </row>
    <row r="99" spans="1:12" ht="15.75">
      <c r="A99" s="1027">
        <v>12177</v>
      </c>
      <c r="B99" s="1028"/>
      <c r="C99" s="1027" t="s">
        <v>1017</v>
      </c>
      <c r="D99" s="1029"/>
      <c r="E99" s="1029"/>
      <c r="F99" s="1029"/>
      <c r="G99" s="1029"/>
      <c r="H99" s="1028"/>
      <c r="I99" s="1027" t="s">
        <v>945</v>
      </c>
      <c r="J99" s="1028"/>
      <c r="K99" s="823" t="s">
        <v>933</v>
      </c>
      <c r="L99" t="s">
        <v>579</v>
      </c>
    </row>
    <row r="100" spans="1:12" ht="15.75">
      <c r="A100" s="1017">
        <v>12936</v>
      </c>
      <c r="B100" s="1018"/>
      <c r="C100" s="1030" t="s">
        <v>92</v>
      </c>
      <c r="D100" s="1031"/>
      <c r="E100" s="1031"/>
      <c r="F100" s="1031"/>
      <c r="G100" s="1031"/>
      <c r="H100" s="1018"/>
      <c r="I100" s="1017" t="s">
        <v>957</v>
      </c>
      <c r="J100" s="1018"/>
      <c r="K100" s="799" t="s">
        <v>942</v>
      </c>
    </row>
    <row r="101" spans="1:12" ht="15.75" customHeight="1">
      <c r="A101" s="1032">
        <v>14671</v>
      </c>
      <c r="B101" s="1017"/>
      <c r="C101" s="1036" t="s">
        <v>1018</v>
      </c>
      <c r="D101" s="1036"/>
      <c r="E101" s="1036"/>
      <c r="F101" s="1036"/>
      <c r="G101" s="1036"/>
      <c r="H101" s="1036"/>
      <c r="I101" s="1018" t="s">
        <v>957</v>
      </c>
      <c r="J101" s="1032"/>
      <c r="K101" s="799" t="s">
        <v>933</v>
      </c>
      <c r="L101" t="s">
        <v>1014</v>
      </c>
    </row>
    <row r="102" spans="1:12" ht="15.75">
      <c r="A102" s="1015" t="s">
        <v>1019</v>
      </c>
      <c r="B102" s="1015"/>
      <c r="C102" s="1033" t="s">
        <v>1020</v>
      </c>
      <c r="D102" s="1034"/>
      <c r="E102" s="1034"/>
      <c r="F102" s="1034"/>
      <c r="G102" s="1034"/>
      <c r="H102" s="1035"/>
      <c r="I102" s="1016" t="s">
        <v>957</v>
      </c>
      <c r="J102" s="1016"/>
      <c r="K102" s="745" t="s">
        <v>942</v>
      </c>
    </row>
    <row r="103" spans="1:12" ht="15.75">
      <c r="A103" s="1017"/>
      <c r="B103" s="1018"/>
      <c r="C103" s="1019"/>
      <c r="D103" s="1020"/>
      <c r="E103" s="1020"/>
      <c r="F103" s="1020"/>
      <c r="G103" s="1020"/>
      <c r="H103" s="1021"/>
      <c r="I103" s="1017"/>
      <c r="J103" s="1018"/>
      <c r="K103" s="799"/>
    </row>
    <row r="104" spans="1:12" ht="15.75">
      <c r="A104" s="1022"/>
      <c r="B104" s="1023"/>
      <c r="C104" s="1022"/>
      <c r="D104" s="1024"/>
      <c r="E104" s="1024"/>
      <c r="F104" s="1024"/>
      <c r="G104" s="1024"/>
      <c r="H104" s="1023"/>
      <c r="I104" s="1025"/>
      <c r="J104" s="1026"/>
      <c r="K104" s="190"/>
    </row>
    <row r="107" spans="1:12">
      <c r="A107" s="1056" t="s">
        <v>1021</v>
      </c>
      <c r="B107" s="1056"/>
      <c r="C107" s="1056"/>
      <c r="D107" s="1056"/>
      <c r="E107" s="1056"/>
      <c r="F107" s="1056"/>
      <c r="G107" s="1056"/>
      <c r="H107" s="1056"/>
      <c r="I107" s="1056"/>
      <c r="J107" s="1056"/>
      <c r="K107" s="1056"/>
    </row>
    <row r="108" spans="1:12">
      <c r="A108" s="1056"/>
      <c r="B108" s="1056"/>
      <c r="C108" s="1056"/>
      <c r="D108" s="1056"/>
      <c r="E108" s="1056"/>
      <c r="F108" s="1056"/>
      <c r="G108" s="1056"/>
      <c r="H108" s="1056"/>
      <c r="I108" s="1056"/>
      <c r="J108" s="1056"/>
      <c r="K108" s="1056"/>
    </row>
    <row r="109" spans="1:12" ht="15.75">
      <c r="A109" s="1057" t="s">
        <v>925</v>
      </c>
      <c r="B109" s="1057"/>
      <c r="C109" s="1058" t="s">
        <v>926</v>
      </c>
      <c r="D109" s="1059"/>
      <c r="E109" s="1059"/>
      <c r="F109" s="1059"/>
      <c r="G109" s="1059"/>
      <c r="H109" s="1060"/>
      <c r="I109" s="1059" t="s">
        <v>927</v>
      </c>
      <c r="J109" s="1060"/>
      <c r="K109" s="691" t="s">
        <v>928</v>
      </c>
    </row>
    <row r="110" spans="1:12" ht="15.75">
      <c r="A110" s="1100">
        <v>13199</v>
      </c>
      <c r="B110" s="1023"/>
      <c r="C110" s="1101"/>
      <c r="D110" s="1024"/>
      <c r="E110" s="1024"/>
      <c r="F110" s="1024"/>
      <c r="G110" s="1024"/>
      <c r="H110" s="1023"/>
      <c r="I110" s="1022"/>
      <c r="J110" s="1024"/>
      <c r="K110" s="745" t="s">
        <v>942</v>
      </c>
    </row>
    <row r="111" spans="1:12" ht="15.75">
      <c r="A111" s="1022">
        <v>13166</v>
      </c>
      <c r="B111" s="1023"/>
      <c r="C111" s="1022" t="s">
        <v>1022</v>
      </c>
      <c r="D111" s="1024"/>
      <c r="E111" s="1024"/>
      <c r="F111" s="1024"/>
      <c r="G111" s="1024"/>
      <c r="H111" s="1023"/>
      <c r="I111" s="1022"/>
      <c r="J111" s="1024"/>
      <c r="K111" s="745" t="s">
        <v>942</v>
      </c>
    </row>
    <row r="112" spans="1:12" ht="15.75">
      <c r="A112" s="1022">
        <v>14827</v>
      </c>
      <c r="B112" s="1023"/>
      <c r="C112" s="1102" t="s">
        <v>497</v>
      </c>
      <c r="D112" s="1034"/>
      <c r="E112" s="1034"/>
      <c r="F112" s="1034"/>
      <c r="G112" s="1034"/>
      <c r="H112" s="1035"/>
      <c r="I112" s="1022"/>
      <c r="J112" s="1024"/>
      <c r="K112" s="745" t="s">
        <v>933</v>
      </c>
    </row>
    <row r="113" spans="1:11" ht="15.75">
      <c r="A113" s="1055">
        <v>11222</v>
      </c>
      <c r="B113" s="1035"/>
      <c r="C113" s="1022" t="s">
        <v>1023</v>
      </c>
      <c r="D113" s="1024"/>
      <c r="E113" s="1024"/>
      <c r="F113" s="1024"/>
      <c r="G113" s="1024"/>
      <c r="H113" s="1023"/>
      <c r="I113" s="1022"/>
      <c r="J113" s="1024"/>
      <c r="K113" s="745"/>
    </row>
    <row r="114" spans="1:11" ht="15.75">
      <c r="A114" s="1022">
        <v>13304</v>
      </c>
      <c r="B114" s="1023"/>
      <c r="C114" s="1022"/>
      <c r="D114" s="1024"/>
      <c r="E114" s="1024"/>
      <c r="F114" s="1024"/>
      <c r="G114" s="1024"/>
      <c r="H114" s="1023"/>
      <c r="I114" s="1022"/>
      <c r="J114" s="1024"/>
      <c r="K114" s="745"/>
    </row>
    <row r="115" spans="1:11" ht="15.75">
      <c r="A115" s="1022"/>
      <c r="B115" s="1023"/>
      <c r="C115" s="1022"/>
      <c r="D115" s="1024"/>
      <c r="E115" s="1024"/>
      <c r="F115" s="1024"/>
      <c r="G115" s="1024"/>
      <c r="H115" s="1023"/>
      <c r="I115" s="1022"/>
      <c r="J115" s="1024"/>
      <c r="K115" s="745"/>
    </row>
    <row r="116" spans="1:11" ht="15.75">
      <c r="A116" s="1022"/>
      <c r="B116" s="1023"/>
      <c r="C116" s="1022"/>
      <c r="D116" s="1024"/>
      <c r="E116" s="1024"/>
      <c r="F116" s="1024"/>
      <c r="G116" s="1024"/>
      <c r="H116" s="1023"/>
      <c r="I116" s="1022"/>
      <c r="J116" s="1024"/>
      <c r="K116" s="745"/>
    </row>
    <row r="117" spans="1:11" ht="15.75">
      <c r="A117" s="1022"/>
      <c r="B117" s="1023"/>
      <c r="C117" s="1017"/>
      <c r="D117" s="1031"/>
      <c r="E117" s="1031"/>
      <c r="F117" s="1031"/>
      <c r="G117" s="1031"/>
      <c r="H117" s="1018"/>
      <c r="I117" s="1022"/>
      <c r="J117" s="1023"/>
      <c r="K117" s="745"/>
    </row>
    <row r="118" spans="1:11" ht="15.75">
      <c r="A118" s="1017"/>
      <c r="B118" s="1031"/>
      <c r="C118" s="1032"/>
      <c r="D118" s="1032"/>
      <c r="E118" s="1032"/>
      <c r="F118" s="1032"/>
      <c r="G118" s="1032"/>
      <c r="H118" s="1032"/>
      <c r="I118" s="1031"/>
      <c r="J118" s="1031"/>
      <c r="K118" s="799"/>
    </row>
    <row r="119" spans="1:11" ht="15.75">
      <c r="A119" s="1016"/>
      <c r="B119" s="1016"/>
      <c r="C119" s="1103"/>
      <c r="D119" s="1104"/>
      <c r="E119" s="1104"/>
      <c r="F119" s="1104"/>
      <c r="G119" s="1104"/>
      <c r="H119" s="1104"/>
      <c r="I119" s="1016"/>
      <c r="J119" s="1016"/>
      <c r="K119" s="895"/>
    </row>
    <row r="120" spans="1:11" ht="15.75">
      <c r="A120" s="1022"/>
      <c r="B120" s="1023"/>
      <c r="C120" s="1022"/>
      <c r="D120" s="1024"/>
      <c r="E120" s="1024"/>
      <c r="F120" s="1024"/>
      <c r="G120" s="1024"/>
      <c r="H120" s="1023"/>
      <c r="I120" s="1022"/>
      <c r="J120" s="1023"/>
      <c r="K120" s="745"/>
    </row>
    <row r="121" spans="1:11" ht="15.75">
      <c r="A121" s="1017"/>
      <c r="B121" s="1018"/>
      <c r="C121" s="1017"/>
      <c r="D121" s="1031"/>
      <c r="E121" s="1031"/>
      <c r="F121" s="1031"/>
      <c r="G121" s="1031"/>
      <c r="H121" s="1018"/>
      <c r="I121" s="1017"/>
      <c r="J121" s="1018"/>
      <c r="K121" s="799"/>
    </row>
    <row r="122" spans="1:11" ht="15.75">
      <c r="A122" s="1032"/>
      <c r="B122" s="1032"/>
      <c r="C122" s="1022"/>
      <c r="D122" s="1024"/>
      <c r="E122" s="1024"/>
      <c r="F122" s="1024"/>
      <c r="G122" s="1024"/>
      <c r="H122" s="1023"/>
      <c r="I122" s="1032"/>
      <c r="J122" s="1032"/>
      <c r="K122" s="799"/>
    </row>
    <row r="123" spans="1:11" ht="15.75">
      <c r="A123" s="1017"/>
      <c r="B123" s="1018"/>
      <c r="C123" s="1017"/>
      <c r="D123" s="1031"/>
      <c r="E123" s="1031"/>
      <c r="F123" s="1031"/>
      <c r="G123" s="1031"/>
      <c r="H123" s="1018"/>
      <c r="I123" s="1017"/>
      <c r="J123" s="1018"/>
      <c r="K123" s="799"/>
    </row>
    <row r="124" spans="1:11" ht="15.75">
      <c r="A124" s="1017"/>
      <c r="B124" s="1018"/>
      <c r="C124" s="1105"/>
      <c r="D124" s="1068"/>
      <c r="E124" s="1068"/>
      <c r="F124" s="1068"/>
      <c r="G124" s="1068"/>
      <c r="H124" s="1069"/>
      <c r="I124" s="1017"/>
      <c r="J124" s="1018"/>
      <c r="K124" s="799"/>
    </row>
    <row r="125" spans="1:11" ht="15.75">
      <c r="A125" s="1017"/>
      <c r="B125" s="1018"/>
      <c r="C125" s="1106"/>
      <c r="D125" s="1031"/>
      <c r="E125" s="1031"/>
      <c r="F125" s="1031"/>
      <c r="G125" s="1031"/>
      <c r="H125" s="1018"/>
      <c r="I125" s="1017"/>
      <c r="J125" s="1018"/>
      <c r="K125" s="799"/>
    </row>
    <row r="126" spans="1:11" ht="15.75">
      <c r="A126" s="1040"/>
      <c r="B126" s="1040"/>
      <c r="C126" s="1032"/>
      <c r="D126" s="1032"/>
      <c r="E126" s="1032"/>
      <c r="F126" s="1032"/>
      <c r="G126" s="1032"/>
      <c r="H126" s="1032"/>
      <c r="I126" s="1032"/>
      <c r="J126" s="1032"/>
      <c r="K126" s="799"/>
    </row>
    <row r="127" spans="1:11" ht="15.75">
      <c r="A127" s="1017"/>
      <c r="B127" s="1018"/>
      <c r="C127" s="1017"/>
      <c r="D127" s="1031"/>
      <c r="E127" s="1031"/>
      <c r="F127" s="1031"/>
      <c r="G127" s="1031"/>
      <c r="H127" s="1018"/>
      <c r="I127" s="1017"/>
      <c r="J127" s="1018"/>
      <c r="K127" s="799"/>
    </row>
    <row r="128" spans="1:11" ht="15.75">
      <c r="A128" s="1017"/>
      <c r="B128" s="1018"/>
      <c r="C128" s="1107"/>
      <c r="D128" s="1031"/>
      <c r="E128" s="1031"/>
      <c r="F128" s="1031"/>
      <c r="G128" s="1031"/>
      <c r="H128" s="1018"/>
      <c r="I128" s="1017"/>
      <c r="J128" s="1018"/>
      <c r="K128" s="799"/>
    </row>
    <row r="129" spans="1:11" ht="15.75">
      <c r="A129" s="1032"/>
      <c r="B129" s="1017"/>
      <c r="C129" s="1108"/>
      <c r="D129" s="1108"/>
      <c r="E129" s="1108"/>
      <c r="F129" s="1108"/>
      <c r="G129" s="1108"/>
      <c r="H129" s="1108"/>
      <c r="I129" s="1018"/>
      <c r="J129" s="1032"/>
      <c r="K129" s="799"/>
    </row>
    <row r="130" spans="1:11" ht="15.75">
      <c r="A130" s="1109"/>
      <c r="B130" s="1016"/>
      <c r="C130" s="1110"/>
      <c r="D130" s="1034"/>
      <c r="E130" s="1034"/>
      <c r="F130" s="1034"/>
      <c r="G130" s="1034"/>
      <c r="H130" s="1035"/>
      <c r="I130" s="1016"/>
      <c r="J130" s="1016"/>
      <c r="K130" s="745"/>
    </row>
    <row r="131" spans="1:11" ht="15.75">
      <c r="A131" s="1017"/>
      <c r="B131" s="1018"/>
      <c r="C131" s="1019"/>
      <c r="D131" s="1020"/>
      <c r="E131" s="1020"/>
      <c r="F131" s="1020"/>
      <c r="G131" s="1020"/>
      <c r="H131" s="1021"/>
      <c r="I131" s="1017"/>
      <c r="J131" s="1018"/>
      <c r="K131" s="799"/>
    </row>
    <row r="132" spans="1:11" ht="15.75">
      <c r="A132" s="1022"/>
      <c r="B132" s="1023"/>
      <c r="C132" s="1022"/>
      <c r="D132" s="1024"/>
      <c r="E132" s="1024"/>
      <c r="F132" s="1024"/>
      <c r="G132" s="1024"/>
      <c r="H132" s="1023"/>
      <c r="I132" s="1025"/>
      <c r="J132" s="1026"/>
      <c r="K132" s="190"/>
    </row>
  </sheetData>
  <mergeCells count="339">
    <mergeCell ref="A130:B130"/>
    <mergeCell ref="C130:H130"/>
    <mergeCell ref="I130:J130"/>
    <mergeCell ref="A131:B131"/>
    <mergeCell ref="C131:H131"/>
    <mergeCell ref="I131:J131"/>
    <mergeCell ref="A132:B132"/>
    <mergeCell ref="C132:H132"/>
    <mergeCell ref="I132:J132"/>
    <mergeCell ref="A127:B127"/>
    <mergeCell ref="C127:H127"/>
    <mergeCell ref="I127:J127"/>
    <mergeCell ref="A128:B128"/>
    <mergeCell ref="C128:H128"/>
    <mergeCell ref="I128:J128"/>
    <mergeCell ref="A129:B129"/>
    <mergeCell ref="C129:H129"/>
    <mergeCell ref="I129:J129"/>
    <mergeCell ref="A124:B124"/>
    <mergeCell ref="C124:H124"/>
    <mergeCell ref="I124:J124"/>
    <mergeCell ref="A125:B125"/>
    <mergeCell ref="C125:H125"/>
    <mergeCell ref="I125:J125"/>
    <mergeCell ref="A126:B126"/>
    <mergeCell ref="C126:H126"/>
    <mergeCell ref="I126:J126"/>
    <mergeCell ref="A121:B121"/>
    <mergeCell ref="C121:H121"/>
    <mergeCell ref="I121:J121"/>
    <mergeCell ref="A122:B122"/>
    <mergeCell ref="C122:H122"/>
    <mergeCell ref="I122:J122"/>
    <mergeCell ref="A123:B123"/>
    <mergeCell ref="C123:H123"/>
    <mergeCell ref="I123:J123"/>
    <mergeCell ref="A118:B118"/>
    <mergeCell ref="C118:H118"/>
    <mergeCell ref="I118:J118"/>
    <mergeCell ref="A119:B119"/>
    <mergeCell ref="C119:H119"/>
    <mergeCell ref="I119:J119"/>
    <mergeCell ref="A120:B120"/>
    <mergeCell ref="C120:H120"/>
    <mergeCell ref="I120:J120"/>
    <mergeCell ref="A115:B115"/>
    <mergeCell ref="C115:H115"/>
    <mergeCell ref="I115:J115"/>
    <mergeCell ref="A116:B116"/>
    <mergeCell ref="C116:H116"/>
    <mergeCell ref="I116:J116"/>
    <mergeCell ref="A117:B117"/>
    <mergeCell ref="C117:H117"/>
    <mergeCell ref="I117:J117"/>
    <mergeCell ref="A112:B112"/>
    <mergeCell ref="C112:H112"/>
    <mergeCell ref="I112:J112"/>
    <mergeCell ref="A113:B113"/>
    <mergeCell ref="C113:H113"/>
    <mergeCell ref="I113:J113"/>
    <mergeCell ref="A114:B114"/>
    <mergeCell ref="C114:H114"/>
    <mergeCell ref="I114:J114"/>
    <mergeCell ref="A107:K108"/>
    <mergeCell ref="A109:B109"/>
    <mergeCell ref="C109:H109"/>
    <mergeCell ref="I109:J109"/>
    <mergeCell ref="A110:B110"/>
    <mergeCell ref="C110:H110"/>
    <mergeCell ref="I110:J110"/>
    <mergeCell ref="A111:B111"/>
    <mergeCell ref="C111:H111"/>
    <mergeCell ref="I111:J111"/>
    <mergeCell ref="A75:B75"/>
    <mergeCell ref="C75:H75"/>
    <mergeCell ref="I75:J75"/>
    <mergeCell ref="A44:B44"/>
    <mergeCell ref="C44:H44"/>
    <mergeCell ref="I44:J44"/>
    <mergeCell ref="A53:B53"/>
    <mergeCell ref="C53:H53"/>
    <mergeCell ref="I53:J53"/>
    <mergeCell ref="A54:B54"/>
    <mergeCell ref="C54:H54"/>
    <mergeCell ref="I54:J54"/>
    <mergeCell ref="A45:B45"/>
    <mergeCell ref="C45:H45"/>
    <mergeCell ref="I45:J45"/>
    <mergeCell ref="A46:B46"/>
    <mergeCell ref="C46:H46"/>
    <mergeCell ref="I46:J46"/>
    <mergeCell ref="A50:K51"/>
    <mergeCell ref="A52:B52"/>
    <mergeCell ref="C52:H52"/>
    <mergeCell ref="I52:J52"/>
    <mergeCell ref="A55:B55"/>
    <mergeCell ref="C55:H55"/>
    <mergeCell ref="A2:K3"/>
    <mergeCell ref="A18:B18"/>
    <mergeCell ref="A19:B19"/>
    <mergeCell ref="I1:J1"/>
    <mergeCell ref="A4:B4"/>
    <mergeCell ref="C4:H4"/>
    <mergeCell ref="I4:J4"/>
    <mergeCell ref="A14:B14"/>
    <mergeCell ref="A9:B9"/>
    <mergeCell ref="C9:H9"/>
    <mergeCell ref="A13:B13"/>
    <mergeCell ref="A11:B11"/>
    <mergeCell ref="A12:B12"/>
    <mergeCell ref="C14:H14"/>
    <mergeCell ref="C10:H10"/>
    <mergeCell ref="C13:H13"/>
    <mergeCell ref="C12:H12"/>
    <mergeCell ref="C11:H11"/>
    <mergeCell ref="A10:B10"/>
    <mergeCell ref="A5:B5"/>
    <mergeCell ref="A6:B6"/>
    <mergeCell ref="I5:J5"/>
    <mergeCell ref="I7:J7"/>
    <mergeCell ref="I8:J8"/>
    <mergeCell ref="C5:H5"/>
    <mergeCell ref="C6:H6"/>
    <mergeCell ref="C7:H7"/>
    <mergeCell ref="I13:J13"/>
    <mergeCell ref="I12:J12"/>
    <mergeCell ref="A43:B43"/>
    <mergeCell ref="C43:H43"/>
    <mergeCell ref="I43:J43"/>
    <mergeCell ref="I14:J14"/>
    <mergeCell ref="I11:J11"/>
    <mergeCell ref="C8:H8"/>
    <mergeCell ref="I9:J9"/>
    <mergeCell ref="I6:J6"/>
    <mergeCell ref="I10:J10"/>
    <mergeCell ref="C19:H19"/>
    <mergeCell ref="I19:J19"/>
    <mergeCell ref="A20:B20"/>
    <mergeCell ref="C20:H20"/>
    <mergeCell ref="I20:J20"/>
    <mergeCell ref="I15:J15"/>
    <mergeCell ref="C15:H15"/>
    <mergeCell ref="I16:J16"/>
    <mergeCell ref="I17:J17"/>
    <mergeCell ref="A17:B17"/>
    <mergeCell ref="A15:B15"/>
    <mergeCell ref="A16:B16"/>
    <mergeCell ref="C18:H18"/>
    <mergeCell ref="I18:J18"/>
    <mergeCell ref="A7:B7"/>
    <mergeCell ref="A8:B8"/>
    <mergeCell ref="C16:H16"/>
    <mergeCell ref="C17:H17"/>
    <mergeCell ref="A28:B28"/>
    <mergeCell ref="C28:H28"/>
    <mergeCell ref="I28:J28"/>
    <mergeCell ref="A27:B27"/>
    <mergeCell ref="C27:H27"/>
    <mergeCell ref="I27:J27"/>
    <mergeCell ref="A21:B21"/>
    <mergeCell ref="C21:H21"/>
    <mergeCell ref="I21:J21"/>
    <mergeCell ref="A24:K25"/>
    <mergeCell ref="A26:B26"/>
    <mergeCell ref="C26:H26"/>
    <mergeCell ref="I26:J26"/>
    <mergeCell ref="A31:B31"/>
    <mergeCell ref="C31:H31"/>
    <mergeCell ref="I31:J31"/>
    <mergeCell ref="A32:B32"/>
    <mergeCell ref="C32:H32"/>
    <mergeCell ref="I32:J32"/>
    <mergeCell ref="A29:B29"/>
    <mergeCell ref="C29:H29"/>
    <mergeCell ref="I29:J29"/>
    <mergeCell ref="A30:B30"/>
    <mergeCell ref="C30:H30"/>
    <mergeCell ref="I30:J30"/>
    <mergeCell ref="A35:B35"/>
    <mergeCell ref="C35:H35"/>
    <mergeCell ref="I35:J35"/>
    <mergeCell ref="A36:B36"/>
    <mergeCell ref="C36:H36"/>
    <mergeCell ref="I36:J36"/>
    <mergeCell ref="A33:B33"/>
    <mergeCell ref="C33:H33"/>
    <mergeCell ref="I33:J33"/>
    <mergeCell ref="A34:B34"/>
    <mergeCell ref="C34:H34"/>
    <mergeCell ref="I34:J34"/>
    <mergeCell ref="A38:B38"/>
    <mergeCell ref="C38:H38"/>
    <mergeCell ref="I38:J38"/>
    <mergeCell ref="A39:B39"/>
    <mergeCell ref="C39:H39"/>
    <mergeCell ref="I39:J39"/>
    <mergeCell ref="A37:B37"/>
    <mergeCell ref="C37:H37"/>
    <mergeCell ref="I37:J37"/>
    <mergeCell ref="A42:B42"/>
    <mergeCell ref="C42:H42"/>
    <mergeCell ref="I42:J42"/>
    <mergeCell ref="C40:H40"/>
    <mergeCell ref="I40:J40"/>
    <mergeCell ref="I41:J41"/>
    <mergeCell ref="C41:H41"/>
    <mergeCell ref="A40:B40"/>
    <mergeCell ref="A41:B41"/>
    <mergeCell ref="I55:J55"/>
    <mergeCell ref="A56:B56"/>
    <mergeCell ref="C56:H56"/>
    <mergeCell ref="I56:J56"/>
    <mergeCell ref="A57:B57"/>
    <mergeCell ref="C57:H57"/>
    <mergeCell ref="I57:J57"/>
    <mergeCell ref="A61:B61"/>
    <mergeCell ref="C61:H61"/>
    <mergeCell ref="I61:J61"/>
    <mergeCell ref="A58:B58"/>
    <mergeCell ref="C58:H58"/>
    <mergeCell ref="I58:J58"/>
    <mergeCell ref="A59:B59"/>
    <mergeCell ref="C59:H59"/>
    <mergeCell ref="I59:J59"/>
    <mergeCell ref="A60:B60"/>
    <mergeCell ref="C60:H60"/>
    <mergeCell ref="I60:J60"/>
    <mergeCell ref="A62:B62"/>
    <mergeCell ref="C62:H62"/>
    <mergeCell ref="I62:J62"/>
    <mergeCell ref="A63:B63"/>
    <mergeCell ref="C63:H63"/>
    <mergeCell ref="I63:J63"/>
    <mergeCell ref="A64:B64"/>
    <mergeCell ref="C64:H64"/>
    <mergeCell ref="I64:J64"/>
    <mergeCell ref="A68:B68"/>
    <mergeCell ref="C68:H68"/>
    <mergeCell ref="I68:J68"/>
    <mergeCell ref="A69:B69"/>
    <mergeCell ref="C69:H69"/>
    <mergeCell ref="I69:J69"/>
    <mergeCell ref="A65:B65"/>
    <mergeCell ref="C65:H65"/>
    <mergeCell ref="I65:J65"/>
    <mergeCell ref="A66:B66"/>
    <mergeCell ref="C66:H66"/>
    <mergeCell ref="I66:J66"/>
    <mergeCell ref="A67:B67"/>
    <mergeCell ref="C67:H67"/>
    <mergeCell ref="I67:J67"/>
    <mergeCell ref="A74:B74"/>
    <mergeCell ref="C74:H74"/>
    <mergeCell ref="I74:J74"/>
    <mergeCell ref="A70:B70"/>
    <mergeCell ref="C70:H70"/>
    <mergeCell ref="I70:J70"/>
    <mergeCell ref="A71:B71"/>
    <mergeCell ref="C71:H71"/>
    <mergeCell ref="I71:J71"/>
    <mergeCell ref="A72:B72"/>
    <mergeCell ref="C72:H72"/>
    <mergeCell ref="I72:J72"/>
    <mergeCell ref="A73:B73"/>
    <mergeCell ref="C73:H73"/>
    <mergeCell ref="I73:J73"/>
    <mergeCell ref="A79:K80"/>
    <mergeCell ref="A81:B81"/>
    <mergeCell ref="C81:H81"/>
    <mergeCell ref="I81:J81"/>
    <mergeCell ref="A82:B82"/>
    <mergeCell ref="C82:H82"/>
    <mergeCell ref="I82:J82"/>
    <mergeCell ref="A83:B83"/>
    <mergeCell ref="C83:H83"/>
    <mergeCell ref="I83:J83"/>
    <mergeCell ref="A84:B84"/>
    <mergeCell ref="C84:H84"/>
    <mergeCell ref="I84:J84"/>
    <mergeCell ref="A85:B85"/>
    <mergeCell ref="C85:H85"/>
    <mergeCell ref="I85:J85"/>
    <mergeCell ref="A86:B86"/>
    <mergeCell ref="C86:H86"/>
    <mergeCell ref="I86:J86"/>
    <mergeCell ref="A87:B87"/>
    <mergeCell ref="C87:H87"/>
    <mergeCell ref="I87:J87"/>
    <mergeCell ref="A88:B88"/>
    <mergeCell ref="C88:H88"/>
    <mergeCell ref="I88:J88"/>
    <mergeCell ref="A89:B89"/>
    <mergeCell ref="C89:H89"/>
    <mergeCell ref="I89:J89"/>
    <mergeCell ref="A90:B90"/>
    <mergeCell ref="C90:H90"/>
    <mergeCell ref="I90:J90"/>
    <mergeCell ref="A91:B91"/>
    <mergeCell ref="C91:H91"/>
    <mergeCell ref="I91:J91"/>
    <mergeCell ref="A92:B92"/>
    <mergeCell ref="C92:H92"/>
    <mergeCell ref="I92:J92"/>
    <mergeCell ref="A93:B93"/>
    <mergeCell ref="C93:H93"/>
    <mergeCell ref="I93:J93"/>
    <mergeCell ref="A94:B94"/>
    <mergeCell ref="C94:H94"/>
    <mergeCell ref="I94:J94"/>
    <mergeCell ref="A95:B95"/>
    <mergeCell ref="C95:H95"/>
    <mergeCell ref="I95:J95"/>
    <mergeCell ref="A96:B96"/>
    <mergeCell ref="C96:H96"/>
    <mergeCell ref="I96:J96"/>
    <mergeCell ref="A97:B97"/>
    <mergeCell ref="C97:H97"/>
    <mergeCell ref="I97:J97"/>
    <mergeCell ref="A98:B98"/>
    <mergeCell ref="C98:H98"/>
    <mergeCell ref="I98:J98"/>
    <mergeCell ref="A102:B102"/>
    <mergeCell ref="I102:J102"/>
    <mergeCell ref="A103:B103"/>
    <mergeCell ref="C103:H103"/>
    <mergeCell ref="I103:J103"/>
    <mergeCell ref="A104:B104"/>
    <mergeCell ref="C104:H104"/>
    <mergeCell ref="I104:J104"/>
    <mergeCell ref="A99:B99"/>
    <mergeCell ref="C99:H99"/>
    <mergeCell ref="I99:J99"/>
    <mergeCell ref="A100:B100"/>
    <mergeCell ref="C100:H100"/>
    <mergeCell ref="I100:J100"/>
    <mergeCell ref="A101:B101"/>
    <mergeCell ref="C102:H102"/>
    <mergeCell ref="I101:J101"/>
    <mergeCell ref="C101:H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88FD-7E64-42EA-967D-148097FB33F8}">
  <dimension ref="A3:H12"/>
  <sheetViews>
    <sheetView topLeftCell="A3" workbookViewId="0">
      <selection activeCell="E9" sqref="E9:H9"/>
    </sheetView>
  </sheetViews>
  <sheetFormatPr defaultRowHeight="15"/>
  <sheetData>
    <row r="3" spans="1:8">
      <c r="A3" s="1115" t="s">
        <v>1024</v>
      </c>
      <c r="B3" s="1115"/>
      <c r="C3" s="1115"/>
      <c r="D3" s="1115"/>
      <c r="E3" s="1115"/>
      <c r="F3" s="1115"/>
      <c r="G3" s="1115"/>
      <c r="H3" s="1115"/>
    </row>
    <row r="4" spans="1:8">
      <c r="A4" s="1115"/>
      <c r="B4" s="1115"/>
      <c r="C4" s="1115"/>
      <c r="D4" s="1115"/>
      <c r="E4" s="1115"/>
      <c r="F4" s="1115"/>
      <c r="G4" s="1115"/>
      <c r="H4" s="1115"/>
    </row>
    <row r="5" spans="1:8">
      <c r="A5" s="1111" t="s">
        <v>1025</v>
      </c>
      <c r="B5" s="1112"/>
      <c r="C5" s="1112"/>
      <c r="D5" s="1113"/>
      <c r="E5" s="1025" t="s">
        <v>1026</v>
      </c>
      <c r="F5" s="1114"/>
      <c r="G5" s="1114"/>
      <c r="H5" s="1026"/>
    </row>
    <row r="6" spans="1:8">
      <c r="A6" s="1111" t="s">
        <v>1027</v>
      </c>
      <c r="B6" s="1112"/>
      <c r="C6" s="1112"/>
      <c r="D6" s="1113"/>
      <c r="E6" s="1025" t="s">
        <v>1028</v>
      </c>
      <c r="F6" s="1114"/>
      <c r="G6" s="1114"/>
      <c r="H6" s="1026"/>
    </row>
    <row r="7" spans="1:8">
      <c r="A7" s="1111" t="s">
        <v>1029</v>
      </c>
      <c r="B7" s="1112"/>
      <c r="C7" s="1112"/>
      <c r="D7" s="1113"/>
      <c r="E7" s="1025" t="s">
        <v>1030</v>
      </c>
      <c r="F7" s="1114"/>
      <c r="G7" s="1114"/>
      <c r="H7" s="1026"/>
    </row>
    <row r="8" spans="1:8">
      <c r="A8" s="1111" t="s">
        <v>1031</v>
      </c>
      <c r="B8" s="1112"/>
      <c r="C8" s="1112"/>
      <c r="D8" s="1113"/>
      <c r="E8" s="1025" t="s">
        <v>1032</v>
      </c>
      <c r="F8" s="1114"/>
      <c r="G8" s="1114"/>
      <c r="H8" s="1026"/>
    </row>
    <row r="9" spans="1:8">
      <c r="A9" s="1111" t="s">
        <v>1033</v>
      </c>
      <c r="B9" s="1112"/>
      <c r="C9" s="1112"/>
      <c r="D9" s="1113"/>
      <c r="E9" s="1025" t="s">
        <v>1034</v>
      </c>
      <c r="F9" s="1114"/>
      <c r="G9" s="1114"/>
      <c r="H9" s="1026"/>
    </row>
    <row r="10" spans="1:8">
      <c r="A10" s="1111" t="s">
        <v>1035</v>
      </c>
      <c r="B10" s="1112"/>
      <c r="C10" s="1112"/>
      <c r="D10" s="1113"/>
      <c r="E10" s="1025" t="s">
        <v>1036</v>
      </c>
      <c r="F10" s="1114"/>
      <c r="G10" s="1114"/>
      <c r="H10" s="1026"/>
    </row>
    <row r="11" spans="1:8">
      <c r="A11" s="1111" t="s">
        <v>1037</v>
      </c>
      <c r="B11" s="1112"/>
      <c r="C11" s="1112"/>
      <c r="D11" s="1113"/>
      <c r="E11" s="1025" t="s">
        <v>1038</v>
      </c>
      <c r="F11" s="1114"/>
      <c r="G11" s="1114"/>
      <c r="H11" s="1026"/>
    </row>
    <row r="12" spans="1:8">
      <c r="A12" s="1111" t="s">
        <v>1039</v>
      </c>
      <c r="B12" s="1112"/>
      <c r="C12" s="1112"/>
      <c r="D12" s="1113"/>
      <c r="E12" s="1025" t="s">
        <v>1040</v>
      </c>
      <c r="F12" s="1114"/>
      <c r="G12" s="1114"/>
      <c r="H12" s="1026"/>
    </row>
  </sheetData>
  <mergeCells count="17">
    <mergeCell ref="A3:H4"/>
    <mergeCell ref="A5:D5"/>
    <mergeCell ref="E5:H5"/>
    <mergeCell ref="A6:D6"/>
    <mergeCell ref="A9:D9"/>
    <mergeCell ref="A8:D8"/>
    <mergeCell ref="A12:D12"/>
    <mergeCell ref="E12:H12"/>
    <mergeCell ref="A11:D11"/>
    <mergeCell ref="A7:D7"/>
    <mergeCell ref="E6:H6"/>
    <mergeCell ref="E7:H7"/>
    <mergeCell ref="E9:H9"/>
    <mergeCell ref="E10:H10"/>
    <mergeCell ref="E11:H11"/>
    <mergeCell ref="E8:H8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Administración Colores</cp:lastModifiedBy>
  <cp:revision/>
  <dcterms:created xsi:type="dcterms:W3CDTF">2022-01-03T14:09:14Z</dcterms:created>
  <dcterms:modified xsi:type="dcterms:W3CDTF">2022-12-01T19:16:03Z</dcterms:modified>
  <cp:category/>
  <cp:contentStatus/>
</cp:coreProperties>
</file>