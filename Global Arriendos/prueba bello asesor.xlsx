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8_{C607D44E-B726-4176-A30A-C4214E77362F}" xr6:coauthVersionLast="47" xr6:coauthVersionMax="47" xr10:uidLastSave="{00000000-0000-0000-0000-000000000000}"/>
  <bookViews>
    <workbookView xWindow="-108" yWindow="-108" windowWidth="23256" windowHeight="12576" xr2:uid="{9FCE5360-21BD-4F41-9FD3-77055D87F8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H11" i="1"/>
  <c r="H10" i="1"/>
  <c r="H9" i="1"/>
  <c r="H8" i="1"/>
  <c r="H7" i="1"/>
  <c r="H6" i="1"/>
  <c r="H5" i="1"/>
  <c r="H14" i="1" s="1"/>
  <c r="F15" i="1" s="1"/>
</calcChain>
</file>

<file path=xl/sharedStrings.xml><?xml version="1.0" encoding="utf-8"?>
<sst xmlns="http://schemas.openxmlformats.org/spreadsheetml/2006/main" count="53" uniqueCount="35">
  <si>
    <t>INFORMACIÓN DE BELLO</t>
  </si>
  <si>
    <t>ASESOR SENIOR ARTURO RUIZ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</si>
  <si>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</si>
  <si>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</si>
  <si>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</si>
  <si>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</si>
  <si>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</si>
  <si>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</si>
  <si>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</si>
  <si>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</si>
  <si>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</si>
  <si>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</si>
  <si>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>20+3</t>
  </si>
  <si>
    <t>OCEANA 1302 $1.950.000</t>
  </si>
  <si>
    <t>ARTURO</t>
  </si>
  <si>
    <t>JOAN</t>
  </si>
  <si>
    <t>PUERTO NUEVO 208 $1.300.000</t>
  </si>
  <si>
    <t>ALEXIS</t>
  </si>
  <si>
    <t xml:space="preserve">PUERTO PARAISO 910 $1.200.000 </t>
  </si>
  <si>
    <t>MATEO</t>
  </si>
  <si>
    <t>OCEANA 2001 CANON 1.650.000</t>
  </si>
  <si>
    <t>DIANA</t>
  </si>
  <si>
    <t>MANANTIALES 501 - 1.000.000</t>
  </si>
  <si>
    <t>PORTADA</t>
  </si>
  <si>
    <t>BOSQUE ALTO 1905 $1.400.000</t>
  </si>
  <si>
    <t>FLOR DE AGUA 1029 $1.350.000</t>
  </si>
  <si>
    <t>APROBADO/DESISTE</t>
  </si>
  <si>
    <t>EDIFICIO MANATIALES 501 $1.000.000</t>
  </si>
  <si>
    <t>DESISTE</t>
  </si>
  <si>
    <t>CIUDAD CENTRAL 114 $1.200.000 ARTURO -DIANA</t>
  </si>
  <si>
    <t xml:space="preserve">TOTAL ARRENDADO </t>
  </si>
  <si>
    <t>VALOR A PAGAR TOTAL COMISIONES----------------------</t>
  </si>
  <si>
    <t>CLIENTE SE UBICA EN OTRO APTO</t>
  </si>
  <si>
    <t xml:space="preserve">ASESOR SENIOR </t>
  </si>
  <si>
    <t>ARTURO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</si>
</sst>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 $]#,##0"/>
    <numFmt numFmtId="165" formatCode="_([$$-409]* #,##0_);_([$$-409]* \(#,##0\);_([$$-409]* &quot;-&quot;??_);_(@_)"/>
    <numFmt numFmtId="166" formatCode="&quot;$&quot;#,##0"/>
  </numFmts>
  <fonts count="13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vertical="center"/>
    </xf>
    <xf numFmtId="9" fontId="6" fillId="4" borderId="13" xfId="0" applyNumberFormat="1" applyFont="1" applyFill="1" applyBorder="1" applyAlignment="1">
      <alignment horizontal="center"/>
    </xf>
    <xf numFmtId="3" fontId="6" fillId="4" borderId="13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8" xfId="0" applyFont="1" applyFill="1" applyBorder="1"/>
    <xf numFmtId="9" fontId="6" fillId="4" borderId="8" xfId="0" applyNumberFormat="1" applyFont="1" applyFill="1" applyBorder="1" applyAlignment="1">
      <alignment horizontal="center"/>
    </xf>
    <xf numFmtId="3" fontId="6" fillId="4" borderId="8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8" fillId="5" borderId="8" xfId="0" applyFont="1" applyFill="1" applyBorder="1"/>
    <xf numFmtId="0" fontId="6" fillId="4" borderId="1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9" fontId="7" fillId="2" borderId="13" xfId="0" applyNumberFormat="1" applyFont="1" applyFill="1" applyBorder="1" applyAlignment="1">
      <alignment horizontal="center"/>
    </xf>
    <xf numFmtId="0" fontId="6" fillId="2" borderId="13" xfId="0" applyFont="1" applyFill="1" applyBorder="1"/>
    <xf numFmtId="165" fontId="6" fillId="4" borderId="13" xfId="0" applyNumberFormat="1" applyFont="1" applyFill="1" applyBorder="1"/>
    <xf numFmtId="9" fontId="9" fillId="2" borderId="13" xfId="0" applyNumberFormat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/>
    </xf>
    <xf numFmtId="165" fontId="6" fillId="4" borderId="8" xfId="0" applyNumberFormat="1" applyFont="1" applyFill="1" applyBorder="1"/>
    <xf numFmtId="0" fontId="8" fillId="4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65" fontId="6" fillId="4" borderId="1" xfId="0" applyNumberFormat="1" applyFont="1" applyFill="1" applyBorder="1"/>
    <xf numFmtId="0" fontId="8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center"/>
    </xf>
    <xf numFmtId="165" fontId="8" fillId="4" borderId="8" xfId="0" applyNumberFormat="1" applyFont="1" applyFill="1" applyBorder="1" applyAlignment="1">
      <alignment horizontal="left"/>
    </xf>
    <xf numFmtId="165" fontId="8" fillId="4" borderId="1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left"/>
    </xf>
    <xf numFmtId="0" fontId="7" fillId="5" borderId="12" xfId="0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/>
    </xf>
    <xf numFmtId="9" fontId="8" fillId="4" borderId="11" xfId="0" applyNumberFormat="1" applyFont="1" applyFill="1" applyBorder="1" applyAlignment="1">
      <alignment horizontal="center"/>
    </xf>
    <xf numFmtId="164" fontId="8" fillId="4" borderId="1" xfId="0" applyNumberFormat="1" applyFont="1" applyFill="1" applyBorder="1"/>
    <xf numFmtId="9" fontId="8" fillId="4" borderId="4" xfId="0" applyNumberFormat="1" applyFont="1" applyFill="1" applyBorder="1" applyAlignment="1">
      <alignment horizontal="center"/>
    </xf>
    <xf numFmtId="164" fontId="8" fillId="4" borderId="2" xfId="0" applyNumberFormat="1" applyFont="1" applyFill="1" applyBorder="1"/>
    <xf numFmtId="0" fontId="7" fillId="4" borderId="13" xfId="0" applyFont="1" applyFill="1" applyBorder="1" applyAlignment="1">
      <alignment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165" fontId="11" fillId="6" borderId="1" xfId="0" applyNumberFormat="1" applyFont="1" applyFill="1" applyBorder="1" applyAlignment="1">
      <alignment horizontal="right"/>
    </xf>
    <xf numFmtId="3" fontId="11" fillId="6" borderId="1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right"/>
    </xf>
    <xf numFmtId="3" fontId="11" fillId="6" borderId="4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/>
    </xf>
    <xf numFmtId="0" fontId="11" fillId="6" borderId="1" xfId="0" applyFont="1" applyFill="1" applyBorder="1"/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9" fillId="2" borderId="8" xfId="0" applyFont="1" applyFill="1" applyBorder="1" applyAlignment="1">
      <alignment horizontal="left"/>
    </xf>
    <xf numFmtId="164" fontId="9" fillId="2" borderId="8" xfId="0" applyNumberFormat="1" applyFont="1" applyFill="1" applyBorder="1"/>
    <xf numFmtId="3" fontId="11" fillId="0" borderId="12" xfId="0" applyNumberFormat="1" applyFont="1" applyBorder="1"/>
    <xf numFmtId="0" fontId="1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2" fillId="3" borderId="10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/>
    </xf>
    <xf numFmtId="164" fontId="2" fillId="3" borderId="14" xfId="0" applyNumberFormat="1" applyFont="1" applyFill="1" applyBorder="1" applyAlignment="1">
      <alignment horizontal="center"/>
    </xf>
    <xf numFmtId="3" fontId="12" fillId="3" borderId="14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149C-EAE2-4A88-B3C1-E6670826E541}">
  <dimension ref="A1:L15"/>
  <sheetViews>
    <sheetView tabSelected="1" workbookViewId="0">
      <selection activeCell="D2" sqref="D2"/>
    </sheetView>
  </sheetViews>
  <sheetFormatPr baseColWidth="10" defaultRowHeight="14.4" x14ac:dyDescent="0.3"/>
  <cols>
    <col min="1" max="1" width="15.44140625" bestFit="1" customWidth="1"/>
    <col min="2" max="2" width="14.5546875" bestFit="1" customWidth="1"/>
    <col min="3" max="3" width="11.6640625" bestFit="1" customWidth="1"/>
    <col min="4" max="4" width="14" bestFit="1" customWidth="1"/>
    <col min="5" max="5" width="50.21875" bestFit="1" customWidth="1"/>
    <col min="6" max="6" width="12.33203125" bestFit="1" customWidth="1"/>
    <col min="7" max="8" width="11.6640625" bestFit="1" customWidth="1"/>
    <col min="11" max="11" width="3.21875" customWidth="1"/>
    <col min="12" max="12" width="35.33203125" bestFit="1" customWidth="1"/>
  </cols>
  <sheetData>
    <row r="1" spans="1:12" x14ac:dyDescent="0.3">
      <c r="B1" s="1" t="s">
        <v>0</v>
      </c>
      <c r="C1" s="1"/>
      <c r="D1" s="1"/>
      <c r="E1" s="1"/>
      <c r="F1" s="1"/>
    </row>
    <row r="3" spans="1:12" ht="21" x14ac:dyDescent="0.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6" x14ac:dyDescent="0.3">
      <c r="A4" s="66" t="s">
        <v>2</v>
      </c>
      <c r="B4" s="67" t="s">
        <v>33</v>
      </c>
      <c r="C4" s="68" t="s">
        <v>3</v>
      </c>
      <c r="D4" s="67" t="s">
        <v>4</v>
      </c>
      <c r="E4" s="69" t="s">
        <v>5</v>
      </c>
      <c r="F4" s="70" t="s">
        <v>6</v>
      </c>
      <c r="G4" s="67" t="s">
        <v>7</v>
      </c>
      <c r="H4" s="71" t="s">
        <v>8</v>
      </c>
      <c r="I4" s="72" t="s">
        <v>9</v>
      </c>
      <c r="J4" s="73" t="s">
        <v>10</v>
      </c>
      <c r="K4" s="67"/>
      <c r="L4" s="67" t="s">
        <v>11</v>
      </c>
    </row>
    <row r="5" spans="1:12" ht="14.4" customHeight="1" x14ac:dyDescent="0.3">
      <c r="A5" s="2" t="s">
        <v>12</v>
      </c>
      <c r="B5" s="6" t="s">
        <v>34</v>
      </c>
      <c r="C5" s="21">
        <v>13008</v>
      </c>
      <c r="D5" s="22">
        <v>0.1</v>
      </c>
      <c r="E5" s="23" t="s">
        <v>13</v>
      </c>
      <c r="F5" s="24">
        <v>1950000</v>
      </c>
      <c r="G5" s="7">
        <v>0.12</v>
      </c>
      <c r="H5" s="8">
        <f t="shared" ref="H5:H11" si="0">F5*G5</f>
        <v>234000</v>
      </c>
      <c r="I5" s="9" t="s">
        <v>14</v>
      </c>
      <c r="J5" s="10" t="s">
        <v>15</v>
      </c>
      <c r="K5" s="11"/>
      <c r="L5" s="11"/>
    </row>
    <row r="6" spans="1:12" ht="14.4" customHeight="1" x14ac:dyDescent="0.3">
      <c r="A6" s="3"/>
      <c r="B6" s="6" t="s">
        <v>34</v>
      </c>
      <c r="C6" s="21">
        <v>13009</v>
      </c>
      <c r="D6" s="22">
        <v>0.1</v>
      </c>
      <c r="E6" s="23" t="s">
        <v>16</v>
      </c>
      <c r="F6" s="24">
        <v>1300000</v>
      </c>
      <c r="G6" s="7">
        <v>7.0000000000000007E-2</v>
      </c>
      <c r="H6" s="8">
        <f t="shared" si="0"/>
        <v>91000.000000000015</v>
      </c>
      <c r="I6" s="9" t="s">
        <v>17</v>
      </c>
      <c r="J6" s="10" t="s">
        <v>15</v>
      </c>
      <c r="K6" s="11"/>
      <c r="L6" s="11"/>
    </row>
    <row r="7" spans="1:12" ht="14.4" customHeight="1" x14ac:dyDescent="0.3">
      <c r="A7" s="3"/>
      <c r="B7" s="6" t="s">
        <v>34</v>
      </c>
      <c r="C7" s="21">
        <v>13004</v>
      </c>
      <c r="D7" s="25">
        <v>0.1</v>
      </c>
      <c r="E7" s="12" t="s">
        <v>18</v>
      </c>
      <c r="F7" s="24">
        <v>1200000</v>
      </c>
      <c r="G7" s="7">
        <v>7.0000000000000007E-2</v>
      </c>
      <c r="H7" s="8">
        <f t="shared" si="0"/>
        <v>84000.000000000015</v>
      </c>
      <c r="I7" s="9" t="s">
        <v>19</v>
      </c>
      <c r="J7" s="10" t="s">
        <v>15</v>
      </c>
      <c r="K7" s="11"/>
      <c r="L7" s="11"/>
    </row>
    <row r="8" spans="1:12" ht="14.4" customHeight="1" x14ac:dyDescent="0.3">
      <c r="A8" s="3"/>
      <c r="B8" s="6" t="s">
        <v>34</v>
      </c>
      <c r="C8" s="26">
        <v>12973</v>
      </c>
      <c r="D8" s="27">
        <v>0.1</v>
      </c>
      <c r="E8" s="13" t="s">
        <v>20</v>
      </c>
      <c r="F8" s="28">
        <v>1650000</v>
      </c>
      <c r="G8" s="14">
        <v>0.12</v>
      </c>
      <c r="H8" s="15">
        <f t="shared" si="0"/>
        <v>198000</v>
      </c>
      <c r="I8" s="29" t="s">
        <v>14</v>
      </c>
      <c r="J8" s="30" t="s">
        <v>21</v>
      </c>
      <c r="K8" s="16"/>
      <c r="L8" s="16"/>
    </row>
    <row r="9" spans="1:12" ht="14.4" customHeight="1" x14ac:dyDescent="0.3">
      <c r="A9" s="3"/>
      <c r="B9" s="6" t="s">
        <v>34</v>
      </c>
      <c r="C9" s="31">
        <v>13062</v>
      </c>
      <c r="D9" s="27">
        <v>0.1</v>
      </c>
      <c r="E9" s="13" t="s">
        <v>22</v>
      </c>
      <c r="F9" s="32">
        <v>1000000</v>
      </c>
      <c r="G9" s="17">
        <v>7.0000000000000007E-2</v>
      </c>
      <c r="H9" s="18">
        <f t="shared" si="0"/>
        <v>70000</v>
      </c>
      <c r="I9" s="33" t="s">
        <v>23</v>
      </c>
      <c r="J9" s="34" t="s">
        <v>21</v>
      </c>
      <c r="K9" s="11"/>
      <c r="L9" s="11"/>
    </row>
    <row r="10" spans="1:12" ht="14.4" customHeight="1" x14ac:dyDescent="0.3">
      <c r="A10" s="3"/>
      <c r="B10" s="6" t="s">
        <v>34</v>
      </c>
      <c r="C10" s="26">
        <v>13101</v>
      </c>
      <c r="D10" s="27">
        <v>0.1</v>
      </c>
      <c r="E10" s="13" t="s">
        <v>24</v>
      </c>
      <c r="F10" s="32">
        <v>1400000</v>
      </c>
      <c r="G10" s="17">
        <v>0.12</v>
      </c>
      <c r="H10" s="18">
        <f t="shared" si="0"/>
        <v>168000</v>
      </c>
      <c r="I10" s="35" t="s">
        <v>14</v>
      </c>
      <c r="J10" s="36" t="s">
        <v>21</v>
      </c>
      <c r="K10" s="37"/>
      <c r="L10" s="38"/>
    </row>
    <row r="11" spans="1:12" ht="14.4" customHeight="1" x14ac:dyDescent="0.3">
      <c r="A11" s="3"/>
      <c r="B11" s="6" t="s">
        <v>34</v>
      </c>
      <c r="C11" s="31">
        <v>13123</v>
      </c>
      <c r="D11" s="27">
        <v>0.1</v>
      </c>
      <c r="E11" s="13" t="s">
        <v>25</v>
      </c>
      <c r="F11" s="32">
        <v>1350000</v>
      </c>
      <c r="G11" s="17">
        <v>0.12</v>
      </c>
      <c r="H11" s="18">
        <f t="shared" si="0"/>
        <v>162000</v>
      </c>
      <c r="I11" s="33" t="s">
        <v>14</v>
      </c>
      <c r="J11" s="34" t="s">
        <v>21</v>
      </c>
      <c r="K11" s="39"/>
      <c r="L11" s="40"/>
    </row>
    <row r="12" spans="1:12" ht="26.4" customHeight="1" x14ac:dyDescent="0.3">
      <c r="A12" s="3"/>
      <c r="B12" s="6" t="s">
        <v>34</v>
      </c>
      <c r="C12" s="41" t="s">
        <v>26</v>
      </c>
      <c r="D12" s="42"/>
      <c r="E12" s="19" t="s">
        <v>27</v>
      </c>
      <c r="F12" s="32"/>
      <c r="G12" s="43"/>
      <c r="H12" s="44"/>
      <c r="I12" s="33"/>
      <c r="J12" s="34" t="s">
        <v>21</v>
      </c>
      <c r="K12" s="20"/>
      <c r="L12" s="20" t="s">
        <v>32</v>
      </c>
    </row>
    <row r="13" spans="1:12" ht="14.4" customHeight="1" x14ac:dyDescent="0.3">
      <c r="A13" s="3"/>
      <c r="B13" s="6" t="s">
        <v>34</v>
      </c>
      <c r="C13" s="41" t="s">
        <v>28</v>
      </c>
      <c r="D13" s="42"/>
      <c r="E13" s="19" t="s">
        <v>29</v>
      </c>
      <c r="F13" s="32"/>
      <c r="G13" s="45"/>
      <c r="H13" s="46"/>
      <c r="I13" s="33"/>
      <c r="J13" s="34" t="s">
        <v>21</v>
      </c>
      <c r="K13" s="20"/>
      <c r="L13" s="20"/>
    </row>
    <row r="14" spans="1:12" ht="14.4" customHeight="1" x14ac:dyDescent="0.3">
      <c r="A14" s="3"/>
      <c r="B14" s="47"/>
      <c r="C14" s="48"/>
      <c r="D14" s="49"/>
      <c r="E14" s="50" t="s">
        <v>30</v>
      </c>
      <c r="F14" s="51">
        <f>SUM(F5:F13)</f>
        <v>9850000</v>
      </c>
      <c r="G14" s="52"/>
      <c r="H14" s="53">
        <f>SUM(H5:H13)</f>
        <v>1007000</v>
      </c>
      <c r="I14" s="54"/>
      <c r="J14" s="55"/>
      <c r="K14" s="49"/>
      <c r="L14" s="56"/>
    </row>
    <row r="15" spans="1:12" ht="14.4" customHeight="1" x14ac:dyDescent="0.3">
      <c r="A15" s="4"/>
      <c r="B15" s="47"/>
      <c r="C15" s="57"/>
      <c r="D15" s="58"/>
      <c r="E15" s="59" t="s">
        <v>31</v>
      </c>
      <c r="F15" s="60">
        <f>H14+R14</f>
        <v>1007000</v>
      </c>
      <c r="G15" s="58"/>
      <c r="H15" s="61"/>
      <c r="I15" s="62"/>
      <c r="J15" s="63"/>
      <c r="K15" s="64"/>
      <c r="L15" s="65"/>
    </row>
  </sheetData>
  <mergeCells count="3">
    <mergeCell ref="B1:F1"/>
    <mergeCell ref="A5:A15"/>
    <mergeCell ref="A3:L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2022-10-19T15:55:09Z</dcterms:created>
  <dcterms:modified xsi:type="dcterms:W3CDTF">2022-10-19T16:34:45Z</dcterms:modified>
</cp:coreProperties>
</file>