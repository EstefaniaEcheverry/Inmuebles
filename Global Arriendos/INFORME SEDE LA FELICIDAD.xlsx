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2621" documentId="11_9248B46DC1CBB2E3ED7FF6F9903E8C1851038383" xr6:coauthVersionLast="47" xr6:coauthVersionMax="47" xr10:uidLastSave="{AF09884E-423A-445A-999C-0BBB16E2A9D4}"/>
  <bookViews>
    <workbookView xWindow="240" yWindow="105" windowWidth="14805" windowHeight="8010" activeTab="1" xr2:uid="{00000000-000D-0000-FFFF-FFFF00000000}"/>
  </bookViews>
  <sheets>
    <sheet name="EXTERNOS" sheetId="4" r:id="rId1"/>
    <sheet name="INTERNOS" sheetId="2" r:id="rId2"/>
    <sheet name="CAPTACIONES" sheetId="3" r:id="rId3"/>
    <sheet name="OTRO SI - % ADMON - DURACION" sheetId="1" r:id="rId4"/>
    <sheet name="Hoja1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7" i="4" l="1"/>
  <c r="F156" i="4"/>
  <c r="F174" i="4"/>
  <c r="E179" i="4"/>
  <c r="E237" i="4"/>
  <c r="H85" i="2"/>
  <c r="H86" i="2"/>
  <c r="H87" i="2"/>
  <c r="H88" i="2"/>
  <c r="H89" i="2"/>
  <c r="H90" i="2"/>
  <c r="H91" i="2"/>
  <c r="H92" i="2"/>
  <c r="H84" i="2"/>
  <c r="H99" i="2" s="1"/>
  <c r="F98" i="2"/>
  <c r="F105" i="2"/>
  <c r="E183" i="4"/>
  <c r="P231" i="4"/>
  <c r="F231" i="4"/>
  <c r="P227" i="4"/>
  <c r="P226" i="4"/>
  <c r="H221" i="4"/>
  <c r="P220" i="4"/>
  <c r="F220" i="4"/>
  <c r="P219" i="4"/>
  <c r="H210" i="4"/>
  <c r="P209" i="4"/>
  <c r="F209" i="4"/>
  <c r="P208" i="4"/>
  <c r="P200" i="4"/>
  <c r="F200" i="4"/>
  <c r="H193" i="4"/>
  <c r="F113" i="4"/>
  <c r="F102" i="4"/>
  <c r="H145" i="4"/>
  <c r="H141" i="4"/>
  <c r="H142" i="4"/>
  <c r="H143" i="4"/>
  <c r="H144" i="4"/>
  <c r="H195" i="4"/>
  <c r="H201" i="4" s="1"/>
  <c r="H140" i="4"/>
  <c r="P163" i="4"/>
  <c r="F163" i="4"/>
  <c r="H61" i="2"/>
  <c r="H62" i="2"/>
  <c r="H63" i="2"/>
  <c r="H60" i="2"/>
  <c r="H69" i="2" s="1"/>
  <c r="F76" i="2"/>
  <c r="F68" i="2"/>
  <c r="P155" i="4"/>
  <c r="E131" i="4"/>
  <c r="E132" i="4"/>
  <c r="H109" i="4"/>
  <c r="H108" i="4"/>
  <c r="H98" i="4"/>
  <c r="H97" i="4"/>
  <c r="P174" i="4"/>
  <c r="P170" i="4"/>
  <c r="P169" i="4"/>
  <c r="H157" i="4"/>
  <c r="P156" i="4"/>
  <c r="H148" i="4"/>
  <c r="P147" i="4"/>
  <c r="E127" i="4"/>
  <c r="F67" i="4"/>
  <c r="H45" i="2"/>
  <c r="H46" i="2"/>
  <c r="H47" i="2"/>
  <c r="H44" i="2"/>
  <c r="I53" i="2" s="1"/>
  <c r="F52" i="2"/>
  <c r="F39" i="2"/>
  <c r="E88" i="4"/>
  <c r="E89" i="4"/>
  <c r="F52" i="4"/>
  <c r="P122" i="4"/>
  <c r="F122" i="4"/>
  <c r="P121" i="4"/>
  <c r="P120" i="4"/>
  <c r="P119" i="4"/>
  <c r="P108" i="4"/>
  <c r="P114" i="4" s="1"/>
  <c r="H114" i="4"/>
  <c r="H115" i="4" s="1"/>
  <c r="H103" i="4"/>
  <c r="E85" i="4"/>
  <c r="H48" i="4"/>
  <c r="H46" i="4"/>
  <c r="H47" i="4"/>
  <c r="H45" i="4"/>
  <c r="H59" i="4"/>
  <c r="H60" i="4"/>
  <c r="H58" i="4"/>
  <c r="H68" i="4" s="1"/>
  <c r="H69" i="4" s="1"/>
  <c r="F11" i="4"/>
  <c r="H9" i="4"/>
  <c r="F23" i="2"/>
  <c r="E38" i="4"/>
  <c r="E35" i="4"/>
  <c r="P80" i="4"/>
  <c r="F80" i="4"/>
  <c r="H80" i="4" s="1"/>
  <c r="P79" i="4"/>
  <c r="H79" i="4"/>
  <c r="P78" i="4"/>
  <c r="H78" i="4"/>
  <c r="P77" i="4"/>
  <c r="H77" i="4"/>
  <c r="P76" i="4"/>
  <c r="H76" i="4"/>
  <c r="P75" i="4"/>
  <c r="H75" i="4"/>
  <c r="P74" i="4"/>
  <c r="P73" i="4"/>
  <c r="P67" i="4"/>
  <c r="P66" i="4"/>
  <c r="P65" i="4"/>
  <c r="P58" i="4"/>
  <c r="P52" i="4"/>
  <c r="P51" i="4"/>
  <c r="P47" i="4"/>
  <c r="H29" i="4"/>
  <c r="P29" i="4"/>
  <c r="H28" i="4"/>
  <c r="P28" i="4"/>
  <c r="F10" i="2"/>
  <c r="H8" i="4"/>
  <c r="H30" i="4"/>
  <c r="P30" i="4"/>
  <c r="H17" i="4"/>
  <c r="P17" i="4"/>
  <c r="H18" i="4"/>
  <c r="P18" i="4"/>
  <c r="H19" i="4"/>
  <c r="P19" i="4"/>
  <c r="H20" i="4"/>
  <c r="P20" i="4"/>
  <c r="H21" i="4"/>
  <c r="P21" i="4"/>
  <c r="P11" i="4"/>
  <c r="P10" i="4"/>
  <c r="P7" i="4"/>
  <c r="H10" i="4"/>
  <c r="H11" i="4"/>
  <c r="H7" i="4"/>
  <c r="H53" i="4" l="1"/>
  <c r="H5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tc={8DFB572D-0242-44DF-8475-0CE742C46E91}</author>
    <author>tc={DD20B977-F982-4659-943D-7C06B39AB36C}</author>
  </authors>
  <commentList>
    <comment ref="H158" authorId="0" shapeId="0" xr:uid="{8DFB572D-0242-44DF-8475-0CE742C46E91}">
      <text>
        <t>[Threaded comment]
Your version of Excel allows you to read this threaded comment; however, any edits to it will get removed if the file is opened in a newer version of Excel. Learn more: https://go.microsoft.com/fwlink/?linkid=870924
Comment:
    @Sol Gomez Betancur Asesor nuevo, garantizado de comision de los dos primeros meses (Noviembre y Diciembre)</t>
      </text>
    </comment>
    <comment ref="H165" authorId="1" shapeId="0" xr:uid="{DD20B977-F982-4659-943D-7C06B39AB36C}">
      <text>
        <t>[Threaded comment]
Your version of Excel allows you to read this threaded comment; however, any edits to it will get removed if the file is opened in a newer version of Excel. Learn more: https://go.microsoft.com/fwlink/?linkid=870924
Comment:
    @Sol Gomez Betancur Asesor nuevo, garantizado de comision de los dos primeros meses (Noviembre y Diciembre)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tc={22871040-CDE8-457C-B5E2-F548D7886654}</author>
    <author>tc={B95C85DB-294F-477E-918B-6C7DC5867688}</author>
  </authors>
  <commentList>
    <comment ref="I40" authorId="0" shapeId="0" xr:uid="{22871040-CDE8-457C-B5E2-F548D78866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SUPERAN LAS COMSIONES LOS 300.000 PROMETIDOS DUARNTE LOS DOS PRIMEROS MESES
</t>
      </text>
    </comment>
    <comment ref="I106" authorId="1" shapeId="0" xr:uid="{B95C85DB-294F-477E-918B-6C7DC5867688}">
      <text>
        <t>[Threaded comment]
Your version of Excel allows you to read this threaded comment; however, any edits to it will get removed if the file is opened in a newer version of Excel. Learn more: https://go.microsoft.com/fwlink/?linkid=870924
Comment:
    @Sol Gomez Betancur Asesor nuevo, garantizado de comision de los dos primeros meses (Noviembre y Diciembre)</t>
      </text>
    </comment>
  </commentList>
</comments>
</file>

<file path=xl/sharedStrings.xml><?xml version="1.0" encoding="utf-8"?>
<sst xmlns="http://schemas.openxmlformats.org/spreadsheetml/2006/main" count="1066" uniqueCount="341">
  <si>
    <t>AGOSTO</t>
  </si>
  <si>
    <t>ASESOR JUNIOR MICHAEL ALEMAN</t>
  </si>
  <si>
    <t>POR CONSIGNACION</t>
  </si>
  <si>
    <t>CONSIGNACIONES</t>
  </si>
  <si>
    <t>CONTRATO</t>
  </si>
  <si>
    <t>% PROPIETARIO</t>
  </si>
  <si>
    <t>INMUEBLE</t>
  </si>
  <si>
    <t>CANON</t>
  </si>
  <si>
    <t>%</t>
  </si>
  <si>
    <t>COMISION</t>
  </si>
  <si>
    <t>ASESOR 2</t>
  </si>
  <si>
    <t>EJECUTIVA</t>
  </si>
  <si>
    <t>OBSERVACIONES</t>
  </si>
  <si>
    <t>23+2</t>
  </si>
  <si>
    <t>PORTAL DE SAN ANGEL 403 - 1.200.000</t>
  </si>
  <si>
    <t>JULIETH</t>
  </si>
  <si>
    <t>TORRES DE VILLA ALSACIA 602 - 1.800.000</t>
  </si>
  <si>
    <t>MICHAEL</t>
  </si>
  <si>
    <t>IZOLA 1210 - 1.800.000</t>
  </si>
  <si>
    <t>MARLON</t>
  </si>
  <si>
    <t>APLAZADO</t>
  </si>
  <si>
    <t>MODELIA IMPERIAL 103 - 1.400.000</t>
  </si>
  <si>
    <t>DESISTE, ENCONTRO APTO DIRECTO</t>
  </si>
  <si>
    <t>TOTAL ARRIENDOS</t>
  </si>
  <si>
    <t xml:space="preserve">SUBTOTAL COMISIONES </t>
  </si>
  <si>
    <t>SUBTOTAL COMISIONES</t>
  </si>
  <si>
    <t xml:space="preserve">TOTAL COMISIONES A PAGAR </t>
  </si>
  <si>
    <t>ASESOR JUNIOR JUAN  CARLOS MEDINA</t>
  </si>
  <si>
    <t>8+1</t>
  </si>
  <si>
    <t>DESISTE</t>
  </si>
  <si>
    <t>NO TIENE DEUDORES</t>
  </si>
  <si>
    <t>NEGADO</t>
  </si>
  <si>
    <t>LA CAMPIÑA 509 - 1.300.000</t>
  </si>
  <si>
    <t>TATIANA</t>
  </si>
  <si>
    <t>NEGADOS</t>
  </si>
  <si>
    <t>CASTILLA URBANA 1910 - 1.100.000</t>
  </si>
  <si>
    <t>APROBADO/DESISTE</t>
  </si>
  <si>
    <t>ZAJARI 2007 - 1.700.000</t>
  </si>
  <si>
    <t>SE QUEDA CON OTRA INMOBILIARIA</t>
  </si>
  <si>
    <t>CEREZOS NUEVA CASTILLA CASA 76 - 950.000</t>
  </si>
  <si>
    <t>FORMADOR MARLON RODRIGUEZ</t>
  </si>
  <si>
    <t>APROBADO</t>
  </si>
  <si>
    <t>ALANDRA CASA 17  - 1.800.000</t>
  </si>
  <si>
    <t>PEND APTO , paran bsuqueda</t>
  </si>
  <si>
    <t>PEND - 1.700.000 CAMELO</t>
  </si>
  <si>
    <t>PEND APTO, NO VUELVE A CONTESTAR</t>
  </si>
  <si>
    <t>ENTREGADOS</t>
  </si>
  <si>
    <t>EN FIRMAS</t>
  </si>
  <si>
    <t>EN ESTUDIO</t>
  </si>
  <si>
    <t>DESISTIDOS</t>
  </si>
  <si>
    <t>SEPTIEMBRE</t>
  </si>
  <si>
    <t>TORRES DE VILLA ALSACIA 905 - 1.990.000</t>
  </si>
  <si>
    <t>LA CUMBRE 804 - 3.100.000</t>
  </si>
  <si>
    <t>BOSQUES DE ALSACIA 308 - 2.100.000</t>
  </si>
  <si>
    <t>CEREZOS CASTILLA CS 76 - 900.000</t>
  </si>
  <si>
    <t>IZOLA 710 - 1.800.000</t>
  </si>
  <si>
    <t>DESISTE ENCONTRO DIRECTO</t>
  </si>
  <si>
    <t>ZAJARI 1906  - 1.700.000</t>
  </si>
  <si>
    <t>DESISTE encuentra directo</t>
  </si>
  <si>
    <t>EL JARDIN 202 - 2.840.000</t>
  </si>
  <si>
    <t>SE VA CON OTRA INMOBILIARIA NO SE LOGRO UBICAR</t>
  </si>
  <si>
    <t>LA SABANA  1102 2.800.000</t>
  </si>
  <si>
    <t>JUAN</t>
  </si>
  <si>
    <t>IZOLA 1009  - 1.800.000</t>
  </si>
  <si>
    <t>PORTADA</t>
  </si>
  <si>
    <t>ALAMEDAS DE MODELIA 101 - 1.700.000</t>
  </si>
  <si>
    <t>DESISTE SE VA DE LA CIUDAD</t>
  </si>
  <si>
    <t>CASA CARIMAGUA 3.000.000</t>
  </si>
  <si>
    <t>PEND - 1.500.000</t>
  </si>
  <si>
    <t>LESLY</t>
  </si>
  <si>
    <t>APLAZADA</t>
  </si>
  <si>
    <t>VILMORAL 1.400.000</t>
  </si>
  <si>
    <t>ERIKA, buscar apto e ingresar deudor</t>
  </si>
  <si>
    <t>CIUDAD FAVIDI 508 - 980.000</t>
  </si>
  <si>
    <t>CLIENTE XIMENA, ENCONTRO DIRECTO</t>
  </si>
  <si>
    <t>BOSQUES DEL FERROL 304 - 1.550.000</t>
  </si>
  <si>
    <t>ENCONTRO DIRECTO</t>
  </si>
  <si>
    <t>IZOLA 710  - 1.800.000 SEGUNA OPCION</t>
  </si>
  <si>
    <t xml:space="preserve">DESISTE </t>
  </si>
  <si>
    <t>APROBADO PEND UBICAR</t>
  </si>
  <si>
    <t>OCTUBRE</t>
  </si>
  <si>
    <t>IZOLA 117 - 2.000.000</t>
  </si>
  <si>
    <t>IZOLA 1501 - 2.000.000</t>
  </si>
  <si>
    <t>JUAN CARLOS</t>
  </si>
  <si>
    <t>ALCAPARROS DE SAUZALITO AP 502- 1.400.000</t>
  </si>
  <si>
    <t>APROBADO, PROP DESISTE</t>
  </si>
  <si>
    <t>ZAJARI 715  - 1.700.000</t>
  </si>
  <si>
    <t>CASA CABRERA 17 - 2.800.000</t>
  </si>
  <si>
    <t>ZAJARI 709  - 1.700.000</t>
  </si>
  <si>
    <t>IZOLA 1709 - 2.100.000</t>
  </si>
  <si>
    <t>SE FUERON DIRECTO</t>
  </si>
  <si>
    <t>ALCAZAR DE MODELIA CASA 81 - 1.800.000</t>
  </si>
  <si>
    <t>DESISTE NO TIENE CODEUDOR</t>
  </si>
  <si>
    <t>ASESOR JUNIOR HENRY ESPITIA</t>
  </si>
  <si>
    <t>EL LAGO 115 - 1.373.000</t>
  </si>
  <si>
    <t>EL LAGO 421- $1.400.000</t>
  </si>
  <si>
    <t>TOTAL</t>
  </si>
  <si>
    <t>NOVIEMBRE</t>
  </si>
  <si>
    <t>ZAJARI 2215 - 1.700,000</t>
  </si>
  <si>
    <t>GRATIS 3 MESES ADMON</t>
  </si>
  <si>
    <t>EL JARDIN 302  - 2.500.000</t>
  </si>
  <si>
    <t>IZOLA 1709 - 2.000.000</t>
  </si>
  <si>
    <t>ZAJARI 801 - 1.500.000</t>
  </si>
  <si>
    <t>SEBASTIAN</t>
  </si>
  <si>
    <t>ZAJARI 2007 - 1.600.000</t>
  </si>
  <si>
    <t>ZAJARI 2015- 1.700.000</t>
  </si>
  <si>
    <t xml:space="preserve">APROBADO </t>
  </si>
  <si>
    <t>BOSQUES DE MODELIA  - 1.600.000</t>
  </si>
  <si>
    <t>PEND UBICAR, SE VA DIRECTO</t>
  </si>
  <si>
    <t>ASESOR JUNIOR ANDRES MORENO</t>
  </si>
  <si>
    <t>EL LAGO 421 - 1.400.000</t>
  </si>
  <si>
    <t>Torres de Zuame Pinares (Funza), 850.000</t>
  </si>
  <si>
    <t>APROBADA</t>
  </si>
  <si>
    <t>IZOLA 1501 - 2.150.000</t>
  </si>
  <si>
    <t>SE VA CON OTRA INMOBILIARIA</t>
  </si>
  <si>
    <t>ASESOR JUNIOR DIEGO</t>
  </si>
  <si>
    <t>TEUSAQUILLO CALLE 39 29 05 102 - 1.300.000</t>
  </si>
  <si>
    <t>PRADOS COUNTRY 201 - 3.450.000</t>
  </si>
  <si>
    <t>IZOLA 1811 - 1.900.000</t>
  </si>
  <si>
    <t>PEND UBICAR INQ</t>
  </si>
  <si>
    <t>TEUSAQUILLO 202 - 1.300.000</t>
  </si>
  <si>
    <t xml:space="preserve">PROP FIRMO, INQ DESITE </t>
  </si>
  <si>
    <t>SENDERO REAL DE HAYUELOS 302 - 1.850.000</t>
  </si>
  <si>
    <t>DICIEMBRE</t>
  </si>
  <si>
    <t>ZAJARI 2006 - 1.500.000</t>
  </si>
  <si>
    <t>DICIEMBRE CAMBIAR DEUDOR</t>
  </si>
  <si>
    <t>ZAJARI 208 - 1.500.000</t>
  </si>
  <si>
    <t>ZAJARI 1109 - 1.650.0000</t>
  </si>
  <si>
    <t>Av calle 72 65b 72 SAN FERNANDO- 850.000</t>
  </si>
  <si>
    <t>ASESORA JUNIOR TATIANA ESPINOSA</t>
  </si>
  <si>
    <t>FACTURACION</t>
  </si>
  <si>
    <t>TOTAL  ARRIENDOS</t>
  </si>
  <si>
    <t>TOTAL COMISIONES A PAGAR</t>
  </si>
  <si>
    <t>ASESORA JUNIOR JULIET PALACIOS</t>
  </si>
  <si>
    <t>ASESORA JUNIOR SEBASTIAN MUÑOZ CERON</t>
  </si>
  <si>
    <t>JULIO</t>
  </si>
  <si>
    <t>MICHAEL ALEMAN</t>
  </si>
  <si>
    <t>N°</t>
  </si>
  <si>
    <t>UNIDAD</t>
  </si>
  <si>
    <t>CERROS 702</t>
  </si>
  <si>
    <t xml:space="preserve">PORTAL DE SAN ANGEL </t>
  </si>
  <si>
    <t>ZAJARI 2015</t>
  </si>
  <si>
    <t>LA CUMBRE 304</t>
  </si>
  <si>
    <t>ZAJARI 708</t>
  </si>
  <si>
    <t xml:space="preserve">CAIROS </t>
  </si>
  <si>
    <t>ZAJARI 1314</t>
  </si>
  <si>
    <t>ALANDRA 201</t>
  </si>
  <si>
    <t>EL BOSQUE 1004</t>
  </si>
  <si>
    <t xml:space="preserve">QUINTAS MODELIA </t>
  </si>
  <si>
    <t>LA MONTAÑA 736</t>
  </si>
  <si>
    <t>PLAZA CIBELES 403</t>
  </si>
  <si>
    <t>ADARVEZ SALITRE 301</t>
  </si>
  <si>
    <t>QUINTAS DE CASTILLA CASA 69</t>
  </si>
  <si>
    <t>LA MONTAÑA 707</t>
  </si>
  <si>
    <t>MERIDIANO 13 LOCAL 418</t>
  </si>
  <si>
    <t>LA MONTAÑA 717</t>
  </si>
  <si>
    <t>IZOLA 117</t>
  </si>
  <si>
    <t>SALITRE PALAZA 601</t>
  </si>
  <si>
    <t>ZAJA 2007</t>
  </si>
  <si>
    <t>VILLA ALSACIA 602</t>
  </si>
  <si>
    <t>PORTAL DE MODELIA 403</t>
  </si>
  <si>
    <t>ABADI DE HAYUELOS 101</t>
  </si>
  <si>
    <t>VILLA ALSACIA 906</t>
  </si>
  <si>
    <t>JUAN MEDINA</t>
  </si>
  <si>
    <t>MALAGA CASTILLA PISO 2</t>
  </si>
  <si>
    <t>IZOLA 1210</t>
  </si>
  <si>
    <t>CASTILLA URBANO AP 16</t>
  </si>
  <si>
    <t>LA COLINA PISO 23</t>
  </si>
  <si>
    <t>MITICA 1106</t>
  </si>
  <si>
    <t>CASTILLA URBANO 1910</t>
  </si>
  <si>
    <t>MODELIA 103</t>
  </si>
  <si>
    <t>MITICA 1006</t>
  </si>
  <si>
    <t>CASTILLA URBANO 1209</t>
  </si>
  <si>
    <t>CASTILLA CENTRAL 1905</t>
  </si>
  <si>
    <t>IZOLA 515</t>
  </si>
  <si>
    <t>BOSUQES DE FERROL 304</t>
  </si>
  <si>
    <t>LATITUD 1</t>
  </si>
  <si>
    <t>IZOLA 1009</t>
  </si>
  <si>
    <t>LA CAMPIÑA 509</t>
  </si>
  <si>
    <t>MODELIA IMPERIAL 2</t>
  </si>
  <si>
    <t>JARDIN DE ALSACIA 189</t>
  </si>
  <si>
    <t>EL REMANSO 203</t>
  </si>
  <si>
    <t>CANTABRIA 103</t>
  </si>
  <si>
    <t>SALITRE CLUB 110</t>
  </si>
  <si>
    <t>GRAN RESERVA DE MAYORCA 4</t>
  </si>
  <si>
    <t>GRAN RESERVA MAYOR 1505</t>
  </si>
  <si>
    <t>GRAN RESERVA DE MAYORCA 203</t>
  </si>
  <si>
    <t>CIUDAD FAVIDI 508</t>
  </si>
  <si>
    <t>GRAN RESERVA TOSCANA 1</t>
  </si>
  <si>
    <t>MIRADOR DE CASTILLA 5</t>
  </si>
  <si>
    <t>CASTILLA RESERVADO 108</t>
  </si>
  <si>
    <t>CIUDAD ALSACIA 402</t>
  </si>
  <si>
    <t>TABAKU 1221</t>
  </si>
  <si>
    <t>CEREZOS CASTILLA CASA 76</t>
  </si>
  <si>
    <t>VIZCAYA CASTILLA AP 1</t>
  </si>
  <si>
    <t>NAVARRA CASTILLA 1002</t>
  </si>
  <si>
    <t>GRAN RESERVA MAYORCA 3</t>
  </si>
  <si>
    <t>TORRES ALSACIA 905</t>
  </si>
  <si>
    <t>MODELIA REAL 403</t>
  </si>
  <si>
    <t>BOSQUES ALSACIA 802</t>
  </si>
  <si>
    <t>ZAJARI 715</t>
  </si>
  <si>
    <t>EL JARDIN 202</t>
  </si>
  <si>
    <t>OBELISCO 201</t>
  </si>
  <si>
    <t>ZAJARI 1906</t>
  </si>
  <si>
    <t>VERNAZA PISO 1</t>
  </si>
  <si>
    <t>PARQUE CENTRAL 504</t>
  </si>
  <si>
    <t>LA SENDA 401</t>
  </si>
  <si>
    <t>SALAMANCA AP 6</t>
  </si>
  <si>
    <t>SANTA CECILIA 307</t>
  </si>
  <si>
    <t>BOSQUES ALSACIA 308</t>
  </si>
  <si>
    <t>LA SABANA 1102</t>
  </si>
  <si>
    <t>JARDIN DE ALSACIA CASA 210</t>
  </si>
  <si>
    <t>VILMORAL 220</t>
  </si>
  <si>
    <t>ALBA 604</t>
  </si>
  <si>
    <t>LA MONTAÑA 524</t>
  </si>
  <si>
    <t>PRIMERA DE MAYO AP 3</t>
  </si>
  <si>
    <t>IZOLA 710</t>
  </si>
  <si>
    <t>CEREZOS CASTILLA CASA 122</t>
  </si>
  <si>
    <t>VERNAZA PISO 2</t>
  </si>
  <si>
    <t>PORTON ALSACIA 604</t>
  </si>
  <si>
    <t>CABRERA CASA 33</t>
  </si>
  <si>
    <t>CEREZOS CASTILLA CASA 93</t>
  </si>
  <si>
    <t>VALEARES 203</t>
  </si>
  <si>
    <t>LAUREL 4064</t>
  </si>
  <si>
    <t>ZAJARI 509</t>
  </si>
  <si>
    <t>ORTENCIA 404</t>
  </si>
  <si>
    <t>LAS BRISAS 336</t>
  </si>
  <si>
    <t>LA CAM´PIÑA 212</t>
  </si>
  <si>
    <t>LA SABANA 2303</t>
  </si>
  <si>
    <t>LA SABANA 1105</t>
  </si>
  <si>
    <t>LA SABANA 1604</t>
  </si>
  <si>
    <t>ALACAZAR MODELIA CASA 81</t>
  </si>
  <si>
    <t>CABRERA CASA 17</t>
  </si>
  <si>
    <t>HENRY</t>
  </si>
  <si>
    <t>VIZCAYA 909</t>
  </si>
  <si>
    <t>SENDERO HAYUELOS 302</t>
  </si>
  <si>
    <t>JEREZ 504</t>
  </si>
  <si>
    <t>ALCAPARROS 502</t>
  </si>
  <si>
    <t>ZAJARI 709</t>
  </si>
  <si>
    <t>RIVERAS DE DUERO 303</t>
  </si>
  <si>
    <t>NAPOLES 501</t>
  </si>
  <si>
    <t>VOBADONGA 404</t>
  </si>
  <si>
    <t>SATIBARUM 902</t>
  </si>
  <si>
    <t>ED Q 307</t>
  </si>
  <si>
    <t>LA SIERRA 904</t>
  </si>
  <si>
    <t>CARRERA 39 BIS TV 29 05 102</t>
  </si>
  <si>
    <t>MIRADOR DEL JARDIN 403</t>
  </si>
  <si>
    <t>PRADOS SALITRES 804</t>
  </si>
  <si>
    <t>CARRERA 39 BIS TV 29 05 103</t>
  </si>
  <si>
    <t>VIZCAYA 903</t>
  </si>
  <si>
    <t>AITANA 1101</t>
  </si>
  <si>
    <t>CARRERA 39 BIS TV 29 05 104</t>
  </si>
  <si>
    <t>CLUB SOCIAL 1202</t>
  </si>
  <si>
    <t>PARQUES DE BARCELONA 912</t>
  </si>
  <si>
    <t>CARRERA 39 BIS TV 29 05 105</t>
  </si>
  <si>
    <t>BONAVISTA AP 20</t>
  </si>
  <si>
    <t>EL MANANTIAL 401</t>
  </si>
  <si>
    <t>CARRERA 39 BIS TV 29 05 106</t>
  </si>
  <si>
    <t>LA MOTAÑA 17</t>
  </si>
  <si>
    <t>LA MONTAÑA 718</t>
  </si>
  <si>
    <t>CARRERA 39 BIS TV 29 05 107</t>
  </si>
  <si>
    <t>ARAGON 911</t>
  </si>
  <si>
    <t>IZOLA 1501</t>
  </si>
  <si>
    <t>EL LAGO 115</t>
  </si>
  <si>
    <t>PARQUES DE CASTILLA AP 3</t>
  </si>
  <si>
    <t>PORTON DE ALSACIA 301</t>
  </si>
  <si>
    <t>BOSQUES MODELIA 403</t>
  </si>
  <si>
    <t>LANTA CASA 206</t>
  </si>
  <si>
    <t>ALLEGRO 405</t>
  </si>
  <si>
    <t>CPOUNTRY PARK 403</t>
  </si>
  <si>
    <t>PARQUES DE CASTILLA 601</t>
  </si>
  <si>
    <t>IZOLA 1705</t>
  </si>
  <si>
    <t>CR 19 85-38 AP 302</t>
  </si>
  <si>
    <t>PARQUES DE CASTILLA 501</t>
  </si>
  <si>
    <t>LA MONTANA 6502</t>
  </si>
  <si>
    <t>EL NOGAL 603</t>
  </si>
  <si>
    <t>GRAN RESERVA MAYORCA 6</t>
  </si>
  <si>
    <t>ZAJARI 2215</t>
  </si>
  <si>
    <t>PRADOS COUNTRY 201</t>
  </si>
  <si>
    <t>LA MOTAÑA 307</t>
  </si>
  <si>
    <t>EL LAGO 421</t>
  </si>
  <si>
    <t>MARSELLA 405</t>
  </si>
  <si>
    <t>RESERVAS FONTIBON 1807</t>
  </si>
  <si>
    <t>IZOLA 1811</t>
  </si>
  <si>
    <t>OSTAR 201</t>
  </si>
  <si>
    <t>MIRADOR FONTIBON 1702</t>
  </si>
  <si>
    <t>LA MONTAÑA 1126</t>
  </si>
  <si>
    <t>IMPERIAL 201</t>
  </si>
  <si>
    <t>FAVIDI 403</t>
  </si>
  <si>
    <t>CALLE 103 A 16 70 AP 201</t>
  </si>
  <si>
    <t>CALLE 22 110 19 AP 2</t>
  </si>
  <si>
    <t>NUEVA AMERICA 401</t>
  </si>
  <si>
    <t>FAVIDIA 403 MANZANA 3</t>
  </si>
  <si>
    <t>LAN CASTRIA 402</t>
  </si>
  <si>
    <t>RESERVA MAYORCA 905</t>
  </si>
  <si>
    <t>FANAN 401</t>
  </si>
  <si>
    <t>LA MONTAÑA 307</t>
  </si>
  <si>
    <t>JEHOVA 304</t>
  </si>
  <si>
    <t>MODELIA OCCIDENTAL 2</t>
  </si>
  <si>
    <t xml:space="preserve">CARRERA 99 18 40 </t>
  </si>
  <si>
    <t>CASTILLA CENTRAL 1810</t>
  </si>
  <si>
    <t>CARRERA 98 18 29</t>
  </si>
  <si>
    <t>EL ARROYO 604</t>
  </si>
  <si>
    <t>GREMES 302</t>
  </si>
  <si>
    <t>PARQUES CASTILLA 101</t>
  </si>
  <si>
    <t>CALLE 23D 80B 79</t>
  </si>
  <si>
    <t>CAMINOS DEL PARQUE 403</t>
  </si>
  <si>
    <t>PARQUES CASTILLA 103</t>
  </si>
  <si>
    <t>TORRES DE FANAN 501</t>
  </si>
  <si>
    <t>BALCONES SALITRE 503</t>
  </si>
  <si>
    <t>TORRES DE HAYUELOS 304</t>
  </si>
  <si>
    <t>LOUSIANA SALITRE 303</t>
  </si>
  <si>
    <t>ANDRES MORENO</t>
  </si>
  <si>
    <t>DIEGO</t>
  </si>
  <si>
    <t>CEREZOS 122</t>
  </si>
  <si>
    <t>SINTE 401</t>
  </si>
  <si>
    <t>AV CALLE 72 65E 72 AP 202</t>
  </si>
  <si>
    <t>IZOLA 1709</t>
  </si>
  <si>
    <t>TV 29 39B 48 AP</t>
  </si>
  <si>
    <t>LA CAMPIÑA 701</t>
  </si>
  <si>
    <t>CARRERA 19 86A 31 AP 201</t>
  </si>
  <si>
    <t>ALSACIA REAL CASA 12</t>
  </si>
  <si>
    <t>ZUAME 301</t>
  </si>
  <si>
    <t>DIANA 401</t>
  </si>
  <si>
    <t>ZAJARI 1204</t>
  </si>
  <si>
    <t>LA CAMPIÑA 102</t>
  </si>
  <si>
    <t>ALSACIA LA FLORA 205</t>
  </si>
  <si>
    <t>RIOJA ALSACIA 411</t>
  </si>
  <si>
    <t>LA CAPELLANIA 101</t>
  </si>
  <si>
    <t>RESERVA TOSCANA 204</t>
  </si>
  <si>
    <t>PARQUES CIUDADELA 303</t>
  </si>
  <si>
    <t>LA SABAN 204</t>
  </si>
  <si>
    <t>CARRERA 69B 37A 73 SUR</t>
  </si>
  <si>
    <t>ARAGON 119</t>
  </si>
  <si>
    <t>GERONA 1604</t>
  </si>
  <si>
    <t xml:space="preserve">LOS CERROS </t>
  </si>
  <si>
    <t>ZAJARI 801</t>
  </si>
  <si>
    <t>EL JARDIN 302</t>
  </si>
  <si>
    <t>ZAJARI 2006</t>
  </si>
  <si>
    <t>ZAJARI 208</t>
  </si>
  <si>
    <t>ZAJARI 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</si>
</sst>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_-;\-[$$-240A]\ * #,##0_-;_-[$$-240A]\ * &quot;-&quot;??_-;_-@_-"/>
  </numFmts>
  <fonts count="1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 Black"/>
    </font>
    <font>
      <b/>
      <sz val="26"/>
      <color theme="1"/>
      <name val="Arial Black"/>
    </font>
    <font>
      <sz val="10"/>
      <color rgb="FF000000"/>
      <name val="Calibri"/>
      <charset val="1"/>
    </font>
    <font>
      <sz val="26"/>
      <color theme="1"/>
      <name val="Arial Black"/>
    </font>
    <font>
      <sz val="10"/>
      <color theme="1"/>
      <name val="Arial Black"/>
    </font>
    <font>
      <sz val="26"/>
      <color rgb="FF000000"/>
      <name val="Arial Black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/>
    <xf numFmtId="0" fontId="1" fillId="0" borderId="5" xfId="0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164" fontId="0" fillId="0" borderId="2" xfId="0" applyNumberFormat="1" applyBorder="1" applyAlignment="1">
      <alignment horizontal="center"/>
    </xf>
    <xf numFmtId="0" fontId="9" fillId="0" borderId="1" xfId="0" applyFont="1" applyBorder="1"/>
    <xf numFmtId="0" fontId="0" fillId="9" borderId="1" xfId="0" applyFill="1" applyBorder="1"/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164" fontId="0" fillId="0" borderId="0" xfId="0" applyNumberFormat="1"/>
    <xf numFmtId="164" fontId="0" fillId="5" borderId="1" xfId="0" applyNumberFormat="1" applyFill="1" applyBorder="1"/>
    <xf numFmtId="164" fontId="0" fillId="7" borderId="1" xfId="0" applyNumberFormat="1" applyFill="1" applyBorder="1"/>
    <xf numFmtId="164" fontId="0" fillId="6" borderId="1" xfId="0" applyNumberFormat="1" applyFill="1" applyBorder="1"/>
    <xf numFmtId="164" fontId="0" fillId="10" borderId="1" xfId="0" applyNumberFormat="1" applyFill="1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/>
    <xf numFmtId="164" fontId="1" fillId="9" borderId="1" xfId="0" applyNumberFormat="1" applyFont="1" applyFill="1" applyBorder="1"/>
    <xf numFmtId="0" fontId="1" fillId="1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164" fontId="0" fillId="9" borderId="1" xfId="0" applyNumberFormat="1" applyFill="1" applyBorder="1"/>
    <xf numFmtId="16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1" fillId="0" borderId="8" xfId="0" applyNumberFormat="1" applyFont="1" applyBorder="1"/>
    <xf numFmtId="0" fontId="1" fillId="0" borderId="7" xfId="0" applyFont="1" applyBorder="1"/>
    <xf numFmtId="0" fontId="1" fillId="0" borderId="4" xfId="0" applyFont="1" applyBorder="1"/>
    <xf numFmtId="0" fontId="10" fillId="10" borderId="1" xfId="0" applyFont="1" applyFill="1" applyBorder="1"/>
    <xf numFmtId="164" fontId="0" fillId="5" borderId="7" xfId="0" applyNumberFormat="1" applyFill="1" applyBorder="1"/>
    <xf numFmtId="164" fontId="0" fillId="7" borderId="7" xfId="0" applyNumberFormat="1" applyFill="1" applyBorder="1"/>
    <xf numFmtId="164" fontId="0" fillId="6" borderId="7" xfId="0" applyNumberFormat="1" applyFill="1" applyBorder="1"/>
    <xf numFmtId="164" fontId="0" fillId="10" borderId="7" xfId="0" applyNumberFormat="1" applyFill="1" applyBorder="1"/>
    <xf numFmtId="9" fontId="1" fillId="0" borderId="1" xfId="0" applyNumberFormat="1" applyFont="1" applyBorder="1"/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wrapText="1"/>
    </xf>
    <xf numFmtId="9" fontId="0" fillId="9" borderId="1" xfId="0" applyNumberFormat="1" applyFill="1" applyBorder="1" applyAlignment="1">
      <alignment horizontal="center"/>
    </xf>
    <xf numFmtId="164" fontId="0" fillId="11" borderId="1" xfId="0" applyNumberFormat="1" applyFill="1" applyBorder="1"/>
    <xf numFmtId="9" fontId="1" fillId="9" borderId="1" xfId="0" applyNumberFormat="1" applyFont="1" applyFill="1" applyBorder="1"/>
    <xf numFmtId="0" fontId="1" fillId="9" borderId="5" xfId="0" applyFont="1" applyFill="1" applyBorder="1"/>
    <xf numFmtId="164" fontId="0" fillId="10" borderId="8" xfId="0" applyNumberFormat="1" applyFill="1" applyBorder="1"/>
    <xf numFmtId="164" fontId="0" fillId="0" borderId="1" xfId="0" applyNumberFormat="1" applyBorder="1"/>
    <xf numFmtId="0" fontId="1" fillId="7" borderId="1" xfId="0" applyFont="1" applyFill="1" applyBorder="1"/>
    <xf numFmtId="9" fontId="1" fillId="9" borderId="1" xfId="0" applyNumberFormat="1" applyFont="1" applyFill="1" applyBorder="1" applyAlignment="1">
      <alignment horizontal="center"/>
    </xf>
    <xf numFmtId="0" fontId="1" fillId="9" borderId="7" xfId="0" applyFont="1" applyFill="1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1" fillId="9" borderId="4" xfId="0" applyFont="1" applyFill="1" applyBorder="1"/>
    <xf numFmtId="164" fontId="1" fillId="9" borderId="4" xfId="0" applyNumberFormat="1" applyFont="1" applyFill="1" applyBorder="1"/>
    <xf numFmtId="0" fontId="1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/>
    <xf numFmtId="0" fontId="0" fillId="5" borderId="1" xfId="0" applyFill="1" applyBorder="1"/>
    <xf numFmtId="0" fontId="10" fillId="10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/>
    </xf>
    <xf numFmtId="164" fontId="1" fillId="12" borderId="2" xfId="0" applyNumberFormat="1" applyFont="1" applyFill="1" applyBorder="1"/>
    <xf numFmtId="0" fontId="5" fillId="0" borderId="0" xfId="0" applyFont="1"/>
    <xf numFmtId="0" fontId="5" fillId="0" borderId="1" xfId="0" applyFont="1" applyBorder="1"/>
    <xf numFmtId="0" fontId="1" fillId="9" borderId="2" xfId="0" applyFont="1" applyFill="1" applyBorder="1"/>
    <xf numFmtId="0" fontId="0" fillId="0" borderId="5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1" fillId="0" borderId="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0" borderId="2" xfId="0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l Gomez Betancur" id="{4CCDEFE0-AF36-4C5F-A98A-5ABC4BD67284}" userId="administracion@portadainmobiliaria.com" providerId="PeoplePicker"/>
  <person displayName="Administración Fontibón" id="{3678D4D6-1B56-4AC9-8AB2-526B778C344C}" userId="S::administracionfontibon@portadainmobiliaria.com::305325e2-7ed7-4def-a386-bc7ca4999758" providerId="AD"/>
</personList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58" dT="2022-11-28T23:26:58.76" personId="{3678D4D6-1B56-4AC9-8AB2-526B778C344C}" id="{8DFB572D-0242-44DF-8475-0CE742C46E91}">
    <text>@Sol Gomez Betancur Asesor nuevo, garantizado de comision de los dos primeros meses (Noviembre y Diciembre)</text>
    <mentions>
      <mention mentionpersonId="{4CCDEFE0-AF36-4C5F-A98A-5ABC4BD67284}" mentionId="{0ECA740E-13CE-4955-B53C-06A58301C8D6}" startIndex="0" length="19"/>
    </mentions>
  </threadedComment>
  <threadedComment ref="H165" dT="2022-11-28T23:26:58.76" personId="{3678D4D6-1B56-4AC9-8AB2-526B778C344C}" id="{DD20B977-F982-4659-943D-7C06B39AB36C}">
    <text>@Sol Gomez Betancur Asesor nuevo, garantizado de comision de los dos primeros meses (Noviembre y Diciembre)</text>
    <mentions>
      <mention mentionpersonId="{4CCDEFE0-AF36-4C5F-A98A-5ABC4BD67284}" mentionId="{51C4C27B-EA20-4F3E-98E3-8F7BFA9781A3}" startIndex="0" length="19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40" dT="2022-09-29T18:57:46.93" personId="{3678D4D6-1B56-4AC9-8AB2-526B778C344C}" id="{22871040-CDE8-457C-B5E2-F548D7886654}">
    <text xml:space="preserve">NO SUPERAN LAS COMSIONES LOS 300.000 PROMETIDOS DUARNTE LOS DOS PRIMEROS MESES
</text>
  </threadedComment>
  <threadedComment ref="I106" dT="2022-11-28T23:26:58.76" personId="{3678D4D6-1B56-4AC9-8AB2-526B778C344C}" id="{B95C85DB-294F-477E-918B-6C7DC5867688}">
    <text>@Sol Gomez Betancur Asesor nuevo, garantizado de comision de los dos primeros meses (Noviembre y Diciembre)</text>
    <mentions>
      <mention mentionpersonId="{4CCDEFE0-AF36-4C5F-A98A-5ABC4BD67284}" mentionId="{6CC8868F-5135-4EE6-93EF-30F39A7B55A6}" startIndex="0" length="19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F0D2-89DE-4386-8A7F-06A0D06D7DA1}">
  <dimension ref="B1:P242"/>
  <sheetViews>
    <sheetView topLeftCell="B1" workbookViewId="0">
      <selection activeCell="B158" sqref="B158"/>
    </sheetView>
  </sheetViews>
  <sheetFormatPr defaultRowHeight="15"/>
  <cols>
    <col min="1" max="1" width="3.140625" customWidth="1"/>
    <col min="2" max="2" width="15.28515625" customWidth="1"/>
    <col min="3" max="3" width="10" customWidth="1"/>
    <col min="4" max="4" width="12.85546875" customWidth="1"/>
    <col min="5" max="5" width="36.7109375" customWidth="1"/>
    <col min="6" max="6" width="13.28515625" customWidth="1"/>
    <col min="7" max="7" width="4.28515625" customWidth="1"/>
    <col min="8" max="8" width="11.28515625" customWidth="1"/>
    <col min="9" max="9" width="15.140625" customWidth="1"/>
    <col min="10" max="10" width="14.28515625" customWidth="1"/>
    <col min="11" max="11" width="28.140625" customWidth="1"/>
    <col min="12" max="12" width="9.28515625" customWidth="1"/>
    <col min="13" max="13" width="35.85546875" customWidth="1"/>
    <col min="14" max="14" width="11.140625" customWidth="1"/>
    <col min="15" max="15" width="4.7109375" customWidth="1"/>
    <col min="16" max="16" width="10.5703125" customWidth="1"/>
  </cols>
  <sheetData>
    <row r="1" spans="2:16" ht="30" customHeight="1">
      <c r="B1" s="94">
        <v>2022</v>
      </c>
      <c r="C1" s="94"/>
      <c r="D1" s="94"/>
      <c r="E1" s="94"/>
      <c r="F1" s="94"/>
      <c r="G1" s="94"/>
      <c r="H1" s="94"/>
      <c r="I1" s="94"/>
      <c r="J1" s="94"/>
      <c r="K1" s="94"/>
    </row>
    <row r="3" spans="2:16" ht="15.75">
      <c r="B3" s="92" t="s">
        <v>0</v>
      </c>
      <c r="C3" s="92"/>
      <c r="D3" s="92"/>
      <c r="E3" s="92"/>
      <c r="F3" s="92"/>
      <c r="G3" s="92"/>
      <c r="H3" s="92"/>
      <c r="I3" s="92"/>
      <c r="J3" s="92"/>
      <c r="K3" s="92"/>
    </row>
    <row r="4" spans="2:16" hidden="1"/>
    <row r="5" spans="2:16" ht="15.75" hidden="1">
      <c r="B5" s="81" t="s">
        <v>1</v>
      </c>
      <c r="C5" s="81"/>
      <c r="D5" s="81"/>
      <c r="E5" s="81"/>
      <c r="F5" s="81"/>
      <c r="G5" s="81"/>
      <c r="H5" s="81"/>
      <c r="I5" s="81"/>
      <c r="J5" s="81"/>
      <c r="K5" s="81"/>
      <c r="L5" s="79" t="s">
        <v>2</v>
      </c>
      <c r="M5" s="79"/>
      <c r="N5" s="79"/>
      <c r="O5" s="79"/>
      <c r="P5" s="79"/>
    </row>
    <row r="6" spans="2:16" hidden="1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3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4</v>
      </c>
      <c r="M6" s="2" t="s">
        <v>6</v>
      </c>
      <c r="N6" s="2" t="s">
        <v>7</v>
      </c>
      <c r="O6" s="3" t="s">
        <v>8</v>
      </c>
      <c r="P6" s="2" t="s">
        <v>9</v>
      </c>
    </row>
    <row r="7" spans="2:16" hidden="1">
      <c r="B7" s="93" t="s">
        <v>13</v>
      </c>
      <c r="C7" s="10">
        <v>14607</v>
      </c>
      <c r="D7" s="11">
        <v>0.1</v>
      </c>
      <c r="E7" s="12" t="s">
        <v>14</v>
      </c>
      <c r="F7" s="4">
        <v>1200000</v>
      </c>
      <c r="G7" s="1"/>
      <c r="H7" s="4">
        <f>F7*G7</f>
        <v>0</v>
      </c>
      <c r="I7" s="1" t="s">
        <v>15</v>
      </c>
      <c r="J7" s="1" t="s">
        <v>15</v>
      </c>
      <c r="K7" s="1"/>
      <c r="L7" s="1"/>
      <c r="M7" s="1"/>
      <c r="N7" s="4">
        <v>1000000</v>
      </c>
      <c r="O7" s="1"/>
      <c r="P7" s="4">
        <f>N7*O7</f>
        <v>0</v>
      </c>
    </row>
    <row r="8" spans="2:16" hidden="1">
      <c r="B8" s="90"/>
      <c r="C8" s="10">
        <v>14657</v>
      </c>
      <c r="D8" s="11">
        <v>0.1</v>
      </c>
      <c r="E8" s="12" t="s">
        <v>16</v>
      </c>
      <c r="F8" s="4">
        <v>1800000</v>
      </c>
      <c r="G8" s="1"/>
      <c r="H8" s="4">
        <f>F8*G8</f>
        <v>0</v>
      </c>
      <c r="I8" s="1" t="s">
        <v>17</v>
      </c>
      <c r="J8" s="1" t="s">
        <v>15</v>
      </c>
      <c r="K8" s="1"/>
      <c r="L8" s="1"/>
      <c r="M8" s="1"/>
      <c r="N8" s="4"/>
      <c r="O8" s="1"/>
      <c r="P8" s="4"/>
    </row>
    <row r="9" spans="2:16" hidden="1">
      <c r="B9" s="90"/>
      <c r="C9" s="10">
        <v>14744</v>
      </c>
      <c r="D9" s="11">
        <v>0.08</v>
      </c>
      <c r="E9" s="12" t="s">
        <v>18</v>
      </c>
      <c r="F9" s="4">
        <v>1800000</v>
      </c>
      <c r="G9" s="1"/>
      <c r="H9" s="4">
        <f>F9*G9</f>
        <v>0</v>
      </c>
      <c r="I9" s="1" t="s">
        <v>19</v>
      </c>
      <c r="J9" s="1" t="s">
        <v>15</v>
      </c>
      <c r="K9" s="1"/>
      <c r="L9" s="1"/>
      <c r="M9" s="1"/>
      <c r="N9" s="4"/>
      <c r="O9" s="1"/>
      <c r="P9" s="4"/>
    </row>
    <row r="10" spans="2:16" hidden="1">
      <c r="B10" s="90"/>
      <c r="C10" s="23" t="s">
        <v>20</v>
      </c>
      <c r="D10" s="23"/>
      <c r="E10" s="24" t="s">
        <v>21</v>
      </c>
      <c r="F10" s="4">
        <v>1400000</v>
      </c>
      <c r="G10" s="1"/>
      <c r="H10" s="4">
        <f t="shared" ref="H10:H11" si="0">F10*G10</f>
        <v>0</v>
      </c>
      <c r="I10" s="1"/>
      <c r="J10" s="1" t="s">
        <v>15</v>
      </c>
      <c r="K10" s="1" t="s">
        <v>22</v>
      </c>
      <c r="L10" s="1"/>
      <c r="M10" s="1"/>
      <c r="N10" s="4"/>
      <c r="O10" s="1"/>
      <c r="P10" s="4">
        <f t="shared" ref="P10:P11" si="1">N10*O10</f>
        <v>0</v>
      </c>
    </row>
    <row r="11" spans="2:16" hidden="1">
      <c r="B11" s="90"/>
      <c r="C11" s="9"/>
      <c r="D11" s="9"/>
      <c r="E11" s="1" t="s">
        <v>23</v>
      </c>
      <c r="F11" s="4">
        <f>F7+F8+F9</f>
        <v>4800000</v>
      </c>
      <c r="G11" s="1"/>
      <c r="H11" s="4">
        <f t="shared" si="0"/>
        <v>0</v>
      </c>
      <c r="I11" s="1"/>
      <c r="J11" s="1"/>
      <c r="K11" s="1"/>
      <c r="L11" s="1"/>
      <c r="M11" s="6"/>
      <c r="N11" s="7"/>
      <c r="O11" s="6"/>
      <c r="P11" s="7">
        <f t="shared" si="1"/>
        <v>0</v>
      </c>
    </row>
    <row r="12" spans="2:16" hidden="1">
      <c r="B12" s="91"/>
      <c r="C12" s="9"/>
      <c r="D12" s="9"/>
      <c r="E12" s="84" t="s">
        <v>24</v>
      </c>
      <c r="F12" s="85"/>
      <c r="G12" s="86"/>
      <c r="H12" s="7"/>
      <c r="I12" s="1"/>
      <c r="J12" s="1"/>
      <c r="K12" s="1"/>
      <c r="L12" s="5"/>
      <c r="M12" s="87" t="s">
        <v>25</v>
      </c>
      <c r="N12" s="87"/>
      <c r="O12" s="87"/>
      <c r="P12" s="4"/>
    </row>
    <row r="13" spans="2:16" hidden="1">
      <c r="E13" s="79" t="s">
        <v>26</v>
      </c>
      <c r="F13" s="79"/>
      <c r="G13" s="80"/>
      <c r="H13" s="8"/>
    </row>
    <row r="14" spans="2:16" hidden="1"/>
    <row r="15" spans="2:16" ht="15.75" hidden="1" customHeight="1">
      <c r="B15" s="81" t="s">
        <v>27</v>
      </c>
      <c r="C15" s="81"/>
      <c r="D15" s="81"/>
      <c r="E15" s="81"/>
      <c r="F15" s="81"/>
      <c r="G15" s="81"/>
      <c r="H15" s="81"/>
      <c r="I15" s="81"/>
      <c r="J15" s="81"/>
      <c r="K15" s="81"/>
      <c r="L15" s="79" t="s">
        <v>2</v>
      </c>
      <c r="M15" s="79"/>
      <c r="N15" s="79"/>
      <c r="O15" s="79"/>
      <c r="P15" s="79"/>
    </row>
    <row r="16" spans="2:16" hidden="1"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  <c r="G16" s="3" t="s">
        <v>8</v>
      </c>
      <c r="H16" s="2" t="s">
        <v>9</v>
      </c>
      <c r="I16" s="2" t="s">
        <v>10</v>
      </c>
      <c r="J16" s="2" t="s">
        <v>11</v>
      </c>
      <c r="K16" s="2" t="s">
        <v>12</v>
      </c>
      <c r="L16" s="2" t="s">
        <v>4</v>
      </c>
      <c r="M16" s="2" t="s">
        <v>6</v>
      </c>
      <c r="N16" s="2" t="s">
        <v>7</v>
      </c>
      <c r="O16" s="3" t="s">
        <v>8</v>
      </c>
      <c r="P16" s="2" t="s">
        <v>9</v>
      </c>
    </row>
    <row r="17" spans="2:16" hidden="1">
      <c r="B17" s="93" t="s">
        <v>28</v>
      </c>
      <c r="C17" s="24" t="s">
        <v>29</v>
      </c>
      <c r="D17" s="24"/>
      <c r="E17" s="24" t="s">
        <v>21</v>
      </c>
      <c r="F17" s="4">
        <v>1400000</v>
      </c>
      <c r="G17" s="1"/>
      <c r="H17" s="4">
        <f>F17*G17</f>
        <v>0</v>
      </c>
      <c r="I17" s="1"/>
      <c r="J17" s="1" t="s">
        <v>15</v>
      </c>
      <c r="K17" s="1" t="s">
        <v>30</v>
      </c>
      <c r="L17" s="1"/>
      <c r="M17" s="1"/>
      <c r="N17" s="4">
        <v>1000000</v>
      </c>
      <c r="O17" s="1"/>
      <c r="P17" s="4">
        <f>N17*O17</f>
        <v>0</v>
      </c>
    </row>
    <row r="18" spans="2:16" hidden="1">
      <c r="B18" s="90"/>
      <c r="C18" s="24" t="s">
        <v>31</v>
      </c>
      <c r="D18" s="24"/>
      <c r="E18" s="24" t="s">
        <v>32</v>
      </c>
      <c r="F18" s="4">
        <v>1300000</v>
      </c>
      <c r="G18" s="1"/>
      <c r="H18" s="4">
        <f>F18*G18</f>
        <v>0</v>
      </c>
      <c r="I18" s="1"/>
      <c r="J18" s="1" t="s">
        <v>33</v>
      </c>
      <c r="K18" s="1" t="s">
        <v>34</v>
      </c>
      <c r="L18" s="1"/>
      <c r="M18" s="1"/>
      <c r="N18" s="4"/>
      <c r="O18" s="1"/>
      <c r="P18" s="4">
        <f>N18*O18</f>
        <v>0</v>
      </c>
    </row>
    <row r="19" spans="2:16" hidden="1">
      <c r="B19" s="90"/>
      <c r="C19" s="24" t="s">
        <v>31</v>
      </c>
      <c r="D19" s="24"/>
      <c r="E19" s="24" t="s">
        <v>35</v>
      </c>
      <c r="F19" s="4">
        <v>1100000</v>
      </c>
      <c r="G19" s="1"/>
      <c r="H19" s="4">
        <f>F19*G19</f>
        <v>0</v>
      </c>
      <c r="I19" s="1"/>
      <c r="J19" s="1" t="s">
        <v>33</v>
      </c>
      <c r="K19" s="1" t="s">
        <v>34</v>
      </c>
      <c r="L19" s="1"/>
      <c r="M19" s="1"/>
      <c r="N19" s="4"/>
      <c r="O19" s="1"/>
      <c r="P19" s="4">
        <f>N19*O19</f>
        <v>0</v>
      </c>
    </row>
    <row r="20" spans="2:16" ht="27" hidden="1">
      <c r="B20" s="90"/>
      <c r="C20" s="33" t="s">
        <v>36</v>
      </c>
      <c r="D20" s="24"/>
      <c r="E20" s="24" t="s">
        <v>37</v>
      </c>
      <c r="F20" s="4">
        <v>1700000</v>
      </c>
      <c r="G20" s="1"/>
      <c r="H20" s="4">
        <f>F20*G20</f>
        <v>0</v>
      </c>
      <c r="I20" s="1"/>
      <c r="J20" s="1" t="s">
        <v>15</v>
      </c>
      <c r="K20" s="34" t="s">
        <v>38</v>
      </c>
      <c r="L20" s="1"/>
      <c r="M20" s="1"/>
      <c r="N20" s="4"/>
      <c r="O20" s="1"/>
      <c r="P20" s="4">
        <f>N20*O20</f>
        <v>0</v>
      </c>
    </row>
    <row r="21" spans="2:16" hidden="1">
      <c r="B21" s="90"/>
      <c r="C21" s="24" t="s">
        <v>31</v>
      </c>
      <c r="D21" s="24"/>
      <c r="E21" s="24" t="s">
        <v>39</v>
      </c>
      <c r="F21" s="7">
        <v>950000</v>
      </c>
      <c r="G21" s="6"/>
      <c r="H21" s="4">
        <f>F21*G21</f>
        <v>0</v>
      </c>
      <c r="I21" s="1"/>
      <c r="J21" s="1" t="s">
        <v>33</v>
      </c>
      <c r="K21" s="1"/>
      <c r="L21" s="1"/>
      <c r="M21" s="1"/>
      <c r="N21" s="4"/>
      <c r="O21" s="1"/>
      <c r="P21" s="4">
        <f>N21*O21</f>
        <v>0</v>
      </c>
    </row>
    <row r="22" spans="2:16" hidden="1">
      <c r="B22" s="90"/>
      <c r="C22" s="31"/>
      <c r="D22" s="31"/>
      <c r="E22" s="5" t="s">
        <v>23</v>
      </c>
      <c r="F22" s="4"/>
      <c r="G22" s="1"/>
      <c r="H22" s="38"/>
      <c r="I22" s="1"/>
      <c r="J22" s="1"/>
      <c r="K22" s="1"/>
      <c r="L22" s="5"/>
      <c r="M22" s="1"/>
      <c r="N22" s="4"/>
      <c r="O22" s="1"/>
      <c r="P22" s="4"/>
    </row>
    <row r="23" spans="2:16" hidden="1">
      <c r="B23" s="91"/>
      <c r="C23" s="1"/>
      <c r="D23" s="1"/>
      <c r="E23" s="84" t="s">
        <v>24</v>
      </c>
      <c r="F23" s="95"/>
      <c r="G23" s="96"/>
      <c r="H23" s="7"/>
      <c r="I23" s="1"/>
      <c r="J23" s="1"/>
      <c r="K23" s="1"/>
      <c r="L23" s="5"/>
      <c r="M23" s="87" t="s">
        <v>25</v>
      </c>
      <c r="N23" s="87"/>
      <c r="O23" s="87"/>
      <c r="P23" s="4"/>
    </row>
    <row r="24" spans="2:16" hidden="1">
      <c r="E24" s="79" t="s">
        <v>26</v>
      </c>
      <c r="F24" s="79"/>
      <c r="G24" s="80"/>
      <c r="H24" s="8"/>
    </row>
    <row r="25" spans="2:16" hidden="1"/>
    <row r="26" spans="2:16" ht="15.75" hidden="1" customHeight="1">
      <c r="B26" s="81" t="s">
        <v>40</v>
      </c>
      <c r="C26" s="81"/>
      <c r="D26" s="81"/>
      <c r="E26" s="81"/>
      <c r="F26" s="81"/>
      <c r="G26" s="81"/>
      <c r="H26" s="81"/>
      <c r="I26" s="81"/>
      <c r="J26" s="81"/>
      <c r="K26" s="81"/>
      <c r="L26" s="79" t="s">
        <v>2</v>
      </c>
      <c r="M26" s="79"/>
      <c r="N26" s="79"/>
      <c r="O26" s="79"/>
      <c r="P26" s="79"/>
    </row>
    <row r="27" spans="2:16" hidden="1"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  <c r="G27" s="3" t="s">
        <v>8</v>
      </c>
      <c r="H27" s="2" t="s">
        <v>9</v>
      </c>
      <c r="I27" s="2" t="s">
        <v>10</v>
      </c>
      <c r="J27" s="2" t="s">
        <v>11</v>
      </c>
      <c r="K27" s="2" t="s">
        <v>12</v>
      </c>
      <c r="L27" s="2" t="s">
        <v>4</v>
      </c>
      <c r="M27" s="2" t="s">
        <v>6</v>
      </c>
      <c r="N27" s="2" t="s">
        <v>7</v>
      </c>
      <c r="O27" s="3" t="s">
        <v>8</v>
      </c>
      <c r="P27" s="2" t="s">
        <v>9</v>
      </c>
    </row>
    <row r="28" spans="2:16" hidden="1">
      <c r="B28" s="82"/>
      <c r="C28" s="23" t="s">
        <v>41</v>
      </c>
      <c r="D28" s="23"/>
      <c r="E28" s="24" t="s">
        <v>42</v>
      </c>
      <c r="F28" s="4">
        <v>1800000</v>
      </c>
      <c r="G28" s="1"/>
      <c r="H28" s="4">
        <f>F28*G28</f>
        <v>0</v>
      </c>
      <c r="I28" s="1"/>
      <c r="J28" s="1" t="s">
        <v>15</v>
      </c>
      <c r="K28" s="1" t="s">
        <v>43</v>
      </c>
      <c r="L28" s="1"/>
      <c r="M28" s="1"/>
      <c r="N28" s="4"/>
      <c r="O28" s="1"/>
      <c r="P28" s="4">
        <f>N28*O28</f>
        <v>0</v>
      </c>
    </row>
    <row r="29" spans="2:16" hidden="1">
      <c r="B29" s="82"/>
      <c r="C29" s="23" t="s">
        <v>41</v>
      </c>
      <c r="D29" s="23"/>
      <c r="E29" s="24" t="s">
        <v>44</v>
      </c>
      <c r="F29" s="4">
        <v>1700000</v>
      </c>
      <c r="G29" s="1"/>
      <c r="H29" s="4">
        <f>F29*G29</f>
        <v>0</v>
      </c>
      <c r="I29" s="1"/>
      <c r="J29" s="1" t="s">
        <v>15</v>
      </c>
      <c r="K29" s="1" t="s">
        <v>45</v>
      </c>
      <c r="L29" s="1"/>
      <c r="M29" s="1"/>
      <c r="N29" s="4"/>
      <c r="O29" s="1"/>
      <c r="P29" s="4">
        <f>N29*O29</f>
        <v>0</v>
      </c>
    </row>
    <row r="30" spans="2:16" hidden="1">
      <c r="B30" s="82"/>
      <c r="C30" s="9"/>
      <c r="D30" s="9"/>
      <c r="E30" s="5" t="s">
        <v>23</v>
      </c>
      <c r="F30" s="4"/>
      <c r="G30" s="1"/>
      <c r="H30" s="4">
        <f>F30*G30</f>
        <v>0</v>
      </c>
      <c r="I30" s="1"/>
      <c r="J30" s="1"/>
      <c r="K30" s="1"/>
      <c r="L30" s="1"/>
      <c r="M30" s="6"/>
      <c r="N30" s="7"/>
      <c r="O30" s="6"/>
      <c r="P30" s="7">
        <f>N30*O30</f>
        <v>0</v>
      </c>
    </row>
    <row r="31" spans="2:16" hidden="1">
      <c r="B31" s="83"/>
      <c r="C31" s="9"/>
      <c r="D31" s="9"/>
      <c r="E31" s="84" t="s">
        <v>24</v>
      </c>
      <c r="F31" s="85"/>
      <c r="G31" s="86"/>
      <c r="H31" s="7"/>
      <c r="I31" s="1"/>
      <c r="J31" s="1"/>
      <c r="K31" s="1"/>
      <c r="L31" s="5"/>
      <c r="M31" s="87" t="s">
        <v>25</v>
      </c>
      <c r="N31" s="87"/>
      <c r="O31" s="87"/>
      <c r="P31" s="4"/>
    </row>
    <row r="32" spans="2:16" hidden="1">
      <c r="E32" s="79" t="s">
        <v>26</v>
      </c>
      <c r="F32" s="79"/>
      <c r="G32" s="80"/>
      <c r="H32" s="8"/>
    </row>
    <row r="33" spans="2:16" hidden="1"/>
    <row r="34" spans="2:16" hidden="1"/>
    <row r="35" spans="2:16" hidden="1">
      <c r="D35" s="21" t="s">
        <v>46</v>
      </c>
      <c r="E35" s="26">
        <f>F7+F8+F9</f>
        <v>4800000</v>
      </c>
    </row>
    <row r="36" spans="2:16" hidden="1">
      <c r="D36" s="21" t="s">
        <v>47</v>
      </c>
      <c r="E36" s="27"/>
    </row>
    <row r="37" spans="2:16" hidden="1">
      <c r="D37" s="21" t="s">
        <v>48</v>
      </c>
      <c r="E37" s="28"/>
    </row>
    <row r="38" spans="2:16" hidden="1">
      <c r="D38" s="21" t="s">
        <v>49</v>
      </c>
      <c r="E38" s="29">
        <f>F10+F17+F18+F19+F20+F21+F28+F29</f>
        <v>11350000</v>
      </c>
    </row>
    <row r="39" spans="2:16" hidden="1">
      <c r="E39" s="25"/>
    </row>
    <row r="40" spans="2:16">
      <c r="E40" s="25"/>
    </row>
    <row r="41" spans="2:16" ht="15.75">
      <c r="B41" s="92" t="s">
        <v>50</v>
      </c>
      <c r="C41" s="92"/>
      <c r="D41" s="92"/>
      <c r="E41" s="92"/>
      <c r="F41" s="92"/>
      <c r="G41" s="92"/>
      <c r="H41" s="92"/>
      <c r="I41" s="92"/>
      <c r="J41" s="92"/>
      <c r="K41" s="92"/>
    </row>
    <row r="42" spans="2:16" hidden="1"/>
    <row r="43" spans="2:16" ht="15.75" hidden="1">
      <c r="B43" s="81" t="s">
        <v>1</v>
      </c>
      <c r="C43" s="81"/>
      <c r="D43" s="81"/>
      <c r="E43" s="81"/>
      <c r="F43" s="81"/>
      <c r="G43" s="81"/>
      <c r="H43" s="81"/>
      <c r="I43" s="81"/>
      <c r="J43" s="81"/>
      <c r="K43" s="81"/>
      <c r="L43" s="79" t="s">
        <v>2</v>
      </c>
      <c r="M43" s="79"/>
      <c r="N43" s="79"/>
      <c r="O43" s="79"/>
      <c r="P43" s="79"/>
    </row>
    <row r="44" spans="2:16" hidden="1">
      <c r="B44" s="2" t="s">
        <v>3</v>
      </c>
      <c r="C44" s="2" t="s">
        <v>4</v>
      </c>
      <c r="D44" s="2" t="s">
        <v>5</v>
      </c>
      <c r="E44" s="2" t="s">
        <v>6</v>
      </c>
      <c r="F44" s="2" t="s">
        <v>7</v>
      </c>
      <c r="G44" s="3" t="s">
        <v>8</v>
      </c>
      <c r="H44" s="2" t="s">
        <v>9</v>
      </c>
      <c r="I44" s="2" t="s">
        <v>10</v>
      </c>
      <c r="J44" s="2" t="s">
        <v>11</v>
      </c>
      <c r="K44" s="2" t="s">
        <v>12</v>
      </c>
      <c r="L44" s="2" t="s">
        <v>4</v>
      </c>
      <c r="M44" s="2" t="s">
        <v>6</v>
      </c>
      <c r="N44" s="2" t="s">
        <v>7</v>
      </c>
      <c r="O44" s="3" t="s">
        <v>8</v>
      </c>
      <c r="P44" s="2" t="s">
        <v>9</v>
      </c>
    </row>
    <row r="45" spans="2:16" hidden="1">
      <c r="B45" s="90">
        <v>20</v>
      </c>
      <c r="C45" s="10">
        <v>14886</v>
      </c>
      <c r="D45" s="11">
        <v>0.08</v>
      </c>
      <c r="E45" s="12" t="s">
        <v>51</v>
      </c>
      <c r="F45" s="4">
        <v>1990000</v>
      </c>
      <c r="G45" s="46">
        <v>0.1</v>
      </c>
      <c r="H45" s="4">
        <f>F45*G45</f>
        <v>199000</v>
      </c>
      <c r="I45" s="1" t="s">
        <v>17</v>
      </c>
      <c r="J45" s="1" t="s">
        <v>15</v>
      </c>
      <c r="K45" s="1"/>
      <c r="L45" s="1"/>
      <c r="M45" s="1"/>
      <c r="N45" s="4"/>
      <c r="O45" s="1"/>
      <c r="P45" s="4"/>
    </row>
    <row r="46" spans="2:16" hidden="1">
      <c r="B46" s="90"/>
      <c r="C46" s="10">
        <v>15116</v>
      </c>
      <c r="D46" s="11">
        <v>0.1</v>
      </c>
      <c r="E46" s="12" t="s">
        <v>52</v>
      </c>
      <c r="F46" s="4">
        <v>3100000</v>
      </c>
      <c r="G46" s="46">
        <v>0.1</v>
      </c>
      <c r="H46" s="4">
        <f t="shared" ref="H46:H47" si="2">F46*G46</f>
        <v>310000</v>
      </c>
      <c r="I46" s="1" t="s">
        <v>17</v>
      </c>
      <c r="J46" s="1" t="s">
        <v>15</v>
      </c>
      <c r="K46" s="1"/>
      <c r="L46" s="1"/>
      <c r="M46" s="1"/>
      <c r="N46" s="4"/>
      <c r="O46" s="1"/>
      <c r="P46" s="4"/>
    </row>
    <row r="47" spans="2:16" hidden="1">
      <c r="B47" s="90"/>
      <c r="C47" s="10">
        <v>15128</v>
      </c>
      <c r="D47" s="11">
        <v>0.08</v>
      </c>
      <c r="E47" s="12" t="s">
        <v>53</v>
      </c>
      <c r="F47" s="4">
        <v>2100000</v>
      </c>
      <c r="G47" s="46">
        <v>0.1</v>
      </c>
      <c r="H47" s="4">
        <f t="shared" si="2"/>
        <v>210000</v>
      </c>
      <c r="I47" s="1" t="s">
        <v>17</v>
      </c>
      <c r="J47" s="1" t="s">
        <v>33</v>
      </c>
      <c r="K47" s="1"/>
      <c r="L47" s="1"/>
      <c r="M47" s="1"/>
      <c r="N47" s="4"/>
      <c r="O47" s="1"/>
      <c r="P47" s="4">
        <f t="shared" ref="P47:P52" si="3">N47*O47</f>
        <v>0</v>
      </c>
    </row>
    <row r="48" spans="2:16" hidden="1">
      <c r="B48" s="90"/>
      <c r="C48" s="10">
        <v>15090</v>
      </c>
      <c r="D48" s="11">
        <v>0.1</v>
      </c>
      <c r="E48" s="12" t="s">
        <v>54</v>
      </c>
      <c r="F48" s="4">
        <v>900000</v>
      </c>
      <c r="G48" s="46">
        <v>0.1</v>
      </c>
      <c r="H48" s="4">
        <f>F48*G48</f>
        <v>90000</v>
      </c>
      <c r="I48" s="1" t="s">
        <v>17</v>
      </c>
      <c r="J48" s="1" t="s">
        <v>33</v>
      </c>
      <c r="K48" s="1"/>
      <c r="L48" s="1"/>
      <c r="M48" s="1"/>
      <c r="N48" s="4"/>
      <c r="O48" s="1"/>
      <c r="P48" s="4"/>
    </row>
    <row r="49" spans="2:16" hidden="1">
      <c r="B49" s="90"/>
      <c r="C49" s="23" t="s">
        <v>41</v>
      </c>
      <c r="D49" s="23"/>
      <c r="E49" s="24" t="s">
        <v>55</v>
      </c>
      <c r="F49" s="4">
        <v>1800000</v>
      </c>
      <c r="G49" s="1"/>
      <c r="H49" s="4"/>
      <c r="I49" s="1"/>
      <c r="J49" s="1" t="s">
        <v>33</v>
      </c>
      <c r="K49" s="1" t="s">
        <v>56</v>
      </c>
      <c r="L49" s="1"/>
      <c r="M49" s="1"/>
      <c r="N49" s="4"/>
      <c r="O49" s="1"/>
      <c r="P49" s="4"/>
    </row>
    <row r="50" spans="2:16" hidden="1">
      <c r="B50" s="90"/>
      <c r="C50" s="23" t="s">
        <v>47</v>
      </c>
      <c r="D50" s="23"/>
      <c r="E50" s="24" t="s">
        <v>57</v>
      </c>
      <c r="F50" s="4">
        <v>1700000</v>
      </c>
      <c r="G50" s="1"/>
      <c r="H50" s="4"/>
      <c r="I50" s="1"/>
      <c r="J50" s="1" t="s">
        <v>15</v>
      </c>
      <c r="K50" s="1" t="s">
        <v>58</v>
      </c>
      <c r="L50" s="1"/>
      <c r="M50" s="1"/>
      <c r="N50" s="4"/>
      <c r="O50" s="1"/>
      <c r="P50" s="4"/>
    </row>
    <row r="51" spans="2:16" hidden="1">
      <c r="B51" s="90"/>
      <c r="C51" s="23" t="s">
        <v>29</v>
      </c>
      <c r="D51" s="23"/>
      <c r="E51" s="24" t="s">
        <v>59</v>
      </c>
      <c r="F51" s="4">
        <v>2840000</v>
      </c>
      <c r="G51" s="1"/>
      <c r="H51" s="4"/>
      <c r="I51" s="1"/>
      <c r="J51" s="1" t="s">
        <v>15</v>
      </c>
      <c r="K51" s="1" t="s">
        <v>60</v>
      </c>
      <c r="L51" s="1"/>
      <c r="M51" s="1"/>
      <c r="N51" s="4"/>
      <c r="O51" s="1"/>
      <c r="P51" s="4">
        <f t="shared" si="3"/>
        <v>0</v>
      </c>
    </row>
    <row r="52" spans="2:16" hidden="1">
      <c r="B52" s="90"/>
      <c r="C52" s="9"/>
      <c r="D52" s="9"/>
      <c r="E52" s="1" t="s">
        <v>23</v>
      </c>
      <c r="F52" s="4">
        <f>F45+F46+F47+F48</f>
        <v>8090000</v>
      </c>
      <c r="G52" s="1"/>
      <c r="H52" s="4"/>
      <c r="I52" s="1"/>
      <c r="J52" s="1"/>
      <c r="K52" s="1"/>
      <c r="L52" s="1"/>
      <c r="M52" s="6"/>
      <c r="N52" s="7"/>
      <c r="O52" s="6"/>
      <c r="P52" s="7">
        <f t="shared" si="3"/>
        <v>0</v>
      </c>
    </row>
    <row r="53" spans="2:16" hidden="1">
      <c r="B53" s="91"/>
      <c r="C53" s="9"/>
      <c r="D53" s="9"/>
      <c r="E53" s="84" t="s">
        <v>24</v>
      </c>
      <c r="F53" s="85"/>
      <c r="G53" s="86"/>
      <c r="H53" s="7">
        <f>SUM(H45:H52)</f>
        <v>809000</v>
      </c>
      <c r="I53" s="1"/>
      <c r="J53" s="1"/>
      <c r="K53" s="1"/>
      <c r="L53" s="5"/>
      <c r="M53" s="87" t="s">
        <v>25</v>
      </c>
      <c r="N53" s="87"/>
      <c r="O53" s="87"/>
      <c r="P53" s="4"/>
    </row>
    <row r="54" spans="2:16" hidden="1">
      <c r="E54" s="79" t="s">
        <v>26</v>
      </c>
      <c r="F54" s="79"/>
      <c r="G54" s="80"/>
      <c r="H54" s="50">
        <f>H53</f>
        <v>809000</v>
      </c>
    </row>
    <row r="55" spans="2:16" hidden="1"/>
    <row r="56" spans="2:16" ht="15.75" hidden="1">
      <c r="B56" s="81" t="s">
        <v>27</v>
      </c>
      <c r="C56" s="81"/>
      <c r="D56" s="81"/>
      <c r="E56" s="81"/>
      <c r="F56" s="81"/>
      <c r="G56" s="81"/>
      <c r="H56" s="81"/>
      <c r="I56" s="81"/>
      <c r="J56" s="81"/>
      <c r="K56" s="81"/>
      <c r="L56" s="79" t="s">
        <v>2</v>
      </c>
      <c r="M56" s="79"/>
      <c r="N56" s="79"/>
      <c r="O56" s="79"/>
      <c r="P56" s="79"/>
    </row>
    <row r="57" spans="2:16" hidden="1">
      <c r="B57" s="2" t="s">
        <v>3</v>
      </c>
      <c r="C57" s="2" t="s">
        <v>4</v>
      </c>
      <c r="D57" s="2" t="s">
        <v>5</v>
      </c>
      <c r="E57" s="2" t="s">
        <v>6</v>
      </c>
      <c r="F57" s="2" t="s">
        <v>7</v>
      </c>
      <c r="G57" s="3" t="s">
        <v>8</v>
      </c>
      <c r="H57" s="2" t="s">
        <v>9</v>
      </c>
      <c r="I57" s="2" t="s">
        <v>10</v>
      </c>
      <c r="J57" s="2" t="s">
        <v>11</v>
      </c>
      <c r="K57" s="2" t="s">
        <v>12</v>
      </c>
      <c r="L57" s="2" t="s">
        <v>4</v>
      </c>
      <c r="M57" s="2" t="s">
        <v>6</v>
      </c>
      <c r="N57" s="2" t="s">
        <v>7</v>
      </c>
      <c r="O57" s="3" t="s">
        <v>8</v>
      </c>
      <c r="P57" s="2" t="s">
        <v>9</v>
      </c>
    </row>
    <row r="58" spans="2:16" hidden="1">
      <c r="B58" s="90">
        <v>20</v>
      </c>
      <c r="C58" s="47">
        <v>15031</v>
      </c>
      <c r="D58" s="11">
        <v>0.1</v>
      </c>
      <c r="E58" s="12" t="s">
        <v>61</v>
      </c>
      <c r="F58" s="4">
        <v>2800000</v>
      </c>
      <c r="G58" s="46">
        <v>0.1</v>
      </c>
      <c r="H58" s="4">
        <f>F58*G58</f>
        <v>280000</v>
      </c>
      <c r="I58" s="1" t="s">
        <v>62</v>
      </c>
      <c r="J58" s="5" t="s">
        <v>33</v>
      </c>
      <c r="K58" s="1"/>
      <c r="L58" s="1"/>
      <c r="M58" s="1"/>
      <c r="N58" s="4"/>
      <c r="O58" s="1"/>
      <c r="P58" s="4">
        <f>N58*O58</f>
        <v>0</v>
      </c>
    </row>
    <row r="59" spans="2:16" hidden="1">
      <c r="B59" s="90"/>
      <c r="C59" s="47">
        <v>15026</v>
      </c>
      <c r="D59" s="11">
        <v>0.1</v>
      </c>
      <c r="E59" s="12" t="s">
        <v>63</v>
      </c>
      <c r="F59" s="32">
        <v>1800000</v>
      </c>
      <c r="G59" s="46">
        <v>0.05</v>
      </c>
      <c r="H59" s="4">
        <f t="shared" ref="H59:H60" si="4">F59*G59</f>
        <v>90000</v>
      </c>
      <c r="I59" s="31" t="s">
        <v>64</v>
      </c>
      <c r="J59" s="31" t="s">
        <v>15</v>
      </c>
      <c r="K59" s="31"/>
      <c r="L59" s="1"/>
      <c r="M59" s="1"/>
      <c r="N59" s="4"/>
      <c r="O59" s="1"/>
      <c r="P59" s="4"/>
    </row>
    <row r="60" spans="2:16" hidden="1">
      <c r="B60" s="90"/>
      <c r="C60" s="47">
        <v>15114</v>
      </c>
      <c r="D60" s="11">
        <v>0.1</v>
      </c>
      <c r="E60" s="12" t="s">
        <v>55</v>
      </c>
      <c r="F60" s="4">
        <v>1800000</v>
      </c>
      <c r="G60" s="46">
        <v>0.1</v>
      </c>
      <c r="H60" s="4">
        <f t="shared" si="4"/>
        <v>180000</v>
      </c>
      <c r="I60" s="1" t="s">
        <v>62</v>
      </c>
      <c r="J60" s="1" t="s">
        <v>15</v>
      </c>
      <c r="K60" s="31"/>
      <c r="L60" s="1"/>
      <c r="M60" s="1"/>
      <c r="N60" s="4"/>
      <c r="O60" s="1"/>
      <c r="P60" s="4"/>
    </row>
    <row r="61" spans="2:16" hidden="1">
      <c r="B61" s="90"/>
      <c r="C61" s="24" t="s">
        <v>41</v>
      </c>
      <c r="D61" s="24"/>
      <c r="E61" s="24" t="s">
        <v>65</v>
      </c>
      <c r="F61" s="32">
        <v>1700000</v>
      </c>
      <c r="G61" s="31"/>
      <c r="H61" s="32"/>
      <c r="I61" s="31"/>
      <c r="J61" s="31" t="s">
        <v>33</v>
      </c>
      <c r="K61" s="31" t="s">
        <v>66</v>
      </c>
      <c r="L61" s="39"/>
      <c r="M61" s="1"/>
      <c r="N61" s="4"/>
      <c r="O61" s="1"/>
      <c r="P61" s="4"/>
    </row>
    <row r="62" spans="2:16" hidden="1">
      <c r="B62" s="90"/>
      <c r="C62" s="24" t="s">
        <v>31</v>
      </c>
      <c r="D62" s="24"/>
      <c r="E62" s="24" t="s">
        <v>67</v>
      </c>
      <c r="F62" s="4">
        <v>3000000</v>
      </c>
      <c r="G62" s="1"/>
      <c r="H62" s="4"/>
      <c r="I62" s="1"/>
      <c r="J62" s="1" t="s">
        <v>15</v>
      </c>
      <c r="K62" s="6"/>
      <c r="L62" s="39"/>
      <c r="M62" s="1"/>
      <c r="N62" s="4"/>
      <c r="O62" s="1"/>
      <c r="P62" s="4"/>
    </row>
    <row r="63" spans="2:16" hidden="1">
      <c r="B63" s="90"/>
      <c r="C63" s="24" t="s">
        <v>48</v>
      </c>
      <c r="D63" s="24"/>
      <c r="E63" s="41" t="s">
        <v>68</v>
      </c>
      <c r="F63" s="32">
        <v>1500000</v>
      </c>
      <c r="G63" s="31"/>
      <c r="H63" s="32"/>
      <c r="I63" s="32"/>
      <c r="J63" s="31" t="s">
        <v>33</v>
      </c>
      <c r="K63" s="31" t="s">
        <v>69</v>
      </c>
      <c r="L63" s="39"/>
      <c r="M63" s="1"/>
      <c r="N63" s="4"/>
      <c r="O63" s="1"/>
      <c r="P63" s="4"/>
    </row>
    <row r="64" spans="2:16" hidden="1">
      <c r="B64" s="90"/>
      <c r="C64" s="24" t="s">
        <v>70</v>
      </c>
      <c r="D64" s="24"/>
      <c r="E64" s="24" t="s">
        <v>71</v>
      </c>
      <c r="F64" s="4">
        <v>1400000</v>
      </c>
      <c r="G64" s="1"/>
      <c r="H64" s="4"/>
      <c r="I64" s="1"/>
      <c r="J64" s="5" t="s">
        <v>33</v>
      </c>
      <c r="K64" s="1" t="s">
        <v>72</v>
      </c>
      <c r="L64" s="39"/>
      <c r="M64" s="1"/>
      <c r="N64" s="4"/>
      <c r="O64" s="1"/>
      <c r="P64" s="4"/>
    </row>
    <row r="65" spans="2:16" hidden="1">
      <c r="B65" s="90"/>
      <c r="C65" s="24" t="s">
        <v>20</v>
      </c>
      <c r="D65" s="24"/>
      <c r="E65" s="24" t="s">
        <v>73</v>
      </c>
      <c r="F65" s="4">
        <v>980000</v>
      </c>
      <c r="G65" s="1"/>
      <c r="H65" s="4"/>
      <c r="I65" s="1"/>
      <c r="J65" s="1" t="s">
        <v>33</v>
      </c>
      <c r="K65" s="1" t="s">
        <v>74</v>
      </c>
      <c r="L65" s="1"/>
      <c r="M65" s="1"/>
      <c r="N65" s="4"/>
      <c r="O65" s="1"/>
      <c r="P65" s="4">
        <f>N65*O65</f>
        <v>0</v>
      </c>
    </row>
    <row r="66" spans="2:16" hidden="1">
      <c r="B66" s="90"/>
      <c r="C66" s="24" t="s">
        <v>41</v>
      </c>
      <c r="D66" s="24"/>
      <c r="E66" s="24" t="s">
        <v>75</v>
      </c>
      <c r="F66" s="4">
        <v>1550000</v>
      </c>
      <c r="G66" s="1"/>
      <c r="H66" s="4"/>
      <c r="I66" s="1"/>
      <c r="J66" s="1" t="s">
        <v>15</v>
      </c>
      <c r="K66" s="1" t="s">
        <v>76</v>
      </c>
      <c r="L66" s="1"/>
      <c r="M66" s="1"/>
      <c r="N66" s="4"/>
      <c r="O66" s="1"/>
      <c r="P66" s="4">
        <f>N66*O66</f>
        <v>0</v>
      </c>
    </row>
    <row r="67" spans="2:16" hidden="1">
      <c r="B67" s="90"/>
      <c r="C67" s="1"/>
      <c r="D67" s="1"/>
      <c r="E67" s="5" t="s">
        <v>23</v>
      </c>
      <c r="F67" s="4">
        <f>F58+F59+F60</f>
        <v>6400000</v>
      </c>
      <c r="G67" s="1"/>
      <c r="H67" s="4"/>
      <c r="I67" s="1"/>
      <c r="J67" s="1"/>
      <c r="K67" s="1"/>
      <c r="L67" s="1"/>
      <c r="M67" s="6"/>
      <c r="N67" s="7"/>
      <c r="O67" s="6"/>
      <c r="P67" s="7">
        <f>N67*O67</f>
        <v>0</v>
      </c>
    </row>
    <row r="68" spans="2:16" hidden="1">
      <c r="B68" s="91"/>
      <c r="C68" s="1"/>
      <c r="D68" s="1"/>
      <c r="E68" s="84" t="s">
        <v>24</v>
      </c>
      <c r="F68" s="85"/>
      <c r="G68" s="86"/>
      <c r="H68" s="7">
        <f>SUM(H58:H67)</f>
        <v>550000</v>
      </c>
      <c r="I68" s="1"/>
      <c r="J68" s="1"/>
      <c r="K68" s="1"/>
      <c r="L68" s="5"/>
      <c r="M68" s="87" t="s">
        <v>25</v>
      </c>
      <c r="N68" s="87"/>
      <c r="O68" s="87"/>
      <c r="P68" s="4"/>
    </row>
    <row r="69" spans="2:16" hidden="1">
      <c r="E69" s="79" t="s">
        <v>26</v>
      </c>
      <c r="F69" s="79"/>
      <c r="G69" s="80"/>
      <c r="H69" s="50">
        <f>H68</f>
        <v>550000</v>
      </c>
    </row>
    <row r="70" spans="2:16" hidden="1"/>
    <row r="71" spans="2:16" ht="15.75" hidden="1">
      <c r="B71" s="81" t="s">
        <v>40</v>
      </c>
      <c r="C71" s="81"/>
      <c r="D71" s="81"/>
      <c r="E71" s="81"/>
      <c r="F71" s="81"/>
      <c r="G71" s="81"/>
      <c r="H71" s="81"/>
      <c r="I71" s="81"/>
      <c r="J71" s="81"/>
      <c r="K71" s="81"/>
      <c r="L71" s="79" t="s">
        <v>2</v>
      </c>
      <c r="M71" s="79"/>
      <c r="N71" s="79"/>
      <c r="O71" s="79"/>
      <c r="P71" s="79"/>
    </row>
    <row r="72" spans="2:16" hidden="1">
      <c r="B72" s="2" t="s">
        <v>3</v>
      </c>
      <c r="C72" s="2" t="s">
        <v>4</v>
      </c>
      <c r="D72" s="2" t="s">
        <v>5</v>
      </c>
      <c r="E72" s="2" t="s">
        <v>6</v>
      </c>
      <c r="F72" s="2" t="s">
        <v>7</v>
      </c>
      <c r="G72" s="3" t="s">
        <v>8</v>
      </c>
      <c r="H72" s="2" t="s">
        <v>9</v>
      </c>
      <c r="I72" s="2" t="s">
        <v>10</v>
      </c>
      <c r="J72" s="2" t="s">
        <v>11</v>
      </c>
      <c r="K72" s="2" t="s">
        <v>12</v>
      </c>
      <c r="L72" s="2" t="s">
        <v>4</v>
      </c>
      <c r="M72" s="2" t="s">
        <v>6</v>
      </c>
      <c r="N72" s="2" t="s">
        <v>7</v>
      </c>
      <c r="O72" s="3" t="s">
        <v>8</v>
      </c>
      <c r="P72" s="2" t="s">
        <v>9</v>
      </c>
    </row>
    <row r="73" spans="2:16" hidden="1">
      <c r="B73" s="82"/>
      <c r="C73" s="23" t="s">
        <v>20</v>
      </c>
      <c r="D73" s="23"/>
      <c r="E73" s="24" t="s">
        <v>77</v>
      </c>
      <c r="F73" s="32">
        <v>1800000</v>
      </c>
      <c r="G73" s="31"/>
      <c r="H73" s="32"/>
      <c r="I73" s="31"/>
      <c r="J73" s="31"/>
      <c r="K73" s="31" t="s">
        <v>78</v>
      </c>
      <c r="L73" s="1"/>
      <c r="M73" s="1"/>
      <c r="N73" s="4"/>
      <c r="O73" s="1"/>
      <c r="P73" s="4">
        <f>N73*O73</f>
        <v>0</v>
      </c>
    </row>
    <row r="74" spans="2:16" hidden="1">
      <c r="B74" s="82"/>
      <c r="C74" s="30"/>
      <c r="D74" s="30"/>
      <c r="E74" s="31"/>
      <c r="F74" s="32"/>
      <c r="G74" s="31"/>
      <c r="H74" s="32"/>
      <c r="I74" s="31"/>
      <c r="J74" s="31"/>
      <c r="K74" s="31"/>
      <c r="L74" s="1"/>
      <c r="M74" s="1"/>
      <c r="N74" s="4"/>
      <c r="O74" s="1"/>
      <c r="P74" s="4">
        <f>N74*O74</f>
        <v>0</v>
      </c>
    </row>
    <row r="75" spans="2:16" hidden="1">
      <c r="B75" s="82"/>
      <c r="C75" s="9"/>
      <c r="D75" s="9"/>
      <c r="E75" s="1"/>
      <c r="F75" s="4"/>
      <c r="G75" s="1"/>
      <c r="H75" s="4">
        <f>F75*G75</f>
        <v>0</v>
      </c>
      <c r="I75" s="1"/>
      <c r="J75" s="1"/>
      <c r="K75" s="1"/>
      <c r="L75" s="1"/>
      <c r="M75" s="1"/>
      <c r="N75" s="4"/>
      <c r="O75" s="1"/>
      <c r="P75" s="4">
        <f>N75*O75</f>
        <v>0</v>
      </c>
    </row>
    <row r="76" spans="2:16" hidden="1">
      <c r="B76" s="82"/>
      <c r="C76" s="9"/>
      <c r="D76" s="9"/>
      <c r="E76" s="1"/>
      <c r="F76" s="4"/>
      <c r="G76" s="1"/>
      <c r="H76" s="4">
        <f>F76*G76</f>
        <v>0</v>
      </c>
      <c r="I76" s="1"/>
      <c r="J76" s="1"/>
      <c r="K76" s="1"/>
      <c r="L76" s="1"/>
      <c r="M76" s="1"/>
      <c r="N76" s="4"/>
      <c r="O76" s="1"/>
      <c r="P76" s="4">
        <f>N76*O76</f>
        <v>0</v>
      </c>
    </row>
    <row r="77" spans="2:16" hidden="1">
      <c r="B77" s="82"/>
      <c r="C77" s="9"/>
      <c r="D77" s="9"/>
      <c r="E77" s="1"/>
      <c r="F77" s="4"/>
      <c r="G77" s="1"/>
      <c r="H77" s="4">
        <f>F77*G77</f>
        <v>0</v>
      </c>
      <c r="I77" s="1"/>
      <c r="J77" s="1"/>
      <c r="K77" s="1"/>
      <c r="L77" s="1"/>
      <c r="M77" s="1"/>
      <c r="N77" s="4"/>
      <c r="O77" s="1"/>
      <c r="P77" s="4">
        <f>N77*O77</f>
        <v>0</v>
      </c>
    </row>
    <row r="78" spans="2:16" hidden="1">
      <c r="B78" s="82"/>
      <c r="C78" s="9"/>
      <c r="D78" s="9"/>
      <c r="E78" s="1"/>
      <c r="F78" s="4"/>
      <c r="G78" s="1"/>
      <c r="H78" s="4">
        <f>F78*G78</f>
        <v>0</v>
      </c>
      <c r="I78" s="1"/>
      <c r="J78" s="1"/>
      <c r="K78" s="1"/>
      <c r="L78" s="1"/>
      <c r="M78" s="1"/>
      <c r="N78" s="4"/>
      <c r="O78" s="1"/>
      <c r="P78" s="4">
        <f>N78*O78</f>
        <v>0</v>
      </c>
    </row>
    <row r="79" spans="2:16" hidden="1">
      <c r="B79" s="82"/>
      <c r="C79" s="9"/>
      <c r="D79" s="9"/>
      <c r="E79" s="1"/>
      <c r="F79" s="4"/>
      <c r="G79" s="1"/>
      <c r="H79" s="4">
        <f>F79*G79</f>
        <v>0</v>
      </c>
      <c r="I79" s="1"/>
      <c r="J79" s="1"/>
      <c r="K79" s="1"/>
      <c r="L79" s="1"/>
      <c r="M79" s="1"/>
      <c r="N79" s="4"/>
      <c r="O79" s="1"/>
      <c r="P79" s="4">
        <f>N79*O79</f>
        <v>0</v>
      </c>
    </row>
    <row r="80" spans="2:16" hidden="1">
      <c r="B80" s="82"/>
      <c r="C80" s="9"/>
      <c r="D80" s="9"/>
      <c r="E80" s="1"/>
      <c r="F80" s="4">
        <f>SUM(F73:F79)</f>
        <v>1800000</v>
      </c>
      <c r="G80" s="1"/>
      <c r="H80" s="4">
        <f>F80*G80</f>
        <v>0</v>
      </c>
      <c r="I80" s="1"/>
      <c r="J80" s="1"/>
      <c r="K80" s="1"/>
      <c r="L80" s="1"/>
      <c r="M80" s="6"/>
      <c r="N80" s="7"/>
      <c r="O80" s="6"/>
      <c r="P80" s="7">
        <f>N80*O80</f>
        <v>0</v>
      </c>
    </row>
    <row r="81" spans="2:16" hidden="1">
      <c r="B81" s="83"/>
      <c r="C81" s="9"/>
      <c r="D81" s="9"/>
      <c r="E81" s="84" t="s">
        <v>24</v>
      </c>
      <c r="F81" s="85"/>
      <c r="G81" s="86"/>
      <c r="H81" s="7"/>
      <c r="I81" s="1"/>
      <c r="J81" s="1"/>
      <c r="K81" s="1"/>
      <c r="L81" s="5"/>
      <c r="M81" s="87" t="s">
        <v>25</v>
      </c>
      <c r="N81" s="87"/>
      <c r="O81" s="87"/>
      <c r="P81" s="4"/>
    </row>
    <row r="82" spans="2:16" hidden="1">
      <c r="E82" s="79" t="s">
        <v>26</v>
      </c>
      <c r="F82" s="79"/>
      <c r="G82" s="80"/>
      <c r="H82" s="8"/>
    </row>
    <row r="83" spans="2:16" hidden="1"/>
    <row r="84" spans="2:16" hidden="1"/>
    <row r="85" spans="2:16" hidden="1">
      <c r="B85" s="75" t="s">
        <v>46</v>
      </c>
      <c r="C85" s="75"/>
      <c r="D85" s="75"/>
      <c r="E85" s="42">
        <f>F45+F46+F47+F48+F58+F59+F60</f>
        <v>14490000</v>
      </c>
      <c r="I85" s="25"/>
      <c r="J85" s="25"/>
    </row>
    <row r="86" spans="2:16" hidden="1">
      <c r="B86" s="88" t="s">
        <v>47</v>
      </c>
      <c r="C86" s="88"/>
      <c r="D86" s="88"/>
      <c r="E86" s="43"/>
    </row>
    <row r="87" spans="2:16" hidden="1">
      <c r="B87" s="75" t="s">
        <v>79</v>
      </c>
      <c r="C87" s="75"/>
      <c r="D87" s="75"/>
      <c r="E87" s="44"/>
    </row>
    <row r="88" spans="2:16" hidden="1">
      <c r="B88" s="75" t="s">
        <v>49</v>
      </c>
      <c r="C88" s="75"/>
      <c r="D88" s="75"/>
      <c r="E88" s="45">
        <f>F73+F66+F65+F64+F63+F61+F51+F50+F49</f>
        <v>15270000</v>
      </c>
    </row>
    <row r="89" spans="2:16" hidden="1">
      <c r="B89" s="75" t="s">
        <v>34</v>
      </c>
      <c r="C89" s="75"/>
      <c r="D89" s="75"/>
      <c r="E89" s="45">
        <f>F62</f>
        <v>3000000</v>
      </c>
    </row>
    <row r="90" spans="2:16" hidden="1"/>
    <row r="91" spans="2:16" hidden="1"/>
    <row r="93" spans="2:16" ht="15.75">
      <c r="B93" s="92" t="s">
        <v>80</v>
      </c>
      <c r="C93" s="92"/>
      <c r="D93" s="92"/>
      <c r="E93" s="92"/>
      <c r="F93" s="92"/>
      <c r="G93" s="92"/>
      <c r="H93" s="92"/>
      <c r="I93" s="92"/>
      <c r="J93" s="92"/>
      <c r="K93" s="92"/>
    </row>
    <row r="94" spans="2:16" hidden="1"/>
    <row r="95" spans="2:16" ht="15.75" hidden="1">
      <c r="B95" s="81" t="s">
        <v>1</v>
      </c>
      <c r="C95" s="81"/>
      <c r="D95" s="81"/>
      <c r="E95" s="81"/>
      <c r="F95" s="81"/>
      <c r="G95" s="81"/>
      <c r="H95" s="81"/>
      <c r="I95" s="81"/>
      <c r="J95" s="81"/>
      <c r="K95" s="81"/>
      <c r="L95" s="79" t="s">
        <v>2</v>
      </c>
      <c r="M95" s="79"/>
      <c r="N95" s="79"/>
      <c r="O95" s="79"/>
      <c r="P95" s="79"/>
    </row>
    <row r="96" spans="2:16" hidden="1">
      <c r="B96" s="2" t="s">
        <v>3</v>
      </c>
      <c r="C96" s="2" t="s">
        <v>4</v>
      </c>
      <c r="D96" s="2" t="s">
        <v>5</v>
      </c>
      <c r="E96" s="2" t="s">
        <v>6</v>
      </c>
      <c r="F96" s="2" t="s">
        <v>7</v>
      </c>
      <c r="G96" s="3" t="s">
        <v>8</v>
      </c>
      <c r="H96" s="2" t="s">
        <v>9</v>
      </c>
      <c r="I96" s="2" t="s">
        <v>10</v>
      </c>
      <c r="J96" s="2" t="s">
        <v>11</v>
      </c>
      <c r="K96" s="2" t="s">
        <v>12</v>
      </c>
      <c r="L96" s="2" t="s">
        <v>4</v>
      </c>
      <c r="M96" s="2" t="s">
        <v>6</v>
      </c>
      <c r="N96" s="2" t="s">
        <v>7</v>
      </c>
      <c r="O96" s="3" t="s">
        <v>8</v>
      </c>
      <c r="P96" s="2" t="s">
        <v>9</v>
      </c>
    </row>
    <row r="97" spans="2:16" hidden="1">
      <c r="B97" s="90">
        <v>20</v>
      </c>
      <c r="C97" s="10">
        <v>15210</v>
      </c>
      <c r="D97" s="11">
        <v>0.08</v>
      </c>
      <c r="E97" s="12" t="s">
        <v>81</v>
      </c>
      <c r="F97" s="32">
        <v>2000000</v>
      </c>
      <c r="G97" s="56">
        <v>0.05</v>
      </c>
      <c r="H97" s="32">
        <f>F97*G97</f>
        <v>100000</v>
      </c>
      <c r="I97" s="31" t="s">
        <v>64</v>
      </c>
      <c r="J97" s="31" t="s">
        <v>33</v>
      </c>
      <c r="K97" s="31"/>
      <c r="L97" s="1"/>
      <c r="M97" s="1"/>
      <c r="N97" s="4"/>
      <c r="O97" s="1"/>
      <c r="P97" s="4"/>
    </row>
    <row r="98" spans="2:16" hidden="1">
      <c r="B98" s="90"/>
      <c r="C98" s="10">
        <v>15275</v>
      </c>
      <c r="D98" s="11">
        <v>0.1</v>
      </c>
      <c r="E98" s="12" t="s">
        <v>82</v>
      </c>
      <c r="F98" s="32">
        <v>2000000</v>
      </c>
      <c r="G98" s="56">
        <v>0.05</v>
      </c>
      <c r="H98" s="32">
        <f>F98*G98</f>
        <v>100000</v>
      </c>
      <c r="I98" s="31" t="s">
        <v>83</v>
      </c>
      <c r="J98" s="31" t="s">
        <v>33</v>
      </c>
      <c r="K98" s="31"/>
      <c r="L98" s="1"/>
      <c r="M98" s="1"/>
      <c r="N98" s="4"/>
      <c r="O98" s="1"/>
      <c r="P98" s="4"/>
    </row>
    <row r="99" spans="2:16" hidden="1">
      <c r="B99" s="90"/>
      <c r="C99" s="23" t="s">
        <v>47</v>
      </c>
      <c r="D99" s="23"/>
      <c r="E99" s="24" t="s">
        <v>84</v>
      </c>
      <c r="F99" s="32">
        <v>1400000</v>
      </c>
      <c r="G99" s="31"/>
      <c r="H99" s="32"/>
      <c r="I99" s="31"/>
      <c r="J99" s="31" t="s">
        <v>33</v>
      </c>
      <c r="K99" s="31" t="s">
        <v>85</v>
      </c>
      <c r="L99" s="1"/>
      <c r="M99" s="1"/>
      <c r="N99" s="4"/>
      <c r="O99" s="1"/>
      <c r="P99" s="4"/>
    </row>
    <row r="100" spans="2:16" hidden="1">
      <c r="B100" s="90"/>
      <c r="C100" s="24" t="s">
        <v>47</v>
      </c>
      <c r="D100" s="24"/>
      <c r="E100" s="24" t="s">
        <v>86</v>
      </c>
      <c r="F100" s="4">
        <v>1700000</v>
      </c>
      <c r="G100" s="51"/>
      <c r="H100" s="32"/>
      <c r="I100" s="31"/>
      <c r="J100" s="31" t="s">
        <v>33</v>
      </c>
      <c r="K100" s="31" t="s">
        <v>76</v>
      </c>
      <c r="L100" s="1"/>
      <c r="M100" s="1"/>
      <c r="N100" s="4"/>
      <c r="O100" s="1"/>
      <c r="P100" s="4"/>
    </row>
    <row r="101" spans="2:16" hidden="1">
      <c r="B101" s="90"/>
      <c r="C101" s="30"/>
      <c r="D101" s="30"/>
      <c r="E101" s="31"/>
      <c r="F101" s="32"/>
      <c r="G101" s="31"/>
      <c r="H101" s="32"/>
      <c r="I101" s="31"/>
      <c r="J101" s="31"/>
      <c r="K101" s="31"/>
      <c r="L101" s="1"/>
      <c r="M101" s="6"/>
      <c r="N101" s="7"/>
      <c r="O101" s="6"/>
      <c r="P101" s="7"/>
    </row>
    <row r="102" spans="2:16" hidden="1">
      <c r="B102" s="90"/>
      <c r="C102" s="9"/>
      <c r="D102" s="9"/>
      <c r="E102" s="1" t="s">
        <v>23</v>
      </c>
      <c r="F102" s="4">
        <f>F97+F98</f>
        <v>4000000</v>
      </c>
      <c r="G102" s="1"/>
      <c r="H102" s="4"/>
      <c r="I102" s="1"/>
      <c r="J102" s="1"/>
      <c r="K102" s="1"/>
      <c r="L102" s="1"/>
      <c r="M102" s="6"/>
      <c r="N102" s="7"/>
      <c r="O102" s="6"/>
      <c r="P102" s="7"/>
    </row>
    <row r="103" spans="2:16" hidden="1">
      <c r="B103" s="91"/>
      <c r="C103" s="9"/>
      <c r="D103" s="9"/>
      <c r="E103" s="84" t="s">
        <v>24</v>
      </c>
      <c r="F103" s="85"/>
      <c r="G103" s="86"/>
      <c r="H103" s="7">
        <f>SUM(H97:H102)</f>
        <v>200000</v>
      </c>
      <c r="I103" s="1"/>
      <c r="J103" s="1"/>
      <c r="K103" s="1"/>
      <c r="L103" s="5"/>
      <c r="M103" s="87" t="s">
        <v>25</v>
      </c>
      <c r="N103" s="87"/>
      <c r="O103" s="87"/>
      <c r="P103" s="4"/>
    </row>
    <row r="104" spans="2:16" hidden="1">
      <c r="E104" s="79" t="s">
        <v>26</v>
      </c>
      <c r="F104" s="79"/>
      <c r="G104" s="80"/>
      <c r="H104" s="8"/>
    </row>
    <row r="105" spans="2:16" hidden="1"/>
    <row r="106" spans="2:16" ht="15.75" hidden="1">
      <c r="B106" s="81" t="s">
        <v>27</v>
      </c>
      <c r="C106" s="81"/>
      <c r="D106" s="81"/>
      <c r="E106" s="81"/>
      <c r="F106" s="81"/>
      <c r="G106" s="81"/>
      <c r="H106" s="81"/>
      <c r="I106" s="81"/>
      <c r="J106" s="81"/>
      <c r="K106" s="81"/>
      <c r="L106" s="79" t="s">
        <v>2</v>
      </c>
      <c r="M106" s="79"/>
      <c r="N106" s="79"/>
      <c r="O106" s="79"/>
      <c r="P106" s="79"/>
    </row>
    <row r="107" spans="2:16" hidden="1">
      <c r="B107" s="2" t="s">
        <v>3</v>
      </c>
      <c r="C107" s="2" t="s">
        <v>4</v>
      </c>
      <c r="D107" s="2" t="s">
        <v>5</v>
      </c>
      <c r="E107" s="2" t="s">
        <v>6</v>
      </c>
      <c r="F107" s="2" t="s">
        <v>7</v>
      </c>
      <c r="G107" s="3" t="s">
        <v>8</v>
      </c>
      <c r="H107" s="2" t="s">
        <v>9</v>
      </c>
      <c r="I107" s="2" t="s">
        <v>10</v>
      </c>
      <c r="J107" s="2" t="s">
        <v>11</v>
      </c>
      <c r="K107" s="2" t="s">
        <v>12</v>
      </c>
      <c r="L107" s="2" t="s">
        <v>4</v>
      </c>
      <c r="M107" s="2" t="s">
        <v>6</v>
      </c>
      <c r="N107" s="2" t="s">
        <v>7</v>
      </c>
      <c r="O107" s="3" t="s">
        <v>8</v>
      </c>
      <c r="P107" s="2" t="s">
        <v>9</v>
      </c>
    </row>
    <row r="108" spans="2:16" hidden="1">
      <c r="B108" s="90">
        <v>20</v>
      </c>
      <c r="C108" s="10">
        <v>15210</v>
      </c>
      <c r="D108" s="11">
        <v>0.1</v>
      </c>
      <c r="E108" s="12" t="s">
        <v>87</v>
      </c>
      <c r="F108" s="4">
        <v>2800000</v>
      </c>
      <c r="G108" s="46">
        <v>0.1</v>
      </c>
      <c r="H108" s="4">
        <f>F108*G108</f>
        <v>280000</v>
      </c>
      <c r="I108" s="1" t="s">
        <v>83</v>
      </c>
      <c r="J108" s="1" t="s">
        <v>33</v>
      </c>
      <c r="K108" s="31"/>
      <c r="L108" s="10">
        <v>15275</v>
      </c>
      <c r="M108" s="12" t="s">
        <v>82</v>
      </c>
      <c r="N108" s="32">
        <v>2000000</v>
      </c>
      <c r="O108" s="46">
        <v>0.05</v>
      </c>
      <c r="P108" s="4">
        <f>N108*O108</f>
        <v>100000</v>
      </c>
    </row>
    <row r="109" spans="2:16" hidden="1">
      <c r="B109" s="90"/>
      <c r="C109" s="10">
        <v>15244</v>
      </c>
      <c r="D109" s="11">
        <v>0.1</v>
      </c>
      <c r="E109" s="12" t="s">
        <v>88</v>
      </c>
      <c r="F109" s="4">
        <v>1700000</v>
      </c>
      <c r="G109" s="46">
        <v>0.1</v>
      </c>
      <c r="H109" s="4">
        <f>F109*G109</f>
        <v>170000</v>
      </c>
      <c r="I109" s="1" t="s">
        <v>83</v>
      </c>
      <c r="J109" s="1" t="s">
        <v>33</v>
      </c>
      <c r="K109" s="31"/>
      <c r="L109" s="1"/>
      <c r="M109" s="1"/>
      <c r="N109" s="4"/>
      <c r="O109" s="1"/>
      <c r="P109" s="4"/>
    </row>
    <row r="110" spans="2:16" hidden="1">
      <c r="B110" s="90"/>
      <c r="C110" s="24" t="s">
        <v>48</v>
      </c>
      <c r="D110" s="24"/>
      <c r="E110" s="41" t="s">
        <v>89</v>
      </c>
      <c r="F110" s="32">
        <v>2100000</v>
      </c>
      <c r="G110" s="31"/>
      <c r="H110" s="32"/>
      <c r="I110" s="32"/>
      <c r="J110" s="31" t="s">
        <v>33</v>
      </c>
      <c r="K110" s="31" t="s">
        <v>90</v>
      </c>
      <c r="L110" s="1"/>
      <c r="M110" s="1"/>
      <c r="N110" s="4"/>
      <c r="O110" s="1"/>
      <c r="P110" s="4"/>
    </row>
    <row r="111" spans="2:16" hidden="1">
      <c r="B111" s="90"/>
      <c r="C111" s="24" t="s">
        <v>20</v>
      </c>
      <c r="D111" s="24"/>
      <c r="E111" s="24" t="s">
        <v>91</v>
      </c>
      <c r="F111" s="4">
        <v>1800000</v>
      </c>
      <c r="G111" s="1"/>
      <c r="H111" s="4"/>
      <c r="I111" s="1"/>
      <c r="J111" s="1" t="s">
        <v>15</v>
      </c>
      <c r="K111" s="40" t="s">
        <v>92</v>
      </c>
      <c r="L111" s="1"/>
      <c r="M111" s="1"/>
      <c r="N111" s="4"/>
      <c r="O111" s="1"/>
      <c r="P111" s="4"/>
    </row>
    <row r="112" spans="2:16" hidden="1">
      <c r="B112" s="90"/>
      <c r="C112" s="31"/>
      <c r="D112" s="31"/>
      <c r="E112" s="31"/>
      <c r="F112" s="32"/>
      <c r="G112" s="31"/>
      <c r="H112" s="32"/>
      <c r="I112" s="31"/>
      <c r="J112" s="31"/>
      <c r="K112" s="31"/>
      <c r="L112" s="1"/>
      <c r="M112" s="1"/>
      <c r="N112" s="4"/>
      <c r="O112" s="1"/>
      <c r="P112" s="4"/>
    </row>
    <row r="113" spans="2:16" hidden="1">
      <c r="B113" s="90"/>
      <c r="C113" s="1"/>
      <c r="D113" s="1"/>
      <c r="E113" s="5" t="s">
        <v>23</v>
      </c>
      <c r="F113" s="4">
        <f>F108+F109</f>
        <v>4500000</v>
      </c>
      <c r="G113" s="1"/>
      <c r="H113" s="4"/>
      <c r="I113" s="1"/>
      <c r="J113" s="1"/>
      <c r="K113" s="1"/>
      <c r="L113" s="1"/>
      <c r="M113" s="6"/>
      <c r="N113" s="7"/>
      <c r="O113" s="6"/>
      <c r="P113" s="7"/>
    </row>
    <row r="114" spans="2:16" hidden="1">
      <c r="B114" s="91"/>
      <c r="C114" s="1"/>
      <c r="D114" s="1"/>
      <c r="E114" s="84" t="s">
        <v>24</v>
      </c>
      <c r="F114" s="85"/>
      <c r="G114" s="86"/>
      <c r="H114" s="7">
        <f>SUM(H108:H113)</f>
        <v>450000</v>
      </c>
      <c r="I114" s="1"/>
      <c r="J114" s="1"/>
      <c r="K114" s="1"/>
      <c r="L114" s="5"/>
      <c r="M114" s="87" t="s">
        <v>25</v>
      </c>
      <c r="N114" s="87"/>
      <c r="O114" s="87"/>
      <c r="P114" s="4">
        <f>P108</f>
        <v>100000</v>
      </c>
    </row>
    <row r="115" spans="2:16" hidden="1">
      <c r="E115" s="79" t="s">
        <v>26</v>
      </c>
      <c r="F115" s="79"/>
      <c r="G115" s="80"/>
      <c r="H115" s="54">
        <f>H114+P114</f>
        <v>550000</v>
      </c>
    </row>
    <row r="116" spans="2:16" hidden="1"/>
    <row r="117" spans="2:16" ht="15.75" hidden="1">
      <c r="B117" s="81" t="s">
        <v>93</v>
      </c>
      <c r="C117" s="81"/>
      <c r="D117" s="81"/>
      <c r="E117" s="81"/>
      <c r="F117" s="81"/>
      <c r="G117" s="81"/>
      <c r="H117" s="81"/>
      <c r="I117" s="81"/>
      <c r="J117" s="81"/>
      <c r="K117" s="81"/>
      <c r="L117" s="79" t="s">
        <v>2</v>
      </c>
      <c r="M117" s="79"/>
      <c r="N117" s="79"/>
      <c r="O117" s="79"/>
      <c r="P117" s="79"/>
    </row>
    <row r="118" spans="2:16" hidden="1">
      <c r="B118" s="2" t="s">
        <v>3</v>
      </c>
      <c r="C118" s="2" t="s">
        <v>4</v>
      </c>
      <c r="D118" s="2" t="s">
        <v>5</v>
      </c>
      <c r="E118" s="2" t="s">
        <v>6</v>
      </c>
      <c r="F118" s="2" t="s">
        <v>7</v>
      </c>
      <c r="G118" s="3" t="s">
        <v>8</v>
      </c>
      <c r="H118" s="2" t="s">
        <v>9</v>
      </c>
      <c r="I118" s="2" t="s">
        <v>10</v>
      </c>
      <c r="J118" s="2" t="s">
        <v>11</v>
      </c>
      <c r="K118" s="2" t="s">
        <v>12</v>
      </c>
      <c r="L118" s="2" t="s">
        <v>4</v>
      </c>
      <c r="M118" s="2" t="s">
        <v>6</v>
      </c>
      <c r="N118" s="2" t="s">
        <v>7</v>
      </c>
      <c r="O118" s="3" t="s">
        <v>8</v>
      </c>
      <c r="P118" s="2" t="s">
        <v>9</v>
      </c>
    </row>
    <row r="119" spans="2:16" hidden="1">
      <c r="B119" s="82"/>
      <c r="C119" s="23" t="s">
        <v>31</v>
      </c>
      <c r="D119" s="23"/>
      <c r="E119" s="24" t="s">
        <v>94</v>
      </c>
      <c r="F119" s="32">
        <v>1373000</v>
      </c>
      <c r="G119" s="31"/>
      <c r="H119" s="32"/>
      <c r="I119" s="31"/>
      <c r="J119" s="31" t="s">
        <v>15</v>
      </c>
      <c r="K119" s="31" t="s">
        <v>34</v>
      </c>
      <c r="L119" s="1"/>
      <c r="M119" s="1"/>
      <c r="N119" s="4"/>
      <c r="O119" s="1"/>
      <c r="P119" s="4">
        <f>N119*O119</f>
        <v>0</v>
      </c>
    </row>
    <row r="120" spans="2:16" hidden="1">
      <c r="B120" s="82"/>
      <c r="C120" s="23" t="s">
        <v>48</v>
      </c>
      <c r="D120" s="23"/>
      <c r="E120" s="24" t="s">
        <v>95</v>
      </c>
      <c r="F120" s="32">
        <v>1400000</v>
      </c>
      <c r="G120" s="31"/>
      <c r="H120" s="32"/>
      <c r="I120" s="31"/>
      <c r="J120" s="31" t="s">
        <v>33</v>
      </c>
      <c r="K120" s="1"/>
      <c r="L120" s="1"/>
      <c r="M120" s="1"/>
      <c r="N120" s="4"/>
      <c r="O120" s="1"/>
      <c r="P120" s="4">
        <f>N120*O120</f>
        <v>0</v>
      </c>
    </row>
    <row r="121" spans="2:16" hidden="1">
      <c r="B121" s="82"/>
      <c r="C121" s="9"/>
      <c r="D121" s="9"/>
      <c r="E121" s="1"/>
      <c r="F121" s="4"/>
      <c r="G121" s="1"/>
      <c r="H121" s="4"/>
      <c r="I121" s="1"/>
      <c r="J121" s="1"/>
      <c r="K121" s="1"/>
      <c r="L121" s="1"/>
      <c r="M121" s="1"/>
      <c r="N121" s="4"/>
      <c r="O121" s="1"/>
      <c r="P121" s="4">
        <f>N121*O121</f>
        <v>0</v>
      </c>
    </row>
    <row r="122" spans="2:16" hidden="1">
      <c r="B122" s="82"/>
      <c r="C122" s="9"/>
      <c r="D122" s="9"/>
      <c r="E122" s="1"/>
      <c r="F122" s="4">
        <f>SUM(F119:F121)</f>
        <v>2773000</v>
      </c>
      <c r="G122" s="1"/>
      <c r="H122" s="4"/>
      <c r="I122" s="1"/>
      <c r="J122" s="1"/>
      <c r="K122" s="1"/>
      <c r="L122" s="1"/>
      <c r="M122" s="6"/>
      <c r="N122" s="7"/>
      <c r="O122" s="6"/>
      <c r="P122" s="7">
        <f>N122*O122</f>
        <v>0</v>
      </c>
    </row>
    <row r="123" spans="2:16" hidden="1">
      <c r="B123" s="83"/>
      <c r="C123" s="9"/>
      <c r="D123" s="9"/>
      <c r="E123" s="84" t="s">
        <v>24</v>
      </c>
      <c r="F123" s="85"/>
      <c r="G123" s="86"/>
      <c r="H123" s="7"/>
      <c r="I123" s="1"/>
      <c r="J123" s="1"/>
      <c r="K123" s="1"/>
      <c r="L123" s="5"/>
      <c r="M123" s="87" t="s">
        <v>25</v>
      </c>
      <c r="N123" s="87"/>
      <c r="O123" s="87"/>
      <c r="P123" s="4"/>
    </row>
    <row r="124" spans="2:16" hidden="1">
      <c r="E124" s="79" t="s">
        <v>26</v>
      </c>
      <c r="F124" s="79"/>
      <c r="G124" s="80"/>
      <c r="H124" s="8"/>
    </row>
    <row r="125" spans="2:16" hidden="1"/>
    <row r="126" spans="2:16" hidden="1"/>
    <row r="127" spans="2:16" hidden="1">
      <c r="B127" s="75" t="s">
        <v>46</v>
      </c>
      <c r="C127" s="75"/>
      <c r="D127" s="75"/>
      <c r="E127" s="42">
        <f>F97+F98+F108+F109</f>
        <v>8500000</v>
      </c>
      <c r="J127" s="25"/>
    </row>
    <row r="128" spans="2:16" hidden="1">
      <c r="B128" s="88" t="s">
        <v>47</v>
      </c>
      <c r="C128" s="88"/>
      <c r="D128" s="88"/>
      <c r="E128" s="43"/>
      <c r="J128" s="25"/>
    </row>
    <row r="129" spans="2:16" hidden="1">
      <c r="B129" s="75" t="s">
        <v>79</v>
      </c>
      <c r="C129" s="75"/>
      <c r="D129" s="75"/>
      <c r="E129" s="44"/>
    </row>
    <row r="130" spans="2:16" hidden="1">
      <c r="B130" s="75" t="s">
        <v>48</v>
      </c>
      <c r="C130" s="75"/>
      <c r="D130" s="75"/>
      <c r="E130" s="44"/>
      <c r="J130" s="25"/>
    </row>
    <row r="131" spans="2:16" hidden="1">
      <c r="B131" s="75" t="s">
        <v>49</v>
      </c>
      <c r="C131" s="75"/>
      <c r="D131" s="75"/>
      <c r="E131" s="45">
        <f>F99+F100+F110+F111+F120</f>
        <v>8400000</v>
      </c>
      <c r="J131" s="25"/>
    </row>
    <row r="132" spans="2:16" hidden="1">
      <c r="B132" s="76" t="s">
        <v>34</v>
      </c>
      <c r="C132" s="77"/>
      <c r="D132" s="78"/>
      <c r="E132" s="53">
        <f>F119</f>
        <v>1373000</v>
      </c>
    </row>
    <row r="133" spans="2:16" hidden="1">
      <c r="B133" s="76" t="s">
        <v>96</v>
      </c>
      <c r="C133" s="77"/>
      <c r="D133" s="78"/>
      <c r="E133" s="54"/>
    </row>
    <row r="134" spans="2:16" hidden="1"/>
    <row r="136" spans="2:16" ht="15.75">
      <c r="B136" s="92" t="s">
        <v>97</v>
      </c>
      <c r="C136" s="92"/>
      <c r="D136" s="92"/>
      <c r="E136" s="92"/>
      <c r="F136" s="92"/>
      <c r="G136" s="92"/>
      <c r="H136" s="92"/>
      <c r="I136" s="92"/>
      <c r="J136" s="92"/>
      <c r="K136" s="92"/>
    </row>
    <row r="138" spans="2:16" ht="15.75">
      <c r="B138" s="81" t="s">
        <v>1</v>
      </c>
      <c r="C138" s="81"/>
      <c r="D138" s="81"/>
      <c r="E138" s="81"/>
      <c r="F138" s="81"/>
      <c r="G138" s="81"/>
      <c r="H138" s="81"/>
      <c r="I138" s="81"/>
      <c r="J138" s="81"/>
      <c r="K138" s="81"/>
      <c r="L138" s="79" t="s">
        <v>2</v>
      </c>
      <c r="M138" s="79"/>
      <c r="N138" s="79"/>
      <c r="O138" s="79"/>
      <c r="P138" s="79"/>
    </row>
    <row r="139" spans="2:16">
      <c r="B139" s="2" t="s">
        <v>3</v>
      </c>
      <c r="C139" s="2" t="s">
        <v>4</v>
      </c>
      <c r="D139" s="2" t="s">
        <v>5</v>
      </c>
      <c r="E139" s="2" t="s">
        <v>6</v>
      </c>
      <c r="F139" s="2" t="s">
        <v>7</v>
      </c>
      <c r="G139" s="3" t="s">
        <v>8</v>
      </c>
      <c r="H139" s="2" t="s">
        <v>9</v>
      </c>
      <c r="I139" s="2" t="s">
        <v>10</v>
      </c>
      <c r="J139" s="2" t="s">
        <v>11</v>
      </c>
      <c r="K139" s="2" t="s">
        <v>12</v>
      </c>
      <c r="L139" s="2" t="s">
        <v>4</v>
      </c>
      <c r="M139" s="2" t="s">
        <v>6</v>
      </c>
      <c r="N139" s="2" t="s">
        <v>7</v>
      </c>
      <c r="O139" s="3" t="s">
        <v>8</v>
      </c>
      <c r="P139" s="2" t="s">
        <v>9</v>
      </c>
    </row>
    <row r="140" spans="2:16">
      <c r="B140" s="90">
        <v>17</v>
      </c>
      <c r="C140" s="10">
        <v>15503</v>
      </c>
      <c r="D140" s="11">
        <v>0.1</v>
      </c>
      <c r="E140" s="64" t="s">
        <v>98</v>
      </c>
      <c r="F140" s="32">
        <v>1700000</v>
      </c>
      <c r="G140" s="51">
        <v>0.05</v>
      </c>
      <c r="H140" s="32">
        <f>F140*G140</f>
        <v>85000</v>
      </c>
      <c r="I140" s="31" t="s">
        <v>64</v>
      </c>
      <c r="J140" s="31" t="s">
        <v>33</v>
      </c>
      <c r="K140" s="71" t="s">
        <v>99</v>
      </c>
      <c r="L140" s="1"/>
      <c r="M140" s="1"/>
      <c r="N140" s="4"/>
      <c r="O140" s="1"/>
      <c r="P140" s="4"/>
    </row>
    <row r="141" spans="2:16">
      <c r="B141" s="90"/>
      <c r="C141" s="10">
        <v>15601</v>
      </c>
      <c r="D141" s="11">
        <v>0.1</v>
      </c>
      <c r="E141" s="64" t="s">
        <v>100</v>
      </c>
      <c r="F141" s="32">
        <v>2500000</v>
      </c>
      <c r="G141" s="51">
        <v>0.1</v>
      </c>
      <c r="H141" s="32">
        <f t="shared" ref="H141:H144" si="5">F141*G141</f>
        <v>250000</v>
      </c>
      <c r="I141" s="31" t="s">
        <v>17</v>
      </c>
      <c r="J141" s="31" t="s">
        <v>33</v>
      </c>
      <c r="K141" s="73"/>
      <c r="L141" s="1"/>
      <c r="M141" s="1"/>
      <c r="N141" s="4"/>
      <c r="O141" s="1"/>
      <c r="P141" s="4"/>
    </row>
    <row r="142" spans="2:16">
      <c r="B142" s="90"/>
      <c r="C142" s="63">
        <v>15560</v>
      </c>
      <c r="D142" s="11">
        <v>0.1</v>
      </c>
      <c r="E142" s="64" t="s">
        <v>101</v>
      </c>
      <c r="F142" s="32">
        <v>2000000</v>
      </c>
      <c r="G142" s="51">
        <v>0.05</v>
      </c>
      <c r="H142" s="32">
        <f t="shared" si="5"/>
        <v>100000</v>
      </c>
      <c r="I142" s="31" t="s">
        <v>17</v>
      </c>
      <c r="J142" s="52" t="s">
        <v>33</v>
      </c>
      <c r="K142" s="72" t="s">
        <v>99</v>
      </c>
      <c r="L142" s="39"/>
      <c r="M142" s="1"/>
      <c r="N142" s="4"/>
      <c r="O142" s="1"/>
      <c r="P142" s="4"/>
    </row>
    <row r="143" spans="2:16">
      <c r="B143" s="90"/>
      <c r="C143" s="47">
        <v>15593</v>
      </c>
      <c r="D143" s="11">
        <v>0.08</v>
      </c>
      <c r="E143" s="64" t="s">
        <v>102</v>
      </c>
      <c r="F143" s="32">
        <v>1500000</v>
      </c>
      <c r="G143" s="51">
        <v>0.1</v>
      </c>
      <c r="H143" s="32">
        <f t="shared" si="5"/>
        <v>150000</v>
      </c>
      <c r="I143" s="31" t="s">
        <v>17</v>
      </c>
      <c r="J143" s="52" t="s">
        <v>103</v>
      </c>
      <c r="K143" s="72" t="s">
        <v>99</v>
      </c>
      <c r="L143" s="39"/>
      <c r="M143" s="6"/>
      <c r="N143" s="7"/>
      <c r="O143" s="6"/>
      <c r="P143" s="7"/>
    </row>
    <row r="144" spans="2:16">
      <c r="B144" s="90"/>
      <c r="C144" s="47">
        <v>15589</v>
      </c>
      <c r="D144" s="11">
        <v>0.1</v>
      </c>
      <c r="E144" s="64" t="s">
        <v>104</v>
      </c>
      <c r="F144" s="32">
        <v>1600000</v>
      </c>
      <c r="G144" s="51">
        <v>0.05</v>
      </c>
      <c r="H144" s="32">
        <f t="shared" si="5"/>
        <v>80000</v>
      </c>
      <c r="I144" s="31" t="s">
        <v>19</v>
      </c>
      <c r="J144" s="31" t="s">
        <v>33</v>
      </c>
      <c r="K144" s="60"/>
      <c r="L144" s="1"/>
      <c r="M144" s="6"/>
      <c r="N144" s="7"/>
      <c r="O144" s="6"/>
      <c r="P144" s="7"/>
    </row>
    <row r="145" spans="2:16">
      <c r="B145" s="90"/>
      <c r="C145" s="47">
        <v>15588</v>
      </c>
      <c r="D145" s="11">
        <v>0.1</v>
      </c>
      <c r="E145" s="12" t="s">
        <v>105</v>
      </c>
      <c r="F145" s="32">
        <v>1700000</v>
      </c>
      <c r="G145" s="51">
        <v>0.1</v>
      </c>
      <c r="H145" s="32">
        <f t="shared" ref="H145" si="6">F145*G145</f>
        <v>170000</v>
      </c>
      <c r="I145" s="31" t="s">
        <v>17</v>
      </c>
      <c r="J145" s="31" t="s">
        <v>103</v>
      </c>
      <c r="K145" s="31" t="s">
        <v>99</v>
      </c>
      <c r="L145" s="1"/>
      <c r="M145" s="6"/>
      <c r="N145" s="7"/>
      <c r="O145" s="6"/>
      <c r="P145" s="7"/>
    </row>
    <row r="146" spans="2:16">
      <c r="B146" s="90"/>
      <c r="C146" s="23" t="s">
        <v>106</v>
      </c>
      <c r="D146" s="23"/>
      <c r="E146" s="24" t="s">
        <v>107</v>
      </c>
      <c r="F146" s="32">
        <v>1600000</v>
      </c>
      <c r="G146" s="51"/>
      <c r="H146" s="32"/>
      <c r="I146" s="31"/>
      <c r="J146" s="31" t="s">
        <v>33</v>
      </c>
      <c r="K146" s="31" t="s">
        <v>108</v>
      </c>
      <c r="L146" s="1"/>
      <c r="M146" s="6"/>
      <c r="N146" s="7"/>
      <c r="O146" s="6"/>
      <c r="P146" s="7"/>
    </row>
    <row r="147" spans="2:16">
      <c r="B147" s="90"/>
      <c r="C147" s="9"/>
      <c r="D147" s="9"/>
      <c r="E147" s="1" t="s">
        <v>23</v>
      </c>
      <c r="F147" s="4">
        <f>F140+F141+F142+F143+F144+F145</f>
        <v>11000000</v>
      </c>
      <c r="G147" s="1"/>
      <c r="H147" s="4"/>
      <c r="I147" s="1"/>
      <c r="J147" s="1"/>
      <c r="K147" s="1"/>
      <c r="L147" s="1"/>
      <c r="M147" s="6"/>
      <c r="N147" s="7"/>
      <c r="O147" s="6"/>
      <c r="P147" s="7">
        <f t="shared" ref="P147" si="7">N147*O147</f>
        <v>0</v>
      </c>
    </row>
    <row r="148" spans="2:16">
      <c r="B148" s="91"/>
      <c r="C148" s="9"/>
      <c r="D148" s="9"/>
      <c r="E148" s="84" t="s">
        <v>24</v>
      </c>
      <c r="F148" s="85"/>
      <c r="G148" s="86"/>
      <c r="H148" s="7">
        <f>SUM(H140:H147)</f>
        <v>835000</v>
      </c>
      <c r="I148" s="1"/>
      <c r="J148" s="1"/>
      <c r="K148" s="1"/>
      <c r="L148" s="5"/>
      <c r="M148" s="87" t="s">
        <v>25</v>
      </c>
      <c r="N148" s="87"/>
      <c r="O148" s="87"/>
      <c r="P148" s="4"/>
    </row>
    <row r="149" spans="2:16">
      <c r="E149" s="80" t="s">
        <v>26</v>
      </c>
      <c r="F149" s="97"/>
      <c r="G149" s="98"/>
      <c r="H149" s="8"/>
    </row>
    <row r="151" spans="2:16" ht="15.75">
      <c r="B151" s="81" t="s">
        <v>109</v>
      </c>
      <c r="C151" s="81"/>
      <c r="D151" s="81"/>
      <c r="E151" s="81"/>
      <c r="F151" s="81"/>
      <c r="G151" s="81"/>
      <c r="H151" s="81"/>
      <c r="I151" s="81"/>
      <c r="J151" s="81"/>
      <c r="K151" s="81"/>
      <c r="L151" s="79" t="s">
        <v>2</v>
      </c>
      <c r="M151" s="79"/>
      <c r="N151" s="79"/>
      <c r="O151" s="79"/>
      <c r="P151" s="79"/>
    </row>
    <row r="152" spans="2:16">
      <c r="B152" s="2" t="s">
        <v>3</v>
      </c>
      <c r="C152" s="58" t="s">
        <v>4</v>
      </c>
      <c r="D152" s="58" t="s">
        <v>5</v>
      </c>
      <c r="E152" s="58" t="s">
        <v>6</v>
      </c>
      <c r="F152" s="58" t="s">
        <v>7</v>
      </c>
      <c r="G152" s="59" t="s">
        <v>8</v>
      </c>
      <c r="H152" s="58" t="s">
        <v>9</v>
      </c>
      <c r="I152" s="58" t="s">
        <v>10</v>
      </c>
      <c r="J152" s="58" t="s">
        <v>11</v>
      </c>
      <c r="K152" s="2" t="s">
        <v>12</v>
      </c>
      <c r="L152" s="2" t="s">
        <v>4</v>
      </c>
      <c r="M152" s="2" t="s">
        <v>6</v>
      </c>
      <c r="N152" s="2" t="s">
        <v>7</v>
      </c>
      <c r="O152" s="3" t="s">
        <v>8</v>
      </c>
      <c r="P152" s="2" t="s">
        <v>9</v>
      </c>
    </row>
    <row r="153" spans="2:16">
      <c r="B153" s="89">
        <v>3</v>
      </c>
      <c r="C153" s="10">
        <v>15579</v>
      </c>
      <c r="D153" s="11">
        <v>0.1</v>
      </c>
      <c r="E153" s="12" t="s">
        <v>110</v>
      </c>
      <c r="F153" s="4">
        <v>1400000</v>
      </c>
      <c r="G153" s="8"/>
      <c r="H153" s="8"/>
      <c r="I153" s="8" t="s">
        <v>64</v>
      </c>
      <c r="J153" s="8" t="s">
        <v>33</v>
      </c>
      <c r="K153" s="71" t="s">
        <v>99</v>
      </c>
      <c r="L153" s="39"/>
      <c r="M153" s="1"/>
      <c r="N153" s="4"/>
      <c r="O153" s="1"/>
      <c r="P153" s="4"/>
    </row>
    <row r="154" spans="2:16">
      <c r="B154" s="89"/>
      <c r="C154" s="67">
        <v>15631</v>
      </c>
      <c r="D154" s="11">
        <v>0.1</v>
      </c>
      <c r="E154" s="65" t="s">
        <v>111</v>
      </c>
      <c r="F154" s="4">
        <v>850000</v>
      </c>
      <c r="G154" s="8"/>
      <c r="H154" s="8"/>
      <c r="I154" s="8" t="s">
        <v>64</v>
      </c>
      <c r="J154" s="8" t="s">
        <v>33</v>
      </c>
      <c r="K154" s="57"/>
      <c r="L154" s="39"/>
      <c r="M154" s="1"/>
      <c r="N154" s="4"/>
      <c r="O154" s="1"/>
      <c r="P154" s="4"/>
    </row>
    <row r="155" spans="2:16">
      <c r="B155" s="90"/>
      <c r="C155" s="24" t="s">
        <v>112</v>
      </c>
      <c r="D155" s="24"/>
      <c r="E155" s="24" t="s">
        <v>113</v>
      </c>
      <c r="F155" s="32">
        <v>2150000</v>
      </c>
      <c r="G155" s="31"/>
      <c r="H155" s="32"/>
      <c r="I155" s="31"/>
      <c r="J155" s="31" t="s">
        <v>33</v>
      </c>
      <c r="K155" s="31" t="s">
        <v>114</v>
      </c>
      <c r="L155" s="1"/>
      <c r="M155" s="1"/>
      <c r="N155" s="4"/>
      <c r="O155" s="1"/>
      <c r="P155" s="4">
        <f>N155*O155</f>
        <v>0</v>
      </c>
    </row>
    <row r="156" spans="2:16">
      <c r="B156" s="90"/>
      <c r="C156" s="1"/>
      <c r="D156" s="1"/>
      <c r="E156" s="5" t="s">
        <v>23</v>
      </c>
      <c r="F156" s="4">
        <f>F153+F154</f>
        <v>2250000</v>
      </c>
      <c r="G156" s="1"/>
      <c r="H156" s="4"/>
      <c r="I156" s="1"/>
      <c r="J156" s="1"/>
      <c r="K156" s="1"/>
      <c r="L156" s="1"/>
      <c r="M156" s="6"/>
      <c r="N156" s="7"/>
      <c r="O156" s="6"/>
      <c r="P156" s="7">
        <f>N156*O156</f>
        <v>0</v>
      </c>
    </row>
    <row r="157" spans="2:16">
      <c r="B157" s="91"/>
      <c r="C157" s="1"/>
      <c r="D157" s="1"/>
      <c r="E157" s="84" t="s">
        <v>24</v>
      </c>
      <c r="F157" s="85"/>
      <c r="G157" s="86"/>
      <c r="H157" s="7">
        <f>SUM(H153:H156)</f>
        <v>0</v>
      </c>
      <c r="I157" s="1"/>
      <c r="J157" s="1"/>
      <c r="K157" s="1"/>
      <c r="L157" s="5"/>
      <c r="M157" s="87" t="s">
        <v>25</v>
      </c>
      <c r="N157" s="87"/>
      <c r="O157" s="87"/>
      <c r="P157" s="4"/>
    </row>
    <row r="158" spans="2:16">
      <c r="E158" s="79" t="s">
        <v>26</v>
      </c>
      <c r="F158" s="79"/>
      <c r="G158" s="80"/>
      <c r="H158" s="70">
        <v>300000</v>
      </c>
    </row>
    <row r="160" spans="2:16" ht="15.75">
      <c r="B160" s="81" t="s">
        <v>115</v>
      </c>
      <c r="C160" s="81"/>
      <c r="D160" s="81"/>
      <c r="E160" s="81"/>
      <c r="F160" s="81"/>
      <c r="G160" s="81"/>
      <c r="H160" s="81"/>
      <c r="I160" s="81"/>
      <c r="J160" s="81"/>
      <c r="K160" s="81"/>
      <c r="L160" s="79" t="s">
        <v>2</v>
      </c>
      <c r="M160" s="79"/>
      <c r="N160" s="79"/>
      <c r="O160" s="79"/>
      <c r="P160" s="79"/>
    </row>
    <row r="161" spans="2:16">
      <c r="B161" s="2" t="s">
        <v>3</v>
      </c>
      <c r="C161" s="58" t="s">
        <v>4</v>
      </c>
      <c r="D161" s="58" t="s">
        <v>5</v>
      </c>
      <c r="E161" s="58" t="s">
        <v>6</v>
      </c>
      <c r="F161" s="58" t="s">
        <v>7</v>
      </c>
      <c r="G161" s="59" t="s">
        <v>8</v>
      </c>
      <c r="H161" s="58" t="s">
        <v>9</v>
      </c>
      <c r="I161" s="58" t="s">
        <v>10</v>
      </c>
      <c r="J161" s="58" t="s">
        <v>11</v>
      </c>
      <c r="K161" s="2" t="s">
        <v>12</v>
      </c>
      <c r="L161" s="2" t="s">
        <v>4</v>
      </c>
      <c r="M161" s="2" t="s">
        <v>6</v>
      </c>
      <c r="N161" s="2" t="s">
        <v>7</v>
      </c>
      <c r="O161" s="3" t="s">
        <v>8</v>
      </c>
      <c r="P161" s="2" t="s">
        <v>9</v>
      </c>
    </row>
    <row r="162" spans="2:16">
      <c r="B162" s="89">
        <v>5</v>
      </c>
      <c r="C162" s="10">
        <v>15648</v>
      </c>
      <c r="D162" s="11">
        <v>0.08</v>
      </c>
      <c r="E162" s="12" t="s">
        <v>116</v>
      </c>
      <c r="F162" s="32">
        <v>1300000</v>
      </c>
      <c r="G162" s="31"/>
      <c r="H162" s="32"/>
      <c r="I162" s="31" t="s">
        <v>64</v>
      </c>
      <c r="J162" s="31" t="s">
        <v>33</v>
      </c>
      <c r="K162" s="71" t="s">
        <v>99</v>
      </c>
      <c r="L162" s="39"/>
      <c r="M162" s="1"/>
      <c r="N162" s="4"/>
      <c r="O162" s="1"/>
      <c r="P162" s="4"/>
    </row>
    <row r="163" spans="2:16">
      <c r="B163" s="90"/>
      <c r="C163" s="1"/>
      <c r="D163" s="1"/>
      <c r="E163" s="5" t="s">
        <v>23</v>
      </c>
      <c r="F163" s="4">
        <f>SUM(F162:F162)</f>
        <v>1300000</v>
      </c>
      <c r="G163" s="1"/>
      <c r="H163" s="4"/>
      <c r="I163" s="1"/>
      <c r="J163" s="1"/>
      <c r="K163" s="1"/>
      <c r="L163" s="1"/>
      <c r="M163" s="6"/>
      <c r="N163" s="7"/>
      <c r="O163" s="6"/>
      <c r="P163" s="7">
        <f>N163*O163</f>
        <v>0</v>
      </c>
    </row>
    <row r="164" spans="2:16">
      <c r="B164" s="91"/>
      <c r="C164" s="1"/>
      <c r="D164" s="1"/>
      <c r="E164" s="84" t="s">
        <v>24</v>
      </c>
      <c r="F164" s="85"/>
      <c r="G164" s="86"/>
      <c r="H164" s="7"/>
      <c r="I164" s="1"/>
      <c r="J164" s="1"/>
      <c r="K164" s="1"/>
      <c r="L164" s="5"/>
      <c r="M164" s="87" t="s">
        <v>25</v>
      </c>
      <c r="N164" s="87"/>
      <c r="O164" s="87"/>
      <c r="P164" s="4"/>
    </row>
    <row r="165" spans="2:16">
      <c r="E165" s="79" t="s">
        <v>26</v>
      </c>
      <c r="F165" s="79"/>
      <c r="G165" s="80"/>
      <c r="H165" s="70">
        <v>300000</v>
      </c>
    </row>
    <row r="167" spans="2:16" ht="15.75">
      <c r="B167" s="81" t="s">
        <v>64</v>
      </c>
      <c r="C167" s="81"/>
      <c r="D167" s="81"/>
      <c r="E167" s="81"/>
      <c r="F167" s="81"/>
      <c r="G167" s="81"/>
      <c r="H167" s="81"/>
      <c r="I167" s="81"/>
      <c r="J167" s="81"/>
      <c r="K167" s="81"/>
      <c r="L167" s="79" t="s">
        <v>2</v>
      </c>
      <c r="M167" s="79"/>
      <c r="N167" s="79"/>
      <c r="O167" s="79"/>
      <c r="P167" s="79"/>
    </row>
    <row r="168" spans="2:16">
      <c r="B168" s="2" t="s">
        <v>3</v>
      </c>
      <c r="C168" s="2" t="s">
        <v>4</v>
      </c>
      <c r="D168" s="2" t="s">
        <v>5</v>
      </c>
      <c r="E168" s="2" t="s">
        <v>6</v>
      </c>
      <c r="F168" s="2" t="s">
        <v>7</v>
      </c>
      <c r="G168" s="3" t="s">
        <v>8</v>
      </c>
      <c r="H168" s="2" t="s">
        <v>9</v>
      </c>
      <c r="I168" s="2" t="s">
        <v>10</v>
      </c>
      <c r="J168" s="2" t="s">
        <v>11</v>
      </c>
      <c r="K168" s="2" t="s">
        <v>12</v>
      </c>
      <c r="L168" s="2" t="s">
        <v>4</v>
      </c>
      <c r="M168" s="2" t="s">
        <v>6</v>
      </c>
      <c r="N168" s="2" t="s">
        <v>7</v>
      </c>
      <c r="O168" s="3" t="s">
        <v>8</v>
      </c>
      <c r="P168" s="2" t="s">
        <v>9</v>
      </c>
    </row>
    <row r="169" spans="2:16">
      <c r="B169" s="82"/>
      <c r="C169" s="10">
        <v>15500</v>
      </c>
      <c r="D169" s="11">
        <v>0.08</v>
      </c>
      <c r="E169" s="12" t="s">
        <v>117</v>
      </c>
      <c r="F169" s="4">
        <v>3450000</v>
      </c>
      <c r="G169" s="1"/>
      <c r="H169" s="4"/>
      <c r="I169" s="1" t="s">
        <v>64</v>
      </c>
      <c r="J169" s="1" t="s">
        <v>33</v>
      </c>
      <c r="K169" s="1"/>
      <c r="L169" s="1"/>
      <c r="M169" s="1"/>
      <c r="N169" s="4"/>
      <c r="O169" s="1"/>
      <c r="P169" s="4">
        <f>N169*O169</f>
        <v>0</v>
      </c>
    </row>
    <row r="170" spans="2:16">
      <c r="B170" s="82"/>
      <c r="C170" s="10">
        <v>1521</v>
      </c>
      <c r="D170" s="11">
        <v>0.1</v>
      </c>
      <c r="E170" s="12" t="s">
        <v>118</v>
      </c>
      <c r="F170" s="4">
        <v>1900000</v>
      </c>
      <c r="G170" s="1"/>
      <c r="H170" s="4"/>
      <c r="I170" s="1" t="s">
        <v>64</v>
      </c>
      <c r="J170" s="1" t="s">
        <v>33</v>
      </c>
      <c r="K170" s="71" t="s">
        <v>99</v>
      </c>
      <c r="L170" s="1"/>
      <c r="M170" s="1"/>
      <c r="N170" s="4"/>
      <c r="O170" s="1"/>
      <c r="P170" s="4">
        <f>N170*O170</f>
        <v>0</v>
      </c>
    </row>
    <row r="171" spans="2:16">
      <c r="B171" s="82"/>
      <c r="C171" s="23" t="s">
        <v>106</v>
      </c>
      <c r="D171" s="23"/>
      <c r="E171" s="24" t="s">
        <v>110</v>
      </c>
      <c r="F171" s="4">
        <v>1400000</v>
      </c>
      <c r="G171" s="1"/>
      <c r="H171" s="4"/>
      <c r="I171" s="1"/>
      <c r="J171" s="1" t="s">
        <v>33</v>
      </c>
      <c r="K171" s="1" t="s">
        <v>119</v>
      </c>
      <c r="L171" s="1"/>
      <c r="M171" s="1"/>
      <c r="N171" s="4"/>
      <c r="O171" s="1"/>
      <c r="P171" s="4"/>
    </row>
    <row r="172" spans="2:16">
      <c r="B172" s="82"/>
      <c r="C172" s="66" t="s">
        <v>47</v>
      </c>
      <c r="D172" s="66"/>
      <c r="E172" s="41" t="s">
        <v>120</v>
      </c>
      <c r="F172" s="4">
        <v>1300000</v>
      </c>
      <c r="G172" s="1"/>
      <c r="H172" s="4"/>
      <c r="I172" s="1"/>
      <c r="J172" s="1" t="s">
        <v>33</v>
      </c>
      <c r="K172" s="1" t="s">
        <v>121</v>
      </c>
      <c r="L172" s="1"/>
      <c r="M172" s="6"/>
      <c r="N172" s="7"/>
      <c r="O172" s="6"/>
      <c r="P172" s="7"/>
    </row>
    <row r="173" spans="2:16">
      <c r="B173" s="82"/>
      <c r="C173" s="24" t="s">
        <v>47</v>
      </c>
      <c r="D173" s="24"/>
      <c r="E173" s="24" t="s">
        <v>122</v>
      </c>
      <c r="F173" s="32">
        <v>1850000</v>
      </c>
      <c r="G173" s="31"/>
      <c r="H173" s="32"/>
      <c r="I173" s="31"/>
      <c r="J173" s="52" t="s">
        <v>33</v>
      </c>
      <c r="K173" s="31" t="s">
        <v>121</v>
      </c>
      <c r="L173" s="1"/>
      <c r="M173" s="6"/>
      <c r="N173" s="7"/>
      <c r="O173" s="6"/>
      <c r="P173" s="7"/>
    </row>
    <row r="174" spans="2:16">
      <c r="B174" s="82"/>
      <c r="C174" s="9"/>
      <c r="D174" s="9"/>
      <c r="E174" s="5" t="s">
        <v>23</v>
      </c>
      <c r="F174" s="4">
        <f>F169+F170</f>
        <v>5350000</v>
      </c>
      <c r="G174" s="1"/>
      <c r="H174" s="4"/>
      <c r="I174" s="1"/>
      <c r="J174" s="1"/>
      <c r="K174" s="1"/>
      <c r="L174" s="1"/>
      <c r="M174" s="6"/>
      <c r="N174" s="7"/>
      <c r="O174" s="6"/>
      <c r="P174" s="7">
        <f>N174*O174</f>
        <v>0</v>
      </c>
    </row>
    <row r="175" spans="2:16">
      <c r="B175" s="83"/>
      <c r="C175" s="9"/>
      <c r="D175" s="9"/>
      <c r="E175" s="84" t="s">
        <v>24</v>
      </c>
      <c r="F175" s="85"/>
      <c r="G175" s="86"/>
      <c r="H175" s="7"/>
      <c r="I175" s="1"/>
      <c r="J175" s="1"/>
      <c r="K175" s="1"/>
      <c r="L175" s="5"/>
      <c r="M175" s="87" t="s">
        <v>25</v>
      </c>
      <c r="N175" s="87"/>
      <c r="O175" s="87"/>
      <c r="P175" s="4"/>
    </row>
    <row r="176" spans="2:16">
      <c r="E176" s="79" t="s">
        <v>26</v>
      </c>
      <c r="F176" s="79"/>
      <c r="G176" s="80"/>
      <c r="H176" s="8"/>
    </row>
    <row r="179" spans="2:16">
      <c r="B179" s="75" t="s">
        <v>46</v>
      </c>
      <c r="C179" s="75"/>
      <c r="D179" s="75"/>
      <c r="E179" s="42">
        <f>F140+F141+F142+F143+F144+F145+F153+F154+F162+F169+F170</f>
        <v>19900000</v>
      </c>
      <c r="J179" s="25"/>
      <c r="K179" s="25"/>
    </row>
    <row r="180" spans="2:16">
      <c r="B180" s="88" t="s">
        <v>47</v>
      </c>
      <c r="C180" s="88"/>
      <c r="D180" s="88"/>
      <c r="E180" s="43"/>
      <c r="J180" s="25"/>
    </row>
    <row r="181" spans="2:16">
      <c r="B181" s="75" t="s">
        <v>79</v>
      </c>
      <c r="C181" s="75"/>
      <c r="D181" s="75"/>
      <c r="E181" s="44"/>
    </row>
    <row r="182" spans="2:16">
      <c r="B182" s="75" t="s">
        <v>48</v>
      </c>
      <c r="C182" s="75"/>
      <c r="D182" s="75"/>
      <c r="E182" s="44"/>
      <c r="J182" s="25"/>
    </row>
    <row r="183" spans="2:16">
      <c r="B183" s="75" t="s">
        <v>49</v>
      </c>
      <c r="C183" s="75"/>
      <c r="D183" s="75"/>
      <c r="E183" s="45">
        <f>F146+F155+F171+F172+F173</f>
        <v>8300000</v>
      </c>
      <c r="J183" s="25"/>
    </row>
    <row r="184" spans="2:16">
      <c r="B184" s="76" t="s">
        <v>34</v>
      </c>
      <c r="C184" s="77"/>
      <c r="D184" s="78"/>
      <c r="E184" s="53"/>
    </row>
    <row r="185" spans="2:16">
      <c r="B185" s="76" t="s">
        <v>96</v>
      </c>
      <c r="C185" s="77"/>
      <c r="D185" s="78"/>
      <c r="E185" s="54"/>
    </row>
    <row r="189" spans="2:16" ht="15.75">
      <c r="B189" s="92" t="s">
        <v>123</v>
      </c>
      <c r="C189" s="92"/>
      <c r="D189" s="92"/>
      <c r="E189" s="92"/>
      <c r="F189" s="92"/>
      <c r="G189" s="92"/>
      <c r="H189" s="92"/>
      <c r="I189" s="92"/>
      <c r="J189" s="92"/>
      <c r="K189" s="92"/>
    </row>
    <row r="191" spans="2:16" ht="15.75">
      <c r="B191" s="81" t="s">
        <v>1</v>
      </c>
      <c r="C191" s="81"/>
      <c r="D191" s="81"/>
      <c r="E191" s="81"/>
      <c r="F191" s="81"/>
      <c r="G191" s="81"/>
      <c r="H191" s="81"/>
      <c r="I191" s="81"/>
      <c r="J191" s="81"/>
      <c r="K191" s="81"/>
      <c r="L191" s="79" t="s">
        <v>2</v>
      </c>
      <c r="M191" s="79"/>
      <c r="N191" s="79"/>
      <c r="O191" s="79"/>
      <c r="P191" s="79"/>
    </row>
    <row r="192" spans="2:16">
      <c r="B192" s="2" t="s">
        <v>3</v>
      </c>
      <c r="C192" s="2" t="s">
        <v>4</v>
      </c>
      <c r="D192" s="2" t="s">
        <v>5</v>
      </c>
      <c r="E192" s="2" t="s">
        <v>6</v>
      </c>
      <c r="F192" s="2" t="s">
        <v>7</v>
      </c>
      <c r="G192" s="3" t="s">
        <v>8</v>
      </c>
      <c r="H192" s="2" t="s">
        <v>9</v>
      </c>
      <c r="I192" s="2" t="s">
        <v>10</v>
      </c>
      <c r="J192" s="2" t="s">
        <v>11</v>
      </c>
      <c r="K192" s="2" t="s">
        <v>12</v>
      </c>
      <c r="L192" s="2" t="s">
        <v>4</v>
      </c>
      <c r="M192" s="2" t="s">
        <v>6</v>
      </c>
      <c r="N192" s="2" t="s">
        <v>7</v>
      </c>
      <c r="O192" s="3" t="s">
        <v>8</v>
      </c>
      <c r="P192" s="2" t="s">
        <v>9</v>
      </c>
    </row>
    <row r="193" spans="2:16">
      <c r="B193" s="90"/>
      <c r="C193" s="55" t="s">
        <v>47</v>
      </c>
      <c r="D193" s="55"/>
      <c r="E193" s="55" t="s">
        <v>124</v>
      </c>
      <c r="F193" s="32">
        <v>1500000</v>
      </c>
      <c r="G193" s="51">
        <v>0.1</v>
      </c>
      <c r="H193" s="32">
        <f>F193*G193</f>
        <v>150000</v>
      </c>
      <c r="I193" s="31" t="s">
        <v>17</v>
      </c>
      <c r="J193" s="31" t="s">
        <v>33</v>
      </c>
      <c r="K193" s="31" t="s">
        <v>125</v>
      </c>
      <c r="L193" s="1"/>
      <c r="M193" s="1"/>
      <c r="N193" s="4"/>
      <c r="O193" s="1"/>
      <c r="P193" s="4"/>
    </row>
    <row r="194" spans="2:16">
      <c r="B194" s="90"/>
      <c r="C194" s="55" t="s">
        <v>47</v>
      </c>
      <c r="D194" s="55"/>
      <c r="E194" s="55" t="s">
        <v>126</v>
      </c>
      <c r="F194" s="32">
        <v>1500000</v>
      </c>
      <c r="G194" s="51">
        <v>0.1</v>
      </c>
      <c r="H194" s="32"/>
      <c r="I194" s="31" t="s">
        <v>17</v>
      </c>
      <c r="J194" s="31" t="s">
        <v>33</v>
      </c>
      <c r="K194" s="31" t="s">
        <v>123</v>
      </c>
      <c r="L194" s="1"/>
      <c r="M194" s="1"/>
      <c r="N194" s="4"/>
      <c r="O194" s="1"/>
      <c r="P194" s="4"/>
    </row>
    <row r="195" spans="2:16">
      <c r="B195" s="90"/>
      <c r="C195" s="12"/>
      <c r="D195" s="12"/>
      <c r="E195" s="12" t="s">
        <v>127</v>
      </c>
      <c r="F195" s="32">
        <v>1650000</v>
      </c>
      <c r="G195" s="51">
        <v>0.1</v>
      </c>
      <c r="H195" s="32">
        <f>F195*G195</f>
        <v>165000</v>
      </c>
      <c r="I195" s="31" t="s">
        <v>17</v>
      </c>
      <c r="J195" s="31" t="s">
        <v>103</v>
      </c>
      <c r="K195" s="31"/>
      <c r="L195" s="1"/>
      <c r="M195" s="1"/>
      <c r="N195" s="4"/>
      <c r="O195" s="1"/>
      <c r="P195" s="4"/>
    </row>
    <row r="196" spans="2:16">
      <c r="B196" s="90"/>
      <c r="C196" s="62"/>
      <c r="D196" s="31"/>
      <c r="E196" s="68"/>
      <c r="F196" s="32"/>
      <c r="G196" s="51"/>
      <c r="H196" s="32"/>
      <c r="I196" s="31"/>
      <c r="J196" s="31"/>
      <c r="K196" s="31"/>
      <c r="L196" s="1"/>
      <c r="M196" s="6"/>
      <c r="N196" s="7"/>
      <c r="O196" s="6"/>
      <c r="P196" s="7"/>
    </row>
    <row r="197" spans="2:16">
      <c r="B197" s="90"/>
      <c r="C197" s="62"/>
      <c r="D197" s="31"/>
      <c r="E197" s="68"/>
      <c r="F197" s="32"/>
      <c r="G197" s="51"/>
      <c r="H197" s="32"/>
      <c r="I197" s="31"/>
      <c r="J197" s="31"/>
      <c r="K197" s="31"/>
      <c r="L197" s="1"/>
      <c r="M197" s="6"/>
      <c r="N197" s="7"/>
      <c r="O197" s="6"/>
      <c r="P197" s="7"/>
    </row>
    <row r="198" spans="2:16">
      <c r="B198" s="90"/>
      <c r="C198" s="62"/>
      <c r="D198" s="31"/>
      <c r="E198" s="31"/>
      <c r="F198" s="32"/>
      <c r="G198" s="51"/>
      <c r="H198" s="32"/>
      <c r="I198" s="31"/>
      <c r="J198" s="31"/>
      <c r="K198" s="31"/>
      <c r="L198" s="1"/>
      <c r="M198" s="6"/>
      <c r="N198" s="7"/>
      <c r="O198" s="6"/>
      <c r="P198" s="7"/>
    </row>
    <row r="199" spans="2:16">
      <c r="B199" s="90"/>
      <c r="C199" s="31"/>
      <c r="D199" s="31"/>
      <c r="E199" s="31"/>
      <c r="F199" s="32"/>
      <c r="G199" s="51"/>
      <c r="H199" s="32"/>
      <c r="I199" s="31"/>
      <c r="J199" s="31"/>
      <c r="K199" s="31"/>
      <c r="L199" s="1"/>
      <c r="M199" s="6"/>
      <c r="N199" s="7"/>
      <c r="O199" s="6"/>
      <c r="P199" s="7"/>
    </row>
    <row r="200" spans="2:16">
      <c r="B200" s="90"/>
      <c r="C200" s="9"/>
      <c r="D200" s="9"/>
      <c r="E200" s="1" t="s">
        <v>23</v>
      </c>
      <c r="F200" s="4">
        <f>SUM(F193:F199)</f>
        <v>4650000</v>
      </c>
      <c r="G200" s="1"/>
      <c r="H200" s="4"/>
      <c r="I200" s="1"/>
      <c r="J200" s="1"/>
      <c r="K200" s="1"/>
      <c r="L200" s="1"/>
      <c r="M200" s="6"/>
      <c r="N200" s="7"/>
      <c r="O200" s="6"/>
      <c r="P200" s="7">
        <f t="shared" ref="P200" si="8">N200*O200</f>
        <v>0</v>
      </c>
    </row>
    <row r="201" spans="2:16">
      <c r="B201" s="91"/>
      <c r="C201" s="9"/>
      <c r="D201" s="9"/>
      <c r="E201" s="84" t="s">
        <v>24</v>
      </c>
      <c r="F201" s="85"/>
      <c r="G201" s="86"/>
      <c r="H201" s="7">
        <f>SUM(H193:H200)</f>
        <v>315000</v>
      </c>
      <c r="I201" s="1"/>
      <c r="J201" s="1"/>
      <c r="K201" s="1"/>
      <c r="L201" s="5"/>
      <c r="M201" s="87" t="s">
        <v>25</v>
      </c>
      <c r="N201" s="87"/>
      <c r="O201" s="87"/>
      <c r="P201" s="4"/>
    </row>
    <row r="202" spans="2:16">
      <c r="E202" s="79" t="s">
        <v>26</v>
      </c>
      <c r="F202" s="79"/>
      <c r="G202" s="80"/>
      <c r="H202" s="8"/>
    </row>
    <row r="204" spans="2:16" ht="15.75">
      <c r="B204" s="81" t="s">
        <v>109</v>
      </c>
      <c r="C204" s="81"/>
      <c r="D204" s="81"/>
      <c r="E204" s="81"/>
      <c r="F204" s="81"/>
      <c r="G204" s="81"/>
      <c r="H204" s="81"/>
      <c r="I204" s="81"/>
      <c r="J204" s="81"/>
      <c r="K204" s="81"/>
      <c r="L204" s="79" t="s">
        <v>2</v>
      </c>
      <c r="M204" s="79"/>
      <c r="N204" s="79"/>
      <c r="O204" s="79"/>
      <c r="P204" s="79"/>
    </row>
    <row r="205" spans="2:16">
      <c r="B205" s="2" t="s">
        <v>3</v>
      </c>
      <c r="C205" s="58" t="s">
        <v>4</v>
      </c>
      <c r="D205" s="58" t="s">
        <v>5</v>
      </c>
      <c r="E205" s="58" t="s">
        <v>6</v>
      </c>
      <c r="F205" s="58" t="s">
        <v>7</v>
      </c>
      <c r="G205" s="59" t="s">
        <v>8</v>
      </c>
      <c r="H205" s="58" t="s">
        <v>9</v>
      </c>
      <c r="I205" s="58" t="s">
        <v>10</v>
      </c>
      <c r="J205" s="58" t="s">
        <v>11</v>
      </c>
      <c r="K205" s="2" t="s">
        <v>12</v>
      </c>
      <c r="L205" s="2" t="s">
        <v>4</v>
      </c>
      <c r="M205" s="2" t="s">
        <v>6</v>
      </c>
      <c r="N205" s="2" t="s">
        <v>7</v>
      </c>
      <c r="O205" s="3" t="s">
        <v>8</v>
      </c>
      <c r="P205" s="2" t="s">
        <v>9</v>
      </c>
    </row>
    <row r="206" spans="2:16">
      <c r="B206" s="89"/>
      <c r="C206" s="30"/>
      <c r="D206" s="30"/>
      <c r="E206" s="31"/>
      <c r="F206" s="32"/>
      <c r="G206" s="22"/>
      <c r="H206" s="22"/>
      <c r="I206" s="22"/>
      <c r="J206" s="22"/>
      <c r="K206" s="57"/>
      <c r="L206" s="39"/>
      <c r="M206" s="1"/>
      <c r="N206" s="4"/>
      <c r="O206" s="1"/>
      <c r="P206" s="4"/>
    </row>
    <row r="207" spans="2:16">
      <c r="B207" s="89"/>
      <c r="C207" s="37"/>
      <c r="D207" s="22"/>
      <c r="E207" s="22"/>
      <c r="F207" s="32"/>
      <c r="G207" s="22"/>
      <c r="H207" s="22"/>
      <c r="I207" s="22"/>
      <c r="J207" s="22"/>
      <c r="K207" s="57"/>
      <c r="L207" s="39"/>
      <c r="M207" s="1"/>
      <c r="N207" s="4"/>
      <c r="O207" s="1"/>
      <c r="P207" s="4"/>
    </row>
    <row r="208" spans="2:16">
      <c r="B208" s="90"/>
      <c r="C208" s="31"/>
      <c r="D208" s="31"/>
      <c r="E208" s="31"/>
      <c r="F208" s="32"/>
      <c r="G208" s="31"/>
      <c r="H208" s="32"/>
      <c r="I208" s="31"/>
      <c r="J208" s="31"/>
      <c r="K208" s="31"/>
      <c r="L208" s="1"/>
      <c r="M208" s="1"/>
      <c r="N208" s="4"/>
      <c r="O208" s="1"/>
      <c r="P208" s="4">
        <f>N208*O208</f>
        <v>0</v>
      </c>
    </row>
    <row r="209" spans="2:16">
      <c r="B209" s="90"/>
      <c r="C209" s="1"/>
      <c r="D209" s="1"/>
      <c r="E209" s="5" t="s">
        <v>23</v>
      </c>
      <c r="F209" s="4">
        <f>SUM(F206:F208)</f>
        <v>0</v>
      </c>
      <c r="G209" s="1"/>
      <c r="H209" s="4"/>
      <c r="I209" s="1"/>
      <c r="J209" s="1"/>
      <c r="K209" s="1"/>
      <c r="L209" s="1"/>
      <c r="M209" s="6"/>
      <c r="N209" s="7"/>
      <c r="O209" s="6"/>
      <c r="P209" s="7">
        <f>N209*O209</f>
        <v>0</v>
      </c>
    </row>
    <row r="210" spans="2:16">
      <c r="B210" s="91"/>
      <c r="C210" s="1"/>
      <c r="D210" s="1"/>
      <c r="E210" s="84" t="s">
        <v>24</v>
      </c>
      <c r="F210" s="85"/>
      <c r="G210" s="86"/>
      <c r="H210" s="7">
        <f>SUM(H206:H209)</f>
        <v>0</v>
      </c>
      <c r="I210" s="1"/>
      <c r="J210" s="1"/>
      <c r="K210" s="1"/>
      <c r="L210" s="5"/>
      <c r="M210" s="87" t="s">
        <v>25</v>
      </c>
      <c r="N210" s="87"/>
      <c r="O210" s="87"/>
      <c r="P210" s="4"/>
    </row>
    <row r="211" spans="2:16">
      <c r="E211" s="79" t="s">
        <v>26</v>
      </c>
      <c r="F211" s="79"/>
      <c r="G211" s="80"/>
      <c r="H211" s="8"/>
    </row>
    <row r="213" spans="2:16" ht="15.75">
      <c r="B213" s="81" t="s">
        <v>115</v>
      </c>
      <c r="C213" s="81"/>
      <c r="D213" s="81"/>
      <c r="E213" s="81"/>
      <c r="F213" s="81"/>
      <c r="G213" s="81"/>
      <c r="H213" s="81"/>
      <c r="I213" s="81"/>
      <c r="J213" s="81"/>
      <c r="K213" s="81"/>
      <c r="L213" s="79" t="s">
        <v>2</v>
      </c>
      <c r="M213" s="79"/>
      <c r="N213" s="79"/>
      <c r="O213" s="79"/>
      <c r="P213" s="79"/>
    </row>
    <row r="214" spans="2:16">
      <c r="B214" s="2" t="s">
        <v>3</v>
      </c>
      <c r="C214" s="58" t="s">
        <v>4</v>
      </c>
      <c r="D214" s="58" t="s">
        <v>5</v>
      </c>
      <c r="E214" s="58" t="s">
        <v>6</v>
      </c>
      <c r="F214" s="58" t="s">
        <v>7</v>
      </c>
      <c r="G214" s="59" t="s">
        <v>8</v>
      </c>
      <c r="H214" s="58" t="s">
        <v>9</v>
      </c>
      <c r="I214" s="58" t="s">
        <v>10</v>
      </c>
      <c r="J214" s="58" t="s">
        <v>11</v>
      </c>
      <c r="K214" s="2" t="s">
        <v>12</v>
      </c>
      <c r="L214" s="2" t="s">
        <v>4</v>
      </c>
      <c r="M214" s="2" t="s">
        <v>6</v>
      </c>
      <c r="N214" s="2" t="s">
        <v>7</v>
      </c>
      <c r="O214" s="3" t="s">
        <v>8</v>
      </c>
      <c r="P214" s="2" t="s">
        <v>9</v>
      </c>
    </row>
    <row r="215" spans="2:16">
      <c r="B215" s="89"/>
      <c r="C215" s="55" t="s">
        <v>47</v>
      </c>
      <c r="D215" s="55"/>
      <c r="E215" s="55" t="s">
        <v>128</v>
      </c>
      <c r="F215" s="32">
        <v>850000</v>
      </c>
      <c r="G215" s="31"/>
      <c r="H215" s="32"/>
      <c r="I215" s="31" t="s">
        <v>64</v>
      </c>
      <c r="J215" s="31" t="s">
        <v>33</v>
      </c>
      <c r="K215" s="57"/>
      <c r="L215" s="39"/>
      <c r="M215" s="1"/>
      <c r="N215" s="4"/>
      <c r="O215" s="1"/>
      <c r="P215" s="4"/>
    </row>
    <row r="216" spans="2:16">
      <c r="B216" s="89"/>
      <c r="C216" s="31"/>
      <c r="D216" s="31"/>
      <c r="E216" s="31"/>
      <c r="F216" s="32"/>
      <c r="G216" s="31"/>
      <c r="H216" s="32"/>
      <c r="I216" s="31"/>
      <c r="J216" s="31"/>
      <c r="K216" s="57"/>
      <c r="L216" s="39"/>
      <c r="M216" s="1"/>
      <c r="N216" s="4"/>
      <c r="O216" s="1"/>
      <c r="P216" s="4"/>
    </row>
    <row r="217" spans="2:16">
      <c r="B217" s="89"/>
      <c r="C217" s="31"/>
      <c r="D217" s="31"/>
      <c r="E217" s="31"/>
      <c r="F217" s="32"/>
      <c r="G217" s="31"/>
      <c r="H217" s="32"/>
      <c r="I217" s="31"/>
      <c r="J217" s="22"/>
      <c r="K217" s="57"/>
      <c r="L217" s="39"/>
      <c r="M217" s="1"/>
      <c r="N217" s="4"/>
      <c r="O217" s="1"/>
      <c r="P217" s="4"/>
    </row>
    <row r="218" spans="2:16">
      <c r="B218" s="89"/>
      <c r="C218" s="22"/>
      <c r="D218" s="22"/>
      <c r="E218" s="22"/>
      <c r="F218" s="32"/>
      <c r="G218" s="22"/>
      <c r="H218" s="22"/>
      <c r="I218" s="22"/>
      <c r="J218" s="22"/>
      <c r="K218" s="57"/>
      <c r="L218" s="39"/>
      <c r="M218" s="1"/>
      <c r="N218" s="4"/>
      <c r="O218" s="1"/>
      <c r="P218" s="4"/>
    </row>
    <row r="219" spans="2:16">
      <c r="B219" s="90"/>
      <c r="C219" s="60"/>
      <c r="D219" s="60"/>
      <c r="E219" s="60"/>
      <c r="F219" s="32"/>
      <c r="G219" s="60"/>
      <c r="H219" s="61"/>
      <c r="I219" s="60"/>
      <c r="J219" s="60"/>
      <c r="K219" s="31"/>
      <c r="L219" s="1"/>
      <c r="M219" s="1"/>
      <c r="N219" s="4"/>
      <c r="O219" s="1"/>
      <c r="P219" s="4">
        <f>N219*O219</f>
        <v>0</v>
      </c>
    </row>
    <row r="220" spans="2:16">
      <c r="B220" s="90"/>
      <c r="C220" s="1"/>
      <c r="D220" s="1"/>
      <c r="E220" s="5" t="s">
        <v>23</v>
      </c>
      <c r="F220" s="4">
        <f>SUM(F215:F219)</f>
        <v>850000</v>
      </c>
      <c r="G220" s="1"/>
      <c r="H220" s="4"/>
      <c r="I220" s="1"/>
      <c r="J220" s="1"/>
      <c r="K220" s="1"/>
      <c r="L220" s="1"/>
      <c r="M220" s="6"/>
      <c r="N220" s="7"/>
      <c r="O220" s="6"/>
      <c r="P220" s="7">
        <f>N220*O220</f>
        <v>0</v>
      </c>
    </row>
    <row r="221" spans="2:16">
      <c r="B221" s="91"/>
      <c r="C221" s="1"/>
      <c r="D221" s="1"/>
      <c r="E221" s="84" t="s">
        <v>24</v>
      </c>
      <c r="F221" s="85"/>
      <c r="G221" s="86"/>
      <c r="H221" s="7">
        <f>SUM(H215:H220)</f>
        <v>0</v>
      </c>
      <c r="I221" s="1"/>
      <c r="J221" s="1"/>
      <c r="K221" s="1"/>
      <c r="L221" s="5"/>
      <c r="M221" s="87" t="s">
        <v>25</v>
      </c>
      <c r="N221" s="87"/>
      <c r="O221" s="87"/>
      <c r="P221" s="4"/>
    </row>
    <row r="222" spans="2:16">
      <c r="E222" s="79" t="s">
        <v>26</v>
      </c>
      <c r="F222" s="79"/>
      <c r="G222" s="80"/>
      <c r="H222" s="8"/>
    </row>
    <row r="224" spans="2:16" ht="15.75">
      <c r="B224" s="81" t="s">
        <v>64</v>
      </c>
      <c r="C224" s="81"/>
      <c r="D224" s="81"/>
      <c r="E224" s="81"/>
      <c r="F224" s="81"/>
      <c r="G224" s="81"/>
      <c r="H224" s="81"/>
      <c r="I224" s="81"/>
      <c r="J224" s="81"/>
      <c r="K224" s="81"/>
      <c r="L224" s="79" t="s">
        <v>2</v>
      </c>
      <c r="M224" s="79"/>
      <c r="N224" s="79"/>
      <c r="O224" s="79"/>
      <c r="P224" s="79"/>
    </row>
    <row r="225" spans="2:16">
      <c r="B225" s="2" t="s">
        <v>3</v>
      </c>
      <c r="C225" s="2" t="s">
        <v>4</v>
      </c>
      <c r="D225" s="2" t="s">
        <v>5</v>
      </c>
      <c r="E225" s="2" t="s">
        <v>6</v>
      </c>
      <c r="F225" s="2" t="s">
        <v>7</v>
      </c>
      <c r="G225" s="3" t="s">
        <v>8</v>
      </c>
      <c r="H225" s="2" t="s">
        <v>9</v>
      </c>
      <c r="I225" s="2" t="s">
        <v>10</v>
      </c>
      <c r="J225" s="2" t="s">
        <v>11</v>
      </c>
      <c r="K225" s="2" t="s">
        <v>12</v>
      </c>
      <c r="L225" s="2" t="s">
        <v>4</v>
      </c>
      <c r="M225" s="2" t="s">
        <v>6</v>
      </c>
      <c r="N225" s="2" t="s">
        <v>7</v>
      </c>
      <c r="O225" s="3" t="s">
        <v>8</v>
      </c>
      <c r="P225" s="2" t="s">
        <v>9</v>
      </c>
    </row>
    <row r="226" spans="2:16">
      <c r="B226" s="82"/>
      <c r="C226" s="30"/>
      <c r="D226" s="30"/>
      <c r="E226" s="31"/>
      <c r="F226" s="32"/>
      <c r="G226" s="31"/>
      <c r="H226" s="32"/>
      <c r="I226" s="31"/>
      <c r="J226" s="31"/>
      <c r="K226" s="31"/>
      <c r="L226" s="1"/>
      <c r="M226" s="1"/>
      <c r="N226" s="4"/>
      <c r="O226" s="1"/>
      <c r="P226" s="4">
        <f>N226*O226</f>
        <v>0</v>
      </c>
    </row>
    <row r="227" spans="2:16">
      <c r="B227" s="82"/>
      <c r="C227" s="30"/>
      <c r="D227" s="30"/>
      <c r="E227" s="31"/>
      <c r="F227" s="32"/>
      <c r="G227" s="31"/>
      <c r="H227" s="32"/>
      <c r="I227" s="31"/>
      <c r="J227" s="31"/>
      <c r="K227" s="31"/>
      <c r="L227" s="1"/>
      <c r="M227" s="1"/>
      <c r="N227" s="4"/>
      <c r="O227" s="1"/>
      <c r="P227" s="4">
        <f>N227*O227</f>
        <v>0</v>
      </c>
    </row>
    <row r="228" spans="2:16">
      <c r="B228" s="82"/>
      <c r="C228" s="30"/>
      <c r="D228" s="30"/>
      <c r="E228" s="31"/>
      <c r="F228" s="32"/>
      <c r="G228" s="31"/>
      <c r="H228" s="32"/>
      <c r="I228" s="31"/>
      <c r="J228" s="31"/>
      <c r="K228" s="31"/>
      <c r="L228" s="1"/>
      <c r="M228" s="1"/>
      <c r="N228" s="4"/>
      <c r="O228" s="1"/>
      <c r="P228" s="4"/>
    </row>
    <row r="229" spans="2:16">
      <c r="B229" s="82"/>
      <c r="C229" s="69"/>
      <c r="D229" s="69"/>
      <c r="E229" s="68"/>
      <c r="F229" s="32"/>
      <c r="G229" s="31"/>
      <c r="H229" s="32"/>
      <c r="I229" s="31"/>
      <c r="J229" s="31"/>
      <c r="K229" s="31"/>
      <c r="L229" s="1"/>
      <c r="M229" s="6"/>
      <c r="N229" s="7"/>
      <c r="O229" s="6"/>
      <c r="P229" s="7"/>
    </row>
    <row r="230" spans="2:16">
      <c r="B230" s="82"/>
      <c r="C230" s="31"/>
      <c r="D230" s="31"/>
      <c r="E230" s="31"/>
      <c r="F230" s="32"/>
      <c r="G230" s="31"/>
      <c r="H230" s="32"/>
      <c r="I230" s="31"/>
      <c r="J230" s="52"/>
      <c r="K230" s="31"/>
      <c r="L230" s="1"/>
      <c r="M230" s="6"/>
      <c r="N230" s="7"/>
      <c r="O230" s="6"/>
      <c r="P230" s="7"/>
    </row>
    <row r="231" spans="2:16">
      <c r="B231" s="82"/>
      <c r="C231" s="9"/>
      <c r="D231" s="9"/>
      <c r="E231" s="5" t="s">
        <v>23</v>
      </c>
      <c r="F231" s="4">
        <f>SUM(F227:F228)</f>
        <v>0</v>
      </c>
      <c r="G231" s="1"/>
      <c r="H231" s="4"/>
      <c r="I231" s="1"/>
      <c r="J231" s="1"/>
      <c r="K231" s="1"/>
      <c r="L231" s="1"/>
      <c r="M231" s="6"/>
      <c r="N231" s="7"/>
      <c r="O231" s="6"/>
      <c r="P231" s="7">
        <f>N231*O231</f>
        <v>0</v>
      </c>
    </row>
    <row r="232" spans="2:16">
      <c r="B232" s="83"/>
      <c r="C232" s="9"/>
      <c r="D232" s="9"/>
      <c r="E232" s="84" t="s">
        <v>24</v>
      </c>
      <c r="F232" s="85"/>
      <c r="G232" s="86"/>
      <c r="H232" s="7"/>
      <c r="I232" s="1"/>
      <c r="J232" s="1"/>
      <c r="K232" s="1"/>
      <c r="L232" s="5"/>
      <c r="M232" s="87" t="s">
        <v>25</v>
      </c>
      <c r="N232" s="87"/>
      <c r="O232" s="87"/>
      <c r="P232" s="4"/>
    </row>
    <row r="233" spans="2:16">
      <c r="E233" s="79" t="s">
        <v>26</v>
      </c>
      <c r="F233" s="79"/>
      <c r="G233" s="80"/>
      <c r="H233" s="8"/>
    </row>
    <row r="236" spans="2:16">
      <c r="B236" s="75" t="s">
        <v>46</v>
      </c>
      <c r="C236" s="75"/>
      <c r="D236" s="75"/>
      <c r="E236" s="42"/>
      <c r="J236" s="25"/>
      <c r="K236" s="25"/>
    </row>
    <row r="237" spans="2:16">
      <c r="B237" s="88" t="s">
        <v>47</v>
      </c>
      <c r="C237" s="88"/>
      <c r="D237" s="88"/>
      <c r="E237" s="43">
        <f>F193+F194+F195+F215</f>
        <v>5500000</v>
      </c>
      <c r="J237" s="25"/>
    </row>
    <row r="238" spans="2:16">
      <c r="B238" s="75" t="s">
        <v>79</v>
      </c>
      <c r="C238" s="75"/>
      <c r="D238" s="75"/>
      <c r="E238" s="44"/>
    </row>
    <row r="239" spans="2:16">
      <c r="B239" s="75" t="s">
        <v>48</v>
      </c>
      <c r="C239" s="75"/>
      <c r="D239" s="75"/>
      <c r="E239" s="44"/>
      <c r="J239" s="25"/>
    </row>
    <row r="240" spans="2:16">
      <c r="B240" s="75" t="s">
        <v>49</v>
      </c>
      <c r="C240" s="75"/>
      <c r="D240" s="75"/>
      <c r="E240" s="45"/>
      <c r="J240" s="25"/>
    </row>
    <row r="241" spans="2:5">
      <c r="B241" s="76" t="s">
        <v>34</v>
      </c>
      <c r="C241" s="77"/>
      <c r="D241" s="78"/>
      <c r="E241" s="53"/>
    </row>
    <row r="242" spans="2:5">
      <c r="B242" s="76" t="s">
        <v>96</v>
      </c>
      <c r="C242" s="77"/>
      <c r="D242" s="78"/>
      <c r="E242" s="54"/>
    </row>
  </sheetData>
  <mergeCells count="134">
    <mergeCell ref="B183:D183"/>
    <mergeCell ref="B184:D184"/>
    <mergeCell ref="B185:D185"/>
    <mergeCell ref="E176:G176"/>
    <mergeCell ref="B179:D179"/>
    <mergeCell ref="B180:D180"/>
    <mergeCell ref="B181:D181"/>
    <mergeCell ref="B182:D182"/>
    <mergeCell ref="B153:B157"/>
    <mergeCell ref="E157:G157"/>
    <mergeCell ref="M157:O157"/>
    <mergeCell ref="E158:G158"/>
    <mergeCell ref="B167:K167"/>
    <mergeCell ref="L167:P167"/>
    <mergeCell ref="B169:B175"/>
    <mergeCell ref="E175:G175"/>
    <mergeCell ref="M175:O175"/>
    <mergeCell ref="B160:K160"/>
    <mergeCell ref="L160:P160"/>
    <mergeCell ref="B162:B164"/>
    <mergeCell ref="E164:G164"/>
    <mergeCell ref="M164:O164"/>
    <mergeCell ref="E165:G165"/>
    <mergeCell ref="B136:K136"/>
    <mergeCell ref="B138:K138"/>
    <mergeCell ref="L138:P138"/>
    <mergeCell ref="B140:B148"/>
    <mergeCell ref="E148:G148"/>
    <mergeCell ref="M148:O148"/>
    <mergeCell ref="E149:G149"/>
    <mergeCell ref="B151:K151"/>
    <mergeCell ref="L151:P151"/>
    <mergeCell ref="B93:K93"/>
    <mergeCell ref="B95:K95"/>
    <mergeCell ref="L95:P95"/>
    <mergeCell ref="B97:B103"/>
    <mergeCell ref="E103:G103"/>
    <mergeCell ref="M103:O103"/>
    <mergeCell ref="B132:D132"/>
    <mergeCell ref="E124:G124"/>
    <mergeCell ref="B127:D127"/>
    <mergeCell ref="B128:D128"/>
    <mergeCell ref="B129:D129"/>
    <mergeCell ref="B131:D131"/>
    <mergeCell ref="B130:D130"/>
    <mergeCell ref="B119:B123"/>
    <mergeCell ref="E123:G123"/>
    <mergeCell ref="M123:O123"/>
    <mergeCell ref="E104:G104"/>
    <mergeCell ref="B106:K106"/>
    <mergeCell ref="L106:P106"/>
    <mergeCell ref="B108:B114"/>
    <mergeCell ref="E114:G114"/>
    <mergeCell ref="M114:O114"/>
    <mergeCell ref="B5:K5"/>
    <mergeCell ref="L5:P5"/>
    <mergeCell ref="B7:B12"/>
    <mergeCell ref="B3:K3"/>
    <mergeCell ref="B1:K1"/>
    <mergeCell ref="M68:O68"/>
    <mergeCell ref="E82:G82"/>
    <mergeCell ref="E69:G69"/>
    <mergeCell ref="B71:K71"/>
    <mergeCell ref="L71:P71"/>
    <mergeCell ref="B73:B81"/>
    <mergeCell ref="E81:G81"/>
    <mergeCell ref="M81:O81"/>
    <mergeCell ref="B17:B23"/>
    <mergeCell ref="E23:G23"/>
    <mergeCell ref="M23:O23"/>
    <mergeCell ref="E24:G24"/>
    <mergeCell ref="B26:K26"/>
    <mergeCell ref="L26:P26"/>
    <mergeCell ref="E13:G13"/>
    <mergeCell ref="E12:G12"/>
    <mergeCell ref="M12:O12"/>
    <mergeCell ref="B15:K15"/>
    <mergeCell ref="L15:P15"/>
    <mergeCell ref="B133:D133"/>
    <mergeCell ref="B28:B31"/>
    <mergeCell ref="E31:G31"/>
    <mergeCell ref="M31:O31"/>
    <mergeCell ref="E32:G32"/>
    <mergeCell ref="B41:K41"/>
    <mergeCell ref="B43:K43"/>
    <mergeCell ref="L43:P43"/>
    <mergeCell ref="B45:B53"/>
    <mergeCell ref="E53:G53"/>
    <mergeCell ref="M53:O53"/>
    <mergeCell ref="E54:G54"/>
    <mergeCell ref="B56:K56"/>
    <mergeCell ref="L56:P56"/>
    <mergeCell ref="B58:B68"/>
    <mergeCell ref="E68:G68"/>
    <mergeCell ref="B85:D85"/>
    <mergeCell ref="B86:D86"/>
    <mergeCell ref="B87:D87"/>
    <mergeCell ref="B88:D88"/>
    <mergeCell ref="B89:D89"/>
    <mergeCell ref="E115:G115"/>
    <mergeCell ref="B117:K117"/>
    <mergeCell ref="L117:P117"/>
    <mergeCell ref="B189:K189"/>
    <mergeCell ref="B191:K191"/>
    <mergeCell ref="L191:P191"/>
    <mergeCell ref="B193:B201"/>
    <mergeCell ref="E201:G201"/>
    <mergeCell ref="M201:O201"/>
    <mergeCell ref="E202:G202"/>
    <mergeCell ref="B204:K204"/>
    <mergeCell ref="L204:P204"/>
    <mergeCell ref="B206:B210"/>
    <mergeCell ref="E210:G210"/>
    <mergeCell ref="M210:O210"/>
    <mergeCell ref="E211:G211"/>
    <mergeCell ref="B213:K213"/>
    <mergeCell ref="L213:P213"/>
    <mergeCell ref="B215:B221"/>
    <mergeCell ref="E221:G221"/>
    <mergeCell ref="M221:O221"/>
    <mergeCell ref="B238:D238"/>
    <mergeCell ref="B239:D239"/>
    <mergeCell ref="B240:D240"/>
    <mergeCell ref="B241:D241"/>
    <mergeCell ref="B242:D242"/>
    <mergeCell ref="E222:G222"/>
    <mergeCell ref="B224:K224"/>
    <mergeCell ref="L224:P224"/>
    <mergeCell ref="B226:B232"/>
    <mergeCell ref="E232:G232"/>
    <mergeCell ref="M232:O232"/>
    <mergeCell ref="E233:G233"/>
    <mergeCell ref="B236:D236"/>
    <mergeCell ref="B237:D23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4905-E113-4486-9F7E-2EA11754A270}">
  <dimension ref="B1:I108"/>
  <sheetViews>
    <sheetView tabSelected="1" topLeftCell="A102" workbookViewId="0">
      <selection activeCell="B109" sqref="B109"/>
    </sheetView>
  </sheetViews>
  <sheetFormatPr defaultRowHeight="15"/>
  <cols>
    <col min="1" max="1" width="4.42578125" customWidth="1"/>
    <col min="2" max="2" width="10.140625" customWidth="1"/>
    <col min="3" max="3" width="14.28515625" customWidth="1"/>
    <col min="4" max="4" width="41" customWidth="1"/>
    <col min="5" max="5" width="36.42578125" customWidth="1"/>
    <col min="6" max="6" width="14.28515625" customWidth="1"/>
    <col min="7" max="7" width="14" style="13" customWidth="1"/>
    <col min="8" max="8" width="11.5703125" customWidth="1"/>
    <col min="9" max="9" width="13.140625" customWidth="1"/>
  </cols>
  <sheetData>
    <row r="1" spans="2:9" ht="41.25" customHeight="1">
      <c r="B1" s="104">
        <v>2022</v>
      </c>
      <c r="C1" s="104"/>
      <c r="D1" s="104"/>
      <c r="E1" s="104"/>
      <c r="F1" s="104"/>
      <c r="G1" s="104"/>
      <c r="H1" s="104"/>
    </row>
    <row r="3" spans="2:9" ht="15.75">
      <c r="B3" s="99" t="s">
        <v>0</v>
      </c>
      <c r="C3" s="99"/>
      <c r="D3" s="99"/>
      <c r="E3" s="99"/>
      <c r="F3" s="99"/>
      <c r="G3" s="99"/>
      <c r="H3" s="99"/>
    </row>
    <row r="4" spans="2:9" hidden="1"/>
    <row r="5" spans="2:9" ht="15.75" hidden="1">
      <c r="B5" s="100" t="s">
        <v>129</v>
      </c>
      <c r="C5" s="100"/>
      <c r="D5" s="100"/>
      <c r="E5" s="100"/>
      <c r="F5" s="100"/>
      <c r="G5" s="100"/>
      <c r="H5" s="100"/>
    </row>
    <row r="6" spans="2:9" hidden="1">
      <c r="B6" s="15" t="s">
        <v>4</v>
      </c>
      <c r="C6" s="15" t="s">
        <v>5</v>
      </c>
      <c r="D6" s="15" t="s">
        <v>6</v>
      </c>
      <c r="E6" s="15" t="s">
        <v>12</v>
      </c>
      <c r="F6" s="15" t="s">
        <v>7</v>
      </c>
      <c r="G6" s="16" t="s">
        <v>8</v>
      </c>
      <c r="H6" s="15" t="s">
        <v>9</v>
      </c>
      <c r="I6" s="8" t="s">
        <v>130</v>
      </c>
    </row>
    <row r="7" spans="2:9" hidden="1">
      <c r="B7" s="24" t="s">
        <v>31</v>
      </c>
      <c r="C7" s="24"/>
      <c r="D7" s="24" t="s">
        <v>32</v>
      </c>
      <c r="E7" s="1" t="s">
        <v>34</v>
      </c>
      <c r="F7" s="35"/>
      <c r="G7" s="36"/>
      <c r="H7" s="35"/>
      <c r="I7" s="37"/>
    </row>
    <row r="8" spans="2:9" hidden="1">
      <c r="B8" s="24" t="s">
        <v>31</v>
      </c>
      <c r="C8" s="24"/>
      <c r="D8" s="24" t="s">
        <v>35</v>
      </c>
      <c r="E8" s="1" t="s">
        <v>34</v>
      </c>
      <c r="F8" s="35"/>
      <c r="G8" s="36"/>
      <c r="H8" s="35"/>
      <c r="I8" s="37"/>
    </row>
    <row r="9" spans="2:9" hidden="1">
      <c r="B9" s="24" t="s">
        <v>31</v>
      </c>
      <c r="C9" s="24"/>
      <c r="D9" s="24" t="s">
        <v>39</v>
      </c>
      <c r="E9" s="1" t="s">
        <v>34</v>
      </c>
      <c r="F9" s="35"/>
      <c r="G9" s="36"/>
      <c r="H9" s="35"/>
      <c r="I9" s="37"/>
    </row>
    <row r="10" spans="2:9" hidden="1">
      <c r="B10" s="14"/>
      <c r="C10" s="14"/>
      <c r="D10" s="8"/>
      <c r="E10" s="17" t="s">
        <v>131</v>
      </c>
      <c r="F10" s="19">
        <f>SUM(F7:F9)</f>
        <v>0</v>
      </c>
      <c r="G10" s="20"/>
      <c r="H10" s="19"/>
      <c r="I10" s="18"/>
    </row>
    <row r="11" spans="2:9" hidden="1">
      <c r="E11" s="105" t="s">
        <v>132</v>
      </c>
      <c r="F11" s="105"/>
      <c r="G11" s="105"/>
      <c r="H11" s="105"/>
      <c r="I11" s="8"/>
    </row>
    <row r="12" spans="2:9" hidden="1"/>
    <row r="13" spans="2:9" ht="15.75" hidden="1">
      <c r="B13" s="100" t="s">
        <v>133</v>
      </c>
      <c r="C13" s="100"/>
      <c r="D13" s="100"/>
      <c r="E13" s="100"/>
      <c r="F13" s="100"/>
      <c r="G13" s="100"/>
      <c r="H13" s="100"/>
    </row>
    <row r="14" spans="2:9" hidden="1">
      <c r="B14" s="15" t="s">
        <v>4</v>
      </c>
      <c r="C14" s="15" t="s">
        <v>5</v>
      </c>
      <c r="D14" s="15" t="s">
        <v>6</v>
      </c>
      <c r="E14" s="15" t="s">
        <v>12</v>
      </c>
      <c r="F14" s="15" t="s">
        <v>7</v>
      </c>
      <c r="G14" s="16" t="s">
        <v>8</v>
      </c>
      <c r="H14" s="15" t="s">
        <v>9</v>
      </c>
      <c r="I14" s="8" t="s">
        <v>130</v>
      </c>
    </row>
    <row r="15" spans="2:9" hidden="1">
      <c r="B15" s="10">
        <v>14607</v>
      </c>
      <c r="C15" s="11">
        <v>0.1</v>
      </c>
      <c r="D15" s="12" t="s">
        <v>14</v>
      </c>
      <c r="E15" s="22"/>
      <c r="F15" s="4">
        <v>1200000</v>
      </c>
      <c r="G15" s="36"/>
      <c r="H15" s="35"/>
      <c r="I15" s="37"/>
    </row>
    <row r="16" spans="2:9" hidden="1">
      <c r="B16" s="10">
        <v>14657</v>
      </c>
      <c r="C16" s="11">
        <v>0.1</v>
      </c>
      <c r="D16" s="12" t="s">
        <v>16</v>
      </c>
      <c r="E16" s="22"/>
      <c r="F16" s="4">
        <v>1800000</v>
      </c>
      <c r="G16" s="36"/>
      <c r="H16" s="35"/>
      <c r="I16" s="37"/>
    </row>
    <row r="17" spans="2:9" hidden="1">
      <c r="B17" s="10">
        <v>14744</v>
      </c>
      <c r="C17" s="11"/>
      <c r="D17" s="12" t="s">
        <v>18</v>
      </c>
      <c r="E17" s="22"/>
      <c r="F17" s="4">
        <v>1800000</v>
      </c>
      <c r="G17" s="36"/>
      <c r="H17" s="35"/>
      <c r="I17" s="37"/>
    </row>
    <row r="18" spans="2:9" hidden="1">
      <c r="B18" s="23" t="s">
        <v>20</v>
      </c>
      <c r="C18" s="23"/>
      <c r="D18" s="24" t="s">
        <v>21</v>
      </c>
      <c r="E18" s="1" t="s">
        <v>22</v>
      </c>
      <c r="F18" s="35"/>
      <c r="G18" s="36"/>
      <c r="H18" s="35"/>
      <c r="I18" s="37"/>
    </row>
    <row r="19" spans="2:9" hidden="1">
      <c r="B19" s="24" t="s">
        <v>29</v>
      </c>
      <c r="C19" s="24"/>
      <c r="D19" s="24" t="s">
        <v>21</v>
      </c>
      <c r="E19" s="1" t="s">
        <v>30</v>
      </c>
      <c r="F19" s="35"/>
      <c r="G19" s="36"/>
      <c r="H19" s="35"/>
      <c r="I19" s="37"/>
    </row>
    <row r="20" spans="2:9" ht="27" hidden="1">
      <c r="B20" s="33" t="s">
        <v>36</v>
      </c>
      <c r="C20" s="24"/>
      <c r="D20" s="24" t="s">
        <v>37</v>
      </c>
      <c r="E20" s="34" t="s">
        <v>38</v>
      </c>
      <c r="F20" s="35"/>
      <c r="G20" s="36"/>
      <c r="H20" s="35"/>
      <c r="I20" s="37"/>
    </row>
    <row r="21" spans="2:9" hidden="1">
      <c r="B21" s="23" t="s">
        <v>41</v>
      </c>
      <c r="C21" s="23"/>
      <c r="D21" s="24" t="s">
        <v>42</v>
      </c>
      <c r="E21" s="1" t="s">
        <v>43</v>
      </c>
      <c r="F21" s="35"/>
      <c r="G21" s="36"/>
      <c r="H21" s="35"/>
      <c r="I21" s="37"/>
    </row>
    <row r="22" spans="2:9" hidden="1">
      <c r="B22" s="23" t="s">
        <v>41</v>
      </c>
      <c r="C22" s="23"/>
      <c r="D22" s="24" t="s">
        <v>44</v>
      </c>
      <c r="E22" s="1" t="s">
        <v>45</v>
      </c>
      <c r="F22" s="35"/>
      <c r="G22" s="36"/>
      <c r="H22" s="35"/>
      <c r="I22" s="37"/>
    </row>
    <row r="23" spans="2:9" hidden="1">
      <c r="B23" s="14"/>
      <c r="C23" s="14"/>
      <c r="D23" s="8"/>
      <c r="E23" s="17" t="s">
        <v>131</v>
      </c>
      <c r="F23" s="19">
        <f>SUM(F15:F22)</f>
        <v>4800000</v>
      </c>
      <c r="G23" s="20"/>
      <c r="H23" s="19"/>
      <c r="I23" s="18"/>
    </row>
    <row r="24" spans="2:9" ht="14.25" hidden="1" customHeight="1">
      <c r="E24" s="105" t="s">
        <v>132</v>
      </c>
      <c r="F24" s="105"/>
      <c r="G24" s="105"/>
      <c r="H24" s="105"/>
      <c r="I24" s="8"/>
    </row>
    <row r="26" spans="2:9" ht="15.75">
      <c r="B26" s="99" t="s">
        <v>50</v>
      </c>
      <c r="C26" s="99"/>
      <c r="D26" s="99"/>
      <c r="E26" s="99"/>
      <c r="F26" s="99"/>
      <c r="G26" s="99"/>
      <c r="H26" s="99"/>
    </row>
    <row r="27" spans="2:9" hidden="1"/>
    <row r="28" spans="2:9" hidden="1"/>
    <row r="29" spans="2:9" ht="15.75" hidden="1">
      <c r="B29" s="100" t="s">
        <v>129</v>
      </c>
      <c r="C29" s="100"/>
      <c r="D29" s="100"/>
      <c r="E29" s="100"/>
      <c r="F29" s="100"/>
      <c r="G29" s="100"/>
      <c r="H29" s="100"/>
    </row>
    <row r="30" spans="2:9" hidden="1">
      <c r="B30" s="15" t="s">
        <v>4</v>
      </c>
      <c r="C30" s="15" t="s">
        <v>5</v>
      </c>
      <c r="D30" s="15" t="s">
        <v>6</v>
      </c>
      <c r="E30" s="15" t="s">
        <v>12</v>
      </c>
      <c r="F30" s="15" t="s">
        <v>7</v>
      </c>
      <c r="G30" s="16" t="s">
        <v>8</v>
      </c>
      <c r="H30" s="15" t="s">
        <v>9</v>
      </c>
      <c r="I30" s="8" t="s">
        <v>130</v>
      </c>
    </row>
    <row r="31" spans="2:9" hidden="1">
      <c r="B31" s="10">
        <v>15128</v>
      </c>
      <c r="C31" s="11">
        <v>0.08</v>
      </c>
      <c r="D31" s="12" t="s">
        <v>53</v>
      </c>
      <c r="E31" s="31"/>
      <c r="F31" s="35">
        <v>2100000</v>
      </c>
      <c r="G31" s="36"/>
      <c r="H31" s="35"/>
      <c r="I31" s="37"/>
    </row>
    <row r="32" spans="2:9" hidden="1">
      <c r="B32" s="10">
        <v>15090</v>
      </c>
      <c r="C32" s="11">
        <v>0.1</v>
      </c>
      <c r="D32" s="12" t="s">
        <v>54</v>
      </c>
      <c r="E32" s="31"/>
      <c r="F32" s="35">
        <v>900000</v>
      </c>
      <c r="G32" s="36"/>
      <c r="H32" s="35"/>
      <c r="I32" s="37"/>
    </row>
    <row r="33" spans="2:9" hidden="1">
      <c r="B33" s="47">
        <v>15031</v>
      </c>
      <c r="C33" s="11">
        <v>0.1</v>
      </c>
      <c r="D33" s="12" t="s">
        <v>61</v>
      </c>
      <c r="E33" s="31"/>
      <c r="F33" s="35">
        <v>2800000</v>
      </c>
      <c r="G33" s="36"/>
      <c r="H33" s="35"/>
      <c r="I33" s="37"/>
    </row>
    <row r="34" spans="2:9" hidden="1">
      <c r="B34" s="23" t="s">
        <v>41</v>
      </c>
      <c r="C34" s="23"/>
      <c r="D34" s="24" t="s">
        <v>55</v>
      </c>
      <c r="E34" s="1" t="s">
        <v>56</v>
      </c>
      <c r="F34" s="35"/>
      <c r="G34" s="36"/>
      <c r="H34" s="35"/>
      <c r="I34" s="37"/>
    </row>
    <row r="35" spans="2:9" hidden="1">
      <c r="B35" s="24" t="s">
        <v>41</v>
      </c>
      <c r="C35" s="24"/>
      <c r="D35" s="24" t="s">
        <v>65</v>
      </c>
      <c r="E35" s="31" t="s">
        <v>66</v>
      </c>
      <c r="F35" s="35"/>
      <c r="G35" s="36"/>
      <c r="H35" s="35"/>
      <c r="I35" s="37"/>
    </row>
    <row r="36" spans="2:9" hidden="1">
      <c r="B36" s="24" t="s">
        <v>48</v>
      </c>
      <c r="C36" s="24"/>
      <c r="D36" s="41" t="s">
        <v>68</v>
      </c>
      <c r="E36" s="31" t="s">
        <v>69</v>
      </c>
      <c r="F36" s="35"/>
      <c r="G36" s="36"/>
      <c r="H36" s="35"/>
      <c r="I36" s="37"/>
    </row>
    <row r="37" spans="2:9" hidden="1">
      <c r="B37" s="24" t="s">
        <v>70</v>
      </c>
      <c r="C37" s="24"/>
      <c r="D37" s="24" t="s">
        <v>71</v>
      </c>
      <c r="E37" s="1" t="s">
        <v>72</v>
      </c>
      <c r="F37" s="35"/>
      <c r="G37" s="36"/>
      <c r="H37" s="35"/>
      <c r="I37" s="37"/>
    </row>
    <row r="38" spans="2:9" hidden="1">
      <c r="B38" s="24" t="s">
        <v>20</v>
      </c>
      <c r="C38" s="24"/>
      <c r="D38" s="24" t="s">
        <v>73</v>
      </c>
      <c r="E38" s="1" t="s">
        <v>74</v>
      </c>
      <c r="F38" s="35"/>
      <c r="G38" s="36"/>
      <c r="H38" s="35"/>
      <c r="I38" s="37"/>
    </row>
    <row r="39" spans="2:9" hidden="1">
      <c r="B39" s="14"/>
      <c r="C39" s="14"/>
      <c r="D39" s="8"/>
      <c r="E39" s="17" t="s">
        <v>131</v>
      </c>
      <c r="F39" s="19">
        <f>SUM(F31:F38)</f>
        <v>5800000</v>
      </c>
      <c r="G39" s="20"/>
      <c r="H39" s="19"/>
      <c r="I39" s="18"/>
    </row>
    <row r="40" spans="2:9" hidden="1">
      <c r="E40" s="105" t="s">
        <v>132</v>
      </c>
      <c r="F40" s="105"/>
      <c r="G40" s="105"/>
      <c r="H40" s="105"/>
      <c r="I40" s="50">
        <v>300000</v>
      </c>
    </row>
    <row r="41" spans="2:9" hidden="1"/>
    <row r="42" spans="2:9" ht="15.75" hidden="1">
      <c r="B42" s="100" t="s">
        <v>133</v>
      </c>
      <c r="C42" s="100"/>
      <c r="D42" s="100"/>
      <c r="E42" s="100"/>
      <c r="F42" s="100"/>
      <c r="G42" s="100"/>
      <c r="H42" s="100"/>
    </row>
    <row r="43" spans="2:9" hidden="1">
      <c r="B43" s="15" t="s">
        <v>4</v>
      </c>
      <c r="C43" s="15" t="s">
        <v>5</v>
      </c>
      <c r="D43" s="15" t="s">
        <v>6</v>
      </c>
      <c r="E43" s="15" t="s">
        <v>12</v>
      </c>
      <c r="F43" s="15" t="s">
        <v>7</v>
      </c>
      <c r="G43" s="16" t="s">
        <v>8</v>
      </c>
      <c r="H43" s="15" t="s">
        <v>9</v>
      </c>
      <c r="I43" s="8" t="s">
        <v>130</v>
      </c>
    </row>
    <row r="44" spans="2:9" hidden="1">
      <c r="B44" s="10">
        <v>14886</v>
      </c>
      <c r="C44" s="11">
        <v>0.08</v>
      </c>
      <c r="D44" s="12" t="s">
        <v>51</v>
      </c>
      <c r="E44" s="22"/>
      <c r="F44" s="32">
        <v>1990000</v>
      </c>
      <c r="G44" s="49">
        <v>0.05</v>
      </c>
      <c r="H44" s="35">
        <f>F44*G44</f>
        <v>99500</v>
      </c>
      <c r="I44" s="37"/>
    </row>
    <row r="45" spans="2:9" hidden="1">
      <c r="B45" s="10">
        <v>15116</v>
      </c>
      <c r="C45" s="11">
        <v>0.1</v>
      </c>
      <c r="D45" s="12" t="s">
        <v>52</v>
      </c>
      <c r="E45" s="22"/>
      <c r="F45" s="32">
        <v>3100000</v>
      </c>
      <c r="G45" s="49">
        <v>0.05</v>
      </c>
      <c r="H45" s="35">
        <f t="shared" ref="H45:H47" si="0">F45*G45</f>
        <v>155000</v>
      </c>
      <c r="I45" s="37"/>
    </row>
    <row r="46" spans="2:9" hidden="1">
      <c r="B46" s="47">
        <v>15026</v>
      </c>
      <c r="C46" s="11">
        <v>0.1</v>
      </c>
      <c r="D46" s="12" t="s">
        <v>63</v>
      </c>
      <c r="E46" s="22"/>
      <c r="F46" s="32">
        <v>1800000</v>
      </c>
      <c r="G46" s="49">
        <v>0.05</v>
      </c>
      <c r="H46" s="35">
        <f t="shared" si="0"/>
        <v>90000</v>
      </c>
      <c r="I46" s="37"/>
    </row>
    <row r="47" spans="2:9" hidden="1">
      <c r="B47" s="47">
        <v>15114</v>
      </c>
      <c r="C47" s="11">
        <v>0.1</v>
      </c>
      <c r="D47" s="12" t="s">
        <v>55</v>
      </c>
      <c r="E47" s="22"/>
      <c r="F47" s="32">
        <v>1800000</v>
      </c>
      <c r="G47" s="49">
        <v>0.05</v>
      </c>
      <c r="H47" s="35">
        <f t="shared" si="0"/>
        <v>90000</v>
      </c>
      <c r="I47" s="37"/>
    </row>
    <row r="48" spans="2:9" hidden="1">
      <c r="B48" s="24" t="s">
        <v>41</v>
      </c>
      <c r="C48" s="24"/>
      <c r="D48" s="24" t="s">
        <v>75</v>
      </c>
      <c r="E48" s="1" t="s">
        <v>76</v>
      </c>
      <c r="F48" s="35"/>
      <c r="G48" s="36"/>
      <c r="H48" s="35"/>
      <c r="I48" s="37"/>
    </row>
    <row r="49" spans="2:9" hidden="1">
      <c r="B49" s="24" t="s">
        <v>31</v>
      </c>
      <c r="C49" s="24"/>
      <c r="D49" s="24" t="s">
        <v>67</v>
      </c>
      <c r="E49" s="48"/>
      <c r="F49" s="35"/>
      <c r="G49" s="36"/>
      <c r="H49" s="35"/>
      <c r="I49" s="37"/>
    </row>
    <row r="50" spans="2:9" hidden="1">
      <c r="B50" s="23" t="s">
        <v>47</v>
      </c>
      <c r="C50" s="23"/>
      <c r="D50" s="24" t="s">
        <v>57</v>
      </c>
      <c r="E50" s="1" t="s">
        <v>58</v>
      </c>
      <c r="F50" s="35"/>
      <c r="G50" s="36"/>
      <c r="H50" s="35"/>
      <c r="I50" s="37"/>
    </row>
    <row r="51" spans="2:9" hidden="1">
      <c r="B51" s="23" t="s">
        <v>29</v>
      </c>
      <c r="C51" s="23"/>
      <c r="D51" s="24" t="s">
        <v>59</v>
      </c>
      <c r="E51" s="1" t="s">
        <v>60</v>
      </c>
      <c r="F51" s="35"/>
      <c r="G51" s="36"/>
      <c r="H51" s="35"/>
      <c r="I51" s="37"/>
    </row>
    <row r="52" spans="2:9" hidden="1">
      <c r="B52" s="14"/>
      <c r="C52" s="14"/>
      <c r="D52" s="8"/>
      <c r="E52" s="17" t="s">
        <v>131</v>
      </c>
      <c r="F52" s="19">
        <f>SUM(F44:F51)</f>
        <v>8690000</v>
      </c>
      <c r="G52" s="20"/>
      <c r="H52" s="19"/>
      <c r="I52" s="18"/>
    </row>
    <row r="53" spans="2:9" hidden="1">
      <c r="E53" s="105" t="s">
        <v>132</v>
      </c>
      <c r="F53" s="105"/>
      <c r="G53" s="105"/>
      <c r="H53" s="105"/>
      <c r="I53" s="50">
        <f>H44+H45+H46+H47</f>
        <v>434500</v>
      </c>
    </row>
    <row r="54" spans="2:9" hidden="1"/>
    <row r="56" spans="2:9" ht="15.75">
      <c r="B56" s="99" t="s">
        <v>80</v>
      </c>
      <c r="C56" s="99"/>
      <c r="D56" s="99"/>
      <c r="E56" s="99"/>
      <c r="F56" s="99"/>
      <c r="G56" s="99"/>
      <c r="H56" s="99"/>
    </row>
    <row r="57" spans="2:9" hidden="1"/>
    <row r="58" spans="2:9" ht="15.75" hidden="1">
      <c r="B58" s="100" t="s">
        <v>129</v>
      </c>
      <c r="C58" s="100"/>
      <c r="D58" s="100"/>
      <c r="E58" s="100"/>
      <c r="F58" s="100"/>
      <c r="G58" s="100"/>
      <c r="H58" s="100"/>
    </row>
    <row r="59" spans="2:9" hidden="1">
      <c r="B59" s="15" t="s">
        <v>4</v>
      </c>
      <c r="C59" s="15" t="s">
        <v>5</v>
      </c>
      <c r="D59" s="15" t="s">
        <v>6</v>
      </c>
      <c r="E59" s="15" t="s">
        <v>12</v>
      </c>
      <c r="F59" s="15" t="s">
        <v>7</v>
      </c>
      <c r="G59" s="16" t="s">
        <v>8</v>
      </c>
      <c r="H59" s="15" t="s">
        <v>9</v>
      </c>
      <c r="I59" s="8" t="s">
        <v>130</v>
      </c>
    </row>
    <row r="60" spans="2:9" hidden="1">
      <c r="B60" s="10">
        <v>15210</v>
      </c>
      <c r="C60" s="11">
        <v>0.08</v>
      </c>
      <c r="D60" s="12" t="s">
        <v>81</v>
      </c>
      <c r="E60" s="31"/>
      <c r="F60" s="32">
        <v>2000000</v>
      </c>
      <c r="G60" s="49">
        <v>0.05</v>
      </c>
      <c r="H60" s="35">
        <f>F60*G60</f>
        <v>100000</v>
      </c>
      <c r="I60" s="37"/>
    </row>
    <row r="61" spans="2:9" hidden="1">
      <c r="B61" s="10">
        <v>15275</v>
      </c>
      <c r="C61" s="11">
        <v>0.1</v>
      </c>
      <c r="D61" s="12" t="s">
        <v>82</v>
      </c>
      <c r="E61" s="31"/>
      <c r="F61" s="32">
        <v>2000000</v>
      </c>
      <c r="G61" s="49">
        <v>0.05</v>
      </c>
      <c r="H61" s="35">
        <f t="shared" ref="H61:H63" si="1">F61*G61</f>
        <v>100000</v>
      </c>
      <c r="I61" s="37"/>
    </row>
    <row r="62" spans="2:9" hidden="1">
      <c r="B62" s="10">
        <v>15210</v>
      </c>
      <c r="C62" s="11">
        <v>0.1</v>
      </c>
      <c r="D62" s="12" t="s">
        <v>87</v>
      </c>
      <c r="E62" s="31"/>
      <c r="F62" s="4">
        <v>2800000</v>
      </c>
      <c r="G62" s="49">
        <v>0.05</v>
      </c>
      <c r="H62" s="35">
        <f t="shared" si="1"/>
        <v>140000</v>
      </c>
      <c r="I62" s="37"/>
    </row>
    <row r="63" spans="2:9" hidden="1">
      <c r="B63" s="10">
        <v>15244</v>
      </c>
      <c r="C63" s="11">
        <v>0.1</v>
      </c>
      <c r="D63" s="12" t="s">
        <v>88</v>
      </c>
      <c r="E63" s="31"/>
      <c r="F63" s="4">
        <v>1700000</v>
      </c>
      <c r="G63" s="49">
        <v>0.05</v>
      </c>
      <c r="H63" s="35">
        <f t="shared" si="1"/>
        <v>85000</v>
      </c>
      <c r="I63" s="37"/>
    </row>
    <row r="64" spans="2:9" hidden="1">
      <c r="B64" s="23" t="s">
        <v>47</v>
      </c>
      <c r="C64" s="23"/>
      <c r="D64" s="24" t="s">
        <v>84</v>
      </c>
      <c r="E64" s="31" t="s">
        <v>85</v>
      </c>
      <c r="F64" s="35"/>
      <c r="G64" s="36"/>
      <c r="H64" s="35"/>
      <c r="I64" s="37"/>
    </row>
    <row r="65" spans="2:9" hidden="1">
      <c r="B65" s="24" t="s">
        <v>47</v>
      </c>
      <c r="C65" s="24"/>
      <c r="D65" s="24" t="s">
        <v>86</v>
      </c>
      <c r="E65" s="31" t="s">
        <v>76</v>
      </c>
      <c r="F65" s="35"/>
      <c r="G65" s="36"/>
      <c r="H65" s="35"/>
      <c r="I65" s="37"/>
    </row>
    <row r="66" spans="2:9" hidden="1">
      <c r="B66" s="24" t="s">
        <v>48</v>
      </c>
      <c r="C66" s="24"/>
      <c r="D66" s="41" t="s">
        <v>89</v>
      </c>
      <c r="E66" s="31" t="s">
        <v>90</v>
      </c>
      <c r="F66" s="35"/>
      <c r="G66" s="36"/>
      <c r="H66" s="35"/>
      <c r="I66" s="37"/>
    </row>
    <row r="67" spans="2:9" hidden="1">
      <c r="B67" s="31"/>
      <c r="C67" s="31"/>
      <c r="D67" s="31"/>
      <c r="E67" s="31"/>
      <c r="F67" s="35"/>
      <c r="G67" s="36"/>
      <c r="H67" s="35"/>
      <c r="I67" s="37"/>
    </row>
    <row r="68" spans="2:9" hidden="1">
      <c r="B68" s="14"/>
      <c r="C68" s="14"/>
      <c r="D68" s="8"/>
      <c r="E68" s="17" t="s">
        <v>131</v>
      </c>
      <c r="F68" s="19">
        <f>SUM(F60:F67)</f>
        <v>8500000</v>
      </c>
      <c r="G68" s="20"/>
      <c r="H68" s="19"/>
      <c r="I68" s="18"/>
    </row>
    <row r="69" spans="2:9" hidden="1">
      <c r="E69" s="101" t="s">
        <v>132</v>
      </c>
      <c r="F69" s="102"/>
      <c r="G69" s="103"/>
      <c r="H69" s="54">
        <f>SUM(H60:H68)</f>
        <v>425000</v>
      </c>
      <c r="I69" s="35"/>
    </row>
    <row r="70" spans="2:9" hidden="1"/>
    <row r="71" spans="2:9" ht="15.75" hidden="1">
      <c r="B71" s="100" t="s">
        <v>133</v>
      </c>
      <c r="C71" s="100"/>
      <c r="D71" s="100"/>
      <c r="E71" s="100"/>
      <c r="F71" s="100"/>
      <c r="G71" s="100"/>
      <c r="H71" s="100"/>
    </row>
    <row r="72" spans="2:9" hidden="1">
      <c r="B72" s="15" t="s">
        <v>4</v>
      </c>
      <c r="C72" s="15" t="s">
        <v>5</v>
      </c>
      <c r="D72" s="15" t="s">
        <v>6</v>
      </c>
      <c r="E72" s="15" t="s">
        <v>12</v>
      </c>
      <c r="F72" s="15" t="s">
        <v>7</v>
      </c>
      <c r="G72" s="16" t="s">
        <v>8</v>
      </c>
      <c r="H72" s="15" t="s">
        <v>9</v>
      </c>
      <c r="I72" s="8" t="s">
        <v>130</v>
      </c>
    </row>
    <row r="73" spans="2:9" hidden="1">
      <c r="B73" s="23" t="s">
        <v>31</v>
      </c>
      <c r="C73" s="23"/>
      <c r="D73" s="24" t="s">
        <v>94</v>
      </c>
      <c r="E73" s="22"/>
      <c r="F73" s="32"/>
      <c r="G73" s="49"/>
      <c r="H73" s="35"/>
      <c r="I73" s="37"/>
    </row>
    <row r="74" spans="2:9" hidden="1">
      <c r="B74" s="24" t="s">
        <v>20</v>
      </c>
      <c r="C74" s="24"/>
      <c r="D74" s="24" t="s">
        <v>91</v>
      </c>
      <c r="E74" s="40" t="s">
        <v>92</v>
      </c>
      <c r="F74" s="32"/>
      <c r="G74" s="49"/>
      <c r="H74" s="35"/>
      <c r="I74" s="37"/>
    </row>
    <row r="75" spans="2:9" hidden="1">
      <c r="B75" s="62"/>
      <c r="C75" s="56"/>
      <c r="D75" s="31"/>
      <c r="E75" s="22"/>
      <c r="F75" s="32"/>
      <c r="G75" s="49"/>
      <c r="H75" s="35"/>
      <c r="I75" s="37"/>
    </row>
    <row r="76" spans="2:9" hidden="1">
      <c r="B76" s="14"/>
      <c r="C76" s="14"/>
      <c r="D76" s="8"/>
      <c r="E76" s="17" t="s">
        <v>131</v>
      </c>
      <c r="F76" s="19">
        <f>SUM(F73:F75)</f>
        <v>0</v>
      </c>
      <c r="G76" s="20"/>
      <c r="H76" s="19"/>
      <c r="I76" s="18"/>
    </row>
    <row r="77" spans="2:9" hidden="1">
      <c r="E77" s="101" t="s">
        <v>132</v>
      </c>
      <c r="F77" s="102"/>
      <c r="G77" s="103"/>
      <c r="H77" s="8"/>
      <c r="I77" s="36"/>
    </row>
    <row r="78" spans="2:9" hidden="1"/>
    <row r="80" spans="2:9" ht="15.75">
      <c r="B80" s="99" t="s">
        <v>97</v>
      </c>
      <c r="C80" s="99"/>
      <c r="D80" s="99"/>
      <c r="E80" s="99"/>
      <c r="F80" s="99"/>
      <c r="G80" s="99"/>
      <c r="H80" s="99"/>
    </row>
    <row r="82" spans="2:9" ht="15.75">
      <c r="B82" s="100" t="s">
        <v>129</v>
      </c>
      <c r="C82" s="100"/>
      <c r="D82" s="100"/>
      <c r="E82" s="100"/>
      <c r="F82" s="100"/>
      <c r="G82" s="100"/>
      <c r="H82" s="100"/>
    </row>
    <row r="83" spans="2:9">
      <c r="B83" s="15" t="s">
        <v>4</v>
      </c>
      <c r="C83" s="15" t="s">
        <v>5</v>
      </c>
      <c r="D83" s="15" t="s">
        <v>6</v>
      </c>
      <c r="E83" s="15" t="s">
        <v>12</v>
      </c>
      <c r="F83" s="15" t="s">
        <v>7</v>
      </c>
      <c r="G83" s="16" t="s">
        <v>8</v>
      </c>
      <c r="H83" s="15" t="s">
        <v>9</v>
      </c>
      <c r="I83" s="8" t="s">
        <v>130</v>
      </c>
    </row>
    <row r="84" spans="2:9">
      <c r="B84" s="10">
        <v>15503</v>
      </c>
      <c r="C84" s="11">
        <v>0.1</v>
      </c>
      <c r="D84" s="64" t="s">
        <v>98</v>
      </c>
      <c r="E84" s="32" t="s">
        <v>99</v>
      </c>
      <c r="F84" s="32">
        <v>1700000</v>
      </c>
      <c r="G84" s="49">
        <v>0.05</v>
      </c>
      <c r="H84" s="35">
        <f>F84*G84</f>
        <v>85000</v>
      </c>
      <c r="I84" s="37"/>
    </row>
    <row r="85" spans="2:9">
      <c r="B85" s="10">
        <v>15601</v>
      </c>
      <c r="C85" s="11">
        <v>0.1</v>
      </c>
      <c r="D85" s="64" t="s">
        <v>100</v>
      </c>
      <c r="E85" s="32"/>
      <c r="F85" s="32">
        <v>2500000</v>
      </c>
      <c r="G85" s="49">
        <v>0.05</v>
      </c>
      <c r="H85" s="35">
        <f t="shared" ref="H85:H92" si="2">F85*G85</f>
        <v>125000</v>
      </c>
      <c r="I85" s="37"/>
    </row>
    <row r="86" spans="2:9">
      <c r="B86" s="63">
        <v>15560</v>
      </c>
      <c r="C86" s="11">
        <v>0.1</v>
      </c>
      <c r="D86" s="64" t="s">
        <v>101</v>
      </c>
      <c r="E86" s="32" t="s">
        <v>99</v>
      </c>
      <c r="F86" s="32">
        <v>2000000</v>
      </c>
      <c r="G86" s="49">
        <v>0.05</v>
      </c>
      <c r="H86" s="35">
        <f t="shared" si="2"/>
        <v>100000</v>
      </c>
      <c r="I86" s="37"/>
    </row>
    <row r="87" spans="2:9">
      <c r="B87" s="47">
        <v>15589</v>
      </c>
      <c r="C87" s="11">
        <v>0.1</v>
      </c>
      <c r="D87" s="64" t="s">
        <v>104</v>
      </c>
      <c r="E87" s="32"/>
      <c r="F87" s="32">
        <v>1600000</v>
      </c>
      <c r="G87" s="49">
        <v>0.05</v>
      </c>
      <c r="H87" s="35">
        <f t="shared" si="2"/>
        <v>80000</v>
      </c>
      <c r="I87" s="37"/>
    </row>
    <row r="88" spans="2:9">
      <c r="B88" s="10">
        <v>15579</v>
      </c>
      <c r="C88" s="11">
        <v>0.1</v>
      </c>
      <c r="D88" s="12" t="s">
        <v>110</v>
      </c>
      <c r="E88" s="32" t="s">
        <v>99</v>
      </c>
      <c r="F88" s="4">
        <v>1400000</v>
      </c>
      <c r="G88" s="49">
        <v>0.05</v>
      </c>
      <c r="H88" s="35">
        <f t="shared" si="2"/>
        <v>70000</v>
      </c>
      <c r="I88" s="37"/>
    </row>
    <row r="89" spans="2:9">
      <c r="B89" s="67">
        <v>15631</v>
      </c>
      <c r="C89" s="11">
        <v>0.1</v>
      </c>
      <c r="D89" s="65" t="s">
        <v>111</v>
      </c>
      <c r="E89" s="4"/>
      <c r="F89" s="4">
        <v>850000</v>
      </c>
      <c r="G89" s="49">
        <v>0.05</v>
      </c>
      <c r="H89" s="35">
        <f t="shared" si="2"/>
        <v>42500</v>
      </c>
      <c r="I89" s="37"/>
    </row>
    <row r="90" spans="2:9">
      <c r="B90" s="10">
        <v>15648</v>
      </c>
      <c r="C90" s="11">
        <v>0.08</v>
      </c>
      <c r="D90" s="12" t="s">
        <v>116</v>
      </c>
      <c r="E90" s="32" t="s">
        <v>99</v>
      </c>
      <c r="F90" s="32">
        <v>1300000</v>
      </c>
      <c r="G90" s="49">
        <v>0.05</v>
      </c>
      <c r="H90" s="35">
        <f t="shared" si="2"/>
        <v>65000</v>
      </c>
      <c r="I90" s="37"/>
    </row>
    <row r="91" spans="2:9">
      <c r="B91" s="10">
        <v>15500</v>
      </c>
      <c r="C91" s="11">
        <v>0.08</v>
      </c>
      <c r="D91" s="12" t="s">
        <v>117</v>
      </c>
      <c r="E91" s="4"/>
      <c r="F91" s="4">
        <v>3450000</v>
      </c>
      <c r="G91" s="49">
        <v>0.05</v>
      </c>
      <c r="H91" s="35">
        <f t="shared" si="2"/>
        <v>172500</v>
      </c>
      <c r="I91" s="37"/>
    </row>
    <row r="92" spans="2:9">
      <c r="B92" s="10">
        <v>1521</v>
      </c>
      <c r="C92" s="11">
        <v>0.1</v>
      </c>
      <c r="D92" s="12" t="s">
        <v>118</v>
      </c>
      <c r="E92" s="32" t="s">
        <v>99</v>
      </c>
      <c r="F92" s="4">
        <v>1900000</v>
      </c>
      <c r="G92" s="49">
        <v>0.05</v>
      </c>
      <c r="H92" s="35">
        <f t="shared" si="2"/>
        <v>95000</v>
      </c>
      <c r="I92" s="37"/>
    </row>
    <row r="93" spans="2:9">
      <c r="B93" s="23" t="s">
        <v>106</v>
      </c>
      <c r="C93" s="23"/>
      <c r="D93" s="24" t="s">
        <v>107</v>
      </c>
      <c r="E93" s="31" t="s">
        <v>108</v>
      </c>
      <c r="F93" s="35"/>
      <c r="G93" s="36"/>
      <c r="H93" s="35"/>
      <c r="I93" s="37"/>
    </row>
    <row r="94" spans="2:9">
      <c r="B94" s="24" t="s">
        <v>112</v>
      </c>
      <c r="C94" s="24"/>
      <c r="D94" s="24" t="s">
        <v>113</v>
      </c>
      <c r="E94" s="31" t="s">
        <v>114</v>
      </c>
      <c r="F94" s="35"/>
      <c r="G94" s="36"/>
      <c r="H94" s="35"/>
      <c r="I94" s="37"/>
    </row>
    <row r="95" spans="2:9">
      <c r="B95" s="23" t="s">
        <v>106</v>
      </c>
      <c r="C95" s="23"/>
      <c r="D95" s="24" t="s">
        <v>110</v>
      </c>
      <c r="E95" s="1" t="s">
        <v>119</v>
      </c>
      <c r="F95" s="35"/>
      <c r="G95" s="36"/>
      <c r="H95" s="35"/>
      <c r="I95" s="37"/>
    </row>
    <row r="96" spans="2:9">
      <c r="B96" s="66" t="s">
        <v>47</v>
      </c>
      <c r="C96" s="66"/>
      <c r="D96" s="41" t="s">
        <v>120</v>
      </c>
      <c r="E96" s="1" t="s">
        <v>121</v>
      </c>
      <c r="F96" s="35"/>
      <c r="G96" s="36"/>
      <c r="H96" s="35"/>
      <c r="I96" s="37"/>
    </row>
    <row r="97" spans="2:9">
      <c r="B97" s="24" t="s">
        <v>47</v>
      </c>
      <c r="C97" s="24"/>
      <c r="D97" s="24" t="s">
        <v>122</v>
      </c>
      <c r="E97" s="31" t="s">
        <v>121</v>
      </c>
      <c r="F97" s="35"/>
      <c r="G97" s="36"/>
      <c r="H97" s="35"/>
      <c r="I97" s="37"/>
    </row>
    <row r="98" spans="2:9">
      <c r="B98" s="14"/>
      <c r="C98" s="14"/>
      <c r="D98" s="8"/>
      <c r="E98" s="17" t="s">
        <v>131</v>
      </c>
      <c r="F98" s="19">
        <f>SUM(F84:F97)</f>
        <v>16700000</v>
      </c>
      <c r="G98" s="20"/>
      <c r="H98" s="19"/>
      <c r="I98" s="18"/>
    </row>
    <row r="99" spans="2:9">
      <c r="E99" s="101" t="s">
        <v>132</v>
      </c>
      <c r="F99" s="102"/>
      <c r="G99" s="103"/>
      <c r="H99" s="54">
        <f>SUM(H84:H98)</f>
        <v>835000</v>
      </c>
      <c r="I99" s="35"/>
    </row>
    <row r="101" spans="2:9" ht="15.75">
      <c r="B101" s="100" t="s">
        <v>134</v>
      </c>
      <c r="C101" s="100"/>
      <c r="D101" s="100"/>
      <c r="E101" s="100"/>
      <c r="F101" s="100"/>
      <c r="G101" s="100"/>
      <c r="H101" s="100"/>
    </row>
    <row r="102" spans="2:9">
      <c r="B102" s="15" t="s">
        <v>4</v>
      </c>
      <c r="C102" s="15" t="s">
        <v>5</v>
      </c>
      <c r="D102" s="15" t="s">
        <v>6</v>
      </c>
      <c r="E102" s="15" t="s">
        <v>12</v>
      </c>
      <c r="F102" s="15" t="s">
        <v>7</v>
      </c>
      <c r="G102" s="16" t="s">
        <v>8</v>
      </c>
      <c r="H102" s="15" t="s">
        <v>9</v>
      </c>
      <c r="I102" s="8" t="s">
        <v>130</v>
      </c>
    </row>
    <row r="103" spans="2:9">
      <c r="B103" s="47">
        <v>15593</v>
      </c>
      <c r="C103" s="11">
        <v>0.08</v>
      </c>
      <c r="D103" s="64" t="s">
        <v>102</v>
      </c>
      <c r="E103" s="32" t="s">
        <v>99</v>
      </c>
      <c r="F103" s="32">
        <v>1500000</v>
      </c>
      <c r="G103" s="49"/>
      <c r="H103" s="35"/>
      <c r="I103" s="37"/>
    </row>
    <row r="104" spans="2:9">
      <c r="B104" s="47">
        <v>15588</v>
      </c>
      <c r="C104" s="11">
        <v>0.1</v>
      </c>
      <c r="D104" s="12" t="s">
        <v>105</v>
      </c>
      <c r="E104" s="32" t="s">
        <v>99</v>
      </c>
      <c r="F104" s="32">
        <v>1700000</v>
      </c>
      <c r="G104" s="49"/>
      <c r="H104" s="35"/>
      <c r="I104" s="37"/>
    </row>
    <row r="105" spans="2:9">
      <c r="B105" s="14"/>
      <c r="C105" s="14"/>
      <c r="D105" s="8"/>
      <c r="E105" s="17" t="s">
        <v>131</v>
      </c>
      <c r="F105" s="19">
        <f>SUM(F103:F104)</f>
        <v>3200000</v>
      </c>
      <c r="G105" s="20"/>
      <c r="H105" s="19"/>
      <c r="I105" s="18"/>
    </row>
    <row r="106" spans="2:9">
      <c r="E106" s="101" t="s">
        <v>132</v>
      </c>
      <c r="F106" s="102"/>
      <c r="G106" s="103"/>
      <c r="H106" s="8"/>
      <c r="I106" s="70">
        <v>300000</v>
      </c>
    </row>
    <row r="108" spans="2:9" ht="15.75">
      <c r="B108" s="99" t="s">
        <v>123</v>
      </c>
      <c r="C108" s="99"/>
      <c r="D108" s="99"/>
      <c r="E108" s="99"/>
      <c r="F108" s="99"/>
      <c r="G108" s="99"/>
      <c r="H108" s="99"/>
    </row>
  </sheetData>
  <mergeCells count="22">
    <mergeCell ref="B108:H108"/>
    <mergeCell ref="B29:H29"/>
    <mergeCell ref="E40:H40"/>
    <mergeCell ref="B42:H42"/>
    <mergeCell ref="E53:H53"/>
    <mergeCell ref="E24:H24"/>
    <mergeCell ref="B26:H26"/>
    <mergeCell ref="B5:H5"/>
    <mergeCell ref="B3:H3"/>
    <mergeCell ref="B1:H1"/>
    <mergeCell ref="E11:H11"/>
    <mergeCell ref="B13:H13"/>
    <mergeCell ref="B56:H56"/>
    <mergeCell ref="B58:H58"/>
    <mergeCell ref="B71:H71"/>
    <mergeCell ref="E69:G69"/>
    <mergeCell ref="E77:G77"/>
    <mergeCell ref="B80:H80"/>
    <mergeCell ref="B82:H82"/>
    <mergeCell ref="E99:G99"/>
    <mergeCell ref="B101:H101"/>
    <mergeCell ref="E106:G10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A8F4-64B8-4BCC-AAC6-54D3A56DA0A5}">
  <dimension ref="B1:O133"/>
  <sheetViews>
    <sheetView topLeftCell="A112" workbookViewId="0">
      <selection activeCell="F16" sqref="F16"/>
    </sheetView>
  </sheetViews>
  <sheetFormatPr defaultRowHeight="15"/>
  <cols>
    <col min="1" max="1" width="4.5703125" customWidth="1"/>
    <col min="2" max="2" width="4.140625" style="13" customWidth="1"/>
    <col min="3" max="3" width="25.42578125" customWidth="1"/>
    <col min="4" max="5" width="4.7109375" customWidth="1"/>
    <col min="6" max="6" width="28.140625" customWidth="1"/>
    <col min="7" max="7" width="4.42578125" customWidth="1"/>
    <col min="8" max="8" width="5" style="13" customWidth="1"/>
    <col min="9" max="9" width="29.85546875" style="13" customWidth="1"/>
    <col min="10" max="10" width="3.85546875" customWidth="1"/>
    <col min="11" max="11" width="5" customWidth="1"/>
    <col min="12" max="12" width="21.28515625" customWidth="1"/>
    <col min="13" max="13" width="4" customWidth="1"/>
    <col min="14" max="14" width="4.5703125" customWidth="1"/>
    <col min="15" max="15" width="18.140625" customWidth="1"/>
  </cols>
  <sheetData>
    <row r="1" spans="2:10" ht="41.25">
      <c r="B1" s="106">
        <v>2022</v>
      </c>
      <c r="C1" s="106"/>
      <c r="D1" s="106"/>
      <c r="E1" s="106"/>
      <c r="F1" s="106"/>
      <c r="G1" s="106"/>
      <c r="H1" s="106"/>
      <c r="I1" s="106"/>
      <c r="J1" s="106"/>
    </row>
    <row r="3" spans="2:10" ht="15.75">
      <c r="B3" s="99" t="s">
        <v>135</v>
      </c>
      <c r="C3" s="99"/>
      <c r="D3" s="99"/>
      <c r="E3" s="99"/>
      <c r="F3" s="99"/>
      <c r="G3" s="99"/>
      <c r="H3" s="99"/>
      <c r="I3" s="99"/>
      <c r="J3" s="99"/>
    </row>
    <row r="5" spans="2:10">
      <c r="B5" s="107" t="s">
        <v>136</v>
      </c>
      <c r="C5" s="107"/>
      <c r="E5" s="105" t="s">
        <v>19</v>
      </c>
      <c r="F5" s="105"/>
    </row>
    <row r="6" spans="2:10">
      <c r="B6" s="37" t="s">
        <v>137</v>
      </c>
      <c r="C6" s="22" t="s">
        <v>138</v>
      </c>
      <c r="E6" s="14" t="s">
        <v>137</v>
      </c>
      <c r="F6" s="8" t="s">
        <v>138</v>
      </c>
    </row>
    <row r="7" spans="2:10">
      <c r="B7" s="22">
        <v>1</v>
      </c>
      <c r="C7" s="22" t="s">
        <v>139</v>
      </c>
      <c r="E7" s="8">
        <v>1</v>
      </c>
      <c r="F7" s="8" t="s">
        <v>140</v>
      </c>
    </row>
    <row r="8" spans="2:10">
      <c r="B8" s="22">
        <v>2</v>
      </c>
      <c r="C8" s="22" t="s">
        <v>141</v>
      </c>
      <c r="E8" s="8">
        <v>2</v>
      </c>
      <c r="F8" s="8" t="s">
        <v>142</v>
      </c>
    </row>
    <row r="9" spans="2:10">
      <c r="B9" s="22">
        <v>3</v>
      </c>
      <c r="C9" s="22" t="s">
        <v>143</v>
      </c>
      <c r="E9" s="8">
        <v>3</v>
      </c>
      <c r="F9" s="8" t="s">
        <v>144</v>
      </c>
    </row>
    <row r="10" spans="2:10">
      <c r="B10" s="22">
        <v>4</v>
      </c>
      <c r="C10" s="22" t="s">
        <v>145</v>
      </c>
      <c r="E10" s="8">
        <v>4</v>
      </c>
      <c r="F10" s="8" t="s">
        <v>146</v>
      </c>
    </row>
    <row r="11" spans="2:10">
      <c r="B11" s="22">
        <v>5</v>
      </c>
      <c r="C11" s="22" t="s">
        <v>147</v>
      </c>
      <c r="E11" s="8">
        <v>5</v>
      </c>
      <c r="F11" s="8" t="s">
        <v>148</v>
      </c>
    </row>
    <row r="12" spans="2:10">
      <c r="B12" s="22">
        <v>6</v>
      </c>
      <c r="C12" s="22" t="s">
        <v>149</v>
      </c>
      <c r="E12" s="8">
        <v>6</v>
      </c>
      <c r="F12" s="8" t="s">
        <v>150</v>
      </c>
    </row>
    <row r="13" spans="2:10">
      <c r="B13" s="22">
        <v>7</v>
      </c>
      <c r="C13" s="22" t="s">
        <v>151</v>
      </c>
      <c r="E13" s="8">
        <v>7</v>
      </c>
      <c r="F13" s="8" t="s">
        <v>152</v>
      </c>
    </row>
    <row r="14" spans="2:10">
      <c r="B14" s="22">
        <v>8</v>
      </c>
      <c r="C14" s="22" t="s">
        <v>153</v>
      </c>
      <c r="E14" s="8">
        <v>8</v>
      </c>
      <c r="F14" s="8" t="s">
        <v>154</v>
      </c>
    </row>
    <row r="15" spans="2:10">
      <c r="B15" s="22">
        <v>9</v>
      </c>
      <c r="C15" s="22" t="s">
        <v>155</v>
      </c>
      <c r="E15" s="8">
        <v>9</v>
      </c>
      <c r="F15" s="8" t="s">
        <v>156</v>
      </c>
    </row>
    <row r="16" spans="2:10">
      <c r="B16" s="22">
        <v>10</v>
      </c>
      <c r="C16" s="22" t="s">
        <v>157</v>
      </c>
      <c r="E16" s="8">
        <v>10</v>
      </c>
      <c r="F16" s="8" t="s">
        <v>158</v>
      </c>
    </row>
    <row r="17" spans="2:10">
      <c r="B17" s="22">
        <v>11</v>
      </c>
      <c r="C17" s="22" t="s">
        <v>159</v>
      </c>
    </row>
    <row r="18" spans="2:10">
      <c r="B18" s="22">
        <v>12</v>
      </c>
      <c r="C18" s="22" t="s">
        <v>160</v>
      </c>
    </row>
    <row r="19" spans="2:10">
      <c r="B19" s="22">
        <v>13</v>
      </c>
      <c r="C19" s="22" t="s">
        <v>161</v>
      </c>
    </row>
    <row r="20" spans="2:10">
      <c r="B20" s="22">
        <v>14</v>
      </c>
      <c r="C20" s="22" t="s">
        <v>162</v>
      </c>
    </row>
    <row r="22" spans="2:10" ht="15.75">
      <c r="B22" s="99" t="s">
        <v>0</v>
      </c>
      <c r="C22" s="99"/>
      <c r="D22" s="99"/>
      <c r="E22" s="99"/>
      <c r="F22" s="99"/>
      <c r="G22" s="99"/>
      <c r="H22" s="99"/>
      <c r="I22" s="99"/>
      <c r="J22" s="99"/>
    </row>
    <row r="24" spans="2:10">
      <c r="B24" s="107" t="s">
        <v>136</v>
      </c>
      <c r="C24" s="107"/>
      <c r="D24" s="13"/>
      <c r="E24" s="110" t="s">
        <v>19</v>
      </c>
      <c r="F24" s="110"/>
      <c r="H24" s="107" t="s">
        <v>163</v>
      </c>
      <c r="I24" s="107"/>
    </row>
    <row r="25" spans="2:10">
      <c r="B25" s="37" t="s">
        <v>137</v>
      </c>
      <c r="C25" s="22" t="s">
        <v>138</v>
      </c>
      <c r="E25" s="14" t="s">
        <v>137</v>
      </c>
      <c r="F25" s="8" t="s">
        <v>138</v>
      </c>
      <c r="H25" s="108" t="s">
        <v>137</v>
      </c>
      <c r="I25" s="109" t="s">
        <v>138</v>
      </c>
    </row>
    <row r="26" spans="2:10">
      <c r="B26" s="14">
        <v>1</v>
      </c>
      <c r="C26" s="8" t="s">
        <v>164</v>
      </c>
      <c r="E26" s="8">
        <v>1</v>
      </c>
      <c r="F26" s="8" t="s">
        <v>165</v>
      </c>
      <c r="H26" s="14">
        <v>1</v>
      </c>
      <c r="I26" s="14" t="s">
        <v>166</v>
      </c>
    </row>
    <row r="27" spans="2:10">
      <c r="B27" s="14">
        <v>2</v>
      </c>
      <c r="C27" s="8" t="s">
        <v>167</v>
      </c>
      <c r="E27" s="8">
        <v>2</v>
      </c>
      <c r="F27" s="8" t="s">
        <v>168</v>
      </c>
      <c r="H27" s="14">
        <v>2</v>
      </c>
      <c r="I27" s="14" t="s">
        <v>169</v>
      </c>
    </row>
    <row r="28" spans="2:10">
      <c r="B28" s="14">
        <v>3</v>
      </c>
      <c r="C28" s="8" t="s">
        <v>170</v>
      </c>
      <c r="E28" s="8">
        <v>3</v>
      </c>
      <c r="F28" s="8" t="s">
        <v>171</v>
      </c>
      <c r="H28" s="14">
        <v>3</v>
      </c>
      <c r="I28" s="14" t="s">
        <v>172</v>
      </c>
    </row>
    <row r="29" spans="2:10">
      <c r="B29" s="14">
        <v>4</v>
      </c>
      <c r="C29" s="8" t="s">
        <v>173</v>
      </c>
      <c r="E29" s="8">
        <v>4</v>
      </c>
      <c r="F29" s="8" t="s">
        <v>174</v>
      </c>
      <c r="H29" s="14">
        <v>4</v>
      </c>
      <c r="I29" s="14" t="s">
        <v>175</v>
      </c>
    </row>
    <row r="30" spans="2:10">
      <c r="B30" s="14">
        <v>5</v>
      </c>
      <c r="C30" s="8" t="s">
        <v>176</v>
      </c>
      <c r="E30" s="8">
        <v>5</v>
      </c>
      <c r="F30" s="8" t="s">
        <v>177</v>
      </c>
      <c r="H30" s="14">
        <v>5</v>
      </c>
      <c r="I30" s="14" t="s">
        <v>178</v>
      </c>
    </row>
    <row r="31" spans="2:10">
      <c r="B31" s="14">
        <v>6</v>
      </c>
      <c r="C31" s="8" t="s">
        <v>179</v>
      </c>
      <c r="H31" s="14">
        <v>6</v>
      </c>
      <c r="I31" s="14" t="s">
        <v>180</v>
      </c>
    </row>
    <row r="32" spans="2:10">
      <c r="B32" s="14">
        <v>7</v>
      </c>
      <c r="C32" s="8" t="s">
        <v>181</v>
      </c>
      <c r="H32" s="14">
        <v>7</v>
      </c>
      <c r="I32" s="14" t="s">
        <v>182</v>
      </c>
    </row>
    <row r="33" spans="2:9">
      <c r="B33" s="14">
        <v>8</v>
      </c>
      <c r="C33" s="8" t="s">
        <v>183</v>
      </c>
      <c r="H33" s="14">
        <v>8</v>
      </c>
      <c r="I33" s="14" t="s">
        <v>184</v>
      </c>
    </row>
    <row r="34" spans="2:9">
      <c r="B34" s="14">
        <v>9</v>
      </c>
      <c r="C34" s="8" t="s">
        <v>185</v>
      </c>
      <c r="H34" s="14">
        <v>9</v>
      </c>
      <c r="I34" s="14" t="s">
        <v>186</v>
      </c>
    </row>
    <row r="35" spans="2:9">
      <c r="B35" s="14">
        <v>10</v>
      </c>
      <c r="C35" s="8" t="s">
        <v>187</v>
      </c>
      <c r="H35" s="14">
        <v>10</v>
      </c>
      <c r="I35" s="14" t="s">
        <v>188</v>
      </c>
    </row>
    <row r="36" spans="2:9">
      <c r="B36" s="14">
        <v>11</v>
      </c>
      <c r="C36" s="8" t="s">
        <v>189</v>
      </c>
    </row>
    <row r="37" spans="2:9">
      <c r="B37" s="14">
        <v>12</v>
      </c>
      <c r="C37" s="8" t="s">
        <v>190</v>
      </c>
    </row>
    <row r="38" spans="2:9">
      <c r="B38" s="14">
        <v>13</v>
      </c>
      <c r="C38" s="8" t="s">
        <v>191</v>
      </c>
    </row>
    <row r="39" spans="2:9">
      <c r="B39" s="14">
        <v>14</v>
      </c>
      <c r="C39" s="8" t="s">
        <v>192</v>
      </c>
    </row>
    <row r="40" spans="2:9">
      <c r="B40" s="14">
        <v>15</v>
      </c>
      <c r="C40" s="8" t="s">
        <v>187</v>
      </c>
    </row>
    <row r="41" spans="2:9">
      <c r="B41" s="14">
        <v>16</v>
      </c>
      <c r="C41" s="8" t="s">
        <v>193</v>
      </c>
    </row>
    <row r="42" spans="2:9">
      <c r="B42" s="14">
        <v>17</v>
      </c>
      <c r="C42" s="8" t="s">
        <v>194</v>
      </c>
    </row>
    <row r="43" spans="2:9">
      <c r="B43" s="14">
        <v>18</v>
      </c>
      <c r="C43" s="8" t="s">
        <v>195</v>
      </c>
    </row>
    <row r="44" spans="2:9">
      <c r="B44" s="14">
        <v>19</v>
      </c>
      <c r="C44" s="8" t="s">
        <v>196</v>
      </c>
    </row>
    <row r="45" spans="2:9">
      <c r="B45" s="14">
        <v>20</v>
      </c>
      <c r="C45" s="8" t="s">
        <v>197</v>
      </c>
    </row>
    <row r="46" spans="2:9">
      <c r="B46" s="14">
        <v>21</v>
      </c>
      <c r="C46" s="8" t="s">
        <v>198</v>
      </c>
    </row>
    <row r="47" spans="2:9">
      <c r="B47" s="14">
        <v>22</v>
      </c>
      <c r="C47" s="8" t="s">
        <v>199</v>
      </c>
    </row>
    <row r="48" spans="2:9">
      <c r="B48" s="14">
        <v>23</v>
      </c>
      <c r="C48" s="8" t="s">
        <v>200</v>
      </c>
    </row>
    <row r="50" spans="2:10" ht="15.75">
      <c r="B50" s="99" t="s">
        <v>50</v>
      </c>
      <c r="C50" s="99"/>
      <c r="D50" s="99"/>
      <c r="E50" s="99"/>
      <c r="F50" s="99"/>
      <c r="G50" s="99"/>
      <c r="H50" s="99"/>
      <c r="I50" s="99"/>
      <c r="J50" s="99"/>
    </row>
    <row r="52" spans="2:10">
      <c r="B52" s="107" t="s">
        <v>136</v>
      </c>
      <c r="C52" s="107"/>
      <c r="D52" s="13"/>
      <c r="E52" s="110" t="s">
        <v>163</v>
      </c>
      <c r="F52" s="110"/>
      <c r="H52" s="107" t="s">
        <v>19</v>
      </c>
      <c r="I52" s="107"/>
    </row>
    <row r="53" spans="2:10">
      <c r="B53" s="108" t="s">
        <v>137</v>
      </c>
      <c r="C53" s="109" t="s">
        <v>138</v>
      </c>
      <c r="E53" s="18" t="s">
        <v>137</v>
      </c>
      <c r="F53" s="17" t="s">
        <v>138</v>
      </c>
      <c r="H53" s="37" t="s">
        <v>137</v>
      </c>
      <c r="I53" s="22" t="s">
        <v>138</v>
      </c>
    </row>
    <row r="54" spans="2:10">
      <c r="B54" s="14">
        <v>1</v>
      </c>
      <c r="C54" s="8" t="s">
        <v>201</v>
      </c>
      <c r="E54" s="14">
        <v>1</v>
      </c>
      <c r="F54" s="8" t="s">
        <v>202</v>
      </c>
    </row>
    <row r="55" spans="2:10">
      <c r="B55" s="14">
        <v>2</v>
      </c>
      <c r="C55" s="8" t="s">
        <v>203</v>
      </c>
      <c r="E55" s="14">
        <v>2</v>
      </c>
      <c r="F55" s="8" t="s">
        <v>204</v>
      </c>
    </row>
    <row r="56" spans="2:10">
      <c r="B56" s="14">
        <v>3</v>
      </c>
      <c r="C56" s="8" t="s">
        <v>205</v>
      </c>
      <c r="E56" s="14">
        <v>3</v>
      </c>
      <c r="F56" s="8" t="s">
        <v>206</v>
      </c>
    </row>
    <row r="57" spans="2:10">
      <c r="B57" s="14">
        <v>4</v>
      </c>
      <c r="C57" s="8" t="s">
        <v>207</v>
      </c>
      <c r="E57" s="14">
        <v>4</v>
      </c>
      <c r="F57" s="8" t="s">
        <v>208</v>
      </c>
    </row>
    <row r="58" spans="2:10">
      <c r="B58" s="14">
        <v>5</v>
      </c>
      <c r="C58" s="8" t="s">
        <v>209</v>
      </c>
      <c r="E58" s="14">
        <v>5</v>
      </c>
      <c r="F58" s="8" t="s">
        <v>210</v>
      </c>
    </row>
    <row r="59" spans="2:10">
      <c r="B59" s="14">
        <v>6</v>
      </c>
      <c r="C59" s="8" t="s">
        <v>211</v>
      </c>
      <c r="E59" s="14">
        <v>6</v>
      </c>
      <c r="F59" s="8" t="s">
        <v>212</v>
      </c>
    </row>
    <row r="60" spans="2:10">
      <c r="B60" s="14">
        <v>7</v>
      </c>
      <c r="C60" s="8" t="s">
        <v>213</v>
      </c>
      <c r="E60" s="14">
        <v>7</v>
      </c>
      <c r="F60" s="8" t="s">
        <v>214</v>
      </c>
    </row>
    <row r="61" spans="2:10">
      <c r="B61" s="14">
        <v>8</v>
      </c>
      <c r="C61" s="8" t="s">
        <v>215</v>
      </c>
      <c r="E61" s="14">
        <v>8</v>
      </c>
      <c r="F61" s="8" t="s">
        <v>216</v>
      </c>
    </row>
    <row r="62" spans="2:10">
      <c r="B62" s="14">
        <v>9</v>
      </c>
      <c r="C62" s="8" t="s">
        <v>217</v>
      </c>
      <c r="E62" s="14">
        <v>9</v>
      </c>
      <c r="F62" s="8" t="s">
        <v>218</v>
      </c>
    </row>
    <row r="63" spans="2:10">
      <c r="B63" s="14">
        <v>10</v>
      </c>
      <c r="C63" s="8" t="s">
        <v>219</v>
      </c>
      <c r="E63" s="14">
        <v>10</v>
      </c>
      <c r="F63" s="8" t="s">
        <v>220</v>
      </c>
    </row>
    <row r="64" spans="2:10">
      <c r="B64" s="14">
        <v>11</v>
      </c>
      <c r="C64" s="8" t="s">
        <v>221</v>
      </c>
      <c r="E64" s="14">
        <v>11</v>
      </c>
      <c r="F64" s="8" t="s">
        <v>222</v>
      </c>
    </row>
    <row r="65" spans="2:10">
      <c r="B65" s="14">
        <v>12</v>
      </c>
      <c r="C65" s="8" t="s">
        <v>223</v>
      </c>
      <c r="E65" s="14">
        <v>12</v>
      </c>
      <c r="F65" s="8" t="s">
        <v>224</v>
      </c>
    </row>
    <row r="66" spans="2:10">
      <c r="B66" s="14">
        <v>13</v>
      </c>
      <c r="C66" s="8" t="s">
        <v>225</v>
      </c>
      <c r="E66" s="14">
        <v>13</v>
      </c>
      <c r="F66" s="8" t="s">
        <v>226</v>
      </c>
    </row>
    <row r="67" spans="2:10">
      <c r="B67" s="14">
        <v>14</v>
      </c>
      <c r="C67" s="8" t="s">
        <v>227</v>
      </c>
      <c r="E67" s="14">
        <v>14</v>
      </c>
      <c r="F67" s="8" t="s">
        <v>228</v>
      </c>
    </row>
    <row r="68" spans="2:10">
      <c r="E68" s="14">
        <v>15</v>
      </c>
      <c r="F68" s="8" t="s">
        <v>229</v>
      </c>
    </row>
    <row r="69" spans="2:10">
      <c r="E69" s="14">
        <v>16</v>
      </c>
      <c r="F69" s="8" t="s">
        <v>230</v>
      </c>
    </row>
    <row r="70" spans="2:10">
      <c r="E70" s="14">
        <v>17</v>
      </c>
      <c r="F70" s="8" t="s">
        <v>231</v>
      </c>
    </row>
    <row r="71" spans="2:10">
      <c r="E71" s="14">
        <v>18</v>
      </c>
      <c r="F71" s="8" t="s">
        <v>232</v>
      </c>
    </row>
    <row r="72" spans="2:10">
      <c r="E72" s="13"/>
    </row>
    <row r="73" spans="2:10" ht="15.75">
      <c r="B73" s="99" t="s">
        <v>80</v>
      </c>
      <c r="C73" s="99"/>
      <c r="D73" s="99"/>
      <c r="E73" s="99"/>
      <c r="F73" s="99"/>
      <c r="G73" s="99"/>
      <c r="H73" s="99"/>
      <c r="I73" s="99"/>
      <c r="J73" s="99"/>
    </row>
    <row r="75" spans="2:10">
      <c r="B75" s="107" t="s">
        <v>136</v>
      </c>
      <c r="C75" s="112"/>
      <c r="D75" s="13"/>
      <c r="E75" s="110" t="s">
        <v>163</v>
      </c>
      <c r="F75" s="110"/>
      <c r="H75" s="107" t="s">
        <v>233</v>
      </c>
      <c r="I75" s="107"/>
    </row>
    <row r="76" spans="2:10">
      <c r="B76" s="111" t="s">
        <v>137</v>
      </c>
      <c r="C76" s="22" t="s">
        <v>138</v>
      </c>
      <c r="E76" s="14" t="s">
        <v>137</v>
      </c>
      <c r="F76" s="8" t="s">
        <v>138</v>
      </c>
      <c r="H76" s="108" t="s">
        <v>137</v>
      </c>
      <c r="I76" s="109" t="s">
        <v>138</v>
      </c>
    </row>
    <row r="77" spans="2:10">
      <c r="B77" s="74">
        <v>1</v>
      </c>
      <c r="C77" s="8" t="s">
        <v>234</v>
      </c>
      <c r="E77" s="8">
        <v>1</v>
      </c>
      <c r="F77" s="8" t="s">
        <v>235</v>
      </c>
      <c r="H77" s="14">
        <v>1</v>
      </c>
      <c r="I77" s="14" t="s">
        <v>236</v>
      </c>
    </row>
    <row r="78" spans="2:10">
      <c r="B78" s="74">
        <v>2</v>
      </c>
      <c r="C78" s="8" t="s">
        <v>237</v>
      </c>
      <c r="E78" s="8">
        <v>2</v>
      </c>
      <c r="F78" s="8" t="s">
        <v>238</v>
      </c>
      <c r="H78" s="14">
        <v>2</v>
      </c>
      <c r="I78" s="14" t="s">
        <v>239</v>
      </c>
    </row>
    <row r="79" spans="2:10">
      <c r="B79" s="74">
        <v>3</v>
      </c>
      <c r="C79" s="8" t="s">
        <v>240</v>
      </c>
      <c r="E79" s="8">
        <v>3</v>
      </c>
      <c r="F79" s="8" t="s">
        <v>241</v>
      </c>
      <c r="H79" s="14">
        <v>3</v>
      </c>
      <c r="I79" s="14" t="s">
        <v>242</v>
      </c>
    </row>
    <row r="80" spans="2:10">
      <c r="B80" s="74">
        <v>4</v>
      </c>
      <c r="C80" s="8" t="s">
        <v>243</v>
      </c>
      <c r="E80" s="8">
        <v>4</v>
      </c>
      <c r="F80" s="8" t="s">
        <v>244</v>
      </c>
      <c r="H80" s="14">
        <v>4</v>
      </c>
      <c r="I80" s="14" t="s">
        <v>245</v>
      </c>
    </row>
    <row r="81" spans="2:9">
      <c r="B81" s="74">
        <v>5</v>
      </c>
      <c r="C81" s="8" t="s">
        <v>246</v>
      </c>
      <c r="E81" s="8">
        <v>5</v>
      </c>
      <c r="F81" s="8" t="s">
        <v>247</v>
      </c>
      <c r="H81" s="14">
        <v>5</v>
      </c>
      <c r="I81" s="14" t="s">
        <v>248</v>
      </c>
    </row>
    <row r="82" spans="2:9">
      <c r="B82" s="74">
        <v>6</v>
      </c>
      <c r="C82" s="8" t="s">
        <v>249</v>
      </c>
      <c r="E82" s="8">
        <v>6</v>
      </c>
      <c r="F82" s="8" t="s">
        <v>250</v>
      </c>
      <c r="H82" s="14">
        <v>6</v>
      </c>
      <c r="I82" s="14" t="s">
        <v>251</v>
      </c>
    </row>
    <row r="83" spans="2:9">
      <c r="B83" s="74">
        <v>7</v>
      </c>
      <c r="C83" s="8" t="s">
        <v>252</v>
      </c>
      <c r="E83" s="8">
        <v>7</v>
      </c>
      <c r="F83" s="8" t="s">
        <v>253</v>
      </c>
      <c r="H83" s="14">
        <v>7</v>
      </c>
      <c r="I83" s="14" t="s">
        <v>254</v>
      </c>
    </row>
    <row r="84" spans="2:9">
      <c r="B84" s="74">
        <v>8</v>
      </c>
      <c r="C84" s="8" t="s">
        <v>255</v>
      </c>
      <c r="E84" s="8">
        <v>8</v>
      </c>
      <c r="F84" s="8" t="s">
        <v>256</v>
      </c>
      <c r="H84" s="14">
        <v>8</v>
      </c>
      <c r="I84" s="14" t="s">
        <v>257</v>
      </c>
    </row>
    <row r="85" spans="2:9">
      <c r="B85" s="74">
        <v>9</v>
      </c>
      <c r="C85" s="8" t="s">
        <v>258</v>
      </c>
      <c r="E85" s="8">
        <v>9</v>
      </c>
      <c r="F85" s="8" t="s">
        <v>259</v>
      </c>
      <c r="H85" s="14">
        <v>9</v>
      </c>
      <c r="I85" s="14" t="s">
        <v>260</v>
      </c>
    </row>
    <row r="86" spans="2:9">
      <c r="B86" s="74">
        <v>10</v>
      </c>
      <c r="C86" s="8" t="s">
        <v>261</v>
      </c>
      <c r="E86" s="8">
        <v>10</v>
      </c>
      <c r="F86" s="8" t="s">
        <v>262</v>
      </c>
      <c r="H86" s="14">
        <v>10</v>
      </c>
      <c r="I86" s="14" t="s">
        <v>263</v>
      </c>
    </row>
    <row r="87" spans="2:9">
      <c r="B87" s="74">
        <v>11</v>
      </c>
      <c r="C87" s="8" t="s">
        <v>264</v>
      </c>
      <c r="E87" s="8">
        <v>11</v>
      </c>
      <c r="F87" s="8" t="s">
        <v>265</v>
      </c>
      <c r="H87" s="14">
        <v>11</v>
      </c>
      <c r="I87" s="14" t="s">
        <v>266</v>
      </c>
    </row>
    <row r="88" spans="2:9">
      <c r="B88" s="74">
        <v>12</v>
      </c>
      <c r="C88" s="8" t="s">
        <v>267</v>
      </c>
      <c r="E88" s="8">
        <v>12</v>
      </c>
      <c r="F88" s="8" t="s">
        <v>268</v>
      </c>
      <c r="H88" s="14">
        <v>12</v>
      </c>
      <c r="I88" s="14" t="s">
        <v>269</v>
      </c>
    </row>
    <row r="89" spans="2:9">
      <c r="B89" s="74">
        <v>13</v>
      </c>
      <c r="C89" s="8" t="s">
        <v>270</v>
      </c>
      <c r="E89" s="8">
        <v>13</v>
      </c>
      <c r="F89" s="8" t="s">
        <v>271</v>
      </c>
      <c r="H89" s="14">
        <v>13</v>
      </c>
      <c r="I89" s="14" t="s">
        <v>272</v>
      </c>
    </row>
    <row r="90" spans="2:9">
      <c r="B90" s="74">
        <v>14</v>
      </c>
      <c r="C90" s="8" t="s">
        <v>273</v>
      </c>
      <c r="E90" s="8">
        <v>14</v>
      </c>
      <c r="F90" s="8" t="s">
        <v>274</v>
      </c>
      <c r="H90" s="14">
        <v>14</v>
      </c>
      <c r="I90" s="14" t="s">
        <v>275</v>
      </c>
    </row>
    <row r="91" spans="2:9">
      <c r="B91" s="74">
        <v>15</v>
      </c>
      <c r="C91" s="8" t="s">
        <v>276</v>
      </c>
      <c r="E91" s="8">
        <v>15</v>
      </c>
      <c r="F91" s="8" t="s">
        <v>277</v>
      </c>
      <c r="H91" s="14">
        <v>15</v>
      </c>
      <c r="I91" s="14" t="s">
        <v>278</v>
      </c>
    </row>
    <row r="92" spans="2:9">
      <c r="B92" s="74">
        <v>16</v>
      </c>
      <c r="C92" s="8" t="s">
        <v>279</v>
      </c>
      <c r="E92" s="8">
        <v>16</v>
      </c>
      <c r="F92" s="8" t="s">
        <v>280</v>
      </c>
      <c r="H92" s="14">
        <v>16</v>
      </c>
      <c r="I92" s="14" t="s">
        <v>281</v>
      </c>
    </row>
    <row r="93" spans="2:9">
      <c r="B93" s="74">
        <v>17</v>
      </c>
      <c r="C93" s="8" t="s">
        <v>282</v>
      </c>
      <c r="E93" s="8">
        <v>17</v>
      </c>
      <c r="F93" s="8" t="s">
        <v>283</v>
      </c>
      <c r="H93" s="14">
        <v>17</v>
      </c>
      <c r="I93" s="14" t="s">
        <v>284</v>
      </c>
    </row>
    <row r="94" spans="2:9">
      <c r="B94" s="74">
        <v>18</v>
      </c>
      <c r="C94" s="8" t="s">
        <v>285</v>
      </c>
      <c r="E94" s="8">
        <v>18</v>
      </c>
      <c r="F94" s="8" t="s">
        <v>286</v>
      </c>
      <c r="H94" s="14">
        <v>18</v>
      </c>
      <c r="I94" s="14" t="s">
        <v>287</v>
      </c>
    </row>
    <row r="95" spans="2:9">
      <c r="B95" s="74">
        <v>19</v>
      </c>
      <c r="C95" s="8" t="s">
        <v>288</v>
      </c>
      <c r="H95" s="14">
        <v>19</v>
      </c>
      <c r="I95" s="14" t="s">
        <v>289</v>
      </c>
    </row>
    <row r="96" spans="2:9">
      <c r="B96" s="74">
        <v>20</v>
      </c>
      <c r="C96" s="8" t="s">
        <v>290</v>
      </c>
      <c r="H96" s="14">
        <v>20</v>
      </c>
      <c r="I96" s="14" t="s">
        <v>291</v>
      </c>
    </row>
    <row r="97" spans="2:10">
      <c r="B97" s="74">
        <v>21</v>
      </c>
      <c r="C97" s="8" t="s">
        <v>292</v>
      </c>
      <c r="H97" s="14">
        <v>21</v>
      </c>
      <c r="I97" s="14" t="s">
        <v>293</v>
      </c>
    </row>
    <row r="98" spans="2:10">
      <c r="B98" s="74">
        <v>22</v>
      </c>
      <c r="C98" s="8" t="s">
        <v>294</v>
      </c>
      <c r="H98" s="14">
        <v>22</v>
      </c>
      <c r="I98" s="14" t="s">
        <v>295</v>
      </c>
    </row>
    <row r="99" spans="2:10">
      <c r="B99" s="74">
        <v>23</v>
      </c>
      <c r="C99" s="8" t="s">
        <v>296</v>
      </c>
      <c r="H99" s="14">
        <v>23</v>
      </c>
      <c r="I99" s="14" t="s">
        <v>297</v>
      </c>
    </row>
    <row r="100" spans="2:10">
      <c r="B100" s="74">
        <v>24</v>
      </c>
      <c r="C100" s="8" t="s">
        <v>282</v>
      </c>
      <c r="H100" s="14">
        <v>24</v>
      </c>
      <c r="I100" s="14" t="s">
        <v>298</v>
      </c>
    </row>
    <row r="101" spans="2:10">
      <c r="B101" s="74">
        <v>25</v>
      </c>
      <c r="C101" s="8" t="s">
        <v>285</v>
      </c>
      <c r="H101" s="14">
        <v>25</v>
      </c>
      <c r="I101" s="14" t="s">
        <v>299</v>
      </c>
    </row>
    <row r="102" spans="2:10">
      <c r="B102" s="74">
        <v>26</v>
      </c>
      <c r="C102" s="8" t="s">
        <v>300</v>
      </c>
      <c r="H102" s="14">
        <v>26</v>
      </c>
      <c r="I102" s="14" t="s">
        <v>301</v>
      </c>
    </row>
    <row r="103" spans="2:10">
      <c r="B103" s="74">
        <v>27</v>
      </c>
      <c r="C103" s="8" t="s">
        <v>302</v>
      </c>
      <c r="H103" s="14">
        <v>27</v>
      </c>
      <c r="I103" s="14" t="s">
        <v>303</v>
      </c>
    </row>
    <row r="104" spans="2:10">
      <c r="B104" s="74">
        <v>28</v>
      </c>
      <c r="C104" s="8" t="s">
        <v>304</v>
      </c>
      <c r="H104" s="14">
        <v>28</v>
      </c>
      <c r="I104" s="14" t="s">
        <v>305</v>
      </c>
    </row>
    <row r="105" spans="2:10">
      <c r="B105" s="74">
        <v>29</v>
      </c>
      <c r="C105" s="8" t="s">
        <v>306</v>
      </c>
      <c r="H105" s="14">
        <v>29</v>
      </c>
      <c r="I105" s="14" t="s">
        <v>291</v>
      </c>
    </row>
    <row r="106" spans="2:10">
      <c r="B106" s="74">
        <v>30</v>
      </c>
      <c r="C106" s="8" t="s">
        <v>307</v>
      </c>
      <c r="H106" s="14">
        <v>30</v>
      </c>
      <c r="I106" s="14" t="s">
        <v>308</v>
      </c>
    </row>
    <row r="107" spans="2:10">
      <c r="B107" s="74">
        <v>31</v>
      </c>
      <c r="C107" s="8" t="s">
        <v>309</v>
      </c>
    </row>
    <row r="108" spans="2:10">
      <c r="B108" s="74">
        <v>32</v>
      </c>
      <c r="C108" s="8" t="s">
        <v>310</v>
      </c>
    </row>
    <row r="109" spans="2:10">
      <c r="B109" s="74">
        <v>33</v>
      </c>
      <c r="C109" s="8" t="s">
        <v>311</v>
      </c>
    </row>
    <row r="111" spans="2:10" ht="15.75">
      <c r="B111" s="99" t="s">
        <v>97</v>
      </c>
      <c r="C111" s="99"/>
      <c r="D111" s="99"/>
      <c r="E111" s="99"/>
      <c r="F111" s="99"/>
      <c r="G111" s="99"/>
      <c r="H111" s="99"/>
      <c r="I111" s="99"/>
      <c r="J111" s="99"/>
    </row>
    <row r="113" spans="2:15">
      <c r="B113" s="107" t="s">
        <v>136</v>
      </c>
      <c r="C113" s="107"/>
      <c r="D113" s="13"/>
      <c r="E113" s="105" t="s">
        <v>312</v>
      </c>
      <c r="F113" s="105"/>
      <c r="H113" s="107" t="s">
        <v>313</v>
      </c>
      <c r="I113" s="107"/>
      <c r="K113" s="105" t="s">
        <v>163</v>
      </c>
      <c r="L113" s="105"/>
      <c r="N113" s="107" t="s">
        <v>233</v>
      </c>
      <c r="O113" s="107"/>
    </row>
    <row r="114" spans="2:15">
      <c r="B114" s="37" t="s">
        <v>137</v>
      </c>
      <c r="C114" s="22" t="s">
        <v>138</v>
      </c>
      <c r="E114" s="14" t="s">
        <v>137</v>
      </c>
      <c r="F114" s="8" t="s">
        <v>138</v>
      </c>
      <c r="H114" s="37" t="s">
        <v>137</v>
      </c>
      <c r="I114" s="22" t="s">
        <v>138</v>
      </c>
      <c r="K114" s="14" t="s">
        <v>137</v>
      </c>
      <c r="L114" s="8" t="s">
        <v>138</v>
      </c>
      <c r="N114" s="37" t="s">
        <v>137</v>
      </c>
      <c r="O114" s="22" t="s">
        <v>138</v>
      </c>
    </row>
    <row r="115" spans="2:15">
      <c r="B115" s="14">
        <v>1</v>
      </c>
      <c r="C115" s="8" t="s">
        <v>314</v>
      </c>
      <c r="E115" s="8">
        <v>1</v>
      </c>
      <c r="F115" s="8" t="s">
        <v>315</v>
      </c>
      <c r="H115" s="14">
        <v>1</v>
      </c>
      <c r="I115" s="14" t="s">
        <v>316</v>
      </c>
      <c r="K115" s="8">
        <v>1</v>
      </c>
      <c r="L115" s="8" t="s">
        <v>317</v>
      </c>
      <c r="N115" s="14">
        <v>1</v>
      </c>
      <c r="O115" s="14" t="s">
        <v>318</v>
      </c>
    </row>
    <row r="116" spans="2:15">
      <c r="B116" s="14">
        <v>2</v>
      </c>
      <c r="C116" s="8" t="s">
        <v>319</v>
      </c>
      <c r="E116" s="17">
        <v>2</v>
      </c>
      <c r="F116" s="17" t="s">
        <v>320</v>
      </c>
      <c r="H116" s="18">
        <v>2</v>
      </c>
      <c r="I116" s="18" t="s">
        <v>321</v>
      </c>
      <c r="K116" s="8">
        <v>2</v>
      </c>
      <c r="L116" s="8" t="s">
        <v>322</v>
      </c>
      <c r="N116" s="14">
        <v>2</v>
      </c>
      <c r="O116" s="14" t="s">
        <v>323</v>
      </c>
    </row>
    <row r="117" spans="2:15">
      <c r="B117" s="14">
        <v>3</v>
      </c>
      <c r="C117" s="8" t="s">
        <v>324</v>
      </c>
      <c r="E117" s="8">
        <v>3</v>
      </c>
      <c r="F117" s="8" t="s">
        <v>325</v>
      </c>
      <c r="H117" s="14">
        <v>3</v>
      </c>
      <c r="I117" s="14" t="s">
        <v>326</v>
      </c>
    </row>
    <row r="118" spans="2:15">
      <c r="B118" s="14">
        <v>4</v>
      </c>
      <c r="C118" s="8" t="s">
        <v>327</v>
      </c>
      <c r="H118" s="14">
        <v>4</v>
      </c>
      <c r="I118" s="14" t="s">
        <v>328</v>
      </c>
    </row>
    <row r="119" spans="2:15">
      <c r="B119" s="14">
        <v>5</v>
      </c>
      <c r="C119" s="8" t="s">
        <v>329</v>
      </c>
      <c r="H119" s="14">
        <v>5</v>
      </c>
      <c r="I119" s="14" t="s">
        <v>330</v>
      </c>
    </row>
    <row r="120" spans="2:15">
      <c r="B120" s="14">
        <v>6</v>
      </c>
      <c r="C120" s="8" t="s">
        <v>331</v>
      </c>
    </row>
    <row r="121" spans="2:15">
      <c r="B121" s="14">
        <v>7</v>
      </c>
      <c r="C121" s="8" t="s">
        <v>332</v>
      </c>
    </row>
    <row r="122" spans="2:15">
      <c r="B122" s="14">
        <v>8</v>
      </c>
      <c r="C122" s="8" t="s">
        <v>333</v>
      </c>
    </row>
    <row r="123" spans="2:15">
      <c r="B123" s="14">
        <v>9</v>
      </c>
      <c r="C123" s="17" t="s">
        <v>334</v>
      </c>
    </row>
    <row r="124" spans="2:15">
      <c r="B124" s="74">
        <v>10</v>
      </c>
      <c r="C124" s="8" t="s">
        <v>335</v>
      </c>
    </row>
    <row r="125" spans="2:15">
      <c r="B125" s="74">
        <v>11</v>
      </c>
      <c r="C125" s="8" t="s">
        <v>336</v>
      </c>
    </row>
    <row r="126" spans="2:15">
      <c r="B126" s="74">
        <v>12</v>
      </c>
      <c r="C126" s="8" t="s">
        <v>337</v>
      </c>
    </row>
    <row r="127" spans="2:15">
      <c r="B127" s="74">
        <v>13</v>
      </c>
      <c r="C127" s="8" t="s">
        <v>338</v>
      </c>
    </row>
    <row r="128" spans="2:15">
      <c r="B128" s="74">
        <v>14</v>
      </c>
      <c r="C128" s="17" t="s">
        <v>339</v>
      </c>
    </row>
    <row r="129" spans="2:10">
      <c r="B129" s="74">
        <v>15</v>
      </c>
      <c r="C129" s="8" t="s">
        <v>340</v>
      </c>
    </row>
    <row r="130" spans="2:10">
      <c r="B130" s="74">
        <v>16</v>
      </c>
      <c r="C130" s="8" t="s">
        <v>319</v>
      </c>
    </row>
    <row r="131" spans="2:10">
      <c r="B131" s="74">
        <v>17</v>
      </c>
      <c r="C131" s="8" t="s">
        <v>324</v>
      </c>
    </row>
    <row r="133" spans="2:10" ht="15.75">
      <c r="B133" s="99" t="s">
        <v>123</v>
      </c>
      <c r="C133" s="99"/>
      <c r="D133" s="99"/>
      <c r="E133" s="99"/>
      <c r="F133" s="99"/>
      <c r="G133" s="99"/>
      <c r="H133" s="99"/>
      <c r="I133" s="99"/>
      <c r="J133" s="99"/>
    </row>
  </sheetData>
  <mergeCells count="23">
    <mergeCell ref="K113:L113"/>
    <mergeCell ref="N113:O113"/>
    <mergeCell ref="B133:J133"/>
    <mergeCell ref="B75:C75"/>
    <mergeCell ref="E75:F75"/>
    <mergeCell ref="H75:I75"/>
    <mergeCell ref="B111:J111"/>
    <mergeCell ref="B113:C113"/>
    <mergeCell ref="E113:F113"/>
    <mergeCell ref="H113:I113"/>
    <mergeCell ref="B50:J50"/>
    <mergeCell ref="B52:C52"/>
    <mergeCell ref="E52:F52"/>
    <mergeCell ref="H52:I52"/>
    <mergeCell ref="B73:J73"/>
    <mergeCell ref="B3:J3"/>
    <mergeCell ref="B1:J1"/>
    <mergeCell ref="B5:C5"/>
    <mergeCell ref="E5:F5"/>
    <mergeCell ref="B24:C24"/>
    <mergeCell ref="E24:F24"/>
    <mergeCell ref="H24:I24"/>
    <mergeCell ref="B22:J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8" workbookViewId="0">
      <selection activeCell="B24" sqref="B24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FCA6-DF76-4CA6-A969-F024DC69FE9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Administración Fontibón</cp:lastModifiedBy>
  <cp:revision/>
  <dcterms:created xsi:type="dcterms:W3CDTF">2022-06-01T16:26:59Z</dcterms:created>
  <dcterms:modified xsi:type="dcterms:W3CDTF">2022-11-30T21:42:29Z</dcterms:modified>
  <cp:category/>
  <cp:contentStatus/>
</cp:coreProperties>
</file>